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ever-do\"/>
    </mc:Choice>
  </mc:AlternateContent>
  <xr:revisionPtr revIDLastSave="0" documentId="13_ncr:8001_{3BE9B743-8BBF-4126-A33C-12312505AF6A}" xr6:coauthVersionLast="40" xr6:coauthVersionMax="40" xr10:uidLastSave="{00000000-0000-0000-0000-000000000000}"/>
  <workbookProtection workbookAlgorithmName="SHA-512" workbookHashValue="ojfyUO2t1mtNoeBrDbE5idWeHkPOPC5C7DuIaW53OrOL00FgHtV3Qyx1oTVI1NKfrbMEiInT5rIU8MOQ00rBuw==" workbookSaltValue="4DqBKqm4zGwRneZwPbx31w==" workbookSpinCount="100000" lockStructure="1"/>
  <bookViews>
    <workbookView xWindow="-120" yWindow="-120" windowWidth="19440" windowHeight="11640" tabRatio="726" xr2:uid="{00000000-000D-0000-FFFF-FFFF00000000}"/>
  </bookViews>
  <sheets>
    <sheet name="Pricelist" sheetId="6" r:id="rId1"/>
    <sheet name="Quotation" sheetId="10" r:id="rId2"/>
    <sheet name="TS" sheetId="8" r:id="rId3"/>
    <sheet name="RMB" sheetId="7" r:id="rId4"/>
    <sheet name="Order" sheetId="18" r:id="rId5"/>
    <sheet name="Staff" sheetId="17" r:id="rId6"/>
    <sheet name="Landmark" sheetId="19" r:id="rId7"/>
    <sheet name="Customer" sheetId="13" r:id="rId8"/>
    <sheet name="Contacts" sheetId="14" r:id="rId9"/>
    <sheet name="Visit" sheetId="16" r:id="rId10"/>
    <sheet name="Dict" sheetId="5" r:id="rId11"/>
    <sheet name="Pivot" sheetId="12" r:id="rId12"/>
  </sheets>
  <definedNames>
    <definedName name="_xlnm._FilterDatabase" localSheetId="0" hidden="1">Pricelist!$A$1:$AC$419</definedName>
    <definedName name="_xlnm._FilterDatabase" localSheetId="5" hidden="1">Staff!$B$1:$H$113</definedName>
  </definedNames>
  <calcPr calcId="181029"/>
  <pivotCaches>
    <pivotCache cacheId="12" r:id="rId13"/>
  </pivotCaches>
</workbook>
</file>

<file path=xl/calcChain.xml><?xml version="1.0" encoding="utf-8"?>
<calcChain xmlns="http://schemas.openxmlformats.org/spreadsheetml/2006/main"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86" i="6"/>
  <c r="H180" i="6"/>
  <c r="H179" i="6"/>
  <c r="H185" i="6"/>
  <c r="H183" i="6"/>
  <c r="H188" i="6"/>
  <c r="H187" i="6"/>
  <c r="H182" i="6"/>
  <c r="H181" i="6"/>
  <c r="H184" i="6"/>
  <c r="H189" i="6"/>
  <c r="H191" i="6"/>
  <c r="H190" i="6"/>
  <c r="H193" i="6"/>
  <c r="H192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9" i="6"/>
  <c r="H290" i="6"/>
  <c r="H291" i="6"/>
  <c r="H287" i="6"/>
  <c r="H288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50" i="6"/>
  <c r="H348" i="6"/>
  <c r="H353" i="6"/>
  <c r="H352" i="6"/>
  <c r="H351" i="6"/>
  <c r="H349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J4" i="6"/>
  <c r="J5" i="6"/>
  <c r="J7" i="6"/>
  <c r="J8" i="6"/>
  <c r="J10" i="6"/>
  <c r="J15" i="6"/>
  <c r="J16" i="6"/>
  <c r="J18" i="6"/>
  <c r="J20" i="6"/>
  <c r="J22" i="6"/>
  <c r="J25" i="6"/>
  <c r="J27" i="6"/>
  <c r="J31" i="6"/>
  <c r="J33" i="6"/>
  <c r="J35" i="6"/>
  <c r="J41" i="6"/>
  <c r="J45" i="6"/>
  <c r="J57" i="6"/>
  <c r="J62" i="6"/>
  <c r="J64" i="6"/>
  <c r="J67" i="6"/>
  <c r="J68" i="6"/>
  <c r="J69" i="6"/>
  <c r="J72" i="6"/>
  <c r="J76" i="6"/>
  <c r="J77" i="6"/>
  <c r="J78" i="6"/>
  <c r="J79" i="6"/>
  <c r="J80" i="6"/>
  <c r="J88" i="6"/>
  <c r="J89" i="6"/>
  <c r="J92" i="6"/>
  <c r="J96" i="6"/>
  <c r="J97" i="6"/>
  <c r="J100" i="6"/>
  <c r="J102" i="6"/>
  <c r="J103" i="6"/>
  <c r="J107" i="6"/>
  <c r="J110" i="6"/>
  <c r="J122" i="6"/>
  <c r="J125" i="6"/>
  <c r="J130" i="6"/>
  <c r="J131" i="6"/>
  <c r="J139" i="6"/>
  <c r="J141" i="6"/>
  <c r="J146" i="6"/>
  <c r="J147" i="6"/>
  <c r="J149" i="6"/>
  <c r="J152" i="6"/>
  <c r="J153" i="6"/>
  <c r="J156" i="6"/>
  <c r="J160" i="6"/>
  <c r="J163" i="6"/>
  <c r="J165" i="6"/>
  <c r="J167" i="6"/>
  <c r="J168" i="6"/>
  <c r="J173" i="6"/>
  <c r="J174" i="6"/>
  <c r="J177" i="6"/>
  <c r="J178" i="6"/>
  <c r="J185" i="6"/>
  <c r="J188" i="6"/>
  <c r="J181" i="6"/>
  <c r="J184" i="6"/>
  <c r="J190" i="6"/>
  <c r="J193" i="6"/>
  <c r="J198" i="6"/>
  <c r="J200" i="6"/>
  <c r="J203" i="6"/>
  <c r="J204" i="6"/>
  <c r="J206" i="6"/>
  <c r="J209" i="6"/>
  <c r="J210" i="6"/>
  <c r="J212" i="6"/>
  <c r="J213" i="6"/>
  <c r="J214" i="6"/>
  <c r="J218" i="6"/>
  <c r="J220" i="6"/>
  <c r="J221" i="6"/>
  <c r="J224" i="6"/>
  <c r="J227" i="6"/>
  <c r="J229" i="6"/>
  <c r="J230" i="6"/>
  <c r="J231" i="6"/>
  <c r="J235" i="6"/>
  <c r="J236" i="6"/>
  <c r="J239" i="6"/>
  <c r="J241" i="6"/>
  <c r="J242" i="6"/>
  <c r="J243" i="6"/>
  <c r="J248" i="6"/>
  <c r="J250" i="6"/>
  <c r="J253" i="6"/>
  <c r="J256" i="6"/>
  <c r="J259" i="6"/>
  <c r="J262" i="6"/>
  <c r="J264" i="6"/>
  <c r="J268" i="6"/>
  <c r="J271" i="6"/>
  <c r="J272" i="6"/>
  <c r="J275" i="6"/>
  <c r="J277" i="6"/>
  <c r="J280" i="6"/>
  <c r="J283" i="6"/>
  <c r="J289" i="6"/>
  <c r="J292" i="6"/>
  <c r="J296" i="6"/>
  <c r="J297" i="6"/>
  <c r="J299" i="6"/>
  <c r="J300" i="6"/>
  <c r="J305" i="6"/>
  <c r="J310" i="6"/>
  <c r="J313" i="6"/>
  <c r="J318" i="6"/>
  <c r="J319" i="6"/>
  <c r="J324" i="6"/>
  <c r="J326" i="6"/>
  <c r="J328" i="6"/>
  <c r="J329" i="6"/>
  <c r="J331" i="6"/>
  <c r="J335" i="6"/>
  <c r="J338" i="6"/>
  <c r="J339" i="6"/>
  <c r="J340" i="6"/>
  <c r="J343" i="6"/>
  <c r="J345" i="6"/>
  <c r="J350" i="6"/>
  <c r="J348" i="6"/>
  <c r="J352" i="6"/>
  <c r="J355" i="6"/>
  <c r="J356" i="6"/>
  <c r="J359" i="6"/>
  <c r="J360" i="6"/>
  <c r="J364" i="6"/>
  <c r="J366" i="6"/>
  <c r="J368" i="6"/>
  <c r="J376" i="6"/>
  <c r="J379" i="6"/>
  <c r="J383" i="6"/>
  <c r="J386" i="6"/>
  <c r="J389" i="6"/>
  <c r="J390" i="6"/>
  <c r="J392" i="6"/>
  <c r="J393" i="6"/>
  <c r="J401" i="6"/>
  <c r="J418" i="6"/>
  <c r="L2" i="6"/>
  <c r="J2" i="6" s="1"/>
  <c r="L3" i="6"/>
  <c r="J3" i="6" s="1"/>
  <c r="L4" i="6"/>
  <c r="L5" i="6"/>
  <c r="L6" i="6"/>
  <c r="J6" i="6" s="1"/>
  <c r="L7" i="6"/>
  <c r="L8" i="6"/>
  <c r="L9" i="6"/>
  <c r="J9" i="6" s="1"/>
  <c r="L10" i="6"/>
  <c r="L11" i="6"/>
  <c r="J11" i="6" s="1"/>
  <c r="L12" i="6"/>
  <c r="J12" i="6" s="1"/>
  <c r="L13" i="6"/>
  <c r="J13" i="6" s="1"/>
  <c r="L14" i="6"/>
  <c r="J14" i="6" s="1"/>
  <c r="L15" i="6"/>
  <c r="L16" i="6"/>
  <c r="L17" i="6"/>
  <c r="J17" i="6" s="1"/>
  <c r="L18" i="6"/>
  <c r="L19" i="6"/>
  <c r="J19" i="6" s="1"/>
  <c r="L20" i="6"/>
  <c r="L21" i="6"/>
  <c r="J21" i="6" s="1"/>
  <c r="L22" i="6"/>
  <c r="L23" i="6"/>
  <c r="J23" i="6" s="1"/>
  <c r="L24" i="6"/>
  <c r="J24" i="6" s="1"/>
  <c r="L25" i="6"/>
  <c r="L26" i="6"/>
  <c r="J26" i="6" s="1"/>
  <c r="L27" i="6"/>
  <c r="L28" i="6"/>
  <c r="J28" i="6" s="1"/>
  <c r="L29" i="6"/>
  <c r="J29" i="6" s="1"/>
  <c r="L30" i="6"/>
  <c r="J30" i="6" s="1"/>
  <c r="L31" i="6"/>
  <c r="L32" i="6"/>
  <c r="J32" i="6" s="1"/>
  <c r="L33" i="6"/>
  <c r="L34" i="6"/>
  <c r="J34" i="6" s="1"/>
  <c r="L35" i="6"/>
  <c r="L36" i="6"/>
  <c r="J36" i="6" s="1"/>
  <c r="L37" i="6"/>
  <c r="J37" i="6" s="1"/>
  <c r="L38" i="6"/>
  <c r="J38" i="6" s="1"/>
  <c r="L39" i="6"/>
  <c r="J39" i="6" s="1"/>
  <c r="L40" i="6"/>
  <c r="J40" i="6" s="1"/>
  <c r="L41" i="6"/>
  <c r="L42" i="6"/>
  <c r="J42" i="6" s="1"/>
  <c r="L43" i="6"/>
  <c r="J43" i="6" s="1"/>
  <c r="L44" i="6"/>
  <c r="J44" i="6" s="1"/>
  <c r="L45" i="6"/>
  <c r="L46" i="6"/>
  <c r="J46" i="6" s="1"/>
  <c r="L47" i="6"/>
  <c r="J47" i="6" s="1"/>
  <c r="L48" i="6"/>
  <c r="J48" i="6" s="1"/>
  <c r="L49" i="6"/>
  <c r="J49" i="6" s="1"/>
  <c r="L50" i="6"/>
  <c r="J50" i="6" s="1"/>
  <c r="L51" i="6"/>
  <c r="J51" i="6" s="1"/>
  <c r="L52" i="6"/>
  <c r="J52" i="6" s="1"/>
  <c r="L53" i="6"/>
  <c r="J53" i="6" s="1"/>
  <c r="L54" i="6"/>
  <c r="J54" i="6" s="1"/>
  <c r="L55" i="6"/>
  <c r="J55" i="6" s="1"/>
  <c r="L56" i="6"/>
  <c r="J56" i="6" s="1"/>
  <c r="L57" i="6"/>
  <c r="L58" i="6"/>
  <c r="J58" i="6" s="1"/>
  <c r="L59" i="6"/>
  <c r="J59" i="6" s="1"/>
  <c r="L60" i="6"/>
  <c r="J60" i="6" s="1"/>
  <c r="L61" i="6"/>
  <c r="J61" i="6" s="1"/>
  <c r="L62" i="6"/>
  <c r="L63" i="6"/>
  <c r="J63" i="6" s="1"/>
  <c r="L64" i="6"/>
  <c r="L65" i="6"/>
  <c r="J65" i="6" s="1"/>
  <c r="L66" i="6"/>
  <c r="J66" i="6" s="1"/>
  <c r="L67" i="6"/>
  <c r="L68" i="6"/>
  <c r="L69" i="6"/>
  <c r="L70" i="6"/>
  <c r="J70" i="6" s="1"/>
  <c r="L71" i="6"/>
  <c r="J71" i="6" s="1"/>
  <c r="L72" i="6"/>
  <c r="L73" i="6"/>
  <c r="J73" i="6" s="1"/>
  <c r="L74" i="6"/>
  <c r="J74" i="6" s="1"/>
  <c r="L75" i="6"/>
  <c r="J75" i="6" s="1"/>
  <c r="L76" i="6"/>
  <c r="L77" i="6"/>
  <c r="L78" i="6"/>
  <c r="L79" i="6"/>
  <c r="L80" i="6"/>
  <c r="L81" i="6"/>
  <c r="J81" i="6" s="1"/>
  <c r="L82" i="6"/>
  <c r="J82" i="6" s="1"/>
  <c r="L83" i="6"/>
  <c r="J83" i="6" s="1"/>
  <c r="L84" i="6"/>
  <c r="J84" i="6" s="1"/>
  <c r="L85" i="6"/>
  <c r="J85" i="6" s="1"/>
  <c r="L86" i="6"/>
  <c r="J86" i="6" s="1"/>
  <c r="L87" i="6"/>
  <c r="J87" i="6" s="1"/>
  <c r="L88" i="6"/>
  <c r="L89" i="6"/>
  <c r="L90" i="6"/>
  <c r="J90" i="6" s="1"/>
  <c r="L91" i="6"/>
  <c r="J91" i="6" s="1"/>
  <c r="L92" i="6"/>
  <c r="L93" i="6"/>
  <c r="J93" i="6" s="1"/>
  <c r="L94" i="6"/>
  <c r="J94" i="6" s="1"/>
  <c r="L95" i="6"/>
  <c r="J95" i="6" s="1"/>
  <c r="L96" i="6"/>
  <c r="L97" i="6"/>
  <c r="L98" i="6"/>
  <c r="J98" i="6" s="1"/>
  <c r="L99" i="6"/>
  <c r="J99" i="6" s="1"/>
  <c r="L100" i="6"/>
  <c r="L101" i="6"/>
  <c r="J101" i="6" s="1"/>
  <c r="L102" i="6"/>
  <c r="L103" i="6"/>
  <c r="L104" i="6"/>
  <c r="J104" i="6" s="1"/>
  <c r="L105" i="6"/>
  <c r="J105" i="6" s="1"/>
  <c r="L106" i="6"/>
  <c r="J106" i="6" s="1"/>
  <c r="L107" i="6"/>
  <c r="L108" i="6"/>
  <c r="J108" i="6" s="1"/>
  <c r="L109" i="6"/>
  <c r="J109" i="6" s="1"/>
  <c r="L110" i="6"/>
  <c r="L111" i="6"/>
  <c r="J111" i="6" s="1"/>
  <c r="L112" i="6"/>
  <c r="J112" i="6" s="1"/>
  <c r="L113" i="6"/>
  <c r="J113" i="6" s="1"/>
  <c r="L114" i="6"/>
  <c r="J114" i="6" s="1"/>
  <c r="L115" i="6"/>
  <c r="J115" i="6" s="1"/>
  <c r="L116" i="6"/>
  <c r="J116" i="6" s="1"/>
  <c r="L117" i="6"/>
  <c r="J117" i="6" s="1"/>
  <c r="L118" i="6"/>
  <c r="J118" i="6" s="1"/>
  <c r="L119" i="6"/>
  <c r="J119" i="6" s="1"/>
  <c r="L120" i="6"/>
  <c r="J120" i="6" s="1"/>
  <c r="L121" i="6"/>
  <c r="J121" i="6" s="1"/>
  <c r="L122" i="6"/>
  <c r="L123" i="6"/>
  <c r="J123" i="6" s="1"/>
  <c r="L124" i="6"/>
  <c r="J124" i="6" s="1"/>
  <c r="L125" i="6"/>
  <c r="L126" i="6"/>
  <c r="J126" i="6" s="1"/>
  <c r="L127" i="6"/>
  <c r="J127" i="6" s="1"/>
  <c r="L128" i="6"/>
  <c r="J128" i="6" s="1"/>
  <c r="L129" i="6"/>
  <c r="J129" i="6" s="1"/>
  <c r="L130" i="6"/>
  <c r="L131" i="6"/>
  <c r="L132" i="6"/>
  <c r="J132" i="6" s="1"/>
  <c r="L133" i="6"/>
  <c r="J133" i="6" s="1"/>
  <c r="L134" i="6"/>
  <c r="J134" i="6" s="1"/>
  <c r="L135" i="6"/>
  <c r="J135" i="6" s="1"/>
  <c r="L136" i="6"/>
  <c r="J136" i="6" s="1"/>
  <c r="L137" i="6"/>
  <c r="J137" i="6" s="1"/>
  <c r="L138" i="6"/>
  <c r="J138" i="6" s="1"/>
  <c r="L139" i="6"/>
  <c r="L140" i="6"/>
  <c r="J140" i="6" s="1"/>
  <c r="L141" i="6"/>
  <c r="L142" i="6"/>
  <c r="J142" i="6" s="1"/>
  <c r="L143" i="6"/>
  <c r="J143" i="6" s="1"/>
  <c r="L144" i="6"/>
  <c r="J144" i="6" s="1"/>
  <c r="L145" i="6"/>
  <c r="J145" i="6" s="1"/>
  <c r="L146" i="6"/>
  <c r="L147" i="6"/>
  <c r="L148" i="6"/>
  <c r="J148" i="6" s="1"/>
  <c r="L149" i="6"/>
  <c r="L150" i="6"/>
  <c r="J150" i="6" s="1"/>
  <c r="L151" i="6"/>
  <c r="J151" i="6" s="1"/>
  <c r="L152" i="6"/>
  <c r="L153" i="6"/>
  <c r="L154" i="6"/>
  <c r="J154" i="6" s="1"/>
  <c r="L155" i="6"/>
  <c r="J155" i="6" s="1"/>
  <c r="L156" i="6"/>
  <c r="L157" i="6"/>
  <c r="J157" i="6" s="1"/>
  <c r="L158" i="6"/>
  <c r="J158" i="6" s="1"/>
  <c r="L159" i="6"/>
  <c r="J159" i="6" s="1"/>
  <c r="L160" i="6"/>
  <c r="L161" i="6"/>
  <c r="J161" i="6" s="1"/>
  <c r="L162" i="6"/>
  <c r="J162" i="6" s="1"/>
  <c r="L163" i="6"/>
  <c r="L164" i="6"/>
  <c r="J164" i="6" s="1"/>
  <c r="L165" i="6"/>
  <c r="L166" i="6"/>
  <c r="J166" i="6" s="1"/>
  <c r="L167" i="6"/>
  <c r="L168" i="6"/>
  <c r="L169" i="6"/>
  <c r="J169" i="6" s="1"/>
  <c r="L170" i="6"/>
  <c r="J170" i="6" s="1"/>
  <c r="L171" i="6"/>
  <c r="J171" i="6" s="1"/>
  <c r="L172" i="6"/>
  <c r="J172" i="6" s="1"/>
  <c r="L173" i="6"/>
  <c r="L174" i="6"/>
  <c r="L175" i="6"/>
  <c r="J175" i="6" s="1"/>
  <c r="L176" i="6"/>
  <c r="J176" i="6" s="1"/>
  <c r="L177" i="6"/>
  <c r="L178" i="6"/>
  <c r="L186" i="6"/>
  <c r="J186" i="6" s="1"/>
  <c r="L180" i="6"/>
  <c r="J180" i="6" s="1"/>
  <c r="L179" i="6"/>
  <c r="J179" i="6" s="1"/>
  <c r="L185" i="6"/>
  <c r="L183" i="6"/>
  <c r="J183" i="6" s="1"/>
  <c r="L188" i="6"/>
  <c r="L187" i="6"/>
  <c r="J187" i="6" s="1"/>
  <c r="L182" i="6"/>
  <c r="J182" i="6" s="1"/>
  <c r="L181" i="6"/>
  <c r="L184" i="6"/>
  <c r="L189" i="6"/>
  <c r="J189" i="6" s="1"/>
  <c r="L191" i="6"/>
  <c r="J191" i="6" s="1"/>
  <c r="L190" i="6"/>
  <c r="L193" i="6"/>
  <c r="L192" i="6"/>
  <c r="J192" i="6" s="1"/>
  <c r="L194" i="6"/>
  <c r="J194" i="6" s="1"/>
  <c r="L195" i="6"/>
  <c r="J195" i="6" s="1"/>
  <c r="L196" i="6"/>
  <c r="J196" i="6" s="1"/>
  <c r="L197" i="6"/>
  <c r="J197" i="6" s="1"/>
  <c r="L198" i="6"/>
  <c r="L199" i="6"/>
  <c r="J199" i="6" s="1"/>
  <c r="L200" i="6"/>
  <c r="L201" i="6"/>
  <c r="J201" i="6" s="1"/>
  <c r="L202" i="6"/>
  <c r="J202" i="6" s="1"/>
  <c r="L203" i="6"/>
  <c r="L204" i="6"/>
  <c r="L205" i="6"/>
  <c r="J205" i="6" s="1"/>
  <c r="L206" i="6"/>
  <c r="L207" i="6"/>
  <c r="J207" i="6" s="1"/>
  <c r="L208" i="6"/>
  <c r="J208" i="6" s="1"/>
  <c r="L209" i="6"/>
  <c r="L210" i="6"/>
  <c r="L211" i="6"/>
  <c r="J211" i="6" s="1"/>
  <c r="L212" i="6"/>
  <c r="L213" i="6"/>
  <c r="L214" i="6"/>
  <c r="L215" i="6"/>
  <c r="J215" i="6" s="1"/>
  <c r="L216" i="6"/>
  <c r="J216" i="6" s="1"/>
  <c r="L217" i="6"/>
  <c r="J217" i="6" s="1"/>
  <c r="L218" i="6"/>
  <c r="L219" i="6"/>
  <c r="J219" i="6" s="1"/>
  <c r="L220" i="6"/>
  <c r="L221" i="6"/>
  <c r="L222" i="6"/>
  <c r="J222" i="6" s="1"/>
  <c r="L223" i="6"/>
  <c r="J223" i="6" s="1"/>
  <c r="L224" i="6"/>
  <c r="L225" i="6"/>
  <c r="J225" i="6" s="1"/>
  <c r="L226" i="6"/>
  <c r="J226" i="6" s="1"/>
  <c r="L227" i="6"/>
  <c r="L228" i="6"/>
  <c r="J228" i="6" s="1"/>
  <c r="L229" i="6"/>
  <c r="L230" i="6"/>
  <c r="L231" i="6"/>
  <c r="L232" i="6"/>
  <c r="J232" i="6" s="1"/>
  <c r="L233" i="6"/>
  <c r="J233" i="6" s="1"/>
  <c r="L234" i="6"/>
  <c r="J234" i="6" s="1"/>
  <c r="L235" i="6"/>
  <c r="L236" i="6"/>
  <c r="L237" i="6"/>
  <c r="J237" i="6" s="1"/>
  <c r="L238" i="6"/>
  <c r="J238" i="6" s="1"/>
  <c r="L239" i="6"/>
  <c r="L240" i="6"/>
  <c r="J240" i="6" s="1"/>
  <c r="L241" i="6"/>
  <c r="L242" i="6"/>
  <c r="L243" i="6"/>
  <c r="L244" i="6"/>
  <c r="J244" i="6" s="1"/>
  <c r="L245" i="6"/>
  <c r="J245" i="6" s="1"/>
  <c r="L246" i="6"/>
  <c r="J246" i="6" s="1"/>
  <c r="L247" i="6"/>
  <c r="J247" i="6" s="1"/>
  <c r="L248" i="6"/>
  <c r="L249" i="6"/>
  <c r="J249" i="6" s="1"/>
  <c r="L250" i="6"/>
  <c r="L251" i="6"/>
  <c r="J251" i="6" s="1"/>
  <c r="L252" i="6"/>
  <c r="J252" i="6" s="1"/>
  <c r="L253" i="6"/>
  <c r="L254" i="6"/>
  <c r="J254" i="6" s="1"/>
  <c r="L255" i="6"/>
  <c r="J255" i="6" s="1"/>
  <c r="L256" i="6"/>
  <c r="L257" i="6"/>
  <c r="J257" i="6" s="1"/>
  <c r="L258" i="6"/>
  <c r="J258" i="6" s="1"/>
  <c r="L259" i="6"/>
  <c r="L260" i="6"/>
  <c r="J260" i="6" s="1"/>
  <c r="L261" i="6"/>
  <c r="J261" i="6" s="1"/>
  <c r="L262" i="6"/>
  <c r="L263" i="6"/>
  <c r="J263" i="6" s="1"/>
  <c r="L264" i="6"/>
  <c r="L265" i="6"/>
  <c r="J265" i="6" s="1"/>
  <c r="L266" i="6"/>
  <c r="J266" i="6" s="1"/>
  <c r="L267" i="6"/>
  <c r="J267" i="6" s="1"/>
  <c r="L268" i="6"/>
  <c r="L269" i="6"/>
  <c r="J269" i="6" s="1"/>
  <c r="L270" i="6"/>
  <c r="J270" i="6" s="1"/>
  <c r="L271" i="6"/>
  <c r="L272" i="6"/>
  <c r="L273" i="6"/>
  <c r="J273" i="6" s="1"/>
  <c r="L274" i="6"/>
  <c r="J274" i="6" s="1"/>
  <c r="L275" i="6"/>
  <c r="L276" i="6"/>
  <c r="J276" i="6" s="1"/>
  <c r="L277" i="6"/>
  <c r="L278" i="6"/>
  <c r="J278" i="6" s="1"/>
  <c r="L279" i="6"/>
  <c r="J279" i="6" s="1"/>
  <c r="L280" i="6"/>
  <c r="L281" i="6"/>
  <c r="J281" i="6" s="1"/>
  <c r="L282" i="6"/>
  <c r="J282" i="6" s="1"/>
  <c r="L283" i="6"/>
  <c r="L284" i="6"/>
  <c r="J284" i="6" s="1"/>
  <c r="L285" i="6"/>
  <c r="J285" i="6" s="1"/>
  <c r="L286" i="6"/>
  <c r="J286" i="6" s="1"/>
  <c r="L289" i="6"/>
  <c r="L290" i="6"/>
  <c r="J290" i="6" s="1"/>
  <c r="L291" i="6"/>
  <c r="J291" i="6" s="1"/>
  <c r="L287" i="6"/>
  <c r="J287" i="6" s="1"/>
  <c r="L288" i="6"/>
  <c r="J288" i="6" s="1"/>
  <c r="L292" i="6"/>
  <c r="L293" i="6"/>
  <c r="J293" i="6" s="1"/>
  <c r="L294" i="6"/>
  <c r="J294" i="6" s="1"/>
  <c r="L295" i="6"/>
  <c r="J295" i="6" s="1"/>
  <c r="L296" i="6"/>
  <c r="L297" i="6"/>
  <c r="L298" i="6"/>
  <c r="J298" i="6" s="1"/>
  <c r="L299" i="6"/>
  <c r="L300" i="6"/>
  <c r="L301" i="6"/>
  <c r="J301" i="6" s="1"/>
  <c r="L302" i="6"/>
  <c r="J302" i="6" s="1"/>
  <c r="L303" i="6"/>
  <c r="J303" i="6" s="1"/>
  <c r="L304" i="6"/>
  <c r="J304" i="6" s="1"/>
  <c r="L305" i="6"/>
  <c r="L306" i="6"/>
  <c r="J306" i="6" s="1"/>
  <c r="L307" i="6"/>
  <c r="J307" i="6" s="1"/>
  <c r="L308" i="6"/>
  <c r="J308" i="6" s="1"/>
  <c r="L309" i="6"/>
  <c r="J309" i="6" s="1"/>
  <c r="L310" i="6"/>
  <c r="L311" i="6"/>
  <c r="J311" i="6" s="1"/>
  <c r="L312" i="6"/>
  <c r="J312" i="6" s="1"/>
  <c r="L313" i="6"/>
  <c r="L314" i="6"/>
  <c r="J314" i="6" s="1"/>
  <c r="L315" i="6"/>
  <c r="J315" i="6" s="1"/>
  <c r="L316" i="6"/>
  <c r="J316" i="6" s="1"/>
  <c r="L317" i="6"/>
  <c r="J317" i="6" s="1"/>
  <c r="L318" i="6"/>
  <c r="L319" i="6"/>
  <c r="L320" i="6"/>
  <c r="J320" i="6" s="1"/>
  <c r="L321" i="6"/>
  <c r="J321" i="6" s="1"/>
  <c r="L322" i="6"/>
  <c r="J322" i="6" s="1"/>
  <c r="L323" i="6"/>
  <c r="J323" i="6" s="1"/>
  <c r="L324" i="6"/>
  <c r="L325" i="6"/>
  <c r="J325" i="6" s="1"/>
  <c r="L326" i="6"/>
  <c r="L327" i="6"/>
  <c r="J327" i="6" s="1"/>
  <c r="L328" i="6"/>
  <c r="L329" i="6"/>
  <c r="L330" i="6"/>
  <c r="J330" i="6" s="1"/>
  <c r="L331" i="6"/>
  <c r="L332" i="6"/>
  <c r="J332" i="6" s="1"/>
  <c r="L333" i="6"/>
  <c r="J333" i="6" s="1"/>
  <c r="L334" i="6"/>
  <c r="J334" i="6" s="1"/>
  <c r="L335" i="6"/>
  <c r="L336" i="6"/>
  <c r="J336" i="6" s="1"/>
  <c r="L337" i="6"/>
  <c r="J337" i="6" s="1"/>
  <c r="L338" i="6"/>
  <c r="L339" i="6"/>
  <c r="L340" i="6"/>
  <c r="L341" i="6"/>
  <c r="J341" i="6" s="1"/>
  <c r="L342" i="6"/>
  <c r="J342" i="6" s="1"/>
  <c r="L343" i="6"/>
  <c r="L344" i="6"/>
  <c r="J344" i="6" s="1"/>
  <c r="L345" i="6"/>
  <c r="L346" i="6"/>
  <c r="J346" i="6" s="1"/>
  <c r="L347" i="6"/>
  <c r="J347" i="6" s="1"/>
  <c r="L350" i="6"/>
  <c r="L348" i="6"/>
  <c r="L353" i="6"/>
  <c r="J353" i="6" s="1"/>
  <c r="L352" i="6"/>
  <c r="L351" i="6"/>
  <c r="J351" i="6" s="1"/>
  <c r="L349" i="6"/>
  <c r="J349" i="6" s="1"/>
  <c r="L354" i="6"/>
  <c r="J354" i="6" s="1"/>
  <c r="L355" i="6"/>
  <c r="L356" i="6"/>
  <c r="L357" i="6"/>
  <c r="J357" i="6" s="1"/>
  <c r="L358" i="6"/>
  <c r="J358" i="6" s="1"/>
  <c r="L359" i="6"/>
  <c r="L360" i="6"/>
  <c r="L361" i="6"/>
  <c r="J361" i="6" s="1"/>
  <c r="L362" i="6"/>
  <c r="J362" i="6" s="1"/>
  <c r="L363" i="6"/>
  <c r="J363" i="6" s="1"/>
  <c r="L364" i="6"/>
  <c r="L365" i="6"/>
  <c r="J365" i="6" s="1"/>
  <c r="L366" i="6"/>
  <c r="L367" i="6"/>
  <c r="J367" i="6" s="1"/>
  <c r="L368" i="6"/>
  <c r="L369" i="6"/>
  <c r="J369" i="6" s="1"/>
  <c r="L370" i="6"/>
  <c r="J370" i="6" s="1"/>
  <c r="L371" i="6"/>
  <c r="J371" i="6" s="1"/>
  <c r="L372" i="6"/>
  <c r="J372" i="6" s="1"/>
  <c r="L373" i="6"/>
  <c r="J373" i="6" s="1"/>
  <c r="L374" i="6"/>
  <c r="J374" i="6" s="1"/>
  <c r="L375" i="6"/>
  <c r="J375" i="6" s="1"/>
  <c r="L376" i="6"/>
  <c r="L377" i="6"/>
  <c r="J377" i="6" s="1"/>
  <c r="L378" i="6"/>
  <c r="J378" i="6" s="1"/>
  <c r="L379" i="6"/>
  <c r="L380" i="6"/>
  <c r="J380" i="6" s="1"/>
  <c r="L381" i="6"/>
  <c r="J381" i="6" s="1"/>
  <c r="L382" i="6"/>
  <c r="J382" i="6" s="1"/>
  <c r="L383" i="6"/>
  <c r="L384" i="6"/>
  <c r="J384" i="6" s="1"/>
  <c r="L385" i="6"/>
  <c r="J385" i="6" s="1"/>
  <c r="L386" i="6"/>
  <c r="L387" i="6"/>
  <c r="J387" i="6" s="1"/>
  <c r="L388" i="6"/>
  <c r="J388" i="6" s="1"/>
  <c r="L389" i="6"/>
  <c r="L390" i="6"/>
  <c r="L391" i="6"/>
  <c r="J391" i="6" s="1"/>
  <c r="L392" i="6"/>
  <c r="L393" i="6"/>
  <c r="L394" i="6"/>
  <c r="J394" i="6" s="1"/>
  <c r="L395" i="6"/>
  <c r="J395" i="6" s="1"/>
  <c r="L396" i="6"/>
  <c r="J396" i="6" s="1"/>
  <c r="L397" i="6"/>
  <c r="J397" i="6" s="1"/>
  <c r="L398" i="6"/>
  <c r="J398" i="6" s="1"/>
  <c r="L399" i="6"/>
  <c r="J399" i="6" s="1"/>
  <c r="L400" i="6"/>
  <c r="J400" i="6" s="1"/>
  <c r="L401" i="6"/>
  <c r="L402" i="6"/>
  <c r="J402" i="6" s="1"/>
  <c r="L403" i="6"/>
  <c r="J403" i="6" s="1"/>
  <c r="L404" i="6"/>
  <c r="J404" i="6" s="1"/>
  <c r="L405" i="6"/>
  <c r="J405" i="6" s="1"/>
  <c r="L406" i="6"/>
  <c r="J406" i="6" s="1"/>
  <c r="L407" i="6"/>
  <c r="J407" i="6" s="1"/>
  <c r="L408" i="6"/>
  <c r="J408" i="6" s="1"/>
  <c r="L409" i="6"/>
  <c r="J409" i="6" s="1"/>
  <c r="L410" i="6"/>
  <c r="J410" i="6" s="1"/>
  <c r="L411" i="6"/>
  <c r="J411" i="6" s="1"/>
  <c r="L412" i="6"/>
  <c r="J412" i="6" s="1"/>
  <c r="L413" i="6"/>
  <c r="J413" i="6" s="1"/>
  <c r="L414" i="6"/>
  <c r="J414" i="6" s="1"/>
  <c r="L415" i="6"/>
  <c r="J415" i="6" s="1"/>
  <c r="L416" i="6"/>
  <c r="J416" i="6" s="1"/>
  <c r="L417" i="6"/>
  <c r="J417" i="6" s="1"/>
  <c r="L418" i="6"/>
  <c r="L419" i="6"/>
  <c r="J419" i="6" s="1"/>
  <c r="N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86" i="6"/>
  <c r="N180" i="6"/>
  <c r="N179" i="6"/>
  <c r="N185" i="6"/>
  <c r="N183" i="6"/>
  <c r="N188" i="6"/>
  <c r="N187" i="6"/>
  <c r="N182" i="6"/>
  <c r="N181" i="6"/>
  <c r="N184" i="6"/>
  <c r="N189" i="6"/>
  <c r="N191" i="6"/>
  <c r="N190" i="6"/>
  <c r="N193" i="6"/>
  <c r="N192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9" i="6"/>
  <c r="N290" i="6"/>
  <c r="N291" i="6"/>
  <c r="N287" i="6"/>
  <c r="N288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50" i="6"/>
  <c r="N348" i="6"/>
  <c r="N353" i="6"/>
  <c r="N352" i="6"/>
  <c r="N351" i="6"/>
  <c r="N349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O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86" i="6"/>
  <c r="O180" i="6"/>
  <c r="O179" i="6"/>
  <c r="O185" i="6"/>
  <c r="O183" i="6"/>
  <c r="O188" i="6"/>
  <c r="O187" i="6"/>
  <c r="O182" i="6"/>
  <c r="O181" i="6"/>
  <c r="O184" i="6"/>
  <c r="O189" i="6"/>
  <c r="O191" i="6"/>
  <c r="O190" i="6"/>
  <c r="O193" i="6"/>
  <c r="O192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254" i="6"/>
  <c r="O255" i="6"/>
  <c r="O256" i="6"/>
  <c r="O257" i="6"/>
  <c r="O258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74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9" i="6"/>
  <c r="O290" i="6"/>
  <c r="O291" i="6"/>
  <c r="O287" i="6"/>
  <c r="O288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306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22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38" i="6"/>
  <c r="O339" i="6"/>
  <c r="O340" i="6"/>
  <c r="O341" i="6"/>
  <c r="O342" i="6"/>
  <c r="O343" i="6"/>
  <c r="O344" i="6"/>
  <c r="O345" i="6"/>
  <c r="O346" i="6"/>
  <c r="O347" i="6"/>
  <c r="O350" i="6"/>
  <c r="O348" i="6"/>
  <c r="O353" i="6"/>
  <c r="O352" i="6"/>
  <c r="O351" i="6"/>
  <c r="O349" i="6"/>
  <c r="O354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70" i="6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86" i="6"/>
  <c r="O387" i="6"/>
  <c r="O388" i="6"/>
  <c r="O389" i="6"/>
  <c r="O390" i="6"/>
  <c r="O391" i="6"/>
  <c r="O392" i="6"/>
  <c r="O393" i="6"/>
  <c r="O394" i="6"/>
  <c r="O395" i="6"/>
  <c r="O396" i="6"/>
  <c r="O397" i="6"/>
  <c r="O398" i="6"/>
  <c r="O399" i="6"/>
  <c r="O400" i="6"/>
  <c r="O401" i="6"/>
  <c r="O402" i="6"/>
  <c r="O403" i="6"/>
  <c r="O404" i="6"/>
  <c r="O405" i="6"/>
  <c r="O406" i="6"/>
  <c r="O407" i="6"/>
  <c r="O408" i="6"/>
  <c r="O409" i="6"/>
  <c r="O410" i="6"/>
  <c r="O411" i="6"/>
  <c r="O412" i="6"/>
  <c r="O413" i="6"/>
  <c r="O414" i="6"/>
  <c r="O415" i="6"/>
  <c r="O416" i="6"/>
  <c r="O417" i="6"/>
  <c r="O418" i="6"/>
  <c r="O419" i="6"/>
  <c r="I118" i="10" l="1"/>
  <c r="J118" i="10"/>
  <c r="K118" i="10"/>
  <c r="L118" i="10"/>
  <c r="K1499" i="14"/>
  <c r="K1498" i="14"/>
  <c r="K1497" i="14"/>
  <c r="K1496" i="14"/>
  <c r="K1495" i="14"/>
  <c r="K1494" i="14"/>
  <c r="B416" i="13"/>
  <c r="H416" i="13"/>
  <c r="B415" i="13"/>
  <c r="H415" i="13"/>
  <c r="B414" i="13"/>
  <c r="H414" i="13"/>
  <c r="B413" i="13"/>
  <c r="H413" i="13"/>
  <c r="E2" i="18" l="1" a="1"/>
  <c r="E2" i="18" s="1"/>
  <c r="E3" i="18" a="1"/>
  <c r="E3" i="18" s="1"/>
  <c r="I117" i="10" l="1"/>
  <c r="J117" i="10"/>
  <c r="K117" i="10"/>
  <c r="L117" i="10"/>
  <c r="K1493" i="14" l="1"/>
  <c r="B412" i="13"/>
  <c r="H412" i="13"/>
  <c r="I116" i="10"/>
  <c r="J116" i="10"/>
  <c r="K116" i="10"/>
  <c r="L116" i="10"/>
  <c r="K1410" i="14" l="1"/>
  <c r="K1409" i="14"/>
  <c r="K1408" i="14"/>
  <c r="K1407" i="14"/>
  <c r="K1406" i="14"/>
  <c r="B411" i="13" l="1"/>
  <c r="H411" i="13"/>
  <c r="K1491" i="14"/>
  <c r="B410" i="13"/>
  <c r="H410" i="13"/>
  <c r="K1490" i="14"/>
  <c r="K1482" i="14"/>
  <c r="K1489" i="14"/>
  <c r="K1488" i="14"/>
  <c r="K1487" i="14"/>
  <c r="K1486" i="14"/>
  <c r="K1485" i="14"/>
  <c r="K1484" i="14"/>
  <c r="K1483" i="14"/>
  <c r="B409" i="13"/>
  <c r="H409" i="13"/>
  <c r="B408" i="13"/>
  <c r="H408" i="13"/>
  <c r="B407" i="13"/>
  <c r="H407" i="13"/>
  <c r="B406" i="13"/>
  <c r="H406" i="13"/>
  <c r="B405" i="13"/>
  <c r="H405" i="13"/>
  <c r="B404" i="13"/>
  <c r="H404" i="13"/>
  <c r="B403" i="13"/>
  <c r="H403" i="13"/>
  <c r="B402" i="13"/>
  <c r="H402" i="13"/>
  <c r="B401" i="13"/>
  <c r="H401" i="13"/>
  <c r="B400" i="13" l="1"/>
  <c r="H400" i="13"/>
  <c r="K1481" i="14"/>
  <c r="K1443" i="14"/>
  <c r="K1480" i="14" l="1"/>
  <c r="K1479" i="14"/>
  <c r="K1478" i="14"/>
  <c r="K1477" i="14"/>
  <c r="K1476" i="14"/>
  <c r="K1475" i="14"/>
  <c r="K1474" i="14"/>
  <c r="K1473" i="14"/>
  <c r="K1472" i="14"/>
  <c r="K1471" i="14"/>
  <c r="K1470" i="14"/>
  <c r="K1469" i="14"/>
  <c r="K1468" i="14"/>
  <c r="K1467" i="14"/>
  <c r="K1466" i="14"/>
  <c r="K1465" i="14"/>
  <c r="K1464" i="14"/>
  <c r="K1463" i="14"/>
  <c r="K1462" i="14"/>
  <c r="K1461" i="14"/>
  <c r="K1460" i="14"/>
  <c r="K1459" i="14"/>
  <c r="K1458" i="14"/>
  <c r="K1457" i="14"/>
  <c r="I115" i="10"/>
  <c r="J115" i="10"/>
  <c r="K115" i="10"/>
  <c r="L115" i="10"/>
  <c r="K1456" i="14"/>
  <c r="K1455" i="14"/>
  <c r="K1454" i="14"/>
  <c r="K1453" i="14"/>
  <c r="K1452" i="14"/>
  <c r="K1451" i="14"/>
  <c r="K1450" i="14"/>
  <c r="K1449" i="14"/>
  <c r="K1448" i="14"/>
  <c r="K1447" i="14"/>
  <c r="K1446" i="14"/>
  <c r="K1445" i="14"/>
  <c r="K1444" i="14"/>
  <c r="B399" i="13"/>
  <c r="H399" i="13"/>
  <c r="B398" i="13"/>
  <c r="H398" i="13"/>
  <c r="B397" i="13"/>
  <c r="H397" i="13"/>
  <c r="B396" i="13"/>
  <c r="H396" i="13"/>
  <c r="B395" i="13"/>
  <c r="H395" i="13"/>
  <c r="B394" i="13"/>
  <c r="H394" i="13"/>
  <c r="B393" i="13"/>
  <c r="H393" i="13"/>
  <c r="B392" i="13"/>
  <c r="H392" i="13"/>
  <c r="B391" i="13"/>
  <c r="H391" i="13"/>
  <c r="B390" i="13"/>
  <c r="H390" i="13"/>
  <c r="B389" i="13"/>
  <c r="H389" i="13"/>
  <c r="B388" i="13"/>
  <c r="H388" i="13"/>
  <c r="B387" i="13"/>
  <c r="H387" i="13"/>
  <c r="B386" i="13"/>
  <c r="H386" i="13"/>
  <c r="B385" i="13"/>
  <c r="H385" i="13"/>
  <c r="B384" i="13"/>
  <c r="H384" i="13"/>
  <c r="B383" i="13"/>
  <c r="H383" i="13"/>
  <c r="B382" i="13"/>
  <c r="H382" i="13"/>
  <c r="B381" i="13"/>
  <c r="H381" i="13"/>
  <c r="B380" i="13"/>
  <c r="H380" i="13"/>
  <c r="B379" i="13"/>
  <c r="H379" i="13"/>
  <c r="B378" i="13"/>
  <c r="H378" i="13"/>
  <c r="B377" i="13"/>
  <c r="H377" i="13"/>
  <c r="B376" i="13"/>
  <c r="H376" i="13"/>
  <c r="B375" i="13"/>
  <c r="H375" i="13"/>
  <c r="B374" i="13"/>
  <c r="H374" i="13"/>
  <c r="B373" i="13"/>
  <c r="H373" i="13"/>
  <c r="B372" i="13"/>
  <c r="H372" i="13"/>
  <c r="B371" i="13"/>
  <c r="H371" i="13"/>
  <c r="B370" i="13"/>
  <c r="H370" i="13"/>
  <c r="B369" i="13"/>
  <c r="H369" i="13"/>
  <c r="B368" i="13"/>
  <c r="H368" i="13"/>
  <c r="B367" i="13"/>
  <c r="H367" i="13"/>
  <c r="B366" i="13"/>
  <c r="H366" i="13"/>
  <c r="B365" i="13"/>
  <c r="H365" i="13"/>
  <c r="B364" i="13"/>
  <c r="H364" i="13"/>
  <c r="K1442" i="14" l="1"/>
  <c r="K1441" i="14"/>
  <c r="K1440" i="14"/>
  <c r="B363" i="13"/>
  <c r="H363" i="13"/>
  <c r="B362" i="13"/>
  <c r="H362" i="13"/>
  <c r="B361" i="13"/>
  <c r="H361" i="13"/>
  <c r="B360" i="13" l="1"/>
  <c r="H360" i="13"/>
  <c r="B359" i="13"/>
  <c r="H359" i="13"/>
  <c r="B358" i="13"/>
  <c r="H358" i="13"/>
  <c r="B357" i="13"/>
  <c r="H357" i="13"/>
  <c r="B356" i="13"/>
  <c r="H356" i="13"/>
  <c r="B355" i="13"/>
  <c r="H355" i="13"/>
  <c r="B354" i="13"/>
  <c r="H354" i="13"/>
  <c r="B353" i="13"/>
  <c r="H353" i="13"/>
  <c r="B352" i="13" l="1"/>
  <c r="H352" i="13"/>
  <c r="K1435" i="14" l="1"/>
  <c r="K1419" i="14"/>
  <c r="K1418" i="14"/>
  <c r="K1417" i="14"/>
  <c r="K1416" i="14"/>
  <c r="K1415" i="14"/>
  <c r="K1414" i="14"/>
  <c r="K1413" i="14"/>
  <c r="K1412" i="14"/>
  <c r="K1429" i="14"/>
  <c r="K1428" i="14"/>
  <c r="K1427" i="14"/>
  <c r="K1420" i="14"/>
  <c r="K1426" i="14"/>
  <c r="K1425" i="14"/>
  <c r="K1424" i="14"/>
  <c r="K1422" i="14"/>
  <c r="K1421" i="14"/>
  <c r="B351" i="13"/>
  <c r="H351" i="13"/>
  <c r="B350" i="13"/>
  <c r="H350" i="13"/>
  <c r="B349" i="13"/>
  <c r="H349" i="13"/>
  <c r="B348" i="13"/>
  <c r="H348" i="13"/>
  <c r="B347" i="13"/>
  <c r="H347" i="13"/>
  <c r="B346" i="13"/>
  <c r="H346" i="13"/>
  <c r="B345" i="13"/>
  <c r="H345" i="13"/>
  <c r="B344" i="13"/>
  <c r="H344" i="13"/>
  <c r="B343" i="13"/>
  <c r="H343" i="13"/>
  <c r="B342" i="13"/>
  <c r="H342" i="13"/>
  <c r="B341" i="13"/>
  <c r="H341" i="13"/>
  <c r="B340" i="13"/>
  <c r="H340" i="13"/>
  <c r="B339" i="13"/>
  <c r="H339" i="13"/>
  <c r="B338" i="13"/>
  <c r="H338" i="13"/>
  <c r="B337" i="13"/>
  <c r="H337" i="13"/>
  <c r="B336" i="13"/>
  <c r="H336" i="13"/>
  <c r="K1438" i="14"/>
  <c r="K1439" i="14"/>
  <c r="K1437" i="14"/>
  <c r="K1436" i="14"/>
  <c r="K1434" i="14"/>
  <c r="K1433" i="14"/>
  <c r="K1432" i="14"/>
  <c r="K1431" i="14"/>
  <c r="K1430" i="14"/>
  <c r="B335" i="13" l="1"/>
  <c r="H335" i="13"/>
  <c r="B334" i="13"/>
  <c r="H334" i="13"/>
  <c r="B333" i="13"/>
  <c r="H333" i="13"/>
  <c r="B332" i="13"/>
  <c r="H332" i="13"/>
  <c r="B331" i="13"/>
  <c r="H331" i="13"/>
  <c r="B330" i="13"/>
  <c r="H330" i="13"/>
  <c r="B329" i="13"/>
  <c r="H329" i="13"/>
  <c r="B328" i="13"/>
  <c r="H328" i="13"/>
  <c r="B327" i="13"/>
  <c r="H327" i="13"/>
  <c r="B326" i="13"/>
  <c r="H326" i="13"/>
  <c r="K1411" i="14" l="1"/>
  <c r="I113" i="10" l="1"/>
  <c r="J113" i="10"/>
  <c r="K113" i="10"/>
  <c r="L113" i="10"/>
  <c r="B325" i="13"/>
  <c r="H325" i="13"/>
  <c r="B324" i="13"/>
  <c r="H324" i="13"/>
  <c r="B323" i="13"/>
  <c r="H323" i="13"/>
  <c r="B322" i="13"/>
  <c r="H322" i="13"/>
  <c r="B321" i="13"/>
  <c r="H321" i="13"/>
  <c r="B320" i="13"/>
  <c r="H320" i="13"/>
  <c r="B319" i="13"/>
  <c r="H319" i="13"/>
  <c r="B318" i="13"/>
  <c r="H318" i="13"/>
  <c r="B317" i="13"/>
  <c r="H317" i="13"/>
  <c r="B316" i="13"/>
  <c r="H316" i="13"/>
  <c r="B315" i="13"/>
  <c r="H315" i="13"/>
  <c r="B314" i="13"/>
  <c r="H314" i="13"/>
  <c r="B313" i="13"/>
  <c r="H313" i="13"/>
  <c r="B312" i="13"/>
  <c r="H312" i="13"/>
  <c r="B311" i="13"/>
  <c r="H311" i="13"/>
  <c r="B310" i="13"/>
  <c r="H310" i="13"/>
  <c r="K1388" i="14"/>
  <c r="K1387" i="14"/>
  <c r="K1309" i="14"/>
  <c r="K1386" i="14"/>
  <c r="K1384" i="14"/>
  <c r="K1383" i="14"/>
  <c r="K1382" i="14"/>
  <c r="K1381" i="14"/>
  <c r="I114" i="10"/>
  <c r="J114" i="10"/>
  <c r="K114" i="10"/>
  <c r="L114" i="10"/>
  <c r="K1380" i="14"/>
  <c r="K1379" i="14"/>
  <c r="K1378" i="14"/>
  <c r="K1377" i="14"/>
  <c r="K1376" i="14"/>
  <c r="K1375" i="14"/>
  <c r="K1374" i="14"/>
  <c r="K1369" i="14"/>
  <c r="I112" i="10"/>
  <c r="J112" i="10"/>
  <c r="K112" i="10"/>
  <c r="L112" i="10"/>
  <c r="K1365" i="14"/>
  <c r="B309" i="13"/>
  <c r="H309" i="13"/>
  <c r="B308" i="13"/>
  <c r="H308" i="13"/>
  <c r="B307" i="13"/>
  <c r="H307" i="13"/>
  <c r="B306" i="13"/>
  <c r="H306" i="13"/>
  <c r="B305" i="13"/>
  <c r="H305" i="13"/>
  <c r="B304" i="13"/>
  <c r="H304" i="13"/>
  <c r="B303" i="13"/>
  <c r="H303" i="13"/>
  <c r="B302" i="13"/>
  <c r="H302" i="13"/>
  <c r="B301" i="13"/>
  <c r="H301" i="13"/>
  <c r="B300" i="13"/>
  <c r="H300" i="13"/>
  <c r="B299" i="13"/>
  <c r="H299" i="13"/>
  <c r="B298" i="13"/>
  <c r="H298" i="13"/>
  <c r="B297" i="13"/>
  <c r="H297" i="13"/>
  <c r="B296" i="13"/>
  <c r="H296" i="13"/>
  <c r="B295" i="13"/>
  <c r="H295" i="13"/>
  <c r="B294" i="13"/>
  <c r="H294" i="13"/>
  <c r="K1405" i="14"/>
  <c r="K1404" i="14"/>
  <c r="K1403" i="14"/>
  <c r="K1402" i="14"/>
  <c r="K1401" i="14"/>
  <c r="K1390" i="14"/>
  <c r="B293" i="13"/>
  <c r="H293" i="13"/>
  <c r="K1400" i="14"/>
  <c r="K1399" i="14"/>
  <c r="K1354" i="14"/>
  <c r="K1398" i="14"/>
  <c r="K1397" i="14"/>
  <c r="K1396" i="14"/>
  <c r="K1395" i="14"/>
  <c r="K1394" i="14"/>
  <c r="K1393" i="14"/>
  <c r="K1392" i="14"/>
  <c r="K1391" i="14"/>
  <c r="B292" i="13" l="1"/>
  <c r="H292" i="13"/>
  <c r="B291" i="13"/>
  <c r="H291" i="13"/>
  <c r="B290" i="13"/>
  <c r="H290" i="13"/>
  <c r="B289" i="13"/>
  <c r="H289" i="13"/>
  <c r="B288" i="13"/>
  <c r="H288" i="13"/>
  <c r="B287" i="13"/>
  <c r="H287" i="13"/>
  <c r="B286" i="13"/>
  <c r="H286" i="13"/>
  <c r="B285" i="13"/>
  <c r="H285" i="13"/>
  <c r="B284" i="13"/>
  <c r="H284" i="13"/>
  <c r="B283" i="13"/>
  <c r="H283" i="13"/>
  <c r="K1275" i="14"/>
  <c r="K1304" i="14"/>
  <c r="K1181" i="14"/>
  <c r="K1176" i="14"/>
  <c r="K1138" i="14"/>
  <c r="K181" i="14"/>
  <c r="K179" i="14"/>
  <c r="K178" i="14"/>
  <c r="K177" i="14"/>
  <c r="I111" i="10" l="1"/>
  <c r="J111" i="10"/>
  <c r="K111" i="10"/>
  <c r="L111" i="10"/>
  <c r="I110" i="10" l="1"/>
  <c r="J110" i="10"/>
  <c r="K110" i="10"/>
  <c r="L110" i="10"/>
  <c r="B282" i="13"/>
  <c r="H282" i="13"/>
  <c r="B281" i="13"/>
  <c r="H281" i="13"/>
  <c r="B280" i="13"/>
  <c r="H280" i="13"/>
  <c r="B279" i="13"/>
  <c r="H279" i="13"/>
  <c r="B278" i="13"/>
  <c r="H278" i="13"/>
  <c r="B277" i="13"/>
  <c r="H277" i="13"/>
  <c r="B276" i="13"/>
  <c r="H276" i="13"/>
  <c r="B275" i="13"/>
  <c r="H275" i="13"/>
  <c r="B274" i="13"/>
  <c r="H274" i="13"/>
  <c r="B273" i="13"/>
  <c r="H273" i="13"/>
  <c r="B272" i="13"/>
  <c r="H272" i="13"/>
  <c r="B271" i="13"/>
  <c r="H271" i="13"/>
  <c r="B270" i="13"/>
  <c r="H270" i="13"/>
  <c r="B269" i="13"/>
  <c r="H269" i="13"/>
  <c r="B268" i="13"/>
  <c r="H268" i="13"/>
  <c r="B267" i="13"/>
  <c r="H267" i="13"/>
  <c r="B266" i="13"/>
  <c r="H266" i="13"/>
  <c r="B265" i="13"/>
  <c r="H265" i="13"/>
  <c r="B264" i="13"/>
  <c r="H264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B263" i="13"/>
  <c r="B262" i="13"/>
  <c r="B261" i="13"/>
  <c r="B260" i="13"/>
  <c r="I107" i="10"/>
  <c r="J107" i="10"/>
  <c r="K107" i="10"/>
  <c r="L107" i="10"/>
  <c r="I109" i="10"/>
  <c r="J109" i="10"/>
  <c r="K109" i="10"/>
  <c r="L109" i="10"/>
  <c r="I108" i="10"/>
  <c r="J108" i="10"/>
  <c r="K108" i="10"/>
  <c r="L108" i="10"/>
  <c r="K176" i="14"/>
  <c r="K175" i="14"/>
  <c r="K174" i="14"/>
  <c r="K173" i="14"/>
  <c r="K172" i="14"/>
  <c r="K171" i="14"/>
  <c r="K170" i="14"/>
  <c r="K169" i="14"/>
  <c r="K1182" i="14"/>
  <c r="K168" i="14"/>
  <c r="K167" i="14"/>
  <c r="K166" i="14"/>
  <c r="I106" i="10"/>
  <c r="J106" i="10"/>
  <c r="K106" i="10"/>
  <c r="L106" i="10"/>
  <c r="K165" i="14"/>
  <c r="K164" i="14"/>
  <c r="K163" i="14"/>
  <c r="K162" i="14"/>
  <c r="K161" i="14"/>
  <c r="K160" i="14"/>
  <c r="K159" i="14"/>
  <c r="K158" i="14"/>
  <c r="K157" i="14"/>
  <c r="K156" i="14"/>
  <c r="K155" i="14"/>
  <c r="K154" i="14"/>
  <c r="I104" i="10" l="1"/>
  <c r="J104" i="10"/>
  <c r="K104" i="10"/>
  <c r="L104" i="10"/>
  <c r="I105" i="10"/>
  <c r="J105" i="10"/>
  <c r="K105" i="10"/>
  <c r="L105" i="10"/>
  <c r="I103" i="10" l="1"/>
  <c r="J103" i="10"/>
  <c r="K103" i="10"/>
  <c r="L103" i="10"/>
  <c r="I102" i="10" l="1"/>
  <c r="J102" i="10"/>
  <c r="K102" i="10"/>
  <c r="L102" i="10"/>
  <c r="I101" i="10" l="1"/>
  <c r="J101" i="10"/>
  <c r="K101" i="10"/>
  <c r="L101" i="10"/>
  <c r="I100" i="10"/>
  <c r="J100" i="10"/>
  <c r="K100" i="10"/>
  <c r="L100" i="10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I99" i="10"/>
  <c r="J99" i="10"/>
  <c r="K99" i="10"/>
  <c r="L99" i="10"/>
  <c r="K1372" i="14"/>
  <c r="I98" i="10"/>
  <c r="J98" i="10"/>
  <c r="K98" i="10"/>
  <c r="L98" i="10"/>
  <c r="I97" i="10" l="1"/>
  <c r="J97" i="10"/>
  <c r="K97" i="10"/>
  <c r="L97" i="10"/>
  <c r="I89" i="10"/>
  <c r="J89" i="10"/>
  <c r="K89" i="10"/>
  <c r="L89" i="10"/>
  <c r="I94" i="10"/>
  <c r="J94" i="10"/>
  <c r="K94" i="10"/>
  <c r="L94" i="10"/>
  <c r="I93" i="10"/>
  <c r="J93" i="10"/>
  <c r="K93" i="10"/>
  <c r="L93" i="10"/>
  <c r="I85" i="10"/>
  <c r="J85" i="10"/>
  <c r="K85" i="10"/>
  <c r="L85" i="10"/>
  <c r="I91" i="10"/>
  <c r="J91" i="10"/>
  <c r="K91" i="10"/>
  <c r="L91" i="10"/>
  <c r="I90" i="10"/>
  <c r="J90" i="10"/>
  <c r="K90" i="10"/>
  <c r="L90" i="10"/>
  <c r="I88" i="10"/>
  <c r="J88" i="10"/>
  <c r="K88" i="10"/>
  <c r="L88" i="10"/>
  <c r="I92" i="10"/>
  <c r="J92" i="10"/>
  <c r="K92" i="10"/>
  <c r="L92" i="10"/>
  <c r="I95" i="10"/>
  <c r="J95" i="10"/>
  <c r="K95" i="10"/>
  <c r="L95" i="10"/>
  <c r="I96" i="10"/>
  <c r="J96" i="10"/>
  <c r="K96" i="10"/>
  <c r="L96" i="10"/>
  <c r="I87" i="10"/>
  <c r="J87" i="10"/>
  <c r="K87" i="10"/>
  <c r="L87" i="10"/>
  <c r="I86" i="10"/>
  <c r="J86" i="10"/>
  <c r="K86" i="10"/>
  <c r="L86" i="10"/>
  <c r="I84" i="10"/>
  <c r="J84" i="10"/>
  <c r="K84" i="10"/>
  <c r="L84" i="10"/>
  <c r="I83" i="10" l="1"/>
  <c r="J83" i="10"/>
  <c r="K83" i="10"/>
  <c r="L83" i="10"/>
  <c r="I82" i="10"/>
  <c r="J82" i="10"/>
  <c r="K82" i="10"/>
  <c r="L82" i="10"/>
  <c r="B259" i="13"/>
  <c r="B258" i="13"/>
  <c r="I78" i="10"/>
  <c r="J78" i="10"/>
  <c r="K78" i="10"/>
  <c r="L78" i="10"/>
  <c r="I81" i="10"/>
  <c r="J81" i="10"/>
  <c r="K81" i="10"/>
  <c r="L81" i="10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7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13" i="14"/>
  <c r="K313" i="14"/>
  <c r="K314" i="14"/>
  <c r="K315" i="14"/>
  <c r="K316" i="14"/>
  <c r="K317" i="14"/>
  <c r="K318" i="14"/>
  <c r="K320" i="14"/>
  <c r="K321" i="14"/>
  <c r="K54" i="14"/>
  <c r="K108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109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114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1001" i="14"/>
  <c r="K1002" i="14"/>
  <c r="K1003" i="14"/>
  <c r="K1004" i="14"/>
  <c r="K1005" i="14"/>
  <c r="K1006" i="14"/>
  <c r="K1007" i="14"/>
  <c r="K1008" i="14"/>
  <c r="K1009" i="14"/>
  <c r="K1010" i="14"/>
  <c r="K1011" i="14"/>
  <c r="K1012" i="14"/>
  <c r="K1013" i="14"/>
  <c r="K1014" i="14"/>
  <c r="K1015" i="14"/>
  <c r="K1016" i="14"/>
  <c r="K1017" i="14"/>
  <c r="K1018" i="14"/>
  <c r="K1019" i="14"/>
  <c r="K1020" i="14"/>
  <c r="K1021" i="14"/>
  <c r="K1022" i="14"/>
  <c r="K1023" i="14"/>
  <c r="K1024" i="14"/>
  <c r="K1025" i="14"/>
  <c r="K1026" i="14"/>
  <c r="K1027" i="14"/>
  <c r="K1028" i="14"/>
  <c r="K1029" i="14"/>
  <c r="K1030" i="14"/>
  <c r="K1031" i="14"/>
  <c r="K1032" i="14"/>
  <c r="K1033" i="14"/>
  <c r="K1034" i="14"/>
  <c r="K1035" i="14"/>
  <c r="K1036" i="14"/>
  <c r="K1037" i="14"/>
  <c r="K1038" i="14"/>
  <c r="K1039" i="14"/>
  <c r="K1040" i="14"/>
  <c r="K1041" i="14"/>
  <c r="K1042" i="14"/>
  <c r="K1043" i="14"/>
  <c r="K1044" i="14"/>
  <c r="K1045" i="14"/>
  <c r="K1046" i="14"/>
  <c r="K1047" i="14"/>
  <c r="K1048" i="14"/>
  <c r="K1049" i="14"/>
  <c r="K1050" i="14"/>
  <c r="K1051" i="14"/>
  <c r="K1052" i="14"/>
  <c r="K1053" i="14"/>
  <c r="K1054" i="14"/>
  <c r="K1055" i="14"/>
  <c r="K1056" i="14"/>
  <c r="K1057" i="14"/>
  <c r="K1058" i="14"/>
  <c r="K1059" i="14"/>
  <c r="K1060" i="14"/>
  <c r="K1061" i="14"/>
  <c r="K1062" i="14"/>
  <c r="K1063" i="14"/>
  <c r="K1064" i="14"/>
  <c r="K1065" i="14"/>
  <c r="K1066" i="14"/>
  <c r="K1067" i="14"/>
  <c r="K1068" i="14"/>
  <c r="K1069" i="14"/>
  <c r="K1070" i="14"/>
  <c r="K1071" i="14"/>
  <c r="K1072" i="14"/>
  <c r="K1073" i="14"/>
  <c r="K1074" i="14"/>
  <c r="K1075" i="14"/>
  <c r="K1076" i="14"/>
  <c r="K1077" i="14"/>
  <c r="K1078" i="14"/>
  <c r="K1079" i="14"/>
  <c r="K1080" i="14"/>
  <c r="K1081" i="14"/>
  <c r="K3" i="14"/>
  <c r="K1082" i="14"/>
  <c r="K180" i="14"/>
  <c r="K1084" i="14"/>
  <c r="K1085" i="14"/>
  <c r="K226" i="14"/>
  <c r="K1087" i="14"/>
  <c r="K31" i="14"/>
  <c r="K1088" i="14"/>
  <c r="K5" i="14"/>
  <c r="K1089" i="14"/>
  <c r="K6" i="14"/>
  <c r="K1090" i="14"/>
  <c r="K32" i="14"/>
  <c r="K1091" i="14"/>
  <c r="K4" i="14"/>
  <c r="K1092" i="14"/>
  <c r="K312" i="14"/>
  <c r="K1094" i="14"/>
  <c r="K1095" i="14"/>
  <c r="K1096" i="14"/>
  <c r="K1097" i="14"/>
  <c r="K1098" i="14"/>
  <c r="K1099" i="14"/>
  <c r="K382" i="14"/>
  <c r="K1101" i="14"/>
  <c r="K1102" i="14"/>
  <c r="K1103" i="14"/>
  <c r="K1104" i="14"/>
  <c r="K24" i="14"/>
  <c r="K1105" i="14"/>
  <c r="K1106" i="14"/>
  <c r="K1107" i="14"/>
  <c r="K1108" i="14"/>
  <c r="K1109" i="14"/>
  <c r="K1373" i="14"/>
  <c r="K323" i="14"/>
  <c r="K1111" i="14"/>
  <c r="K1112" i="14"/>
  <c r="K1113" i="14"/>
  <c r="K1114" i="14"/>
  <c r="K1115" i="14"/>
  <c r="K1116" i="14"/>
  <c r="K1117" i="14"/>
  <c r="K1423" i="14"/>
  <c r="K1118" i="14"/>
  <c r="K1119" i="14"/>
  <c r="K1120" i="14"/>
  <c r="K1121" i="14"/>
  <c r="K1122" i="14"/>
  <c r="K1123" i="14"/>
  <c r="K1124" i="14"/>
  <c r="K810" i="14"/>
  <c r="K1126" i="14"/>
  <c r="K1127" i="14"/>
  <c r="K1128" i="14"/>
  <c r="K1129" i="14"/>
  <c r="K1130" i="14"/>
  <c r="K1131" i="14"/>
  <c r="K1083" i="14"/>
  <c r="K1133" i="14"/>
  <c r="K1134" i="14"/>
  <c r="K1135" i="14"/>
  <c r="K1136" i="14"/>
  <c r="K1137" i="14"/>
  <c r="K1389" i="14"/>
  <c r="K1139" i="14"/>
  <c r="K1140" i="14"/>
  <c r="K14" i="14"/>
  <c r="K1141" i="14"/>
  <c r="K1142" i="14"/>
  <c r="K1143" i="14"/>
  <c r="K1144" i="14"/>
  <c r="K1145" i="14"/>
  <c r="K1146" i="14"/>
  <c r="K1147" i="14"/>
  <c r="K1148" i="14"/>
  <c r="K1149" i="14"/>
  <c r="K1150" i="14"/>
  <c r="K1151" i="14"/>
  <c r="K1152" i="14"/>
  <c r="K1153" i="14"/>
  <c r="K1154" i="14"/>
  <c r="K1155" i="14"/>
  <c r="K1156" i="14"/>
  <c r="K1157" i="14"/>
  <c r="K1158" i="14"/>
  <c r="K1159" i="14"/>
  <c r="K1160" i="14"/>
  <c r="K15" i="14"/>
  <c r="K1161" i="14"/>
  <c r="K1162" i="14"/>
  <c r="K1163" i="14"/>
  <c r="K1164" i="14"/>
  <c r="K1165" i="14"/>
  <c r="K1166" i="14"/>
  <c r="K1167" i="14"/>
  <c r="K1168" i="14"/>
  <c r="K1169" i="14"/>
  <c r="K1170" i="14"/>
  <c r="K1171" i="14"/>
  <c r="K1172" i="14"/>
  <c r="K25" i="14"/>
  <c r="K1173" i="14"/>
  <c r="K1174" i="14"/>
  <c r="K1175" i="14"/>
  <c r="K1100" i="14"/>
  <c r="K1177" i="14"/>
  <c r="K1178" i="14"/>
  <c r="K1179" i="14"/>
  <c r="K1180" i="14"/>
  <c r="K1110" i="14"/>
  <c r="K1125" i="14"/>
  <c r="K1183" i="14"/>
  <c r="K1184" i="14"/>
  <c r="K1185" i="14"/>
  <c r="K1186" i="14"/>
  <c r="K1187" i="14"/>
  <c r="K1132" i="14"/>
  <c r="K1189" i="14"/>
  <c r="K1190" i="14"/>
  <c r="K1191" i="14"/>
  <c r="K1192" i="14"/>
  <c r="K1193" i="14"/>
  <c r="K1194" i="14"/>
  <c r="K1195" i="14"/>
  <c r="K45" i="14"/>
  <c r="K46" i="14"/>
  <c r="K1196" i="14"/>
  <c r="K1197" i="14"/>
  <c r="K1198" i="14"/>
  <c r="K1199" i="14"/>
  <c r="K1200" i="14"/>
  <c r="K1201" i="14"/>
  <c r="K1202" i="14"/>
  <c r="K84" i="14"/>
  <c r="K1203" i="14"/>
  <c r="K33" i="14"/>
  <c r="K1204" i="14"/>
  <c r="K1205" i="14"/>
  <c r="K1206" i="14"/>
  <c r="K1207" i="14"/>
  <c r="K1208" i="14"/>
  <c r="K1209" i="14"/>
  <c r="K1210" i="14"/>
  <c r="K1211" i="14"/>
  <c r="K1212" i="14"/>
  <c r="K1213" i="14"/>
  <c r="K1214" i="14"/>
  <c r="K1215" i="14"/>
  <c r="K1216" i="14"/>
  <c r="K8" i="14"/>
  <c r="K1217" i="14"/>
  <c r="K1218" i="14"/>
  <c r="K1219" i="14"/>
  <c r="K1220" i="14"/>
  <c r="K1221" i="14"/>
  <c r="K1222" i="14"/>
  <c r="K1223" i="14"/>
  <c r="K1224" i="14"/>
  <c r="K1225" i="14"/>
  <c r="K1226" i="14"/>
  <c r="K1227" i="14"/>
  <c r="K1228" i="14"/>
  <c r="K1229" i="14"/>
  <c r="K1230" i="14"/>
  <c r="K1231" i="14"/>
  <c r="K26" i="14"/>
  <c r="K1232" i="14"/>
  <c r="K1233" i="14"/>
  <c r="K1234" i="14"/>
  <c r="K1235" i="14"/>
  <c r="K1236" i="14"/>
  <c r="K1237" i="14"/>
  <c r="K1238" i="14"/>
  <c r="K1239" i="14"/>
  <c r="K1240" i="14"/>
  <c r="K1241" i="14"/>
  <c r="K1242" i="14"/>
  <c r="K1243" i="14"/>
  <c r="K16" i="14"/>
  <c r="K1244" i="14"/>
  <c r="K1245" i="14"/>
  <c r="K1246" i="14"/>
  <c r="K1247" i="14"/>
  <c r="K1248" i="14"/>
  <c r="K1249" i="14"/>
  <c r="K1250" i="14"/>
  <c r="K1251" i="14"/>
  <c r="K1252" i="14"/>
  <c r="K1253" i="14"/>
  <c r="K1254" i="14"/>
  <c r="K1255" i="14"/>
  <c r="K1256" i="14"/>
  <c r="K1257" i="14"/>
  <c r="K1258" i="14"/>
  <c r="K1259" i="14"/>
  <c r="K1260" i="14"/>
  <c r="K1261" i="14"/>
  <c r="K1188" i="14"/>
  <c r="K1263" i="14"/>
  <c r="K1264" i="14"/>
  <c r="K1265" i="14"/>
  <c r="K1266" i="14"/>
  <c r="K1267" i="14"/>
  <c r="K1262" i="14"/>
  <c r="K1269" i="14"/>
  <c r="K1270" i="14"/>
  <c r="K1271" i="14"/>
  <c r="K9" i="14"/>
  <c r="K1272" i="14"/>
  <c r="K1273" i="14"/>
  <c r="K1274" i="14"/>
  <c r="K1268" i="14"/>
  <c r="K1276" i="14"/>
  <c r="K1277" i="14"/>
  <c r="K1278" i="14"/>
  <c r="K1279" i="14"/>
  <c r="K1280" i="14"/>
  <c r="K1281" i="14"/>
  <c r="K1282" i="14"/>
  <c r="K1283" i="14"/>
  <c r="K1284" i="14"/>
  <c r="K1285" i="14"/>
  <c r="K1286" i="14"/>
  <c r="K1287" i="14"/>
  <c r="K1288" i="14"/>
  <c r="K27" i="14"/>
  <c r="K1289" i="14"/>
  <c r="K1290" i="14"/>
  <c r="K1291" i="14"/>
  <c r="K1292" i="14"/>
  <c r="K17" i="14"/>
  <c r="K18" i="14"/>
  <c r="K19" i="14"/>
  <c r="K1293" i="14"/>
  <c r="K20" i="14"/>
  <c r="K1294" i="14"/>
  <c r="K21" i="14"/>
  <c r="K22" i="14"/>
  <c r="K1295" i="14"/>
  <c r="K1296" i="14"/>
  <c r="K1297" i="14"/>
  <c r="K1298" i="14"/>
  <c r="K28" i="14"/>
  <c r="K1299" i="14"/>
  <c r="K1300" i="14"/>
  <c r="K1301" i="14"/>
  <c r="K1302" i="14"/>
  <c r="K2" i="14"/>
  <c r="K29" i="14"/>
  <c r="K30" i="14"/>
  <c r="K1303" i="14"/>
  <c r="K1306" i="14"/>
  <c r="K1305" i="14"/>
  <c r="K115" i="14"/>
  <c r="K1307" i="14"/>
  <c r="K1308" i="14"/>
  <c r="K1368" i="14"/>
  <c r="K1310" i="14"/>
  <c r="K1311" i="14"/>
  <c r="K34" i="14"/>
  <c r="K1312" i="14"/>
  <c r="K1313" i="14"/>
  <c r="K1314" i="14"/>
  <c r="K1315" i="14"/>
  <c r="K1316" i="14"/>
  <c r="K1317" i="14"/>
  <c r="K1318" i="14"/>
  <c r="K1319" i="14"/>
  <c r="K1320" i="14"/>
  <c r="K1321" i="14"/>
  <c r="K1322" i="14"/>
  <c r="K1323" i="14"/>
  <c r="K1324" i="14"/>
  <c r="K10" i="14"/>
  <c r="K1325" i="14"/>
  <c r="K1326" i="14"/>
  <c r="K11" i="14"/>
  <c r="K12" i="14"/>
  <c r="K1327" i="14"/>
  <c r="K1328" i="14"/>
  <c r="K1329" i="14"/>
  <c r="K1330" i="14"/>
  <c r="K1331" i="14"/>
  <c r="K1332" i="14"/>
  <c r="K1333" i="14"/>
  <c r="K1334" i="14"/>
  <c r="K1335" i="14"/>
  <c r="K1336" i="14"/>
  <c r="K1337" i="14"/>
  <c r="K1338" i="14"/>
  <c r="K1339" i="14"/>
  <c r="K1340" i="14"/>
  <c r="K1341" i="14"/>
  <c r="K1342" i="14"/>
  <c r="K1343" i="14"/>
  <c r="K1344" i="14"/>
  <c r="K1345" i="14"/>
  <c r="K1346" i="14"/>
  <c r="K1347" i="14"/>
  <c r="K23" i="14"/>
  <c r="K1348" i="14"/>
  <c r="K1349" i="14"/>
  <c r="K47" i="14"/>
  <c r="K48" i="14"/>
  <c r="K49" i="14"/>
  <c r="K35" i="14"/>
  <c r="K36" i="14"/>
  <c r="K116" i="14"/>
  <c r="K1350" i="14"/>
  <c r="K85" i="14"/>
  <c r="K117" i="14"/>
  <c r="K86" i="14"/>
  <c r="K153" i="14"/>
  <c r="K50" i="14"/>
  <c r="K87" i="14"/>
  <c r="K51" i="14"/>
  <c r="K52" i="14"/>
  <c r="K88" i="14"/>
  <c r="K53" i="14"/>
  <c r="K89" i="14"/>
  <c r="K90" i="14"/>
  <c r="K1351" i="14"/>
  <c r="K83" i="14"/>
  <c r="K118" i="14"/>
  <c r="K119" i="14"/>
  <c r="K55" i="14"/>
  <c r="K56" i="14"/>
  <c r="K57" i="14"/>
  <c r="K58" i="14"/>
  <c r="K59" i="14"/>
  <c r="K120" i="14"/>
  <c r="K1352" i="14"/>
  <c r="K121" i="14"/>
  <c r="K37" i="14"/>
  <c r="K38" i="14"/>
  <c r="K60" i="14"/>
  <c r="K1385" i="14"/>
  <c r="K91" i="14"/>
  <c r="K122" i="14"/>
  <c r="K92" i="14"/>
  <c r="K61" i="14"/>
  <c r="K62" i="14"/>
  <c r="K63" i="14"/>
  <c r="K123" i="14"/>
  <c r="K124" i="14"/>
  <c r="K125" i="14"/>
  <c r="K126" i="14"/>
  <c r="K127" i="14"/>
  <c r="K39" i="14"/>
  <c r="K64" i="14"/>
  <c r="K40" i="14"/>
  <c r="K128" i="14"/>
  <c r="K129" i="14"/>
  <c r="K130" i="14"/>
  <c r="K65" i="14"/>
  <c r="K131" i="14"/>
  <c r="K93" i="14"/>
  <c r="K132" i="14"/>
  <c r="K66" i="14"/>
  <c r="K94" i="14"/>
  <c r="K67" i="14"/>
  <c r="K95" i="14"/>
  <c r="K41" i="14"/>
  <c r="K96" i="14"/>
  <c r="K42" i="14"/>
  <c r="K97" i="14"/>
  <c r="K98" i="14"/>
  <c r="K133" i="14"/>
  <c r="K68" i="14"/>
  <c r="K69" i="14"/>
  <c r="K134" i="14"/>
  <c r="K99" i="14"/>
  <c r="K100" i="14"/>
  <c r="K135" i="14"/>
  <c r="K70" i="14"/>
  <c r="K136" i="14"/>
  <c r="K71" i="14"/>
  <c r="K72" i="14"/>
  <c r="K137" i="14"/>
  <c r="K138" i="14"/>
  <c r="K101" i="14"/>
  <c r="K73" i="14"/>
  <c r="K139" i="14"/>
  <c r="K140" i="14"/>
  <c r="K141" i="14"/>
  <c r="K102" i="14"/>
  <c r="K44" i="14"/>
  <c r="K103" i="14"/>
  <c r="K142" i="14"/>
  <c r="K74" i="14"/>
  <c r="K75" i="14"/>
  <c r="K76" i="14"/>
  <c r="K104" i="14"/>
  <c r="K105" i="14"/>
  <c r="K143" i="14"/>
  <c r="K144" i="14"/>
  <c r="K106" i="14"/>
  <c r="K145" i="14"/>
  <c r="K77" i="14"/>
  <c r="K78" i="14"/>
  <c r="K79" i="14"/>
  <c r="K80" i="14"/>
  <c r="K81" i="14"/>
  <c r="K146" i="14"/>
  <c r="K1353" i="14"/>
  <c r="K147" i="14"/>
  <c r="K148" i="14"/>
  <c r="K149" i="14"/>
  <c r="K150" i="14"/>
  <c r="K107" i="14"/>
  <c r="K151" i="14"/>
  <c r="K110" i="14"/>
  <c r="K43" i="14"/>
  <c r="K112" i="14"/>
  <c r="K82" i="14"/>
  <c r="K113" i="14"/>
  <c r="K111" i="14"/>
  <c r="K1086" i="14"/>
  <c r="K1355" i="14"/>
  <c r="K1356" i="14"/>
  <c r="K1357" i="14"/>
  <c r="K1358" i="14"/>
  <c r="K152" i="14"/>
  <c r="K1359" i="14"/>
  <c r="K1360" i="14"/>
  <c r="K1361" i="14"/>
  <c r="K1362" i="14"/>
  <c r="K1363" i="14"/>
  <c r="K1093" i="14"/>
  <c r="K1364" i="14"/>
  <c r="K1492" i="14"/>
  <c r="K1366" i="14"/>
  <c r="K1367" i="14"/>
  <c r="K319" i="14"/>
  <c r="K322" i="14"/>
  <c r="K1370" i="14"/>
  <c r="K1371" i="14"/>
  <c r="I80" i="10"/>
  <c r="J80" i="10"/>
  <c r="K80" i="10"/>
  <c r="L80" i="10"/>
  <c r="I79" i="10"/>
  <c r="J79" i="10"/>
  <c r="K79" i="10"/>
  <c r="L79" i="10"/>
  <c r="I77" i="10"/>
  <c r="J77" i="10"/>
  <c r="K77" i="10"/>
  <c r="L77" i="10"/>
  <c r="I76" i="10"/>
  <c r="J76" i="10"/>
  <c r="K76" i="10"/>
  <c r="L76" i="10"/>
  <c r="I75" i="10"/>
  <c r="J75" i="10"/>
  <c r="K75" i="10"/>
  <c r="L75" i="10"/>
  <c r="I74" i="10" l="1"/>
  <c r="J74" i="10"/>
  <c r="K74" i="10"/>
  <c r="L74" i="10"/>
  <c r="I73" i="10"/>
  <c r="J73" i="10"/>
  <c r="K73" i="10"/>
  <c r="L73" i="10"/>
  <c r="I72" i="10" l="1"/>
  <c r="J72" i="10"/>
  <c r="K72" i="10"/>
  <c r="L72" i="10"/>
  <c r="I70" i="10" l="1"/>
  <c r="J70" i="10"/>
  <c r="K70" i="10"/>
  <c r="L70" i="10"/>
  <c r="I71" i="10"/>
  <c r="J71" i="10"/>
  <c r="K71" i="10"/>
  <c r="L71" i="10"/>
  <c r="I67" i="10"/>
  <c r="J67" i="10"/>
  <c r="K67" i="10"/>
  <c r="L67" i="10"/>
  <c r="I66" i="10"/>
  <c r="J66" i="10"/>
  <c r="K66" i="10"/>
  <c r="L66" i="10"/>
  <c r="I41" i="10" l="1"/>
  <c r="J41" i="10"/>
  <c r="K41" i="10"/>
  <c r="L41" i="10"/>
  <c r="I69" i="10"/>
  <c r="J69" i="10"/>
  <c r="K69" i="10"/>
  <c r="L69" i="10"/>
  <c r="I65" i="10"/>
  <c r="J65" i="10"/>
  <c r="K65" i="10"/>
  <c r="L65" i="10"/>
  <c r="I68" i="10" l="1"/>
  <c r="J68" i="10"/>
  <c r="K68" i="10"/>
  <c r="L68" i="10"/>
  <c r="B53" i="13"/>
  <c r="B12" i="13"/>
  <c r="B13" i="13"/>
  <c r="B14" i="13"/>
  <c r="B15" i="13"/>
  <c r="B16" i="13"/>
  <c r="B17" i="13"/>
  <c r="B18" i="13"/>
  <c r="B19" i="13"/>
  <c r="B20" i="13"/>
  <c r="B21" i="13"/>
  <c r="B22" i="13"/>
  <c r="B24" i="13"/>
  <c r="B31" i="13"/>
  <c r="B32" i="13"/>
  <c r="B39" i="13"/>
  <c r="B40" i="13"/>
  <c r="B42" i="13"/>
  <c r="B43" i="13"/>
  <c r="B45" i="13"/>
  <c r="B46" i="13"/>
  <c r="B47" i="13"/>
  <c r="B48" i="13"/>
  <c r="B50" i="13"/>
  <c r="B51" i="13"/>
  <c r="B52" i="13"/>
  <c r="B54" i="13"/>
  <c r="B55" i="13"/>
  <c r="B56" i="13"/>
  <c r="B57" i="13"/>
  <c r="B58" i="13"/>
  <c r="B65" i="13"/>
  <c r="B66" i="13"/>
  <c r="B75" i="13"/>
  <c r="B76" i="13"/>
  <c r="B79" i="13"/>
  <c r="B80" i="13"/>
  <c r="B81" i="13"/>
  <c r="B83" i="13"/>
  <c r="B85" i="13"/>
  <c r="B87" i="13"/>
  <c r="B88" i="13"/>
  <c r="B89" i="13"/>
  <c r="B90" i="13"/>
  <c r="B91" i="13"/>
  <c r="B92" i="13"/>
  <c r="B95" i="13"/>
  <c r="B96" i="13"/>
  <c r="B97" i="13"/>
  <c r="B98" i="13"/>
  <c r="B99" i="13"/>
  <c r="B100" i="13"/>
  <c r="B101" i="13"/>
  <c r="B105" i="13"/>
  <c r="B106" i="13"/>
  <c r="B107" i="13"/>
  <c r="B108" i="13"/>
  <c r="B109" i="13"/>
  <c r="B110" i="13"/>
  <c r="B111" i="13"/>
  <c r="B112" i="13"/>
  <c r="B113" i="13"/>
  <c r="B115" i="13"/>
  <c r="B116" i="13"/>
  <c r="B117" i="13"/>
  <c r="B118" i="13"/>
  <c r="B119" i="13"/>
  <c r="B120" i="13"/>
  <c r="B121" i="13"/>
  <c r="B137" i="13"/>
  <c r="B138" i="13"/>
  <c r="B139" i="13"/>
  <c r="B144" i="13"/>
  <c r="B149" i="13"/>
  <c r="B150" i="13"/>
  <c r="B151" i="13"/>
  <c r="B152" i="13"/>
  <c r="B153" i="13"/>
  <c r="B154" i="13"/>
  <c r="B155" i="13"/>
  <c r="B156" i="13"/>
  <c r="B157" i="13"/>
  <c r="B159" i="13"/>
  <c r="B160" i="13"/>
  <c r="B162" i="13"/>
  <c r="B163" i="13"/>
  <c r="B168" i="13"/>
  <c r="B169" i="13"/>
  <c r="B170" i="13"/>
  <c r="B171" i="13"/>
  <c r="B174" i="13"/>
  <c r="B175" i="13"/>
  <c r="B176" i="13"/>
  <c r="B177" i="13"/>
  <c r="B178" i="13"/>
  <c r="B180" i="13"/>
  <c r="B181" i="13"/>
  <c r="B182" i="13"/>
  <c r="B189" i="13"/>
  <c r="B190" i="13"/>
  <c r="B196" i="13"/>
  <c r="B199" i="13"/>
  <c r="B200" i="13"/>
  <c r="B201" i="13"/>
  <c r="B202" i="13"/>
  <c r="B203" i="13"/>
  <c r="B204" i="13"/>
  <c r="B205" i="13"/>
  <c r="B206" i="13"/>
  <c r="B207" i="13"/>
  <c r="B209" i="13"/>
  <c r="B213" i="13"/>
  <c r="B60" i="13"/>
  <c r="B93" i="13"/>
  <c r="I64" i="10" l="1"/>
  <c r="J64" i="10"/>
  <c r="K64" i="10"/>
  <c r="L64" i="10"/>
  <c r="I62" i="10" l="1"/>
  <c r="J62" i="10"/>
  <c r="K62" i="10"/>
  <c r="L62" i="10"/>
  <c r="I59" i="10"/>
  <c r="J59" i="10"/>
  <c r="K59" i="10"/>
  <c r="L59" i="10"/>
  <c r="I60" i="10"/>
  <c r="J60" i="10"/>
  <c r="K60" i="10"/>
  <c r="L60" i="10"/>
  <c r="I63" i="10"/>
  <c r="J63" i="10"/>
  <c r="K63" i="10"/>
  <c r="L63" i="10"/>
  <c r="I58" i="10"/>
  <c r="J58" i="10"/>
  <c r="K58" i="10"/>
  <c r="L58" i="10"/>
  <c r="I57" i="10"/>
  <c r="J57" i="10"/>
  <c r="K57" i="10"/>
  <c r="L57" i="10"/>
  <c r="I56" i="10"/>
  <c r="J56" i="10"/>
  <c r="K56" i="10"/>
  <c r="L56" i="10"/>
  <c r="B126" i="13"/>
  <c r="I61" i="10"/>
  <c r="J61" i="10"/>
  <c r="K61" i="10"/>
  <c r="L61" i="10"/>
  <c r="I53" i="10" l="1"/>
  <c r="J53" i="10"/>
  <c r="K53" i="10"/>
  <c r="L53" i="10"/>
  <c r="I54" i="10"/>
  <c r="J54" i="10"/>
  <c r="K54" i="10"/>
  <c r="L54" i="10"/>
  <c r="B29" i="13"/>
  <c r="I52" i="10"/>
  <c r="J52" i="10"/>
  <c r="K52" i="10"/>
  <c r="L52" i="10"/>
  <c r="I55" i="10"/>
  <c r="J55" i="10"/>
  <c r="K55" i="10"/>
  <c r="L55" i="10"/>
  <c r="I51" i="10" l="1"/>
  <c r="J51" i="10"/>
  <c r="K51" i="10"/>
  <c r="L51" i="10"/>
  <c r="I50" i="10" l="1"/>
  <c r="J50" i="10"/>
  <c r="K50" i="10"/>
  <c r="L50" i="10"/>
  <c r="I49" i="10"/>
  <c r="J49" i="10"/>
  <c r="K49" i="10"/>
  <c r="L49" i="10"/>
  <c r="I48" i="10" l="1"/>
  <c r="J48" i="10"/>
  <c r="K48" i="10"/>
  <c r="L48" i="10"/>
  <c r="I47" i="10"/>
  <c r="J47" i="10"/>
  <c r="K47" i="10"/>
  <c r="L47" i="10"/>
  <c r="B28" i="13" l="1"/>
  <c r="B33" i="13"/>
  <c r="B59" i="13"/>
  <c r="B38" i="13"/>
  <c r="B5" i="13"/>
  <c r="I46" i="10" l="1"/>
  <c r="J46" i="10"/>
  <c r="K46" i="10"/>
  <c r="L46" i="10"/>
  <c r="I45" i="10"/>
  <c r="J45" i="10"/>
  <c r="K45" i="10"/>
  <c r="L45" i="10"/>
  <c r="I44" i="10"/>
  <c r="J44" i="10"/>
  <c r="K44" i="10"/>
  <c r="L44" i="10"/>
  <c r="B4" i="13" l="1"/>
  <c r="B27" i="13"/>
  <c r="I43" i="10"/>
  <c r="J43" i="10"/>
  <c r="K43" i="10"/>
  <c r="L43" i="10"/>
  <c r="B10" i="13" l="1"/>
  <c r="B216" i="13"/>
  <c r="I42" i="10"/>
  <c r="J42" i="10"/>
  <c r="K42" i="10"/>
  <c r="L42" i="10"/>
  <c r="B7" i="13"/>
  <c r="B11" i="13"/>
  <c r="I40" i="10" l="1"/>
  <c r="J40" i="10"/>
  <c r="K40" i="10"/>
  <c r="L40" i="10"/>
  <c r="I39" i="10"/>
  <c r="J39" i="10"/>
  <c r="K39" i="10"/>
  <c r="L39" i="10"/>
  <c r="I38" i="10"/>
  <c r="J38" i="10"/>
  <c r="K38" i="10"/>
  <c r="L38" i="10"/>
  <c r="I37" i="10"/>
  <c r="J37" i="10"/>
  <c r="K37" i="10"/>
  <c r="L37" i="10"/>
  <c r="B61" i="13"/>
  <c r="I36" i="10"/>
  <c r="J36" i="10"/>
  <c r="K36" i="10"/>
  <c r="L36" i="10"/>
  <c r="I35" i="10" l="1"/>
  <c r="J35" i="10"/>
  <c r="K35" i="10"/>
  <c r="L35" i="10"/>
  <c r="I34" i="10"/>
  <c r="J34" i="10"/>
  <c r="K34" i="10"/>
  <c r="L34" i="10"/>
  <c r="I33" i="10"/>
  <c r="J33" i="10"/>
  <c r="K33" i="10"/>
  <c r="L33" i="10"/>
  <c r="I30" i="10" l="1"/>
  <c r="J30" i="10"/>
  <c r="K30" i="10"/>
  <c r="L30" i="10"/>
  <c r="I29" i="10"/>
  <c r="J29" i="10"/>
  <c r="K29" i="10"/>
  <c r="L29" i="10"/>
  <c r="I31" i="10"/>
  <c r="J31" i="10"/>
  <c r="K31" i="10"/>
  <c r="L31" i="10"/>
  <c r="I32" i="10"/>
  <c r="J32" i="10"/>
  <c r="K32" i="10"/>
  <c r="L32" i="10"/>
  <c r="I27" i="10" l="1"/>
  <c r="J27" i="10"/>
  <c r="K27" i="10"/>
  <c r="L27" i="10"/>
  <c r="I28" i="10"/>
  <c r="J28" i="10"/>
  <c r="K28" i="10"/>
  <c r="L28" i="10"/>
  <c r="B86" i="13" l="1"/>
  <c r="I26" i="10"/>
  <c r="J26" i="10"/>
  <c r="K26" i="10"/>
  <c r="L26" i="10"/>
  <c r="I25" i="10" l="1"/>
  <c r="J25" i="10"/>
  <c r="K25" i="10"/>
  <c r="L25" i="10"/>
  <c r="I24" i="10" l="1"/>
  <c r="J24" i="10"/>
  <c r="K24" i="10"/>
  <c r="L24" i="10"/>
  <c r="I23" i="10"/>
  <c r="J23" i="10"/>
  <c r="K23" i="10"/>
  <c r="L23" i="10"/>
  <c r="B129" i="13" l="1"/>
  <c r="I22" i="10"/>
  <c r="J22" i="10"/>
  <c r="K22" i="10"/>
  <c r="L22" i="10"/>
  <c r="I21" i="10"/>
  <c r="J21" i="10"/>
  <c r="K21" i="10"/>
  <c r="L21" i="10"/>
  <c r="B123" i="13"/>
  <c r="J229" i="8" l="1"/>
  <c r="J228" i="8"/>
  <c r="J107" i="8"/>
  <c r="J226" i="8"/>
  <c r="J225" i="8"/>
  <c r="J224" i="8"/>
  <c r="J104" i="8"/>
  <c r="I18" i="10" l="1"/>
  <c r="J18" i="10"/>
  <c r="K18" i="10"/>
  <c r="L18" i="10"/>
  <c r="I17" i="10"/>
  <c r="J17" i="10"/>
  <c r="K17" i="10"/>
  <c r="L17" i="10"/>
  <c r="I19" i="10"/>
  <c r="J19" i="10"/>
  <c r="K19" i="10"/>
  <c r="L19" i="10"/>
  <c r="I20" i="10"/>
  <c r="J20" i="10"/>
  <c r="K20" i="10"/>
  <c r="L20" i="10"/>
  <c r="I16" i="10" l="1"/>
  <c r="J16" i="10"/>
  <c r="K16" i="10"/>
  <c r="L16" i="10"/>
  <c r="I14" i="10" l="1"/>
  <c r="J14" i="10"/>
  <c r="K14" i="10"/>
  <c r="L14" i="10"/>
  <c r="I15" i="10" l="1"/>
  <c r="J15" i="10"/>
  <c r="K15" i="10"/>
  <c r="L15" i="10"/>
  <c r="I13" i="10" l="1"/>
  <c r="J13" i="10"/>
  <c r="K13" i="10"/>
  <c r="L13" i="10"/>
  <c r="I12" i="10"/>
  <c r="J12" i="10"/>
  <c r="K12" i="10"/>
  <c r="L12" i="10"/>
  <c r="I11" i="10" l="1"/>
  <c r="J11" i="10"/>
  <c r="K11" i="10"/>
  <c r="L11" i="10"/>
  <c r="I10" i="10" l="1"/>
  <c r="J10" i="10"/>
  <c r="K10" i="10"/>
  <c r="L10" i="10"/>
  <c r="I9" i="10"/>
  <c r="J9" i="10"/>
  <c r="K9" i="10"/>
  <c r="L9" i="10"/>
  <c r="I8" i="10"/>
  <c r="J8" i="10"/>
  <c r="K8" i="10"/>
  <c r="L8" i="10"/>
  <c r="B211" i="13" l="1"/>
  <c r="I7" i="10"/>
  <c r="J7" i="10"/>
  <c r="K7" i="10"/>
  <c r="L7" i="10"/>
  <c r="I6" i="10"/>
  <c r="J6" i="10"/>
  <c r="K6" i="10"/>
  <c r="L6" i="10"/>
  <c r="I5" i="10" l="1"/>
  <c r="J5" i="10"/>
  <c r="K5" i="10"/>
  <c r="L5" i="10"/>
  <c r="I4" i="10" l="1"/>
  <c r="J4" i="10"/>
  <c r="K4" i="10"/>
  <c r="L4" i="10"/>
  <c r="I3" i="10"/>
  <c r="J3" i="10"/>
  <c r="K3" i="10"/>
  <c r="L3" i="10"/>
  <c r="I2" i="10" l="1"/>
  <c r="J2" i="10"/>
  <c r="K2" i="10"/>
  <c r="L2" i="10"/>
  <c r="B165" i="13" l="1"/>
  <c r="J153" i="8" l="1"/>
  <c r="J142" i="8"/>
  <c r="J141" i="8"/>
  <c r="J140" i="8"/>
  <c r="J139" i="8"/>
  <c r="J50" i="8"/>
  <c r="J51" i="8"/>
  <c r="J12" i="8" l="1"/>
  <c r="J13" i="8"/>
  <c r="J14" i="8"/>
  <c r="J15" i="8"/>
  <c r="J16" i="8"/>
  <c r="J17" i="8"/>
  <c r="J81" i="8"/>
  <c r="J80" i="8"/>
  <c r="J56" i="8"/>
  <c r="J57" i="8"/>
  <c r="J64" i="8"/>
  <c r="J65" i="8"/>
  <c r="J163" i="8"/>
  <c r="J164" i="8"/>
  <c r="J179" i="8"/>
  <c r="J182" i="8"/>
  <c r="J173" i="8"/>
  <c r="J174" i="8"/>
  <c r="J185" i="8"/>
  <c r="J186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74" i="8"/>
  <c r="J75" i="8"/>
  <c r="J76" i="8"/>
  <c r="J77" i="8"/>
  <c r="J78" i="8"/>
  <c r="J79" i="8"/>
  <c r="J85" i="8"/>
  <c r="J72" i="8"/>
  <c r="J82" i="8"/>
  <c r="J83" i="8"/>
  <c r="J84" i="8"/>
  <c r="J73" i="8"/>
  <c r="J2" i="8"/>
  <c r="J3" i="8"/>
  <c r="J4" i="8"/>
  <c r="J5" i="8"/>
  <c r="J6" i="8"/>
  <c r="J7" i="8"/>
  <c r="J8" i="8"/>
  <c r="J9" i="8"/>
  <c r="J10" i="8"/>
  <c r="J11" i="8"/>
  <c r="J171" i="8"/>
  <c r="J176" i="8"/>
  <c r="J172" i="8"/>
  <c r="J184" i="8"/>
  <c r="J216" i="8"/>
  <c r="J213" i="8"/>
  <c r="J218" i="8"/>
  <c r="J215" i="8"/>
  <c r="J214" i="8"/>
  <c r="J217" i="8"/>
  <c r="J219" i="8"/>
  <c r="J220" i="8"/>
  <c r="J221" i="8"/>
  <c r="J222" i="8"/>
  <c r="J52" i="8"/>
  <c r="J53" i="8"/>
  <c r="J54" i="8"/>
  <c r="J55" i="8"/>
  <c r="J135" i="8"/>
  <c r="J136" i="8"/>
  <c r="J137" i="8"/>
  <c r="J138" i="8"/>
  <c r="J144" i="8"/>
  <c r="J145" i="8"/>
  <c r="J143" i="8"/>
  <c r="J147" i="8"/>
  <c r="J148" i="8"/>
  <c r="J149" i="8"/>
  <c r="J150" i="8"/>
  <c r="J151" i="8"/>
  <c r="J152" i="8"/>
  <c r="J146" i="8"/>
  <c r="J33" i="8"/>
  <c r="J34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8" i="8"/>
  <c r="J59" i="8"/>
  <c r="J60" i="8"/>
  <c r="J61" i="8"/>
  <c r="J62" i="8"/>
  <c r="J63" i="8"/>
  <c r="J66" i="8"/>
  <c r="J67" i="8"/>
  <c r="J68" i="8"/>
  <c r="J69" i="8"/>
  <c r="J70" i="8"/>
  <c r="J71" i="8"/>
  <c r="J86" i="8"/>
  <c r="J87" i="8"/>
  <c r="J88" i="8"/>
  <c r="J89" i="8"/>
  <c r="J90" i="8"/>
  <c r="J91" i="8"/>
  <c r="J154" i="8"/>
  <c r="J155" i="8"/>
  <c r="J156" i="8"/>
  <c r="J157" i="8"/>
  <c r="J158" i="8"/>
  <c r="J159" i="8"/>
  <c r="J160" i="8"/>
  <c r="J161" i="8"/>
  <c r="J162" i="8"/>
  <c r="J165" i="8"/>
  <c r="J166" i="8"/>
  <c r="J167" i="8"/>
  <c r="J168" i="8"/>
  <c r="J169" i="8"/>
  <c r="J170" i="8"/>
  <c r="J183" i="8"/>
  <c r="J175" i="8"/>
  <c r="J178" i="8"/>
  <c r="J180" i="8"/>
  <c r="J177" i="8"/>
  <c r="J181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93" i="8"/>
  <c r="J98" i="8"/>
  <c r="J92" i="8"/>
  <c r="J125" i="8"/>
  <c r="J122" i="8"/>
  <c r="J223" i="8"/>
  <c r="J102" i="8"/>
  <c r="J94" i="8"/>
  <c r="J117" i="8"/>
  <c r="J108" i="8"/>
  <c r="J110" i="8"/>
  <c r="J97" i="8"/>
  <c r="J105" i="8"/>
  <c r="J111" i="8"/>
  <c r="J132" i="8"/>
  <c r="J133" i="8"/>
  <c r="J134" i="8"/>
  <c r="J106" i="8"/>
  <c r="J121" i="8"/>
  <c r="J99" i="8"/>
  <c r="J101" i="8"/>
  <c r="J116" i="8"/>
  <c r="J127" i="8"/>
  <c r="J128" i="8"/>
  <c r="J109" i="8"/>
  <c r="J119" i="8"/>
  <c r="J120" i="8"/>
  <c r="J95" i="8"/>
  <c r="J100" i="8"/>
  <c r="J112" i="8"/>
  <c r="J103" i="8"/>
  <c r="J118" i="8"/>
  <c r="J124" i="8"/>
  <c r="J96" i="8"/>
  <c r="J123" i="8"/>
  <c r="J113" i="8"/>
  <c r="J126" i="8"/>
  <c r="J227" i="8"/>
  <c r="J130" i="8"/>
  <c r="J129" i="8"/>
  <c r="J114" i="8"/>
  <c r="J115" i="8"/>
  <c r="J131" i="8"/>
  <c r="B248" i="13" l="1"/>
  <c r="B225" i="13" l="1"/>
  <c r="B25" i="13" l="1"/>
  <c r="B166" i="13" l="1"/>
  <c r="B125" i="13" l="1"/>
  <c r="B94" i="13" l="1"/>
  <c r="N2" i="7" l="1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B114" i="13" l="1"/>
  <c r="B141" i="13" l="1"/>
  <c r="B210" i="13" l="1"/>
  <c r="B239" i="13" l="1"/>
  <c r="B246" i="13" l="1"/>
  <c r="B82" i="13" l="1"/>
  <c r="B219" i="13" l="1"/>
  <c r="B34" i="13" l="1"/>
  <c r="B128" i="13" l="1"/>
  <c r="B132" i="13" l="1"/>
  <c r="B68" i="13"/>
  <c r="B135" i="13" l="1"/>
  <c r="B197" i="13"/>
  <c r="B191" i="13" l="1"/>
  <c r="B3" i="13" l="1"/>
  <c r="B148" i="13"/>
  <c r="B195" i="13"/>
  <c r="B220" i="13"/>
  <c r="B192" i="13"/>
  <c r="B6" i="13"/>
  <c r="B221" i="13"/>
  <c r="B78" i="13"/>
  <c r="B222" i="13"/>
  <c r="B70" i="13"/>
  <c r="B223" i="13"/>
  <c r="B69" i="13"/>
  <c r="B224" i="13"/>
  <c r="B226" i="13"/>
  <c r="B227" i="13"/>
  <c r="B158" i="13"/>
  <c r="B36" i="13"/>
  <c r="B2" i="13"/>
  <c r="B188" i="13"/>
  <c r="B228" i="13"/>
  <c r="B44" i="13"/>
  <c r="B212" i="13"/>
  <c r="B26" i="13"/>
  <c r="B183" i="13"/>
  <c r="B77" i="13"/>
  <c r="B229" i="13"/>
  <c r="B230" i="13"/>
  <c r="B231" i="13"/>
  <c r="B41" i="13"/>
  <c r="B62" i="13"/>
  <c r="B214" i="13"/>
  <c r="B232" i="13"/>
  <c r="B67" i="13"/>
  <c r="B161" i="13"/>
  <c r="B102" i="13"/>
  <c r="B71" i="13"/>
  <c r="B193" i="13"/>
  <c r="B233" i="13"/>
  <c r="B235" i="13"/>
  <c r="B84" i="13"/>
  <c r="B217" i="13"/>
  <c r="B23" i="13"/>
  <c r="B236" i="13"/>
  <c r="B237" i="13"/>
  <c r="B238" i="13"/>
  <c r="B146" i="13"/>
  <c r="B145" i="13"/>
  <c r="B240" i="13"/>
  <c r="B37" i="13"/>
  <c r="B241" i="13"/>
  <c r="B122" i="13"/>
  <c r="B124" i="13"/>
  <c r="B127" i="13"/>
  <c r="B130" i="13"/>
  <c r="B131" i="13"/>
  <c r="B133" i="13"/>
  <c r="B194" i="13"/>
  <c r="B243" i="13"/>
  <c r="B140" i="13"/>
  <c r="B142" i="13"/>
  <c r="B143" i="13"/>
  <c r="B147" i="13"/>
  <c r="B8" i="13"/>
  <c r="B72" i="13"/>
  <c r="B73" i="13"/>
  <c r="B134" i="13"/>
  <c r="B164" i="13"/>
  <c r="B167" i="13"/>
  <c r="B244" i="13"/>
  <c r="B245" i="13"/>
  <c r="B103" i="13"/>
  <c r="B172" i="13"/>
  <c r="B173" i="13"/>
  <c r="B187" i="13"/>
  <c r="B184" i="13"/>
  <c r="B35" i="13"/>
  <c r="B185" i="13"/>
  <c r="B247" i="13"/>
  <c r="B208" i="13"/>
  <c r="B49" i="13"/>
  <c r="B198" i="13"/>
  <c r="B215" i="13"/>
  <c r="B251" i="13"/>
  <c r="B252" i="13"/>
  <c r="B74" i="13"/>
  <c r="B186" i="13"/>
  <c r="B179" i="13"/>
  <c r="B253" i="13"/>
  <c r="B254" i="13"/>
  <c r="B9" i="13"/>
  <c r="B63" i="13"/>
  <c r="B218" i="13"/>
  <c r="B104" i="13"/>
  <c r="B234" i="13"/>
  <c r="B30" i="13"/>
  <c r="B255" i="13"/>
  <c r="B242" i="13"/>
  <c r="B256" i="13"/>
  <c r="B64" i="13"/>
  <c r="B249" i="13"/>
  <c r="B250" i="13"/>
  <c r="B136" i="13"/>
  <c r="B257" i="13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6" i="7"/>
  <c r="C23" i="7"/>
  <c r="C27" i="7"/>
  <c r="C24" i="7"/>
  <c r="C28" i="7"/>
  <c r="C25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</calcChain>
</file>

<file path=xl/sharedStrings.xml><?xml version="1.0" encoding="utf-8"?>
<sst xmlns="http://schemas.openxmlformats.org/spreadsheetml/2006/main" count="17796" uniqueCount="6333">
  <si>
    <t>目的港</t>
  </si>
  <si>
    <t>国家</t>
  </si>
  <si>
    <t>中转港</t>
  </si>
  <si>
    <t>内部备注</t>
  </si>
  <si>
    <t>限重</t>
  </si>
  <si>
    <t xml:space="preserve">MOMBASA </t>
  </si>
  <si>
    <t>Kenya</t>
  </si>
  <si>
    <t>蒙巴萨,肯尼亚</t>
  </si>
  <si>
    <t>M</t>
  </si>
  <si>
    <t>E</t>
  </si>
  <si>
    <t>DIR</t>
  </si>
  <si>
    <t>直达</t>
  </si>
  <si>
    <t>20'GP≧18T以上单票确认</t>
  </si>
  <si>
    <t>C</t>
  </si>
  <si>
    <t>F</t>
  </si>
  <si>
    <t>PKG</t>
  </si>
  <si>
    <t>巴生</t>
  </si>
  <si>
    <t>B</t>
  </si>
  <si>
    <t>K</t>
  </si>
  <si>
    <t>P</t>
  </si>
  <si>
    <t>N</t>
  </si>
  <si>
    <t>A</t>
  </si>
  <si>
    <t>SIN</t>
  </si>
  <si>
    <t>新加坡</t>
  </si>
  <si>
    <t>D</t>
  </si>
  <si>
    <t>AE20/FW3</t>
  </si>
  <si>
    <t>DAR ES SALAAM</t>
  </si>
  <si>
    <t>Tanzania</t>
  </si>
  <si>
    <t>达累斯萨拉姆,坦桑尼亚</t>
  </si>
  <si>
    <t>26-32</t>
  </si>
  <si>
    <t>ZANZIBAR</t>
  </si>
  <si>
    <t>桑给巴尔,坦桑尼亚</t>
  </si>
  <si>
    <t>OMSLL</t>
  </si>
  <si>
    <t>色拉拉</t>
  </si>
  <si>
    <t>MBA</t>
  </si>
  <si>
    <t>蒙巴萨</t>
  </si>
  <si>
    <t>O</t>
  </si>
  <si>
    <t>JEA</t>
  </si>
  <si>
    <t>迪拜</t>
  </si>
  <si>
    <t>箱东单</t>
  </si>
  <si>
    <t>MOMBASA</t>
  </si>
  <si>
    <t>AE1/AE5/AE10</t>
  </si>
  <si>
    <t>TANGA</t>
  </si>
  <si>
    <t>坦噶,坦桑尼亚</t>
  </si>
  <si>
    <t>达累</t>
  </si>
  <si>
    <t>DJIBOUTI</t>
  </si>
  <si>
    <t>Djibouti</t>
  </si>
  <si>
    <t>吉布提,吉布提</t>
  </si>
  <si>
    <t>TPP</t>
  </si>
  <si>
    <t>丹戎帕拉帕斯港</t>
  </si>
  <si>
    <t>AE1/AE5/AE6</t>
  </si>
  <si>
    <t>Sudan</t>
  </si>
  <si>
    <t>苏丹港,苏丹</t>
  </si>
  <si>
    <t>MOGADISHU</t>
  </si>
  <si>
    <t>Somalia</t>
  </si>
  <si>
    <t>摩加迪沙,索马里</t>
  </si>
  <si>
    <t>20'GP ≧18T+USD200</t>
  </si>
  <si>
    <t>KISMAYU</t>
  </si>
  <si>
    <t>基斯马尤,索马里</t>
  </si>
  <si>
    <t>BERBERA</t>
  </si>
  <si>
    <t>柏培拉,索马里</t>
  </si>
  <si>
    <t>SLL</t>
  </si>
  <si>
    <t>TP12-TP8</t>
  </si>
  <si>
    <t>PEMBA</t>
  </si>
  <si>
    <t>Mozambique</t>
  </si>
  <si>
    <t>彭巴,莫桑比克</t>
  </si>
  <si>
    <t>KEMOM</t>
  </si>
  <si>
    <t>QUELIMANE</t>
  </si>
  <si>
    <t>Mutsamudu</t>
  </si>
  <si>
    <t>穆察穆杜</t>
  </si>
  <si>
    <t>LONGONI</t>
  </si>
  <si>
    <t>Mayotte</t>
  </si>
  <si>
    <t>隆戈尼,马约特</t>
  </si>
  <si>
    <t>PDG</t>
  </si>
  <si>
    <t>ASAF</t>
  </si>
  <si>
    <t>小箱箱货总重&lt;27tons,大高箱箱货总重&lt;18tons</t>
  </si>
  <si>
    <t>MUPLO</t>
  </si>
  <si>
    <t>路易港</t>
  </si>
  <si>
    <t>MUTSAMUDU</t>
  </si>
  <si>
    <t>Comorin</t>
  </si>
  <si>
    <t>穆察穆杜,科摩罗</t>
  </si>
  <si>
    <t>MORONI</t>
  </si>
  <si>
    <t>莫罗尼,科摩罗</t>
  </si>
  <si>
    <t>MALE</t>
  </si>
  <si>
    <t>maldives</t>
  </si>
  <si>
    <t>马累,马尔代夫</t>
  </si>
  <si>
    <t>BLANTYRE</t>
  </si>
  <si>
    <t>MALAWI</t>
  </si>
  <si>
    <t>布兰太尔,马拉维</t>
  </si>
  <si>
    <t>克利马内</t>
  </si>
  <si>
    <t>LILONGWE</t>
  </si>
  <si>
    <t>LOME</t>
  </si>
  <si>
    <t>TOGO</t>
  </si>
  <si>
    <t>洛美,多哥</t>
  </si>
  <si>
    <t>AFEX 10天免用箱</t>
  </si>
  <si>
    <t>G</t>
  </si>
  <si>
    <t>FW3/AE2</t>
  </si>
  <si>
    <t>TEMA</t>
  </si>
  <si>
    <t>GHANA</t>
  </si>
  <si>
    <t>特马,加纳</t>
  </si>
  <si>
    <t>H</t>
  </si>
  <si>
    <t>TGLFW</t>
  </si>
  <si>
    <t>洛美</t>
  </si>
  <si>
    <t>PORT TANGIER</t>
  </si>
  <si>
    <t>丹吉尔</t>
  </si>
  <si>
    <t>航线代码：MD1,免用箱21天</t>
  </si>
  <si>
    <t>L</t>
  </si>
  <si>
    <t>LUANDA</t>
  </si>
  <si>
    <t>卢安达</t>
  </si>
  <si>
    <t>TAKORADI</t>
  </si>
  <si>
    <t>塔科拉迪,加纳</t>
  </si>
  <si>
    <t>FAL1 7天免用箱</t>
  </si>
  <si>
    <t>57-64</t>
  </si>
  <si>
    <t>ABIDJAN</t>
  </si>
  <si>
    <t>IVORY COAST</t>
  </si>
  <si>
    <t>阿比让,科特迪瓦</t>
  </si>
  <si>
    <t>APAPA</t>
  </si>
  <si>
    <t>阿帕帕,尼日利亚</t>
  </si>
  <si>
    <t>WAX3 5天免用箱</t>
  </si>
  <si>
    <t>FW2</t>
  </si>
  <si>
    <t>航线代码：MD1,免用箱14天</t>
  </si>
  <si>
    <t>TINCAN</t>
  </si>
  <si>
    <t>廷坎,尼日利亚</t>
  </si>
  <si>
    <t>ONNE</t>
  </si>
  <si>
    <t>奥纳,尼日利亚</t>
  </si>
  <si>
    <t>20'GP 18-22.9TON可申请，≧23T以上+$150</t>
  </si>
  <si>
    <t>PORT HARCOURT</t>
  </si>
  <si>
    <t>CONAKRY</t>
  </si>
  <si>
    <t>GUINEA</t>
  </si>
  <si>
    <t>科纳克里,几内亚</t>
  </si>
  <si>
    <t>ESALG</t>
  </si>
  <si>
    <t>阿尔赫西拉斯</t>
  </si>
  <si>
    <t>VLC</t>
  </si>
  <si>
    <t>瓦伦西亚</t>
  </si>
  <si>
    <t>50-60</t>
  </si>
  <si>
    <t>WAX3</t>
  </si>
  <si>
    <t>含目的港CER 100/100</t>
  </si>
  <si>
    <t>FW1/FW2/AE5</t>
  </si>
  <si>
    <t>MALABO</t>
  </si>
  <si>
    <t>马拉博,赤道几内亚</t>
  </si>
  <si>
    <t>pointe noire</t>
  </si>
  <si>
    <t>黑角</t>
  </si>
  <si>
    <t>PNR</t>
  </si>
  <si>
    <t>LIBREVILLE</t>
  </si>
  <si>
    <t>GABON</t>
  </si>
  <si>
    <t>利伯维尔,加蓬</t>
  </si>
  <si>
    <t>CMKBI</t>
  </si>
  <si>
    <t>开瑞比</t>
  </si>
  <si>
    <t>ASAF 11天免用箱</t>
  </si>
  <si>
    <t>FW6/AE5/AE2</t>
  </si>
  <si>
    <t>PORT GENTIL</t>
  </si>
  <si>
    <t>谦蒂尔港,加蓬</t>
  </si>
  <si>
    <t>MATADI</t>
  </si>
  <si>
    <t>CONGO, DRC</t>
  </si>
  <si>
    <t>马塔迪,刚果(金)</t>
  </si>
  <si>
    <t>CGPNR</t>
  </si>
  <si>
    <t>ASAF 32天免用箱</t>
  </si>
  <si>
    <t>WAX4</t>
  </si>
  <si>
    <t>FW6/AE2/AE5</t>
  </si>
  <si>
    <t>ASAF 15天免用箱</t>
  </si>
  <si>
    <t>PTSIE</t>
  </si>
  <si>
    <t>西尼什</t>
  </si>
  <si>
    <t>LOBITO</t>
  </si>
  <si>
    <t>洛比托,安哥拉</t>
  </si>
  <si>
    <t>ZACPT</t>
  </si>
  <si>
    <t>开普敦</t>
  </si>
  <si>
    <t>Walvis Bay</t>
  </si>
  <si>
    <t>鲸湾</t>
  </si>
  <si>
    <t>NAMIBE</t>
  </si>
  <si>
    <t>纳美比,安哥拉</t>
  </si>
  <si>
    <t>货重超过20T 加收USD100/TUE</t>
  </si>
  <si>
    <t>CABINDA</t>
  </si>
  <si>
    <t>卡宾达,安哥拉</t>
  </si>
  <si>
    <t>Pointe Noire</t>
  </si>
  <si>
    <t>45-52</t>
  </si>
  <si>
    <t>SOYO</t>
  </si>
  <si>
    <t>索约,安哥拉</t>
  </si>
  <si>
    <t>BATA</t>
  </si>
  <si>
    <t>EQUATORIAL GUINEA</t>
  </si>
  <si>
    <t>巴塔,赤道几内亚</t>
  </si>
  <si>
    <t>42-49</t>
  </si>
  <si>
    <t>COTONOU</t>
  </si>
  <si>
    <t>BENIN</t>
  </si>
  <si>
    <t>科托努,贝宁</t>
  </si>
  <si>
    <t>BANJUL</t>
  </si>
  <si>
    <t>GAMBIA</t>
  </si>
  <si>
    <t>班珠尔,冈比亚</t>
  </si>
  <si>
    <t>FAL1 5天免用箱</t>
  </si>
  <si>
    <t>MONROVIA</t>
  </si>
  <si>
    <t>LIBERIA</t>
  </si>
  <si>
    <t>蒙罗维亚,利比里亚</t>
  </si>
  <si>
    <t>PTG</t>
  </si>
  <si>
    <t>FAL1 10天免用箱</t>
  </si>
  <si>
    <t>BISSAU</t>
  </si>
  <si>
    <t>GUINEE BISSAU</t>
  </si>
  <si>
    <t>比绍,几内亚比绍</t>
  </si>
  <si>
    <t>55-62</t>
  </si>
  <si>
    <t>Lexious</t>
  </si>
  <si>
    <t>雷克纽斯</t>
  </si>
  <si>
    <t>需截ENS(USD25),箱东单</t>
  </si>
  <si>
    <t>DOUALA</t>
  </si>
  <si>
    <t>CAMEROON</t>
  </si>
  <si>
    <t>杜阿拉,喀麦隆</t>
  </si>
  <si>
    <t>KRIBI</t>
  </si>
  <si>
    <t>开瑞比,喀麦隆</t>
  </si>
  <si>
    <t>FREETOWN</t>
  </si>
  <si>
    <t>SIERRA LEONE</t>
  </si>
  <si>
    <t>弗里敦,塞拉利昂</t>
  </si>
  <si>
    <t>NOUADHIBOU</t>
  </si>
  <si>
    <t>MAURITANIA</t>
  </si>
  <si>
    <t>努瓦迪布,毛里塔尼亚</t>
  </si>
  <si>
    <t>NOUAKCHOTT</t>
  </si>
  <si>
    <t>努瓦克肖特,毛里塔尼亚</t>
  </si>
  <si>
    <t>CONGO</t>
  </si>
  <si>
    <t>博马,刚果(金)</t>
  </si>
  <si>
    <t>POINTE NOIRE</t>
  </si>
  <si>
    <t>黑角,刚果(布)</t>
  </si>
  <si>
    <t>PRAIA</t>
  </si>
  <si>
    <t>CAPE VERDE ISLAND</t>
  </si>
  <si>
    <t>普拉亚,佛得角</t>
  </si>
  <si>
    <t>37-44</t>
  </si>
  <si>
    <t>MINDELO</t>
  </si>
  <si>
    <t>明德卢,佛得角</t>
  </si>
  <si>
    <t>SAN PEDRO</t>
  </si>
  <si>
    <t>圣佩德港,科特迪瓦</t>
  </si>
  <si>
    <t>WALVIS BAY</t>
  </si>
  <si>
    <t>NAMIBIA</t>
  </si>
  <si>
    <t>鲸湾,纳米比亚</t>
  </si>
  <si>
    <t>LUDERITZ</t>
  </si>
  <si>
    <t>卢德立次,纳米比亚</t>
  </si>
  <si>
    <t>CAPE TOWN</t>
  </si>
  <si>
    <t>DAKAR</t>
  </si>
  <si>
    <t>SENEGAL</t>
  </si>
  <si>
    <t>达卡,塞内加尔</t>
  </si>
  <si>
    <t>ALG</t>
  </si>
  <si>
    <t>AEU2 ENS USD25/BL</t>
  </si>
  <si>
    <t>TANGIER</t>
  </si>
  <si>
    <t>汤加</t>
  </si>
  <si>
    <t>NOUACHCHOTT</t>
  </si>
  <si>
    <t>MAURETANIA</t>
  </si>
  <si>
    <t>SAO TOME</t>
  </si>
  <si>
    <t>Sao Tome and Principe</t>
  </si>
  <si>
    <t>FAL1</t>
  </si>
  <si>
    <t>South Africa</t>
  </si>
  <si>
    <t>德班,南非</t>
  </si>
  <si>
    <t>AC3</t>
  </si>
  <si>
    <t>SAF1</t>
  </si>
  <si>
    <t>I</t>
  </si>
  <si>
    <t>20'GP 18-23.9T +USD100 ≧24T+USD200</t>
  </si>
  <si>
    <t>有超重费</t>
  </si>
  <si>
    <t>SHAKA2目的港5天免用箱</t>
  </si>
  <si>
    <t>小箱连皮11吨以内，大高箱连皮22吨以内</t>
  </si>
  <si>
    <t>开普敦,南非</t>
  </si>
  <si>
    <t>ASAF 目的港5天免用箱</t>
  </si>
  <si>
    <t>伊丽莎白港,南非</t>
  </si>
  <si>
    <t>SHAKA2 目的港5天免用箱</t>
  </si>
  <si>
    <t>DUR</t>
  </si>
  <si>
    <t>德班</t>
  </si>
  <si>
    <t>BEIRA</t>
  </si>
  <si>
    <t>贝拉,莫桑比克</t>
  </si>
  <si>
    <t>AE1/AE5</t>
  </si>
  <si>
    <t>FW3</t>
  </si>
  <si>
    <t>NACALA</t>
  </si>
  <si>
    <t>那卡拉,莫桑比克</t>
  </si>
  <si>
    <t>MAPUTO</t>
  </si>
  <si>
    <t>马普托,莫桑比克</t>
  </si>
  <si>
    <t xml:space="preserve">PORT LOUIS </t>
  </si>
  <si>
    <t>Mauritius</t>
  </si>
  <si>
    <t>路易港,毛里求斯</t>
  </si>
  <si>
    <t xml:space="preserve">TOAMASINA/TAMATAVE </t>
  </si>
  <si>
    <t>Madagascar</t>
  </si>
  <si>
    <t>图阿马西纳/塔马塔夫,马达加斯加</t>
  </si>
  <si>
    <t>MAJUNGA</t>
  </si>
  <si>
    <t>马哈赞加,马达加斯加</t>
  </si>
  <si>
    <t>加来角</t>
  </si>
  <si>
    <t>DIEGO</t>
  </si>
  <si>
    <t>迭戈,马达加斯加</t>
  </si>
  <si>
    <t>DIEGO SUAREZ</t>
  </si>
  <si>
    <t>迪耶果苏瓦雷斯,马达加斯加</t>
  </si>
  <si>
    <t>NOSY BE</t>
  </si>
  <si>
    <t>贝岛,马达加斯加</t>
  </si>
  <si>
    <t>TULEAR</t>
  </si>
  <si>
    <t>图利亚拉,马达加斯加</t>
  </si>
  <si>
    <t>法坎</t>
  </si>
  <si>
    <t>EHOALA</t>
  </si>
  <si>
    <t>艾奥拉,马达加斯加</t>
  </si>
  <si>
    <t>Reunion</t>
  </si>
  <si>
    <t>留尼旺,留尼旺</t>
  </si>
  <si>
    <t>FW6</t>
  </si>
  <si>
    <t>DDF/30BOL IMP/9CONTAINER EUR</t>
  </si>
  <si>
    <t xml:space="preserve">POINTE DES GALETS </t>
  </si>
  <si>
    <t>加莱角,留尼旺</t>
  </si>
  <si>
    <t>EAST LONDON</t>
  </si>
  <si>
    <t>东伦敦,南非</t>
  </si>
  <si>
    <t>PLZ</t>
  </si>
  <si>
    <t>伊丽莎白港</t>
  </si>
  <si>
    <t>VICTORIA（Mahe)</t>
  </si>
  <si>
    <t>Seychelles</t>
  </si>
  <si>
    <t>维多利亚港(马埃),塞舌尔</t>
  </si>
  <si>
    <t>PLU</t>
  </si>
  <si>
    <t>AGADIR</t>
  </si>
  <si>
    <t>Morocco</t>
  </si>
  <si>
    <t>阿加迪尔,摩洛哥</t>
  </si>
  <si>
    <t>AE2</t>
  </si>
  <si>
    <t>SAKAC</t>
  </si>
  <si>
    <t>沙特的阿卜杜拉国王港</t>
  </si>
  <si>
    <t>卡萨布兰卡,摩洛哥</t>
  </si>
  <si>
    <t>TAN</t>
  </si>
  <si>
    <t>AE5</t>
  </si>
  <si>
    <t>ESBCN</t>
  </si>
  <si>
    <t>巴塞罗那</t>
  </si>
  <si>
    <t>30-44</t>
  </si>
  <si>
    <t>小箱货重大于等于18吨且小于23吨收USD100/20GP，大于等于23吨收USD200/20GP</t>
  </si>
  <si>
    <t>超重費2SD &gt;=18T  USD200 2SD&gt;=21T USD400</t>
  </si>
  <si>
    <t>Algeria</t>
  </si>
  <si>
    <t>阿尔及尔,阿尔及利亚</t>
  </si>
  <si>
    <t>MLT</t>
  </si>
  <si>
    <t>马耳他</t>
  </si>
  <si>
    <t>33-39</t>
  </si>
  <si>
    <t>PIR</t>
  </si>
  <si>
    <t>比雷埃夫斯</t>
  </si>
  <si>
    <t>斯基克达,阿尔及利亚</t>
  </si>
  <si>
    <t>VALENCIA</t>
  </si>
  <si>
    <t>BCN</t>
  </si>
  <si>
    <t>ORAN</t>
  </si>
  <si>
    <t>奥兰,阿尔及利亚</t>
  </si>
  <si>
    <t>sea port/dry port都可</t>
  </si>
  <si>
    <t>安纳巴,阿尔及利亚</t>
  </si>
  <si>
    <t>马尔萨什洛克</t>
  </si>
  <si>
    <t>贝贾亚,阿尔及利亚</t>
  </si>
  <si>
    <t>GHAZAOUET</t>
  </si>
  <si>
    <t>盖兹瓦特,阿尔及利亚</t>
  </si>
  <si>
    <t>DJEN DJEN</t>
  </si>
  <si>
    <t>迪真迪结,阿尔及利亚</t>
  </si>
  <si>
    <t>Tunisia</t>
  </si>
  <si>
    <t>比赛大,突尼斯</t>
  </si>
  <si>
    <t>苏塞,突尼斯</t>
  </si>
  <si>
    <t>MTMLA</t>
  </si>
  <si>
    <t>突尼斯,突尼斯</t>
  </si>
  <si>
    <t>MAL</t>
  </si>
  <si>
    <t>SFAX</t>
  </si>
  <si>
    <t>斯法克斯,突尼斯</t>
  </si>
  <si>
    <t>Libya</t>
  </si>
  <si>
    <t>欧胡姆斯,利比亚</t>
  </si>
  <si>
    <t>PORT SAID</t>
  </si>
  <si>
    <t>赛德港</t>
  </si>
  <si>
    <t>米苏拉塔,利比亚</t>
  </si>
  <si>
    <t>BENGHAZI</t>
  </si>
  <si>
    <t>班加西，利比亚</t>
  </si>
  <si>
    <t>ALEXANDRIA NEW PORT</t>
  </si>
  <si>
    <t>Egypt</t>
  </si>
  <si>
    <t>亚历山大新港,埃及</t>
  </si>
  <si>
    <t>BEX</t>
  </si>
  <si>
    <t>贝鲁特</t>
  </si>
  <si>
    <t>ALEXANDRIA</t>
  </si>
  <si>
    <t>亚历山大老港,埃及</t>
  </si>
  <si>
    <t>EGPSE</t>
  </si>
  <si>
    <t>AE20/AE12</t>
  </si>
  <si>
    <t>ALEXANDRA(EL DEKHEILA)</t>
  </si>
  <si>
    <t>DAMIETTA</t>
  </si>
  <si>
    <t>达米埃塔,埃及</t>
  </si>
  <si>
    <t>PORT SAID EAST</t>
  </si>
  <si>
    <t>塞得东港,埃及</t>
  </si>
  <si>
    <t>PORT SAID WEST</t>
  </si>
  <si>
    <t>塞得西港,埃及</t>
  </si>
  <si>
    <t>SOKHNA</t>
  </si>
  <si>
    <t>苏科纳,埃及</t>
  </si>
  <si>
    <t>KLA</t>
  </si>
  <si>
    <t>AE15</t>
  </si>
  <si>
    <t>船公司</t>
  </si>
  <si>
    <t>MSK</t>
  </si>
  <si>
    <t>SAF</t>
  </si>
  <si>
    <t>MSC</t>
  </si>
  <si>
    <t>CMA</t>
  </si>
  <si>
    <t>OOCL</t>
  </si>
  <si>
    <t>ONE</t>
  </si>
  <si>
    <t>40H</t>
    <phoneticPr fontId="6" type="noConversion"/>
  </si>
  <si>
    <t>圣多美,圣多美和普林西比</t>
  </si>
  <si>
    <t>COSCO</t>
  </si>
  <si>
    <t>EMC</t>
  </si>
  <si>
    <t>EMI</t>
  </si>
  <si>
    <t>ZIM</t>
  </si>
  <si>
    <t>HBS</t>
  </si>
  <si>
    <t>PIL</t>
  </si>
  <si>
    <t>NDS</t>
  </si>
  <si>
    <t>HPL</t>
  </si>
  <si>
    <t>BLINE</t>
  </si>
  <si>
    <t>代码</t>
    <phoneticPr fontId="7" type="noConversion"/>
  </si>
  <si>
    <t>船公司</t>
    <phoneticPr fontId="7" type="noConversion"/>
  </si>
  <si>
    <t>E2</t>
    <phoneticPr fontId="6" type="noConversion"/>
  </si>
  <si>
    <t>中转</t>
    <phoneticPr fontId="6" type="noConversion"/>
  </si>
  <si>
    <t>中文</t>
    <phoneticPr fontId="9" type="noConversion"/>
  </si>
  <si>
    <t>序</t>
    <phoneticPr fontId="6" type="noConversion"/>
  </si>
  <si>
    <t>区</t>
    <phoneticPr fontId="9" type="noConversion"/>
  </si>
  <si>
    <t>P</t>
    <phoneticPr fontId="7" type="noConversion"/>
  </si>
  <si>
    <t>E1</t>
    <phoneticPr fontId="6" type="noConversion"/>
  </si>
  <si>
    <t>E3</t>
    <phoneticPr fontId="6" type="noConversion"/>
  </si>
  <si>
    <t>20G</t>
    <phoneticPr fontId="9" type="noConversion"/>
  </si>
  <si>
    <t>40G</t>
    <phoneticPr fontId="9" type="noConversion"/>
  </si>
  <si>
    <t>船期</t>
    <phoneticPr fontId="9" type="noConversion"/>
  </si>
  <si>
    <t>港</t>
    <phoneticPr fontId="9" type="noConversion"/>
  </si>
  <si>
    <t>20'GP(标准报价)</t>
  </si>
  <si>
    <t>40'GP(标准报价)</t>
  </si>
  <si>
    <t>40'HQ(标准报价)</t>
  </si>
  <si>
    <t xml:space="preserve"> 加莱角</t>
  </si>
  <si>
    <t xml:space="preserve">直达 </t>
  </si>
  <si>
    <t>代</t>
    <phoneticPr fontId="6" type="noConversion"/>
  </si>
  <si>
    <t>AE</t>
    <phoneticPr fontId="9" type="noConversion"/>
  </si>
  <si>
    <t>船</t>
    <phoneticPr fontId="6" type="noConversion"/>
  </si>
  <si>
    <t>时间</t>
    <phoneticPr fontId="9" type="noConversion"/>
  </si>
  <si>
    <t>DURBAN</t>
  </si>
  <si>
    <t>CAPETOWN</t>
  </si>
  <si>
    <t>PORT ELIZABETH</t>
  </si>
  <si>
    <t xml:space="preserve">PORT REUNION </t>
  </si>
  <si>
    <t>NIGERIA</t>
  </si>
  <si>
    <t>ANGOLA</t>
  </si>
  <si>
    <t>卢安达,安哥拉</t>
  </si>
  <si>
    <t>CASABLANCA</t>
  </si>
  <si>
    <t>丹吉尔,摩洛哥</t>
  </si>
  <si>
    <t>ALGER</t>
  </si>
  <si>
    <t>SKIKDA</t>
  </si>
  <si>
    <t>ANNABA</t>
  </si>
  <si>
    <t>BEJAIA</t>
  </si>
  <si>
    <t>BIZERTE</t>
  </si>
  <si>
    <t>SOUSSE</t>
  </si>
  <si>
    <t>TUNIS(Rades port)</t>
  </si>
  <si>
    <t>EL KHOMOS</t>
  </si>
  <si>
    <t>MISURATAH</t>
  </si>
  <si>
    <t>TRIPOLI</t>
  </si>
  <si>
    <t>的黎波里,利比亚</t>
  </si>
  <si>
    <t>EBS</t>
    <phoneticPr fontId="9" type="noConversion"/>
  </si>
  <si>
    <t>箱型</t>
    <phoneticPr fontId="6" type="noConversion"/>
  </si>
  <si>
    <t>THC</t>
    <phoneticPr fontId="6" type="noConversion"/>
  </si>
  <si>
    <t>备注</t>
    <phoneticPr fontId="6" type="noConversion"/>
  </si>
  <si>
    <t>ANL</t>
  </si>
  <si>
    <t>20GP</t>
  </si>
  <si>
    <t>40GP</t>
  </si>
  <si>
    <t>40HC</t>
  </si>
  <si>
    <t>45HC</t>
  </si>
  <si>
    <t>APL</t>
  </si>
  <si>
    <t>CNC</t>
  </si>
  <si>
    <t>南美东/南非/东非/澳洲</t>
  </si>
  <si>
    <t>欧地</t>
  </si>
  <si>
    <t>航华</t>
  </si>
  <si>
    <t>HMM</t>
  </si>
  <si>
    <t>IRISL/WOSCO</t>
  </si>
  <si>
    <t>KMTC</t>
  </si>
  <si>
    <t>MCC</t>
  </si>
  <si>
    <t>外运</t>
  </si>
  <si>
    <t>RCL</t>
  </si>
  <si>
    <t>SCI</t>
  </si>
  <si>
    <t>SMDL</t>
  </si>
  <si>
    <t>TS</t>
  </si>
  <si>
    <t>UASC</t>
  </si>
  <si>
    <t>WANHAI</t>
  </si>
  <si>
    <t>紧急提箱费RMB200/400</t>
  </si>
  <si>
    <t>直接复制</t>
    <phoneticPr fontId="9" type="noConversion"/>
  </si>
  <si>
    <t>VGM</t>
    <phoneticPr fontId="6" type="noConversion"/>
  </si>
  <si>
    <t>放单</t>
    <phoneticPr fontId="6" type="noConversion"/>
  </si>
  <si>
    <t>订舱</t>
    <phoneticPr fontId="6" type="noConversion"/>
  </si>
  <si>
    <t>安保</t>
    <phoneticPr fontId="6" type="noConversion"/>
  </si>
  <si>
    <t>封志</t>
    <phoneticPr fontId="6" type="noConversion"/>
  </si>
  <si>
    <t>转运港</t>
    <phoneticPr fontId="6" type="noConversion"/>
  </si>
  <si>
    <t>目的国</t>
    <phoneticPr fontId="6" type="noConversion"/>
  </si>
  <si>
    <t>目的港</t>
    <phoneticPr fontId="6" type="noConversion"/>
  </si>
  <si>
    <t>箱型</t>
  </si>
  <si>
    <t>下限</t>
    <phoneticPr fontId="6" type="noConversion"/>
  </si>
  <si>
    <t>上限</t>
    <phoneticPr fontId="6" type="noConversion"/>
  </si>
  <si>
    <t>转运费</t>
  </si>
  <si>
    <t>备注</t>
  </si>
  <si>
    <t>RAIL</t>
  </si>
  <si>
    <t>RAIL</t>
    <phoneticPr fontId="6" type="noConversion"/>
  </si>
  <si>
    <t>PIL</t>
    <phoneticPr fontId="6" type="noConversion"/>
  </si>
  <si>
    <t>ROAD</t>
    <phoneticPr fontId="6" type="noConversion"/>
  </si>
  <si>
    <t>Abidjan</t>
    <phoneticPr fontId="6" type="noConversion"/>
  </si>
  <si>
    <t>SAF</t>
    <phoneticPr fontId="6" type="noConversion"/>
  </si>
  <si>
    <t>Abidjan</t>
  </si>
  <si>
    <t>TZDAR</t>
  </si>
  <si>
    <t>ROAD</t>
  </si>
  <si>
    <t>出货前提供具体信息确认是否可以接</t>
    <phoneticPr fontId="6" type="noConversion"/>
  </si>
  <si>
    <t>TRUCK</t>
    <phoneticPr fontId="6" type="noConversion"/>
  </si>
  <si>
    <t>Matadi</t>
    <phoneticPr fontId="6" type="noConversion"/>
  </si>
  <si>
    <t>CMA</t>
    <phoneticPr fontId="6" type="noConversion"/>
  </si>
  <si>
    <t>Matadi</t>
  </si>
  <si>
    <t>日期</t>
    <phoneticPr fontId="11" type="noConversion"/>
  </si>
  <si>
    <t>抬头</t>
    <phoneticPr fontId="11" type="noConversion"/>
  </si>
  <si>
    <t>姓名</t>
    <phoneticPr fontId="11" type="noConversion"/>
  </si>
  <si>
    <t>联系方式</t>
    <phoneticPr fontId="11" type="noConversion"/>
  </si>
  <si>
    <t>询价信息</t>
  </si>
  <si>
    <t>报价</t>
  </si>
  <si>
    <t>迅洋</t>
  </si>
  <si>
    <t>畅俊</t>
  </si>
  <si>
    <t>世祥</t>
  </si>
  <si>
    <t>康达</t>
  </si>
  <si>
    <t>锦茗</t>
  </si>
  <si>
    <t>金陵</t>
  </si>
  <si>
    <t>鸿莱</t>
  </si>
  <si>
    <t>承太</t>
  </si>
  <si>
    <t>荣诚</t>
  </si>
  <si>
    <t>集龙</t>
  </si>
  <si>
    <t>广屹</t>
  </si>
  <si>
    <t>港先</t>
  </si>
  <si>
    <t>赛勇</t>
  </si>
  <si>
    <t>国泰通</t>
    <phoneticPr fontId="9" type="noConversion"/>
  </si>
  <si>
    <t>外港</t>
  </si>
  <si>
    <t>周四</t>
  </si>
  <si>
    <t>周五</t>
  </si>
  <si>
    <t>洋山</t>
  </si>
  <si>
    <t>周三</t>
  </si>
  <si>
    <t>周二</t>
  </si>
  <si>
    <t>周一</t>
  </si>
  <si>
    <t>周日</t>
  </si>
  <si>
    <t>周六</t>
  </si>
  <si>
    <t>周四/周六</t>
  </si>
  <si>
    <t>SIN/HK</t>
  </si>
  <si>
    <t>周四/周日</t>
  </si>
  <si>
    <t>42/40</t>
  </si>
  <si>
    <t>外五</t>
  </si>
  <si>
    <t>50/46</t>
  </si>
  <si>
    <t>72/68</t>
  </si>
  <si>
    <t>53/49</t>
  </si>
  <si>
    <t>48/44</t>
  </si>
  <si>
    <t>41/37</t>
  </si>
  <si>
    <t>周一/周四</t>
  </si>
  <si>
    <t>35/42</t>
  </si>
  <si>
    <t>1/4/7</t>
  </si>
  <si>
    <t>35/37/45</t>
  </si>
  <si>
    <t>40/43/40</t>
  </si>
  <si>
    <t>止</t>
    <phoneticPr fontId="6" type="noConversion"/>
  </si>
  <si>
    <t>起</t>
    <phoneticPr fontId="9" type="noConversion"/>
  </si>
  <si>
    <t>先创</t>
    <phoneticPr fontId="9" type="noConversion"/>
  </si>
  <si>
    <t>CNT</t>
    <phoneticPr fontId="11" type="noConversion"/>
  </si>
  <si>
    <t>目的港</t>
    <phoneticPr fontId="9" type="noConversion"/>
  </si>
  <si>
    <t>Mombasa</t>
    <phoneticPr fontId="9" type="noConversion"/>
  </si>
  <si>
    <t>Durban</t>
    <phoneticPr fontId="9" type="noConversion"/>
  </si>
  <si>
    <t>Tema</t>
    <phoneticPr fontId="9" type="noConversion"/>
  </si>
  <si>
    <t>Beira</t>
    <phoneticPr fontId="9" type="noConversion"/>
  </si>
  <si>
    <t>Gaborone</t>
  </si>
  <si>
    <t>三联</t>
    <phoneticPr fontId="9" type="noConversion"/>
  </si>
  <si>
    <t>9-1始设备60</t>
    <phoneticPr fontId="9" type="noConversion"/>
  </si>
  <si>
    <t>非美加线</t>
    <phoneticPr fontId="9" type="noConversion"/>
  </si>
  <si>
    <t>YML普箱</t>
    <phoneticPr fontId="9" type="noConversion"/>
  </si>
  <si>
    <t>美加线</t>
    <phoneticPr fontId="9" type="noConversion"/>
  </si>
  <si>
    <t>正熙</t>
  </si>
  <si>
    <t>环海通</t>
  </si>
  <si>
    <t>地址</t>
    <phoneticPr fontId="7" type="noConversion"/>
  </si>
  <si>
    <t>昌联</t>
  </si>
  <si>
    <t>帝捷</t>
  </si>
  <si>
    <t>洁火</t>
  </si>
  <si>
    <t>物流师</t>
  </si>
  <si>
    <t>腓尼基</t>
  </si>
  <si>
    <t>播瑞</t>
  </si>
  <si>
    <t>瀚尔升</t>
  </si>
  <si>
    <t>朗茂</t>
  </si>
  <si>
    <t>浩嘉</t>
  </si>
  <si>
    <t>迅道</t>
  </si>
  <si>
    <t>胜狮</t>
  </si>
  <si>
    <t>弈瑞</t>
  </si>
  <si>
    <t>淳宏</t>
  </si>
  <si>
    <t>远磐</t>
  </si>
  <si>
    <t>茂源盛</t>
  </si>
  <si>
    <t>浩域</t>
  </si>
  <si>
    <t>海吉</t>
  </si>
  <si>
    <t>国泰通</t>
  </si>
  <si>
    <t>尤斯卡</t>
  </si>
  <si>
    <t>盛凯达</t>
  </si>
  <si>
    <t>盛立</t>
  </si>
  <si>
    <t>德鸿</t>
  </si>
  <si>
    <t>先创</t>
  </si>
  <si>
    <t>明睿</t>
  </si>
  <si>
    <t>万豪</t>
  </si>
  <si>
    <t>铁亨</t>
  </si>
  <si>
    <t>中瑞</t>
  </si>
  <si>
    <t>展晟</t>
  </si>
  <si>
    <t>汉泽</t>
  </si>
  <si>
    <t>泽尚</t>
  </si>
  <si>
    <t>豪升</t>
  </si>
  <si>
    <t>企明</t>
  </si>
  <si>
    <t>粤立申</t>
  </si>
  <si>
    <t>畅运</t>
  </si>
  <si>
    <t>云台</t>
  </si>
  <si>
    <t>三联</t>
  </si>
  <si>
    <t>商展</t>
  </si>
  <si>
    <t>立远</t>
  </si>
  <si>
    <t>宏益</t>
  </si>
  <si>
    <t>博鑫</t>
  </si>
  <si>
    <t>屹龙</t>
  </si>
  <si>
    <t>亚韵</t>
  </si>
  <si>
    <t>汉翔</t>
  </si>
  <si>
    <t>圣名</t>
  </si>
  <si>
    <t>全和悦</t>
  </si>
  <si>
    <t>传盛</t>
  </si>
  <si>
    <t>海骏</t>
  </si>
  <si>
    <t>英阔</t>
  </si>
  <si>
    <t>亚琛</t>
  </si>
  <si>
    <t>丹正</t>
  </si>
  <si>
    <t>革力</t>
  </si>
  <si>
    <t>航泰</t>
  </si>
  <si>
    <t>华海通运</t>
  </si>
  <si>
    <t>鸿茂</t>
  </si>
  <si>
    <t>悦博</t>
  </si>
  <si>
    <t>凯捷</t>
  </si>
  <si>
    <t>深圳</t>
    <phoneticPr fontId="7" type="noConversion"/>
  </si>
  <si>
    <t>宁波</t>
    <phoneticPr fontId="7" type="noConversion"/>
  </si>
  <si>
    <t>地址</t>
    <phoneticPr fontId="9" type="noConversion"/>
  </si>
  <si>
    <t>珩宇</t>
  </si>
  <si>
    <t>8-7 过段时间再说</t>
    <phoneticPr fontId="7" type="noConversion"/>
  </si>
  <si>
    <t>戈洋</t>
    <phoneticPr fontId="7" type="noConversion"/>
  </si>
  <si>
    <t>金雕</t>
    <phoneticPr fontId="7" type="noConversion"/>
  </si>
  <si>
    <t>等等</t>
    <phoneticPr fontId="7" type="noConversion"/>
  </si>
  <si>
    <t>OK</t>
    <phoneticPr fontId="7" type="noConversion"/>
  </si>
  <si>
    <t>鹏城海</t>
  </si>
  <si>
    <t>君驰</t>
  </si>
  <si>
    <t>宸斌</t>
  </si>
  <si>
    <t>必特盛</t>
    <phoneticPr fontId="9" type="noConversion"/>
  </si>
  <si>
    <t>溢云</t>
  </si>
  <si>
    <t>溢云</t>
    <phoneticPr fontId="7" type="noConversion"/>
  </si>
  <si>
    <t>周</t>
    <phoneticPr fontId="9" type="noConversion"/>
  </si>
  <si>
    <t>必特盛</t>
  </si>
  <si>
    <t>金雕</t>
  </si>
  <si>
    <t>唐朝三洋</t>
  </si>
  <si>
    <t>简贸</t>
    <phoneticPr fontId="7" type="noConversion"/>
  </si>
  <si>
    <t>闵行区龙吴路3389号滨江商务广场910室</t>
    <phoneticPr fontId="7" type="noConversion"/>
  </si>
  <si>
    <t>地址确认</t>
    <phoneticPr fontId="7" type="noConversion"/>
  </si>
  <si>
    <t>zhaopin</t>
    <phoneticPr fontId="7" type="noConversion"/>
  </si>
  <si>
    <t>website</t>
    <phoneticPr fontId="7" type="noConversion"/>
  </si>
  <si>
    <t>杨浦区荆州路280号D座207</t>
    <phoneticPr fontId="7" type="noConversion"/>
  </si>
  <si>
    <t>虹口区南浔路260号(隆江大厦)3楼316</t>
    <phoneticPr fontId="7" type="noConversion"/>
  </si>
  <si>
    <t>虹口区东大名路359号百联置业大厦裙楼2楼</t>
    <phoneticPr fontId="7" type="noConversion"/>
  </si>
  <si>
    <t>虹口区海伦路160号2幢434室</t>
    <phoneticPr fontId="7" type="noConversion"/>
  </si>
  <si>
    <t>青浦区朱家角镇康业路901弄98号4层U区424室</t>
    <phoneticPr fontId="7" type="noConversion"/>
  </si>
  <si>
    <t>野路子</t>
    <phoneticPr fontId="7" type="noConversion"/>
  </si>
  <si>
    <t>杨浦区昆明路572号荣广商务中心B区4层401B/401C室</t>
    <phoneticPr fontId="7" type="noConversion"/>
  </si>
  <si>
    <t>泰州</t>
    <phoneticPr fontId="7" type="noConversion"/>
  </si>
  <si>
    <t>青岛</t>
    <phoneticPr fontId="7" type="noConversion"/>
  </si>
  <si>
    <t>浦东新区施新路555号3号101室
虹口区哈尔滨路1号604室
虹口区 曲阳路118号2号楼1402室</t>
    <phoneticPr fontId="7" type="noConversion"/>
  </si>
  <si>
    <t>虹口区花园商务楼花园路84号7楼</t>
    <phoneticPr fontId="7" type="noConversion"/>
  </si>
  <si>
    <t>华亿惠通</t>
  </si>
  <si>
    <t>华亿惠通</t>
    <phoneticPr fontId="7" type="noConversion"/>
  </si>
  <si>
    <t>QQ</t>
    <phoneticPr fontId="7" type="noConversion"/>
  </si>
  <si>
    <t>华原</t>
  </si>
  <si>
    <t>华原</t>
    <phoneticPr fontId="7" type="noConversion"/>
  </si>
  <si>
    <t>安徽</t>
    <phoneticPr fontId="7" type="noConversion"/>
  </si>
  <si>
    <t>虹口区海伦路178号宏伦大厦4楼D-E座
虹口区四平路277号17B</t>
    <phoneticPr fontId="7" type="noConversion"/>
  </si>
  <si>
    <t>简贸</t>
  </si>
  <si>
    <t>合计</t>
  </si>
  <si>
    <t>计数</t>
  </si>
  <si>
    <t>卫青</t>
  </si>
  <si>
    <t>卫青</t>
    <phoneticPr fontId="7" type="noConversion"/>
  </si>
  <si>
    <t>江苏</t>
    <phoneticPr fontId="7" type="noConversion"/>
  </si>
  <si>
    <t>天眼
野
51job</t>
    <phoneticPr fontId="7" type="noConversion"/>
  </si>
  <si>
    <t>天眼</t>
    <phoneticPr fontId="7" type="noConversion"/>
  </si>
  <si>
    <t>叶蕾</t>
    <phoneticPr fontId="7" type="noConversion"/>
  </si>
  <si>
    <t>镇江</t>
    <phoneticPr fontId="7" type="noConversion"/>
  </si>
  <si>
    <t>杨浦区平凉路1398号508室
虹口区四平路1809室
闵行区闵北路88弄1-30号第22幢X131室
虹口区四平路775号1911室</t>
    <phoneticPr fontId="7" type="noConversion"/>
  </si>
  <si>
    <t>QQ
liepin
看准
website</t>
    <phoneticPr fontId="7" type="noConversion"/>
  </si>
  <si>
    <t>QQ/website</t>
    <phoneticPr fontId="7" type="noConversion"/>
  </si>
  <si>
    <t>崇明区北沿公路2111号32幢107室-3
杨浦区霍山路890号北大楼206室</t>
    <phoneticPr fontId="7" type="noConversion"/>
  </si>
  <si>
    <t>liepin
likuso</t>
    <phoneticPr fontId="7" type="noConversion"/>
  </si>
  <si>
    <t>大连路1619号骏丰国际广场27楼2701室
大连路1619号骏丰国际广场2101室
东大名路1191号17121室</t>
    <phoneticPr fontId="7" type="noConversion"/>
  </si>
  <si>
    <t>QQ
必应/website
百度企信</t>
    <phoneticPr fontId="7" type="noConversion"/>
  </si>
  <si>
    <t>海伦路160号2幢3楼B303室</t>
    <phoneticPr fontId="7" type="noConversion"/>
  </si>
  <si>
    <t>天眼/liepin</t>
    <phoneticPr fontId="7" type="noConversion"/>
  </si>
  <si>
    <t>周家嘴路338弄2号4A室</t>
    <phoneticPr fontId="7" type="noConversion"/>
  </si>
  <si>
    <t>国桥远航</t>
  </si>
  <si>
    <t>国桥远航</t>
    <phoneticPr fontId="7" type="noConversion"/>
  </si>
  <si>
    <t>百聘</t>
    <phoneticPr fontId="7" type="noConversion"/>
  </si>
  <si>
    <t>黄浦区北京东路668号上海科技京城西楼17层I室4号</t>
    <phoneticPr fontId="7" type="noConversion"/>
  </si>
  <si>
    <t>必应地图
野</t>
    <phoneticPr fontId="7" type="noConversion"/>
  </si>
  <si>
    <t>戈洋</t>
  </si>
  <si>
    <t>看准
野
野
qichacha</t>
    <phoneticPr fontId="7" type="noConversion"/>
  </si>
  <si>
    <t>南京</t>
    <phoneticPr fontId="7" type="noConversion"/>
  </si>
  <si>
    <t>江苏环球</t>
  </si>
  <si>
    <t>江苏环球</t>
    <phoneticPr fontId="7" type="noConversion"/>
  </si>
  <si>
    <t>虹口区四平路257号33楼</t>
    <phoneticPr fontId="7" type="noConversion"/>
  </si>
  <si>
    <t>58同城</t>
    <phoneticPr fontId="7" type="noConversion"/>
  </si>
  <si>
    <t xml:space="preserve">
天眼/企信
野</t>
    <phoneticPr fontId="7" type="noConversion"/>
  </si>
  <si>
    <t>虹口区四平路710号736-I室
虹口区天宝路578号1807室
虹口区宝山路778号810室</t>
    <phoneticPr fontId="7" type="noConversion"/>
  </si>
  <si>
    <t>宝山区锦秋路48号C569
宝山区丰翔路198号
闵行区金都路1766号南区2楼9号
虹口区东大名路1191号16629室</t>
    <phoneticPr fontId="7" type="noConversion"/>
  </si>
  <si>
    <t>万年青</t>
  </si>
  <si>
    <t>万年青</t>
    <phoneticPr fontId="7" type="noConversion"/>
  </si>
  <si>
    <t>暂不管</t>
    <phoneticPr fontId="7" type="noConversion"/>
  </si>
  <si>
    <t>徐敏：价格并不理想，降价也没给更新</t>
    <phoneticPr fontId="7" type="noConversion"/>
  </si>
  <si>
    <t>杨浦区荆州路334弄108号荣广商务中心A区1号楼1层
松江区科技园区青云街58号A区</t>
    <phoneticPr fontId="7" type="noConversion"/>
  </si>
  <si>
    <t>虹口区四平路198号轻工国际大厦18楼</t>
    <phoneticPr fontId="7" type="noConversion"/>
  </si>
  <si>
    <t>宝山区双城路803弄9号宝莲城9号楼19层</t>
    <phoneticPr fontId="7" type="noConversion"/>
  </si>
  <si>
    <t>嘉定区澄浏中路3128弄77号801室</t>
    <phoneticPr fontId="7" type="noConversion"/>
  </si>
  <si>
    <t>龚迪：在南京，上海不负责业务</t>
    <phoneticPr fontId="9" type="noConversion"/>
  </si>
  <si>
    <t>星期</t>
    <phoneticPr fontId="9" type="noConversion"/>
  </si>
  <si>
    <t>深圳优通</t>
  </si>
  <si>
    <t>深圳优通</t>
    <phoneticPr fontId="9" type="noConversion"/>
  </si>
  <si>
    <t>翼嘉</t>
    <phoneticPr fontId="9" type="noConversion"/>
  </si>
  <si>
    <t>OK</t>
    <phoneticPr fontId="9" type="noConversion"/>
  </si>
  <si>
    <t>法人解晓丽 监事解金柱 傲慢无知的解成：非洲货&lt;5%</t>
    <phoneticPr fontId="9" type="noConversion"/>
  </si>
  <si>
    <t xml:space="preserve">合肥瑶海区临泉东路瑶海万达4#写字楼503-505 1502室 </t>
    <phoneticPr fontId="7" type="noConversion"/>
  </si>
  <si>
    <t>深圳市盐田区深盐路1115号荣丰大厦501</t>
    <phoneticPr fontId="7" type="noConversion"/>
  </si>
  <si>
    <t>宁波百福</t>
  </si>
  <si>
    <t>宁波百福</t>
    <phoneticPr fontId="9" type="noConversion"/>
  </si>
  <si>
    <t>深圳德健</t>
  </si>
  <si>
    <t>深圳德健</t>
    <phoneticPr fontId="9" type="noConversion"/>
  </si>
  <si>
    <t>宁波港泰</t>
  </si>
  <si>
    <t>宁波港泰</t>
    <phoneticPr fontId="7" type="noConversion"/>
  </si>
  <si>
    <t>泰州高新</t>
  </si>
  <si>
    <t>泰州高新</t>
    <phoneticPr fontId="9" type="noConversion"/>
  </si>
  <si>
    <t>南京骏高</t>
    <phoneticPr fontId="9" type="noConversion"/>
  </si>
  <si>
    <t>江苏康成</t>
  </si>
  <si>
    <t>江苏康成</t>
    <phoneticPr fontId="9" type="noConversion"/>
  </si>
  <si>
    <t>青岛丽世</t>
  </si>
  <si>
    <t>青岛丽世</t>
    <phoneticPr fontId="9" type="noConversion"/>
  </si>
  <si>
    <t>青岛龙泽</t>
  </si>
  <si>
    <t>青岛龙泽</t>
    <phoneticPr fontId="9" type="noConversion"/>
  </si>
  <si>
    <t>镇江南泰</t>
  </si>
  <si>
    <t>镇江南泰</t>
    <phoneticPr fontId="9" type="noConversion"/>
  </si>
  <si>
    <t>宁波通富</t>
  </si>
  <si>
    <t>宁波通富</t>
    <phoneticPr fontId="9" type="noConversion"/>
  </si>
  <si>
    <t>深圳旭日</t>
  </si>
  <si>
    <t>深圳旭日</t>
    <phoneticPr fontId="9" type="noConversion"/>
  </si>
  <si>
    <t>宁波亿凯</t>
  </si>
  <si>
    <t>宁波亿凯</t>
    <phoneticPr fontId="9" type="noConversion"/>
  </si>
  <si>
    <t>安徽远通</t>
    <phoneticPr fontId="9" type="noConversion"/>
  </si>
  <si>
    <t>宁波泽洋</t>
  </si>
  <si>
    <t>宁波泽洋</t>
    <phoneticPr fontId="9" type="noConversion"/>
  </si>
  <si>
    <t>青岛中创</t>
  </si>
  <si>
    <t>青岛中创</t>
    <phoneticPr fontId="9" type="noConversion"/>
  </si>
  <si>
    <t>垚铠</t>
    <phoneticPr fontId="9" type="noConversion"/>
  </si>
  <si>
    <t>Lisa：天天咚咚呛，怎么也不会忘了你</t>
    <phoneticPr fontId="9" type="noConversion"/>
  </si>
  <si>
    <t>瀛和</t>
    <phoneticPr fontId="9" type="noConversion"/>
  </si>
  <si>
    <t>金大地</t>
    <phoneticPr fontId="9" type="noConversion"/>
  </si>
  <si>
    <t>世界广场</t>
    <phoneticPr fontId="9" type="noConversion"/>
  </si>
  <si>
    <t>设计交流中心</t>
  </si>
  <si>
    <t>司麦脱</t>
  </si>
  <si>
    <t>地标</t>
    <phoneticPr fontId="7" type="noConversion"/>
  </si>
  <si>
    <t>司麦脱</t>
    <phoneticPr fontId="9" type="noConversion"/>
  </si>
  <si>
    <t>CNT</t>
    <phoneticPr fontId="7" type="noConversion"/>
  </si>
  <si>
    <t>森林湾</t>
    <phoneticPr fontId="7" type="noConversion"/>
  </si>
  <si>
    <t>森林湾</t>
    <phoneticPr fontId="9" type="noConversion"/>
  </si>
  <si>
    <t>长宁区宣化路300号华宁国际广场</t>
    <phoneticPr fontId="7" type="noConversion"/>
  </si>
  <si>
    <t>科技京城</t>
    <phoneticPr fontId="9" type="noConversion"/>
  </si>
  <si>
    <t>AE1</t>
    <phoneticPr fontId="9" type="noConversion"/>
  </si>
  <si>
    <t>抬头</t>
    <phoneticPr fontId="7" type="noConversion"/>
  </si>
  <si>
    <t>Focus</t>
    <phoneticPr fontId="7" type="noConversion"/>
  </si>
  <si>
    <t>金文清</t>
    <phoneticPr fontId="9" type="noConversion"/>
  </si>
  <si>
    <t>保密</t>
    <phoneticPr fontId="9" type="noConversion"/>
  </si>
  <si>
    <t>地址不祥：虹口区四平路325号102室</t>
    <phoneticPr fontId="7" type="noConversion"/>
  </si>
  <si>
    <t>保密</t>
    <phoneticPr fontId="7" type="noConversion"/>
  </si>
  <si>
    <t>汉神</t>
    <phoneticPr fontId="9" type="noConversion"/>
  </si>
  <si>
    <t>无锡世能</t>
    <phoneticPr fontId="9" type="noConversion"/>
  </si>
  <si>
    <t>宜兴</t>
    <phoneticPr fontId="9" type="noConversion"/>
  </si>
  <si>
    <t>嘉旭</t>
    <phoneticPr fontId="9" type="noConversion"/>
  </si>
  <si>
    <t>销售主管
两个销售主管，五个航线经理</t>
    <phoneticPr fontId="9" type="noConversion"/>
  </si>
  <si>
    <t>专业国际海空运--石坤</t>
  </si>
  <si>
    <t>朱真-领氏物流</t>
  </si>
  <si>
    <t>领氏</t>
  </si>
  <si>
    <t>朱燕敏-盛立国际物流集团</t>
  </si>
  <si>
    <t>朱学强-上海煊创国际物流</t>
  </si>
  <si>
    <t>煊创</t>
  </si>
  <si>
    <t>周云韵</t>
  </si>
  <si>
    <t>中威-吴琴 87721044</t>
  </si>
  <si>
    <t>中威</t>
  </si>
  <si>
    <t>中铁销售-Carl</t>
  </si>
  <si>
    <t>中建材国贸</t>
  </si>
  <si>
    <t>臻泰国际货运小唐</t>
  </si>
  <si>
    <t>臻泰</t>
  </si>
  <si>
    <t>浙江永达</t>
  </si>
  <si>
    <t>长帆ANNE</t>
  </si>
  <si>
    <t>广州长帆</t>
  </si>
  <si>
    <t>张勇峰</t>
  </si>
  <si>
    <t>张丽君-上海罗亚国际货运</t>
  </si>
  <si>
    <t>罗亚</t>
  </si>
  <si>
    <t>张超-盛立国际货运</t>
  </si>
  <si>
    <t>张超上海盛立国际集团</t>
  </si>
  <si>
    <t>杂货市场小高手</t>
  </si>
  <si>
    <t>有庭</t>
  </si>
  <si>
    <t>盈泓张先生</t>
  </si>
  <si>
    <t>盈泓</t>
  </si>
  <si>
    <t>易安达贸易（深圳</t>
  </si>
  <si>
    <t>易安达</t>
  </si>
  <si>
    <t>迅宇</t>
  </si>
  <si>
    <t>徐青青-上海世祥国际</t>
  </si>
  <si>
    <t>-小邱</t>
  </si>
  <si>
    <t>西联-周鑫</t>
  </si>
  <si>
    <t>西联</t>
  </si>
  <si>
    <t>王先英-盛立国际货运</t>
  </si>
  <si>
    <t>王六元</t>
  </si>
  <si>
    <t>外贸随缘</t>
  </si>
  <si>
    <t>深圳优通 - suki 3246896442</t>
  </si>
  <si>
    <t>深圳优通 - Gem 3399075461</t>
  </si>
  <si>
    <t>垚铠</t>
  </si>
  <si>
    <t>上海世祥 - 蔡灿 822126163</t>
  </si>
  <si>
    <t>上海盛立集团的</t>
  </si>
  <si>
    <t>上海荣诚 - 江丹丹 2881536704</t>
  </si>
  <si>
    <t>上海开源国际物流</t>
  </si>
  <si>
    <t>开源</t>
  </si>
  <si>
    <t>上海金雕 - 金夜莲 875468465</t>
  </si>
  <si>
    <t>上海集龙 - 王冰冰 2881601591</t>
  </si>
  <si>
    <t>上海港先 - 李琦 3002221278</t>
  </si>
  <si>
    <t>上海港先 - 李明 3002255096</t>
  </si>
  <si>
    <t>上海播瑞 - 刘健 2880265343</t>
  </si>
  <si>
    <t>翼嘉</t>
  </si>
  <si>
    <t>安徽金陵 - 王奔 2837083776</t>
  </si>
  <si>
    <t>安徽金陵</t>
  </si>
  <si>
    <t>UASC小薛</t>
  </si>
  <si>
    <t>374江苏国联薄板有</t>
  </si>
  <si>
    <t>江苏国联</t>
  </si>
  <si>
    <t>278蒋小姐</t>
  </si>
  <si>
    <t>274方小姐</t>
  </si>
  <si>
    <t>266龚小姐</t>
  </si>
  <si>
    <t>12 妮采国际-王奕</t>
  </si>
  <si>
    <t>妮采</t>
  </si>
  <si>
    <t>夯星</t>
  </si>
  <si>
    <t>众迅</t>
  </si>
  <si>
    <t>新新运</t>
  </si>
  <si>
    <t>安海</t>
  </si>
  <si>
    <t>航帆</t>
  </si>
  <si>
    <t>多有</t>
  </si>
  <si>
    <t>笙太</t>
  </si>
  <si>
    <t>创丰</t>
  </si>
  <si>
    <t>做到欧洲铁路</t>
  </si>
  <si>
    <t>Dead</t>
  </si>
  <si>
    <t>庄 - 宁波联合 KOO 何'R</t>
  </si>
  <si>
    <t>庄 - 联合船代 - 睿弘-rex</t>
  </si>
  <si>
    <t>专业代理报关</t>
  </si>
  <si>
    <t>主要做国外客户 FOB</t>
  </si>
  <si>
    <t>中善</t>
  </si>
  <si>
    <t>中锐达操作</t>
  </si>
  <si>
    <t>中锐达</t>
  </si>
  <si>
    <t>中锐达 操作 袁小</t>
  </si>
  <si>
    <t>郑藤</t>
  </si>
  <si>
    <t>臻泰操作-小池</t>
  </si>
  <si>
    <t>真的不需要以后不要给我发哦</t>
  </si>
  <si>
    <t>翼嘉货运 操作</t>
  </si>
  <si>
    <t>以后不要再发了谢谢</t>
  </si>
  <si>
    <t>已有联系人</t>
  </si>
  <si>
    <t>已经有联系的</t>
  </si>
  <si>
    <t>叶蕾 上海明睿 以后不发了</t>
  </si>
  <si>
    <t>盐城中泓单证钱</t>
  </si>
  <si>
    <t>亚川操作-管</t>
  </si>
  <si>
    <t>我们不用欧洲线</t>
  </si>
  <si>
    <t>同行 中南美</t>
  </si>
  <si>
    <t>同行 东南亚</t>
  </si>
  <si>
    <t>同行 - 中欧中亚俄罗斯铁路</t>
  </si>
  <si>
    <t>同行 - 危泰</t>
  </si>
  <si>
    <t>同行 - 万年青 - 张维娜</t>
  </si>
  <si>
    <t>同行 - 上海美设 - 王振卿</t>
  </si>
  <si>
    <t>同行 - 上海迈胜</t>
  </si>
  <si>
    <t>同行 - 上海安海</t>
  </si>
  <si>
    <t>安城</t>
  </si>
  <si>
    <t>同行 - 全线拼箱 - 青岛凯迪小苗</t>
  </si>
  <si>
    <t>同行 - 全航线</t>
  </si>
  <si>
    <t>同行 - 空运代理</t>
  </si>
  <si>
    <t>同行 - 东南亚 - 万年青 王玺</t>
  </si>
  <si>
    <t>停用-张桓-盛立国际</t>
  </si>
  <si>
    <t>世祥操作朱燕敏</t>
  </si>
  <si>
    <t>世祥操作 整箱 朱斌</t>
  </si>
  <si>
    <t>世祥操作 仇瑱</t>
  </si>
  <si>
    <t>石家庄班列，什么鬼</t>
  </si>
  <si>
    <t>笙泰操作 -吕晓琳</t>
  </si>
  <si>
    <t>深圳港中旅华贸 请不要发我了</t>
  </si>
  <si>
    <t>深圳港中旅</t>
  </si>
  <si>
    <t>上海振标拖车 蔡'S</t>
  </si>
  <si>
    <t>上海奕力 铁路运输 roger</t>
  </si>
  <si>
    <t>上海世祥 - 陈昭 商务蔡灿询价不用发了</t>
  </si>
  <si>
    <t>上海盛世 - 不做询价</t>
  </si>
  <si>
    <t>上海胜狮 Lily 操作</t>
  </si>
  <si>
    <t>上海圣名 - 徐捷 - 操作主管</t>
  </si>
  <si>
    <t>上海睿博 小朱 操作</t>
  </si>
  <si>
    <t>上海睿博 小韩 操</t>
  </si>
  <si>
    <t>上海龙昱 张'S 操</t>
  </si>
  <si>
    <t>上海立远 echo 操作</t>
  </si>
  <si>
    <t>上海蓝海 操作</t>
  </si>
  <si>
    <t>上海康达 操作</t>
  </si>
  <si>
    <t>上海康达 sophia 操</t>
  </si>
  <si>
    <t>上海凯捷 - 章燕 不用发了</t>
  </si>
  <si>
    <t>上海华星 操作</t>
  </si>
  <si>
    <t>商检产地证核销单</t>
  </si>
  <si>
    <t>删了我</t>
  </si>
  <si>
    <t>请删除我 - 上海泽世</t>
  </si>
  <si>
    <t>青岛新新运</t>
  </si>
  <si>
    <t>青岛华航-李R 没有上海的业务</t>
  </si>
  <si>
    <t>浦东国际 Tracy 操</t>
  </si>
  <si>
    <t>拼箱-高圣言</t>
  </si>
  <si>
    <t>彭友清客户</t>
  </si>
  <si>
    <t>彭友清 上海远磐 - 纪伟 3002702568</t>
  </si>
  <si>
    <t>跑单 小虎</t>
  </si>
  <si>
    <t>欧太张冬生</t>
  </si>
  <si>
    <t>宁波恒良 已有联系人</t>
  </si>
  <si>
    <t>你们公司不可能合作 2851091435</t>
  </si>
  <si>
    <t>南美印度 - 整箱 - 朱学强</t>
  </si>
  <si>
    <t>南京骏高 - 刘雁飞 刘姐 120324616</t>
  </si>
  <si>
    <t>骏高</t>
  </si>
  <si>
    <t>南京骏高 - 衡小姐 - 操作</t>
  </si>
  <si>
    <t>目前用不上</t>
  </si>
  <si>
    <t>门到门订舱网</t>
  </si>
  <si>
    <t>没非洲线的货 你不要再发了</t>
  </si>
  <si>
    <t>买单报关商检产地证</t>
  </si>
  <si>
    <t>联系陈芸 - 吴康群</t>
  </si>
  <si>
    <t>快递助手系统</t>
  </si>
  <si>
    <t>空运为主几乎没有海运</t>
  </si>
  <si>
    <t>空运</t>
  </si>
  <si>
    <t>凯希物流-整箱部-李季儒</t>
  </si>
  <si>
    <t>近洋 用不上</t>
  </si>
  <si>
    <t>锦程物流网</t>
  </si>
  <si>
    <t>江苏远洋</t>
  </si>
  <si>
    <t>环世</t>
  </si>
  <si>
    <t>恒道IT</t>
  </si>
  <si>
    <t>航帆 黄蓉 财务经</t>
  </si>
  <si>
    <t>杭州世航 操作</t>
  </si>
  <si>
    <t>杭州华策</t>
  </si>
  <si>
    <t>国外指定货代，用不到</t>
  </si>
  <si>
    <t>费戈铂实业上海有</t>
  </si>
  <si>
    <t>东捷国际空运Water</t>
  </si>
  <si>
    <t>代做COC/PVOC证书</t>
  </si>
  <si>
    <t>大洋国际铁路-Carter</t>
  </si>
  <si>
    <t>魑魅魍魉</t>
  </si>
  <si>
    <t>车队 - 孙亚东</t>
  </si>
  <si>
    <t>车队 - 散货 - 汪皖</t>
  </si>
  <si>
    <t>操作</t>
  </si>
  <si>
    <t>不做这个了</t>
  </si>
  <si>
    <t>不做非洲线</t>
  </si>
  <si>
    <t>不用给我发了</t>
  </si>
  <si>
    <t>不用发了，抒我删了吧</t>
  </si>
  <si>
    <t>不用发？</t>
  </si>
  <si>
    <t>不用</t>
  </si>
  <si>
    <t>不需要 - 立远南美-peter杨帆</t>
  </si>
  <si>
    <t>保险 - 水险经纪人/NVOCC业务小李</t>
  </si>
  <si>
    <t>安徽金陵操作-徐小姐</t>
  </si>
  <si>
    <t>阿里巴巴-刘楚</t>
  </si>
  <si>
    <t>A上海广屹船务-范锋Van</t>
  </si>
  <si>
    <t>A 丁娴-常利来货运</t>
  </si>
  <si>
    <t>重大件运输/翁生</t>
  </si>
  <si>
    <t>中成国际运输 赵</t>
  </si>
  <si>
    <t>中成</t>
  </si>
  <si>
    <t>先创小鱼</t>
  </si>
  <si>
    <t>王海峰-上海神东船务有限</t>
  </si>
  <si>
    <t>神东</t>
  </si>
  <si>
    <t>同行 - 欧美加空运</t>
  </si>
  <si>
    <t>同行 - 美加东南亚 - 上海海舟物流</t>
  </si>
  <si>
    <t>海舟</t>
  </si>
  <si>
    <t>同行 - 江苏宝达 FRANK</t>
  </si>
  <si>
    <t>江苏宝达</t>
  </si>
  <si>
    <t>同行 - 广州海龙 - Johnny</t>
  </si>
  <si>
    <t>同行 - 2851395520</t>
  </si>
  <si>
    <t>天地任我行</t>
  </si>
  <si>
    <t>酸菜鱼</t>
  </si>
  <si>
    <t>苏州远洋小施</t>
  </si>
  <si>
    <t>史海青-上海盛立货运集团</t>
  </si>
  <si>
    <t>石王益-盛立国际物流 LILY</t>
  </si>
  <si>
    <t>石方方-盛立国际货运</t>
  </si>
  <si>
    <t>施周兴-盛立货运（黄杰）</t>
  </si>
  <si>
    <t>盛立王梦璐</t>
  </si>
  <si>
    <t>盛立集团的胡蝶</t>
  </si>
  <si>
    <t>盛立集团</t>
  </si>
  <si>
    <t>盛立货运集团</t>
  </si>
  <si>
    <t>盛立货运~石小红</t>
  </si>
  <si>
    <t>盛立国际张新</t>
  </si>
  <si>
    <t>盛立国际-马晓飞</t>
  </si>
  <si>
    <t>盛立国际集团——施歌</t>
  </si>
  <si>
    <t>邵金龙-上海锦茗国际货运</t>
  </si>
  <si>
    <t>上海中善-小丁</t>
  </si>
  <si>
    <t>上海镒祺-全球进口/出口门</t>
  </si>
  <si>
    <t>镒祺</t>
  </si>
  <si>
    <t>上海镒祺国际货运</t>
  </si>
  <si>
    <t>上海一挚物流的杨</t>
  </si>
  <si>
    <t>一挚</t>
  </si>
  <si>
    <t>上海迅洋 - 杨靖 81218682</t>
  </si>
  <si>
    <t>上海通世 美加线</t>
  </si>
  <si>
    <t>通世</t>
  </si>
  <si>
    <t>世倡</t>
  </si>
  <si>
    <t>上海盛立张阳阳</t>
  </si>
  <si>
    <t>上海盛立张金平</t>
  </si>
  <si>
    <t>上海盛立史艳平</t>
  </si>
  <si>
    <t>上海盛立石晴</t>
  </si>
  <si>
    <t>上海盛立国际--张洋</t>
  </si>
  <si>
    <t>上海晟屹 刘萍华</t>
  </si>
  <si>
    <t>晟屹</t>
  </si>
  <si>
    <t>上海萨富 KITTY 52686</t>
  </si>
  <si>
    <t>萨富</t>
  </si>
  <si>
    <t>上海荣诚货代的小查！麻烦您同意一下</t>
  </si>
  <si>
    <t>上海普域国际 刘</t>
  </si>
  <si>
    <t>普域</t>
  </si>
  <si>
    <t>上海努诺货运</t>
  </si>
  <si>
    <t>努诺</t>
  </si>
  <si>
    <t>上海南美货代</t>
  </si>
  <si>
    <t>上海罗亚国际货运-孙荣霞</t>
  </si>
  <si>
    <t>上海罗亚 陈璐</t>
  </si>
  <si>
    <t>上海罗亚</t>
  </si>
  <si>
    <t>上海隆鼎客服</t>
  </si>
  <si>
    <t>隆鼎</t>
  </si>
  <si>
    <t>上海立远/上海立</t>
  </si>
  <si>
    <t>上海康达 jennfer</t>
  </si>
  <si>
    <t>上海凯捷新客服朱圣琦</t>
  </si>
  <si>
    <t>上海进口清关物流</t>
  </si>
  <si>
    <t>上海洁火国际物流-石王益</t>
  </si>
  <si>
    <t>上海华原 EVA</t>
  </si>
  <si>
    <t>上海鸿茂国际天津分公司的</t>
  </si>
  <si>
    <t>浩大</t>
  </si>
  <si>
    <t>海翱</t>
  </si>
  <si>
    <t>上海共繁国际物流——罗志祥</t>
  </si>
  <si>
    <t>共繁</t>
  </si>
  <si>
    <t>上海共繁</t>
  </si>
  <si>
    <t>上海港兴</t>
  </si>
  <si>
    <t>顶尖</t>
  </si>
  <si>
    <t>上海帝捷 alex</t>
  </si>
  <si>
    <t>上海创丰 Vilynn wang</t>
  </si>
  <si>
    <t>晨曦</t>
  </si>
  <si>
    <t>上海安城LARY 王帆</t>
  </si>
  <si>
    <t>山东龙繁国际贸易</t>
  </si>
  <si>
    <t>山东龙繁</t>
  </si>
  <si>
    <t>日后有出口业务咨询你一下</t>
  </si>
  <si>
    <t>仁君（已用企业QQ）</t>
  </si>
  <si>
    <t>青岛华丰物流</t>
  </si>
  <si>
    <t>青岛滚装散货船代</t>
  </si>
  <si>
    <t>宁波联洋船务王'R</t>
  </si>
  <si>
    <t>宁波联洋</t>
  </si>
  <si>
    <t>吕晓玲-盛立国际货运</t>
  </si>
  <si>
    <t>刘艳-盛立国际货运</t>
  </si>
  <si>
    <t>刘坦--盛立国际</t>
  </si>
  <si>
    <t>刘春燕-上海盛立国际物流</t>
  </si>
  <si>
    <t>领氏空运-杨丽</t>
  </si>
  <si>
    <t>领氏空运-小俞</t>
  </si>
  <si>
    <t>领氏空运</t>
  </si>
  <si>
    <t>凯州soso</t>
  </si>
  <si>
    <t>宁波凯州</t>
  </si>
  <si>
    <t>凯捷李茜</t>
  </si>
  <si>
    <t>开源 谢梁俊 6309642</t>
  </si>
  <si>
    <t>玖茂泽运 小黄（</t>
  </si>
  <si>
    <t>玖茂</t>
  </si>
  <si>
    <t>江苏远洋苏州公司</t>
  </si>
  <si>
    <t>江苏远洋 Terry</t>
  </si>
  <si>
    <t>金澔</t>
  </si>
  <si>
    <t>江苏常新供应链/</t>
  </si>
  <si>
    <t>江苏常新</t>
  </si>
  <si>
    <t>集龙国际</t>
  </si>
  <si>
    <t>黄冬梅-盛立集团</t>
  </si>
  <si>
    <t>环世捷运 朱'S</t>
  </si>
  <si>
    <t>环球国际物流 Benny</t>
  </si>
  <si>
    <t>华夏惠通的sharon</t>
  </si>
  <si>
    <t>深圳华夏惠通</t>
  </si>
  <si>
    <t>何斌-上海君临国际物流</t>
  </si>
  <si>
    <t>君临</t>
  </si>
  <si>
    <t>好望国际货运周小</t>
  </si>
  <si>
    <t>好望</t>
  </si>
  <si>
    <t>国际海运-ANSWER</t>
  </si>
  <si>
    <t>广州亿程-Anson</t>
  </si>
  <si>
    <t>广州亿程</t>
  </si>
  <si>
    <t>共越国际物流—黎</t>
  </si>
  <si>
    <t>共越</t>
  </si>
  <si>
    <t>共繁-孙威</t>
  </si>
  <si>
    <t>菲利科思DORA</t>
  </si>
  <si>
    <t>德威 李卫杰</t>
  </si>
  <si>
    <t>德威</t>
  </si>
  <si>
    <t>崔月娥-上海昇远国际物流</t>
  </si>
  <si>
    <t>昇远</t>
  </si>
  <si>
    <t>昌莉-谊洋国际货物运输代</t>
  </si>
  <si>
    <t>谊洋</t>
  </si>
  <si>
    <t>包包-凯捷</t>
  </si>
  <si>
    <t>安徽金陵 汪婷 财</t>
  </si>
  <si>
    <t>艾小雨-盛立国际物流集团</t>
  </si>
  <si>
    <t>Ruler-上海瑞天国际物流</t>
  </si>
  <si>
    <t>瑞天</t>
  </si>
  <si>
    <t>A司彩云-盛立国际货运࿄</t>
  </si>
  <si>
    <t>A盛立国际货运周进</t>
  </si>
  <si>
    <t>A森林国际物流</t>
  </si>
  <si>
    <t>森林</t>
  </si>
  <si>
    <t>A全航线拼箱-梅坤珍</t>
  </si>
  <si>
    <t>A李龙--海空运一级代理</t>
  </si>
  <si>
    <t>A高丽平-上海盛立国际货运</t>
  </si>
  <si>
    <t>Angel-上海播瑞小王</t>
  </si>
  <si>
    <t>Allen-埔成货运</t>
  </si>
  <si>
    <t>埔成</t>
  </si>
  <si>
    <t>AA袁兴15000320218</t>
  </si>
  <si>
    <t>AA盛立国际-朱雨</t>
  </si>
  <si>
    <t>AA货代-蔡龙</t>
  </si>
  <si>
    <t>AAA货代-周庆安</t>
  </si>
  <si>
    <t>AAA-何强上海盛立国际货运</t>
  </si>
  <si>
    <t>A.富海通戴利平/Mike2</t>
  </si>
  <si>
    <t>富海通</t>
  </si>
  <si>
    <t>A- 诺亚国际 -</t>
  </si>
  <si>
    <t>诺亚</t>
  </si>
  <si>
    <t>中硕</t>
  </si>
  <si>
    <t>中建材国贸的</t>
  </si>
  <si>
    <t>张满MORA上海JH国际货运</t>
  </si>
  <si>
    <t>云丰国际物流 周</t>
  </si>
  <si>
    <t>优通国际sylvia</t>
  </si>
  <si>
    <t>尹德华-上海荣诚国际物流</t>
  </si>
  <si>
    <t>杨青云</t>
  </si>
  <si>
    <t>扬州朝晖-小张</t>
  </si>
  <si>
    <t>彦彦</t>
  </si>
  <si>
    <t>薛雯倩-速展国际货物运输</t>
  </si>
  <si>
    <t>续鸿实业/LUCY</t>
  </si>
  <si>
    <t>旭富</t>
  </si>
  <si>
    <t>熊婷-深圳市华纳物流有限</t>
  </si>
  <si>
    <t>鑫远航POPO</t>
  </si>
  <si>
    <t>小渔儿 Minky</t>
  </si>
  <si>
    <t>小杨</t>
  </si>
  <si>
    <t>小熊-上海荣诚国际物流有</t>
  </si>
  <si>
    <t>肖先生</t>
  </si>
  <si>
    <t>吴流云-上海荣诚国际物流</t>
  </si>
  <si>
    <t>吴建明-亿亚国际物流</t>
  </si>
  <si>
    <t>我最摇摆Minky--深圳敏威</t>
  </si>
  <si>
    <t>王文杰-风之神单证</t>
  </si>
  <si>
    <t>王六元18930132539</t>
  </si>
  <si>
    <t>王力-上海荣诚国际物流</t>
  </si>
  <si>
    <t>王竟</t>
  </si>
  <si>
    <t>王建涛-上海播瑞国际物流</t>
  </si>
  <si>
    <t>通义</t>
  </si>
  <si>
    <t>通祥</t>
  </si>
  <si>
    <t>天津福日莱物流</t>
  </si>
  <si>
    <t>太阳能电池板厂</t>
  </si>
  <si>
    <t>孙跃武-凯信货运代理</t>
  </si>
  <si>
    <t>苏州洋霖 LINDA LIN</t>
  </si>
  <si>
    <t>苏州天洋</t>
  </si>
  <si>
    <t>苏州瑞海泽纺织</t>
  </si>
  <si>
    <t>士雯 刘小姐</t>
  </si>
  <si>
    <t>上海远磐 - 张霞 3002787082</t>
  </si>
  <si>
    <t>上海亚韵 - 王雪莲 2850688050</t>
  </si>
  <si>
    <t>上海危泰国际物流/郭金亭</t>
  </si>
  <si>
    <t>上海世祥物流公司的小黄</t>
  </si>
  <si>
    <t>上海世祥 - 吴哲 2845718788</t>
  </si>
  <si>
    <t>上海播瑞 - 钟玲 2880265336</t>
  </si>
  <si>
    <t>宁波美航广州公司</t>
  </si>
  <si>
    <t>宁波鸿茂Doris/叶</t>
  </si>
  <si>
    <t>宁波港泰 贺洁琼</t>
  </si>
  <si>
    <t>宁波畅泰-小董</t>
  </si>
  <si>
    <t>刘晶晶-宁波凯州国际物流</t>
  </si>
  <si>
    <t>李洁-福州东进货运代理有</t>
  </si>
  <si>
    <t>查冬冬-荣诚国际物流</t>
  </si>
  <si>
    <t>Wendy-智运国际空运→卓雅</t>
  </si>
  <si>
    <t>VIRGINIA YANG</t>
  </si>
  <si>
    <t>Tina-SHA国际货运</t>
  </si>
  <si>
    <t>Terry</t>
  </si>
  <si>
    <t>414蒋小姐</t>
  </si>
  <si>
    <t>305吴小姐</t>
  </si>
  <si>
    <t>297沈小姐</t>
  </si>
  <si>
    <t>众迅 钟戴</t>
  </si>
  <si>
    <t>郑聪-咖狗网</t>
  </si>
  <si>
    <t>咏朵-昌联国际</t>
  </si>
  <si>
    <t>王杰</t>
  </si>
  <si>
    <t>盛凯达货运wilson</t>
  </si>
  <si>
    <t>深圳盛凯达</t>
  </si>
  <si>
    <t>盛凯达 TRACY</t>
  </si>
  <si>
    <t>神东 黄海峰</t>
  </si>
  <si>
    <t>深惠航 任'R</t>
  </si>
  <si>
    <t>绍兴纯诺纺织 单</t>
  </si>
  <si>
    <t>上海中准国际 OSCAR</t>
  </si>
  <si>
    <t>中远</t>
  </si>
  <si>
    <t>上海中贸 阿枫</t>
  </si>
  <si>
    <t>上海镒祺Pitt</t>
  </si>
  <si>
    <t>上海屹龙</t>
  </si>
  <si>
    <t>上海亚韵 - 程James 2850688057</t>
  </si>
  <si>
    <t>上海轩帆 石玲</t>
  </si>
  <si>
    <t>上海同行</t>
  </si>
  <si>
    <t>上海唐朝 张剑锋</t>
  </si>
  <si>
    <t>上海盛立集团—蒋中建</t>
  </si>
  <si>
    <t>上海盛立集团的夏天</t>
  </si>
  <si>
    <t>上海圣名 王导</t>
  </si>
  <si>
    <t>宁波同舟 于皓 MOL/</t>
  </si>
  <si>
    <t>宁波同舟</t>
  </si>
  <si>
    <t>宁波九华</t>
  </si>
  <si>
    <t>毛亚珍-宁波亿凯国际物流</t>
  </si>
  <si>
    <t>刘文鹏-青岛中和全运物流</t>
  </si>
  <si>
    <t>九九九</t>
  </si>
  <si>
    <t>嘉鸿 汪洁 0519-85118</t>
  </si>
  <si>
    <t>宏商 ERAY 毛'S</t>
  </si>
  <si>
    <t>冠枫</t>
  </si>
  <si>
    <t>风轻扬</t>
  </si>
  <si>
    <t>常利来 钱安琪</t>
  </si>
  <si>
    <t>常海</t>
  </si>
  <si>
    <t>昌致物流小张</t>
  </si>
  <si>
    <t>岑琳-港兴国际货运代</t>
  </si>
  <si>
    <t>yuri（港泰国际）</t>
  </si>
  <si>
    <t>Tina陈-上海鸿莱国际货物</t>
  </si>
  <si>
    <t>Carol</t>
  </si>
  <si>
    <t>A周明龙-上海</t>
  </si>
  <si>
    <t>Annie.Yang</t>
  </si>
  <si>
    <t>Ahern</t>
  </si>
  <si>
    <t>13上海润辉实业有</t>
  </si>
  <si>
    <t>追逐╰︶￣</t>
  </si>
  <si>
    <t>天津普乐西</t>
  </si>
  <si>
    <t>天津津港-王子顼（周添）</t>
  </si>
  <si>
    <t>天津安海上海分公司</t>
  </si>
  <si>
    <t>深圳永恒达国际</t>
  </si>
  <si>
    <t>深圳伟维</t>
  </si>
  <si>
    <t>深圳克林顿 谢华</t>
  </si>
  <si>
    <t>深圳华夏金程-罗</t>
  </si>
  <si>
    <t>深圳华夏惠通 何</t>
  </si>
  <si>
    <t>深圳华泓 APPLE 13480</t>
  </si>
  <si>
    <t>深圳创晟 jolin zhao</t>
  </si>
  <si>
    <t>深圳宝行健 SOPHIA</t>
  </si>
  <si>
    <t>上海亚韵 - 刘素清 2850688051</t>
  </si>
  <si>
    <t>上海荣誉国际货运代理/Nihat</t>
  </si>
  <si>
    <t>上海荣诚物流阿杜</t>
  </si>
  <si>
    <t>上海全领-李智彬</t>
  </si>
  <si>
    <t>上海七英里 tiffany</t>
  </si>
  <si>
    <t>上海平海张</t>
  </si>
  <si>
    <t>上海沛联 ALEX</t>
  </si>
  <si>
    <t>上海铭达物流 小</t>
  </si>
  <si>
    <t>上海美裕 VIVIAN</t>
  </si>
  <si>
    <t>上海美设 林一</t>
  </si>
  <si>
    <t>上海懋丰物流 王</t>
  </si>
  <si>
    <t>上海罗亚 SUNNY HU</t>
  </si>
  <si>
    <t>上海隆鼎 LULU</t>
  </si>
  <si>
    <t>上海龙昱 SAM</t>
  </si>
  <si>
    <t>上海连江国际货运</t>
  </si>
  <si>
    <t>上海立远(青岛分</t>
  </si>
  <si>
    <t>上海立远 小杜</t>
  </si>
  <si>
    <t>上海立远 TIAN</t>
  </si>
  <si>
    <t>上海立远</t>
  </si>
  <si>
    <t>上海蓝海国际货运</t>
  </si>
  <si>
    <t>上海拉祺国际李兴</t>
  </si>
  <si>
    <t>上海洁火国际物流camilla</t>
  </si>
  <si>
    <t>上海简达 孙耀强</t>
  </si>
  <si>
    <t>上海嘉宏 姚志诚</t>
  </si>
  <si>
    <t>上海集龙-韦城 化工品专家</t>
  </si>
  <si>
    <t>上海集龙船务</t>
  </si>
  <si>
    <t>上海崋信国际 JIMMY</t>
  </si>
  <si>
    <t>上海华原 吴小姐</t>
  </si>
  <si>
    <t>上海鸿茂国际物流任恺</t>
  </si>
  <si>
    <t>上海鸿莱 施经理</t>
  </si>
  <si>
    <t>上海宏益 陈芳</t>
  </si>
  <si>
    <t>上海宏益 MICHAEL</t>
  </si>
  <si>
    <t>上海宏益 LINDA</t>
  </si>
  <si>
    <t>上海恒德 JACKY HONG</t>
  </si>
  <si>
    <t>宁波凯州 陶</t>
  </si>
  <si>
    <t>罗涛-上海世祥国际物流</t>
  </si>
  <si>
    <t>礼德 李先生</t>
  </si>
  <si>
    <t>海宁华宇 王影15967</t>
  </si>
  <si>
    <t>道丰物流 沈怡</t>
  </si>
  <si>
    <t>城</t>
  </si>
  <si>
    <t>陈柯飞-宁波百福远东货运</t>
  </si>
  <si>
    <t>陈静娴-上海凯捷货物运输</t>
  </si>
  <si>
    <t>辰涵-BUIK-顾</t>
  </si>
  <si>
    <t>常州阿里斯木业王</t>
  </si>
  <si>
    <t>常利来 壮茹玉</t>
  </si>
  <si>
    <t>曹智俊-美通航运</t>
  </si>
  <si>
    <t>cosco吴蓓蓓</t>
  </si>
  <si>
    <t>ANNA-喵星人船务上海朗泽</t>
  </si>
  <si>
    <t>4黄先生</t>
  </si>
  <si>
    <t>295 沈小姐</t>
  </si>
  <si>
    <t>292周小姐</t>
  </si>
  <si>
    <t>16 上海厚龙电子-</t>
  </si>
  <si>
    <t>14上海稳发实业-薛</t>
  </si>
  <si>
    <t>✨上海睿博🍭小孙💫</t>
  </si>
  <si>
    <t>.陈万顺/海联通货运</t>
  </si>
  <si>
    <t>珠海世宏国际物流</t>
  </si>
  <si>
    <t>珠海世宏</t>
  </si>
  <si>
    <t>钟明俊-上海圣名国际</t>
  </si>
  <si>
    <t>中锐达 李秋实 销</t>
  </si>
  <si>
    <t>中谦大件运输有限公司</t>
  </si>
  <si>
    <t>正中 上海中远海运物流有</t>
  </si>
  <si>
    <t>浙江四宜 项鹏飞</t>
  </si>
  <si>
    <t>浙江四宜</t>
  </si>
  <si>
    <t>浙江平湖信科洁具</t>
  </si>
  <si>
    <t>浙江花神</t>
  </si>
  <si>
    <t>赵银华-飞捷腾达</t>
  </si>
  <si>
    <t>宇星捷航空运</t>
  </si>
  <si>
    <t>宇星捷航</t>
  </si>
  <si>
    <t>王志文 / Kevin Wang</t>
  </si>
  <si>
    <t>天津万方同 郑亮 5</t>
  </si>
  <si>
    <t>天津万方同</t>
  </si>
  <si>
    <t>天津华铁东方</t>
  </si>
  <si>
    <t>天津华铁</t>
  </si>
  <si>
    <t>深圳伟成的BRUCE</t>
  </si>
  <si>
    <t>深圳伟成</t>
  </si>
  <si>
    <t>深圳联迈 李'R</t>
  </si>
  <si>
    <t>深圳联迈</t>
  </si>
  <si>
    <t>深圳九洋</t>
  </si>
  <si>
    <t>深圳港中旅华贸 SA</t>
  </si>
  <si>
    <t>深圳港中旅华贸</t>
  </si>
  <si>
    <t>上海集龙 钱'R 18917</t>
  </si>
  <si>
    <t>上海航泰 周怀德</t>
  </si>
  <si>
    <t>上海格治国际物流</t>
  </si>
  <si>
    <t>格治</t>
  </si>
  <si>
    <t>高质行</t>
  </si>
  <si>
    <t>上海高鑫物流 小</t>
  </si>
  <si>
    <t>高鑫</t>
  </si>
  <si>
    <t>上海港中旅华贸</t>
  </si>
  <si>
    <t>上海港先国际刘薇</t>
  </si>
  <si>
    <t>上海东南物流-汪经理（周添）</t>
  </si>
  <si>
    <t>东南</t>
  </si>
  <si>
    <t>上海殿坤 LILIAN</t>
  </si>
  <si>
    <t>殿坤</t>
  </si>
  <si>
    <t>上海帝捷 凌卫国 C</t>
  </si>
  <si>
    <t>上海大源 王'S</t>
  </si>
  <si>
    <t>大源</t>
  </si>
  <si>
    <t>上海创丰 张'R 13472</t>
  </si>
  <si>
    <t>上海传盛vivian</t>
  </si>
  <si>
    <t>上海承太 - 小菲 2851230639</t>
  </si>
  <si>
    <t>上海博瑞的张继</t>
  </si>
  <si>
    <t>上海播瑞国际物流</t>
  </si>
  <si>
    <t>上海播瑞国际彭柏霖</t>
  </si>
  <si>
    <t>上海播瑞国际</t>
  </si>
  <si>
    <t>上海爱罗货运长沙</t>
  </si>
  <si>
    <t>爱罗</t>
  </si>
  <si>
    <t>上海艾莎物流 漆</t>
  </si>
  <si>
    <t>艾莎</t>
  </si>
  <si>
    <t>商务</t>
  </si>
  <si>
    <t>山东国联铁海物流</t>
  </si>
  <si>
    <t>山东国联</t>
  </si>
  <si>
    <t>赛帝</t>
  </si>
  <si>
    <t>赛德小赵</t>
  </si>
  <si>
    <t>绍兴赛德</t>
  </si>
  <si>
    <t>塞德 tina</t>
  </si>
  <si>
    <t>萨富 MANGO</t>
  </si>
  <si>
    <t>瑞达CICI</t>
  </si>
  <si>
    <t>瑞达</t>
  </si>
  <si>
    <t>荣诚国际 大力</t>
  </si>
  <si>
    <t>任军Ricky</t>
  </si>
  <si>
    <t>邱先生</t>
  </si>
  <si>
    <t>浦东货运 黄'R</t>
  </si>
  <si>
    <t>鹏兰《李》</t>
  </si>
  <si>
    <t>彭亮-樱皇国际</t>
  </si>
  <si>
    <t>樱皇</t>
  </si>
  <si>
    <t>彭福建-集龙国际货运</t>
  </si>
  <si>
    <t>欧阳文杰</t>
  </si>
  <si>
    <t>南通世双</t>
  </si>
  <si>
    <t>康达olivia</t>
  </si>
  <si>
    <t>集龙船务</t>
  </si>
  <si>
    <t>杭州华策国际货运</t>
  </si>
  <si>
    <t>唐轩</t>
  </si>
  <si>
    <t>常州优宝-鱼晨</t>
  </si>
  <si>
    <t>常州优宝</t>
  </si>
  <si>
    <t>蔡迪秋-华基货运</t>
  </si>
  <si>
    <t>上海华基</t>
  </si>
  <si>
    <t>博洋</t>
  </si>
  <si>
    <t>北京金开宇 空运-</t>
  </si>
  <si>
    <t>北京金开宇</t>
  </si>
  <si>
    <t>Suki</t>
  </si>
  <si>
    <t>shine</t>
  </si>
  <si>
    <t>Sarah Lee</t>
  </si>
  <si>
    <t>POPO-鑫远航国际货运</t>
  </si>
  <si>
    <t>Phoebe</t>
  </si>
  <si>
    <t>peter</t>
  </si>
  <si>
    <t>Annie</t>
  </si>
  <si>
    <t>Aj-上海传盛国际</t>
  </si>
  <si>
    <t>Aaron</t>
  </si>
  <si>
    <t>AAA汪勇军-3003122811</t>
  </si>
  <si>
    <t>AAA共越物流-黄胜</t>
  </si>
  <si>
    <t>AA+刘敬敬-播瑞国际</t>
  </si>
  <si>
    <t>重庆渝能的</t>
  </si>
  <si>
    <t>中善物流---孙妮</t>
  </si>
  <si>
    <t>中山世倡BEN</t>
  </si>
  <si>
    <t>中山世倡</t>
  </si>
  <si>
    <t>长江国际货代/船代*罗S</t>
  </si>
  <si>
    <t>优可国际物流</t>
  </si>
  <si>
    <t>熊梅-上海荣诚国际</t>
  </si>
  <si>
    <t>祥威特种箱</t>
  </si>
  <si>
    <t>祥铭-Lorena</t>
  </si>
  <si>
    <t>我是活雷锋</t>
  </si>
  <si>
    <t>万钟</t>
  </si>
  <si>
    <t>顺诚远航曾先生同</t>
  </si>
  <si>
    <t>世祥-施诗</t>
  </si>
  <si>
    <t>世祥国际货运-张琳</t>
  </si>
  <si>
    <t>深圳鑫远航 LOUISA</t>
  </si>
  <si>
    <t>深圳泰博DIANA</t>
  </si>
  <si>
    <t>深圳金士达物流</t>
  </si>
  <si>
    <t>深圳海君物流 JANCO</t>
  </si>
  <si>
    <t>上海亚韵 - 林孟涛 805791048</t>
  </si>
  <si>
    <t>上海荣诚 - 夏云 2881536711</t>
  </si>
  <si>
    <t>上海力狮</t>
  </si>
  <si>
    <t>上海集龙 张静</t>
  </si>
  <si>
    <t>上海集龙 王青</t>
  </si>
  <si>
    <t>汕头环球 KETY</t>
  </si>
  <si>
    <t>汕头环球</t>
  </si>
  <si>
    <t>厦门聚海</t>
  </si>
  <si>
    <t>青岛铁骑 王冬青</t>
  </si>
  <si>
    <t>骗子</t>
  </si>
  <si>
    <t>南京中天/江苏中</t>
  </si>
  <si>
    <t>马军</t>
  </si>
  <si>
    <t>马鞍山环球物流</t>
  </si>
  <si>
    <t>马鞍山环球</t>
  </si>
  <si>
    <t>鲁明轩-美加线涅浦顿</t>
  </si>
  <si>
    <t>刘洋-上海中谦物流有限公</t>
  </si>
  <si>
    <t>凌晓晓-上海荣诚</t>
  </si>
  <si>
    <t>凌萍-上海荣诚国际物流</t>
  </si>
  <si>
    <t>蔺峰-久泰物流</t>
  </si>
  <si>
    <t>连云港亭玉国际贸</t>
  </si>
  <si>
    <t>连云港辉宏国际</t>
  </si>
  <si>
    <t>利通/陆之峰</t>
  </si>
  <si>
    <t>利达迅/王</t>
  </si>
  <si>
    <t>力天货运 杨</t>
  </si>
  <si>
    <t>李钦-上海金大圣</t>
  </si>
  <si>
    <t>老袁</t>
  </si>
  <si>
    <t>老陈-常利来国际货代</t>
  </si>
  <si>
    <t>浪迹天涯（愚人）</t>
  </si>
  <si>
    <t>朗茂cathy</t>
  </si>
  <si>
    <t>蓝天*Tony</t>
  </si>
  <si>
    <t>康达 VICKY</t>
  </si>
  <si>
    <t>开亚(周添)</t>
  </si>
  <si>
    <t>开诚国际—小妙</t>
  </si>
  <si>
    <t>久茂泽运（空运）</t>
  </si>
  <si>
    <t>靖俊-上海志翔物流</t>
  </si>
  <si>
    <t>景瞻-shirley</t>
  </si>
  <si>
    <t>京赫堂设计客服2</t>
  </si>
  <si>
    <t>蒋彦—世祥 海运空运</t>
  </si>
  <si>
    <t>嘉兴货代jerry</t>
  </si>
  <si>
    <t>宏益国际-货代Ruby</t>
  </si>
  <si>
    <t>恒辰 王总 远东俄</t>
  </si>
  <si>
    <t>共越国际物流--胡</t>
  </si>
  <si>
    <t>东岳</t>
  </si>
  <si>
    <t>东方国际-吴先生</t>
  </si>
  <si>
    <t>陈乔恩-上海正熙国际</t>
  </si>
  <si>
    <t>邦泰-白钟辰</t>
  </si>
  <si>
    <t>Tom 南京利通</t>
  </si>
  <si>
    <t>Nina</t>
  </si>
  <si>
    <t>NEVERGIVEUP</t>
  </si>
  <si>
    <t>Michael-上海皇马</t>
  </si>
  <si>
    <t>lindayao-比诺供应链</t>
  </si>
  <si>
    <t>LEON</t>
  </si>
  <si>
    <t>KLINE 李炎亭</t>
  </si>
  <si>
    <t>Kitty Chan-Pesta</t>
  </si>
  <si>
    <t>Derrick</t>
  </si>
  <si>
    <t>Cosmo-天津惠禾货运代理</t>
  </si>
  <si>
    <t>CNBM - 梁NICKY</t>
  </si>
  <si>
    <t>Cindy-赛诺韦尔实业有限公</t>
  </si>
  <si>
    <t>Cindy 西北非专线</t>
  </si>
  <si>
    <t>CC</t>
  </si>
  <si>
    <t>浙江双啸</t>
  </si>
  <si>
    <t>衣丽宇</t>
  </si>
  <si>
    <t>深圳明威XUAN</t>
  </si>
  <si>
    <t>深圳京海物流</t>
  </si>
  <si>
    <t>深圳佳友张先生</t>
  </si>
  <si>
    <t>深圳华夏惠通 MANGO</t>
  </si>
  <si>
    <t>深圳港兴</t>
  </si>
  <si>
    <t>上海世祥-邓淑珍</t>
  </si>
  <si>
    <t>上海世祥的</t>
  </si>
  <si>
    <t>上海集龙 Jason-张</t>
  </si>
  <si>
    <t>青岛英杰国际物流-吴连朋</t>
  </si>
  <si>
    <t>青岛天虎货运南京</t>
  </si>
  <si>
    <t>宁波美航广州分公</t>
  </si>
  <si>
    <t>宁波鸿茂 Kyla 189681</t>
  </si>
  <si>
    <t>江苏瑞晟童先生</t>
  </si>
  <si>
    <t>江苏康成货运董家</t>
  </si>
  <si>
    <t>江苏凯信货运谢志伟</t>
  </si>
  <si>
    <t>贾劼-上海亦海国际物流有</t>
  </si>
  <si>
    <t>骥航-amy（周添）</t>
  </si>
  <si>
    <t>集龙林健锋</t>
  </si>
  <si>
    <t>货代Samuel</t>
  </si>
  <si>
    <t>惠州博纳</t>
  </si>
  <si>
    <t>汇力/ANDY</t>
  </si>
  <si>
    <t>环球运费网看到的</t>
  </si>
  <si>
    <t>环集周秀文</t>
  </si>
  <si>
    <t>华晖</t>
  </si>
  <si>
    <t>胡斌</t>
  </si>
  <si>
    <t>鸿远</t>
  </si>
  <si>
    <t>宏益--LUCY</t>
  </si>
  <si>
    <t>宏益 张苗苗</t>
  </si>
  <si>
    <t>宏商 鄢志刚LUCKY</t>
  </si>
  <si>
    <t>宏商 鄢志刚 私人Q</t>
  </si>
  <si>
    <t>亨川国际 海哥 1381</t>
  </si>
  <si>
    <t>河北艾尔希-孙晓玲</t>
  </si>
  <si>
    <t>和易</t>
  </si>
  <si>
    <t>和融</t>
  </si>
  <si>
    <t>航裕&amp;安能物流 吴'</t>
  </si>
  <si>
    <t>瀚钰通 JACK ZHANG市</t>
  </si>
  <si>
    <t>海源国际商务</t>
  </si>
  <si>
    <t>海颖物流</t>
  </si>
  <si>
    <t>国际物流/刘'R</t>
  </si>
  <si>
    <t>广州燕翔Ben</t>
  </si>
  <si>
    <t>广州靖航&amp;靖達国际/Anlicy</t>
  </si>
  <si>
    <t>葛洲坝 小杨</t>
  </si>
  <si>
    <t>高林莉-凯信货运代理</t>
  </si>
  <si>
    <t>港中旅华贸LANKA</t>
  </si>
  <si>
    <t>港中旅华贸 Lusa</t>
  </si>
  <si>
    <t>港先国际</t>
  </si>
  <si>
    <t>港泰毕史琛</t>
  </si>
  <si>
    <t>傅廷超-开亚国际供应链</t>
  </si>
  <si>
    <t>福建爱亿家电子林</t>
  </si>
  <si>
    <t>冯媛-华威货运(中国)有限</t>
  </si>
  <si>
    <t>冯翱-凯捷</t>
  </si>
  <si>
    <t>风之神 张磊</t>
  </si>
  <si>
    <t>奋斗</t>
  </si>
  <si>
    <t>非洲庄家小刘</t>
  </si>
  <si>
    <t>鼎赢国际 陈俏燕</t>
  </si>
  <si>
    <t>帝航FBA物流-陈洁</t>
  </si>
  <si>
    <t>大鹏-上海荣诚国际物流</t>
  </si>
  <si>
    <t>安徽合肥宝全 高'S</t>
  </si>
  <si>
    <t>Minky--深圳敏威国际</t>
  </si>
  <si>
    <t>jason张周发-集龙船务</t>
  </si>
  <si>
    <t>GB-SARA</t>
  </si>
  <si>
    <t>Eric</t>
  </si>
  <si>
    <t>Echo-上海速恒国际物流</t>
  </si>
  <si>
    <t>a交响（杜金伟）</t>
  </si>
  <si>
    <t>AAA朱亮（集龙船务）</t>
  </si>
  <si>
    <t>AAA上海承太/阿斌</t>
  </si>
  <si>
    <t>AAA+上海世祥的货代-程涛</t>
  </si>
  <si>
    <t>A+钱多多-海空运</t>
  </si>
  <si>
    <t>A 郑海斌-集龙国际货运</t>
  </si>
  <si>
    <t>周婵-上海美设国际货运</t>
  </si>
  <si>
    <t>中建材</t>
  </si>
  <si>
    <t>中国外运 张家港</t>
  </si>
  <si>
    <t>正熙李易峰</t>
  </si>
  <si>
    <t>浙江花神 文慧</t>
  </si>
  <si>
    <t>浙江海陆</t>
  </si>
  <si>
    <t>昱邦-沈文英</t>
  </si>
  <si>
    <t>昱邦</t>
  </si>
  <si>
    <t>永柏蔺峰</t>
  </si>
  <si>
    <t>永柏</t>
  </si>
  <si>
    <t>鑫连盈 MICHAEL</t>
  </si>
  <si>
    <t>汤先生</t>
  </si>
  <si>
    <t>汤建春-海空运一级代理</t>
  </si>
  <si>
    <t>顺锦达梁小姐</t>
  </si>
  <si>
    <t>深圳市顺科供应链有限公司</t>
  </si>
  <si>
    <t>深圳顺科</t>
  </si>
  <si>
    <t>深圳市世倡</t>
  </si>
  <si>
    <t>深圳世倡</t>
  </si>
  <si>
    <t>深圳科航</t>
  </si>
  <si>
    <t>深圳华联丰</t>
  </si>
  <si>
    <t>深圳地平线进出口</t>
  </si>
  <si>
    <t>上海志洋</t>
  </si>
  <si>
    <t>志洋</t>
  </si>
  <si>
    <t>上海远磐 - 李刚 男 3002782916</t>
  </si>
  <si>
    <t>上海优思 UASC 朱</t>
  </si>
  <si>
    <t>优思</t>
  </si>
  <si>
    <t>上海易鹏</t>
  </si>
  <si>
    <t>上海亚韵 - 鲁晋瑜 2850688053</t>
  </si>
  <si>
    <t>上海外经贸国际货</t>
  </si>
  <si>
    <t>上海康达 钱'S</t>
  </si>
  <si>
    <t>上海锦茗的李清</t>
  </si>
  <si>
    <t>上海豪升 小吴</t>
  </si>
  <si>
    <t>上海高鑫物流 高</t>
  </si>
  <si>
    <t>厦门嘉迅达 查智</t>
  </si>
  <si>
    <t>森邦-susan</t>
  </si>
  <si>
    <t>森邦</t>
  </si>
  <si>
    <t>三桩国际物流 郭</t>
  </si>
  <si>
    <t>青岛全远达物流</t>
  </si>
  <si>
    <t>浦东国际 葛人则</t>
  </si>
  <si>
    <t>宁波星麦</t>
  </si>
  <si>
    <t>宁波瑞速货运 苏</t>
  </si>
  <si>
    <t>宁波瑞速</t>
  </si>
  <si>
    <t>宁波华基</t>
  </si>
  <si>
    <t>宁波鸿茂小吴</t>
  </si>
  <si>
    <t>宁波鸿茂</t>
  </si>
  <si>
    <t>宁波和悦</t>
  </si>
  <si>
    <t>宁波港泰-毕</t>
  </si>
  <si>
    <t>宁波港泰 CANDY</t>
  </si>
  <si>
    <t>刘明慧-上海铁亨国际物流</t>
  </si>
  <si>
    <t>李梦琪集龙船务</t>
  </si>
  <si>
    <t>来宝德 刘捷</t>
  </si>
  <si>
    <t>津港 合飞航</t>
  </si>
  <si>
    <t>江苏天合 叶文洪</t>
  </si>
  <si>
    <t>货代 Samuel</t>
  </si>
  <si>
    <t>黄玲玲-盛立国际物流集团</t>
  </si>
  <si>
    <t>华仔-荣诚物流</t>
  </si>
  <si>
    <t>华威-王琴</t>
  </si>
  <si>
    <t>杭州华策货代刘总</t>
  </si>
  <si>
    <t>广州信泓</t>
  </si>
  <si>
    <t>扳着手指数阳光</t>
  </si>
  <si>
    <t>柏盛通物流Simon</t>
  </si>
  <si>
    <t>柏盛通</t>
  </si>
  <si>
    <t>澳莱-Alex-市场部</t>
  </si>
  <si>
    <t>远通</t>
  </si>
  <si>
    <t>安徽金陵-黄群</t>
  </si>
  <si>
    <t>安徽海全国际货运</t>
  </si>
  <si>
    <t>Wish一切都会好的</t>
  </si>
  <si>
    <t>Julie</t>
  </si>
  <si>
    <t>Forever*－上海拓美航运</t>
  </si>
  <si>
    <t>拓美</t>
  </si>
  <si>
    <t>cosco秦一丰</t>
  </si>
  <si>
    <t>BLUCE-小韩</t>
  </si>
  <si>
    <t>Banson--七色沙漠</t>
  </si>
  <si>
    <t>A袁永明-常利来国际货运</t>
  </si>
  <si>
    <t>A盛立集团-刘方炜</t>
  </si>
  <si>
    <t>A上海笙太国际物流-汪金方</t>
  </si>
  <si>
    <t>A刘明慧</t>
  </si>
  <si>
    <t>A洁火货代石王益</t>
  </si>
  <si>
    <t>A-国际货代-Steven</t>
  </si>
  <si>
    <t>AA盛立国际货运李扬</t>
  </si>
  <si>
    <t>283 苏州托尔福</t>
  </si>
  <si>
    <t>上海远磐 - 阿兴 3002716532</t>
  </si>
  <si>
    <t>上海铁亨 - Henry 475678505</t>
  </si>
  <si>
    <t>上海世祥 - 袁贵 523033614</t>
  </si>
  <si>
    <t>上海世祥 - 袁灿 24680886</t>
  </si>
  <si>
    <t>上海世祥 - 杨鑫 1090818480</t>
  </si>
  <si>
    <t>上海世祥 - 杨丽娟 1102835273</t>
  </si>
  <si>
    <t>上海世祥 - 罗强 2583708287</t>
  </si>
  <si>
    <t>上海世祥 - 陈小萱 女 2724845504</t>
  </si>
  <si>
    <t>上海世祥 - 陈贤锋 848499803</t>
  </si>
  <si>
    <t>上海世祥 - 陈丽 554876709</t>
  </si>
  <si>
    <t>上海世祥 - Sophia 2891835406</t>
  </si>
  <si>
    <t>上海赛勇 - 张秋霞 2880195315</t>
  </si>
  <si>
    <t>上海赛勇 - 张桓 3003128015</t>
  </si>
  <si>
    <t>上海荣诚 - 张叶 2881725325</t>
  </si>
  <si>
    <t>上海荣诚 - 徐龙飞 2881725324</t>
  </si>
  <si>
    <t>上海荣诚 - 李大军 2881725313</t>
  </si>
  <si>
    <t>上海荣诚 - 景建民 2881725318</t>
  </si>
  <si>
    <t>上海荣诚 - 杜经理 2881536717</t>
  </si>
  <si>
    <t>上海荣诚 - 陈阳 2881725319</t>
  </si>
  <si>
    <t>上海洁火 - 刘高霞 3003538372</t>
  </si>
  <si>
    <t>上海鸿莱 - 施海建 2850179619</t>
  </si>
  <si>
    <t>上海浩嘉 - 张鑫 798468032</t>
  </si>
  <si>
    <t>上海革力 - 姜 337934114</t>
  </si>
  <si>
    <t>上海港先 - 刘思思 3002287926</t>
  </si>
  <si>
    <t>上海港先 - 黄婷 3002274662</t>
  </si>
  <si>
    <t>上海港先 - 黄杰 3002297227</t>
  </si>
  <si>
    <t>上海帝捷 - 蔡建红AMY 女 2726756997</t>
  </si>
  <si>
    <t>上海播瑞 - 王海霞 2880265380</t>
  </si>
  <si>
    <t>上海播瑞 - 李娜 2880265348</t>
  </si>
  <si>
    <t>上海播瑞 - 曾志贤 2880265347</t>
  </si>
  <si>
    <t>上海播瑞 - 曹彦强 男 1135287212</t>
  </si>
  <si>
    <t>全球贸易运输</t>
  </si>
  <si>
    <t>青岛国泰通 - 展小倩 2355852338</t>
  </si>
  <si>
    <t>尤斯卡 - 吕 342439195</t>
  </si>
  <si>
    <t>询价2次</t>
  </si>
  <si>
    <t>上海泽尚 - 印桂明 526251238</t>
  </si>
  <si>
    <t>上海英阔 - 励 30545913</t>
  </si>
  <si>
    <t>上海弈瑞 - 张良 296733762</t>
  </si>
  <si>
    <t>上海迅道 - 陈 2880800192</t>
  </si>
  <si>
    <t>上海先创 - 魏奕宸 121123674</t>
  </si>
  <si>
    <t>上海唐朝三洋 - 张剑峰 2853553230</t>
  </si>
  <si>
    <t>上海世祥 - 张晓晓 1795859346</t>
  </si>
  <si>
    <t>上海世祥 - 喻一飞 1778643556</t>
  </si>
  <si>
    <t>上海世祥 - 叶娜 3303211805</t>
  </si>
  <si>
    <t>上海世祥 - 熊菲 女 1782850753</t>
  </si>
  <si>
    <t>上海世祥 - 熊 380405424</t>
  </si>
  <si>
    <t>上海世祥 - 汪谦 1322850343</t>
  </si>
  <si>
    <t>上海世祥 - 淑女 1016150590</t>
  </si>
  <si>
    <t>上海世祥 - 潘建涛 1062009510</t>
  </si>
  <si>
    <t>上海商展 - 邹志龙 2880488468</t>
  </si>
  <si>
    <t>上海荣诚 - 赵金 2881725315</t>
  </si>
  <si>
    <t>上海荣诚 - 李明 2881725314</t>
  </si>
  <si>
    <t>上海荣诚 - 查兵 2881725329</t>
  </si>
  <si>
    <t>上海荣诚 - 毕燕青 2881536722</t>
  </si>
  <si>
    <t>上海朗茂 - 汪 748763810</t>
  </si>
  <si>
    <t>上海洁火 - 刘祥 1852519464</t>
  </si>
  <si>
    <t>上海浩域 - 姚磊 224937062</t>
  </si>
  <si>
    <t>上海广屹 - 林森Linson 2885276800</t>
  </si>
  <si>
    <t>上海港先 - 邹小东 3002227366</t>
  </si>
  <si>
    <t>上海港先 - 赵芳顺 3002232411</t>
  </si>
  <si>
    <t>上海港先 - 李贝 3002223569</t>
  </si>
  <si>
    <t>上海播瑞 - 祝焰 2880265383</t>
  </si>
  <si>
    <t>上海播瑞 - 蒲云峰 453038185</t>
  </si>
  <si>
    <t>江苏康成 - 卢 55003062</t>
  </si>
  <si>
    <t>安徽远通 - 大鹏 1175351001</t>
  </si>
  <si>
    <t>镇江南泰 - 叶凯 155092592</t>
  </si>
  <si>
    <t>询价1次</t>
  </si>
  <si>
    <t>泰州高新纺织 - 高 1094573776</t>
  </si>
  <si>
    <t>深圳旭日 - 张丽 2740334910</t>
  </si>
  <si>
    <t>深圳盛凯达 - AVA 274527554</t>
  </si>
  <si>
    <t>深圳全和悦 - Winnie 975590816</t>
  </si>
  <si>
    <t>深圳全和悦</t>
  </si>
  <si>
    <t>深圳华海通运 - Mark 1417745244</t>
  </si>
  <si>
    <t>深圳德健 - 郭 51165873 束飞</t>
  </si>
  <si>
    <t>上海中瑞 - 龚迪 240689713</t>
  </si>
  <si>
    <t>上海正熙 - 王兵 2851091425</t>
  </si>
  <si>
    <t>上海云台 - 唐经理 36914334</t>
  </si>
  <si>
    <t>上海悦博 - 杨新华 370224259</t>
  </si>
  <si>
    <t>上海远磐 - 李博 3002739205</t>
  </si>
  <si>
    <t>上海溢云 - 邱旭 84327924</t>
  </si>
  <si>
    <t>上海屹龙 - 杜 361681442</t>
  </si>
  <si>
    <t>上海亚韵 - Rona 2850688059</t>
  </si>
  <si>
    <t>上海亚琛 - 沈斌 405775280</t>
  </si>
  <si>
    <t>上海卫青 - 冯杰 2850135782</t>
  </si>
  <si>
    <t>上海万年青 - 豪 男 397887344</t>
  </si>
  <si>
    <t>上海外经贸 - 石 69650695</t>
  </si>
  <si>
    <t>上海唐朝 - 梁 1143651578</t>
  </si>
  <si>
    <t>上海世祥 - 徐恋 2579819397</t>
  </si>
  <si>
    <t>上海世祥 - 小施 1502776271</t>
  </si>
  <si>
    <t>上海世祥 - 小芳 2019870542</t>
  </si>
  <si>
    <t>上海世祥 - 夏明 2354699539</t>
  </si>
  <si>
    <t>上海世祥 - 李云龙 2068192152</t>
  </si>
  <si>
    <t>上海世祥 - 包 1437674795</t>
  </si>
  <si>
    <t>上海胜狮 - 朱 宁波 1506444092</t>
  </si>
  <si>
    <t>上海胜狮 - 姜立人 商务 154589423</t>
  </si>
  <si>
    <t>上海圣名 - 司马建文 2851987918</t>
  </si>
  <si>
    <t>上海商展 - 王生 2880488446</t>
  </si>
  <si>
    <t>上海荣城 - 黄江南 2881725320</t>
  </si>
  <si>
    <t>上海荣诚 - 朱妍 2881725316</t>
  </si>
  <si>
    <t>上海荣诚 - 袁泉 2881725322</t>
  </si>
  <si>
    <t>上海荣诚 - 汤超 2881536727</t>
  </si>
  <si>
    <t>上海荣诚 - 罗靖 2881536712</t>
  </si>
  <si>
    <t>上海企明 - 谢 451271662</t>
  </si>
  <si>
    <t>上海凯捷 - 邓力 2880070513</t>
  </si>
  <si>
    <t>上海君驰 - 陈衡杰 2880525333</t>
  </si>
  <si>
    <t>上海锦茗 - 黄礼辉 2355850968</t>
  </si>
  <si>
    <t>上海洁火 - 石雅平 3003532191</t>
  </si>
  <si>
    <t>上海洁火 - 石鹏飞 3003523008</t>
  </si>
  <si>
    <t>上海洁火 - 石亮 851942912</t>
  </si>
  <si>
    <t>上海洁火 - 刘霞 1766774089</t>
  </si>
  <si>
    <t>上海洁火 - Camilla 3003413991</t>
  </si>
  <si>
    <t>上海简贸 - HY 1516971236</t>
  </si>
  <si>
    <t>上海集龙 - 朱顺 2881601586</t>
  </si>
  <si>
    <t>上海集龙 - 徐霞 女 1723872341</t>
  </si>
  <si>
    <t>上海集龙 - 王青 2881601588</t>
  </si>
  <si>
    <t>上海集龙 - 黄林锋 2881601580</t>
  </si>
  <si>
    <t>上海华原 - 汤敏 女 2356801756</t>
  </si>
  <si>
    <t>上海宏益 - Lily 860601888</t>
  </si>
  <si>
    <t>上海珩宇 - 王新宏 707476085</t>
  </si>
  <si>
    <t>上海豪升 - 谢劼 454498581</t>
  </si>
  <si>
    <t>上海汉泽 - 宗佳 123060347</t>
  </si>
  <si>
    <t>上海汉翔 - 王敏 93945527</t>
  </si>
  <si>
    <t>上海海吉 - 陈嘉宜 男 1622427609</t>
  </si>
  <si>
    <t>上海德鸿 - 曲勇 1625675531</t>
  </si>
  <si>
    <t>上海丹正 - 袁久贵 2355698611</t>
  </si>
  <si>
    <t>上海承太 - 董珍秀 女 2853532159</t>
  </si>
  <si>
    <t>上海承太 - 陈鸣劼 2851230637</t>
  </si>
  <si>
    <t>上海畅运 - 王得成 2851692011</t>
  </si>
  <si>
    <t>上海畅俊 - 刘小光 493470596</t>
  </si>
  <si>
    <t>上海博鑫 - 吴波 22905100</t>
  </si>
  <si>
    <t>上海播瑞 - 张宇 2880265342</t>
  </si>
  <si>
    <t>上海播瑞 - 王建涛 2880265333</t>
  </si>
  <si>
    <t>青岛中创 - 刘之智 872987616</t>
  </si>
  <si>
    <t>青岛粤立申 - 张鹏 82528930</t>
  </si>
  <si>
    <t>青岛粤立申</t>
  </si>
  <si>
    <t>青岛龙泽 - 李煜梅 918592785</t>
  </si>
  <si>
    <t>青岛龙泽 - Lida 946992478</t>
  </si>
  <si>
    <t>青岛丽世 - 高 331903049</t>
  </si>
  <si>
    <t>宁波泽洋 - 孙海峰 32459020</t>
  </si>
  <si>
    <t>宁波亿凯 - Kevin 19706632</t>
  </si>
  <si>
    <t>宁波通富 - Joanna 1391376174</t>
  </si>
  <si>
    <t>宁波鸿茂 - 郑 2850274819</t>
  </si>
  <si>
    <t>宁波港泰 - 池丽敏 2851124008</t>
  </si>
  <si>
    <t>宁波百福 - 2506473749</t>
  </si>
  <si>
    <t>江苏环球 - 沈沉 569227973</t>
  </si>
  <si>
    <t>国桥远航 - 小傅 470981958</t>
  </si>
  <si>
    <t>询价0次</t>
  </si>
  <si>
    <t>义乌海源 - 姚 469222186</t>
  </si>
  <si>
    <t>欣美达 - 陈懿 5247415</t>
  </si>
  <si>
    <t>芜湖国际船代 CathyZou</t>
  </si>
  <si>
    <t>芜湖 - 910648137</t>
  </si>
  <si>
    <t>王小姐 2352513218</t>
  </si>
  <si>
    <t>外经贸 - 沈晓娟 女 723811554</t>
  </si>
  <si>
    <t>拓肯电子 - 单 1464005660</t>
  </si>
  <si>
    <t>苏州龙嘉 - 马 335217223</t>
  </si>
  <si>
    <t>上海中锐达 - 潘 女 364852903</t>
  </si>
  <si>
    <t>上海远磐 - 成家伟 269370811</t>
  </si>
  <si>
    <t>上海瀛和 - 徐冰 398245866</t>
  </si>
  <si>
    <t>上海迅平 - 631214967</t>
  </si>
  <si>
    <t>上海馨逸 - 王 948550583</t>
  </si>
  <si>
    <t>上海曦之 - 李蓓君 女 2851071331</t>
  </si>
  <si>
    <t>上海世祥 - 朱亮 64240157</t>
  </si>
  <si>
    <t>上海世祥 - 赵伟平 男 3102094471</t>
  </si>
  <si>
    <t>上海世祥 - 徐彬 1047433877</t>
  </si>
  <si>
    <t>上海世祥 - 郭彦成 2652802536</t>
  </si>
  <si>
    <t>上海世祥 - 陈 3138361413</t>
  </si>
  <si>
    <t>上海商展 - 王彬 2880488434</t>
  </si>
  <si>
    <t>上海萨富 - KITTY 2632369136</t>
  </si>
  <si>
    <t>上海凯斯 - 王彪 453381250</t>
  </si>
  <si>
    <t>上海金雕 - 向晖 107176780</t>
  </si>
  <si>
    <t>上海瀚丰 - 高洋 2851209322</t>
  </si>
  <si>
    <t>上海港先 - 赵振宇 3002208962</t>
  </si>
  <si>
    <t>上海畅运 - 廖明洁 2851692019</t>
  </si>
  <si>
    <t>上海播瑞 - 陈昌 2880265334</t>
  </si>
  <si>
    <t>上海柏联 - 黄杰 2623196576</t>
  </si>
  <si>
    <t>上海安城 - 干斌 2355913534</t>
  </si>
  <si>
    <t>宁波盈富 - 张 11150473</t>
  </si>
  <si>
    <t>南京天骏 - 吴天聪 726857328</t>
  </si>
  <si>
    <t>康泰克斯 - 何冰 2460331613</t>
  </si>
  <si>
    <t>江苏三桩 - 周琳 952987808</t>
  </si>
  <si>
    <t>CASA Louis（vip of msc）</t>
  </si>
  <si>
    <t>降频慎发</t>
  </si>
  <si>
    <t>深圳鹏城海</t>
  </si>
  <si>
    <t>上海世祥 - 徐健 845215368</t>
  </si>
  <si>
    <t>上海世祥 - 徐飞 商务 627838125</t>
  </si>
  <si>
    <t>上海世祥 - 熊家平 315521983</t>
  </si>
  <si>
    <t>上海世祥 - 蔡冬杰 1643523734</t>
  </si>
  <si>
    <t>上海港先 - 黄靓 3002265564</t>
  </si>
  <si>
    <t>备注</t>
    <phoneticPr fontId="9" type="noConversion"/>
  </si>
  <si>
    <t>抬头</t>
    <phoneticPr fontId="9" type="noConversion"/>
  </si>
  <si>
    <t>021-51287911</t>
  </si>
  <si>
    <t>左华丽</t>
  </si>
  <si>
    <t>董事会秘书</t>
  </si>
  <si>
    <t>投融资发展部</t>
    <phoneticPr fontId="9" type="noConversion"/>
  </si>
  <si>
    <t>上海总部</t>
  </si>
  <si>
    <t>021-51286547</t>
  </si>
  <si>
    <t>邹炫</t>
  </si>
  <si>
    <t>业务拓展经理</t>
  </si>
  <si>
    <t>非洲海外事业部</t>
    <phoneticPr fontId="9" type="noConversion"/>
  </si>
  <si>
    <t>021-51286505</t>
  </si>
  <si>
    <t>庄沁皓</t>
  </si>
  <si>
    <t>操作部</t>
    <phoneticPr fontId="9" type="noConversion"/>
  </si>
  <si>
    <t>021-51286526</t>
  </si>
  <si>
    <t>祝昊旻</t>
  </si>
  <si>
    <t>杭州分公司经理(营销一部副经理)</t>
  </si>
  <si>
    <t>营销事业部</t>
    <phoneticPr fontId="9" type="noConversion"/>
  </si>
  <si>
    <t>021-51287192</t>
  </si>
  <si>
    <t>朱存斌</t>
  </si>
  <si>
    <t>0574-87667728</t>
  </si>
  <si>
    <t>周添</t>
  </si>
  <si>
    <t>总助</t>
  </si>
  <si>
    <t>宁波办事处</t>
    <phoneticPr fontId="9" type="noConversion"/>
  </si>
  <si>
    <t>010-53854820</t>
  </si>
  <si>
    <t>周劼</t>
  </si>
  <si>
    <t>项目经理</t>
  </si>
  <si>
    <t>北京分公司</t>
    <phoneticPr fontId="9" type="noConversion"/>
  </si>
  <si>
    <t>0551-63637585</t>
  </si>
  <si>
    <t>赵雨</t>
  </si>
  <si>
    <t>销售</t>
  </si>
  <si>
    <t>安徽分公司</t>
    <phoneticPr fontId="9" type="noConversion"/>
  </si>
  <si>
    <t>安徽公司</t>
  </si>
  <si>
    <t>021-51286536</t>
  </si>
  <si>
    <t>试用期</t>
    <phoneticPr fontId="6" type="noConversion"/>
  </si>
  <si>
    <t>赵清树</t>
  </si>
  <si>
    <t>客服</t>
    <phoneticPr fontId="9" type="noConversion"/>
  </si>
  <si>
    <t>客服一部</t>
    <phoneticPr fontId="9" type="noConversion"/>
  </si>
  <si>
    <t>赵莉</t>
  </si>
  <si>
    <t>天津分公司副总</t>
  </si>
  <si>
    <t>天津分公司</t>
    <phoneticPr fontId="9" type="noConversion"/>
  </si>
  <si>
    <t>赵丽</t>
  </si>
  <si>
    <t>内勤部主管</t>
  </si>
  <si>
    <t>021-51287091</t>
  </si>
  <si>
    <t>章兴敏</t>
  </si>
  <si>
    <t>财务部副经理</t>
  </si>
  <si>
    <t>轮值主席团队</t>
    <phoneticPr fontId="9" type="noConversion"/>
  </si>
  <si>
    <t>021-51287949</t>
  </si>
  <si>
    <t>张周赛</t>
  </si>
  <si>
    <t>航线助理</t>
  </si>
  <si>
    <t>航线管理部</t>
    <phoneticPr fontId="9" type="noConversion"/>
  </si>
  <si>
    <t>0532-83865928</t>
  </si>
  <si>
    <t>张先喜</t>
  </si>
  <si>
    <t>销售经理</t>
  </si>
  <si>
    <t>青岛办事处</t>
    <phoneticPr fontId="9" type="noConversion"/>
  </si>
  <si>
    <t>青岛办事处</t>
  </si>
  <si>
    <t>张文辰</t>
  </si>
  <si>
    <t>021-51286539</t>
  </si>
  <si>
    <t>张茜</t>
  </si>
  <si>
    <t>操作部副经理</t>
  </si>
  <si>
    <t>张鹏</t>
  </si>
  <si>
    <t>副总经理</t>
  </si>
  <si>
    <t>肯尼亚子公司</t>
    <phoneticPr fontId="9" type="noConversion"/>
  </si>
  <si>
    <t>肯尼亚子公司</t>
  </si>
  <si>
    <t>021-58448986</t>
  </si>
  <si>
    <t>张林</t>
  </si>
  <si>
    <t>负责人</t>
  </si>
  <si>
    <t>空运事业部</t>
    <phoneticPr fontId="9" type="noConversion"/>
  </si>
  <si>
    <t>010-53854826</t>
  </si>
  <si>
    <t>张杰</t>
  </si>
  <si>
    <t>公共关系部副经理</t>
  </si>
  <si>
    <t>公共关系部</t>
    <phoneticPr fontId="9" type="noConversion"/>
  </si>
  <si>
    <t>直属</t>
    <phoneticPr fontId="9" type="noConversion"/>
  </si>
  <si>
    <t>021-51287080</t>
  </si>
  <si>
    <t>张冬生</t>
  </si>
  <si>
    <t>021-51287004</t>
  </si>
  <si>
    <t>余婷婷</t>
  </si>
  <si>
    <t>叶瞳</t>
    <phoneticPr fontId="9" type="noConversion"/>
  </si>
  <si>
    <t>021-51287090</t>
  </si>
  <si>
    <t>叶蕾</t>
  </si>
  <si>
    <t>客服一部经理</t>
  </si>
  <si>
    <t>010-53854821</t>
  </si>
  <si>
    <t>杨依</t>
  </si>
  <si>
    <t>操作主管</t>
  </si>
  <si>
    <t>021-51286509</t>
  </si>
  <si>
    <t>杨梦洁</t>
  </si>
  <si>
    <t>行政部经理</t>
  </si>
  <si>
    <t>021-51287941</t>
  </si>
  <si>
    <t>杨龙</t>
  </si>
  <si>
    <t>预算管理员</t>
  </si>
  <si>
    <t>预算管理部</t>
    <phoneticPr fontId="9" type="noConversion"/>
  </si>
  <si>
    <t>021-51287158</t>
  </si>
  <si>
    <t>颜君爽</t>
  </si>
  <si>
    <t>费用会计</t>
  </si>
  <si>
    <t>财务部</t>
    <phoneticPr fontId="9" type="noConversion"/>
  </si>
  <si>
    <t>0551-66103429</t>
  </si>
  <si>
    <t>宣莉荣</t>
  </si>
  <si>
    <t>安徽公司副总经理</t>
  </si>
  <si>
    <t>许峰</t>
  </si>
  <si>
    <t>总经理</t>
    <phoneticPr fontId="9" type="noConversion"/>
  </si>
  <si>
    <t>安哥拉子公司</t>
    <phoneticPr fontId="9" type="noConversion"/>
  </si>
  <si>
    <t>安哥拉子公司</t>
  </si>
  <si>
    <t>021-51287917</t>
  </si>
  <si>
    <t>许超</t>
  </si>
  <si>
    <t>营销事业二部</t>
  </si>
  <si>
    <t>022-66389060</t>
    <phoneticPr fontId="9" type="noConversion"/>
  </si>
  <si>
    <t>021-51286528</t>
  </si>
  <si>
    <t>徐金芝</t>
  </si>
  <si>
    <t>行政专员</t>
  </si>
  <si>
    <t>021-51287015</t>
  </si>
  <si>
    <t>徐晨</t>
  </si>
  <si>
    <t>0254-706276479</t>
    <phoneticPr fontId="9" type="noConversion"/>
  </si>
  <si>
    <t>谢承风</t>
  </si>
  <si>
    <t>肯尼亚公司总经理</t>
  </si>
  <si>
    <t>肖辉</t>
  </si>
  <si>
    <t>项目经理</t>
    <phoneticPr fontId="9" type="noConversion"/>
  </si>
  <si>
    <t>埃塞俄比亚子公司</t>
    <phoneticPr fontId="9" type="noConversion"/>
  </si>
  <si>
    <t>埃塞俄比亚子公司</t>
  </si>
  <si>
    <t>021-51287079</t>
  </si>
  <si>
    <t>武骏</t>
  </si>
  <si>
    <t>武浩</t>
  </si>
  <si>
    <t>吴文涛</t>
  </si>
  <si>
    <t>021-51286502</t>
  </si>
  <si>
    <t>吴海燕</t>
  </si>
  <si>
    <t>航线部经理</t>
  </si>
  <si>
    <t>021-51287035</t>
  </si>
  <si>
    <t>营销事业部一部主管</t>
  </si>
  <si>
    <t>021-51287946</t>
  </si>
  <si>
    <t>王露明</t>
  </si>
  <si>
    <t>空运航线</t>
  </si>
  <si>
    <t>021-51287039</t>
  </si>
  <si>
    <t>王路</t>
  </si>
  <si>
    <t>021-51287376</t>
  </si>
  <si>
    <t>王丽</t>
  </si>
  <si>
    <t>费用会计</t>
    <phoneticPr fontId="9" type="noConversion"/>
  </si>
  <si>
    <t>021-51286545</t>
  </si>
  <si>
    <t>王继宏</t>
  </si>
  <si>
    <t>项目部商务客服</t>
  </si>
  <si>
    <t>工程项目部</t>
    <phoneticPr fontId="9" type="noConversion"/>
  </si>
  <si>
    <t>021-68352433</t>
  </si>
  <si>
    <t>王国栋</t>
  </si>
  <si>
    <t>021-51286544</t>
  </si>
  <si>
    <t>田露</t>
  </si>
  <si>
    <t>海外部事业一部主管</t>
  </si>
  <si>
    <t>021-51286548</t>
    <phoneticPr fontId="9" type="noConversion"/>
  </si>
  <si>
    <t>陶有庭</t>
  </si>
  <si>
    <t>轮值主席助理</t>
  </si>
  <si>
    <t>021-51286510</t>
  </si>
  <si>
    <t>陶玲</t>
  </si>
  <si>
    <t>人力资源部经理</t>
  </si>
  <si>
    <t>021-51286516</t>
  </si>
  <si>
    <t>唐净珠</t>
  </si>
  <si>
    <t>部门经理</t>
  </si>
  <si>
    <t>010-53854815</t>
  </si>
  <si>
    <t>孙欣漪</t>
  </si>
  <si>
    <t>行政前台</t>
  </si>
  <si>
    <t>021-51282587</t>
  </si>
  <si>
    <t>孙佳麟</t>
  </si>
  <si>
    <t>021-51287087</t>
  </si>
  <si>
    <t>孙豪威</t>
  </si>
  <si>
    <t>海外平台部专员</t>
    <phoneticPr fontId="9" type="noConversion"/>
  </si>
  <si>
    <t>021-51287068</t>
  </si>
  <si>
    <t>宋彧</t>
  </si>
  <si>
    <t>客服一部副经理(试用期)</t>
  </si>
  <si>
    <t>021-51286518</t>
  </si>
  <si>
    <t>宋姣</t>
  </si>
  <si>
    <t>项目商务操作</t>
  </si>
  <si>
    <t>021-51286508</t>
    <phoneticPr fontId="9" type="noConversion"/>
  </si>
  <si>
    <t>轮值主席/总裁</t>
  </si>
  <si>
    <t>0551-66180628</t>
  </si>
  <si>
    <t>沈建林</t>
  </si>
  <si>
    <t>营销部主管</t>
  </si>
  <si>
    <t>021-51286527</t>
  </si>
  <si>
    <t>戎艳玮</t>
  </si>
  <si>
    <t>招聘主管</t>
  </si>
  <si>
    <t>0551-66682060</t>
  </si>
  <si>
    <t>秦彩虹</t>
  </si>
  <si>
    <t>普娟娟</t>
  </si>
  <si>
    <t>021-51286543</t>
  </si>
  <si>
    <t>彭友清</t>
  </si>
  <si>
    <t>财务助理</t>
  </si>
  <si>
    <t>0574-87154497</t>
  </si>
  <si>
    <t>倪琴琴</t>
  </si>
  <si>
    <t>马晓可</t>
  </si>
  <si>
    <t>贸易公司副总</t>
  </si>
  <si>
    <t>上海道已贸易子公司</t>
    <phoneticPr fontId="9" type="noConversion"/>
  </si>
  <si>
    <t>道已贸易</t>
  </si>
  <si>
    <t>010-53854819</t>
  </si>
  <si>
    <t>鲁婷婷</t>
  </si>
  <si>
    <t>商务经理</t>
  </si>
  <si>
    <t>商务部</t>
    <phoneticPr fontId="9" type="noConversion"/>
  </si>
  <si>
    <t>021-51286533</t>
  </si>
  <si>
    <t>卢炎</t>
  </si>
  <si>
    <t>营销事业部二部主管</t>
  </si>
  <si>
    <t>021-51282588</t>
  </si>
  <si>
    <t>卢舲洁</t>
  </si>
  <si>
    <t>航线专员</t>
  </si>
  <si>
    <t>刘赞</t>
  </si>
  <si>
    <t>刘艳</t>
  </si>
  <si>
    <t>021-51287037</t>
  </si>
  <si>
    <t>刘俊</t>
  </si>
  <si>
    <t>010-53854822</t>
  </si>
  <si>
    <t>梁琦</t>
  </si>
  <si>
    <t>海外平台部</t>
    <phoneticPr fontId="9" type="noConversion"/>
  </si>
  <si>
    <t>海运销售</t>
  </si>
  <si>
    <t>021-51287031</t>
  </si>
  <si>
    <t>李文华</t>
  </si>
  <si>
    <t>航线主管</t>
  </si>
  <si>
    <t>李仁秀</t>
  </si>
  <si>
    <t>0532-80795726</t>
  </si>
  <si>
    <t>李高亮</t>
  </si>
  <si>
    <t>青岛公司总经理</t>
  </si>
  <si>
    <t>010-53854812</t>
  </si>
  <si>
    <t>李德来</t>
  </si>
  <si>
    <t>项目总监</t>
  </si>
  <si>
    <t>021-51287089</t>
  </si>
  <si>
    <t>李爱军</t>
  </si>
  <si>
    <t>空运事业部总经理</t>
  </si>
  <si>
    <t>010-53854828</t>
  </si>
  <si>
    <t>兰元新</t>
  </si>
  <si>
    <t>大客户部二部部门经理</t>
  </si>
  <si>
    <t>大客户部</t>
    <phoneticPr fontId="9" type="noConversion"/>
  </si>
  <si>
    <t>021-51287190</t>
  </si>
  <si>
    <t>兰弯弯</t>
  </si>
  <si>
    <t>022-23465870</t>
    <phoneticPr fontId="9" type="noConversion"/>
  </si>
  <si>
    <t>井璐</t>
  </si>
  <si>
    <t>项目助理</t>
  </si>
  <si>
    <t>靳鹏</t>
  </si>
  <si>
    <t>021-51282577</t>
  </si>
  <si>
    <t>解传明</t>
  </si>
  <si>
    <t>纪达鹏</t>
  </si>
  <si>
    <t>港前客服</t>
  </si>
  <si>
    <t>021-51286520</t>
  </si>
  <si>
    <t>黄丽红</t>
  </si>
  <si>
    <t>财务部经理</t>
  </si>
  <si>
    <t>胡磊</t>
  </si>
  <si>
    <t>021-51286513</t>
  </si>
  <si>
    <t>贺圆圆</t>
  </si>
  <si>
    <t>供应链管理部副总助理</t>
  </si>
  <si>
    <t>021-51287175</t>
  </si>
  <si>
    <t>何锦蕾</t>
  </si>
  <si>
    <t>何海燕</t>
  </si>
  <si>
    <t>021-51286550</t>
  </si>
  <si>
    <t>郝云霞</t>
  </si>
  <si>
    <t>开票会计</t>
  </si>
  <si>
    <t>郭俊峰</t>
  </si>
  <si>
    <t>021-51287081</t>
  </si>
  <si>
    <t>龚义波</t>
  </si>
  <si>
    <t>022-23245872</t>
  </si>
  <si>
    <t>耿丽红</t>
  </si>
  <si>
    <t>高艳</t>
  </si>
  <si>
    <t>高树藤</t>
  </si>
  <si>
    <t>付应红</t>
  </si>
  <si>
    <t>0551-66108706</t>
  </si>
  <si>
    <t>冯珊花</t>
  </si>
  <si>
    <t>021-51287927</t>
  </si>
  <si>
    <t>丁希昆</t>
  </si>
  <si>
    <t>021-51286535</t>
    <phoneticPr fontId="9" type="noConversion"/>
  </si>
  <si>
    <t>邓蕊</t>
  </si>
  <si>
    <t>供应链管理部副总</t>
  </si>
  <si>
    <t>010-53854813</t>
  </si>
  <si>
    <t>崔宇阳</t>
  </si>
  <si>
    <t>非洲海外部副总监</t>
  </si>
  <si>
    <t>0571-51287037</t>
    <phoneticPr fontId="9" type="noConversion"/>
  </si>
  <si>
    <t>程章禁</t>
  </si>
  <si>
    <t>杭州办事处</t>
    <phoneticPr fontId="9" type="noConversion"/>
  </si>
  <si>
    <t>021-51286503</t>
  </si>
  <si>
    <t>陈珍妮</t>
  </si>
  <si>
    <t>021-51286529</t>
  </si>
  <si>
    <t>陈芸</t>
  </si>
  <si>
    <t>客服二部经理</t>
  </si>
  <si>
    <t>021-51286515</t>
  </si>
  <si>
    <t>陈煜宇</t>
  </si>
  <si>
    <t>海外部事业平台经理</t>
  </si>
  <si>
    <t>021-51287038</t>
  </si>
  <si>
    <t>陈一</t>
  </si>
  <si>
    <t>人力资源部副经理</t>
  </si>
  <si>
    <t>021-51286512</t>
  </si>
  <si>
    <t>陈旒骏</t>
  </si>
  <si>
    <t>操作部二组主管</t>
  </si>
  <si>
    <t>陈娟</t>
  </si>
  <si>
    <t>操作经理</t>
  </si>
  <si>
    <t>坦桑尼亚子公司</t>
    <phoneticPr fontId="9" type="noConversion"/>
  </si>
  <si>
    <t>坦桑尼亚子公司</t>
  </si>
  <si>
    <t>021-51286549</t>
  </si>
  <si>
    <t>陈惠丽</t>
  </si>
  <si>
    <t>应收会计助理</t>
  </si>
  <si>
    <t>陈虎</t>
  </si>
  <si>
    <t>跑单师傅</t>
  </si>
  <si>
    <t>陈鸿洁</t>
  </si>
  <si>
    <t>出纳</t>
  </si>
  <si>
    <t>010-53854814</t>
  </si>
  <si>
    <t>蔡琪</t>
  </si>
  <si>
    <t>副总裁兼海外事业部部总监</t>
  </si>
  <si>
    <t>0551-66682050</t>
  </si>
  <si>
    <t>蔡梦尤</t>
  </si>
  <si>
    <t>操作</t>
    <phoneticPr fontId="9" type="noConversion"/>
  </si>
  <si>
    <t>51286501/7780</t>
  </si>
  <si>
    <t>卜杰林</t>
  </si>
  <si>
    <t>董事长</t>
  </si>
  <si>
    <t>021-51286542</t>
  </si>
  <si>
    <t>卜海波</t>
  </si>
  <si>
    <t>营销事业部一部经理</t>
  </si>
  <si>
    <t>手机号码</t>
  </si>
  <si>
    <t>电话</t>
  </si>
  <si>
    <t>实习</t>
    <phoneticPr fontId="6" type="noConversion"/>
  </si>
  <si>
    <t>身份证</t>
    <phoneticPr fontId="9" type="noConversion"/>
  </si>
  <si>
    <t>姓名</t>
  </si>
  <si>
    <t>职位</t>
  </si>
  <si>
    <t>部门</t>
  </si>
  <si>
    <t>类别</t>
    <phoneticPr fontId="6" type="noConversion"/>
  </si>
  <si>
    <t>宝骥</t>
    <phoneticPr fontId="7" type="noConversion"/>
  </si>
  <si>
    <t>保利</t>
    <phoneticPr fontId="9" type="noConversion"/>
  </si>
  <si>
    <t>宝山区杨行镇水产路1699号宝骥大厦</t>
    <phoneticPr fontId="7" type="noConversion"/>
  </si>
  <si>
    <t>浦东新区富特北路181号杉中科技创业园</t>
    <phoneticPr fontId="7" type="noConversion"/>
  </si>
  <si>
    <t>嘉定区嘉罗公路1661弄盛创家园</t>
    <phoneticPr fontId="7" type="noConversion"/>
  </si>
  <si>
    <t>杨浦区安波路569号(近营口路)硕和国际</t>
    <phoneticPr fontId="7" type="noConversion"/>
  </si>
  <si>
    <t>宝山区杨行镇红林路2号新宝中心</t>
    <phoneticPr fontId="7" type="noConversion"/>
  </si>
  <si>
    <t>杨浦区杭州路421号纺织鑫山园区</t>
    <phoneticPr fontId="7" type="noConversion"/>
  </si>
  <si>
    <t>浦东新区美盛路27-502-503号附近烨博大厦</t>
    <phoneticPr fontId="7" type="noConversion"/>
  </si>
  <si>
    <t>浦东新区外高桥保税区外高桥日京路139号众园国际中心</t>
    <phoneticPr fontId="7" type="noConversion"/>
  </si>
  <si>
    <t>福龙</t>
    <phoneticPr fontId="9" type="noConversion"/>
  </si>
  <si>
    <t>海上海</t>
    <phoneticPr fontId="9" type="noConversion"/>
  </si>
  <si>
    <t>海运</t>
    <phoneticPr fontId="9" type="noConversion"/>
  </si>
  <si>
    <t>华宁</t>
    <phoneticPr fontId="7" type="noConversion"/>
  </si>
  <si>
    <t>华谊</t>
    <phoneticPr fontId="9" type="noConversion"/>
  </si>
  <si>
    <t>家纺</t>
    <phoneticPr fontId="9" type="noConversion"/>
  </si>
  <si>
    <t>郡江</t>
    <phoneticPr fontId="9" type="noConversion"/>
  </si>
  <si>
    <t>凯德</t>
    <phoneticPr fontId="9" type="noConversion"/>
  </si>
  <si>
    <t>康宁</t>
    <phoneticPr fontId="9" type="noConversion"/>
  </si>
  <si>
    <t>莱克</t>
    <phoneticPr fontId="9" type="noConversion"/>
  </si>
  <si>
    <t>龙泽</t>
    <phoneticPr fontId="9" type="noConversion"/>
  </si>
  <si>
    <t>飘鹰</t>
    <phoneticPr fontId="9" type="noConversion"/>
  </si>
  <si>
    <t>杉中</t>
    <phoneticPr fontId="9" type="noConversion"/>
  </si>
  <si>
    <t>设计交流中心</t>
    <phoneticPr fontId="9" type="noConversion"/>
  </si>
  <si>
    <t>盛创</t>
    <phoneticPr fontId="9" type="noConversion"/>
  </si>
  <si>
    <t>硕和</t>
    <phoneticPr fontId="9" type="noConversion"/>
  </si>
  <si>
    <t>科创</t>
    <phoneticPr fontId="9" type="noConversion"/>
  </si>
  <si>
    <t>天宝</t>
    <phoneticPr fontId="9" type="noConversion"/>
  </si>
  <si>
    <t>天科</t>
    <phoneticPr fontId="9" type="noConversion"/>
  </si>
  <si>
    <t>祥腾</t>
    <phoneticPr fontId="9" type="noConversion"/>
  </si>
  <si>
    <t>新宝</t>
    <phoneticPr fontId="9" type="noConversion"/>
  </si>
  <si>
    <t>鑫山</t>
    <phoneticPr fontId="7" type="noConversion"/>
  </si>
  <si>
    <t>星云</t>
    <phoneticPr fontId="9" type="noConversion"/>
  </si>
  <si>
    <t>耀江</t>
    <phoneticPr fontId="9" type="noConversion"/>
  </si>
  <si>
    <t>烨博</t>
    <phoneticPr fontId="9" type="noConversion"/>
  </si>
  <si>
    <t>宇航</t>
    <phoneticPr fontId="7" type="noConversion"/>
  </si>
  <si>
    <t>岳洋</t>
    <phoneticPr fontId="9" type="noConversion"/>
  </si>
  <si>
    <t>Loft</t>
    <phoneticPr fontId="9" type="noConversion"/>
  </si>
  <si>
    <t>长泰</t>
    <phoneticPr fontId="9" type="noConversion"/>
  </si>
  <si>
    <t>中铁</t>
    <phoneticPr fontId="9" type="noConversion"/>
  </si>
  <si>
    <t>众园</t>
    <phoneticPr fontId="7" type="noConversion"/>
  </si>
  <si>
    <t>宝骥</t>
    <phoneticPr fontId="9" type="noConversion"/>
  </si>
  <si>
    <t>华宁</t>
    <phoneticPr fontId="9" type="noConversion"/>
  </si>
  <si>
    <t>天宝</t>
    <phoneticPr fontId="7" type="noConversion"/>
  </si>
  <si>
    <t>新能源</t>
    <phoneticPr fontId="9" type="noConversion"/>
  </si>
  <si>
    <t>鑫山</t>
    <phoneticPr fontId="9" type="noConversion"/>
  </si>
  <si>
    <t>宇航</t>
    <phoneticPr fontId="9" type="noConversion"/>
  </si>
  <si>
    <t>众园</t>
    <phoneticPr fontId="9" type="noConversion"/>
  </si>
  <si>
    <t>杨浦区大连路990号海上海新城</t>
    <phoneticPr fontId="9" type="noConversion"/>
  </si>
  <si>
    <t>杨浦区长阳路1441号海运大厦</t>
    <phoneticPr fontId="9" type="noConversion"/>
  </si>
  <si>
    <t>杨浦区眉州路381号华谊星城</t>
    <phoneticPr fontId="9" type="noConversion"/>
  </si>
  <si>
    <t>虹口区四平路210号家纺大厦</t>
    <phoneticPr fontId="9" type="noConversion"/>
  </si>
  <si>
    <t>杨浦区宁国路218号郡江国际大厦</t>
    <phoneticPr fontId="9" type="noConversion"/>
  </si>
  <si>
    <t>虹口区西江湾路388号凯德龙之梦</t>
    <phoneticPr fontId="9" type="noConversion"/>
  </si>
  <si>
    <t>黄浦区中华路1359号(近复兴路)康宁商厦</t>
    <phoneticPr fontId="9" type="noConversion"/>
  </si>
  <si>
    <t>嘉定区曹安公路2883号四方科创中心</t>
    <phoneticPr fontId="9" type="noConversion"/>
  </si>
  <si>
    <t>黄浦区北京东路668号科技京城</t>
    <phoneticPr fontId="9" type="noConversion"/>
  </si>
  <si>
    <t>杨浦区大连路1548号莱克大厦</t>
    <phoneticPr fontId="9" type="noConversion"/>
  </si>
  <si>
    <t>杨浦区内环高架路入口与宁国路交叉口西南50米龙泽大厦</t>
    <phoneticPr fontId="9" type="noConversion"/>
  </si>
  <si>
    <t>虹口区吴淞路469号(海宁路口)森林湾大厦</t>
    <phoneticPr fontId="9" type="noConversion"/>
  </si>
  <si>
    <t>杨浦区长阳路1080号国际设计交流中心</t>
    <phoneticPr fontId="9" type="noConversion"/>
  </si>
  <si>
    <t>浦东新区浦东南路855号(近第一八佰伴)世界广场</t>
    <phoneticPr fontId="9" type="noConversion"/>
  </si>
  <si>
    <t>杨浦区平凉路1090号天科大厦</t>
    <phoneticPr fontId="7" type="noConversion"/>
  </si>
  <si>
    <t>静安区共和新路3088弄7号楼祥腾财富广场</t>
    <phoneticPr fontId="9" type="noConversion"/>
  </si>
  <si>
    <t>虹口区四平路216号新能源大厦</t>
    <phoneticPr fontId="9" type="noConversion"/>
  </si>
  <si>
    <t>杨浦区翔殷路256号14楼星云大厦</t>
    <phoneticPr fontId="9" type="noConversion"/>
  </si>
  <si>
    <t>虹口区吴淞路308号耀江广场</t>
    <phoneticPr fontId="9" type="noConversion"/>
  </si>
  <si>
    <t>虹口区四川北路525号宇航大厦</t>
    <phoneticPr fontId="9" type="noConversion"/>
  </si>
  <si>
    <t>虹口区岳州路58号岳洋大厦</t>
    <phoneticPr fontId="9" type="noConversion"/>
  </si>
  <si>
    <t>静安区海宁路899号长泰企业天地广场</t>
    <phoneticPr fontId="9" type="noConversion"/>
  </si>
  <si>
    <t>静安区江场西路299弄2号中铁广场</t>
    <phoneticPr fontId="9" type="noConversion"/>
  </si>
  <si>
    <t>日期</t>
    <phoneticPr fontId="9" type="noConversion"/>
  </si>
  <si>
    <t>副总经理</t>
    <phoneticPr fontId="9" type="noConversion"/>
  </si>
  <si>
    <t>021-68981266</t>
    <phoneticPr fontId="9" type="noConversion"/>
  </si>
  <si>
    <t>不用加</t>
    <phoneticPr fontId="9" type="noConversion"/>
  </si>
  <si>
    <t>亿亚</t>
  </si>
  <si>
    <t>上海市静安区共和新路3088弄祥腾财富广场7号楼1002室</t>
    <phoneticPr fontId="9" type="noConversion"/>
  </si>
  <si>
    <t>上海市杨浦区宁国路218号郡江国际大厦A座620室</t>
    <phoneticPr fontId="9" type="noConversion"/>
  </si>
  <si>
    <t>上海市杨浦区眉州路381号华谊星城1105室</t>
    <phoneticPr fontId="9" type="noConversion"/>
  </si>
  <si>
    <t>上海市杨浦区平凉路1090号天科国际大厦528室</t>
    <phoneticPr fontId="9" type="noConversion"/>
  </si>
  <si>
    <t>上海市虹口区四平路773号金大地商务中心518室</t>
    <phoneticPr fontId="9" type="noConversion"/>
  </si>
  <si>
    <t>上海市四平路277号福龙大厦22楼D座</t>
    <phoneticPr fontId="9" type="noConversion"/>
  </si>
  <si>
    <t>上海市四平路210号家纺大厦8002室</t>
    <phoneticPr fontId="9" type="noConversion"/>
  </si>
  <si>
    <t>上海市欧阳路85号金陵国际大厦1206室</t>
    <phoneticPr fontId="9" type="noConversion"/>
  </si>
  <si>
    <t>上海市虹口区天宝路578号飘鹰世纪大厦1208-1209室</t>
    <phoneticPr fontId="9" type="noConversion"/>
  </si>
  <si>
    <t>上海市四平路773号金大地商务楼308-309室</t>
    <phoneticPr fontId="9" type="noConversion"/>
  </si>
  <si>
    <t>上海市虹口区四平路775弄2号楼1205室</t>
    <phoneticPr fontId="9" type="noConversion"/>
  </si>
  <si>
    <t>上海市虹口区四平路773号金大地商务楼518室</t>
    <phoneticPr fontId="9" type="noConversion"/>
  </si>
  <si>
    <t>华烁</t>
  </si>
  <si>
    <t>法人仁秀华 监事刘井梅</t>
    <phoneticPr fontId="9" type="noConversion"/>
  </si>
  <si>
    <t>浦东巨峰路那边</t>
    <phoneticPr fontId="9" type="noConversion"/>
  </si>
  <si>
    <t>不用了</t>
    <phoneticPr fontId="9" type="noConversion"/>
  </si>
  <si>
    <t>宁波甬兰</t>
  </si>
  <si>
    <t>宁波</t>
    <phoneticPr fontId="9" type="noConversion"/>
  </si>
  <si>
    <t>宁波合羽</t>
    <phoneticPr fontId="9" type="noConversion"/>
  </si>
  <si>
    <t>宁波市鄞州区世纪大道北段333号华东城2号楼9楼928室</t>
    <phoneticPr fontId="9" type="noConversion"/>
  </si>
  <si>
    <t>Nacala</t>
    <phoneticPr fontId="9" type="noConversion"/>
  </si>
  <si>
    <t>抬头</t>
  </si>
  <si>
    <t>锦汇</t>
    <phoneticPr fontId="9" type="noConversion"/>
  </si>
  <si>
    <t>虹诚</t>
  </si>
  <si>
    <t>虹口区临平北路88号虹诚大厦</t>
    <phoneticPr fontId="9" type="noConversion"/>
  </si>
  <si>
    <t>杜秀梅</t>
  </si>
  <si>
    <t>NULL</t>
    <phoneticPr fontId="9" type="noConversion"/>
  </si>
  <si>
    <t>江苏澳华</t>
    <phoneticPr fontId="9" type="noConversion"/>
  </si>
  <si>
    <t>江苏</t>
    <phoneticPr fontId="9" type="noConversion"/>
  </si>
  <si>
    <t>上海市杨浦区杨树浦路2300号知兴大厦B706室</t>
    <phoneticPr fontId="9" type="noConversion"/>
  </si>
  <si>
    <t>知兴</t>
    <phoneticPr fontId="9" type="noConversion"/>
  </si>
  <si>
    <t>杨浦区杨树浦路2300号知兴大厦</t>
    <phoneticPr fontId="9" type="noConversion"/>
  </si>
  <si>
    <t>陈贤锋</t>
  </si>
  <si>
    <t>商秀莲</t>
  </si>
  <si>
    <t>赵振宇</t>
  </si>
  <si>
    <t>蔡灿</t>
  </si>
  <si>
    <t>张桓</t>
  </si>
  <si>
    <t>胡兵</t>
  </si>
  <si>
    <t>高萍</t>
  </si>
  <si>
    <t>杨浦区控江路1029弄1号楼1707室</t>
    <phoneticPr fontId="7" type="noConversion"/>
  </si>
  <si>
    <t>李明</t>
  </si>
  <si>
    <t>周三/周四</t>
  </si>
  <si>
    <t>AEF</t>
  </si>
  <si>
    <t>周三/周四/周日</t>
  </si>
  <si>
    <t>洋山/外港/洋山</t>
  </si>
  <si>
    <t>丹戎帕拉帕斯港/丹戎帕拉帕斯港/新加坡</t>
  </si>
  <si>
    <t>周三/周四/周六</t>
  </si>
  <si>
    <t>DIR/SIN/SIN</t>
  </si>
  <si>
    <t>直达/新加坡/新加坡</t>
  </si>
  <si>
    <t>周三直达 周四/周六新加坡转</t>
  </si>
  <si>
    <t>外港/洋山</t>
  </si>
  <si>
    <t>丹戎帕拉帕斯港/新加坡</t>
  </si>
  <si>
    <t>WAX/FAL1 14天免用箱</t>
  </si>
  <si>
    <t>周天</t>
  </si>
  <si>
    <t>WAX/FAL1 10天免用箱</t>
  </si>
  <si>
    <t>60/120</t>
  </si>
  <si>
    <t>USD35/BILL</t>
  </si>
  <si>
    <t>USD30/BILL</t>
  </si>
  <si>
    <t>洋山/外港</t>
  </si>
  <si>
    <t>ZAX1/ZAX3 1、20'GP货重15TONS起需单票运管确认接载。
2、即日起DURBAN重货可以申请WAX1航线带至新加坡中转上WAX5航线。</t>
  </si>
  <si>
    <t>55/110</t>
  </si>
  <si>
    <t>50/100</t>
  </si>
  <si>
    <t>USD25/BILL</t>
  </si>
  <si>
    <t>WAX4 1、20'GP货重15TONS起需单票运管确认接载。
2、即日起DURBAN重货可以申请WAX1航线带至新加坡中转上WAX5航线。</t>
  </si>
  <si>
    <t>ZAX3</t>
  </si>
  <si>
    <t>weight less that 24.8(inlcuding tare)</t>
  </si>
  <si>
    <t>TPP/SIN</t>
  </si>
  <si>
    <t>AE7/AE1/AE5</t>
  </si>
  <si>
    <t>WAX/FAL1 7days (domestic ),21days(transit cargo)</t>
  </si>
  <si>
    <t>PAD EUR45/90/90</t>
  </si>
  <si>
    <t>暂停不接</t>
  </si>
  <si>
    <t>30~37</t>
  </si>
  <si>
    <t>SHAKA2</t>
  </si>
  <si>
    <t>外四</t>
  </si>
  <si>
    <t>AFEX 7天免用箱</t>
  </si>
  <si>
    <t>WAX 7天免用箱</t>
  </si>
  <si>
    <t>WAX/AFEX 7天免用箱</t>
  </si>
  <si>
    <t>Subject to SPD: EUR6/12,DTHC EUR 130/180 for 20/40(can be cc)</t>
  </si>
  <si>
    <t>MD1，免用箱21天</t>
  </si>
  <si>
    <t xml:space="preserve">WAX1 </t>
  </si>
  <si>
    <t xml:space="preserve">
</t>
  </si>
  <si>
    <t xml:space="preserve">FEW2 </t>
  </si>
  <si>
    <t>MD1,免用箱14天</t>
  </si>
  <si>
    <t>FAL1 8天免用箱</t>
  </si>
  <si>
    <t>Subject to CUS:90 Cntr,DTHC:USD160/210(Can be CC) &amp; CUI USD70/105 WITH SAME O/F TERM</t>
  </si>
  <si>
    <t>PORT SAIDE EAST</t>
  </si>
  <si>
    <t>赛德东</t>
  </si>
  <si>
    <t>赛德东/阿尔赫西拉斯</t>
  </si>
  <si>
    <t>AE7/AE6</t>
  </si>
  <si>
    <t>41/47</t>
  </si>
  <si>
    <t>Singapore</t>
  </si>
  <si>
    <t>46/35</t>
  </si>
  <si>
    <t>FEW3/FEW1</t>
  </si>
  <si>
    <t>DTHC USD 105/20DV; USD 150/40DV(CC) ;CGS USD 250/TEU</t>
  </si>
  <si>
    <t>ALGECIRAS</t>
  </si>
  <si>
    <t>54-62</t>
  </si>
  <si>
    <t>subject to DTHC EUR399/412 &amp; PTA USD40/CNTR with same OF term</t>
  </si>
  <si>
    <t>pointer noire</t>
  </si>
  <si>
    <t>pointer noire/ALGECIRAS</t>
  </si>
  <si>
    <t>黑角/阿尔赫西拉斯</t>
  </si>
  <si>
    <t>FW6/AE6</t>
  </si>
  <si>
    <t>TPP/ALGECIRAS</t>
  </si>
  <si>
    <t>丹绒巴士/阿尔赫西拉斯</t>
  </si>
  <si>
    <t>Subj DTHC EUR115/170 for 20/40(can be CC,But need provide the confirmation by cnee at booking stage)</t>
  </si>
  <si>
    <t>Subj DTHC EUR115/170 for 20/40(can be CC)</t>
  </si>
  <si>
    <t>Subj to SPD: EUR6/12</t>
  </si>
  <si>
    <t>WAX3 15天免用箱</t>
  </si>
  <si>
    <t>SCC USD165/205(can be cc)</t>
  </si>
  <si>
    <t>PORT SAIDE EAST/ALGECIRAS</t>
  </si>
  <si>
    <t>赛德西/阿尔赫西拉斯</t>
  </si>
  <si>
    <t xml:space="preserve">AEM1/AEM2/AEU2 </t>
  </si>
  <si>
    <t>MD1</t>
  </si>
  <si>
    <t xml:space="preserve">MD1 港口显示：TANGER MED </t>
  </si>
  <si>
    <t>周日/周二</t>
  </si>
  <si>
    <t>ISPS USD8/BOX不同码头航线不同,订舱前请确认 AAD01/AAD03 AEM5 via Piraeus，AAD05 via Valencia</t>
  </si>
  <si>
    <t>默认DRY PORT,可申请SEA PORT</t>
  </si>
  <si>
    <t xml:space="preserve">MD1 </t>
  </si>
  <si>
    <t>AEM2</t>
  </si>
  <si>
    <t>PIRAEUS</t>
  </si>
  <si>
    <t xml:space="preserve">MD2 </t>
  </si>
  <si>
    <t>自20180601起，征收塞港费USD100/TEU 优先配MD2</t>
  </si>
  <si>
    <t xml:space="preserve">MD3 </t>
  </si>
  <si>
    <t>达米埃塔</t>
  </si>
  <si>
    <t>AEM3</t>
  </si>
  <si>
    <t>优先配MD2</t>
  </si>
  <si>
    <t>TOBRUK</t>
  </si>
  <si>
    <t>托布鲁克,利比亚</t>
  </si>
  <si>
    <t>周一/周二</t>
  </si>
  <si>
    <t xml:space="preserve">MEX2 </t>
  </si>
  <si>
    <t>MEX2</t>
  </si>
  <si>
    <t>SHA</t>
    <phoneticPr fontId="9" type="noConversion"/>
  </si>
  <si>
    <t>Apapa</t>
    <phoneticPr fontId="9" type="noConversion"/>
  </si>
  <si>
    <t>20GP</t>
    <phoneticPr fontId="9" type="noConversion"/>
  </si>
  <si>
    <t>MSK</t>
    <phoneticPr fontId="9" type="noConversion"/>
  </si>
  <si>
    <t>截关</t>
    <phoneticPr fontId="9" type="noConversion"/>
  </si>
  <si>
    <t>Vikey</t>
    <phoneticPr fontId="9" type="noConversion"/>
  </si>
  <si>
    <t>姚磊</t>
  </si>
  <si>
    <t>骏耀</t>
  </si>
  <si>
    <t>联系人：骏耀 林艳</t>
    <phoneticPr fontId="9" type="noConversion"/>
  </si>
  <si>
    <t>宝山区共和新路4995号606室</t>
    <phoneticPr fontId="9" type="noConversion"/>
  </si>
  <si>
    <t>箱号</t>
    <phoneticPr fontId="9" type="noConversion"/>
  </si>
  <si>
    <t>封号</t>
    <phoneticPr fontId="9" type="noConversion"/>
  </si>
  <si>
    <t>船东</t>
    <phoneticPr fontId="9" type="noConversion"/>
  </si>
  <si>
    <t>船名</t>
    <phoneticPr fontId="9" type="noConversion"/>
  </si>
  <si>
    <t>航次</t>
    <phoneticPr fontId="9" type="noConversion"/>
  </si>
  <si>
    <t>箱型</t>
    <phoneticPr fontId="9" type="noConversion"/>
  </si>
  <si>
    <t>公司</t>
    <phoneticPr fontId="9" type="noConversion"/>
  </si>
  <si>
    <t>李琦</t>
  </si>
  <si>
    <t>李幸</t>
    <phoneticPr fontId="9" type="noConversion"/>
  </si>
  <si>
    <t>彭丽城</t>
    <phoneticPr fontId="9" type="noConversion"/>
  </si>
  <si>
    <t>束飞</t>
    <phoneticPr fontId="9" type="noConversion"/>
  </si>
  <si>
    <t>王伟</t>
    <phoneticPr fontId="9" type="noConversion"/>
  </si>
  <si>
    <t>徐伟超</t>
    <phoneticPr fontId="9" type="noConversion"/>
  </si>
  <si>
    <t>新海丰</t>
    <phoneticPr fontId="9" type="noConversion"/>
  </si>
  <si>
    <t>黄婷</t>
  </si>
  <si>
    <t>提单</t>
    <phoneticPr fontId="9" type="noConversion"/>
  </si>
  <si>
    <t>Nw</t>
    <phoneticPr fontId="9" type="noConversion"/>
  </si>
  <si>
    <t>Nt</t>
    <phoneticPr fontId="9" type="noConversion"/>
  </si>
  <si>
    <t>徐飞</t>
  </si>
  <si>
    <t>托书</t>
    <phoneticPr fontId="9" type="noConversion"/>
  </si>
  <si>
    <t>运抵</t>
    <phoneticPr fontId="9" type="noConversion"/>
  </si>
  <si>
    <t>海放</t>
    <phoneticPr fontId="9" type="noConversion"/>
  </si>
  <si>
    <t>码放</t>
    <phoneticPr fontId="9" type="noConversion"/>
  </si>
  <si>
    <t>配载</t>
    <phoneticPr fontId="9" type="noConversion"/>
  </si>
  <si>
    <t>数量</t>
    <phoneticPr fontId="9" type="noConversion"/>
  </si>
  <si>
    <t>客户</t>
    <phoneticPr fontId="9" type="noConversion"/>
  </si>
  <si>
    <t>载港</t>
    <phoneticPr fontId="9" type="noConversion"/>
  </si>
  <si>
    <t>卸港</t>
    <phoneticPr fontId="9" type="noConversion"/>
  </si>
  <si>
    <t>核重</t>
    <phoneticPr fontId="9" type="noConversion"/>
  </si>
  <si>
    <t>启航</t>
    <phoneticPr fontId="9" type="noConversion"/>
  </si>
  <si>
    <t>抵港</t>
    <phoneticPr fontId="9" type="noConversion"/>
  </si>
  <si>
    <t>放单</t>
    <phoneticPr fontId="9" type="noConversion"/>
  </si>
  <si>
    <t>托号</t>
    <phoneticPr fontId="9" type="noConversion"/>
  </si>
  <si>
    <t>青岛龙山</t>
    <phoneticPr fontId="9" type="noConversion"/>
  </si>
  <si>
    <t>青岛</t>
    <phoneticPr fontId="9" type="noConversion"/>
  </si>
  <si>
    <t>截重</t>
    <phoneticPr fontId="9" type="noConversion"/>
  </si>
  <si>
    <t>付款不好，魏奕宸 侯志财 无为巢湖</t>
    <phoneticPr fontId="9" type="noConversion"/>
  </si>
  <si>
    <t>排序</t>
    <phoneticPr fontId="9" type="noConversion"/>
  </si>
  <si>
    <t>提货</t>
    <phoneticPr fontId="9" type="noConversion"/>
  </si>
  <si>
    <t>刘思思</t>
  </si>
  <si>
    <t>郭彦成</t>
  </si>
  <si>
    <t>罗亚</t>
    <phoneticPr fontId="9" type="noConversion"/>
  </si>
  <si>
    <t>曦之</t>
  </si>
  <si>
    <t>Kampala</t>
  </si>
  <si>
    <t>ZADUR</t>
  </si>
  <si>
    <t>江苏鑫顺</t>
  </si>
  <si>
    <t>Botswana</t>
  </si>
  <si>
    <t>COSCO</t>
    <phoneticPr fontId="6" type="noConversion"/>
  </si>
  <si>
    <t>Burkina Faso</t>
  </si>
  <si>
    <t>Ouagadougou</t>
  </si>
  <si>
    <t>由于汇率问题转运费请实时确认</t>
    <phoneticPr fontId="6" type="noConversion"/>
  </si>
  <si>
    <t>Burundi</t>
  </si>
  <si>
    <t>Bujumbura</t>
  </si>
  <si>
    <t>Congo</t>
  </si>
  <si>
    <t>Bukavu</t>
  </si>
  <si>
    <t>Goma</t>
  </si>
  <si>
    <t>Kinshasa</t>
  </si>
  <si>
    <t>Kolwezi</t>
  </si>
  <si>
    <t>Likasi</t>
  </si>
  <si>
    <t>Lubumbashi</t>
  </si>
  <si>
    <t>Nairobi/Embakasi</t>
  </si>
  <si>
    <t>EMI</t>
    <phoneticPr fontId="6" type="noConversion"/>
  </si>
  <si>
    <t>Malawi</t>
  </si>
  <si>
    <t>Blantyre</t>
  </si>
  <si>
    <t>Lilongwe</t>
  </si>
  <si>
    <t>Mali</t>
  </si>
  <si>
    <t>Bamako</t>
  </si>
  <si>
    <t>0.25% CIF货值</t>
    <phoneticPr fontId="6" type="noConversion"/>
  </si>
  <si>
    <t>0.5% CIF货值</t>
    <phoneticPr fontId="6" type="noConversion"/>
  </si>
  <si>
    <t>0.26% CIF货值</t>
  </si>
  <si>
    <t>0.27% CIF货值</t>
  </si>
  <si>
    <t>0.28% CIF货值</t>
  </si>
  <si>
    <t>0.29% CIF货值</t>
  </si>
  <si>
    <t>0.30% CIF货值</t>
  </si>
  <si>
    <t>0.6% CIF货值</t>
  </si>
  <si>
    <t>0.31% CIF货值</t>
  </si>
  <si>
    <t>Rwanda</t>
  </si>
  <si>
    <t>Kigali</t>
  </si>
  <si>
    <t>South Sudan</t>
  </si>
  <si>
    <t>Juba</t>
  </si>
  <si>
    <t>Uganda</t>
  </si>
  <si>
    <t>Zambia</t>
  </si>
  <si>
    <t>Chingola</t>
  </si>
  <si>
    <t>Kabwe</t>
  </si>
  <si>
    <t>Kitwe</t>
  </si>
  <si>
    <t>Lusaka</t>
  </si>
  <si>
    <t>Ndola</t>
  </si>
  <si>
    <t>Solwezi</t>
  </si>
  <si>
    <t>Zimbabwe</t>
  </si>
  <si>
    <t>Benket</t>
  </si>
  <si>
    <t>Bulawayo</t>
  </si>
  <si>
    <t>Chipinge</t>
  </si>
  <si>
    <t>Gweru</t>
  </si>
  <si>
    <t>Harare</t>
  </si>
  <si>
    <t>Mutare</t>
  </si>
  <si>
    <t>公路税</t>
    <phoneticPr fontId="6" type="noConversion"/>
  </si>
  <si>
    <t>Dakar</t>
    <phoneticPr fontId="6" type="noConversion"/>
  </si>
  <si>
    <t>PHEX</t>
  </si>
  <si>
    <t>锦海捷亚</t>
  </si>
  <si>
    <t>扬州</t>
    <phoneticPr fontId="9" type="noConversion"/>
  </si>
  <si>
    <t>太湖世家</t>
    <phoneticPr fontId="9" type="noConversion"/>
  </si>
  <si>
    <t>太湖世家</t>
    <phoneticPr fontId="9" type="noConversion"/>
  </si>
  <si>
    <t>嘉定区德富路1199号太湖世家环球大厦</t>
    <phoneticPr fontId="9" type="noConversion"/>
  </si>
  <si>
    <t>预配</t>
    <phoneticPr fontId="9" type="noConversion"/>
  </si>
  <si>
    <t>世祥</t>
    <phoneticPr fontId="9" type="noConversion"/>
  </si>
  <si>
    <t>熊家平</t>
  </si>
  <si>
    <t>分组</t>
  </si>
  <si>
    <t>QQ</t>
  </si>
  <si>
    <t>慕佰仕</t>
  </si>
  <si>
    <t>宁波盈富</t>
  </si>
  <si>
    <t>镇江 - 丁立 1257710379</t>
  </si>
  <si>
    <t>青岛港捷 - 孙光达 1835658703</t>
  </si>
  <si>
    <t>上海世祥 - 徐阳 2269742823</t>
  </si>
  <si>
    <t>康泰克斯</t>
  </si>
  <si>
    <t>上海世祥 - 陈兰 2521429625</t>
  </si>
  <si>
    <t>上海品瀚 - 江 2559617959</t>
  </si>
  <si>
    <t>优杰 - zhangjing 2621555646</t>
  </si>
  <si>
    <t>柏联</t>
  </si>
  <si>
    <t>上海港兴 - 高圣言 2851561501</t>
  </si>
  <si>
    <t>丝金 - 李文君 2856085253</t>
  </si>
  <si>
    <t>亚细亚-龚俐频139894393</t>
  </si>
  <si>
    <t>上海君驰 - 侯小红 2880525335</t>
  </si>
  <si>
    <t>上海洁火 - 石晴 3003566765</t>
  </si>
  <si>
    <t>上海申珂 - 陆瀟雨 4424828</t>
  </si>
  <si>
    <t>上海亿亚 - 赵勇 494970760</t>
  </si>
  <si>
    <t>宁波柏胜 - 邵 624956211</t>
  </si>
  <si>
    <t>南京天骏</t>
  </si>
  <si>
    <t>上海世祥 - 袁援 762561940</t>
  </si>
  <si>
    <t>南通三建 - 冯婷婷 823691137</t>
  </si>
  <si>
    <t>青岛鲲翔 - 尹Sunny 860589922</t>
  </si>
  <si>
    <t>新西兰航运 - 徐近 907484786</t>
  </si>
  <si>
    <t>上海世祥 - 周武 942760278</t>
  </si>
  <si>
    <t>江苏三桩</t>
  </si>
  <si>
    <t>cc 958495628</t>
  </si>
  <si>
    <t>青岛嘉麒</t>
  </si>
  <si>
    <t>上海珩宇 - 吴小小 1004826248</t>
  </si>
  <si>
    <t>上海世祥 - 董 1743251006</t>
  </si>
  <si>
    <t>冠枫 - Nancy 1802711722</t>
  </si>
  <si>
    <t>上海世祥 - 伍媛媛 2186029495</t>
  </si>
  <si>
    <t>Sally 2359459776</t>
  </si>
  <si>
    <t>江苏澳华 2453112927</t>
  </si>
  <si>
    <t>宁波甬兰 - 汪庆华 251974396</t>
  </si>
  <si>
    <t>上海世祥 - 詹一 260535770</t>
  </si>
  <si>
    <t>上海世祥 - 孙武 261428864</t>
  </si>
  <si>
    <t>锦海捷亚 - eric 278979643</t>
  </si>
  <si>
    <t>上海卫青 - 马恒英 2850135779</t>
  </si>
  <si>
    <t>上海商展 - 李红 2880488491</t>
  </si>
  <si>
    <t>上海荣诚 - 王森林 2881536718</t>
  </si>
  <si>
    <t>上海集龙 - 章芳龙 2881601584</t>
  </si>
  <si>
    <t>上海笙太 - 凌中祥 3002199517</t>
  </si>
  <si>
    <t>上海正熙 - 徐欣 3003516576</t>
  </si>
  <si>
    <t>上海世祥 - 刘建新 303802207</t>
  </si>
  <si>
    <t>上海唐轩 - 韩毅 341474889</t>
  </si>
  <si>
    <t>青岛龙山 - 李鹏 37428948</t>
  </si>
  <si>
    <t>曦之 - 张金兵 443850298</t>
  </si>
  <si>
    <t>上海华烁 - 刘 493524198</t>
  </si>
  <si>
    <t>孙 520897</t>
  </si>
  <si>
    <t>上海世祥 - 熊家钉 18930132393</t>
  </si>
  <si>
    <t>上海骏耀 - 林艳 675076432</t>
  </si>
  <si>
    <t>唐朝三洋 - 李娟 694674547</t>
  </si>
  <si>
    <t>宁波合羽 - 张北成 845993779</t>
  </si>
  <si>
    <t>世能电力 - 徐经理 93237762</t>
  </si>
  <si>
    <t>上海世祥 - 陈英 1065729493</t>
  </si>
  <si>
    <t>上海荣诚 - 赵强 2881725310</t>
  </si>
  <si>
    <t>上海汉神 - 樊 372202948</t>
  </si>
  <si>
    <t>上海锦汇 - 李云飞 598146468</t>
  </si>
  <si>
    <t>上海嘉旭 - 陈梅 821102893</t>
  </si>
  <si>
    <t>上海欧航 - 王 1106919414 美</t>
  </si>
  <si>
    <t>上海先创 - 侯志财 1209652658</t>
  </si>
  <si>
    <t>上海世祥 - 杨锦林 243370046</t>
  </si>
  <si>
    <t>深圳环海通 - 余磊Sunny 2572253745</t>
  </si>
  <si>
    <t>江苏鑫顺 - 苟俊 274426627</t>
  </si>
  <si>
    <t>上海立远 - 汪晨旭 289515476</t>
  </si>
  <si>
    <t>上海世祥 - 童鹰 297224084</t>
  </si>
  <si>
    <t>上海港先 - 胡兵 3002246833</t>
  </si>
  <si>
    <t>上海世祥 - 冯新亮 792366813</t>
  </si>
  <si>
    <t>上海世祥 - 凌利 814156716</t>
  </si>
  <si>
    <t>安徽金陵-沈灏</t>
  </si>
  <si>
    <t>安徽金陵袁爱萍</t>
  </si>
  <si>
    <t>MIKE</t>
  </si>
  <si>
    <t>JACK</t>
  </si>
  <si>
    <t>车辆滚装散货船框架 - 2857031841</t>
  </si>
  <si>
    <t>瀚钰通IVY 请不要再发了</t>
  </si>
  <si>
    <t>Martin</t>
  </si>
  <si>
    <t>冠枫</t>
    <phoneticPr fontId="9" type="noConversion"/>
  </si>
  <si>
    <t>江苏澳华</t>
    <phoneticPr fontId="9" type="noConversion"/>
  </si>
  <si>
    <t>江苏鑫顺</t>
    <phoneticPr fontId="9" type="noConversion"/>
  </si>
  <si>
    <t>南通三建</t>
    <phoneticPr fontId="9" type="noConversion"/>
  </si>
  <si>
    <t>宁波柏胜</t>
    <phoneticPr fontId="9" type="noConversion"/>
  </si>
  <si>
    <t>宁波合羽</t>
    <phoneticPr fontId="9" type="noConversion"/>
  </si>
  <si>
    <t>宁波甬兰</t>
    <phoneticPr fontId="9" type="noConversion"/>
  </si>
  <si>
    <t>青岛港捷</t>
    <phoneticPr fontId="9" type="noConversion"/>
  </si>
  <si>
    <t>青岛新海丰</t>
    <phoneticPr fontId="9" type="noConversion"/>
  </si>
  <si>
    <t>青岛鲲翔</t>
    <phoneticPr fontId="9" type="noConversion"/>
  </si>
  <si>
    <t>青岛龙山</t>
    <phoneticPr fontId="9" type="noConversion"/>
  </si>
  <si>
    <t>罡威</t>
    <phoneticPr fontId="9" type="noConversion"/>
  </si>
  <si>
    <t>港先</t>
    <phoneticPr fontId="9" type="noConversion"/>
  </si>
  <si>
    <t>港兴</t>
    <phoneticPr fontId="9" type="noConversion"/>
  </si>
  <si>
    <t>汉神</t>
    <phoneticPr fontId="9" type="noConversion"/>
  </si>
  <si>
    <t>瀚丰</t>
    <phoneticPr fontId="9" type="noConversion"/>
  </si>
  <si>
    <t>珩宇</t>
    <phoneticPr fontId="9" type="noConversion"/>
  </si>
  <si>
    <t>华烁</t>
    <phoneticPr fontId="9" type="noConversion"/>
  </si>
  <si>
    <t>集龙</t>
    <phoneticPr fontId="9" type="noConversion"/>
  </si>
  <si>
    <t>嘉旭</t>
    <phoneticPr fontId="9" type="noConversion"/>
  </si>
  <si>
    <t>洁火</t>
    <phoneticPr fontId="9" type="noConversion"/>
  </si>
  <si>
    <t>锦汇</t>
    <phoneticPr fontId="9" type="noConversion"/>
  </si>
  <si>
    <t>君驰</t>
    <phoneticPr fontId="9" type="noConversion"/>
  </si>
  <si>
    <t>骏耀</t>
    <phoneticPr fontId="9" type="noConversion"/>
  </si>
  <si>
    <t>凯斯</t>
    <phoneticPr fontId="9" type="noConversion"/>
  </si>
  <si>
    <t>立远</t>
    <phoneticPr fontId="9" type="noConversion"/>
  </si>
  <si>
    <t>茂源盛</t>
    <phoneticPr fontId="9" type="noConversion"/>
  </si>
  <si>
    <t>欧航</t>
    <phoneticPr fontId="9" type="noConversion"/>
  </si>
  <si>
    <t>品瀚</t>
    <phoneticPr fontId="9" type="noConversion"/>
  </si>
  <si>
    <t>荣诚</t>
    <phoneticPr fontId="9" type="noConversion"/>
  </si>
  <si>
    <t>赛勇</t>
    <phoneticPr fontId="9" type="noConversion"/>
  </si>
  <si>
    <t>商展</t>
    <phoneticPr fontId="9" type="noConversion"/>
  </si>
  <si>
    <t>申珂</t>
    <phoneticPr fontId="9" type="noConversion"/>
  </si>
  <si>
    <t>笙太</t>
    <phoneticPr fontId="9" type="noConversion"/>
  </si>
  <si>
    <t>唐朝三洋</t>
    <phoneticPr fontId="9" type="noConversion"/>
  </si>
  <si>
    <t>唐朝</t>
    <phoneticPr fontId="9" type="noConversion"/>
  </si>
  <si>
    <t>唐轩</t>
    <phoneticPr fontId="9" type="noConversion"/>
  </si>
  <si>
    <t>通祥</t>
    <phoneticPr fontId="9" type="noConversion"/>
  </si>
  <si>
    <t>外经贸</t>
    <phoneticPr fontId="9" type="noConversion"/>
  </si>
  <si>
    <t>卫青</t>
    <phoneticPr fontId="9" type="noConversion"/>
  </si>
  <si>
    <t>曦之</t>
    <phoneticPr fontId="9" type="noConversion"/>
  </si>
  <si>
    <t>先创</t>
    <phoneticPr fontId="9" type="noConversion"/>
  </si>
  <si>
    <t>馨逸</t>
    <phoneticPr fontId="9" type="noConversion"/>
  </si>
  <si>
    <t>迅平</t>
    <phoneticPr fontId="9" type="noConversion"/>
  </si>
  <si>
    <t>亿亚</t>
    <phoneticPr fontId="9" type="noConversion"/>
  </si>
  <si>
    <t>瀛和</t>
    <phoneticPr fontId="9" type="noConversion"/>
  </si>
  <si>
    <t>正熙</t>
    <phoneticPr fontId="9" type="noConversion"/>
  </si>
  <si>
    <t>深圳环海通</t>
    <phoneticPr fontId="9" type="noConversion"/>
  </si>
  <si>
    <t>世能电力</t>
    <phoneticPr fontId="9" type="noConversion"/>
  </si>
  <si>
    <t>丝金</t>
    <phoneticPr fontId="9" type="noConversion"/>
  </si>
  <si>
    <t>苏州龙嘉</t>
    <phoneticPr fontId="9" type="noConversion"/>
  </si>
  <si>
    <t>拓肯</t>
    <phoneticPr fontId="9" type="noConversion"/>
  </si>
  <si>
    <t>欣美达</t>
    <phoneticPr fontId="9" type="noConversion"/>
  </si>
  <si>
    <t>询价3+</t>
    <phoneticPr fontId="9" type="noConversion"/>
  </si>
  <si>
    <t>广州腓尼基 - Leo 351166821</t>
  </si>
  <si>
    <t>上海荣诚 - 莎莎 2881536725</t>
  </si>
  <si>
    <t>名片</t>
    <phoneticPr fontId="9" type="noConversion"/>
  </si>
  <si>
    <t>手机</t>
    <phoneticPr fontId="9" type="noConversion"/>
  </si>
  <si>
    <t>座机</t>
    <phoneticPr fontId="9" type="noConversion"/>
  </si>
  <si>
    <t>备注</t>
    <phoneticPr fontId="9" type="noConversion"/>
  </si>
  <si>
    <t>昵称</t>
    <phoneticPr fontId="9" type="noConversion"/>
  </si>
  <si>
    <t>不喜欢HPL</t>
    <phoneticPr fontId="9" type="noConversion"/>
  </si>
  <si>
    <t>MSC北非/西非/地东黑海/南美</t>
    <phoneticPr fontId="9" type="noConversion"/>
  </si>
  <si>
    <t>之前合作过的，你们太喜欢压提单了</t>
    <phoneticPr fontId="9" type="noConversion"/>
  </si>
  <si>
    <t>一年难得，麻烦不要那么早发</t>
    <phoneticPr fontId="9" type="noConversion"/>
  </si>
  <si>
    <t>恒道跟各大货代公司各种故事</t>
    <phoneticPr fontId="9" type="noConversion"/>
  </si>
  <si>
    <t>市场部宗统一询价</t>
    <phoneticPr fontId="9" type="noConversion"/>
  </si>
  <si>
    <t>上海万豪 - 符 565864375 手机</t>
  </si>
  <si>
    <t>上海世祥 - 徐俊 875049346 0</t>
  </si>
  <si>
    <t>每周一发一次就可以了</t>
    <phoneticPr fontId="9" type="noConversion"/>
  </si>
  <si>
    <t>一周发一次就可以了</t>
    <phoneticPr fontId="9" type="noConversion"/>
  </si>
  <si>
    <t>每周一发一次</t>
    <phoneticPr fontId="9" type="noConversion"/>
  </si>
  <si>
    <t>以后不发了</t>
    <phoneticPr fontId="9" type="noConversion"/>
  </si>
  <si>
    <t>束飞</t>
    <phoneticPr fontId="9" type="noConversion"/>
  </si>
  <si>
    <t>Tema CTN</t>
    <phoneticPr fontId="9" type="noConversion"/>
  </si>
  <si>
    <t>你们价格有点高呢</t>
    <phoneticPr fontId="9" type="noConversion"/>
  </si>
  <si>
    <t>法人 男</t>
    <phoneticPr fontId="9" type="noConversion"/>
  </si>
  <si>
    <t>有必要天天发吗</t>
    <phoneticPr fontId="9" type="noConversion"/>
  </si>
  <si>
    <t>群发器哪里找的</t>
    <phoneticPr fontId="9" type="noConversion"/>
  </si>
  <si>
    <t>忙 名片也用完了</t>
    <phoneticPr fontId="9" type="noConversion"/>
  </si>
  <si>
    <t>价格并不理想</t>
    <phoneticPr fontId="9" type="noConversion"/>
  </si>
  <si>
    <t>8-7束飞</t>
    <phoneticPr fontId="9" type="noConversion"/>
  </si>
  <si>
    <t>MSK价格好</t>
    <phoneticPr fontId="9" type="noConversion"/>
  </si>
  <si>
    <t>暂时不需要，请勿打扰</t>
    <phoneticPr fontId="9" type="noConversion"/>
  </si>
  <si>
    <t>不能整天发哦</t>
    <phoneticPr fontId="9" type="noConversion"/>
  </si>
  <si>
    <t>停用</t>
    <phoneticPr fontId="9" type="noConversion"/>
  </si>
  <si>
    <t>上海盛立 - 何强 2880608091</t>
  </si>
  <si>
    <t>不用天天发</t>
    <phoneticPr fontId="9" type="noConversion"/>
  </si>
  <si>
    <t>操作</t>
    <phoneticPr fontId="9" type="noConversion"/>
  </si>
  <si>
    <t>贺圆圆</t>
    <phoneticPr fontId="9" type="noConversion"/>
  </si>
  <si>
    <t>傲慢无知</t>
    <phoneticPr fontId="9" type="noConversion"/>
  </si>
  <si>
    <t>上海翼嘉 - 解成 2686629632</t>
  </si>
  <si>
    <t>上海世祥 - 凌海芹 2358620205</t>
  </si>
  <si>
    <t>凌妹妹</t>
    <phoneticPr fontId="9" type="noConversion"/>
  </si>
  <si>
    <t>总经理</t>
  </si>
  <si>
    <t>总经理</t>
    <phoneticPr fontId="9" type="noConversion"/>
  </si>
  <si>
    <t>用的上就是少</t>
    <phoneticPr fontId="9" type="noConversion"/>
  </si>
  <si>
    <t>陈芸</t>
    <phoneticPr fontId="9" type="noConversion"/>
  </si>
  <si>
    <t>男</t>
    <phoneticPr fontId="9" type="noConversion"/>
  </si>
  <si>
    <t>上海必特盛 - 施欣 施新幸 493424463</t>
  </si>
  <si>
    <t>上海荣诚 - 江健 2881536701</t>
  </si>
  <si>
    <t>上海金雕 - 沈云杰 847790692</t>
  </si>
  <si>
    <t>新苏 Martin 61358347</t>
  </si>
  <si>
    <t>欧航CASA Daniel Liu</t>
  </si>
  <si>
    <t>同行 - 上海安城 ANDY 牛</t>
  </si>
  <si>
    <t>广州信泓 Abble 020</t>
  </si>
  <si>
    <t>迪通物流 JESSIE 051</t>
  </si>
  <si>
    <t>上海恺运 Kim 133910</t>
  </si>
  <si>
    <t>朱先生 15105194871</t>
  </si>
  <si>
    <t>CASA NICHOLAS</t>
  </si>
  <si>
    <t>病毒文件 上海中艺 周晨龙</t>
  </si>
  <si>
    <t>浙江海陆 Johnson</t>
  </si>
  <si>
    <t>龙德SUMMER 吴'S</t>
  </si>
  <si>
    <t>安海物流 小王 CSC</t>
  </si>
  <si>
    <t>玮星国际货代 CATH</t>
  </si>
  <si>
    <t>宁波百福远东 jojo</t>
  </si>
  <si>
    <t>创丰物流 高峰 13</t>
  </si>
  <si>
    <t>上海多有 ROBY 商</t>
  </si>
  <si>
    <t>南通世双 小殷 051</t>
  </si>
  <si>
    <t>月恒美国 邓华 APL</t>
  </si>
  <si>
    <t>上海安城 ANNA商务</t>
  </si>
  <si>
    <t>上海康达 CONNIE</t>
  </si>
  <si>
    <t>上海君茂国际 HELL</t>
  </si>
  <si>
    <t>宁波亚迅物流 LILY</t>
  </si>
  <si>
    <t>上海迅宇 Kevin费</t>
  </si>
  <si>
    <t>上海亚琛 陈俊 136</t>
  </si>
  <si>
    <t>美设 王忠信 AMAS</t>
  </si>
  <si>
    <t>三和物流 仓库Jess</t>
  </si>
  <si>
    <t>杭州华策 vicky操</t>
  </si>
  <si>
    <t>深圳金士达 ALEX</t>
  </si>
  <si>
    <t>上海集龙 DAVID</t>
  </si>
  <si>
    <t>杭州世航 JACKY</t>
  </si>
  <si>
    <t>深圳永恒达 YOMI</t>
  </si>
  <si>
    <t>青岛龙泽 Helen</t>
  </si>
  <si>
    <t>上海康达 STACY</t>
  </si>
  <si>
    <t>宁波和悦物流 翁'</t>
  </si>
  <si>
    <t>深圳科航 LIYA</t>
  </si>
  <si>
    <t>青岛丽世 Tina</t>
  </si>
  <si>
    <t>广州宏讯 广州-新</t>
  </si>
  <si>
    <t>宁波凯帆 小龚 南</t>
  </si>
  <si>
    <t>青岛友邦信达 宋'</t>
  </si>
  <si>
    <t>福州华展物流 肖S</t>
  </si>
  <si>
    <t>夏启王朝 磊 危险</t>
  </si>
  <si>
    <t>深圳港兴 Lisa</t>
  </si>
  <si>
    <t>深圳华运物流 黄'</t>
  </si>
  <si>
    <t>中国通鉴投资 熊'</t>
  </si>
  <si>
    <t>南京-江苏长兴 闫</t>
  </si>
  <si>
    <t>上海高质行 施'S</t>
  </si>
  <si>
    <t>上海立远 CICI</t>
  </si>
  <si>
    <t>浙江永达物流 于'</t>
  </si>
  <si>
    <t>上海顶尖 JAME</t>
  </si>
  <si>
    <t>上海晟屹 操作于'</t>
  </si>
  <si>
    <t>瀛环惠海 小许 操</t>
  </si>
  <si>
    <t>浙江永达 小鲁 操</t>
  </si>
  <si>
    <t>浙江永达 小汤 操</t>
  </si>
  <si>
    <t>上海朗茂 小何 操</t>
  </si>
  <si>
    <t>上海永顺 陈慧 操</t>
  </si>
  <si>
    <t>上海经熙车队 胡'</t>
  </si>
  <si>
    <t>上海冠枫 冯'S</t>
  </si>
  <si>
    <t>上海睿博 何艳云</t>
  </si>
  <si>
    <t>竑灏国际 李佛佑</t>
  </si>
  <si>
    <t>深圳智航 林'R</t>
  </si>
  <si>
    <t>上海景周 周'R</t>
  </si>
  <si>
    <t>江苏斯威福 客服</t>
  </si>
  <si>
    <t>厦门欣美达 丁丁</t>
  </si>
  <si>
    <t>南京博渡 杜睿杰</t>
  </si>
  <si>
    <t>丰饶物流 南京拖</t>
  </si>
  <si>
    <t>赛帝国际 杨燕青</t>
  </si>
  <si>
    <t>上海铭传 李本梅</t>
  </si>
  <si>
    <t>上海铭达物流 廖</t>
  </si>
  <si>
    <t>上海华运 黄立鑫</t>
  </si>
  <si>
    <t>天津福日莱 小巨</t>
  </si>
  <si>
    <t>上海马赫 陆先生</t>
  </si>
  <si>
    <t>上海俊誉 倪'R</t>
  </si>
  <si>
    <t>上海立远 邱玲（</t>
  </si>
  <si>
    <t>上海立远 TIM</t>
  </si>
  <si>
    <t>上海平海 陆航平</t>
  </si>
  <si>
    <t>上海中远航空 瞿</t>
  </si>
  <si>
    <t>中化蓝天 孔伟华</t>
  </si>
  <si>
    <t>盛凯达 ZERO</t>
  </si>
  <si>
    <t>上海创丰 项'R</t>
  </si>
  <si>
    <t>迅宇货运 张'R</t>
  </si>
  <si>
    <t>上海晨曦 李'S</t>
  </si>
  <si>
    <t>上海世倡 澳新线</t>
  </si>
  <si>
    <t>沄晨国际 何依虹</t>
  </si>
  <si>
    <t>青岛新新运 徐权</t>
  </si>
  <si>
    <t>中善车队 张牡丹</t>
  </si>
  <si>
    <t>上海通义 OP</t>
  </si>
  <si>
    <t>宁波珈泰 丁江</t>
  </si>
  <si>
    <t>宁波畅泰 小陈</t>
  </si>
  <si>
    <t>宁波华基 小蔡</t>
  </si>
  <si>
    <t>宁波星麦 张咸</t>
  </si>
  <si>
    <t>宁波奕臻 小吴</t>
  </si>
  <si>
    <t>上海集龙 林峰</t>
  </si>
  <si>
    <t>上海智洋 小新</t>
  </si>
  <si>
    <t>天津友通 孙晶</t>
  </si>
  <si>
    <t>浙江花神 小赵</t>
  </si>
  <si>
    <t>浙江永达 小孙</t>
  </si>
  <si>
    <t>上海冠枫 小范</t>
  </si>
  <si>
    <t>上海宏益 张飞</t>
  </si>
  <si>
    <t>上海平海 黄强</t>
  </si>
  <si>
    <t>上海浩域 韩俊</t>
  </si>
  <si>
    <t>宁波汇洋 小张</t>
  </si>
  <si>
    <t>上海罗亚 张斌</t>
  </si>
  <si>
    <t>上海海翱 李敏</t>
  </si>
  <si>
    <t>上海胜狮 小陈</t>
  </si>
  <si>
    <t>江苏金澔 叶炜</t>
  </si>
  <si>
    <t>上海续连 操作</t>
  </si>
  <si>
    <t>上海领氏 小杨</t>
  </si>
  <si>
    <t>上海立远 操作</t>
  </si>
  <si>
    <t>上海锦汇 操作</t>
  </si>
  <si>
    <t>上海鑫朔 操作</t>
  </si>
  <si>
    <t>6 顾小姐</t>
  </si>
  <si>
    <t>上海航泰 - 胡小姐 1827633532</t>
  </si>
  <si>
    <t>上海亚韵 - 刘雷 2850688056</t>
  </si>
  <si>
    <t>上海荣诚 - 赵伟 2881536710</t>
  </si>
  <si>
    <t>上海展晟 - 赵耀</t>
  </si>
  <si>
    <t>上海世祥 - 邓 女 731471558</t>
  </si>
  <si>
    <t>上海集龙 - 黄小明 2881601599</t>
  </si>
  <si>
    <t>上海世祥 - 熊园园 女 1816541940</t>
  </si>
  <si>
    <t>叶蕾 上海明睿 - 施 老板 948387789</t>
  </si>
  <si>
    <t>青岛嘉麒 - 刘晓峰 974253157</t>
  </si>
  <si>
    <t>上海集龙 - 张静 2881601595</t>
  </si>
  <si>
    <t>上海荣诚 - 袁强 2881725326</t>
  </si>
  <si>
    <t>上海世祥 - 张礼明 839106891</t>
  </si>
  <si>
    <t>上海康达 - 程 1713665714</t>
  </si>
  <si>
    <t>上海瀚尔升 - 徐敏 2250498754</t>
  </si>
  <si>
    <t>上海浩大 - 顾晓波 359124460</t>
  </si>
  <si>
    <t>上海罡威 - 271528922</t>
  </si>
  <si>
    <t>上海集龙 - 王冰冰 295754508</t>
  </si>
  <si>
    <t>上海慕佰仕 - 谢 2850959280</t>
  </si>
  <si>
    <t>上海世祥 - 徐慧 309843231</t>
  </si>
  <si>
    <t>上海茂源盛 - 汪澜 1275900376</t>
  </si>
  <si>
    <t>江苏鑫顺 - 左Judy 2823747339</t>
  </si>
  <si>
    <t>天津万方同 - 裴玉 2881925821</t>
  </si>
  <si>
    <t>上海亚韵 - 朱军帅 2850688058</t>
  </si>
  <si>
    <t>宁波百福 - 王科宾 2851793304</t>
  </si>
  <si>
    <t>万方同 - 王梓萌 2881925817</t>
  </si>
  <si>
    <t>上海通祥 - 517321874</t>
  </si>
  <si>
    <t>上海弈瑞 - 张进 1447387201</t>
  </si>
  <si>
    <t>安徽远通 郑志敏</t>
  </si>
  <si>
    <t>深圳金士达 许'R</t>
  </si>
  <si>
    <t>3005316991</t>
  </si>
  <si>
    <t>张双燕-上海夯星</t>
  </si>
  <si>
    <t>领氏空运-小夏</t>
  </si>
  <si>
    <t>船都快到了提单还拿不到</t>
    <phoneticPr fontId="9" type="noConversion"/>
  </si>
  <si>
    <t>深圳鹏城海 - Bella 995346392</t>
    <phoneticPr fontId="9" type="noConversion"/>
  </si>
  <si>
    <t>束飞 上海</t>
    <phoneticPr fontId="9" type="noConversion"/>
  </si>
  <si>
    <t>上海荣诚 - 熊强 2881536700</t>
    <phoneticPr fontId="9" type="noConversion"/>
  </si>
  <si>
    <t>姓名</t>
    <phoneticPr fontId="9" type="noConversion"/>
  </si>
  <si>
    <t>职务</t>
    <phoneticPr fontId="9" type="noConversion"/>
  </si>
  <si>
    <t>徐铭亮</t>
  </si>
  <si>
    <t>名片信息已过时，没WIFI</t>
  </si>
  <si>
    <t>运营主管</t>
  </si>
  <si>
    <t>021-35383007</t>
  </si>
  <si>
    <t>二老板 管销售 副总</t>
  </si>
  <si>
    <t>魏栋</t>
  </si>
  <si>
    <t>021-35325929-8004</t>
  </si>
  <si>
    <t>魏奕宸</t>
  </si>
  <si>
    <t>经理</t>
  </si>
  <si>
    <t>汪晨旭</t>
  </si>
  <si>
    <t>销售主管</t>
  </si>
  <si>
    <t>021-60252386</t>
  </si>
  <si>
    <t>021-33772152</t>
  </si>
  <si>
    <t>特种箱问个价搞那么麻烦干什么</t>
  </si>
  <si>
    <t>021-63776677</t>
  </si>
  <si>
    <t>销售二部经理</t>
  </si>
  <si>
    <t>021-35383077</t>
  </si>
  <si>
    <t>Manager</t>
  </si>
  <si>
    <t>021-61527390</t>
  </si>
  <si>
    <t>021-35383066</t>
  </si>
  <si>
    <t>老板徐莎莎弟弟 管事二</t>
  </si>
  <si>
    <t>商务主管</t>
  </si>
  <si>
    <t>021-35383078</t>
  </si>
  <si>
    <t>老板徐莎莎小舅子 操作主管 管事三</t>
  </si>
  <si>
    <t>徐健</t>
  </si>
  <si>
    <t>航线代表</t>
  </si>
  <si>
    <t>021-35383031</t>
  </si>
  <si>
    <t>021-35383100</t>
  </si>
  <si>
    <t>金夜莲</t>
  </si>
  <si>
    <t>销售代表</t>
  </si>
  <si>
    <t>021-51089803-616</t>
  </si>
  <si>
    <t>束总给的</t>
  </si>
  <si>
    <t>金小明</t>
  </si>
  <si>
    <t>021-80197371</t>
  </si>
  <si>
    <t>没有名片，手写</t>
  </si>
  <si>
    <t>侯志财</t>
  </si>
  <si>
    <t>蔡冬杰</t>
  </si>
  <si>
    <t>021-35383127</t>
  </si>
  <si>
    <t>付小洋</t>
  </si>
  <si>
    <t>021-31605816</t>
  </si>
  <si>
    <t>021-35383086</t>
  </si>
  <si>
    <t>马恒英</t>
  </si>
  <si>
    <t>整箱部主管</t>
  </si>
  <si>
    <t>021-61075073</t>
  </si>
  <si>
    <t>侯小红</t>
  </si>
  <si>
    <t>021-61527336</t>
  </si>
  <si>
    <t>021-68981265</t>
  </si>
  <si>
    <t>小张…</t>
  </si>
  <si>
    <t>021-68981253</t>
  </si>
  <si>
    <t>021-68981255</t>
  </si>
  <si>
    <t>李贝</t>
  </si>
  <si>
    <t>021-68981257</t>
  </si>
  <si>
    <t>邹小东</t>
  </si>
  <si>
    <t>021-68981269</t>
  </si>
  <si>
    <t>021-68981262</t>
  </si>
  <si>
    <t>021-68981259</t>
  </si>
  <si>
    <t>021-68981260</t>
  </si>
  <si>
    <t>021-68981263</t>
  </si>
  <si>
    <t>021-68981261</t>
  </si>
  <si>
    <t>上海港先 - 高萍 3002212595</t>
    <phoneticPr fontId="9" type="noConversion"/>
  </si>
  <si>
    <t>上海戈洋 - 付小洋 2370724775</t>
    <phoneticPr fontId="9" type="noConversion"/>
  </si>
  <si>
    <t>有礼貌 客气 美加线</t>
    <phoneticPr fontId="9" type="noConversion"/>
  </si>
  <si>
    <t>021-65757819/55155305</t>
    <phoneticPr fontId="9" type="noConversion"/>
  </si>
  <si>
    <t>上海茂源盛 - 徐明亮 18938067</t>
    <phoneticPr fontId="9" type="noConversion"/>
  </si>
  <si>
    <t>上海华亿惠通 - 金小明 1006397967</t>
    <phoneticPr fontId="9" type="noConversion"/>
  </si>
  <si>
    <t>上海传盛 - 杜秀梅 297961898</t>
    <phoneticPr fontId="9" type="noConversion"/>
  </si>
  <si>
    <t>束飞1249569518</t>
    <phoneticPr fontId="9" type="noConversion"/>
  </si>
  <si>
    <t>021-65148795-608</t>
  </si>
  <si>
    <t>朱军帅</t>
  </si>
  <si>
    <t>负责运价，换个名片（有点不近人情）</t>
    <phoneticPr fontId="9" type="noConversion"/>
  </si>
  <si>
    <t>法人</t>
  </si>
  <si>
    <t>9-10无意透露跟了一个月喀麦隆克里比的订给别人了，价格便宜90刀</t>
    <phoneticPr fontId="9" type="noConversion"/>
  </si>
  <si>
    <t>郡江国际14楼</t>
    <phoneticPr fontId="9" type="noConversion"/>
  </si>
  <si>
    <t>环世商务 - 莫先生</t>
    <phoneticPr fontId="9" type="noConversion"/>
  </si>
  <si>
    <t>021-31319015</t>
    <phoneticPr fontId="9" type="noConversion"/>
  </si>
  <si>
    <t>宁波博航</t>
    <phoneticPr fontId="9" type="noConversion"/>
  </si>
  <si>
    <t>宁波</t>
    <phoneticPr fontId="9" type="noConversion"/>
  </si>
  <si>
    <t>宁波博航 - Tina 1462031131</t>
  </si>
  <si>
    <t>询价1次</t>
    <phoneticPr fontId="9" type="noConversion"/>
  </si>
  <si>
    <t>销售部经理</t>
    <phoneticPr fontId="9" type="noConversion"/>
  </si>
  <si>
    <t>021-31835261</t>
    <phoneticPr fontId="9" type="noConversion"/>
  </si>
  <si>
    <t>021-31773174</t>
    <phoneticPr fontId="9" type="noConversion"/>
  </si>
  <si>
    <t>上海荣诚 - 刘锋 2881536708</t>
    <phoneticPr fontId="9" type="noConversion"/>
  </si>
  <si>
    <t>021-31773132</t>
    <phoneticPr fontId="9" type="noConversion"/>
  </si>
  <si>
    <t>021-35900100</t>
    <phoneticPr fontId="9" type="noConversion"/>
  </si>
  <si>
    <t>86-13524737408</t>
    <phoneticPr fontId="9" type="noConversion"/>
  </si>
  <si>
    <t>021-35383015</t>
    <phoneticPr fontId="9" type="noConversion"/>
  </si>
  <si>
    <t>021-31835320</t>
    <phoneticPr fontId="9" type="noConversion"/>
  </si>
  <si>
    <t>021-31773147</t>
    <phoneticPr fontId="9" type="noConversion"/>
  </si>
  <si>
    <t>021-31773146</t>
    <phoneticPr fontId="9" type="noConversion"/>
  </si>
  <si>
    <t>021-31773137</t>
    <phoneticPr fontId="9" type="noConversion"/>
  </si>
  <si>
    <t>021-56723175</t>
    <phoneticPr fontId="9" type="noConversion"/>
  </si>
  <si>
    <t>021-54535017</t>
    <phoneticPr fontId="9" type="noConversion"/>
  </si>
  <si>
    <t>021-65750331</t>
  </si>
  <si>
    <t>86-15221153693</t>
    <phoneticPr fontId="9" type="noConversion"/>
  </si>
  <si>
    <t>021-31787086</t>
    <phoneticPr fontId="9" type="noConversion"/>
  </si>
  <si>
    <t>021-60340010</t>
  </si>
  <si>
    <t>189-1808-7717</t>
    <phoneticPr fontId="9" type="noConversion"/>
  </si>
  <si>
    <t>021-55677162/51861308</t>
    <phoneticPr fontId="9" type="noConversion"/>
  </si>
  <si>
    <t>021-60546328</t>
    <phoneticPr fontId="9" type="noConversion"/>
  </si>
  <si>
    <t>180-1917-5141</t>
    <phoneticPr fontId="9" type="noConversion"/>
  </si>
  <si>
    <t>021-87961643</t>
    <phoneticPr fontId="9" type="noConversion"/>
  </si>
  <si>
    <t>0574-27700176/8</t>
    <phoneticPr fontId="9" type="noConversion"/>
  </si>
  <si>
    <t>港区</t>
    <phoneticPr fontId="9" type="noConversion"/>
  </si>
  <si>
    <t>134-0203-1603</t>
  </si>
  <si>
    <t>134-7262-1889</t>
  </si>
  <si>
    <t>135-0164-8390</t>
  </si>
  <si>
    <t>136-0574-7323</t>
  </si>
  <si>
    <t>136-5161-7691</t>
  </si>
  <si>
    <t>136-5166-8775</t>
  </si>
  <si>
    <t>137-1365-1327</t>
  </si>
  <si>
    <t>137-5525-5973</t>
  </si>
  <si>
    <t>137-6476-9580</t>
  </si>
  <si>
    <t>137-6499-2718</t>
  </si>
  <si>
    <t>138-1609-0671</t>
  </si>
  <si>
    <t>138-1639-8192</t>
  </si>
  <si>
    <t>138-1690-4561</t>
  </si>
  <si>
    <t>138-1796-7859</t>
  </si>
  <si>
    <t>138-1862-2361</t>
  </si>
  <si>
    <t>139-0184-6240</t>
  </si>
  <si>
    <t>139-1606-6271</t>
  </si>
  <si>
    <t>139-1608-0784</t>
  </si>
  <si>
    <t>139-1612-7680</t>
  </si>
  <si>
    <t>139-1658-8222</t>
  </si>
  <si>
    <t>139-1668-8748</t>
  </si>
  <si>
    <t>139-1735-9592</t>
  </si>
  <si>
    <t>139-1740-2605</t>
  </si>
  <si>
    <t>139-1831-9531</t>
  </si>
  <si>
    <t>139-1897-0173</t>
  </si>
  <si>
    <t>150-0032-0218</t>
  </si>
  <si>
    <t>150-2140-5370</t>
  </si>
  <si>
    <t>151-0218-5659</t>
  </si>
  <si>
    <t>151-0702-2427</t>
  </si>
  <si>
    <t>151-2111-7312</t>
  </si>
  <si>
    <t>151-2119-1779</t>
  </si>
  <si>
    <t>152-0214-9973</t>
  </si>
  <si>
    <t>153-1799-8370</t>
  </si>
  <si>
    <t>156-1805-7751</t>
  </si>
  <si>
    <t>156-1837-7556</t>
  </si>
  <si>
    <t>157-2141-0447</t>
  </si>
  <si>
    <t>158-0033-3525</t>
  </si>
  <si>
    <t>158-0079-5120</t>
  </si>
  <si>
    <t>158-0179-9991</t>
  </si>
  <si>
    <t>159-0065-1593</t>
  </si>
  <si>
    <t>159-0092-8535</t>
  </si>
  <si>
    <t>159-0216-1695</t>
  </si>
  <si>
    <t>159-2152-7201</t>
  </si>
  <si>
    <t>159-2187-6080</t>
  </si>
  <si>
    <t>159-4956-7971</t>
  </si>
  <si>
    <t>173-1767-0378</t>
  </si>
  <si>
    <t>177-1739-1361</t>
  </si>
  <si>
    <t>180-1759-6012</t>
  </si>
  <si>
    <t>181-0181-3015</t>
  </si>
  <si>
    <t>181-0189-3233</t>
  </si>
  <si>
    <t>181-2111-6716</t>
  </si>
  <si>
    <t>181-2120-5200</t>
  </si>
  <si>
    <t>181-2120-5255</t>
  </si>
  <si>
    <t>181-2120-5669</t>
  </si>
  <si>
    <t>182-1728-0081</t>
  </si>
  <si>
    <t>182-2110-2607</t>
  </si>
  <si>
    <t>182-2193-1415</t>
  </si>
  <si>
    <t>182-7068-117?</t>
  </si>
  <si>
    <t>183-7918-1504</t>
  </si>
  <si>
    <t>185-1623-4958</t>
  </si>
  <si>
    <t>186-1635-2392</t>
  </si>
  <si>
    <t>187-0197-5586</t>
  </si>
  <si>
    <t>187-0219-9440</t>
  </si>
  <si>
    <t>187-2184-2320</t>
  </si>
  <si>
    <t>188-0034-6138</t>
  </si>
  <si>
    <t>188-0034-6218</t>
  </si>
  <si>
    <t>189-3977-2158</t>
  </si>
  <si>
    <t>189-6986-2616</t>
  </si>
  <si>
    <t>199-4602-2421</t>
  </si>
  <si>
    <t>136-1193-0076</t>
  </si>
  <si>
    <t>137-6199-0001</t>
  </si>
  <si>
    <t>188-5513-0363</t>
  </si>
  <si>
    <t>137-0126-9616</t>
  </si>
  <si>
    <t>133-1372-6668</t>
  </si>
  <si>
    <t>138-1676-8087</t>
  </si>
  <si>
    <t>135-1219-1956</t>
  </si>
  <si>
    <t>187-0173-8870</t>
  </si>
  <si>
    <t>139-1631-3240</t>
  </si>
  <si>
    <t>138-1872-0615</t>
  </si>
  <si>
    <t>138-0167-3457</t>
  </si>
  <si>
    <t>151-7044-8482</t>
  </si>
  <si>
    <t>138-1085-6900</t>
  </si>
  <si>
    <t>138-1617-0744</t>
  </si>
  <si>
    <t>152-0562-9806</t>
  </si>
  <si>
    <t>137-2104-8218</t>
  </si>
  <si>
    <t>183-5606-3132</t>
  </si>
  <si>
    <t>134-5853-3787</t>
  </si>
  <si>
    <t>189-1966-6032</t>
  </si>
  <si>
    <t>139-2052-7034</t>
  </si>
  <si>
    <t>138-1802-5407</t>
  </si>
  <si>
    <t>139-1840-9817</t>
  </si>
  <si>
    <t>187-1560-3172</t>
  </si>
  <si>
    <t>152-1506-6345</t>
  </si>
  <si>
    <t>139-1612-4650</t>
  </si>
  <si>
    <t>155-5828-5781</t>
  </si>
  <si>
    <t>138-1778-0262</t>
  </si>
  <si>
    <t>137-5209-1456</t>
  </si>
  <si>
    <t>175-5507-7007</t>
  </si>
  <si>
    <t>182-1730-9713</t>
  </si>
  <si>
    <t>153-3209-5216</t>
  </si>
  <si>
    <t>185-1606-6090</t>
  </si>
  <si>
    <t>182-6188-0604</t>
  </si>
  <si>
    <t>139-0189-8802</t>
  </si>
  <si>
    <t>138-0103-6049</t>
  </si>
  <si>
    <t>151-6526-9586</t>
  </si>
  <si>
    <t>136-9652-9835</t>
  </si>
  <si>
    <t>138-1656-0327</t>
  </si>
  <si>
    <t>136-2215-9378</t>
  </si>
  <si>
    <t>137-6111-5373</t>
  </si>
  <si>
    <t>186-5662-3680</t>
  </si>
  <si>
    <t>135-8553-5292</t>
  </si>
  <si>
    <t>130-3266-3443</t>
  </si>
  <si>
    <t>135-8551-4316</t>
  </si>
  <si>
    <t>188-1529-9081</t>
  </si>
  <si>
    <t>185-0013-5563</t>
  </si>
  <si>
    <t>135-1280-6163</t>
  </si>
  <si>
    <t>137-3600-1203</t>
  </si>
  <si>
    <t>139-2286-6487</t>
  </si>
  <si>
    <t>159-0093-2987</t>
  </si>
  <si>
    <t>159-5696-0944</t>
  </si>
  <si>
    <t>159-2137-4897</t>
  </si>
  <si>
    <t>159-5660-5492</t>
  </si>
  <si>
    <t>135-6442-8031</t>
  </si>
  <si>
    <t>135-6433-9455</t>
  </si>
  <si>
    <t>180-1723-7032</t>
  </si>
  <si>
    <t>180-1757-7917</t>
  </si>
  <si>
    <t>139-1685-6302</t>
  </si>
  <si>
    <t>135-2166-2180</t>
  </si>
  <si>
    <t>139-1655-5060</t>
  </si>
  <si>
    <t>158-0187-0213</t>
  </si>
  <si>
    <t>139-1728-6552</t>
  </si>
  <si>
    <t>138-1773-2750</t>
  </si>
  <si>
    <t>139-1772-4228</t>
  </si>
  <si>
    <t>180-1850-3737</t>
  </si>
  <si>
    <t>137-6161-3057</t>
  </si>
  <si>
    <t>185-0175-6983</t>
  </si>
  <si>
    <t>159-0043-8015</t>
  </si>
  <si>
    <t>139-5537-2234</t>
  </si>
  <si>
    <t>139-1794-6773</t>
  </si>
  <si>
    <t>152-0986-1116</t>
  </si>
  <si>
    <t>134-7275-1706</t>
  </si>
  <si>
    <t>135-8782-9055</t>
  </si>
  <si>
    <t>150-2113-6263</t>
  </si>
  <si>
    <t>180-6193-8638</t>
  </si>
  <si>
    <t>157-0797-7956</t>
  </si>
  <si>
    <t>135-1284-7906</t>
  </si>
  <si>
    <t>130-2318-8258</t>
  </si>
  <si>
    <t>136-0177-7519</t>
  </si>
  <si>
    <t>139-6506-7837</t>
  </si>
  <si>
    <t>156-0189-9913</t>
  </si>
  <si>
    <t>137-6417-9281</t>
  </si>
  <si>
    <t>137-6196-0720</t>
  </si>
  <si>
    <t>178-0109-9574</t>
  </si>
  <si>
    <t>138-1777-4100</t>
  </si>
  <si>
    <t>182-2128-1668</t>
  </si>
  <si>
    <t>189-6233-2932</t>
  </si>
  <si>
    <t>136-5176-3889</t>
  </si>
  <si>
    <t>186-2949-0282</t>
  </si>
  <si>
    <t>133-8166-2245</t>
  </si>
  <si>
    <t>138-1653-2571</t>
  </si>
  <si>
    <t>186-6182-9669</t>
  </si>
  <si>
    <t>139-1632-7127</t>
  </si>
  <si>
    <t>138-1863-1153</t>
  </si>
  <si>
    <t>186-5608-1780</t>
  </si>
  <si>
    <t>138-2098-9208</t>
  </si>
  <si>
    <t>187-0218-2104</t>
  </si>
  <si>
    <t>182-5601-7087</t>
  </si>
  <si>
    <t>150-1140-3436</t>
  </si>
  <si>
    <t>130-6262-3771</t>
  </si>
  <si>
    <t>138-5657-2175</t>
  </si>
  <si>
    <t>139-1616-3746</t>
  </si>
  <si>
    <t>138-1711-6831</t>
  </si>
  <si>
    <t>139-1857-7061</t>
  </si>
  <si>
    <t>137-7438-3642</t>
  </si>
  <si>
    <t>110105 19451120 2150</t>
    <phoneticPr fontId="9" type="noConversion"/>
  </si>
  <si>
    <t>310101 19880315 1031</t>
  </si>
  <si>
    <t>310102 19890202 1706</t>
  </si>
  <si>
    <t>310102 19890823 1253</t>
  </si>
  <si>
    <t>310104 19820908 2810</t>
  </si>
  <si>
    <t>310104 19870725 6852</t>
  </si>
  <si>
    <t>310105 19900907 1667</t>
  </si>
  <si>
    <t>310108 19891207 0526</t>
  </si>
  <si>
    <t>310110 19800320 164X</t>
  </si>
  <si>
    <t>310110 19841228 0545</t>
  </si>
  <si>
    <t>310110 19890711 3247</t>
  </si>
  <si>
    <t>310115 19761218 8000</t>
  </si>
  <si>
    <t>310115 19810518 4010</t>
  </si>
  <si>
    <t>310115 19900317 0456</t>
  </si>
  <si>
    <t>310230 19920225 4969</t>
  </si>
  <si>
    <t>320602 19780811 3027</t>
  </si>
  <si>
    <t>320723 19911023 0463</t>
  </si>
  <si>
    <t>320828 19741008 3619</t>
  </si>
  <si>
    <t>331021 19811209 3367</t>
  </si>
  <si>
    <t>340823 19900727 351X</t>
  </si>
  <si>
    <t>341122 19771210 0056</t>
  </si>
  <si>
    <t>341222 19920319 5311</t>
  </si>
  <si>
    <t>341224 19830910 1035</t>
  </si>
  <si>
    <t>342622 19800423 817X</t>
  </si>
  <si>
    <t>342622 19820806 8176</t>
  </si>
  <si>
    <t>342901 19891203 1830</t>
  </si>
  <si>
    <t>342901 19901102 6414</t>
  </si>
  <si>
    <t>342921 19900926 3117</t>
  </si>
  <si>
    <t>352225 19900913 252X</t>
  </si>
  <si>
    <t>360102 19831024 3347</t>
  </si>
  <si>
    <t>360424 19950228 1566</t>
  </si>
  <si>
    <t>360731 19941008 3829</t>
  </si>
  <si>
    <t>412728 19840513 5261</t>
  </si>
  <si>
    <t>421022 19920809 5132</t>
  </si>
  <si>
    <t>421127 19930311 5223</t>
  </si>
  <si>
    <t>422326 19871009 5216</t>
  </si>
  <si>
    <t>500101 19950826 8077</t>
  </si>
  <si>
    <t>520112 19790929 0025</t>
  </si>
  <si>
    <t>义乌超亚</t>
  </si>
  <si>
    <t>展小倩</t>
  </si>
  <si>
    <t>东南亚多 有礼貌 客气</t>
    <phoneticPr fontId="9" type="noConversion"/>
  </si>
  <si>
    <t>157-2098-8653</t>
    <phoneticPr fontId="9" type="noConversion"/>
  </si>
  <si>
    <t>021-31820734</t>
    <phoneticPr fontId="9" type="noConversion"/>
  </si>
  <si>
    <t>马哥？</t>
    <phoneticPr fontId="9" type="noConversion"/>
  </si>
  <si>
    <t>深圳</t>
    <phoneticPr fontId="9" type="noConversion"/>
  </si>
  <si>
    <t>ZAR</t>
  </si>
  <si>
    <t>币种</t>
    <phoneticPr fontId="9" type="noConversion"/>
  </si>
  <si>
    <t>EUR</t>
    <phoneticPr fontId="9" type="noConversion"/>
  </si>
  <si>
    <t>Johannesburg</t>
  </si>
  <si>
    <t>Pretcon</t>
  </si>
  <si>
    <t>USD</t>
  </si>
  <si>
    <t>美金</t>
    <phoneticPr fontId="9" type="noConversion"/>
  </si>
  <si>
    <t>156-1821-1607</t>
    <phoneticPr fontId="9" type="noConversion"/>
  </si>
  <si>
    <t>137-2612-8945</t>
    <phoneticPr fontId="9" type="noConversion"/>
  </si>
  <si>
    <t>139-1828-4308</t>
    <phoneticPr fontId="9" type="noConversion"/>
  </si>
  <si>
    <t>8月底从郡江搬至此，发票寄Lily 68981601</t>
    <phoneticPr fontId="9" type="noConversion"/>
  </si>
  <si>
    <t>世祥</t>
    <phoneticPr fontId="9" type="noConversion"/>
  </si>
  <si>
    <t>HBS</t>
    <phoneticPr fontId="9" type="noConversion"/>
  </si>
  <si>
    <t>询价1次</t>
    <phoneticPr fontId="9" type="noConversion"/>
  </si>
  <si>
    <t>上海世祥 - 熊丹妮 1770315220</t>
    <phoneticPr fontId="9" type="noConversion"/>
  </si>
  <si>
    <t>第一次问价，托书发来了说没舱位。。。</t>
    <phoneticPr fontId="9" type="noConversion"/>
  </si>
  <si>
    <t>133-7197-9195</t>
    <phoneticPr fontId="9" type="noConversion"/>
  </si>
  <si>
    <t>138-1819-4613</t>
    <phoneticPr fontId="9" type="noConversion"/>
  </si>
  <si>
    <t>021-51183315</t>
    <phoneticPr fontId="9" type="noConversion"/>
  </si>
  <si>
    <t>133-9965-8198</t>
    <phoneticPr fontId="9" type="noConversion"/>
  </si>
  <si>
    <t>0551-64237382</t>
    <phoneticPr fontId="9" type="noConversion"/>
  </si>
  <si>
    <t>181-1232-6853</t>
    <phoneticPr fontId="9" type="noConversion"/>
  </si>
  <si>
    <t>137-9285-5981</t>
    <phoneticPr fontId="9" type="noConversion"/>
  </si>
  <si>
    <t>182-1713-6865</t>
    <phoneticPr fontId="9" type="noConversion"/>
  </si>
  <si>
    <t>021-51298166</t>
    <phoneticPr fontId="9" type="noConversion"/>
  </si>
  <si>
    <t>139-0170-8997</t>
    <phoneticPr fontId="9" type="noConversion"/>
  </si>
  <si>
    <t>021-51298055</t>
    <phoneticPr fontId="9" type="noConversion"/>
  </si>
  <si>
    <t>159-2148-6071</t>
    <phoneticPr fontId="9" type="noConversion"/>
  </si>
  <si>
    <t>153-0069-0632</t>
    <phoneticPr fontId="9" type="noConversion"/>
  </si>
  <si>
    <t>021-51298077</t>
    <phoneticPr fontId="9" type="noConversion"/>
  </si>
  <si>
    <t>137-7439-5038</t>
    <phoneticPr fontId="9" type="noConversion"/>
  </si>
  <si>
    <t>152-0171-9032</t>
    <phoneticPr fontId="9" type="noConversion"/>
  </si>
  <si>
    <t>187-7777-6988</t>
    <phoneticPr fontId="9" type="noConversion"/>
  </si>
  <si>
    <t>021-36625019</t>
    <phoneticPr fontId="9" type="noConversion"/>
  </si>
  <si>
    <t>021-65060620</t>
    <phoneticPr fontId="9" type="noConversion"/>
  </si>
  <si>
    <t>135-6400-1697</t>
    <phoneticPr fontId="9" type="noConversion"/>
  </si>
  <si>
    <t>021-35010782</t>
    <phoneticPr fontId="9" type="noConversion"/>
  </si>
  <si>
    <t>180-7539-5265</t>
    <phoneticPr fontId="9" type="noConversion"/>
  </si>
  <si>
    <t>021-53580268-807</t>
    <phoneticPr fontId="9" type="noConversion"/>
  </si>
  <si>
    <t>187-0189-9774</t>
    <phoneticPr fontId="9" type="noConversion"/>
  </si>
  <si>
    <t>021-31835311</t>
    <phoneticPr fontId="9" type="noConversion"/>
  </si>
  <si>
    <t>137-6137-2173</t>
    <phoneticPr fontId="9" type="noConversion"/>
  </si>
  <si>
    <t>137-6490-6940</t>
    <phoneticPr fontId="9" type="noConversion"/>
  </si>
  <si>
    <t>021-31773162</t>
    <phoneticPr fontId="9" type="noConversion"/>
  </si>
  <si>
    <t>187-1793-0094</t>
    <phoneticPr fontId="9" type="noConversion"/>
  </si>
  <si>
    <t>021-31773155</t>
    <phoneticPr fontId="9" type="noConversion"/>
  </si>
  <si>
    <t>150-2149-5887</t>
    <phoneticPr fontId="9" type="noConversion"/>
  </si>
  <si>
    <t>021-31773133</t>
    <phoneticPr fontId="9" type="noConversion"/>
  </si>
  <si>
    <t>159-0093-1778</t>
    <phoneticPr fontId="9" type="noConversion"/>
  </si>
  <si>
    <t>177-1786-8641</t>
    <phoneticPr fontId="9" type="noConversion"/>
  </si>
  <si>
    <t>136-3663-5683</t>
    <phoneticPr fontId="9" type="noConversion"/>
  </si>
  <si>
    <t>021-31835299</t>
    <phoneticPr fontId="9" type="noConversion"/>
  </si>
  <si>
    <t>188-1751-1856</t>
    <phoneticPr fontId="9" type="noConversion"/>
  </si>
  <si>
    <t>021-31835270</t>
    <phoneticPr fontId="9" type="noConversion"/>
  </si>
  <si>
    <t>138-1883-1913</t>
    <phoneticPr fontId="9" type="noConversion"/>
  </si>
  <si>
    <t>021-35383076</t>
    <phoneticPr fontId="9" type="noConversion"/>
  </si>
  <si>
    <t>158-0068-9141</t>
    <phoneticPr fontId="9" type="noConversion"/>
  </si>
  <si>
    <t>177-0218-8236</t>
    <phoneticPr fontId="9" type="noConversion"/>
  </si>
  <si>
    <t>152-2118-0702</t>
    <phoneticPr fontId="9" type="noConversion"/>
  </si>
  <si>
    <t>181-2120-5233</t>
    <phoneticPr fontId="9" type="noConversion"/>
  </si>
  <si>
    <t>187-2027-7606</t>
    <phoneticPr fontId="9" type="noConversion"/>
  </si>
  <si>
    <t>185-5057-3790</t>
    <phoneticPr fontId="9" type="noConversion"/>
  </si>
  <si>
    <t>021-35383081</t>
  </si>
  <si>
    <t>180-1933-7843</t>
    <phoneticPr fontId="9" type="noConversion"/>
  </si>
  <si>
    <t>021-35383008</t>
    <phoneticPr fontId="9" type="noConversion"/>
  </si>
  <si>
    <t>159-2105-7375</t>
    <phoneticPr fontId="9" type="noConversion"/>
  </si>
  <si>
    <t>150-0010-0563</t>
    <phoneticPr fontId="9" type="noConversion"/>
  </si>
  <si>
    <t>021-35383061</t>
    <phoneticPr fontId="9" type="noConversion"/>
  </si>
  <si>
    <t>157-5094-0772</t>
    <phoneticPr fontId="9" type="noConversion"/>
  </si>
  <si>
    <t>159-6737-6782</t>
    <phoneticPr fontId="9" type="noConversion"/>
  </si>
  <si>
    <t>021-35383016</t>
    <phoneticPr fontId="9" type="noConversion"/>
  </si>
  <si>
    <t>188-0033-0642</t>
    <phoneticPr fontId="9" type="noConversion"/>
  </si>
  <si>
    <t>178-2118-9881</t>
    <phoneticPr fontId="9" type="noConversion"/>
  </si>
  <si>
    <t>186-0702-6731</t>
    <phoneticPr fontId="9" type="noConversion"/>
  </si>
  <si>
    <t>159-0198-8139</t>
    <phoneticPr fontId="9" type="noConversion"/>
  </si>
  <si>
    <t>150-0219-2829</t>
    <phoneticPr fontId="9" type="noConversion"/>
  </si>
  <si>
    <t>021-35383010</t>
    <phoneticPr fontId="9" type="noConversion"/>
  </si>
  <si>
    <t>138-1835-0686</t>
    <phoneticPr fontId="9" type="noConversion"/>
  </si>
  <si>
    <t>130-7213-8521</t>
    <phoneticPr fontId="9" type="noConversion"/>
  </si>
  <si>
    <t>021-60546320</t>
    <phoneticPr fontId="9" type="noConversion"/>
  </si>
  <si>
    <t>176-2178-4809</t>
    <phoneticPr fontId="9" type="noConversion"/>
  </si>
  <si>
    <t>176-2178-2976</t>
    <phoneticPr fontId="9" type="noConversion"/>
  </si>
  <si>
    <t>021-68980787</t>
    <phoneticPr fontId="9" type="noConversion"/>
  </si>
  <si>
    <t>139-1732-4647</t>
    <phoneticPr fontId="9" type="noConversion"/>
  </si>
  <si>
    <t>166-2109-3823</t>
    <phoneticPr fontId="9" type="noConversion"/>
  </si>
  <si>
    <t>180-7920-7503</t>
    <phoneticPr fontId="9" type="noConversion"/>
  </si>
  <si>
    <t>135-6479-8520</t>
    <phoneticPr fontId="9" type="noConversion"/>
  </si>
  <si>
    <t>134-3447-0551</t>
    <phoneticPr fontId="9" type="noConversion"/>
  </si>
  <si>
    <t>137-7725-4836</t>
    <phoneticPr fontId="9" type="noConversion"/>
  </si>
  <si>
    <t>0574-55663375</t>
    <phoneticPr fontId="9" type="noConversion"/>
  </si>
  <si>
    <t>138-8445-2321</t>
    <phoneticPr fontId="9" type="noConversion"/>
  </si>
  <si>
    <t>0574-87724529</t>
    <phoneticPr fontId="9" type="noConversion"/>
  </si>
  <si>
    <t>133-9666-2696</t>
    <phoneticPr fontId="9" type="noConversion"/>
  </si>
  <si>
    <t>134-8602-7037</t>
    <phoneticPr fontId="9" type="noConversion"/>
  </si>
  <si>
    <t>158-8859-3137</t>
    <phoneticPr fontId="9" type="noConversion"/>
  </si>
  <si>
    <t>0574-87669571</t>
    <phoneticPr fontId="9" type="noConversion"/>
  </si>
  <si>
    <t>139-6788-0974</t>
    <phoneticPr fontId="9" type="noConversion"/>
  </si>
  <si>
    <t>133-7557-3260</t>
    <phoneticPr fontId="9" type="noConversion"/>
  </si>
  <si>
    <t>0532-68993692</t>
    <phoneticPr fontId="9" type="noConversion"/>
  </si>
  <si>
    <t>0532-68992795</t>
    <phoneticPr fontId="9" type="noConversion"/>
  </si>
  <si>
    <t>135-5308-5759</t>
    <phoneticPr fontId="9" type="noConversion"/>
  </si>
  <si>
    <t>187-5322-8508</t>
    <phoneticPr fontId="9" type="noConversion"/>
  </si>
  <si>
    <t>151-6663-3227</t>
    <phoneticPr fontId="9" type="noConversion"/>
  </si>
  <si>
    <t>0532-80903497</t>
    <phoneticPr fontId="9" type="noConversion"/>
  </si>
  <si>
    <t>137-9190-5856</t>
    <phoneticPr fontId="9" type="noConversion"/>
  </si>
  <si>
    <t>021-55088513</t>
    <phoneticPr fontId="9" type="noConversion"/>
  </si>
  <si>
    <t>139-0178-0485</t>
    <phoneticPr fontId="9" type="noConversion"/>
  </si>
  <si>
    <t>181-1636-1518</t>
    <phoneticPr fontId="9" type="noConversion"/>
  </si>
  <si>
    <t>021-51298144</t>
    <phoneticPr fontId="9" type="noConversion"/>
  </si>
  <si>
    <t>156-0162-9741</t>
    <phoneticPr fontId="9" type="noConversion"/>
  </si>
  <si>
    <t>021-51298052</t>
    <phoneticPr fontId="9" type="noConversion"/>
  </si>
  <si>
    <t>180-1628-7992</t>
    <phoneticPr fontId="9" type="noConversion"/>
  </si>
  <si>
    <t>021-61486712</t>
    <phoneticPr fontId="9" type="noConversion"/>
  </si>
  <si>
    <t>上海昌联 - 李征 2881757152</t>
    <phoneticPr fontId="9" type="noConversion"/>
  </si>
  <si>
    <t>135-2400-4697</t>
    <phoneticPr fontId="9" type="noConversion"/>
  </si>
  <si>
    <t>021-51791386</t>
    <phoneticPr fontId="9" type="noConversion"/>
  </si>
  <si>
    <t>139-1678-6725</t>
    <phoneticPr fontId="9" type="noConversion"/>
  </si>
  <si>
    <t>021-55897188-8009</t>
    <phoneticPr fontId="9" type="noConversion"/>
  </si>
  <si>
    <t>189-6450-5984</t>
    <phoneticPr fontId="9" type="noConversion"/>
  </si>
  <si>
    <t>021-53089988-830</t>
    <phoneticPr fontId="9" type="noConversion"/>
  </si>
  <si>
    <t>159-0063-7312</t>
    <phoneticPr fontId="9" type="noConversion"/>
  </si>
  <si>
    <t>139-1799-8378</t>
    <phoneticPr fontId="9" type="noConversion"/>
  </si>
  <si>
    <t>137-6459-9343</t>
    <phoneticPr fontId="9" type="noConversion"/>
  </si>
  <si>
    <t>021-55092759</t>
    <phoneticPr fontId="9" type="noConversion"/>
  </si>
  <si>
    <t>021-55153859</t>
    <phoneticPr fontId="9" type="noConversion"/>
  </si>
  <si>
    <t>138-1779-9255</t>
    <phoneticPr fontId="9" type="noConversion"/>
  </si>
  <si>
    <t>021-65011881</t>
    <phoneticPr fontId="9" type="noConversion"/>
  </si>
  <si>
    <t>181-0180-3633</t>
    <phoneticPr fontId="9" type="noConversion"/>
  </si>
  <si>
    <t>138-1863-2447</t>
    <phoneticPr fontId="9" type="noConversion"/>
  </si>
  <si>
    <t>021-60899515</t>
    <phoneticPr fontId="9" type="noConversion"/>
  </si>
  <si>
    <t>186-0219-0420</t>
    <phoneticPr fontId="9" type="noConversion"/>
  </si>
  <si>
    <t>177-1727-8388</t>
    <phoneticPr fontId="9" type="noConversion"/>
  </si>
  <si>
    <t>021-31596122</t>
    <phoneticPr fontId="9" type="noConversion"/>
  </si>
  <si>
    <t>155-0210-8932</t>
    <phoneticPr fontId="9" type="noConversion"/>
  </si>
  <si>
    <t>180-1734-3459</t>
    <phoneticPr fontId="9" type="noConversion"/>
  </si>
  <si>
    <t>159-2160-7686</t>
    <phoneticPr fontId="9" type="noConversion"/>
  </si>
  <si>
    <t>021-31773844</t>
    <phoneticPr fontId="9" type="noConversion"/>
  </si>
  <si>
    <t>139-1755-9105</t>
    <phoneticPr fontId="9" type="noConversion"/>
  </si>
  <si>
    <t>021-31376797</t>
    <phoneticPr fontId="9" type="noConversion"/>
  </si>
  <si>
    <t>021-55251236</t>
    <phoneticPr fontId="9" type="noConversion"/>
  </si>
  <si>
    <t>186-1657-3151</t>
    <phoneticPr fontId="9" type="noConversion"/>
  </si>
  <si>
    <t>021-54535016</t>
    <phoneticPr fontId="9" type="noConversion"/>
  </si>
  <si>
    <t>176-2152-8009</t>
    <phoneticPr fontId="9" type="noConversion"/>
  </si>
  <si>
    <t>021-66270513</t>
    <phoneticPr fontId="9" type="noConversion"/>
  </si>
  <si>
    <t>021-65633011</t>
    <phoneticPr fontId="9" type="noConversion"/>
  </si>
  <si>
    <t>134-8228-7874</t>
    <phoneticPr fontId="9" type="noConversion"/>
  </si>
  <si>
    <t>133-8188-8873</t>
    <phoneticPr fontId="9" type="noConversion"/>
  </si>
  <si>
    <t>021-60962333</t>
    <phoneticPr fontId="9" type="noConversion"/>
  </si>
  <si>
    <t>158-6240-0816</t>
    <phoneticPr fontId="9" type="noConversion"/>
  </si>
  <si>
    <t>186-2164-6606</t>
    <phoneticPr fontId="9" type="noConversion"/>
  </si>
  <si>
    <t>177-1708-1616</t>
    <phoneticPr fontId="9" type="noConversion"/>
  </si>
  <si>
    <t>189-1750-9753</t>
    <phoneticPr fontId="9" type="noConversion"/>
  </si>
  <si>
    <t>181-1621-7076</t>
    <phoneticPr fontId="9" type="noConversion"/>
  </si>
  <si>
    <t>130-5234-9873</t>
    <phoneticPr fontId="9" type="noConversion"/>
  </si>
  <si>
    <t>189-3013-2523</t>
    <phoneticPr fontId="9" type="noConversion"/>
  </si>
  <si>
    <t>159-0610-9029</t>
    <phoneticPr fontId="9" type="noConversion"/>
  </si>
  <si>
    <t>021-39556819</t>
    <phoneticPr fontId="9" type="noConversion"/>
  </si>
  <si>
    <t>186-5741-6529</t>
    <phoneticPr fontId="9" type="noConversion"/>
  </si>
  <si>
    <t>173-1714-6732</t>
    <phoneticPr fontId="9" type="noConversion"/>
  </si>
  <si>
    <t>021-35383117</t>
    <phoneticPr fontId="9" type="noConversion"/>
  </si>
  <si>
    <t>151-7927-2792</t>
    <phoneticPr fontId="9" type="noConversion"/>
  </si>
  <si>
    <t>158-0210-7696</t>
    <phoneticPr fontId="9" type="noConversion"/>
  </si>
  <si>
    <t>021-35383123</t>
    <phoneticPr fontId="9" type="noConversion"/>
  </si>
  <si>
    <t>021-35383130</t>
    <phoneticPr fontId="9" type="noConversion"/>
  </si>
  <si>
    <t>130-2326-9285</t>
    <phoneticPr fontId="9" type="noConversion"/>
  </si>
  <si>
    <t>185-0792-5655</t>
    <phoneticPr fontId="9" type="noConversion"/>
  </si>
  <si>
    <t>021-35383037</t>
    <phoneticPr fontId="9" type="noConversion"/>
  </si>
  <si>
    <t>159-4956-7971</t>
    <phoneticPr fontId="9" type="noConversion"/>
  </si>
  <si>
    <t>187-0173-2235</t>
    <phoneticPr fontId="9" type="noConversion"/>
  </si>
  <si>
    <t>189-3013-2393</t>
    <phoneticPr fontId="9" type="noConversion"/>
  </si>
  <si>
    <t>139-1883-8024</t>
    <phoneticPr fontId="9" type="noConversion"/>
  </si>
  <si>
    <t>188-1368-9043</t>
    <phoneticPr fontId="9" type="noConversion"/>
  </si>
  <si>
    <t>021-35383009</t>
    <phoneticPr fontId="9" type="noConversion"/>
  </si>
  <si>
    <t>187-1797-5435</t>
    <phoneticPr fontId="9" type="noConversion"/>
  </si>
  <si>
    <t>138-1722-4592</t>
    <phoneticPr fontId="9" type="noConversion"/>
  </si>
  <si>
    <t>187-2170-9974</t>
    <phoneticPr fontId="9" type="noConversion"/>
  </si>
  <si>
    <t>义乌</t>
    <phoneticPr fontId="9" type="noConversion"/>
  </si>
  <si>
    <t>其他</t>
    <phoneticPr fontId="9" type="noConversion"/>
  </si>
  <si>
    <t>电放190 船证明450 改单费300 重新或异地签单费300 人工制单费300 换单费300 晚进港费600/箱</t>
  </si>
  <si>
    <t>电放250 封志费30/箱 更改费东南亚航线船开3天内RMB100船开3天后和台湾线RMB500 特殊燃油附加费-东南亚港$150/$300 集装箱紧急成本回收附加费-日本港300/600 CIC$100/$200</t>
  </si>
  <si>
    <t>电放费300 WAYBILL200 分并单450</t>
  </si>
  <si>
    <t>船东舱单费30 电放费300 更改费300 漏装单证费200/票 分并单费单证截单时间之后收取。按照并单前票数/分单后票数收取，费率为RMB150/票，最高封顶RMB1500一次 第三地签单换单费指装港非上海区域内，需要在上海签发或者换签提单的业务，费率为300/票 未上船证明船证明费50/套</t>
  </si>
  <si>
    <t>电放500</t>
  </si>
  <si>
    <t>电放费200 更改费300+USD35 晚单费400 船证明200/份 晚截单250 信息缺失100 晚领单费200 晚进港费200/300</t>
  </si>
  <si>
    <t>电放费300 更改费400/次 第三地服务费500/票 未上船证明50/份 船证明200/次 分合提单费450/票 取消人工制单费</t>
  </si>
  <si>
    <t>电放费300 更改费400/次 第三地服务费500/票 未上船证明50/份 船证明200/次 分合提单费450/票 取消人工制单费</t>
    <phoneticPr fontId="9" type="noConversion"/>
  </si>
  <si>
    <t>电放费/改单费/并/拆单费/异地签单费500</t>
  </si>
  <si>
    <t>电放费300 更改费船开前300船开后450 船证明费300</t>
  </si>
  <si>
    <t>电放费300 改单费(包括正本改SWB或相反)350 船开后要求异地换/签单费300 取消船证明以及晚领提单费 AMS/ENS递交错误箱号并于提单截止时间后提出更改收罚金USD250/柜</t>
  </si>
  <si>
    <t>电放费300 更改费300</t>
  </si>
  <si>
    <t>电放费350 改单费含分并单费350 停止收取电放取消费/第三地领单起运港服务费/提单保管费 船证明150/票</t>
  </si>
  <si>
    <t>电放费400/票 更改费普通航线舱单发送前230/票发送后是RMB460/票AMS/ENS航线还需加收AMS/ENS更改费 异地签单/取消异地签单费RMB400/票次 晚截费(截单/截箱时间以ZIM船期表的时间为准)400/票 提单遗失1500/票 进口换单250/票 HBL(美加线代发AMS/ACI)USD25/HBL 自发AMS/ACI:USD10/BILL随海运费</t>
  </si>
  <si>
    <t>电放费400/票 更改费450/票次 重签费450 换签费450/票 逾期申领提单费450/票</t>
  </si>
  <si>
    <t>电放费400 更改费400 船证明200 提单管理费所有航线1-7天不收14天以上300/BILL东南亚/日韩/台湾航线8-14天150/BILL欧地/美国/中东/印巴/澳洲航线8-14天不收 美加线移箱费600/900/1200报关费200/票理货费100/票</t>
  </si>
  <si>
    <t>电放费：RMB400；取消电放费：RMB400；更改费：RMB400；WAYBILL费：400；漏装费：RMB100/票；</t>
  </si>
  <si>
    <t>改单RMB200 电放RMB200</t>
  </si>
  <si>
    <t>更改费：AMS/ENS:USD40/MEXICO:USD70；更改费亚洲航线:一旦船开后更改提单内容，都将收取RMB200/票的改单费，提单重签费RMB400/票另计；电放费：RMB200</t>
  </si>
  <si>
    <t>合单/拆单/改单费：RMB300（提单上涉及的所有内容/按次数计算）；船证费:RMB200;电放费:RMB300</t>
    <phoneticPr fontId="9" type="noConversion"/>
  </si>
  <si>
    <t>提单更改费：RMB450/票；电放费：RMB450/票；分并单费：RMB450/票；异地放单费(更改签单地费)：RMB450/票；船证明签发费：RMB200/票；上海签单费(起运港非上海)：RMB450/票、第三地放单450/票</t>
    <phoneticPr fontId="9" type="noConversion"/>
  </si>
  <si>
    <t>设备</t>
    <phoneticPr fontId="6" type="noConversion"/>
  </si>
  <si>
    <t>文件</t>
    <phoneticPr fontId="6" type="noConversion"/>
  </si>
  <si>
    <t>HBS</t>
    <phoneticPr fontId="9" type="noConversion"/>
  </si>
  <si>
    <t>EMI</t>
    <phoneticPr fontId="9" type="noConversion"/>
  </si>
  <si>
    <t>鑫爵</t>
  </si>
  <si>
    <t>浦东新区张杨路628号</t>
    <phoneticPr fontId="9" type="noConversion"/>
  </si>
  <si>
    <t>OK</t>
    <phoneticPr fontId="9" type="noConversion"/>
  </si>
  <si>
    <t>Bamako</t>
    <phoneticPr fontId="9" type="noConversion"/>
  </si>
  <si>
    <t>EMC</t>
    <phoneticPr fontId="9" type="noConversion"/>
  </si>
  <si>
    <t>有效期：10/01~12/31</t>
    <phoneticPr fontId="9" type="noConversion"/>
  </si>
  <si>
    <t>133-0161-5287</t>
    <phoneticPr fontId="9" type="noConversion"/>
  </si>
  <si>
    <t>Subject to CUS:usd105/Teu,ISPS USD 15/TEU</t>
  </si>
  <si>
    <t>136-0193-2554</t>
    <phoneticPr fontId="9" type="noConversion"/>
  </si>
  <si>
    <t>189-1652-8079</t>
    <phoneticPr fontId="9" type="noConversion"/>
  </si>
  <si>
    <t>021-61421558</t>
    <phoneticPr fontId="9" type="noConversion"/>
  </si>
  <si>
    <t>189-0062-9252</t>
    <phoneticPr fontId="9" type="noConversion"/>
  </si>
  <si>
    <t>0755-83990972</t>
    <phoneticPr fontId="9" type="noConversion"/>
  </si>
  <si>
    <t>138-2885-8523</t>
    <phoneticPr fontId="9" type="noConversion"/>
  </si>
  <si>
    <t>135-8592-0456</t>
    <phoneticPr fontId="9" type="noConversion"/>
  </si>
  <si>
    <t>021-65148795-603</t>
    <phoneticPr fontId="9" type="noConversion"/>
  </si>
  <si>
    <t>137-6464-3562</t>
    <phoneticPr fontId="9" type="noConversion"/>
  </si>
  <si>
    <t>021-65034893</t>
    <phoneticPr fontId="9" type="noConversion"/>
  </si>
  <si>
    <t>136-5194-7781</t>
    <phoneticPr fontId="9" type="noConversion"/>
  </si>
  <si>
    <t>深圳迅达</t>
    <phoneticPr fontId="9" type="noConversion"/>
  </si>
  <si>
    <t>非洲海运货代-Sammi</t>
    <phoneticPr fontId="9" type="noConversion"/>
  </si>
  <si>
    <t>自己找上门的，腓尼基Leo同事，MSC COSCO</t>
    <phoneticPr fontId="9" type="noConversion"/>
  </si>
  <si>
    <t>常州市天宁区中吴大道与兰陵路交汇处富邦广场乙幢1601室</t>
    <phoneticPr fontId="9" type="noConversion"/>
  </si>
  <si>
    <t>富邦广场</t>
    <phoneticPr fontId="9" type="noConversion"/>
  </si>
  <si>
    <t>常州市天宁区中吴大道1318号富邦广场</t>
    <phoneticPr fontId="9" type="noConversion"/>
  </si>
  <si>
    <t>周一/周三</t>
  </si>
  <si>
    <t>周二/周三</t>
  </si>
  <si>
    <t>周一/五</t>
  </si>
  <si>
    <t>周二/五</t>
  </si>
  <si>
    <t>周二/周四</t>
  </si>
  <si>
    <t>021-56715028</t>
    <phoneticPr fontId="9" type="noConversion"/>
  </si>
  <si>
    <t>深圳</t>
    <phoneticPr fontId="9" type="noConversion"/>
  </si>
  <si>
    <t>021-31835293</t>
    <phoneticPr fontId="9" type="noConversion"/>
  </si>
  <si>
    <t>021-63595500-673</t>
    <phoneticPr fontId="9" type="noConversion"/>
  </si>
  <si>
    <t>021-63595500-671</t>
    <phoneticPr fontId="9" type="noConversion"/>
  </si>
  <si>
    <t>0551-63414318</t>
    <phoneticPr fontId="9" type="noConversion"/>
  </si>
  <si>
    <t>021-60277502</t>
    <phoneticPr fontId="9" type="noConversion"/>
  </si>
  <si>
    <t>021-31773831</t>
    <phoneticPr fontId="9" type="noConversion"/>
  </si>
  <si>
    <t>0574-27623418</t>
    <phoneticPr fontId="9" type="noConversion"/>
  </si>
  <si>
    <t>0574-87080592</t>
    <phoneticPr fontId="9" type="noConversion"/>
  </si>
  <si>
    <t>021-51183398</t>
    <phoneticPr fontId="9" type="noConversion"/>
  </si>
  <si>
    <t>0532-68992796</t>
    <phoneticPr fontId="9" type="noConversion"/>
  </si>
  <si>
    <t>0755-28999306-824</t>
    <phoneticPr fontId="9" type="noConversion"/>
  </si>
  <si>
    <t>021-31835267</t>
    <phoneticPr fontId="9" type="noConversion"/>
  </si>
  <si>
    <t>021-31773149</t>
    <phoneticPr fontId="9" type="noConversion"/>
  </si>
  <si>
    <t>021-31773143</t>
    <phoneticPr fontId="9" type="noConversion"/>
  </si>
  <si>
    <t>021-31835288</t>
    <phoneticPr fontId="9" type="noConversion"/>
  </si>
  <si>
    <t>021-65145793</t>
    <phoneticPr fontId="9" type="noConversion"/>
  </si>
  <si>
    <t>135-6499-7796</t>
  </si>
  <si>
    <t>136-5173-0620</t>
  </si>
  <si>
    <t>136-7191-6900</t>
  </si>
  <si>
    <t>137-8898-5093</t>
  </si>
  <si>
    <t>137-9042-6167</t>
  </si>
  <si>
    <t>138-1892-8907</t>
  </si>
  <si>
    <t>139-0166-1934</t>
  </si>
  <si>
    <t>139-1892-9694</t>
  </si>
  <si>
    <t>139-8936-0927</t>
  </si>
  <si>
    <t>150-0209-4804</t>
  </si>
  <si>
    <t>150-8889-8889</t>
  </si>
  <si>
    <t>151-0211-7581</t>
  </si>
  <si>
    <t>151-0217-3928</t>
  </si>
  <si>
    <t>158-8819-8669</t>
  </si>
  <si>
    <t>177-0180-6232</t>
  </si>
  <si>
    <t>180-1775-2083</t>
  </si>
  <si>
    <t>180-3805-5451</t>
  </si>
  <si>
    <t>181-0181-1293</t>
  </si>
  <si>
    <t>181-0189-5696</t>
  </si>
  <si>
    <t>182-2131-8894</t>
  </si>
  <si>
    <t>183-2193-5568</t>
  </si>
  <si>
    <t>183-2195-5007</t>
  </si>
  <si>
    <t>185-0215-6881</t>
  </si>
  <si>
    <t>186-0214-7856</t>
  </si>
  <si>
    <t>189-1583-6962</t>
  </si>
  <si>
    <t>189-1867-9869</t>
  </si>
  <si>
    <t>张桓</t>
    <phoneticPr fontId="9" type="noConversion"/>
  </si>
  <si>
    <t>宁波</t>
    <phoneticPr fontId="9" type="noConversion"/>
  </si>
  <si>
    <t>芜湖</t>
    <phoneticPr fontId="9" type="noConversion"/>
  </si>
  <si>
    <t>港先</t>
    <phoneticPr fontId="9" type="noConversion"/>
  </si>
  <si>
    <t>宁波博航</t>
    <phoneticPr fontId="9" type="noConversion"/>
  </si>
  <si>
    <t>锦海捷亚</t>
    <phoneticPr fontId="9" type="noConversion"/>
  </si>
  <si>
    <t>义乌海源</t>
    <phoneticPr fontId="9" type="noConversion"/>
  </si>
  <si>
    <t>优杰</t>
    <phoneticPr fontId="9" type="noConversion"/>
  </si>
  <si>
    <t>港先</t>
    <phoneticPr fontId="9" type="noConversion"/>
  </si>
  <si>
    <t>021-68981250</t>
    <phoneticPr fontId="9" type="noConversion"/>
  </si>
  <si>
    <t>操作</t>
    <phoneticPr fontId="9" type="noConversion"/>
  </si>
  <si>
    <t>同行 - 美加 - 上海新咏航</t>
    <phoneticPr fontId="9" type="noConversion"/>
  </si>
  <si>
    <t>新咏航</t>
    <phoneticPr fontId="9" type="noConversion"/>
  </si>
  <si>
    <t>上海裕辉</t>
    <phoneticPr fontId="9" type="noConversion"/>
  </si>
  <si>
    <t>裕辉</t>
    <phoneticPr fontId="9" type="noConversion"/>
  </si>
  <si>
    <t>苏州洋霖 SUNNY</t>
    <phoneticPr fontId="9" type="noConversion"/>
  </si>
  <si>
    <t>苏州洋霖</t>
    <phoneticPr fontId="9" type="noConversion"/>
  </si>
  <si>
    <t>天津惠禾-陈启顺</t>
    <phoneticPr fontId="9" type="noConversion"/>
  </si>
  <si>
    <t>天津惠禾</t>
    <phoneticPr fontId="9" type="noConversion"/>
  </si>
  <si>
    <t>上海-华展小陈</t>
    <phoneticPr fontId="9" type="noConversion"/>
  </si>
  <si>
    <t>华展</t>
    <phoneticPr fontId="9" type="noConversion"/>
  </si>
  <si>
    <t>上海菲利科思 JUDY</t>
    <phoneticPr fontId="9" type="noConversion"/>
  </si>
  <si>
    <t>菲利科思</t>
    <phoneticPr fontId="9" type="noConversion"/>
  </si>
  <si>
    <t>赛诺伟cindy</t>
    <phoneticPr fontId="9" type="noConversion"/>
  </si>
  <si>
    <t>赛诺伟</t>
    <phoneticPr fontId="9" type="noConversion"/>
  </si>
  <si>
    <t>上海琛承国际货运</t>
    <phoneticPr fontId="9" type="noConversion"/>
  </si>
  <si>
    <t>琛承</t>
    <phoneticPr fontId="9" type="noConversion"/>
  </si>
  <si>
    <t>青岛友邦信达 陈</t>
    <phoneticPr fontId="9" type="noConversion"/>
  </si>
  <si>
    <t>友邦信达</t>
    <phoneticPr fontId="9" type="noConversion"/>
  </si>
  <si>
    <t>青岛进航的</t>
    <phoneticPr fontId="9" type="noConversion"/>
  </si>
  <si>
    <t>进航</t>
    <phoneticPr fontId="9" type="noConversion"/>
  </si>
  <si>
    <t>诺博 Cindy</t>
    <phoneticPr fontId="9" type="noConversion"/>
  </si>
  <si>
    <t>诺博</t>
    <phoneticPr fontId="9" type="noConversion"/>
  </si>
  <si>
    <t>美设整箱马'R</t>
    <phoneticPr fontId="9" type="noConversion"/>
  </si>
  <si>
    <t>美设</t>
  </si>
  <si>
    <t>乐风国际货运代理-赵玲</t>
    <phoneticPr fontId="9" type="noConversion"/>
  </si>
  <si>
    <t>乐风</t>
    <phoneticPr fontId="9" type="noConversion"/>
  </si>
  <si>
    <t>凯博Susan</t>
    <phoneticPr fontId="9" type="noConversion"/>
  </si>
  <si>
    <t>凯博</t>
    <phoneticPr fontId="9" type="noConversion"/>
  </si>
  <si>
    <t>金士达货运 ABBY</t>
    <phoneticPr fontId="9" type="noConversion"/>
  </si>
  <si>
    <t>金士达</t>
    <phoneticPr fontId="9" type="noConversion"/>
  </si>
  <si>
    <t>华江苏鑫顺 高文</t>
    <phoneticPr fontId="9" type="noConversion"/>
  </si>
  <si>
    <t>江苏鑫顺</t>
    <phoneticPr fontId="9" type="noConversion"/>
  </si>
  <si>
    <t>杭州丰都塑业 曹'S</t>
    <phoneticPr fontId="9" type="noConversion"/>
  </si>
  <si>
    <t>海信达David tong</t>
    <phoneticPr fontId="9" type="noConversion"/>
  </si>
  <si>
    <t>海信达</t>
    <phoneticPr fontId="9" type="noConversion"/>
  </si>
  <si>
    <t>广州哈丽德船务 M</t>
    <phoneticPr fontId="9" type="noConversion"/>
  </si>
  <si>
    <t>哈丽德</t>
    <phoneticPr fontId="9" type="noConversion"/>
  </si>
  <si>
    <t>东鸿/小吕</t>
    <phoneticPr fontId="9" type="noConversion"/>
  </si>
  <si>
    <t>东鸿</t>
    <phoneticPr fontId="9" type="noConversion"/>
  </si>
  <si>
    <t>常州嘉鸿 成'S 0519-</t>
    <phoneticPr fontId="9" type="noConversion"/>
  </si>
  <si>
    <t>常州嘉鸿</t>
    <phoneticPr fontId="9" type="noConversion"/>
  </si>
  <si>
    <t>常利来 杨滢</t>
    <phoneticPr fontId="9" type="noConversion"/>
  </si>
  <si>
    <t>常利来</t>
    <phoneticPr fontId="9" type="noConversion"/>
  </si>
  <si>
    <t>SH 溢泉小陆 MSC</t>
    <phoneticPr fontId="9" type="noConversion"/>
  </si>
  <si>
    <t>溢泉</t>
    <phoneticPr fontId="9" type="noConversion"/>
  </si>
  <si>
    <t>jackey-深圳柏威上海</t>
    <phoneticPr fontId="9" type="noConversion"/>
  </si>
  <si>
    <t>深圳柏威</t>
    <phoneticPr fontId="9" type="noConversion"/>
  </si>
  <si>
    <t>ivy-鑫远航国际货运</t>
    <phoneticPr fontId="9" type="noConversion"/>
  </si>
  <si>
    <t>鑫远航</t>
    <phoneticPr fontId="9" type="noConversion"/>
  </si>
  <si>
    <t>邹振铝-华运国际物流宁波</t>
    <phoneticPr fontId="9" type="noConversion"/>
  </si>
  <si>
    <t>宁波华运</t>
    <phoneticPr fontId="9" type="noConversion"/>
  </si>
  <si>
    <t>浙江达商 小葛</t>
    <phoneticPr fontId="9" type="noConversion"/>
  </si>
  <si>
    <t>浙江达商</t>
    <phoneticPr fontId="9" type="noConversion"/>
  </si>
  <si>
    <t>浙江朝云联合物流</t>
    <phoneticPr fontId="9" type="noConversion"/>
  </si>
  <si>
    <t>浙江朝云</t>
    <phoneticPr fontId="9" type="noConversion"/>
  </si>
  <si>
    <t>湛江启航 JOYCE 梁</t>
    <phoneticPr fontId="9" type="noConversion"/>
  </si>
  <si>
    <t>湛江启航</t>
    <phoneticPr fontId="9" type="noConversion"/>
  </si>
  <si>
    <t>小罗-宁波嘉林</t>
    <phoneticPr fontId="9" type="noConversion"/>
  </si>
  <si>
    <t>宁波嘉林</t>
    <phoneticPr fontId="9" type="noConversion"/>
  </si>
  <si>
    <t>上海荣誉 陈'R（美</t>
    <phoneticPr fontId="9" type="noConversion"/>
  </si>
  <si>
    <t>荣誉</t>
    <phoneticPr fontId="9" type="noConversion"/>
  </si>
  <si>
    <t>上海连胜 Steven</t>
    <phoneticPr fontId="9" type="noConversion"/>
  </si>
  <si>
    <t>连胜</t>
    <phoneticPr fontId="9" type="noConversion"/>
  </si>
  <si>
    <t>上海福熙货运 杜'S</t>
    <phoneticPr fontId="9" type="noConversion"/>
  </si>
  <si>
    <t>福熙</t>
    <phoneticPr fontId="9" type="noConversion"/>
  </si>
  <si>
    <t>宁波凯帆 小胡 商</t>
    <phoneticPr fontId="9" type="noConversion"/>
  </si>
  <si>
    <t>宁波凯帆</t>
    <phoneticPr fontId="9" type="noConversion"/>
  </si>
  <si>
    <t>瀚阳国际货运 罗</t>
    <phoneticPr fontId="9" type="noConversion"/>
  </si>
  <si>
    <t>瀚阳</t>
    <phoneticPr fontId="9" type="noConversion"/>
  </si>
  <si>
    <t>王丹丹-上海曦之国际物流</t>
    <phoneticPr fontId="9" type="noConversion"/>
  </si>
  <si>
    <t>曦之</t>
    <phoneticPr fontId="9" type="noConversion"/>
  </si>
  <si>
    <t>天津荣沣 薄杰 138</t>
    <phoneticPr fontId="9" type="noConversion"/>
  </si>
  <si>
    <t>天津荣沣</t>
    <phoneticPr fontId="9" type="noConversion"/>
  </si>
  <si>
    <t>天津美洋-王晟</t>
    <phoneticPr fontId="9" type="noConversion"/>
  </si>
  <si>
    <t>天津美洋</t>
    <phoneticPr fontId="9" type="noConversion"/>
  </si>
  <si>
    <t>天津福日莱物流</t>
    <phoneticPr fontId="9" type="noConversion"/>
  </si>
  <si>
    <t>天津福日莱</t>
  </si>
  <si>
    <t>顺锦达 陈小姐 020-</t>
    <phoneticPr fontId="9" type="noConversion"/>
  </si>
  <si>
    <t>顺锦达</t>
    <phoneticPr fontId="9" type="noConversion"/>
  </si>
  <si>
    <t>盛世国际-JM</t>
    <phoneticPr fontId="9" type="noConversion"/>
  </si>
  <si>
    <t>盛世</t>
    <phoneticPr fontId="9" type="noConversion"/>
  </si>
  <si>
    <t>沈锋-上海瀛环惠海</t>
    <phoneticPr fontId="9" type="noConversion"/>
  </si>
  <si>
    <t>瀛环惠海</t>
    <phoneticPr fontId="9" type="noConversion"/>
  </si>
  <si>
    <t>沈佳琦-泛成国际货运</t>
    <phoneticPr fontId="9" type="noConversion"/>
  </si>
  <si>
    <t>泛成</t>
    <phoneticPr fontId="9" type="noConversion"/>
  </si>
  <si>
    <t>深圳华展物流EVA</t>
    <phoneticPr fontId="9" type="noConversion"/>
  </si>
  <si>
    <t>深圳华展</t>
    <phoneticPr fontId="9" type="noConversion"/>
  </si>
  <si>
    <t>深圳迅达 Alisa 1588</t>
    <phoneticPr fontId="9" type="noConversion"/>
  </si>
  <si>
    <t>深圳迅达</t>
    <phoneticPr fontId="9" type="noConversion"/>
  </si>
  <si>
    <t>申航老岳</t>
    <phoneticPr fontId="9" type="noConversion"/>
  </si>
  <si>
    <t>申航</t>
    <phoneticPr fontId="9" type="noConversion"/>
  </si>
  <si>
    <t>绍兴塞德-田祥宜（周添）</t>
    <phoneticPr fontId="9" type="noConversion"/>
  </si>
  <si>
    <t>绍兴塞德</t>
    <phoneticPr fontId="9" type="noConversion"/>
  </si>
  <si>
    <t>上海至优 VIVIAN CM</t>
    <phoneticPr fontId="9" type="noConversion"/>
  </si>
  <si>
    <t>至优</t>
    <phoneticPr fontId="9" type="noConversion"/>
  </si>
  <si>
    <t>上海云岚国际物流</t>
    <phoneticPr fontId="9" type="noConversion"/>
  </si>
  <si>
    <t>云岚</t>
    <phoneticPr fontId="9" type="noConversion"/>
  </si>
  <si>
    <t>上海樾迅 袁'R</t>
    <phoneticPr fontId="9" type="noConversion"/>
  </si>
  <si>
    <t>樾迅</t>
    <phoneticPr fontId="9" type="noConversion"/>
  </si>
  <si>
    <t>上海翼羽帆 张'R</t>
    <phoneticPr fontId="9" type="noConversion"/>
  </si>
  <si>
    <t>翼羽帆</t>
    <phoneticPr fontId="9" type="noConversion"/>
  </si>
  <si>
    <t>上海奕然Melody</t>
    <phoneticPr fontId="9" type="noConversion"/>
  </si>
  <si>
    <t>奕然</t>
    <phoneticPr fontId="9" type="noConversion"/>
  </si>
  <si>
    <t>上海易鹏 袁'S 5180</t>
    <phoneticPr fontId="9" type="noConversion"/>
  </si>
  <si>
    <t>易鹏</t>
    <phoneticPr fontId="9" type="noConversion"/>
  </si>
  <si>
    <t>上海亦海物流贾'R</t>
    <phoneticPr fontId="9" type="noConversion"/>
  </si>
  <si>
    <t>亦海</t>
    <phoneticPr fontId="9" type="noConversion"/>
  </si>
  <si>
    <t>上海焱烨货运张先</t>
    <phoneticPr fontId="9" type="noConversion"/>
  </si>
  <si>
    <t>焱烨</t>
    <phoneticPr fontId="9" type="noConversion"/>
  </si>
  <si>
    <t>上海艳峰物流 小</t>
    <phoneticPr fontId="9" type="noConversion"/>
  </si>
  <si>
    <t>艳峰</t>
    <phoneticPr fontId="9" type="noConversion"/>
  </si>
  <si>
    <t>上海亚凯 周</t>
    <phoneticPr fontId="9" type="noConversion"/>
  </si>
  <si>
    <t>亚凯</t>
    <phoneticPr fontId="9" type="noConversion"/>
  </si>
  <si>
    <t>上海循环 小俞</t>
    <phoneticPr fontId="9" type="noConversion"/>
  </si>
  <si>
    <t>循环</t>
    <phoneticPr fontId="9" type="noConversion"/>
  </si>
  <si>
    <t>上海星高国际 Evil</t>
    <phoneticPr fontId="9" type="noConversion"/>
  </si>
  <si>
    <t>星高</t>
    <phoneticPr fontId="9" type="noConversion"/>
  </si>
  <si>
    <t>上海鑫爵 刘华林</t>
    <phoneticPr fontId="9" type="noConversion"/>
  </si>
  <si>
    <t>鑫爵</t>
    <phoneticPr fontId="9" type="noConversion"/>
  </si>
  <si>
    <t>上海新明伟 高'S</t>
    <phoneticPr fontId="9" type="noConversion"/>
  </si>
  <si>
    <t>新明伟</t>
    <phoneticPr fontId="9" type="noConversion"/>
  </si>
  <si>
    <t>上海速迅 王文文</t>
    <phoneticPr fontId="9" type="noConversion"/>
  </si>
  <si>
    <t>速迅</t>
    <phoneticPr fontId="9" type="noConversion"/>
  </si>
  <si>
    <t>上海速显 小李</t>
    <phoneticPr fontId="9" type="noConversion"/>
  </si>
  <si>
    <t>速显</t>
    <phoneticPr fontId="9" type="noConversion"/>
  </si>
  <si>
    <t>上海速威</t>
    <phoneticPr fontId="9" type="noConversion"/>
  </si>
  <si>
    <t>速威</t>
    <phoneticPr fontId="9" type="noConversion"/>
  </si>
  <si>
    <t>上海速恒国际物流</t>
    <phoneticPr fontId="9" type="noConversion"/>
  </si>
  <si>
    <t>速恒</t>
    <phoneticPr fontId="9" type="noConversion"/>
  </si>
  <si>
    <t>上海硕汇</t>
    <phoneticPr fontId="9" type="noConversion"/>
  </si>
  <si>
    <t>硕汇</t>
    <phoneticPr fontId="9" type="noConversion"/>
  </si>
  <si>
    <t>上海盛瀛 朱晓华</t>
    <phoneticPr fontId="9" type="noConversion"/>
  </si>
  <si>
    <t>盛瀛</t>
    <phoneticPr fontId="9" type="noConversion"/>
  </si>
  <si>
    <t>上海三和 陈昌平</t>
    <phoneticPr fontId="9" type="noConversion"/>
  </si>
  <si>
    <t>三和</t>
    <phoneticPr fontId="9" type="noConversion"/>
  </si>
  <si>
    <t>上海睿博 小何</t>
    <phoneticPr fontId="9" type="noConversion"/>
  </si>
  <si>
    <t>睿博</t>
    <phoneticPr fontId="9" type="noConversion"/>
  </si>
  <si>
    <t>上海瑞速 Sandy 15800</t>
    <phoneticPr fontId="9" type="noConversion"/>
  </si>
  <si>
    <t>瑞速</t>
    <phoneticPr fontId="9" type="noConversion"/>
  </si>
  <si>
    <t>宁波泽世 施'R 只</t>
    <phoneticPr fontId="9" type="noConversion"/>
  </si>
  <si>
    <t>宁波泽世</t>
    <phoneticPr fontId="9" type="noConversion"/>
  </si>
  <si>
    <t>远磐</t>
    <phoneticPr fontId="9" type="noConversion"/>
  </si>
  <si>
    <t>150-9664-9283</t>
    <phoneticPr fontId="9" type="noConversion"/>
  </si>
  <si>
    <t>巴塔小柜 高柜</t>
  </si>
  <si>
    <t>Bata</t>
    <phoneticPr fontId="9" type="noConversion"/>
  </si>
  <si>
    <t>Nacala Mozambique 小柜</t>
    <phoneticPr fontId="9" type="noConversion"/>
  </si>
  <si>
    <t>Nacala MSC USD1325+EBS50+AMS25/BILL，周五外港德班转31天，价格到10月14日。
Nacala CMA USD1375 + EBS55，周四/周日外港/洋山TPP/SIN转36天，价格到10月14日。
Nacala SAF USD1425 + EBS60，周一洋山丹戎帕拉帕斯港转44天，价格到10月14日。</t>
    <phoneticPr fontId="9" type="noConversion"/>
  </si>
  <si>
    <t>蒙巴萨20GP 40HQ</t>
    <phoneticPr fontId="9" type="noConversion"/>
  </si>
  <si>
    <t>Mombasa SAF USD700/1200 + EBS60/120，周四洋山新加坡转23天，价格到10月14日。
Mombasa MSK USD760/1320(含EBS)，周五洋山新加坡转23天，价格到10月14日。
Mombasa OOCL USD775/1350(含EBS)，周三外港直达25天，价格到10月14日。</t>
    <phoneticPr fontId="9" type="noConversion"/>
  </si>
  <si>
    <t>NEXT</t>
    <phoneticPr fontId="11" type="noConversion"/>
  </si>
  <si>
    <r>
      <t>航程</t>
    </r>
    <r>
      <rPr>
        <sz val="10"/>
        <rFont val="Arial"/>
        <family val="2"/>
      </rPr>
      <t/>
    </r>
  </si>
  <si>
    <t>Bata SAF USD1950/2800 + EBS60/120，周二/五洋山黑角转42-49天，价格到10月14日。
Bata CMA USD1988/2863 + EBS55/110，周日洋山洛美转43天，价格到10月14日。
Bata MSK USD2060/3020(含EBS)，周二洋山黑角转42-49天，价格到10月14日。</t>
  </si>
  <si>
    <t>宝山区长江西路398弄保利·悦活荟</t>
    <phoneticPr fontId="9" type="noConversion"/>
  </si>
  <si>
    <r>
      <t>N</t>
    </r>
    <r>
      <rPr>
        <sz val="11"/>
        <color theme="1"/>
        <rFont val="等线"/>
        <family val="3"/>
        <charset val="134"/>
      </rPr>
      <t>ULL</t>
    </r>
    <phoneticPr fontId="9" type="noConversion"/>
  </si>
  <si>
    <r>
      <t>C</t>
    </r>
    <r>
      <rPr>
        <sz val="11"/>
        <color theme="1"/>
        <rFont val="等线"/>
        <family val="3"/>
        <charset val="134"/>
      </rPr>
      <t>OSCO</t>
    </r>
    <phoneticPr fontId="6" type="noConversion"/>
  </si>
  <si>
    <t>PORT SUDAN</t>
  </si>
  <si>
    <t>特马的一个40尺高柜</t>
    <phoneticPr fontId="9" type="noConversion"/>
  </si>
  <si>
    <t>Tema ONE USD2065(含EBS)，周二/周三外港直达44天，价格到10月14日。
Tema ZIM USD1960 + EBS150，周一/周三外港直达44天，价格到10月14日。
Tema COSCO USD2060 + EBS120，周三外港直达44天，价格到10月14日。</t>
    <phoneticPr fontId="9" type="noConversion"/>
  </si>
  <si>
    <t>Tema</t>
    <phoneticPr fontId="9" type="noConversion"/>
  </si>
  <si>
    <t>onne 大柜</t>
  </si>
  <si>
    <t>Onne COSCO USD2260 + EBS120，周三外港洛美转46天，价格到10月14日。
Onne PIL USD2610(含EBS)，周三外港新加坡转41天，价格到10月14日。
Onne SAF USD2550 + EBS120，周四外港直达41天，价格到10月14日。</t>
    <phoneticPr fontId="9" type="noConversion"/>
  </si>
  <si>
    <t>Onne</t>
    <phoneticPr fontId="9" type="noConversion"/>
  </si>
  <si>
    <t>新能日盛</t>
  </si>
  <si>
    <t>新能日盛</t>
    <phoneticPr fontId="9" type="noConversion"/>
  </si>
  <si>
    <t>罗安达 高柜  28吨</t>
    <phoneticPr fontId="9" type="noConversion"/>
  </si>
  <si>
    <t>Luanda MSC USD2300 + EBS100，周五外港西尼什转46天，价格到10月14日。
Luanda COSCO USD2360 + EBS120，周二洋山直达41天，价格到10月14日。
Luanda PIL USD2510(含EBS)，周一洋山直达41天，价格到10月14日。</t>
    <phoneticPr fontId="9" type="noConversion"/>
  </si>
  <si>
    <t>Luanda</t>
    <phoneticPr fontId="9" type="noConversion"/>
  </si>
  <si>
    <t>NULL</t>
    <phoneticPr fontId="9" type="noConversion"/>
  </si>
  <si>
    <t>苏州</t>
    <phoneticPr fontId="9" type="noConversion"/>
  </si>
  <si>
    <t>摩洛哥 Casablanca港口的海运费 大柜小柜</t>
    <phoneticPr fontId="9" type="noConversion"/>
  </si>
  <si>
    <t>Casablanca</t>
    <phoneticPr fontId="9" type="noConversion"/>
  </si>
  <si>
    <t>特马小柜</t>
    <phoneticPr fontId="9" type="noConversion"/>
  </si>
  <si>
    <t>Tema ONE USD1290(含EBS)，周二/周三外港直达44天，价格到10月14日。
Tema ZIM USD1310 + EBS75，周一/周三外港直达44天，价格到10月14日。
Tema COSCO USD1335 + EBS60，周三外港直达44天，价格到10月14日。</t>
    <phoneticPr fontId="9" type="noConversion"/>
  </si>
  <si>
    <t>Casablanca MSC USD1050/2000/2050 + EBS65/130，周日洋山沙特的阿卜杜拉国王港转35天，价格从10月15日到10月31日。
Casablanca COSCO USD1150/2100/2150(含EBS) + ENS25/BILL，周四六一洋山ESVAL/阿尔赫西拉斯/ESBAR转30-44天，31日。
Casablanca MSK USD1175/2250/2275 + EBS60/120，周五洋山丹吉尔转31天，价格到10月15日。</t>
    <phoneticPr fontId="9" type="noConversion"/>
  </si>
  <si>
    <t>MD1 港口显示：BINGAZI</t>
  </si>
  <si>
    <t>石晴</t>
  </si>
  <si>
    <t>蒙巴萨 PIL 小柜</t>
    <phoneticPr fontId="9" type="noConversion"/>
  </si>
  <si>
    <t>Mombasa PIL USD834(含EBS)，周三外港直达22天，价格到10月14日。</t>
    <phoneticPr fontId="9" type="noConversion"/>
  </si>
  <si>
    <t>赛勇</t>
    <phoneticPr fontId="9" type="noConversion"/>
  </si>
  <si>
    <t>张桓</t>
    <phoneticPr fontId="9" type="noConversion"/>
  </si>
  <si>
    <t>20尺柜的运费 上海到 Lagos</t>
    <phoneticPr fontId="9" type="noConversion"/>
  </si>
  <si>
    <t>Lagos</t>
    <phoneticPr fontId="9" type="noConversion"/>
  </si>
  <si>
    <t>Apapa ONE USD1570(含EBS)，周二外港直达34天，价格到10月14日。
Apapa ZIM USD1590 + EBS11，周一外港直达34天，价格到10月14日。
Apapa COSCO USD1615 + EBS60，周二外港直达34天，价格到10月14日。</t>
    <phoneticPr fontId="9" type="noConversion"/>
  </si>
  <si>
    <t>Monrovia, Liberia 小柜</t>
    <phoneticPr fontId="9" type="noConversion"/>
  </si>
  <si>
    <t>Monrovia MSK USD1490(含EBS)，周一外港丹吉尔转45天，价格到10月14日。
Monrovia MSC USD1480 + EBS50，周五外港洛美转52天，价格到10月14日。</t>
    <phoneticPr fontId="9" type="noConversion"/>
  </si>
  <si>
    <t>Monrovia</t>
    <phoneticPr fontId="9" type="noConversion"/>
  </si>
  <si>
    <t>阿尔及利亚，阿尔及尔，40HQ  MSC</t>
    <phoneticPr fontId="9" type="noConversion"/>
  </si>
  <si>
    <t>Alger MSC USD2400 + EBS130，周日洋山沙特的阿卜杜拉国王港转29天，价格从10月15日到10月31日。</t>
    <phoneticPr fontId="9" type="noConversion"/>
  </si>
  <si>
    <t>Algiers</t>
    <phoneticPr fontId="9" type="noConversion"/>
  </si>
  <si>
    <t>布基纳法索小柜和大柜22吨，太阳能发电系统</t>
    <phoneticPr fontId="9" type="noConversion"/>
  </si>
  <si>
    <t>Abidjan 转 Ouagadougou SAF USD1525/2350 + EBS60/120 + 转运费2550/3940，周五洋山38+15天，海运价格到10月14日，汇率问题转运费需要实时确认，这个先参考一下。</t>
    <phoneticPr fontId="9" type="noConversion"/>
  </si>
  <si>
    <r>
      <t>Ou</t>
    </r>
    <r>
      <rPr>
        <sz val="11"/>
        <color theme="1"/>
        <rFont val="等线"/>
        <family val="3"/>
        <charset val="134"/>
      </rPr>
      <t>agadougou</t>
    </r>
    <phoneticPr fontId="9" type="noConversion"/>
  </si>
  <si>
    <t>蔡</t>
  </si>
  <si>
    <t>MONROVIA  SAF 40HQ</t>
    <phoneticPr fontId="9" type="noConversion"/>
  </si>
  <si>
    <t>Monrovia SAF USD2500 + EBS120，周一/五洋山赛德东/阿尔赫西拉斯转45天，价格到10月14日。</t>
    <phoneticPr fontId="9" type="noConversion"/>
  </si>
  <si>
    <t>程</t>
  </si>
  <si>
    <t>FREETOWN 小柜</t>
    <phoneticPr fontId="9" type="noConversion"/>
  </si>
  <si>
    <t>赛勇</t>
    <phoneticPr fontId="9" type="noConversion"/>
  </si>
  <si>
    <t>淳宏供应链 - 金哲岚 3004996990</t>
    <phoneticPr fontId="9" type="noConversion"/>
  </si>
  <si>
    <t>班珠尔一个40HQ</t>
  </si>
  <si>
    <t>Banjul SAF USD4050/40HQ + EBS120，周五洋山阿尔赫西拉斯转42天，价格到10月31日。
Banjul MSK USD4270/40HQ (含EBS)，周五洋山阿尔赫西拉斯转42天，价格到10月31日。</t>
    <phoneticPr fontId="9" type="noConversion"/>
  </si>
  <si>
    <t>Banjul</t>
    <phoneticPr fontId="9" type="noConversion"/>
  </si>
  <si>
    <t>张霞</t>
  </si>
  <si>
    <t>突尼斯大柜</t>
  </si>
  <si>
    <t>Tunis(Rades Port) MSC USD2750/40GP + EBS130，周日洋山沙特的阿卜杜拉国王港转34天，价格到10月31日。
Tunis(Rades Port) MSK USD3150/40GP + EBS120，周日洋山马尔萨什洛克转30天，价格从10月16日到10月31日。</t>
    <phoneticPr fontId="9" type="noConversion"/>
  </si>
  <si>
    <t>Tunis</t>
    <phoneticPr fontId="9" type="noConversion"/>
  </si>
  <si>
    <t>南京长茂</t>
  </si>
  <si>
    <t>付寒</t>
  </si>
  <si>
    <t>TEMA,20GP. 要COSCO 和MSK 的船 货12号OK</t>
    <phoneticPr fontId="9" type="noConversion"/>
  </si>
  <si>
    <t>Tema MSK USD1947/20GP (含EBS)，周五外港直达42天，价格到10月31日。
COSCO 1685 + 60 价格到31号</t>
    <phoneticPr fontId="9" type="noConversion"/>
  </si>
  <si>
    <t>Beijaia 1*40HQ 19号货好，毛重21.5吨</t>
    <phoneticPr fontId="9" type="noConversion"/>
  </si>
  <si>
    <t>Bejaia MSC USD2400/40HQ + EBS130，周日洋山沙特的阿卜杜拉国王港转41天，价格到10月31日。
Bejaia MSK USD2850/40HQ + EBS120，周日/周二洋山马尔萨什洛克转36天，价格从10月16日到10月31日。</t>
    <phoneticPr fontId="9" type="noConversion"/>
  </si>
  <si>
    <t>South Africa</t>
    <phoneticPr fontId="9" type="noConversion"/>
  </si>
  <si>
    <t>Johannesburg</t>
    <phoneticPr fontId="9" type="noConversion"/>
  </si>
  <si>
    <t>ZADUR</t>
    <phoneticPr fontId="9" type="noConversion"/>
  </si>
  <si>
    <t>HPL</t>
    <phoneticPr fontId="9" type="noConversion"/>
  </si>
  <si>
    <t>ZAR</t>
    <phoneticPr fontId="9" type="noConversion"/>
  </si>
  <si>
    <t>Johannesburg/Pretoria</t>
    <phoneticPr fontId="9" type="noConversion"/>
  </si>
  <si>
    <t>NULL</t>
  </si>
  <si>
    <t>已</t>
    <phoneticPr fontId="9" type="noConversion"/>
  </si>
  <si>
    <t>南京</t>
    <phoneticPr fontId="9" type="noConversion"/>
  </si>
  <si>
    <t>阿兴</t>
  </si>
  <si>
    <t xml:space="preserve">ONNE 3*40GP </t>
    <phoneticPr fontId="9" type="noConversion"/>
  </si>
  <si>
    <t>Onne COSCO USD2910/40GP + EBS120，周三外港洛美转46天，价格到10月31日。
Onne PIL USD3260/40GP (含EBS)，周三外港新加坡转41天，价格到10月31日。</t>
    <phoneticPr fontId="9" type="noConversion"/>
  </si>
  <si>
    <t>Onne</t>
    <phoneticPr fontId="9" type="noConversion"/>
  </si>
  <si>
    <t>宁波衡通</t>
  </si>
  <si>
    <t>宁波衡通</t>
    <phoneticPr fontId="9" type="noConversion"/>
  </si>
  <si>
    <t>孙维光</t>
  </si>
  <si>
    <t>DAR 小柜</t>
  </si>
  <si>
    <t>Dar Es Salaam MSK USD910/20GP (含EBS)，周五洋山新加坡转26-32天，价格从10月17日到10月31日。
Dar Es Salaam EMI USD917/20GP (含EBS)，周四外港巴生转32天，价格到10月22日。
Dar Es Salaam EMC USD975/20GP (含EBS)，周四外港巴生转35天，价格到10月31日。</t>
    <phoneticPr fontId="9" type="noConversion"/>
  </si>
  <si>
    <t>Dar es Salaam</t>
    <phoneticPr fontId="9" type="noConversion"/>
  </si>
  <si>
    <t>宁波</t>
    <phoneticPr fontId="9" type="noConversion"/>
  </si>
  <si>
    <t>Freetown SAF USD1855/20GP + EBS60，周一/五洋山赛德东转50天，价格到10月31日。
Freetown MSK USD1965/20GP (含EBS)，周一洋山赛德东转44天，价格到10月31日。</t>
    <phoneticPr fontId="9" type="noConversion"/>
  </si>
  <si>
    <t>ZANZIBAR 小柜</t>
    <phoneticPr fontId="9" type="noConversion"/>
  </si>
  <si>
    <t>传盛</t>
    <phoneticPr fontId="9" type="noConversion"/>
  </si>
  <si>
    <t>杜秀梅</t>
    <phoneticPr fontId="9" type="noConversion"/>
  </si>
  <si>
    <t>Zanzibar MSK USD1610/20GP (含EBS)，周五洋山蒙巴萨转37天，价格从10月17日到10月31日。
Zanzibar CMA USD1725/20GP + EBS55，周四/周日外港/洋山丹戎帕拉帕斯港/新加坡转33天，价格到10月31日。
Zanzibar PIL USD1800/20GP (含EBS)，周三外港蒙巴萨转30天，价格到10月31日。</t>
    <phoneticPr fontId="9" type="noConversion"/>
  </si>
  <si>
    <t>Zanzibar</t>
    <phoneticPr fontId="9" type="noConversion"/>
  </si>
  <si>
    <t>冯杰</t>
  </si>
  <si>
    <t>PORT LOUIS 1X20GP MSK</t>
    <phoneticPr fontId="9" type="noConversion"/>
  </si>
  <si>
    <t>Port Louis MSK USD810/20GP (含EBS)，周三洋山直达20天，价格到10月31日。</t>
    <phoneticPr fontId="9" type="noConversion"/>
  </si>
  <si>
    <t>南非Elizabeth  小柜</t>
    <phoneticPr fontId="9" type="noConversion"/>
  </si>
  <si>
    <t>Port Elizabeth COSCO USD890/20GP + EBS60 + AMS30/BILL，周六外港直达28天，价格到10月31日。
Port Elizabeth HBS USD890/20GP + EBS60 + AMS35/BILL，周三洋山直达25天，价格到10月31日。
Port Elizabeth CMA USD913/20GP + EBS55，周三洋山直达30天，价格到10月31日。</t>
    <phoneticPr fontId="9" type="noConversion"/>
  </si>
  <si>
    <t>Elizabeth</t>
    <phoneticPr fontId="9" type="noConversion"/>
  </si>
  <si>
    <t>Louis</t>
    <phoneticPr fontId="9" type="noConversion"/>
  </si>
  <si>
    <t>江苏茵博</t>
  </si>
  <si>
    <t>江苏茵博</t>
    <phoneticPr fontId="9" type="noConversion"/>
  </si>
  <si>
    <t>顾先生</t>
  </si>
  <si>
    <t>顾先生</t>
    <phoneticPr fontId="9" type="noConversion"/>
  </si>
  <si>
    <t>Apapa HPL USD2500/40GP + EBS110，周六洋山丹吉尔转46天，价格到10月31日。
Apapa SAF USD3300/40GP + EBS120，周四外港直达36天，价格到10月31日。
Apapa ONE USD3565/40GP (含EBS)，周二外港直达34天，价格到10月31日。</t>
    <phoneticPr fontId="9" type="noConversion"/>
  </si>
  <si>
    <t>Apapa</t>
    <phoneticPr fontId="9" type="noConversion"/>
  </si>
  <si>
    <t>Apapa 价格</t>
    <phoneticPr fontId="9" type="noConversion"/>
  </si>
  <si>
    <t>张家港</t>
    <phoneticPr fontId="9" type="noConversion"/>
  </si>
  <si>
    <t>蒙巴萨有直达船</t>
    <phoneticPr fontId="9" type="noConversion"/>
  </si>
  <si>
    <t>Mombasa CMA USD925/1650 + EBS55/110，周四外港直达25天，价格到10月31日。
Mombasa COSCO USD925/1650 + EBS60/120，周三/周四外港直达23天，价格到10月22日。
Mombasa EMC USD975/1700 (含EBS)，周四外港直达30天，价格到10月31日。</t>
    <phoneticPr fontId="9" type="noConversion"/>
  </si>
  <si>
    <t>宁波港泰</t>
    <phoneticPr fontId="9" type="noConversion"/>
  </si>
  <si>
    <t>池丽敏</t>
  </si>
  <si>
    <t>MOMBASA OOCL</t>
    <phoneticPr fontId="9" type="noConversion"/>
  </si>
  <si>
    <t>Mombasa OOCL USD775/1350 (含EBS)，周三外港直达25天，价格到10月14日，已过期仅供参考。</t>
    <phoneticPr fontId="9" type="noConversion"/>
  </si>
  <si>
    <t>李大军</t>
  </si>
  <si>
    <t>安哥拉 罗安达港口，40高柜</t>
    <phoneticPr fontId="9" type="noConversion"/>
  </si>
  <si>
    <t>Luanda NDS USD2860/40HQ (含EBS)，周一洋山直达41天，价格到9月30日，已过期仅供参考。
Luanda COSCO USD3010/40HQ + EBS120，周二洋山直达41天，价格到10月31日。
Luanda PIL USD3210/40HQ (含EBS)，周一洋山直达41天，价格到10月31日。</t>
    <phoneticPr fontId="9" type="noConversion"/>
  </si>
  <si>
    <t>王生</t>
  </si>
  <si>
    <t>Harcourt ONNE大柜</t>
    <phoneticPr fontId="9" type="noConversion"/>
  </si>
  <si>
    <t>Onne COSCO USD2960/40GP + EBS120，周三外港洛美转46天，价格到10月31日。
Onne PIL USD3310/40GP (含EBS)，周三外港新加坡转41天，价格到10月31日。
Onne SAF USD3250/40GP + EBS120，周四外港直达41天，价格到10月31日。</t>
    <phoneticPr fontId="9" type="noConversion"/>
  </si>
  <si>
    <t>一个20尺柜   拉各斯</t>
    <phoneticPr fontId="9" type="noConversion"/>
  </si>
  <si>
    <t>Apapa HPL USD1750/20GP + EBS55，周六洋山丹吉尔转46天，价格到10月31日。
Apapa SAF USD2125/20GP + EBS60，周四外港直达36天，价格到10月31日。
Apapa MSK USD2260/20GP (含EBS)，周四外港直达36天，价格到10月31日。</t>
    <phoneticPr fontId="9" type="noConversion"/>
  </si>
  <si>
    <t>达喀尔40gp</t>
    <phoneticPr fontId="9" type="noConversion"/>
  </si>
  <si>
    <t>Dakar HPL USD2900/40GP + EBS110，周六洋山丹吉尔转44天，价格到10月31日。
Dakar COSCO USD3510/40GP + EBS120，周日洋山阿尔赫西拉斯转36天，价格到10月31日。
Dakar ONE USD3765/40GP (含EBS)，周六洋山汤加转35天，价格到10月31日。</t>
    <phoneticPr fontId="9" type="noConversion"/>
  </si>
  <si>
    <t>Dakar</t>
    <phoneticPr fontId="9" type="noConversion"/>
  </si>
  <si>
    <t>蒙巴萨</t>
    <phoneticPr fontId="9" type="noConversion"/>
  </si>
  <si>
    <t>Mombasa SAF USD850/1500 + EBS60/120，周四洋山新加坡转23天，价格到10月31日。
Mombasa MSK USD910/1620 (含EBS)，周五洋山新加坡转23天，价格到10月31日。
Mombasa CMA USD925/1650 + EBS55/110，周四外港直达25天，价格到10月31日。</t>
    <phoneticPr fontId="9" type="noConversion"/>
  </si>
  <si>
    <t>卢萨卡15T和大小柜</t>
    <phoneticPr fontId="9" type="noConversion"/>
  </si>
  <si>
    <t>Durban 转 Lusaka
COSCO USD890/20GP + EBS60 + AMS30/BILL + 转运费3400，周四/周六洋山/外港24+15天，价格到10月31日。
EMI USD1617/40GP (含EBS) + 转运费5350，周四外港32+15天，价格到10月22日。</t>
    <phoneticPr fontId="9" type="noConversion"/>
  </si>
  <si>
    <t>Lusaka</t>
    <phoneticPr fontId="9" type="noConversion"/>
  </si>
  <si>
    <t>苏丹 40HQ</t>
    <phoneticPr fontId="9" type="noConversion"/>
  </si>
  <si>
    <t>Port Sudan SAF USD1513/40HQ + EBS120，周二洋山丹戎帕拉帕斯港转33天，价格到10月31日。
Port Sudan MSK USD1876/40HQ (含EBS)，周二洋山丹戎帕拉帕斯港转33天，价格到10月31日。</t>
    <phoneticPr fontId="9" type="noConversion"/>
  </si>
  <si>
    <t>Sudan</t>
    <phoneticPr fontId="9" type="noConversion"/>
  </si>
  <si>
    <t>MODJO DRY PORT  20GP 25T 埃塞</t>
    <phoneticPr fontId="9" type="noConversion"/>
  </si>
  <si>
    <t>没有这个点</t>
    <phoneticPr fontId="9" type="noConversion"/>
  </si>
  <si>
    <t>Modjo</t>
    <phoneticPr fontId="9" type="noConversion"/>
  </si>
  <si>
    <t>OK</t>
    <phoneticPr fontId="9" type="noConversion"/>
  </si>
  <si>
    <t>Tunis(Rades Port) MSC USD1425/20GP + EBS65，周日洋山沙特的阿卜杜拉国王港转34天，价格到10月31日。
Tunis(Rades Port) MSK USD1675/20GP + EBS60，周日洋山马尔萨什洛克转30天，价格到10月31日。
Tunis(Rades Port) CMA USD1835/20GP + EBS55，周四洋山马耳他转35天，价格到10月31日。</t>
    <phoneticPr fontId="9" type="noConversion"/>
  </si>
  <si>
    <t>Rades</t>
    <phoneticPr fontId="9" type="noConversion"/>
  </si>
  <si>
    <t>Sousse</t>
    <phoneticPr fontId="9" type="noConversion"/>
  </si>
  <si>
    <t>Sousse CMA USD1715/20GP + EBS55，周四洋山马耳他转35天，价格到10月31日。</t>
    <phoneticPr fontId="9" type="noConversion"/>
  </si>
  <si>
    <t>德班的 ，40'HQ</t>
    <phoneticPr fontId="9" type="noConversion"/>
  </si>
  <si>
    <t>Durban HPL USD1350/40HQ + EBS110，周四洋山直达27天，价格到10月31日。
Durban ONE USD1650/40HQ (含EBS) + AMS35/BILL，周四洋山直达24天，价格到10月22日。
Durban PIL USD1763/40HQ (含EBS) + AMS30/BILL，周四洋山直达24天，价格到10月31日。</t>
    <phoneticPr fontId="9" type="noConversion"/>
  </si>
  <si>
    <t>Durban</t>
    <phoneticPr fontId="9" type="noConversion"/>
  </si>
  <si>
    <t>韩毅</t>
  </si>
  <si>
    <t>CMA DAKAR小箱 27日左右的</t>
    <phoneticPr fontId="9" type="noConversion"/>
  </si>
  <si>
    <t>Dakar CMA USD2288/20GP + EBS55，周日洋山阿尔赫西拉斯转34天，价格到10月31日。</t>
    <phoneticPr fontId="9" type="noConversion"/>
  </si>
  <si>
    <t>虹口区东大名路1050号北外滩附近</t>
    <phoneticPr fontId="9" type="noConversion"/>
  </si>
  <si>
    <t>韩毅10-15最近别来刚搬家有点乱</t>
    <phoneticPr fontId="9" type="noConversion"/>
  </si>
  <si>
    <t>龚迪</t>
    <phoneticPr fontId="9" type="noConversion"/>
  </si>
  <si>
    <t>ZIM 高柜 上海到TINCAN</t>
    <phoneticPr fontId="9" type="noConversion"/>
  </si>
  <si>
    <t>Tincan ZIM USD3410/40HQ + EBS150，周一外港直达36天，价格到10月31日。</t>
    <phoneticPr fontId="9" type="noConversion"/>
  </si>
  <si>
    <t>Tincan</t>
    <phoneticPr fontId="9" type="noConversion"/>
  </si>
  <si>
    <t>Tincan HPL USD1750/2500 + EBS55/110，周六洋山丹吉尔转48天，价格到10月31日。
Onne COSCO USD1735/2960 + EBS60/120，周三外港洛美转46天，价格到10月31日。
Tema HPL USD1450/2200 + EBS55/110，周六洋山丹吉尔转51天，价格到10月31日。</t>
    <phoneticPr fontId="9" type="noConversion"/>
  </si>
  <si>
    <t>onne tincan tema 20gp 40gp 40hq</t>
    <phoneticPr fontId="9" type="noConversion"/>
  </si>
  <si>
    <t>浦东新区沈家弄路738号中海网络科技股份有限公司研发中心办公楼</t>
    <phoneticPr fontId="9" type="noConversion"/>
  </si>
  <si>
    <t>宝莲</t>
    <phoneticPr fontId="9" type="noConversion"/>
  </si>
  <si>
    <t>爱家</t>
  </si>
  <si>
    <t>爱家</t>
    <phoneticPr fontId="9" type="noConversion"/>
  </si>
  <si>
    <t>久事</t>
  </si>
  <si>
    <t>久事</t>
    <phoneticPr fontId="9" type="noConversion"/>
  </si>
  <si>
    <t>黄浦区四川中路213号久事商务大厦</t>
    <phoneticPr fontId="9" type="noConversion"/>
  </si>
  <si>
    <t>大卫</t>
    <phoneticPr fontId="9" type="noConversion"/>
  </si>
  <si>
    <t>嘉定区阿克苏路1187号大卫国际大厦</t>
    <phoneticPr fontId="9" type="noConversion"/>
  </si>
  <si>
    <t>海翔</t>
    <phoneticPr fontId="9" type="noConversion"/>
  </si>
  <si>
    <t>城市概念</t>
    <phoneticPr fontId="9" type="noConversion"/>
  </si>
  <si>
    <t>杨浦区隆昌路619号城市概念软件信息服务园</t>
    <phoneticPr fontId="9" type="noConversion"/>
  </si>
  <si>
    <t>达喀尔小柜</t>
    <phoneticPr fontId="9" type="noConversion"/>
  </si>
  <si>
    <t>Dakar HPL USD1750/20GP + EBS55，周六洋山丹吉尔转44天，价格到10月31日。
Dakar COSCO USD1910/20GP + EBS60，周日洋山阿尔赫西拉斯转36天，价格到10月31日。
Dakar ONE USD2090/20GP (含EBS)，周六洋山汤加转35天，价格到10月31日。</t>
    <phoneticPr fontId="9" type="noConversion"/>
  </si>
  <si>
    <t>Dakar</t>
    <phoneticPr fontId="9" type="noConversion"/>
  </si>
  <si>
    <t>Tincan</t>
    <phoneticPr fontId="9" type="noConversion"/>
  </si>
  <si>
    <t>龚迪</t>
  </si>
  <si>
    <t>BEJAIA 高柜</t>
    <phoneticPr fontId="9" type="noConversion"/>
  </si>
  <si>
    <t>Bejaia MSC USD2400/40HQ + EBS130，周日洋山沙特的阿卜杜拉国王港转41天，价格到10月31日。
Bejaia MSK USD2850/40HQ + EBS120，周日/周二洋山马尔萨什洛克转36天，价格到10月31日。
Bejaia CMA USD3225/40HQ + EBS110，周一洋山马耳他转33天，价格到10月31日。</t>
    <phoneticPr fontId="9" type="noConversion"/>
  </si>
  <si>
    <t>Bejaia</t>
    <phoneticPr fontId="9" type="noConversion"/>
  </si>
  <si>
    <t>青岛海丰 - 李萌小姐 2605373778</t>
    <phoneticPr fontId="9" type="noConversion"/>
  </si>
  <si>
    <t>阿尔及尔  25吨  小柜</t>
    <phoneticPr fontId="9" type="noConversion"/>
  </si>
  <si>
    <t>Alger COSCO USD1175/20GP (含EBS) + ENS25/BILL，周日洋山比雷埃夫斯/瓦伦西亚转33-39天，价格到10月31日。
Alger MSC USD1225/20GP + EBS65，周日洋山沙特的阿卜杜拉国王港转29天，价格到10月31日。
Alger MSK USD1375/20GP + EBS60，周日/周二洋山马耳他转37天，价格到10月31日。</t>
    <phoneticPr fontId="9" type="noConversion"/>
  </si>
  <si>
    <t>宁波凯帆</t>
    <phoneticPr fontId="9" type="noConversion"/>
  </si>
  <si>
    <t>没确认</t>
    <phoneticPr fontId="9" type="noConversion"/>
  </si>
  <si>
    <t>宝丰</t>
    <phoneticPr fontId="9" type="noConversion"/>
  </si>
  <si>
    <t>嘉和</t>
    <phoneticPr fontId="9" type="noConversion"/>
  </si>
  <si>
    <t>虹口区花园路66弄嘉和国际大厦</t>
    <phoneticPr fontId="9" type="noConversion"/>
  </si>
  <si>
    <t>金天地</t>
    <phoneticPr fontId="9" type="noConversion"/>
  </si>
  <si>
    <t>黄浦区会稽路8号金天地国际大厦</t>
    <phoneticPr fontId="9" type="noConversion"/>
  </si>
  <si>
    <t>和平花苑</t>
  </si>
  <si>
    <t>和平花苑</t>
    <phoneticPr fontId="9" type="noConversion"/>
  </si>
  <si>
    <t>蒙巴萨 40GP</t>
  </si>
  <si>
    <t>Mombasa HPL USD1300/40GP + EBS110，周日洋山迪拜转39天，价格到10月31日。
Mombasa MSC USD1406/40GP + EBS130，周五洋山德班转38天，价格从10月21日到10月31日。
Mombasa EMI USD1567/40GP (含EBS)，周四外港巴生转32天，价格到10月22日。</t>
    <phoneticPr fontId="9" type="noConversion"/>
  </si>
  <si>
    <t>埃及亚历山大港口20尺柜以及40尺柜</t>
    <phoneticPr fontId="9" type="noConversion"/>
  </si>
  <si>
    <t>Alexandria SAF USD1075/1450 + EBS60/120，4洋山赛德港转27天，价格到10月31日。
Alexandria MSK USD1250/1800 + EBS60/120，周一/周二洋山赛德港转27天，价格到10月31日。</t>
    <phoneticPr fontId="9" type="noConversion"/>
  </si>
  <si>
    <t>Alexandria</t>
    <phoneticPr fontId="9" type="noConversion"/>
  </si>
  <si>
    <t>Dakar CMA 贵了200多。。。</t>
    <phoneticPr fontId="9" type="noConversion"/>
  </si>
  <si>
    <t>大约20t 马塔迪 刚果金 高柜</t>
    <phoneticPr fontId="9" type="noConversion"/>
  </si>
  <si>
    <t>Matadi MSK USD4720/40HQ (含EBS)，周二洋山黑角转43天，价格到10月31日。
Matadi CMA USD4863/40HQ + EBS110，周二洋山开瑞比转48天，价格到10月31日。</t>
    <phoneticPr fontId="9" type="noConversion"/>
  </si>
  <si>
    <t>Matadi</t>
    <phoneticPr fontId="9" type="noConversion"/>
  </si>
  <si>
    <t>Apapa HPL USD2500/40GP + EBS110，周六洋山丹吉尔转46天，价格到10月31日。
Apapa SAF USD3300/40GP + EBS120，周四外港直达36天，价格到10月31日。
Apapa ZIM USD3410/40GP + EBS150，周一外港直达34天，价格从10月22日到10月31日。</t>
    <phoneticPr fontId="9" type="noConversion"/>
  </si>
  <si>
    <t>APAPA 大柜</t>
    <phoneticPr fontId="9" type="noConversion"/>
  </si>
  <si>
    <t>上海宸斌 - 商秀莲 监事 289556410</t>
    <phoneticPr fontId="9" type="noConversion"/>
  </si>
  <si>
    <t>宸斌</t>
    <phoneticPr fontId="9" type="noConversion"/>
  </si>
  <si>
    <t>商秀莲</t>
    <phoneticPr fontId="9" type="noConversion"/>
  </si>
  <si>
    <t>Dar es salaam 40GP 10.18周四装箱</t>
    <phoneticPr fontId="9" type="noConversion"/>
  </si>
  <si>
    <t>Dar Es Salaam HPL USD1300/40GP + EBS110，周日洋山迪拜转41天，价格到10月31日。
Dar Es Salaam CMA USD1650/40GP + EBS110，周日洋山新加坡转25天，价格到10月31日。</t>
    <phoneticPr fontId="9" type="noConversion"/>
  </si>
  <si>
    <t>65/130</t>
  </si>
  <si>
    <t>另加ENS USD30/BILL</t>
  </si>
  <si>
    <t>航线代码：EAX1</t>
  </si>
  <si>
    <t>JEBEL ALI</t>
  </si>
  <si>
    <t>TPP/TPP/SIN</t>
  </si>
  <si>
    <t>AE1/AE5/AE6 EUR 923/1463/1463</t>
  </si>
  <si>
    <t>FEW3</t>
  </si>
  <si>
    <t>51-67</t>
  </si>
  <si>
    <t>AE6/FW2</t>
  </si>
  <si>
    <t>FW1</t>
  </si>
  <si>
    <t>FEW2 2018年9月1日 PSS $310/370/370</t>
  </si>
  <si>
    <t>FEW2</t>
  </si>
  <si>
    <t>FEW6</t>
  </si>
  <si>
    <t>FEW6 含目的港PAI 100/100/100</t>
  </si>
  <si>
    <t>FEW6/FEW2</t>
  </si>
  <si>
    <t>Pointe Noire/ALGECIRAS</t>
  </si>
  <si>
    <t>AE6</t>
  </si>
  <si>
    <t>FEW6 CGS: usd200/400 from 26-Feb</t>
  </si>
  <si>
    <t>42/38</t>
  </si>
  <si>
    <t>MD1  另加ENS USD30/BILL</t>
  </si>
  <si>
    <t>36-38</t>
  </si>
  <si>
    <t>小箱货重超过24吨及以上，收取USD250超重费</t>
  </si>
  <si>
    <t>PHEX DRY PORT/SEA PORT 都可</t>
  </si>
  <si>
    <t xml:space="preserve">MEX1 </t>
  </si>
  <si>
    <t>Bamako, Mali Weight : 15 MT 
Volume : 1x40 HQ</t>
    <phoneticPr fontId="9" type="noConversion"/>
  </si>
  <si>
    <t>姜</t>
  </si>
  <si>
    <t>Abidjan 转 
SAF USD2950/40HQ + EBS120 + 转运费4652，周五洋山38+15天，价格到10月31日。
Dakar 转 
SAF USD3919/40HQ + EBS120 + 转运费4520，周一/五洋山36+15天，价格到10月31日。</t>
    <phoneticPr fontId="9" type="noConversion"/>
  </si>
  <si>
    <t>Bamako</t>
    <phoneticPr fontId="9" type="noConversion"/>
  </si>
  <si>
    <t>20GP  Durban EMI PIL</t>
    <phoneticPr fontId="9" type="noConversion"/>
  </si>
  <si>
    <t>东莞长景</t>
  </si>
  <si>
    <t>东莞长景</t>
    <phoneticPr fontId="9" type="noConversion"/>
  </si>
  <si>
    <t>Selina</t>
  </si>
  <si>
    <t>Selina</t>
    <phoneticPr fontId="9" type="noConversion"/>
  </si>
  <si>
    <t>Durban EMC USD959/20GP (含EBS) + AMS30/BILL，周四洋山直达24天，价格从10月21日到10月31日。
Durban PIL USD988/20GP (含EBS) + AMS30/BILL，周四洋山直达24天，价格到10月31日。</t>
    <phoneticPr fontId="9" type="noConversion"/>
  </si>
  <si>
    <t>东莞</t>
    <phoneticPr fontId="9" type="noConversion"/>
  </si>
  <si>
    <t>卡萨布兰卡 小柜7t</t>
    <phoneticPr fontId="9" type="noConversion"/>
  </si>
  <si>
    <t>Casablanca SAF USD1025/20GP + EBS60，周三洋山丹吉尔转30天，价格到10月31日。
Casablanca MSC USD1050/20GP + EBS65，周日洋山沙特的阿卜杜拉国王港转35天，价格到10月31日。</t>
    <phoneticPr fontId="9" type="noConversion"/>
  </si>
  <si>
    <t>Dakar (SENEGAL) 一个大柜   HPL</t>
    <phoneticPr fontId="9" type="noConversion"/>
  </si>
  <si>
    <t>Dakar HPL USD2900/40GP + EBS110，周六洋山丹吉尔转44天，价格到10月31日。
减150报</t>
    <phoneticPr fontId="9" type="noConversion"/>
  </si>
  <si>
    <t>Dakar</t>
    <phoneticPr fontId="9" type="noConversion"/>
  </si>
  <si>
    <t>宁波地化</t>
  </si>
  <si>
    <t>王小东</t>
  </si>
  <si>
    <t>约堡下周末或下下周小柜 13t</t>
  </si>
  <si>
    <t>Durban 转 Johannesburg
HPL USD775/20GP + EBS55 + 转运费312，周四洋山27+15天，价格到10月31日。
EMC USD959/20GP (含EBS) + AMS30/BILL + 转运费251，周四洋山24+15天，价格到10月31日。</t>
  </si>
  <si>
    <t>宁波</t>
  </si>
  <si>
    <t>黑角40hq 客户要cma</t>
  </si>
  <si>
    <t>Pointe Noire CMA USD3363/40HQ + EBS110，周二洋山直达36天，价格到10月31日。</t>
  </si>
  <si>
    <t>Pointe-Noire</t>
  </si>
  <si>
    <t>张正冬</t>
  </si>
  <si>
    <t>科托努</t>
  </si>
  <si>
    <t>Cotonou CMA USD1813/3113 + EBS55/110，周五外四直达46天，价格到10月31日。
Cotonou COSCO USD1685/2760 + EBS60/120，周三外港直达38天，价格到10月31日。
Cotonou HPL USD1450/2200 + EBS55/110，周六洋山丹吉尔转44天，价格到10月31日。</t>
  </si>
  <si>
    <t>Cotonou</t>
  </si>
  <si>
    <t>Lome CMA USD1813/3113 + EBS55/110，周五外四直达37天，价格到10月31日。
Lome COSCO USD1685/2760 + EBS60/120，周三外港直达38天，价格到10月31日。
Lome MSC USD1900/3000 + EBS65/130，周五外港直达35天，价格到10月31日。</t>
  </si>
  <si>
    <t>Lome</t>
  </si>
  <si>
    <t>Durban小柜</t>
  </si>
  <si>
    <t>Durban HPL USD775/20GP + EBS55，周四洋山直达27天，价格到10月31日。
Durban MSC USD850/20GP + EBS65 + AMS25/BILL，周五外港直达27天，价格到10月31日。
Durban CMA USD913/20GP + EBS55，周三洋山直达25天，价格到10月31日。</t>
  </si>
  <si>
    <t>Durban</t>
  </si>
  <si>
    <t>Gaborone Botswana 20GP</t>
  </si>
  <si>
    <t>Barborone</t>
  </si>
  <si>
    <t>Durban 转 Gaborone
COSCO USD890/20GP+EBS60+AMS30/BL+转运费 周四/周六洋山/外港24+15天，价格到10月31日。
SAF USD915/20GP + EBS60 + 转运费，周三洋山26+15天，价格到10月31日。</t>
  </si>
  <si>
    <t>卡萨布兰卡(Kasablanka）40HQ</t>
  </si>
  <si>
    <t>Casablanca SAF USD2000/40HQ + EBS120，周三洋山丹吉尔转30天，价格到10月31日。
Casablanca COSCO USD2150/40HQ (含EBS) + ENS25/BILL，周四/周六/周一洋山瓦伦西亚/阿尔赫西拉斯/巴塞罗那转30-44天，价格到10月31日。
Casablanca MSC USD2050/40HQ + EBS130，周日洋山沙特的阿卜杜拉国王港转35天，价格到10月31日。</t>
  </si>
  <si>
    <t>Kasablanca</t>
  </si>
  <si>
    <t>卢旺达基加利  一个小柜13t</t>
  </si>
  <si>
    <t>Dar Es Salaam 转 Kigali
EMI USD917/20GP (含EBS) + 转运费2400，周四外港32+15天，价格到10月31日。
PIL USD975/20GP (含EBS) + 转运费2500，周三外港25+15天，价格到10月31日。</t>
  </si>
  <si>
    <t>110/220</t>
  </si>
  <si>
    <t>比绍 20GP MSK</t>
    <phoneticPr fontId="9" type="noConversion"/>
  </si>
  <si>
    <t>Bissau MSK USD2785/20GP (含EBS)，周五洋山阿尔赫西拉斯转54-62天，价格到10月31日。</t>
    <phoneticPr fontId="9" type="noConversion"/>
  </si>
  <si>
    <t>Bissau</t>
    <phoneticPr fontId="9" type="noConversion"/>
  </si>
  <si>
    <t>11-2价格</t>
    <phoneticPr fontId="9" type="noConversion"/>
  </si>
  <si>
    <t>福德</t>
  </si>
  <si>
    <t>虹口区四川北路1688号福德商务中心</t>
  </si>
  <si>
    <t>商贸</t>
  </si>
  <si>
    <t>虹口区四平路188号商贸大厦</t>
  </si>
  <si>
    <t>轻工</t>
  </si>
  <si>
    <t>虹口区四平路198号轻工大厦</t>
  </si>
  <si>
    <t>盛泰</t>
  </si>
  <si>
    <t>虹口区四平路200号盛泰大厦</t>
  </si>
  <si>
    <t>虹口区唐山路216号司麦脱商务中心</t>
  </si>
  <si>
    <t>岳洋</t>
  </si>
  <si>
    <t>龙邸</t>
  </si>
  <si>
    <t>虹口区溧阳路1088号龙邸大厦</t>
  </si>
  <si>
    <t>永融</t>
  </si>
  <si>
    <t>虹口区溧阳路1111号永融企业中心</t>
  </si>
  <si>
    <t>虹口区欧阳路85号金陵国际大厦</t>
  </si>
  <si>
    <t>福龙</t>
  </si>
  <si>
    <t>虹口区四平路277号福龙大厦</t>
  </si>
  <si>
    <t>飘鹰</t>
  </si>
  <si>
    <t>虹口区天宝路578号飘鹰世纪大厦</t>
  </si>
  <si>
    <t>和平</t>
  </si>
  <si>
    <t>虹口区大连路1079号和平商厦</t>
  </si>
  <si>
    <t>新宏</t>
  </si>
  <si>
    <t>虹口区四平路623号新宏大楼</t>
  </si>
  <si>
    <t>金大地</t>
  </si>
  <si>
    <t>虹口区四平路773号金大地商务楼</t>
  </si>
  <si>
    <t>天宝</t>
  </si>
  <si>
    <t>虹口区四平路775号天宝华庭</t>
  </si>
  <si>
    <t>骏丰</t>
  </si>
  <si>
    <t>虹口区大连路1619号骏丰国际财富广场</t>
  </si>
  <si>
    <t>杨浦区大连路1288弄1-9号和平花苑</t>
    <phoneticPr fontId="9" type="noConversion"/>
  </si>
  <si>
    <t>缔宏</t>
  </si>
  <si>
    <t>王佳燕</t>
  </si>
  <si>
    <t>021-66075620/1-8012</t>
  </si>
  <si>
    <t>150-2659-7865</t>
  </si>
  <si>
    <t>福德中心2808室</t>
  </si>
  <si>
    <t>就这一个人，小江/姜？</t>
  </si>
  <si>
    <t>鼎通</t>
  </si>
  <si>
    <t>龚伟</t>
  </si>
  <si>
    <t>021-63251855</t>
  </si>
  <si>
    <t>131-2222-1518</t>
  </si>
  <si>
    <t>张鑫</t>
  </si>
  <si>
    <t>021-35310280</t>
  </si>
  <si>
    <t>139-1665-7776</t>
  </si>
  <si>
    <t>福德商务中心北楼2506-8</t>
  </si>
  <si>
    <t>40多太平长荣还行，货确实不多</t>
  </si>
  <si>
    <t>锦浦</t>
  </si>
  <si>
    <t>包坚敏</t>
  </si>
  <si>
    <t>021-63061500-8001</t>
  </si>
  <si>
    <t>139-1701-7693</t>
  </si>
  <si>
    <t>福德大厦2212室</t>
  </si>
  <si>
    <t>君辰</t>
  </si>
  <si>
    <t>龚赛男</t>
  </si>
  <si>
    <t>021-33011717</t>
  </si>
  <si>
    <t>138-1670-3961</t>
  </si>
  <si>
    <t>福德商务中心1710室</t>
  </si>
  <si>
    <t>铭新</t>
  </si>
  <si>
    <t>崔文浩</t>
  </si>
  <si>
    <t>021-36565209</t>
  </si>
  <si>
    <t>136-6168-2971</t>
  </si>
  <si>
    <t>发个运价表</t>
  </si>
  <si>
    <t>裴恩可力</t>
  </si>
  <si>
    <t>崔小桐</t>
  </si>
  <si>
    <t>市场专员</t>
  </si>
  <si>
    <t>021-51875966-207</t>
  </si>
  <si>
    <t>136-4190-2263</t>
  </si>
  <si>
    <t>福德中心1508室</t>
  </si>
  <si>
    <t>瑞金</t>
  </si>
  <si>
    <t>李姐</t>
  </si>
  <si>
    <t>福德中心1102室</t>
  </si>
  <si>
    <t>三希</t>
  </si>
  <si>
    <t>韩建</t>
  </si>
  <si>
    <t>021-60520115</t>
  </si>
  <si>
    <t>189-1574-1546</t>
  </si>
  <si>
    <t>福德大厦2208室</t>
  </si>
  <si>
    <t>西非有时会有一点，知道恒道</t>
  </si>
  <si>
    <t>向维</t>
  </si>
  <si>
    <t>福德中心1906室</t>
  </si>
  <si>
    <t>销售出去了</t>
  </si>
  <si>
    <t>泽翔</t>
  </si>
  <si>
    <t>周</t>
  </si>
  <si>
    <t>福德中心902室</t>
  </si>
  <si>
    <t>有点不耐烦</t>
  </si>
  <si>
    <t>瑞弘</t>
  </si>
  <si>
    <t>马守锋</t>
  </si>
  <si>
    <t>021-36532920-801</t>
  </si>
  <si>
    <t>159-0183-0853</t>
  </si>
  <si>
    <t>福龙大厦24楼A座</t>
  </si>
  <si>
    <t>印巴同行</t>
  </si>
  <si>
    <t>锦泓</t>
  </si>
  <si>
    <t>胡佳杰</t>
  </si>
  <si>
    <t>021-61401621</t>
  </si>
  <si>
    <t>159-2140-9510</t>
  </si>
  <si>
    <t>和平商厦503/4室</t>
  </si>
  <si>
    <t>协福</t>
  </si>
  <si>
    <t>卢志杰</t>
  </si>
  <si>
    <t>021-55572186</t>
  </si>
  <si>
    <t>138-1897-5755</t>
  </si>
  <si>
    <t>和平商厦2103室</t>
  </si>
  <si>
    <t>燦鑫</t>
  </si>
  <si>
    <t>黄超</t>
  </si>
  <si>
    <t>021-66073950</t>
  </si>
  <si>
    <t>135-6432-2630</t>
  </si>
  <si>
    <t>金大地商务楼805室</t>
  </si>
  <si>
    <t>丰上</t>
  </si>
  <si>
    <t>邵周琦</t>
  </si>
  <si>
    <t>021-61480182</t>
  </si>
  <si>
    <t>138-1768-4091</t>
  </si>
  <si>
    <t>金大地商务楼510室</t>
  </si>
  <si>
    <t>联系安徽e？</t>
  </si>
  <si>
    <t>汇道</t>
  </si>
  <si>
    <t>曹艳桂</t>
  </si>
  <si>
    <t>日线市场部</t>
  </si>
  <si>
    <t>021-61486376</t>
  </si>
  <si>
    <t>183-7913-2957</t>
  </si>
  <si>
    <t>金大地商务楼316-7室</t>
  </si>
  <si>
    <t>近洋</t>
  </si>
  <si>
    <t>汇泛</t>
  </si>
  <si>
    <t>罗成</t>
  </si>
  <si>
    <t>021-55151892</t>
  </si>
  <si>
    <t>135-0197-5481</t>
  </si>
  <si>
    <t>金大地商务楼201室</t>
  </si>
  <si>
    <t>直客</t>
  </si>
  <si>
    <t>劢特科</t>
  </si>
  <si>
    <t>白晓亮</t>
  </si>
  <si>
    <t>021-63830902</t>
  </si>
  <si>
    <t>139-1831-1194</t>
  </si>
  <si>
    <t>金大地商务楼605室</t>
  </si>
  <si>
    <t>尚瑞</t>
  </si>
  <si>
    <t>李翰星</t>
  </si>
  <si>
    <t>海外部</t>
  </si>
  <si>
    <t>021-31261122</t>
  </si>
  <si>
    <t>132-6289-7098</t>
  </si>
  <si>
    <t>金大地商务楼503室</t>
  </si>
  <si>
    <t>韩国人，韩国指定货</t>
  </si>
  <si>
    <t>天兆</t>
  </si>
  <si>
    <t>晏军</t>
  </si>
  <si>
    <t>021-36532982-23</t>
  </si>
  <si>
    <t>137-9531-4012</t>
  </si>
  <si>
    <t>金大地商务楼506室</t>
  </si>
  <si>
    <t>网兴</t>
  </si>
  <si>
    <t>肖世全</t>
  </si>
  <si>
    <t>021-65211032</t>
  </si>
  <si>
    <t>176-0215-4679</t>
  </si>
  <si>
    <t>宁波网兴上海分公司，拼箱</t>
  </si>
  <si>
    <t>祥铭</t>
  </si>
  <si>
    <t>罗志青</t>
  </si>
  <si>
    <t>021-56556993</t>
  </si>
  <si>
    <t>152-2141-0087</t>
  </si>
  <si>
    <t>金大地商务楼818室</t>
  </si>
  <si>
    <t>南美</t>
  </si>
  <si>
    <t>翔翼</t>
  </si>
  <si>
    <t>田艳</t>
  </si>
  <si>
    <t>021-66286523-806</t>
  </si>
  <si>
    <t>150-2106-6005</t>
  </si>
  <si>
    <t>金大地商务楼618室</t>
  </si>
  <si>
    <t>很久之前联系过，现在好像不行了</t>
  </si>
  <si>
    <t>翔应</t>
  </si>
  <si>
    <t>杜小姐</t>
  </si>
  <si>
    <t>金大地商务楼216室</t>
  </si>
  <si>
    <t>Capetown MSK HQ 下月14天</t>
  </si>
  <si>
    <t>越华</t>
  </si>
  <si>
    <t>秦少奇</t>
  </si>
  <si>
    <t>资深客服</t>
  </si>
  <si>
    <t>021-61438074</t>
  </si>
  <si>
    <t>135-6469-0746</t>
  </si>
  <si>
    <t>金大地商务楼811室</t>
  </si>
  <si>
    <t>杭州越华上海分公司，中东印巴同行</t>
  </si>
  <si>
    <t>李程杰</t>
  </si>
  <si>
    <t>021-60252378</t>
  </si>
  <si>
    <t>135-8588-4341</t>
  </si>
  <si>
    <t>金陵国际大厦1206室</t>
  </si>
  <si>
    <t>善信</t>
  </si>
  <si>
    <t>崔金龙</t>
  </si>
  <si>
    <t>市场总监</t>
  </si>
  <si>
    <t>021-56669325</t>
  </si>
  <si>
    <t>135-2425-1995</t>
  </si>
  <si>
    <t>金陵国际大厦1109室</t>
  </si>
  <si>
    <t>泽佳</t>
  </si>
  <si>
    <t>倪李杰</t>
  </si>
  <si>
    <t>021-65224890</t>
  </si>
  <si>
    <t>138-1796-3025</t>
  </si>
  <si>
    <t>金陵国际大厦24楼</t>
  </si>
  <si>
    <t>泽佳物流/洪亮物流/佳泽报关，日韩台东南亚以及特种箱/报关/内装/散杂</t>
  </si>
  <si>
    <t>中外运</t>
  </si>
  <si>
    <t>021-65073355-8611</t>
  </si>
  <si>
    <t>135-0184-8980</t>
  </si>
  <si>
    <t>麦可斯</t>
  </si>
  <si>
    <t>徐培莉</t>
  </si>
  <si>
    <t>业务主管</t>
  </si>
  <si>
    <t>021-65951866-802</t>
  </si>
  <si>
    <t>139-1661-6968</t>
  </si>
  <si>
    <t>名片旧地址</t>
  </si>
  <si>
    <t>青禾</t>
  </si>
  <si>
    <t>张华</t>
  </si>
  <si>
    <t>021-65796005</t>
  </si>
  <si>
    <t>138-6011-6108</t>
  </si>
  <si>
    <t>高宏</t>
  </si>
  <si>
    <t>倪圆圆/徐？</t>
  </si>
  <si>
    <t>航线</t>
  </si>
  <si>
    <t>021-60252789</t>
  </si>
  <si>
    <t>139-1716-9167</t>
  </si>
  <si>
    <t>龙邸大厦1002室</t>
  </si>
  <si>
    <t>浩畅</t>
  </si>
  <si>
    <t>龙邸大厦307室</t>
  </si>
  <si>
    <t>和恒道有过节？</t>
  </si>
  <si>
    <t>冠鑫</t>
  </si>
  <si>
    <t>严毅俊</t>
  </si>
  <si>
    <t>021-65229611</t>
  </si>
  <si>
    <t>139-1706-6378</t>
  </si>
  <si>
    <t>飘鹰世纪大厦2115室</t>
  </si>
  <si>
    <t>施海建</t>
  </si>
  <si>
    <t>130-0212-0671</t>
  </si>
  <si>
    <t>晴运</t>
  </si>
  <si>
    <t>沙震浩</t>
  </si>
  <si>
    <t>021-35320081-8050</t>
  </si>
  <si>
    <t>181-0189-1700</t>
  </si>
  <si>
    <t>同行？</t>
  </si>
  <si>
    <t>锐诺</t>
  </si>
  <si>
    <t>杨勇</t>
  </si>
  <si>
    <t>021-55670080-115</t>
  </si>
  <si>
    <t>150-2119-9587</t>
  </si>
  <si>
    <t>飘鹰世纪大厦1810室</t>
  </si>
  <si>
    <t>美国专线</t>
  </si>
  <si>
    <t>厦门志捷</t>
  </si>
  <si>
    <t>谢闽华姐</t>
  </si>
  <si>
    <t>021-22065727</t>
  </si>
  <si>
    <t>136-0090-1526</t>
  </si>
  <si>
    <t>飘鹰世纪大厦1320室</t>
  </si>
  <si>
    <t>双雁</t>
  </si>
  <si>
    <t>林盛</t>
  </si>
  <si>
    <t>021-65636822</t>
  </si>
  <si>
    <t>137-6118-7911</t>
  </si>
  <si>
    <t>飘鹰世纪大厦1703室</t>
  </si>
  <si>
    <t>有联系人</t>
  </si>
  <si>
    <t>鑫汇</t>
  </si>
  <si>
    <t>张勇</t>
  </si>
  <si>
    <t>021-61121060-801</t>
  </si>
  <si>
    <t>138-1645-6108</t>
  </si>
  <si>
    <t>飘鹰世纪大厦1903室</t>
  </si>
  <si>
    <t>耀信</t>
  </si>
  <si>
    <t>杜婉莹</t>
  </si>
  <si>
    <t>经理助理</t>
  </si>
  <si>
    <t>021-65567500-811</t>
  </si>
  <si>
    <t>158-2192-8913</t>
  </si>
  <si>
    <t>飘鹰世纪大厦2206-7室</t>
  </si>
  <si>
    <t>专业危险品物流</t>
  </si>
  <si>
    <t>亿海捷运</t>
  </si>
  <si>
    <t>王佳</t>
  </si>
  <si>
    <t>021-33776972/3</t>
  </si>
  <si>
    <t>186-1682-7290</t>
  </si>
  <si>
    <t>志宏顺达</t>
  </si>
  <si>
    <t>飘鹰世纪大厦1315室</t>
  </si>
  <si>
    <t>老板牟颖煜13003155716/36337112</t>
  </si>
  <si>
    <t>中奕</t>
  </si>
  <si>
    <t>鲁敏</t>
  </si>
  <si>
    <t>021-35010811</t>
  </si>
  <si>
    <t>135-6465-0755</t>
  </si>
  <si>
    <t>飘鹰世纪大厦920室</t>
  </si>
  <si>
    <t>德能</t>
  </si>
  <si>
    <t>周赢政</t>
  </si>
  <si>
    <t>销售主办</t>
  </si>
  <si>
    <t>021-65751299-160</t>
  </si>
  <si>
    <t>138-1773-1886</t>
  </si>
  <si>
    <t>轻工国际大厦2102室</t>
  </si>
  <si>
    <t>杨㼆</t>
  </si>
  <si>
    <t>021-65225140</t>
  </si>
  <si>
    <t>135-0190-8657</t>
  </si>
  <si>
    <t>轻工国际大厦18楼</t>
  </si>
  <si>
    <t>直客，领导在午休</t>
  </si>
  <si>
    <t>鸿舜</t>
  </si>
  <si>
    <t>021-66056738-112</t>
  </si>
  <si>
    <t>轻工国际大厦2104室</t>
  </si>
  <si>
    <t>美线拼箱，程敏副总经理13817669608/QQ319820114</t>
  </si>
  <si>
    <t>嘉沐</t>
  </si>
  <si>
    <t>杨莹</t>
  </si>
  <si>
    <t>021-65759515/6/7</t>
  </si>
  <si>
    <t>138-0166-0790</t>
  </si>
  <si>
    <t>孙雯雯</t>
  </si>
  <si>
    <t>市场</t>
  </si>
  <si>
    <t>021-63930529-816</t>
  </si>
  <si>
    <t>135-6455-2339</t>
  </si>
  <si>
    <t>问的有点多，发基本点价格</t>
  </si>
  <si>
    <t>日灏</t>
  </si>
  <si>
    <t>贾颖斌</t>
  </si>
  <si>
    <t>021-64188533</t>
  </si>
  <si>
    <t>130-5205-3773</t>
  </si>
  <si>
    <t>轻工国际大厦903室</t>
  </si>
  <si>
    <t>几乎没有</t>
  </si>
  <si>
    <t>喜尔宜</t>
  </si>
  <si>
    <t>郑美</t>
  </si>
  <si>
    <t>次长</t>
  </si>
  <si>
    <t>185-1629-1177</t>
  </si>
  <si>
    <t>轻工国际大厦2108室</t>
  </si>
  <si>
    <t>东南亚</t>
  </si>
  <si>
    <t>舶辀</t>
  </si>
  <si>
    <t>侯岩峰</t>
  </si>
  <si>
    <t>021-65758373-808</t>
  </si>
  <si>
    <t>138-1849-2841</t>
  </si>
  <si>
    <t>商贸大厦17/18楼？</t>
  </si>
  <si>
    <t>刚搬，只做南非</t>
  </si>
  <si>
    <t>昶平</t>
  </si>
  <si>
    <t>陆家豪</t>
  </si>
  <si>
    <t>021-55891730-8015</t>
  </si>
  <si>
    <t>189-1862-9127</t>
  </si>
  <si>
    <t>商贸大厦1603室</t>
  </si>
  <si>
    <t>海邦</t>
  </si>
  <si>
    <t>冯Eva</t>
  </si>
  <si>
    <t>021-62507535</t>
  </si>
  <si>
    <t>138-1729-5174</t>
  </si>
  <si>
    <t>商贸大厦1705室</t>
  </si>
  <si>
    <t>集润</t>
  </si>
  <si>
    <t>张震</t>
  </si>
  <si>
    <t>商场部</t>
  </si>
  <si>
    <t>021-56526339</t>
  </si>
  <si>
    <t>152-1675-9841</t>
  </si>
  <si>
    <t>商贸大厦1207室</t>
  </si>
  <si>
    <t>捷达</t>
  </si>
  <si>
    <t>张琦</t>
  </si>
  <si>
    <t>总经理助理</t>
  </si>
  <si>
    <t>021-55157075</t>
  </si>
  <si>
    <t>138-1880-8228</t>
  </si>
  <si>
    <t>商贸大厦1203室</t>
  </si>
  <si>
    <t>189-6412-6339</t>
  </si>
  <si>
    <t>联中</t>
  </si>
  <si>
    <t>姜浩琦</t>
  </si>
  <si>
    <t>市场部主管</t>
  </si>
  <si>
    <t>021-65223038-615</t>
  </si>
  <si>
    <t>137-6110-2820</t>
  </si>
  <si>
    <t>商贸大厦202室</t>
  </si>
  <si>
    <t>领远</t>
  </si>
  <si>
    <t>霍伟</t>
  </si>
  <si>
    <t>客服</t>
  </si>
  <si>
    <t>021-61396901</t>
  </si>
  <si>
    <t>158-0055-3471</t>
  </si>
  <si>
    <t>商贸大厦2003室</t>
  </si>
  <si>
    <t>深圳公司上海分公司指定货</t>
  </si>
  <si>
    <t>七英里</t>
  </si>
  <si>
    <t>张丽萍</t>
  </si>
  <si>
    <t>021-65458331</t>
  </si>
  <si>
    <t>139-1715-4998</t>
  </si>
  <si>
    <t>商贸大厦707室</t>
  </si>
  <si>
    <t>瑞辰</t>
  </si>
  <si>
    <t>杨芸如</t>
  </si>
  <si>
    <t>021-61178907/17</t>
  </si>
  <si>
    <t>139-1784-0222</t>
  </si>
  <si>
    <t>商贸大厦1707室</t>
  </si>
  <si>
    <t>杨姐，现问Durban</t>
  </si>
  <si>
    <t>晟天</t>
  </si>
  <si>
    <t>庞新亮</t>
  </si>
  <si>
    <t>021-65077002</t>
  </si>
  <si>
    <t>商贸大厦1301室</t>
  </si>
  <si>
    <t>世纪箱运</t>
  </si>
  <si>
    <t>黄铭辉</t>
  </si>
  <si>
    <t>021-61993348</t>
  </si>
  <si>
    <t>139-1883-6009</t>
  </si>
  <si>
    <t>商贸大厦904室</t>
  </si>
  <si>
    <t>田城</t>
  </si>
  <si>
    <t>张伊佳</t>
  </si>
  <si>
    <t>021-55788851-820</t>
  </si>
  <si>
    <t>138-1610-2001</t>
  </si>
  <si>
    <t>商贸大厦1703室</t>
  </si>
  <si>
    <t>欣迅</t>
  </si>
  <si>
    <t>戎佳豪</t>
  </si>
  <si>
    <t>021-56200602</t>
  </si>
  <si>
    <t>138-1639-9626</t>
  </si>
  <si>
    <t>商贸大厦508室</t>
  </si>
  <si>
    <t>有格</t>
  </si>
  <si>
    <t>陈颖</t>
  </si>
  <si>
    <t>021-65071885</t>
  </si>
  <si>
    <t>139-1772-4849</t>
  </si>
  <si>
    <t>商贸大厦701/709室</t>
  </si>
  <si>
    <t>先发个最近的</t>
  </si>
  <si>
    <t>致优</t>
  </si>
  <si>
    <t>刘郑子</t>
  </si>
  <si>
    <t>021-61400383</t>
  </si>
  <si>
    <t>136-3646-6886</t>
  </si>
  <si>
    <t>商贸大厦2006室</t>
  </si>
  <si>
    <t>中海飞扬</t>
  </si>
  <si>
    <t>崔丽丽</t>
  </si>
  <si>
    <t>021-66070227</t>
  </si>
  <si>
    <t>134-8506-2682</t>
  </si>
  <si>
    <t>商贸大厦1304室</t>
  </si>
  <si>
    <t>进口，北京公司上海分公司</t>
  </si>
  <si>
    <t>缪鑫根</t>
  </si>
  <si>
    <t>市场部</t>
  </si>
  <si>
    <t>021-61485609</t>
  </si>
  <si>
    <t>136-6155-2406</t>
  </si>
  <si>
    <t>直客，有恒道出来的人</t>
  </si>
  <si>
    <t>冠农</t>
  </si>
  <si>
    <t>盛泰大厦902室</t>
  </si>
  <si>
    <t>佳翰</t>
  </si>
  <si>
    <t>张娟娟</t>
  </si>
  <si>
    <t>021-56612811</t>
  </si>
  <si>
    <t>183-5698-8910</t>
  </si>
  <si>
    <t>非洲货本来就少，也有联系人</t>
  </si>
  <si>
    <t>心祥</t>
  </si>
  <si>
    <t>徐超</t>
  </si>
  <si>
    <t>021-65153625-812</t>
  </si>
  <si>
    <t>152-2124-8286</t>
  </si>
  <si>
    <t>海桥</t>
  </si>
  <si>
    <t>黄振兴</t>
  </si>
  <si>
    <t>市场部经理</t>
  </si>
  <si>
    <t>021-65472860-1021</t>
  </si>
  <si>
    <t>134-8217-3298</t>
  </si>
  <si>
    <t>司麦脱商务中心205-9室</t>
  </si>
  <si>
    <t>专业美加线</t>
  </si>
  <si>
    <t>集华</t>
  </si>
  <si>
    <t>蒋丽琴</t>
  </si>
  <si>
    <t>进出口客服</t>
  </si>
  <si>
    <t>021-55897177</t>
  </si>
  <si>
    <t>136-2178-1456</t>
  </si>
  <si>
    <t>进口</t>
  </si>
  <si>
    <t>君望</t>
  </si>
  <si>
    <t>童俪珺</t>
  </si>
  <si>
    <t>021-55210007-805</t>
  </si>
  <si>
    <t>138-1809-7152</t>
  </si>
  <si>
    <t>司麦脱商务中心408室</t>
  </si>
  <si>
    <t>MSK全航线</t>
  </si>
  <si>
    <t>木歌</t>
  </si>
  <si>
    <t>鲍文利</t>
  </si>
  <si>
    <t>021-55096971/2-812</t>
  </si>
  <si>
    <t>139-1772-1934</t>
  </si>
  <si>
    <t>司麦脱商务中心406室</t>
  </si>
  <si>
    <t>主要进口</t>
  </si>
  <si>
    <t>通泰</t>
  </si>
  <si>
    <t>厉以雄</t>
  </si>
  <si>
    <t>021-35100031/7</t>
  </si>
  <si>
    <t>138-1631-6339</t>
  </si>
  <si>
    <t>司麦脱？</t>
  </si>
  <si>
    <t>确认地址，客气</t>
  </si>
  <si>
    <t>欣圣</t>
  </si>
  <si>
    <t>胡兴中</t>
  </si>
  <si>
    <t>021-55781663</t>
  </si>
  <si>
    <t>137-6167-7833</t>
  </si>
  <si>
    <t>司麦脱商务中心413室</t>
  </si>
  <si>
    <t>都做</t>
  </si>
  <si>
    <t>懿站</t>
  </si>
  <si>
    <t>021-55882325</t>
  </si>
  <si>
    <t>139-1612-4066</t>
  </si>
  <si>
    <t>司麦脱商务中心403室</t>
  </si>
  <si>
    <t>宇太</t>
  </si>
  <si>
    <t>Denny</t>
  </si>
  <si>
    <t>司麦脱商务中心202B室</t>
  </si>
  <si>
    <t>驭洋</t>
  </si>
  <si>
    <t>Estar</t>
  </si>
  <si>
    <t>021-65671926</t>
  </si>
  <si>
    <t>司麦脱商务中心303A室</t>
  </si>
  <si>
    <t>货应该没多少</t>
  </si>
  <si>
    <t>渡邦</t>
  </si>
  <si>
    <t>孔健</t>
  </si>
  <si>
    <t>021-61239615</t>
  </si>
  <si>
    <t>185-1626-0424</t>
  </si>
  <si>
    <t>天宝华庭2号楼1915室</t>
  </si>
  <si>
    <t>歌德</t>
  </si>
  <si>
    <t>天宝华庭2号楼2009室</t>
  </si>
  <si>
    <t>环赢</t>
  </si>
  <si>
    <t>侍作忠</t>
  </si>
  <si>
    <t>021-31667227</t>
  </si>
  <si>
    <t>138-1609-8897</t>
  </si>
  <si>
    <t>天宝华庭2号楼809室</t>
  </si>
  <si>
    <t>捷熙</t>
  </si>
  <si>
    <t>郑臻敏</t>
  </si>
  <si>
    <t>021-66600762</t>
  </si>
  <si>
    <t>136-1164-6957</t>
  </si>
  <si>
    <t>天宝华庭2号楼810室</t>
  </si>
  <si>
    <t>兰翡</t>
  </si>
  <si>
    <t>唐建伟</t>
  </si>
  <si>
    <t>021-61071501</t>
  </si>
  <si>
    <t>135-2461-8080</t>
  </si>
  <si>
    <t>天宝华庭2号楼814室</t>
  </si>
  <si>
    <t>隆海</t>
  </si>
  <si>
    <t>刘敏</t>
  </si>
  <si>
    <t>021-65353778</t>
  </si>
  <si>
    <t>139-1677-1156</t>
  </si>
  <si>
    <t>也是做非洲/认识卜总</t>
  </si>
  <si>
    <t>许超凡</t>
  </si>
  <si>
    <t>021-65353818</t>
  </si>
  <si>
    <t>151-9547-7807</t>
  </si>
  <si>
    <t>也是做非洲</t>
  </si>
  <si>
    <t>佩海</t>
  </si>
  <si>
    <t>李雷</t>
  </si>
  <si>
    <t>021-56522706</t>
  </si>
  <si>
    <t>133-8183-8863</t>
  </si>
  <si>
    <t>天宝华庭1号楼1306/7室</t>
  </si>
  <si>
    <t>罗轶骏</t>
  </si>
  <si>
    <t>021-63061838</t>
  </si>
  <si>
    <t>135-2457-7177</t>
  </si>
  <si>
    <t>普泽</t>
  </si>
  <si>
    <t>张青</t>
  </si>
  <si>
    <t>021-55830122</t>
  </si>
  <si>
    <t>189-1789-8883</t>
  </si>
  <si>
    <t>天宝华庭2号楼510室</t>
  </si>
  <si>
    <t>世品</t>
  </si>
  <si>
    <t>杨灿</t>
  </si>
  <si>
    <t>021-60529956</t>
  </si>
  <si>
    <t>186-2133-7188</t>
  </si>
  <si>
    <t>天宝华庭1号楼403室</t>
  </si>
  <si>
    <t>斯旻</t>
  </si>
  <si>
    <t>冯旭东</t>
  </si>
  <si>
    <t>021-55151753</t>
  </si>
  <si>
    <t>138-1833-3933</t>
  </si>
  <si>
    <t>天宝华庭2号楼1809室</t>
  </si>
  <si>
    <t>万浦</t>
  </si>
  <si>
    <t>张贯富</t>
  </si>
  <si>
    <t>021-31170478</t>
  </si>
  <si>
    <t>134-8229-7665</t>
  </si>
  <si>
    <t>天宝华庭2号楼811室</t>
  </si>
  <si>
    <t>旭世</t>
  </si>
  <si>
    <t>徐荣</t>
  </si>
  <si>
    <t>021-65217785</t>
  </si>
  <si>
    <t>181-2113-6256</t>
  </si>
  <si>
    <t>天宝华庭2号楼1808室</t>
  </si>
  <si>
    <t>彦吉</t>
  </si>
  <si>
    <t>郏晓忠</t>
  </si>
  <si>
    <t>资深经理</t>
  </si>
  <si>
    <t>021-65223180</t>
  </si>
  <si>
    <t>133-3189-5975</t>
  </si>
  <si>
    <t>天宝华庭1号楼1807</t>
  </si>
  <si>
    <t>邑航</t>
  </si>
  <si>
    <t>施凌</t>
  </si>
  <si>
    <t>021-63068732</t>
  </si>
  <si>
    <t>133-1187-8512</t>
  </si>
  <si>
    <t>天宝华庭2号楼2206室</t>
  </si>
  <si>
    <t>跃先</t>
  </si>
  <si>
    <t>李长湖</t>
  </si>
  <si>
    <t>021-61408786</t>
  </si>
  <si>
    <t>183-2130-9897</t>
  </si>
  <si>
    <t>天宝华庭1号楼1413室</t>
  </si>
  <si>
    <t>刘锐</t>
  </si>
  <si>
    <t>021-61408789</t>
  </si>
  <si>
    <t>138-1847-3697</t>
  </si>
  <si>
    <t>夏磊</t>
  </si>
  <si>
    <t>021-61408786-806</t>
  </si>
  <si>
    <t>159-0093-5491</t>
  </si>
  <si>
    <t>云天</t>
  </si>
  <si>
    <t>洪小姐</t>
  </si>
  <si>
    <t>天宝华庭2号楼1705室</t>
  </si>
  <si>
    <t>旻昱</t>
  </si>
  <si>
    <t>雷奇东</t>
  </si>
  <si>
    <t>021-36526189</t>
  </si>
  <si>
    <t>139-1828-8675</t>
  </si>
  <si>
    <t>新宏大楼11层C座</t>
  </si>
  <si>
    <t>化工品 可发展 20GP/24t/Nairobi</t>
  </si>
  <si>
    <t>庆耀</t>
  </si>
  <si>
    <t>李代松</t>
  </si>
  <si>
    <t>021-65222071</t>
  </si>
  <si>
    <t>189-1839-2299</t>
  </si>
  <si>
    <t>新宏大楼1303室</t>
  </si>
  <si>
    <t>奥丁</t>
  </si>
  <si>
    <t>茅靓</t>
  </si>
  <si>
    <t>021-56310995</t>
  </si>
  <si>
    <t>181-01803321</t>
  </si>
  <si>
    <t>永融企业中心25楼G1</t>
  </si>
  <si>
    <t>直客，余婷婷</t>
  </si>
  <si>
    <t>泛江</t>
  </si>
  <si>
    <t>李玉婉</t>
  </si>
  <si>
    <t>客服主管</t>
  </si>
  <si>
    <t>021-55137371</t>
  </si>
  <si>
    <t>152-0192-0663</t>
  </si>
  <si>
    <t>永融企业中心6H1</t>
  </si>
  <si>
    <t>涵宇</t>
  </si>
  <si>
    <t>周志敏</t>
  </si>
  <si>
    <t>永融企业中心6B2</t>
  </si>
  <si>
    <t>浩海</t>
  </si>
  <si>
    <t>姚维超</t>
  </si>
  <si>
    <t>021-60831184</t>
  </si>
  <si>
    <t>138-1826-9029</t>
  </si>
  <si>
    <t>永融企业中心06D</t>
  </si>
  <si>
    <t>欧地同行，杰贝物流/浩海物流</t>
  </si>
  <si>
    <t>科赛查</t>
  </si>
  <si>
    <t>吴明</t>
  </si>
  <si>
    <t>客服部经理</t>
  </si>
  <si>
    <t>021-65017163</t>
  </si>
  <si>
    <t>173-2112-4206</t>
  </si>
  <si>
    <t>永融企业中心6楼E楼</t>
  </si>
  <si>
    <t>三威</t>
  </si>
  <si>
    <t>邓璟婧</t>
  </si>
  <si>
    <t>上海总经理</t>
  </si>
  <si>
    <t>021-56713308</t>
  </si>
  <si>
    <t>187-2117-6119</t>
  </si>
  <si>
    <t>永融企业中心27D</t>
  </si>
  <si>
    <t>善吉</t>
  </si>
  <si>
    <t>许慧婧</t>
  </si>
  <si>
    <t>021-63237738/9</t>
  </si>
  <si>
    <t>189-1817-1239</t>
  </si>
  <si>
    <t>永融企业中心23G2室</t>
  </si>
  <si>
    <t>热情</t>
  </si>
  <si>
    <t>世驿</t>
  </si>
  <si>
    <t>顾佳辰</t>
  </si>
  <si>
    <t>021-36338380-8014</t>
  </si>
  <si>
    <t>180-1711-2383</t>
  </si>
  <si>
    <t>永融企业中心18层G座</t>
  </si>
  <si>
    <t>美</t>
  </si>
  <si>
    <t>曹青青</t>
  </si>
  <si>
    <t>操作部</t>
  </si>
  <si>
    <t>021-66050030</t>
  </si>
  <si>
    <t>136-3631-3755</t>
  </si>
  <si>
    <t>永融企业中心10楼C座</t>
  </si>
  <si>
    <t>鑫晨</t>
  </si>
  <si>
    <t>黄小姐</t>
  </si>
  <si>
    <t>021-56371950</t>
  </si>
  <si>
    <t>永融企业中心21B</t>
  </si>
  <si>
    <t>傲鸿</t>
  </si>
  <si>
    <t>石笑夏</t>
  </si>
  <si>
    <t>营销主管</t>
  </si>
  <si>
    <t>021-61429390</t>
  </si>
  <si>
    <t>159-2115-6218</t>
  </si>
  <si>
    <t>唐朝洋三</t>
  </si>
  <si>
    <t>梁海丽</t>
  </si>
  <si>
    <t>021-60340012</t>
  </si>
  <si>
    <t>138-1719-3852</t>
  </si>
  <si>
    <t>岳洋大厦1008B</t>
  </si>
  <si>
    <t>去年扣单15天，元大</t>
  </si>
  <si>
    <t>浩明</t>
  </si>
  <si>
    <t>杨先生</t>
  </si>
  <si>
    <t>写</t>
  </si>
  <si>
    <t>金色</t>
  </si>
  <si>
    <t>许诺</t>
  </si>
  <si>
    <t>021-51872410-817</t>
  </si>
  <si>
    <t>136-4174-7510</t>
  </si>
  <si>
    <t>前台询价</t>
  </si>
  <si>
    <t>吴玉良</t>
  </si>
  <si>
    <t>021-36533080</t>
  </si>
  <si>
    <t>同事留的，抬头地址都忘写了</t>
  </si>
  <si>
    <t>徐经理</t>
  </si>
  <si>
    <t>发一些基本港</t>
  </si>
  <si>
    <t>严</t>
  </si>
  <si>
    <t>日韩，</t>
  </si>
  <si>
    <t>郁小姐</t>
  </si>
  <si>
    <t>021-65077636</t>
  </si>
  <si>
    <t>其他都忘写了</t>
  </si>
  <si>
    <t>新</t>
    <phoneticPr fontId="9" type="noConversion"/>
  </si>
  <si>
    <t>僵尸</t>
    <phoneticPr fontId="9" type="noConversion"/>
  </si>
  <si>
    <t>021-61538031</t>
    <phoneticPr fontId="9" type="noConversion"/>
  </si>
  <si>
    <t>徐旭立</t>
  </si>
  <si>
    <t>139-1750-7884</t>
    <phoneticPr fontId="9" type="noConversion"/>
  </si>
  <si>
    <t>021-61521039</t>
    <phoneticPr fontId="9" type="noConversion"/>
  </si>
  <si>
    <t>西兰</t>
    <phoneticPr fontId="9" type="noConversion"/>
  </si>
  <si>
    <t>杭州公司上海分公司，祝昊旻</t>
    <phoneticPr fontId="9" type="noConversion"/>
  </si>
  <si>
    <t>嘉定区曹安公路2883号甲方科创中心7幢203室</t>
    <phoneticPr fontId="9" type="noConversion"/>
  </si>
  <si>
    <t>浦东新区周康路26号海翔大厦</t>
    <phoneticPr fontId="9" type="noConversion"/>
  </si>
  <si>
    <t>唐朝洋三</t>
    <phoneticPr fontId="7" type="noConversion"/>
  </si>
  <si>
    <t>金陵国际大厦602室</t>
    <phoneticPr fontId="9" type="noConversion"/>
  </si>
  <si>
    <t>飘鹰世纪大厦1319室</t>
    <phoneticPr fontId="9" type="noConversion"/>
  </si>
  <si>
    <t>飘鹰世纪大厦2101室</t>
    <phoneticPr fontId="9" type="noConversion"/>
  </si>
  <si>
    <t>飘鹰世纪大厦2211室</t>
    <phoneticPr fontId="9" type="noConversion"/>
  </si>
  <si>
    <t>Visit</t>
    <phoneticPr fontId="9" type="noConversion"/>
  </si>
  <si>
    <t>轻工国际大厦408室</t>
    <phoneticPr fontId="9" type="noConversion"/>
  </si>
  <si>
    <t>轻工国际大厦1304-1308</t>
    <phoneticPr fontId="9" type="noConversion"/>
  </si>
  <si>
    <t>OK</t>
    <phoneticPr fontId="9" type="noConversion"/>
  </si>
  <si>
    <t>金大地商务中心518室</t>
    <phoneticPr fontId="7" type="noConversion"/>
  </si>
  <si>
    <t>亿亚</t>
    <phoneticPr fontId="9" type="noConversion"/>
  </si>
  <si>
    <t>金大地</t>
    <phoneticPr fontId="9" type="noConversion"/>
  </si>
  <si>
    <t>知兴大厦B706室</t>
    <phoneticPr fontId="9" type="noConversion"/>
  </si>
  <si>
    <t>地标</t>
    <phoneticPr fontId="9" type="noConversion"/>
  </si>
  <si>
    <t>卜：有非洲线货 之前有合作过</t>
  </si>
  <si>
    <t>刘小光：最近都在郑州，可以联系其他同事</t>
    <phoneticPr fontId="9" type="noConversion"/>
  </si>
  <si>
    <t>法人于洋 佟成剑</t>
    <phoneticPr fontId="9" type="noConversion"/>
  </si>
  <si>
    <t>卜：中印红</t>
    <phoneticPr fontId="9" type="noConversion"/>
  </si>
  <si>
    <t>薛葆华 缪总：大连路，找小沈</t>
    <phoneticPr fontId="9" type="noConversion"/>
  </si>
  <si>
    <t>法人李文青 吴倩倩 负责人李刚 一部彭纪伟 二部刘剑峰 三总盛家兴</t>
    <phoneticPr fontId="9" type="noConversion"/>
  </si>
  <si>
    <t>卜：之前卜有合作，后续目的港弃货了</t>
    <phoneticPr fontId="9" type="noConversion"/>
  </si>
  <si>
    <t>倪峰经理 姚经理</t>
    <phoneticPr fontId="9" type="noConversion"/>
  </si>
  <si>
    <t>卜：有非洲货，之前和祝昊旻有合作</t>
    <phoneticPr fontId="9" type="noConversion"/>
  </si>
  <si>
    <t>田崇宾 宁晓伟 田伟祥 1206销售/1202操作</t>
    <phoneticPr fontId="9" type="noConversion"/>
  </si>
  <si>
    <t>卜：订舱口</t>
    <phoneticPr fontId="9" type="noConversion"/>
  </si>
  <si>
    <t>陈俊 沈斌</t>
    <phoneticPr fontId="9" type="noConversion"/>
  </si>
  <si>
    <t>卜：有非洲线货 不过自己可以订</t>
    <phoneticPr fontId="9" type="noConversion"/>
  </si>
  <si>
    <t>卜：有非洲线货</t>
    <phoneticPr fontId="9" type="noConversion"/>
  </si>
  <si>
    <t>法人周文华 监事商秀莲</t>
    <phoneticPr fontId="9" type="noConversion"/>
  </si>
  <si>
    <t>卜：余婷婷客户</t>
    <phoneticPr fontId="9" type="noConversion"/>
  </si>
  <si>
    <t>卜：有非洲线货 之前有合作过</t>
    <phoneticPr fontId="9" type="noConversion"/>
  </si>
  <si>
    <t>卜：有非洲线货 可以跟踪，之前合作的销售已离职</t>
    <phoneticPr fontId="9" type="noConversion"/>
  </si>
  <si>
    <t>法人肖爱珍 汤敏 吴林凤先生
汤敏：平时在家上班，来提前说</t>
    <phoneticPr fontId="9" type="noConversion"/>
  </si>
  <si>
    <t>卜：有合作过</t>
    <phoneticPr fontId="9" type="noConversion"/>
  </si>
  <si>
    <t>卜：竞争对手 做cma全航线</t>
    <phoneticPr fontId="9" type="noConversion"/>
  </si>
  <si>
    <t>梅昆琳 许海东 韩紫文经理女</t>
    <phoneticPr fontId="9" type="noConversion"/>
  </si>
  <si>
    <t>法人郑莹 朱姝 林英 刘亮 沈训钊 物流顾问 谢昌民
销售一部易斌 二部田星
三部代杰 四部王超 五部余金涛 六部郑涛 七部叶宇翔</t>
    <phoneticPr fontId="9" type="noConversion"/>
  </si>
  <si>
    <t>卜：有合作过 之前余婷婷客户 主要做危险品</t>
    <phoneticPr fontId="9" type="noConversion"/>
  </si>
  <si>
    <t>卜：之前我的客户，不过很久没做了 可以跟踪</t>
    <phoneticPr fontId="9" type="noConversion"/>
  </si>
  <si>
    <t>朱宣文 黄琼仪
程：最近忙，年底约，名片用完了</t>
    <phoneticPr fontId="9" type="noConversion"/>
  </si>
  <si>
    <t>陈莉洁胡海涛</t>
    <phoneticPr fontId="9" type="noConversion"/>
  </si>
  <si>
    <t>法人王绪华 刑经理</t>
    <phoneticPr fontId="9" type="noConversion"/>
  </si>
  <si>
    <t>卜：有非洲线货 之前和我有合作过</t>
    <phoneticPr fontId="9" type="noConversion"/>
  </si>
  <si>
    <t xml:space="preserve">卜：之前我的客户，不过很久没做了 </t>
    <phoneticPr fontId="9" type="noConversion"/>
  </si>
  <si>
    <t>刘先生 辛小姐 王先生</t>
    <phoneticPr fontId="9" type="noConversion"/>
  </si>
  <si>
    <t>法人张新 刘明慧</t>
    <phoneticPr fontId="9" type="noConversion"/>
  </si>
  <si>
    <t>法人林顺荣</t>
    <phoneticPr fontId="9" type="noConversion"/>
  </si>
  <si>
    <t>卜：有非洲线货 之前和祝昊旻有合作</t>
    <phoneticPr fontId="9" type="noConversion"/>
  </si>
  <si>
    <t>刘经理 王经理</t>
    <phoneticPr fontId="9" type="noConversion"/>
  </si>
  <si>
    <t>销售部经理王建涛 集装箱部经理陈昌 总经办于超
王海霞：你们不可以先给提单再付款是吗</t>
    <phoneticPr fontId="9" type="noConversion"/>
  </si>
  <si>
    <t>卜：做中印红航线的</t>
    <phoneticPr fontId="9" type="noConversion"/>
  </si>
  <si>
    <t>杨斌</t>
    <phoneticPr fontId="9" type="noConversion"/>
  </si>
  <si>
    <t>法人张磊 监事周姗 丁斗经理</t>
    <phoneticPr fontId="9" type="noConversion"/>
  </si>
  <si>
    <t>法人石文洁 石亮 刘经理</t>
    <phoneticPr fontId="9" type="noConversion"/>
  </si>
  <si>
    <t>励晓华 杨伟娟先生</t>
    <phoneticPr fontId="9" type="noConversion"/>
  </si>
  <si>
    <t>法人龚义波 监事魏桂兰 经理桂永红先生 吊销？</t>
    <phoneticPr fontId="9" type="noConversion"/>
  </si>
  <si>
    <t>林小姐</t>
    <phoneticPr fontId="9" type="noConversion"/>
  </si>
  <si>
    <t>钱玮祺</t>
    <phoneticPr fontId="9" type="noConversion"/>
  </si>
  <si>
    <t>法人邱德勇 经伟</t>
    <phoneticPr fontId="9" type="noConversion"/>
  </si>
  <si>
    <t>凌卫国</t>
    <phoneticPr fontId="9" type="noConversion"/>
  </si>
  <si>
    <t>法人周怀德 监事胡丽英</t>
    <phoneticPr fontId="9" type="noConversion"/>
  </si>
  <si>
    <t>法人钱伟祥</t>
    <phoneticPr fontId="9" type="noConversion"/>
  </si>
  <si>
    <t>法人黄桢</t>
    <phoneticPr fontId="9" type="noConversion"/>
  </si>
  <si>
    <t>法人王华云/王歆？
何春华 方维益 顾宾</t>
    <phoneticPr fontId="9" type="noConversion"/>
  </si>
  <si>
    <t>卜：美国线的</t>
    <phoneticPr fontId="9" type="noConversion"/>
  </si>
  <si>
    <t>李嫣 方顺 黄家文</t>
    <phoneticPr fontId="9" type="noConversion"/>
  </si>
  <si>
    <t>侯小红</t>
    <phoneticPr fontId="9" type="noConversion"/>
  </si>
  <si>
    <t>汪益桂 汪安逊</t>
    <phoneticPr fontId="9" type="noConversion"/>
  </si>
  <si>
    <t>汪兵 谢经理</t>
    <phoneticPr fontId="9" type="noConversion"/>
  </si>
  <si>
    <t>法人李平 徐晓东</t>
    <phoneticPr fontId="9" type="noConversion"/>
  </si>
  <si>
    <t>法人董光明 陆高寅 徐伟 张朝宇 董光春 周小泉 涂炳荣</t>
    <phoneticPr fontId="9" type="noConversion"/>
  </si>
  <si>
    <t>法人沈萍 法人吴汉生 邵焕斐</t>
    <phoneticPr fontId="9" type="noConversion"/>
  </si>
  <si>
    <t>法人陈中明 叶世清 唐建伟</t>
    <phoneticPr fontId="9" type="noConversion"/>
  </si>
  <si>
    <t>邓剑阳</t>
    <phoneticPr fontId="9" type="noConversion"/>
  </si>
  <si>
    <t>法人彭铮 彭晓鸣 杜春欢先生</t>
    <phoneticPr fontId="9" type="noConversion"/>
  </si>
  <si>
    <t>法人李英杰 苏政 沈训钊 李英雄 邓丽萍</t>
    <phoneticPr fontId="9" type="noConversion"/>
  </si>
  <si>
    <t>法人姜斌 姜颖 张几有 高洁 吴江海 杨新华：宝山，不用过来，俩老大是同学</t>
    <phoneticPr fontId="9" type="noConversion"/>
  </si>
  <si>
    <t>法人朱亦斐 朱国柱</t>
    <phoneticPr fontId="9" type="noConversion"/>
  </si>
  <si>
    <t>邱旭：不接收默名来访</t>
    <phoneticPr fontId="9" type="noConversion"/>
  </si>
  <si>
    <t>陆海空。卜：之前卜有合作，后续目的港弃货了</t>
    <phoneticPr fontId="9" type="noConversion"/>
  </si>
  <si>
    <t>中外运华东有限公司金陵分公司021-55158287。卜：订舱口</t>
    <phoneticPr fontId="9" type="noConversion"/>
  </si>
  <si>
    <t>直客。卜：有非洲线货 不过自己可以订</t>
    <phoneticPr fontId="9" type="noConversion"/>
  </si>
  <si>
    <t>志捷</t>
    <phoneticPr fontId="9" type="noConversion"/>
  </si>
  <si>
    <t>厦门公司上海分公司偶尔会有。卜：余婷婷客户</t>
    <phoneticPr fontId="9" type="noConversion"/>
  </si>
  <si>
    <t>东南亚。卜：有非洲线货 之前有合作过</t>
    <phoneticPr fontId="9" type="noConversion"/>
  </si>
  <si>
    <t>Durban开顶不超，QQ29136227。卜：有合作过</t>
    <phoneticPr fontId="9" type="noConversion"/>
  </si>
  <si>
    <t>余婷婷。卜：竞争对手 做cma全航线</t>
    <phoneticPr fontId="9" type="noConversion"/>
  </si>
  <si>
    <t>可以再去一趟。卜：有合作过 之前余婷婷客户 主要做危险品</t>
    <phoneticPr fontId="9" type="noConversion"/>
  </si>
  <si>
    <t>卜：有非洲线货 之前和我有合作过</t>
    <phoneticPr fontId="9" type="noConversion"/>
  </si>
  <si>
    <t xml:space="preserve">卜：之前我的客户，不过很久没做了 </t>
    <phoneticPr fontId="9" type="noConversion"/>
  </si>
  <si>
    <t>拖车报关都有。卜：有非洲线货 之前和祝昊旻有合作</t>
    <phoneticPr fontId="9" type="noConversion"/>
  </si>
  <si>
    <t>中东印巴代理。卜：做中印红航线的</t>
    <phoneticPr fontId="9" type="noConversion"/>
  </si>
  <si>
    <t>北美线，旧名片：海伦路440号金融街A栋2004。</t>
    <phoneticPr fontId="9" type="noConversion"/>
  </si>
  <si>
    <t>南京长茂</t>
    <phoneticPr fontId="9" type="noConversion"/>
  </si>
  <si>
    <t>DAKAR,20GP,MSK</t>
    <phoneticPr fontId="9" type="noConversion"/>
  </si>
  <si>
    <t>WAF1/WAF3</t>
  </si>
  <si>
    <t>WAF3</t>
  </si>
  <si>
    <t>WAF1</t>
  </si>
  <si>
    <t/>
  </si>
  <si>
    <t>李梦琪</t>
  </si>
  <si>
    <t>石鹏飞</t>
  </si>
  <si>
    <t>石亮</t>
  </si>
  <si>
    <t>王益</t>
  </si>
  <si>
    <t>龚</t>
  </si>
  <si>
    <t>张咸</t>
  </si>
  <si>
    <t>汪金方</t>
  </si>
  <si>
    <t>刘方炜</t>
  </si>
  <si>
    <t>鲁晋瑜</t>
  </si>
  <si>
    <t>李刚</t>
  </si>
  <si>
    <t>Samuel</t>
  </si>
  <si>
    <t>刘明慧</t>
  </si>
  <si>
    <t>袁永明</t>
  </si>
  <si>
    <t>韩</t>
  </si>
  <si>
    <t>汤建春</t>
  </si>
  <si>
    <t>陈万顺</t>
  </si>
  <si>
    <t>灏吉-陈爽</t>
  </si>
  <si>
    <t>钟玲</t>
  </si>
  <si>
    <t>夏云</t>
  </si>
  <si>
    <t>杨新华</t>
  </si>
  <si>
    <t>汪勇军</t>
  </si>
  <si>
    <t>刘素清</t>
  </si>
  <si>
    <t>顾晓波</t>
  </si>
  <si>
    <t>熊强</t>
  </si>
  <si>
    <t>刘锋</t>
  </si>
  <si>
    <t>陈阳</t>
  </si>
  <si>
    <t>袁强</t>
  </si>
  <si>
    <t>杨明芳</t>
  </si>
  <si>
    <t>Bella</t>
  </si>
  <si>
    <t>邓</t>
  </si>
  <si>
    <t>熊园园</t>
  </si>
  <si>
    <t>刘雷</t>
  </si>
  <si>
    <t>干斌</t>
  </si>
  <si>
    <t>陈昌</t>
  </si>
  <si>
    <t>廖明洁</t>
  </si>
  <si>
    <t>高圣言</t>
  </si>
  <si>
    <t>高洋</t>
  </si>
  <si>
    <t>莫</t>
  </si>
  <si>
    <t>朱顺</t>
  </si>
  <si>
    <t>周琳</t>
  </si>
  <si>
    <t>向晖</t>
  </si>
  <si>
    <t>沈云杰</t>
  </si>
  <si>
    <t>王彪</t>
  </si>
  <si>
    <t>何冰</t>
  </si>
  <si>
    <t>吴天聪</t>
  </si>
  <si>
    <t>冯婷婷</t>
  </si>
  <si>
    <t>邵</t>
  </si>
  <si>
    <t>孙光达</t>
  </si>
  <si>
    <t>刘晓峰</t>
  </si>
  <si>
    <t>尹</t>
  </si>
  <si>
    <t>Kitty</t>
  </si>
  <si>
    <t>王彬</t>
  </si>
  <si>
    <t>陆瀟雨</t>
  </si>
  <si>
    <t>袁援</t>
  </si>
  <si>
    <t>张礼明</t>
  </si>
  <si>
    <t>周武</t>
  </si>
  <si>
    <t>徐彬</t>
  </si>
  <si>
    <t>徐阳</t>
  </si>
  <si>
    <t>陈兰</t>
  </si>
  <si>
    <t>赵伟平</t>
  </si>
  <si>
    <t>李文君</t>
  </si>
  <si>
    <t>马</t>
  </si>
  <si>
    <t>单</t>
  </si>
  <si>
    <t>李蓓君</t>
  </si>
  <si>
    <t>陈懿</t>
  </si>
  <si>
    <t>杨靖</t>
  </si>
  <si>
    <t>裘</t>
  </si>
  <si>
    <t>Lisa</t>
  </si>
  <si>
    <t>ZhangJing</t>
  </si>
  <si>
    <t>成家伟</t>
  </si>
  <si>
    <t>龚俐频</t>
  </si>
  <si>
    <t>沈晓娟</t>
  </si>
  <si>
    <t>徐近</t>
  </si>
  <si>
    <t>cc</t>
  </si>
  <si>
    <t>丁立</t>
  </si>
  <si>
    <t>王小姐</t>
  </si>
  <si>
    <t>Cathy Zou</t>
  </si>
  <si>
    <t>施欣</t>
  </si>
  <si>
    <t>王建涛</t>
  </si>
  <si>
    <t>张宇</t>
  </si>
  <si>
    <t>吴波</t>
  </si>
  <si>
    <t>李征</t>
  </si>
  <si>
    <t>刘小光</t>
  </si>
  <si>
    <t>王得成</t>
  </si>
  <si>
    <t>陈鸣劼</t>
  </si>
  <si>
    <t>董珍秀</t>
  </si>
  <si>
    <t>袁久贵</t>
  </si>
  <si>
    <t>曲勇</t>
  </si>
  <si>
    <t>黄靓</t>
  </si>
  <si>
    <t>Nancy</t>
  </si>
  <si>
    <t>傅</t>
  </si>
  <si>
    <t>陈嘉宜</t>
  </si>
  <si>
    <t>王敏</t>
  </si>
  <si>
    <t>胡小姐</t>
  </si>
  <si>
    <t>谢劼</t>
  </si>
  <si>
    <t>王新宏</t>
  </si>
  <si>
    <t>吴小小</t>
  </si>
  <si>
    <t>Lily</t>
  </si>
  <si>
    <t>郑</t>
  </si>
  <si>
    <t>汤敏</t>
  </si>
  <si>
    <t>黄林锋</t>
  </si>
  <si>
    <t>章芳龙</t>
  </si>
  <si>
    <t>张静</t>
  </si>
  <si>
    <t>HY</t>
  </si>
  <si>
    <t>沈沉</t>
  </si>
  <si>
    <t>石雅平</t>
  </si>
  <si>
    <t>黄礼辉</t>
  </si>
  <si>
    <t>陈衡杰</t>
  </si>
  <si>
    <t>林艳</t>
  </si>
  <si>
    <t>Tina</t>
  </si>
  <si>
    <t>张北成</t>
  </si>
  <si>
    <t>Kevin</t>
  </si>
  <si>
    <t>汪庆华</t>
  </si>
  <si>
    <t>孙海峰</t>
  </si>
  <si>
    <t>李鹏</t>
  </si>
  <si>
    <t>李煜梅</t>
  </si>
  <si>
    <t>李萌</t>
  </si>
  <si>
    <t>刘之智</t>
  </si>
  <si>
    <t>赵伟</t>
  </si>
  <si>
    <t>罗靖</t>
  </si>
  <si>
    <t>赵强</t>
  </si>
  <si>
    <t>王森林</t>
  </si>
  <si>
    <t>黄江南</t>
  </si>
  <si>
    <t>何强</t>
  </si>
  <si>
    <t>李红</t>
  </si>
  <si>
    <t>郭</t>
  </si>
  <si>
    <t>Winnie</t>
  </si>
  <si>
    <t>Ava</t>
  </si>
  <si>
    <t>张丽</t>
  </si>
  <si>
    <t>凌中祥</t>
  </si>
  <si>
    <t>司马建文</t>
  </si>
  <si>
    <t>姜立人</t>
  </si>
  <si>
    <t>朱</t>
  </si>
  <si>
    <t>詹一</t>
  </si>
  <si>
    <t>孙武</t>
  </si>
  <si>
    <t>刘建新</t>
  </si>
  <si>
    <t>包</t>
  </si>
  <si>
    <t>施欣世祥</t>
  </si>
  <si>
    <t>董</t>
  </si>
  <si>
    <t>熊丹妮</t>
  </si>
  <si>
    <t>小芳</t>
  </si>
  <si>
    <t>李运龙</t>
  </si>
  <si>
    <t>伍媛媛</t>
  </si>
  <si>
    <t>夏明</t>
  </si>
  <si>
    <t>徐恋</t>
  </si>
  <si>
    <t>熊家钉</t>
  </si>
  <si>
    <t>梁</t>
  </si>
  <si>
    <t>李娟</t>
  </si>
  <si>
    <t>石</t>
  </si>
  <si>
    <t>豪</t>
  </si>
  <si>
    <t>张金兵</t>
  </si>
  <si>
    <t>沈斌</t>
  </si>
  <si>
    <t>Rona</t>
  </si>
  <si>
    <t>邱旭</t>
  </si>
  <si>
    <t>唐</t>
  </si>
  <si>
    <t>叶凯</t>
  </si>
  <si>
    <t>徐欣</t>
  </si>
  <si>
    <t>孙</t>
  </si>
  <si>
    <t>Sally</t>
  </si>
  <si>
    <t>蒲云峰</t>
  </si>
  <si>
    <t>祝焰</t>
  </si>
  <si>
    <t>樊</t>
  </si>
  <si>
    <t>徐敏</t>
  </si>
  <si>
    <t>Mark</t>
  </si>
  <si>
    <t>徐霞</t>
  </si>
  <si>
    <t>王青</t>
  </si>
  <si>
    <t>陈梅</t>
  </si>
  <si>
    <t>卢</t>
  </si>
  <si>
    <t>刘霞</t>
  </si>
  <si>
    <t>刘祥</t>
  </si>
  <si>
    <t>Camilla</t>
  </si>
  <si>
    <t>李云飞</t>
  </si>
  <si>
    <t>邓力</t>
  </si>
  <si>
    <t>汪</t>
  </si>
  <si>
    <t>王科宾</t>
  </si>
  <si>
    <t>Joanna</t>
  </si>
  <si>
    <t>江丹丹</t>
  </si>
  <si>
    <t>毕燕青</t>
  </si>
  <si>
    <t>汤超</t>
  </si>
  <si>
    <t>朱妍</t>
  </si>
  <si>
    <t>袁泉</t>
  </si>
  <si>
    <t>查兵</t>
  </si>
  <si>
    <t>邹志龙</t>
  </si>
  <si>
    <t>徐慧</t>
  </si>
  <si>
    <t>陈英</t>
  </si>
  <si>
    <t>熊菲</t>
  </si>
  <si>
    <t>张晓晓</t>
  </si>
  <si>
    <t>叶娜</t>
  </si>
  <si>
    <t>张剑峰</t>
  </si>
  <si>
    <t>王雪莲</t>
  </si>
  <si>
    <t>励</t>
  </si>
  <si>
    <t>吕</t>
  </si>
  <si>
    <t>李博</t>
  </si>
  <si>
    <t>大鹏</t>
  </si>
  <si>
    <t>印桂明</t>
  </si>
  <si>
    <t>王奔</t>
  </si>
  <si>
    <t>曹彦强</t>
  </si>
  <si>
    <t>刘健</t>
  </si>
  <si>
    <t>曾志贤</t>
  </si>
  <si>
    <t>李娜</t>
  </si>
  <si>
    <t>王少霞</t>
  </si>
  <si>
    <t>金哲岚</t>
  </si>
  <si>
    <t>蔡建红</t>
  </si>
  <si>
    <t>Leo</t>
  </si>
  <si>
    <t>赵芳顺</t>
  </si>
  <si>
    <t>林森</t>
  </si>
  <si>
    <t>宗佳</t>
  </si>
  <si>
    <t>王冰冰</t>
  </si>
  <si>
    <t>苟俊</t>
  </si>
  <si>
    <t>刘高霞</t>
  </si>
  <si>
    <t>汪澜</t>
  </si>
  <si>
    <t>Lida</t>
  </si>
  <si>
    <t>莎莎</t>
  </si>
  <si>
    <t>赵金</t>
  </si>
  <si>
    <t>景建民</t>
  </si>
  <si>
    <t>徐龙飞</t>
  </si>
  <si>
    <t>张叶</t>
  </si>
  <si>
    <t>张秋霞</t>
  </si>
  <si>
    <t>余磊</t>
  </si>
  <si>
    <t>Gem</t>
  </si>
  <si>
    <t>袁灿</t>
  </si>
  <si>
    <t>杨锦林</t>
  </si>
  <si>
    <t>童鹰</t>
  </si>
  <si>
    <t>熊</t>
  </si>
  <si>
    <t>袁贵</t>
  </si>
  <si>
    <t>陈丽</t>
  </si>
  <si>
    <t>冯新亮</t>
  </si>
  <si>
    <t>凌利</t>
  </si>
  <si>
    <t>徐俊</t>
  </si>
  <si>
    <t>淑女</t>
  </si>
  <si>
    <t>杨鑫</t>
  </si>
  <si>
    <t>杨丽娟</t>
  </si>
  <si>
    <t>汪谦</t>
  </si>
  <si>
    <t>喻一飞</t>
  </si>
  <si>
    <t>凌海芹</t>
  </si>
  <si>
    <t>罗强</t>
  </si>
  <si>
    <t>陈小萱</t>
  </si>
  <si>
    <t>Sophia</t>
  </si>
  <si>
    <t>Henry</t>
  </si>
  <si>
    <t>符</t>
  </si>
  <si>
    <t>林孟涛</t>
  </si>
  <si>
    <t>张良</t>
  </si>
  <si>
    <t>张进</t>
  </si>
  <si>
    <t>徐冰</t>
  </si>
  <si>
    <t>王兵</t>
  </si>
  <si>
    <t>朱佳</t>
  </si>
  <si>
    <t>丁会扬</t>
  </si>
  <si>
    <t>Sammi</t>
  </si>
  <si>
    <t>舒克</t>
  </si>
  <si>
    <t>QQ490913096</t>
    <phoneticPr fontId="9" type="noConversion"/>
  </si>
  <si>
    <t>苏丹港 小柜</t>
    <phoneticPr fontId="9" type="noConversion"/>
  </si>
  <si>
    <t>远磐</t>
    <phoneticPr fontId="9" type="noConversion"/>
  </si>
  <si>
    <t>张霞</t>
    <phoneticPr fontId="9" type="noConversion"/>
  </si>
  <si>
    <t>Port Sudan SAF USD948/20GP + EBS60，周二洋山丹戎帕拉帕斯港转33天，价格到10月31日。
Port Sudan MSK USD1168/20GP (含EBS)，周二洋山丹戎帕拉帕斯港转33天，价格到10月31日。</t>
    <phoneticPr fontId="9" type="noConversion"/>
  </si>
  <si>
    <t>Sudan</t>
    <phoneticPr fontId="9" type="noConversion"/>
  </si>
  <si>
    <t>德班大小柜</t>
    <phoneticPr fontId="9" type="noConversion"/>
  </si>
  <si>
    <t>Durban HPL USD775/1350 + EBS55/110，周四洋山直达27天，价格到10月31日。
Durban MSC USD850/1700 + EBS65/130 + AMS25/BILL，周五外港直达27天，价格到10月31日。
Durban ZIM USD860/1560 + EBS75/150 + AMS30/BILL，周六外港直达24天，价格到10月31日。</t>
    <phoneticPr fontId="9" type="noConversion"/>
  </si>
  <si>
    <t>TEMA,20GP,纺织品,货好了. 要MSK 和PIL</t>
    <phoneticPr fontId="9" type="noConversion"/>
  </si>
  <si>
    <t>Tema PIL USD1835/20GP (含EBS)，周一/周三外港直达42/40天，价格到10月31日。
Tema MSK USD1947/20GP (含EBS)，周五外港直达42天，价格到10月31日。</t>
    <phoneticPr fontId="9" type="noConversion"/>
  </si>
  <si>
    <t>上海垚铠 - Lisa 1302056314</t>
    <phoneticPr fontId="9" type="noConversion"/>
  </si>
  <si>
    <t>上海垚铠 - 裘经理 270091893</t>
    <phoneticPr fontId="9" type="noConversion"/>
  </si>
  <si>
    <t>港先</t>
    <phoneticPr fontId="9" type="noConversion"/>
  </si>
  <si>
    <t>021-61079215</t>
    <phoneticPr fontId="9" type="noConversion"/>
  </si>
  <si>
    <t>石笑夏下属</t>
    <phoneticPr fontId="9" type="noConversion"/>
  </si>
  <si>
    <t>COSCO 旗下 有订舱口只做COSCO，找Tim.C</t>
    <phoneticPr fontId="9" type="noConversion"/>
  </si>
  <si>
    <t>商展</t>
    <phoneticPr fontId="9" type="noConversion"/>
  </si>
  <si>
    <t>王生</t>
    <phoneticPr fontId="9" type="noConversion"/>
  </si>
  <si>
    <t>阿尔及尔 小柜</t>
    <phoneticPr fontId="9" type="noConversion"/>
  </si>
  <si>
    <t>Alger COSCO USD1175/20GP (含EBS) + ENS25/BILL，周日洋山比雷埃夫斯/瓦伦西亚转33-39天，价格到10月31日。
Alger MSC USD1350/20GP + EBS65，周日洋山沙特的阿卜杜拉国王港转29天，价格到10月31日。
Alger MSK USD1375/20GP + EBS60，周日/周二洋山马耳他转37天，价格到10月31日。</t>
    <phoneticPr fontId="9" type="noConversion"/>
  </si>
  <si>
    <t>Algeria 1*45HQ</t>
    <phoneticPr fontId="9" type="noConversion"/>
  </si>
  <si>
    <t>三联</t>
    <phoneticPr fontId="9" type="noConversion"/>
  </si>
  <si>
    <t>Alger MSK USD3550/45HQ + EBS120，周日/周二洋山马耳他转37天，价格到10月31日。</t>
    <phoneticPr fontId="9" type="noConversion"/>
  </si>
  <si>
    <t>Lagos 40HC</t>
    <phoneticPr fontId="9" type="noConversion"/>
  </si>
  <si>
    <t>Apapa HPL USD2500/40HQ + EBS110，周六洋山丹吉尔转46天，价格到10月31日。
Apapa OOCL USD2900/40HQ (含EBS)，周一外港直达34天，价格到11月5日。
Apapa SAF USD3300/40HQ + EBS120，周四外港直达36天，价格到10月31日。</t>
    <phoneticPr fontId="9" type="noConversion"/>
  </si>
  <si>
    <t>下月价格</t>
    <phoneticPr fontId="9" type="noConversion"/>
  </si>
  <si>
    <t>德班的40高柜</t>
    <phoneticPr fontId="9" type="noConversion"/>
  </si>
  <si>
    <t>赛勇</t>
    <phoneticPr fontId="9" type="noConversion"/>
  </si>
  <si>
    <t>张桓</t>
    <phoneticPr fontId="9" type="noConversion"/>
  </si>
  <si>
    <t>Durban HPL USD1350/40HQ + EBS110，周四洋山直达27天，价格到10月31日。
Durban ZIM USD1560/40HQ + EBS150 + AMS30/BILL，周六外港直达24天，价格到10月31日。</t>
    <phoneticPr fontId="9" type="noConversion"/>
  </si>
  <si>
    <t>2018年10月1日开始 收取ISPS USD16/BOX</t>
  </si>
  <si>
    <t>SHAKA2/WAX/FAL1</t>
  </si>
  <si>
    <r>
      <rPr>
        <sz val="11"/>
        <color theme="1"/>
        <rFont val="等线"/>
        <family val="3"/>
        <charset val="134"/>
      </rPr>
      <t>暂停不接</t>
    </r>
  </si>
  <si>
    <t>塞拉利昂Freetown 指定MSK 小柜</t>
    <phoneticPr fontId="9" type="noConversion"/>
  </si>
  <si>
    <t>Freetown MSK USD1940/20GP (含EBS)，周一洋山赛德东转44天，价格到10月31日。</t>
    <phoneticPr fontId="9" type="noConversion"/>
  </si>
  <si>
    <t>Freetown</t>
    <phoneticPr fontId="9" type="noConversion"/>
  </si>
  <si>
    <t>Y</t>
    <phoneticPr fontId="9" type="noConversion"/>
  </si>
  <si>
    <t>SYGJ18100090</t>
    <phoneticPr fontId="9" type="noConversion"/>
  </si>
  <si>
    <t>MAERSK HANGZHOU</t>
    <phoneticPr fontId="9" type="noConversion"/>
  </si>
  <si>
    <t>844W</t>
    <phoneticPr fontId="9" type="noConversion"/>
  </si>
  <si>
    <t>579956532-</t>
    <phoneticPr fontId="9" type="noConversion"/>
  </si>
  <si>
    <t>等11月价格换便宜的</t>
    <phoneticPr fontId="9" type="noConversion"/>
  </si>
  <si>
    <t>洋山</t>
    <phoneticPr fontId="9" type="noConversion"/>
  </si>
  <si>
    <t>苏丹的40HQ的费用。PIL</t>
    <phoneticPr fontId="9" type="noConversion"/>
  </si>
  <si>
    <t>1900+DHTC210预付 周四洋山吉达转30天到，11月1号的价格</t>
    <phoneticPr fontId="9" type="noConversion"/>
  </si>
  <si>
    <t>Sudan</t>
    <phoneticPr fontId="9" type="noConversion"/>
  </si>
  <si>
    <t>冠鑫</t>
    <phoneticPr fontId="9" type="noConversion"/>
  </si>
  <si>
    <t>严毅俊</t>
    <phoneticPr fontId="9" type="noConversion"/>
  </si>
  <si>
    <t>报我个APAPA价格好伐</t>
    <phoneticPr fontId="9" type="noConversion"/>
  </si>
  <si>
    <t>Apapa OOCL USD1725/2900 (含EBS)，周一外港直达34天，价格到11月5日。
Apapa HPL USD1750/2500 + EBS55/110，周六洋山丹吉尔转46天，价格到10月31日。
Apapa SAF USD2125/3300 + EBS60/120，周四外港直达36天，价格到10月31日。</t>
    <phoneticPr fontId="9" type="noConversion"/>
  </si>
  <si>
    <t>海兴</t>
    <phoneticPr fontId="9" type="noConversion"/>
  </si>
  <si>
    <t>中海</t>
    <phoneticPr fontId="9" type="noConversion"/>
  </si>
  <si>
    <t>虹口区花园路128号德必德必运动Loft</t>
    <phoneticPr fontId="9" type="noConversion"/>
  </si>
  <si>
    <t>静安区共和新路340号宝丰大厦</t>
    <phoneticPr fontId="9" type="noConversion"/>
  </si>
  <si>
    <t>虹口区曲阳路299号宝莲大厦</t>
    <phoneticPr fontId="9" type="noConversion"/>
  </si>
  <si>
    <t>太湖世家环球大厦2004室</t>
    <phoneticPr fontId="9" type="noConversion"/>
  </si>
  <si>
    <t>虹口区物华路288号爱家国际大厦</t>
    <phoneticPr fontId="9" type="noConversion"/>
  </si>
  <si>
    <t>黄浦区瑞金南路1号(近徐家汇路)海兴广场</t>
    <phoneticPr fontId="9" type="noConversion"/>
  </si>
  <si>
    <t>运动LOFT第五街区A座402室</t>
    <phoneticPr fontId="7" type="noConversion"/>
  </si>
  <si>
    <t>爱家国际大厦4号楼303室</t>
    <phoneticPr fontId="9" type="noConversion"/>
  </si>
  <si>
    <t>宝丰大厦205室</t>
    <phoneticPr fontId="9" type="noConversion"/>
  </si>
  <si>
    <t>宝骥南楼7号楼314室</t>
    <phoneticPr fontId="7" type="noConversion"/>
  </si>
  <si>
    <t>宝莲大厦19楼</t>
    <phoneticPr fontId="9" type="noConversion"/>
  </si>
  <si>
    <t>保利·悦活荟409室</t>
    <phoneticPr fontId="7" type="noConversion"/>
  </si>
  <si>
    <t>城市概念2号楼D29室</t>
    <phoneticPr fontId="9" type="noConversion"/>
  </si>
  <si>
    <t>大卫国际大厦705室</t>
    <phoneticPr fontId="9" type="noConversion"/>
  </si>
  <si>
    <t>福德商务中心北楼2110室</t>
    <phoneticPr fontId="9" type="noConversion"/>
  </si>
  <si>
    <t>福德商务中心北楼2308室</t>
    <phoneticPr fontId="9" type="noConversion"/>
  </si>
  <si>
    <t>福龙大厦22楼D座</t>
    <phoneticPr fontId="7" type="noConversion"/>
  </si>
  <si>
    <t>海上海新城10号楼509室</t>
    <phoneticPr fontId="7" type="noConversion"/>
  </si>
  <si>
    <t>海翔大厦610室</t>
    <phoneticPr fontId="9" type="noConversion"/>
  </si>
  <si>
    <t>海兴广场23楼A座</t>
    <phoneticPr fontId="9" type="noConversion"/>
  </si>
  <si>
    <t>海运大厦815-816室</t>
    <phoneticPr fontId="7" type="noConversion"/>
  </si>
  <si>
    <t>和平花苑2301室</t>
    <phoneticPr fontId="9" type="noConversion"/>
  </si>
  <si>
    <t>虹诚大厦16楼C1室</t>
    <phoneticPr fontId="9" type="noConversion"/>
  </si>
  <si>
    <t>华宁国际广场南塔27楼</t>
    <phoneticPr fontId="7" type="noConversion"/>
  </si>
  <si>
    <t>华谊星城1105室</t>
    <phoneticPr fontId="7" type="noConversion"/>
  </si>
  <si>
    <t>家纺大厦8002室</t>
    <phoneticPr fontId="7" type="noConversion"/>
  </si>
  <si>
    <t>嘉和国际大厦1号楼1208室</t>
    <phoneticPr fontId="9" type="noConversion"/>
  </si>
  <si>
    <t>金大地商务楼212室</t>
    <phoneticPr fontId="9" type="noConversion"/>
  </si>
  <si>
    <t>金大地商务楼309室</t>
    <phoneticPr fontId="7" type="noConversion"/>
  </si>
  <si>
    <t>金大地商务楼518室</t>
    <phoneticPr fontId="7" type="noConversion"/>
  </si>
  <si>
    <t>金天地国际大厦1405室</t>
    <phoneticPr fontId="9" type="noConversion"/>
  </si>
  <si>
    <t>久事商务大厦510-511室</t>
    <phoneticPr fontId="9" type="noConversion"/>
  </si>
  <si>
    <t>郡江国际A座717</t>
    <phoneticPr fontId="9" type="noConversion"/>
  </si>
  <si>
    <t>郡江国际A座503</t>
    <phoneticPr fontId="7" type="noConversion"/>
  </si>
  <si>
    <t>骏丰国际财富广场？室</t>
    <phoneticPr fontId="9" type="noConversion"/>
  </si>
  <si>
    <t>骏丰国际财富广场1107室</t>
    <phoneticPr fontId="9" type="noConversion"/>
  </si>
  <si>
    <t>康宁商厦601-604室</t>
    <phoneticPr fontId="7" type="noConversion"/>
  </si>
  <si>
    <t>四方科创中心7幢203室</t>
    <phoneticPr fontId="7" type="noConversion"/>
  </si>
  <si>
    <t>科技京城东楼19D</t>
    <phoneticPr fontId="7" type="noConversion"/>
  </si>
  <si>
    <t>莱克大厦09E</t>
    <phoneticPr fontId="7" type="noConversion"/>
  </si>
  <si>
    <t>飘鹰世纪大厦1208室</t>
    <phoneticPr fontId="7" type="noConversion"/>
  </si>
  <si>
    <t>森林湾大厦C505</t>
    <phoneticPr fontId="9" type="noConversion"/>
  </si>
  <si>
    <t>森林湾大厦B幢501室</t>
    <phoneticPr fontId="7" type="noConversion"/>
  </si>
  <si>
    <t>森林湾大厦B幢704室</t>
    <phoneticPr fontId="7" type="noConversion"/>
  </si>
  <si>
    <t>设计交流中心10号305</t>
    <phoneticPr fontId="7" type="noConversion"/>
  </si>
  <si>
    <t>盛创企业家园24号楼911室</t>
    <phoneticPr fontId="9" type="noConversion"/>
  </si>
  <si>
    <t>盛创企业家园24号楼601</t>
    <phoneticPr fontId="7" type="noConversion"/>
  </si>
  <si>
    <t>盛泰大厦803-4室</t>
    <phoneticPr fontId="9" type="noConversion"/>
  </si>
  <si>
    <t>盛泰大厦705室</t>
    <phoneticPr fontId="9" type="noConversion"/>
  </si>
  <si>
    <t>盛泰大厦1405-6室</t>
    <phoneticPr fontId="9" type="noConversion"/>
  </si>
  <si>
    <t>世界广场15G</t>
    <phoneticPr fontId="7" type="noConversion"/>
  </si>
  <si>
    <t>硕和城商务中心1号楼208-214</t>
    <phoneticPr fontId="7" type="noConversion"/>
  </si>
  <si>
    <t>司麦脱商务中心411室</t>
    <phoneticPr fontId="9" type="noConversion"/>
  </si>
  <si>
    <t>司麦脱商务中心9幢305室</t>
    <phoneticPr fontId="7" type="noConversion"/>
  </si>
  <si>
    <t>法人施新辛 监事曹峰 董事刘晔 董事许嘉泰，1017拜访领导不在</t>
    <phoneticPr fontId="9" type="noConversion"/>
  </si>
  <si>
    <t>天宝华庭2号楼1205室</t>
    <phoneticPr fontId="7" type="noConversion"/>
  </si>
  <si>
    <t>天宝华庭2号楼2208</t>
    <phoneticPr fontId="9" type="noConversion"/>
  </si>
  <si>
    <t>天宝华庭2号楼2211/2</t>
    <phoneticPr fontId="9" type="noConversion"/>
  </si>
  <si>
    <t>天科大厦420室</t>
    <phoneticPr fontId="7" type="noConversion"/>
  </si>
  <si>
    <t>天科大厦303室</t>
    <phoneticPr fontId="7" type="noConversion"/>
  </si>
  <si>
    <t>天科大厦528室</t>
    <phoneticPr fontId="7" type="noConversion"/>
  </si>
  <si>
    <t>祥腾财富广场7号楼1002室</t>
    <phoneticPr fontId="7" type="noConversion"/>
  </si>
  <si>
    <t>新宝中心709-710</t>
    <phoneticPr fontId="9" type="noConversion"/>
  </si>
  <si>
    <t>新能源大厦901室</t>
    <phoneticPr fontId="9" type="noConversion"/>
  </si>
  <si>
    <t>鑫山创业园区2号楼308室</t>
    <phoneticPr fontId="7" type="noConversion"/>
  </si>
  <si>
    <t>星云大厦14F</t>
    <phoneticPr fontId="7" type="noConversion"/>
  </si>
  <si>
    <t>耀江广场18楼</t>
    <phoneticPr fontId="7" type="noConversion"/>
  </si>
  <si>
    <t>烨博大厦720室</t>
    <phoneticPr fontId="7" type="noConversion"/>
  </si>
  <si>
    <t>宇航大厦10楼</t>
    <phoneticPr fontId="7" type="noConversion"/>
  </si>
  <si>
    <t>岳洋大厦316-8室</t>
    <phoneticPr fontId="9" type="noConversion"/>
  </si>
  <si>
    <t>岳洋大厦1203</t>
    <phoneticPr fontId="7" type="noConversion"/>
  </si>
  <si>
    <t>长泰企业天地广场A座302室</t>
    <phoneticPr fontId="7" type="noConversion"/>
  </si>
  <si>
    <t>中海网络科技股份有限公司研发中心办公楼4楼</t>
    <phoneticPr fontId="9" type="noConversion"/>
  </si>
  <si>
    <t>中铁中环时代广场6号楼409</t>
    <phoneticPr fontId="7" type="noConversion"/>
  </si>
  <si>
    <t>众园国际中心2幢225室</t>
    <phoneticPr fontId="7" type="noConversion"/>
  </si>
  <si>
    <t>德班下个月的40HQ</t>
    <phoneticPr fontId="9" type="noConversion"/>
  </si>
  <si>
    <t>Durban PIL USD1913/40HQ (含EBS) + AMS30/BILL，周四洋山直达24天，价格从11月1日到11月15日。
Durban ONE USD1965/40HQ (含EBS) + AMS35/BILL，周四洋山直达24天，价格从11月1日到11月7日。
Durban EMC USD2059/40HQ (含EBS) + AMS30/BILL，周四洋山直达24天，价格从11月1日到11月10日。</t>
    <phoneticPr fontId="9" type="noConversion"/>
  </si>
  <si>
    <t>开普敦的大柜</t>
    <phoneticPr fontId="9" type="noConversion"/>
  </si>
  <si>
    <t>Capetown PIL USD1963/40GP (含EBS) + AMS30/BILL，周六外港新加坡转30天，价格从11月1日到11月15日。
Capetown ONE USD1965/40GP (含EBS) + AMS35/BILL，周四洋山新加坡转32天，价格从11月1日到11月7日。
Capetown EMC USD2059/40GP (含EBS) + AMS30/BILL，周四洋山新加坡转34天，价格从11月1日到11月10日。</t>
    <phoneticPr fontId="9" type="noConversion"/>
  </si>
  <si>
    <t>Capetown</t>
    <phoneticPr fontId="9" type="noConversion"/>
  </si>
  <si>
    <t>新的低价</t>
    <phoneticPr fontId="9" type="noConversion"/>
  </si>
  <si>
    <t>巴塞尔</t>
    <phoneticPr fontId="9" type="noConversion"/>
  </si>
  <si>
    <t>江智涛</t>
  </si>
  <si>
    <t>江智涛</t>
    <phoneticPr fontId="9" type="noConversion"/>
  </si>
  <si>
    <t>Linda</t>
  </si>
  <si>
    <t>021-63567812</t>
    <phoneticPr fontId="9" type="noConversion"/>
  </si>
  <si>
    <t>傲隆</t>
    <phoneticPr fontId="9" type="noConversion"/>
  </si>
  <si>
    <t>周经理</t>
  </si>
  <si>
    <t>021-66281736</t>
    <phoneticPr fontId="9" type="noConversion"/>
  </si>
  <si>
    <t>超伦</t>
    <phoneticPr fontId="9" type="noConversion"/>
  </si>
  <si>
    <t>金勇</t>
  </si>
  <si>
    <t>021-63618260</t>
    <phoneticPr fontId="9" type="noConversion"/>
  </si>
  <si>
    <t>江智涛，金勇负责非洲</t>
    <phoneticPr fontId="9" type="noConversion"/>
  </si>
  <si>
    <t>复易</t>
    <phoneticPr fontId="9" type="noConversion"/>
  </si>
  <si>
    <t>021-65202588</t>
    <phoneticPr fontId="9" type="noConversion"/>
  </si>
  <si>
    <t>捷盛</t>
    <phoneticPr fontId="9" type="noConversion"/>
  </si>
  <si>
    <t>陈燕</t>
  </si>
  <si>
    <t>021-68102058</t>
    <phoneticPr fontId="9" type="noConversion"/>
  </si>
  <si>
    <t>如泰</t>
    <phoneticPr fontId="9" type="noConversion"/>
  </si>
  <si>
    <t>马小姐</t>
  </si>
  <si>
    <t>021-31126417</t>
    <phoneticPr fontId="9" type="noConversion"/>
  </si>
  <si>
    <t>世鼎</t>
    <phoneticPr fontId="9" type="noConversion"/>
  </si>
  <si>
    <t>孟经理</t>
  </si>
  <si>
    <t>021-61396999</t>
    <phoneticPr fontId="9" type="noConversion"/>
  </si>
  <si>
    <t>泰鸿</t>
    <phoneticPr fontId="9" type="noConversion"/>
  </si>
  <si>
    <t>瞿</t>
  </si>
  <si>
    <t>021-63268251</t>
    <phoneticPr fontId="9" type="noConversion"/>
  </si>
  <si>
    <t>奕雄</t>
    <phoneticPr fontId="9" type="noConversion"/>
  </si>
  <si>
    <t>021-62503583</t>
    <phoneticPr fontId="9" type="noConversion"/>
  </si>
  <si>
    <t>泽恩</t>
    <phoneticPr fontId="9" type="noConversion"/>
  </si>
  <si>
    <t>021-65017022</t>
    <phoneticPr fontId="9" type="noConversion"/>
  </si>
  <si>
    <t>价格好高都没拿下来</t>
    <phoneticPr fontId="9" type="noConversion"/>
  </si>
  <si>
    <t>蒙巴萨 40HQ</t>
    <phoneticPr fontId="9" type="noConversion"/>
  </si>
  <si>
    <t>Mombasa HPL USD1300/40HQ + EBS110，周日洋山迪拜转39天，价格到10月31日。
Mombasa MSC USD1406/40HQ + EBS130，周五洋山德班转38天，价格到10月31日。
Mombasa EMI USD1567/40HQ (含EBS)，周四外港巴生转32天，价格从11月1日到11月5日。</t>
    <phoneticPr fontId="9" type="noConversion"/>
  </si>
  <si>
    <t>坎帕拉 40HQ 8t</t>
    <phoneticPr fontId="9" type="noConversion"/>
  </si>
  <si>
    <t>Mombasa 转 
EMI USD1567/40HQ (含EBS) + 转运费3100，周四外港32+15天，价格从11月1日到11月5日。
EMC USD1650/40HQ (含EBS) + 转运费3600，周四外港30+15天，价格从11月1日到11月10日。</t>
    <phoneticPr fontId="9" type="noConversion"/>
  </si>
  <si>
    <t>Kampala</t>
    <phoneticPr fontId="9" type="noConversion"/>
  </si>
  <si>
    <t>贺佑喨</t>
  </si>
  <si>
    <t>吉大 卷钢 27吨 小柜</t>
    <phoneticPr fontId="9" type="noConversion"/>
  </si>
  <si>
    <t>世邦</t>
    <phoneticPr fontId="9" type="noConversion"/>
  </si>
  <si>
    <t>姚嘉燕</t>
  </si>
  <si>
    <t>021-64185090</t>
    <phoneticPr fontId="9" type="noConversion"/>
  </si>
  <si>
    <t>瞬华</t>
    <phoneticPr fontId="9" type="noConversion"/>
  </si>
  <si>
    <t>陆丽婷</t>
  </si>
  <si>
    <t>021-56552871</t>
    <phoneticPr fontId="9" type="noConversion"/>
  </si>
  <si>
    <t>Column1</t>
    <phoneticPr fontId="9" type="noConversion"/>
  </si>
  <si>
    <t>李明1</t>
  </si>
  <si>
    <t>Tim.C</t>
  </si>
  <si>
    <t>Conakry 一个小柜</t>
  </si>
  <si>
    <t>Conakry PIL USD2210/20GP (含EBS)，周三外港洛美转45天，价格从10月29日到10月31日。
Conakry COSCO USD2210/20GP + EBS60，周三外港洛美转42天，价格到10月31日。
Conakry MSC USD2265/20GP + EBS65，周五外港瓦伦西亚转50-60天，价格到10月31日。</t>
    <phoneticPr fontId="9" type="noConversion"/>
  </si>
  <si>
    <t>Conakry</t>
    <phoneticPr fontId="9" type="noConversion"/>
  </si>
  <si>
    <t>11月价格</t>
    <phoneticPr fontId="9" type="noConversion"/>
  </si>
  <si>
    <t>MCC 755/20GP + DDF 30/BILL + 超重费50   周一周四外港9天直达价格到11月5号</t>
    <phoneticPr fontId="9" type="noConversion"/>
  </si>
  <si>
    <t>东莞长景</t>
    <phoneticPr fontId="9" type="noConversion"/>
  </si>
  <si>
    <t>Selina</t>
    <phoneticPr fontId="9" type="noConversion"/>
  </si>
  <si>
    <t>1*40GP+1*20GP Durban  要求14天免柜11月之后</t>
    <phoneticPr fontId="9" type="noConversion"/>
  </si>
  <si>
    <t>Durban PIL USD1038/1913 (含EBS) + AMS30/BILL，周四洋山直达24天，价格从11月1日到11月15日。
Durban ONE USD1040/1965 (含EBS) + AMS35/BILL，周四洋山直达24天，价格从11月1日到11月7日。
Durban EMC USD1000/1950 (含EBS) + AMS30/BILL，周四洋山直达24天，价格从11月1日到11月15日。</t>
    <phoneticPr fontId="9" type="noConversion"/>
  </si>
  <si>
    <t>高宝</t>
    <phoneticPr fontId="9" type="noConversion"/>
  </si>
  <si>
    <t>高宝新时代广场1008室</t>
    <phoneticPr fontId="9" type="noConversion"/>
  </si>
  <si>
    <t>未确认</t>
    <phoneticPr fontId="9" type="noConversion"/>
  </si>
  <si>
    <t>金勇，江智涛</t>
    <phoneticPr fontId="9" type="noConversion"/>
  </si>
  <si>
    <t>1015销售这周都不在，恒道有对口客服，江智涛</t>
    <phoneticPr fontId="9" type="noConversion"/>
  </si>
  <si>
    <t>领贤</t>
    <phoneticPr fontId="9" type="noConversion"/>
  </si>
  <si>
    <t>世邦</t>
    <phoneticPr fontId="9" type="noConversion"/>
  </si>
  <si>
    <t>捷盛</t>
    <phoneticPr fontId="9" type="noConversion"/>
  </si>
  <si>
    <t>贺佑喨15001838355，江智涛</t>
    <phoneticPr fontId="9" type="noConversion"/>
  </si>
  <si>
    <t>瞬华</t>
    <phoneticPr fontId="9" type="noConversion"/>
  </si>
  <si>
    <t>傲隆</t>
    <phoneticPr fontId="9" type="noConversion"/>
  </si>
  <si>
    <t>领贤</t>
    <phoneticPr fontId="9" type="noConversion"/>
  </si>
  <si>
    <t>复易</t>
    <phoneticPr fontId="9" type="noConversion"/>
  </si>
  <si>
    <t>如泰</t>
    <phoneticPr fontId="9" type="noConversion"/>
  </si>
  <si>
    <t>泽恩</t>
    <phoneticPr fontId="9" type="noConversion"/>
  </si>
  <si>
    <t>世鼎</t>
    <phoneticPr fontId="9" type="noConversion"/>
  </si>
  <si>
    <t>泰鸿</t>
    <phoneticPr fontId="9" type="noConversion"/>
  </si>
  <si>
    <t>超伦</t>
    <phoneticPr fontId="9" type="noConversion"/>
  </si>
  <si>
    <t>奥南</t>
    <phoneticPr fontId="9" type="noConversion"/>
  </si>
  <si>
    <t>恒城</t>
    <phoneticPr fontId="9" type="noConversion"/>
  </si>
  <si>
    <t>虹口区四平路311号恒城花苑</t>
    <phoneticPr fontId="9" type="noConversion"/>
  </si>
  <si>
    <t>虹口区四川北路1666号高宝新时代广场</t>
    <phoneticPr fontId="9" type="noConversion"/>
  </si>
  <si>
    <t>恒城花苑2204室</t>
    <phoneticPr fontId="9" type="noConversion"/>
  </si>
  <si>
    <t>商展</t>
    <phoneticPr fontId="9" type="noConversion"/>
  </si>
  <si>
    <t>拉各斯 20GP 40GP</t>
    <phoneticPr fontId="9" type="noConversion"/>
  </si>
  <si>
    <t>Apapa OOCL USD1725/2900 (含EBS)，周一外港直达34天，价格到11月5日。
Apapa HPL USD1750/2500 + EBS55/110，周六洋山丹吉尔转46天，价格到10月31日。
Apapa SAF USD2125/3300 + EBS60/120，周四外港直达36天，价格到10月31日。</t>
    <phoneticPr fontId="9" type="noConversion"/>
  </si>
  <si>
    <t>Dakar MSK USD2727/20GP (含EBS)，周一外港赛德东转40天，价格从11月1日到11月18日。</t>
    <phoneticPr fontId="9" type="noConversion"/>
  </si>
  <si>
    <t>卢萨卡 LUSAKA 一个高柜 10t</t>
    <phoneticPr fontId="9" type="noConversion"/>
  </si>
  <si>
    <t>Dar Es Salaam 转 
EMI USD1617/40HQ (含EBS) + 转运费5350，周四外港32+15天，价格从11月1日到11月5日。</t>
    <phoneticPr fontId="9" type="noConversion"/>
  </si>
  <si>
    <t>奥南</t>
    <phoneticPr fontId="9" type="noConversion"/>
  </si>
  <si>
    <t>周四/周四</t>
  </si>
  <si>
    <t>外港/外港</t>
  </si>
  <si>
    <t>DIR/PKG</t>
  </si>
  <si>
    <t>直达/巴生</t>
  </si>
  <si>
    <t>25/32</t>
  </si>
  <si>
    <t xml:space="preserve">WAF1 </t>
  </si>
  <si>
    <t>航线代码：MD1,免用箱14天 DTHC(EUR15/30)</t>
  </si>
  <si>
    <t>/</t>
  </si>
  <si>
    <t>目的港免用箱14天</t>
  </si>
  <si>
    <t>箱东单,到Mahe 需另外支付SPA charge USD125/TUE 预到付皆可，但必须在提单上注明</t>
  </si>
  <si>
    <r>
      <rPr>
        <sz val="11"/>
        <color theme="1"/>
        <rFont val="等线"/>
        <family val="3"/>
        <charset val="134"/>
      </rPr>
      <t>到</t>
    </r>
    <r>
      <rPr>
        <sz val="11"/>
        <color theme="1"/>
        <rFont val="宋体"/>
        <family val="1"/>
        <charset val="134"/>
        <scheme val="minor"/>
      </rPr>
      <t xml:space="preserve">Mahe </t>
    </r>
    <r>
      <rPr>
        <sz val="11"/>
        <color theme="1"/>
        <rFont val="等线"/>
        <family val="3"/>
        <charset val="134"/>
      </rPr>
      <t>需另外支付</t>
    </r>
    <r>
      <rPr>
        <sz val="11"/>
        <color theme="1"/>
        <rFont val="宋体"/>
        <family val="1"/>
        <charset val="134"/>
        <scheme val="minor"/>
      </rPr>
      <t xml:space="preserve">SPA charge USD125/TUE </t>
    </r>
    <r>
      <rPr>
        <sz val="11"/>
        <color theme="1"/>
        <rFont val="等线"/>
        <family val="3"/>
        <charset val="134"/>
      </rPr>
      <t>预到付皆可，但必须在提单上注明</t>
    </r>
  </si>
  <si>
    <t>20尺的柜 吉布提</t>
    <phoneticPr fontId="9" type="noConversion"/>
  </si>
  <si>
    <t>cosco 900 加ebs68 洋山直达21天</t>
    <phoneticPr fontId="9" type="noConversion"/>
  </si>
  <si>
    <t>Djibouti</t>
    <phoneticPr fontId="9" type="noConversion"/>
  </si>
  <si>
    <t>Dar Es Salaam, Tanzania的CIF价格、小柜、16吨</t>
    <phoneticPr fontId="9" type="noConversion"/>
  </si>
  <si>
    <t>Dar Es Salaam SAF USD850/20GP + EBS60，周四洋山新加坡转26-32天，价格到10月31日。
Dar Es Salaam EMI USD917/20GP (含EBS)，周四外港巴生转32天，价格从11月1日到11月5日。</t>
    <phoneticPr fontId="9" type="noConversion"/>
  </si>
  <si>
    <t>阿尔及尔的20尺柜和40尺高柜</t>
    <phoneticPr fontId="9" type="noConversion"/>
  </si>
  <si>
    <t>Alger CMA USD1675/3150/3225 + EBS55/110，周四洋山马耳他转36天，价格到10月31日。
Alger MSC USD1350/2600/2650 + EBS65/130，周日洋山沙特的阿卜杜拉国王港转29天，价格到10月31日。
Alger MSK USD1375/2650/2700 + EBS60/120，周日/周二洋山马耳他转37天，价格到10月31日。</t>
    <phoneticPr fontId="9" type="noConversion"/>
  </si>
  <si>
    <t>FREETOWN，MSK   小柜  11月价格</t>
    <phoneticPr fontId="9" type="noConversion"/>
  </si>
  <si>
    <t>Freetown MSK USD2465/20GP (含EBS)，周一洋山赛德东转44天，价格从11月1日到11月18日。</t>
    <phoneticPr fontId="9" type="noConversion"/>
  </si>
  <si>
    <t>传盛</t>
    <phoneticPr fontId="9" type="noConversion"/>
  </si>
  <si>
    <t>杜秀梅</t>
    <phoneticPr fontId="9" type="noConversion"/>
  </si>
  <si>
    <t>APAPA 什么价格</t>
    <phoneticPr fontId="9" type="noConversion"/>
  </si>
  <si>
    <t>Apapa SAF USD2125/3300 + EBS60/120，周四外港直达36天，价格到10月31日。
Apapa HPL USD2255/3360 + EBS55/110，周六洋山丹吉尔转46天，价格到10月31日。
Apapa OOCL USD2325/3350 (含EBS)，周一外港直达34天，价格到11月5日。</t>
    <phoneticPr fontId="9" type="noConversion"/>
  </si>
  <si>
    <t>新能日盛</t>
    <phoneticPr fontId="9" type="noConversion"/>
  </si>
  <si>
    <t>NULL</t>
    <phoneticPr fontId="9" type="noConversion"/>
  </si>
  <si>
    <t>吉布提 40GP</t>
    <phoneticPr fontId="9" type="noConversion"/>
  </si>
  <si>
    <t>国泰通</t>
    <phoneticPr fontId="9" type="noConversion"/>
  </si>
  <si>
    <t>展小倩</t>
    <phoneticPr fontId="9" type="noConversion"/>
  </si>
  <si>
    <t>利伯维尔 3个高柜 11月的船</t>
    <phoneticPr fontId="9" type="noConversion"/>
  </si>
  <si>
    <t>Libreville</t>
    <phoneticPr fontId="9" type="noConversion"/>
  </si>
  <si>
    <t>Durban HPL USD1750/40HQ + EBS110，周四洋山直达27天，价格从11月1日到11月14日。
Durban PIL USD1863/40HQ (含EBS) + AMS30/BILL，周四洋山直达24天，价格从11月1日到11月15日。
Durban CMA USD1763/40HQ + EBS110 + AMS35/BILL，周三洋山直达25天，价格从11月1日到11月14日。</t>
    <phoneticPr fontId="9" type="noConversion"/>
  </si>
  <si>
    <t>纳米比亚鲸湾港的40尺高柜</t>
    <phoneticPr fontId="9" type="noConversion"/>
  </si>
  <si>
    <t>德班的40尺高柜</t>
    <phoneticPr fontId="9" type="noConversion"/>
  </si>
  <si>
    <t>Walvis Bay</t>
    <phoneticPr fontId="9" type="noConversion"/>
  </si>
  <si>
    <t>Libreville (Gabon) ,2X20GP,20T</t>
    <phoneticPr fontId="9" type="noConversion"/>
  </si>
  <si>
    <t>Libreville MSK USD1935/20GP (含EBS)，周二洋山黑角转45天，价格到10月31日。
Libreville SAF USD1900/20GP + EBS60，周二洋山黑角转45天，价格到10月31日。
Libreville MSC USD1900/20GP + EBS65，周五外港洛美转50天，价格到10月31日。</t>
    <phoneticPr fontId="9" type="noConversion"/>
  </si>
  <si>
    <t>上海到mombasa 一小一高</t>
    <phoneticPr fontId="9" type="noConversion"/>
  </si>
  <si>
    <t>Mombasa BLINE USD775/ + EBS50/100，周四外港直达30天，价格到10月31日。
Mombasa EMI USD892/1567 (含EBS)，周四外港巴生转32天，价格从11月1日到11月5日。
Mombasa SAF USD850/1500 + EBS60/120，周四洋山新加坡转23天，价格到10月31日。</t>
    <phoneticPr fontId="9" type="noConversion"/>
  </si>
  <si>
    <t>ICD Nairobi 1x20GP  6322KG</t>
    <phoneticPr fontId="9" type="noConversion"/>
  </si>
  <si>
    <t>Mombasa 转 
EMI USD892/20GP (含EBS) + 转运费630，周四外港32+15天，价格从11月1日到11月5日。
EMC USD950/20GP (含EBS) + 转运费600，周四外港30+15天，价格从11月1日到11月10日。</t>
    <phoneticPr fontId="9" type="noConversion"/>
  </si>
  <si>
    <t>Nairobi</t>
    <phoneticPr fontId="9" type="noConversion"/>
  </si>
  <si>
    <t>远磐</t>
    <phoneticPr fontId="9" type="noConversion"/>
  </si>
  <si>
    <t>阿兴</t>
    <phoneticPr fontId="9" type="noConversion"/>
  </si>
  <si>
    <t>40HQ去Tema最近</t>
    <phoneticPr fontId="9" type="noConversion"/>
  </si>
  <si>
    <t>oocl 11月5号2950 外港直达42天</t>
    <phoneticPr fontId="9" type="noConversion"/>
  </si>
  <si>
    <t>11月份货还没好，好了再问你</t>
    <phoneticPr fontId="9" type="noConversion"/>
  </si>
  <si>
    <t>布基纳法索 -博博迪乌拉索</t>
    <phoneticPr fontId="9" type="noConversion"/>
  </si>
  <si>
    <t>Bobo-Dioulasso</t>
    <phoneticPr fontId="9" type="noConversion"/>
  </si>
  <si>
    <t>不去</t>
    <phoneticPr fontId="9" type="noConversion"/>
  </si>
  <si>
    <t>Mombasa 1x40FR 19t 2.8*2.8*2.5m</t>
    <phoneticPr fontId="9" type="noConversion"/>
  </si>
  <si>
    <t>…</t>
    <phoneticPr fontId="9" type="noConversion"/>
  </si>
  <si>
    <t>赛勇</t>
    <phoneticPr fontId="9" type="noConversion"/>
  </si>
  <si>
    <t>新</t>
    <phoneticPr fontId="9" type="noConversion"/>
  </si>
  <si>
    <t>叶问</t>
    <phoneticPr fontId="9" type="noConversion"/>
  </si>
  <si>
    <t>186-2136-6315</t>
    <phoneticPr fontId="9" type="noConversion"/>
  </si>
  <si>
    <t>摩加迪沙20GP</t>
    <phoneticPr fontId="9" type="noConversion"/>
  </si>
  <si>
    <t>Mogadishu CMA USD1775/20GP + EBS55，周四/周日外港/洋山丹戎帕拉帕斯港/新加坡转33天，价格从11月1日到11月14日。
Mogadishu BLINE USD1850/20GP + EBS50，周三外港迪拜转35天，价格到11月4日。</t>
    <phoneticPr fontId="9" type="noConversion"/>
  </si>
  <si>
    <t>Mogadishu</t>
    <phoneticPr fontId="9" type="noConversion"/>
  </si>
  <si>
    <t>MSC 价格</t>
    <phoneticPr fontId="9" type="noConversion"/>
  </si>
  <si>
    <t>青岛市市北区敦化路138号西王大厦11楼1105-6</t>
    <phoneticPr fontId="7" type="noConversion"/>
  </si>
  <si>
    <t>成本</t>
    <phoneticPr fontId="9" type="noConversion"/>
  </si>
  <si>
    <t>类型</t>
    <phoneticPr fontId="9" type="noConversion"/>
  </si>
  <si>
    <t>卖价</t>
    <phoneticPr fontId="9" type="noConversion"/>
  </si>
  <si>
    <t>提单更改费：RMB450/票；电放费：RMB450/票；分并单费：RMB450/票；异地放单费(更改签单地费)：RMB450/票；船证明签发费：RMB200/票；上海签单费(起运港非上海)：RMB450/票、第三地放单450/票</t>
  </si>
  <si>
    <t>合单/拆单/改单费：RMB300（提单上涉及的所有内容/按次数计算）；船证费:RMB200;电放费:RMB300</t>
  </si>
  <si>
    <t>9-1始设备60</t>
  </si>
  <si>
    <t>YML普箱</t>
  </si>
  <si>
    <t>非美加线</t>
  </si>
  <si>
    <t>美加线</t>
  </si>
  <si>
    <t>合计</t>
    <phoneticPr fontId="9" type="noConversion"/>
  </si>
  <si>
    <t>蒙巴萨20GP</t>
    <phoneticPr fontId="9" type="noConversion"/>
  </si>
  <si>
    <t>Mombasa BLINE USD775/20GP + EBS50，周四外港直达30天，价格到11月4日。
Mombasa EMI USD892/20GP (含EBS)，周四/周四外港/外港直达/巴生转25/32天，价格从11月1日到11月5日。
Mombasa EMC USD950/20GP (含EBS)，周四外港直达30天，价格从11月1日到11月7日。</t>
    <phoneticPr fontId="9" type="noConversion"/>
  </si>
  <si>
    <t>新的低价
BLINE 下周四能不能订</t>
    <phoneticPr fontId="9" type="noConversion"/>
  </si>
  <si>
    <t>40尺柜，CIF Benghazi Libya</t>
    <phoneticPr fontId="9" type="noConversion"/>
  </si>
  <si>
    <t>Benghazi</t>
    <phoneticPr fontId="9" type="noConversion"/>
  </si>
  <si>
    <t>TANGER  40HQ</t>
  </si>
  <si>
    <t>Port Tangier SAF USD2200/40HQ + EBS120，周五洋山直达23天，价格从11月1日到11月15日。
Port Tangier MSK USD2225/40HQ + EBS120，周五洋山直达24天，价格从11月1日到11月15日。
Port Tangier CMA USD2675/40HQ + EBS110，周日洋山阿尔赫西拉斯转30天，价格从11月1日到11月14日。</t>
    <phoneticPr fontId="9" type="noConversion"/>
  </si>
  <si>
    <t>Tangier</t>
    <phoneticPr fontId="9" type="noConversion"/>
  </si>
  <si>
    <t>Benghazi CMA USD3150/40GP + EBS110，周一洋山马耳他转36天，价格从11月1日到11月14日。
Benghazi HPL价格 USD2450/40GP+EBS110+战争附加费USD130，到14号</t>
    <phoneticPr fontId="9" type="noConversion"/>
  </si>
  <si>
    <t>Cotonou in Benin (West Africa)，40HQ</t>
    <phoneticPr fontId="9" type="noConversion"/>
  </si>
  <si>
    <t>Cotonou HPL USD2800/40HQ + EBS110，周六洋山丹吉尔转44天，价格从11月1日到11月14日。
Cotonou COSCO USD3510/40HQ + EBS120，周三外港直达38天，价格从11月1日到11月18日。
Cotonou CMA USD3863/40HQ + EBS110，周五外四直达46天，价格从11月1日到11月18日。</t>
    <phoneticPr fontId="9" type="noConversion"/>
  </si>
  <si>
    <t>Cotonou</t>
    <phoneticPr fontId="9" type="noConversion"/>
  </si>
  <si>
    <t>新的低价</t>
    <phoneticPr fontId="9" type="noConversion"/>
  </si>
  <si>
    <t>欧地/北非</t>
    <phoneticPr fontId="9" type="noConversion"/>
  </si>
  <si>
    <t>Port Sudan SAF USD1513/40GP + EBS120，周二洋山丹戎帕拉帕斯港转33天，价格到11月15日。
PIL 1800+DHTC210预付，洋山吉达转30天11-1价格</t>
    <phoneticPr fontId="9" type="noConversion"/>
  </si>
  <si>
    <t>Port Sudan SAF USD1513/40HQ + EBS120，周二洋山丹戎帕拉帕斯港转33天，价格到11月15日。
PIL 1800+DHTC210预付，洋山吉达转30天11-1价格</t>
    <phoneticPr fontId="9" type="noConversion"/>
  </si>
  <si>
    <t>Port Sudan 40GP</t>
    <phoneticPr fontId="9" type="noConversion"/>
  </si>
  <si>
    <t>荣诚</t>
    <phoneticPr fontId="9" type="noConversion"/>
  </si>
  <si>
    <t>李明</t>
    <phoneticPr fontId="9" type="noConversion"/>
  </si>
  <si>
    <t>Port Sudan 40HQ</t>
    <phoneticPr fontId="9" type="noConversion"/>
  </si>
  <si>
    <t>阿诺斯</t>
    <phoneticPr fontId="9" type="noConversion"/>
  </si>
  <si>
    <t>新</t>
    <phoneticPr fontId="9" type="noConversion"/>
  </si>
  <si>
    <t>陈之敏</t>
    <phoneticPr fontId="9" type="noConversion"/>
  </si>
  <si>
    <t>市场部经理</t>
    <phoneticPr fontId="9" type="noConversion"/>
  </si>
  <si>
    <t>135-0195-1322</t>
    <phoneticPr fontId="9" type="noConversion"/>
  </si>
  <si>
    <t>021-33772327</t>
    <phoneticPr fontId="9" type="noConversion"/>
  </si>
  <si>
    <t>有一点货，冷，看吧</t>
    <phoneticPr fontId="9" type="noConversion"/>
  </si>
  <si>
    <t>速洋</t>
    <phoneticPr fontId="9" type="noConversion"/>
  </si>
  <si>
    <t>陆佳豪</t>
    <phoneticPr fontId="9" type="noConversion"/>
  </si>
  <si>
    <t>139-1827-1534</t>
    <phoneticPr fontId="9" type="noConversion"/>
  </si>
  <si>
    <t>021-60548338</t>
    <phoneticPr fontId="9" type="noConversion"/>
  </si>
  <si>
    <t>澳欧，印巴红海，主要同行，直客也有</t>
    <phoneticPr fontId="9" type="noConversion"/>
  </si>
  <si>
    <t>湫锦</t>
    <phoneticPr fontId="9" type="noConversion"/>
  </si>
  <si>
    <t>张继彬</t>
    <phoneticPr fontId="9" type="noConversion"/>
  </si>
  <si>
    <t>销售</t>
    <phoneticPr fontId="9" type="noConversion"/>
  </si>
  <si>
    <t>186-1665-3188</t>
    <phoneticPr fontId="9" type="noConversion"/>
  </si>
  <si>
    <t>021-65859312-824</t>
    <phoneticPr fontId="9" type="noConversion"/>
  </si>
  <si>
    <t>前台阿姨给，说非洲好像不做</t>
    <phoneticPr fontId="9" type="noConversion"/>
  </si>
  <si>
    <t>澜风</t>
    <phoneticPr fontId="9" type="noConversion"/>
  </si>
  <si>
    <t>丁欣荣</t>
    <phoneticPr fontId="9" type="noConversion"/>
  </si>
  <si>
    <t>市场部</t>
    <phoneticPr fontId="9" type="noConversion"/>
  </si>
  <si>
    <t>139-1647-6889</t>
    <phoneticPr fontId="9" type="noConversion"/>
  </si>
  <si>
    <t>021-33773501/2-223</t>
    <phoneticPr fontId="9" type="noConversion"/>
  </si>
  <si>
    <t>澳洲同行、直客都做，非洲基本没有</t>
    <phoneticPr fontId="9" type="noConversion"/>
  </si>
  <si>
    <t>深圳汇昇</t>
    <phoneticPr fontId="9" type="noConversion"/>
  </si>
  <si>
    <t>杨加兴</t>
    <phoneticPr fontId="9" type="noConversion"/>
  </si>
  <si>
    <t>商务经理</t>
    <phoneticPr fontId="9" type="noConversion"/>
  </si>
  <si>
    <t>189-1797-8793</t>
    <phoneticPr fontId="9" type="noConversion"/>
  </si>
  <si>
    <t>021-65020006/56-801</t>
    <phoneticPr fontId="9" type="noConversion"/>
  </si>
  <si>
    <t>代理货</t>
    <phoneticPr fontId="9" type="noConversion"/>
  </si>
  <si>
    <t>青岛威达</t>
    <phoneticPr fontId="9" type="noConversion"/>
  </si>
  <si>
    <t>潘浩</t>
    <phoneticPr fontId="9" type="noConversion"/>
  </si>
  <si>
    <t>客服</t>
    <phoneticPr fontId="9" type="noConversion"/>
  </si>
  <si>
    <t>153-4707-6528</t>
    <phoneticPr fontId="9" type="noConversion"/>
  </si>
  <si>
    <t>021-63939300-8675</t>
    <phoneticPr fontId="9" type="noConversion"/>
  </si>
  <si>
    <t>暂时比较少</t>
    <phoneticPr fontId="9" type="noConversion"/>
  </si>
  <si>
    <t>博仕威</t>
    <phoneticPr fontId="9" type="noConversion"/>
  </si>
  <si>
    <t>吴聪宇</t>
    <phoneticPr fontId="9" type="noConversion"/>
  </si>
  <si>
    <t>业务经理</t>
    <phoneticPr fontId="9" type="noConversion"/>
  </si>
  <si>
    <t>170-9183-5864</t>
    <phoneticPr fontId="9" type="noConversion"/>
  </si>
  <si>
    <t>021-65672597</t>
    <phoneticPr fontId="9" type="noConversion"/>
  </si>
  <si>
    <t>人不在，同事指点拿的。有货也有口子</t>
    <phoneticPr fontId="9" type="noConversion"/>
  </si>
  <si>
    <t>欧诺</t>
    <phoneticPr fontId="9" type="noConversion"/>
  </si>
  <si>
    <t>韩冰</t>
    <phoneticPr fontId="9" type="noConversion"/>
  </si>
  <si>
    <t>139-1723-4091</t>
    <phoneticPr fontId="9" type="noConversion"/>
  </si>
  <si>
    <t>021-60768400-106</t>
    <phoneticPr fontId="9" type="noConversion"/>
  </si>
  <si>
    <t>睿弘</t>
    <phoneticPr fontId="9" type="noConversion"/>
  </si>
  <si>
    <t>夏天</t>
    <phoneticPr fontId="9" type="noConversion"/>
  </si>
  <si>
    <t>159-0041-6390</t>
    <phoneticPr fontId="9" type="noConversion"/>
  </si>
  <si>
    <t>021-6131-6938</t>
    <phoneticPr fontId="9" type="noConversion"/>
  </si>
  <si>
    <t>危险品。有陈芸联系，记忆比较模糊了</t>
    <phoneticPr fontId="9" type="noConversion"/>
  </si>
  <si>
    <t>欣竑</t>
    <phoneticPr fontId="9" type="noConversion"/>
  </si>
  <si>
    <t>袁</t>
    <phoneticPr fontId="9" type="noConversion"/>
  </si>
  <si>
    <t>操作</t>
    <phoneticPr fontId="9" type="noConversion"/>
  </si>
  <si>
    <t>速展</t>
    <phoneticPr fontId="9" type="noConversion"/>
  </si>
  <si>
    <t>汤</t>
    <phoneticPr fontId="9" type="noConversion"/>
  </si>
  <si>
    <t>写的名片</t>
    <phoneticPr fontId="9" type="noConversion"/>
  </si>
  <si>
    <t>泛和</t>
    <phoneticPr fontId="9" type="noConversion"/>
  </si>
  <si>
    <t>陈丛</t>
    <phoneticPr fontId="9" type="noConversion"/>
  </si>
  <si>
    <t>业务主管</t>
    <phoneticPr fontId="9" type="noConversion"/>
  </si>
  <si>
    <t>155-7252-4309</t>
    <phoneticPr fontId="9" type="noConversion"/>
  </si>
  <si>
    <t>021-50585080-822</t>
    <phoneticPr fontId="9" type="noConversion"/>
  </si>
  <si>
    <t>散杂，整也有</t>
    <phoneticPr fontId="9" type="noConversion"/>
  </si>
  <si>
    <t>捷盛</t>
  </si>
  <si>
    <t>11月CMA  去  科纳克里小柜价格</t>
    <phoneticPr fontId="9" type="noConversion"/>
  </si>
  <si>
    <t>Conakry CMA USD2638/20GP + EBS55，周日洋山阿尔赫西拉斯转42天，价格到11月18日。</t>
    <phoneticPr fontId="9" type="noConversion"/>
  </si>
  <si>
    <t>11月的价格1029第六次问</t>
    <phoneticPr fontId="9" type="noConversion"/>
  </si>
  <si>
    <t>昌迈</t>
    <phoneticPr fontId="9" type="noConversion"/>
  </si>
  <si>
    <t>陈寅宾</t>
    <phoneticPr fontId="9" type="noConversion"/>
  </si>
  <si>
    <t>海外部客服</t>
    <phoneticPr fontId="9" type="noConversion"/>
  </si>
  <si>
    <t>136-7154-1909</t>
    <phoneticPr fontId="9" type="noConversion"/>
  </si>
  <si>
    <t>021-35072223/9-801</t>
    <phoneticPr fontId="9" type="noConversion"/>
  </si>
  <si>
    <t>恒道是做拼箱的吗？</t>
    <phoneticPr fontId="9" type="noConversion"/>
  </si>
  <si>
    <t>诺丁</t>
    <phoneticPr fontId="9" type="noConversion"/>
  </si>
  <si>
    <t>王文成</t>
    <phoneticPr fontId="9" type="noConversion"/>
  </si>
  <si>
    <t>市场部主管</t>
    <phoneticPr fontId="9" type="noConversion"/>
  </si>
  <si>
    <t>150-0017-5447</t>
    <phoneticPr fontId="9" type="noConversion"/>
  </si>
  <si>
    <t>021-51619158-806</t>
    <phoneticPr fontId="9" type="noConversion"/>
  </si>
  <si>
    <t>很早就认识张周赛</t>
    <phoneticPr fontId="9" type="noConversion"/>
  </si>
  <si>
    <t>海骏</t>
    <phoneticPr fontId="9" type="noConversion"/>
  </si>
  <si>
    <t>缪擁建</t>
    <phoneticPr fontId="9" type="noConversion"/>
  </si>
  <si>
    <t>副总经理</t>
    <phoneticPr fontId="9" type="noConversion"/>
  </si>
  <si>
    <t>139-1891-6797</t>
    <phoneticPr fontId="9" type="noConversion"/>
  </si>
  <si>
    <t>021-61407999-816</t>
    <phoneticPr fontId="9" type="noConversion"/>
  </si>
  <si>
    <t>找沈经理，非洲货有肯定有的，回头让沈找你问价</t>
    <phoneticPr fontId="9" type="noConversion"/>
  </si>
  <si>
    <t>187-2120-9676</t>
    <phoneticPr fontId="9" type="noConversion"/>
  </si>
  <si>
    <t>1025人不在，缪总建议找沈</t>
    <phoneticPr fontId="9" type="noConversion"/>
  </si>
  <si>
    <t>忠进</t>
    <phoneticPr fontId="9" type="noConversion"/>
  </si>
  <si>
    <t>王洪亮</t>
    <phoneticPr fontId="9" type="noConversion"/>
  </si>
  <si>
    <t>152-21511275</t>
    <phoneticPr fontId="9" type="noConversion"/>
  </si>
  <si>
    <t>021-51087848-236</t>
    <phoneticPr fontId="9" type="noConversion"/>
  </si>
  <si>
    <t>谢传明有在合作</t>
    <phoneticPr fontId="9" type="noConversion"/>
  </si>
  <si>
    <t>冠亚</t>
    <phoneticPr fontId="9" type="noConversion"/>
  </si>
  <si>
    <t>刘洋</t>
    <phoneticPr fontId="9" type="noConversion"/>
  </si>
  <si>
    <t>182-2614-8510</t>
    <phoneticPr fontId="9" type="noConversion"/>
  </si>
  <si>
    <t>021-60319803-819</t>
    <phoneticPr fontId="9" type="noConversion"/>
  </si>
  <si>
    <t>17621586210认识张周赛，老板也认识</t>
    <phoneticPr fontId="9" type="noConversion"/>
  </si>
  <si>
    <t>河姆斯</t>
    <phoneticPr fontId="9" type="noConversion"/>
  </si>
  <si>
    <t>何丰</t>
    <phoneticPr fontId="9" type="noConversion"/>
  </si>
  <si>
    <t>183-1710-1170</t>
    <phoneticPr fontId="9" type="noConversion"/>
  </si>
  <si>
    <t>021-61431682</t>
    <phoneticPr fontId="9" type="noConversion"/>
  </si>
  <si>
    <t>来过人有一段时间了，非洲货非洲少</t>
    <phoneticPr fontId="9" type="noConversion"/>
  </si>
  <si>
    <t>西轮</t>
    <phoneticPr fontId="9" type="noConversion"/>
  </si>
  <si>
    <t>邓涛</t>
    <phoneticPr fontId="9" type="noConversion"/>
  </si>
  <si>
    <t>Manager</t>
    <phoneticPr fontId="9" type="noConversion"/>
  </si>
  <si>
    <t>187-2108-9173</t>
    <phoneticPr fontId="9" type="noConversion"/>
  </si>
  <si>
    <t>021-55137120-886</t>
    <phoneticPr fontId="9" type="noConversion"/>
  </si>
  <si>
    <t>前台拿的，两员工比较木讷</t>
    <phoneticPr fontId="9" type="noConversion"/>
  </si>
  <si>
    <t>迅博</t>
    <phoneticPr fontId="9" type="noConversion"/>
  </si>
  <si>
    <t>王雪婷</t>
    <phoneticPr fontId="9" type="noConversion"/>
  </si>
  <si>
    <t>189-0166-4224</t>
    <phoneticPr fontId="9" type="noConversion"/>
  </si>
  <si>
    <t>021-61178980/8</t>
    <phoneticPr fontId="9" type="noConversion"/>
  </si>
  <si>
    <t>王姐13501664224没啥非洲，同行直客都有，老听说恒道</t>
    <phoneticPr fontId="9" type="noConversion"/>
  </si>
  <si>
    <t>总经理</t>
    <phoneticPr fontId="9" type="noConversion"/>
  </si>
  <si>
    <t>绿危</t>
    <phoneticPr fontId="9" type="noConversion"/>
  </si>
  <si>
    <t>朱嘉琦</t>
    <phoneticPr fontId="9" type="noConversion"/>
  </si>
  <si>
    <t>186-2528-1496</t>
    <phoneticPr fontId="9" type="noConversion"/>
  </si>
  <si>
    <t>主打东南亚危险品，解传明，新人话多</t>
    <phoneticPr fontId="9" type="noConversion"/>
  </si>
  <si>
    <t>博尔晟</t>
    <phoneticPr fontId="9" type="noConversion"/>
  </si>
  <si>
    <t>任晨䂀</t>
    <phoneticPr fontId="9" type="noConversion"/>
  </si>
  <si>
    <t>市场专员</t>
    <phoneticPr fontId="9" type="noConversion"/>
  </si>
  <si>
    <t>137-6169-7002</t>
    <phoneticPr fontId="9" type="noConversion"/>
  </si>
  <si>
    <t>021-62158060-3-8009</t>
    <phoneticPr fontId="9" type="noConversion"/>
  </si>
  <si>
    <t>兰湾湾，印象应该不深</t>
    <phoneticPr fontId="9" type="noConversion"/>
  </si>
  <si>
    <t>中特</t>
    <phoneticPr fontId="9" type="noConversion"/>
  </si>
  <si>
    <t>许雅婷</t>
    <phoneticPr fontId="9" type="noConversion"/>
  </si>
  <si>
    <t>市场经理</t>
    <phoneticPr fontId="9" type="noConversion"/>
  </si>
  <si>
    <t>186-2198-0496</t>
    <phoneticPr fontId="9" type="noConversion"/>
  </si>
  <si>
    <t>021-35323300-813</t>
    <phoneticPr fontId="9" type="noConversion"/>
  </si>
  <si>
    <t>直客，不太多</t>
    <phoneticPr fontId="9" type="noConversion"/>
  </si>
  <si>
    <t>Libreville PIL USD4220/40HQ (含EBS)，周一洋山黑角转62天，价格到11月14日。</t>
  </si>
  <si>
    <t>已1029，跟了好久了</t>
    <phoneticPr fontId="9" type="noConversion"/>
  </si>
  <si>
    <t>Walvis Bay CMA USD3563/40HQ + EBS110，周四外四直达32天，价格到11月18日。</t>
  </si>
  <si>
    <t>Walvis Bay COSCO USD3310/40HQ + EBS120，周三外港直达30天，价格到11月18日。
Walvis Bay CMA USD3563/40HQ + EBS110，周四外四直达32天，价格到11月18日。</t>
    <phoneticPr fontId="9" type="noConversion"/>
  </si>
  <si>
    <t>汉神</t>
  </si>
  <si>
    <t>Onne MSK USD2510/20GP (含EBS)，周四外港直达41天，价格到11月18日。
Onne CMA USD2488/20GP + EBS55，周四外四直达39天，价格到11月18日。
Onne COSCO USD2660/20GP + EBS60，周三外港洛美转46天，价格到11月18日。</t>
    <phoneticPr fontId="9" type="noConversion"/>
  </si>
  <si>
    <t>ONNE 1*20GP</t>
    <phoneticPr fontId="9" type="noConversion"/>
  </si>
  <si>
    <t>Onne</t>
    <phoneticPr fontId="9" type="noConversion"/>
  </si>
  <si>
    <t>Gaborone Botswana  小柜大柜</t>
    <phoneticPr fontId="9" type="noConversion"/>
  </si>
  <si>
    <t>Durban 转 
COSCO USD890/1780 + EBS60/120 + AMS30/BILL + 转运费1500/2600，周四/周六洋山/外港24+15天</t>
    <phoneticPr fontId="9" type="noConversion"/>
  </si>
  <si>
    <t>Gaborone</t>
    <phoneticPr fontId="9" type="noConversion"/>
  </si>
  <si>
    <t>8类危险品整柜到尼日尼亚拉各斯四羟甲基硫酸膦 29313990 20GP</t>
    <phoneticPr fontId="9" type="noConversion"/>
  </si>
  <si>
    <t>MSK 危险品附加费USD150
Apapa MSK USD2910/20GP (含EBS)，周四外港直达36天，价格到11月18日。</t>
    <phoneticPr fontId="9" type="noConversion"/>
  </si>
  <si>
    <t>海上海10号楼1601室</t>
    <phoneticPr fontId="9" type="noConversion"/>
  </si>
  <si>
    <t>OK</t>
    <phoneticPr fontId="9" type="noConversion"/>
  </si>
  <si>
    <t>海上海10号楼1608室</t>
    <phoneticPr fontId="9" type="noConversion"/>
  </si>
  <si>
    <t>海上海10号楼1606室</t>
    <phoneticPr fontId="9" type="noConversion"/>
  </si>
  <si>
    <t>海上海10号楼1305室</t>
    <phoneticPr fontId="9" type="noConversion"/>
  </si>
  <si>
    <t>Column1</t>
    <phoneticPr fontId="9" type="noConversion"/>
  </si>
  <si>
    <t>海上海10号楼1207室</t>
    <phoneticPr fontId="9" type="noConversion"/>
  </si>
  <si>
    <t>海上海10号楼1202室</t>
    <phoneticPr fontId="9" type="noConversion"/>
  </si>
  <si>
    <t>海上海10号楼705室</t>
    <phoneticPr fontId="9" type="noConversion"/>
  </si>
  <si>
    <t>海上海10号楼608室</t>
    <phoneticPr fontId="9" type="noConversion"/>
  </si>
  <si>
    <t>海上海10号楼507室</t>
    <phoneticPr fontId="9" type="noConversion"/>
  </si>
  <si>
    <t>海上海</t>
    <phoneticPr fontId="9" type="noConversion"/>
  </si>
  <si>
    <t>海上海10号楼506室</t>
    <phoneticPr fontId="9" type="noConversion"/>
  </si>
  <si>
    <t>海上海9号楼2105室</t>
    <phoneticPr fontId="9" type="noConversion"/>
  </si>
  <si>
    <t>海上海9号楼1902室</t>
    <phoneticPr fontId="9" type="noConversion"/>
  </si>
  <si>
    <t>尚望</t>
    <phoneticPr fontId="9" type="noConversion"/>
  </si>
  <si>
    <t>海上海9号楼405室</t>
    <phoneticPr fontId="9" type="noConversion"/>
  </si>
  <si>
    <t>鼎立</t>
    <phoneticPr fontId="9" type="noConversion"/>
  </si>
  <si>
    <t>鼎立大厦1306室</t>
    <phoneticPr fontId="9" type="noConversion"/>
  </si>
  <si>
    <t>鼎立大厦1908室</t>
    <phoneticPr fontId="9" type="noConversion"/>
  </si>
  <si>
    <t>虹口区长阳路235号鼎立大厦</t>
    <phoneticPr fontId="9" type="noConversion"/>
  </si>
  <si>
    <t>鼎立大厦1805室</t>
    <phoneticPr fontId="9" type="noConversion"/>
  </si>
  <si>
    <t>报关公司</t>
    <phoneticPr fontId="9" type="noConversion"/>
  </si>
  <si>
    <t>博仕</t>
    <phoneticPr fontId="9" type="noConversion"/>
  </si>
  <si>
    <t>鼎立大厦2408室</t>
    <phoneticPr fontId="9" type="noConversion"/>
  </si>
  <si>
    <t>有货也有口子</t>
    <phoneticPr fontId="9" type="noConversion"/>
  </si>
  <si>
    <t>威达</t>
    <phoneticPr fontId="9" type="noConversion"/>
  </si>
  <si>
    <t>鼎立大厦2205-7室</t>
    <phoneticPr fontId="9" type="noConversion"/>
  </si>
  <si>
    <t>汇昇</t>
    <phoneticPr fontId="9" type="noConversion"/>
  </si>
  <si>
    <t>深圳公司上海分公司</t>
    <phoneticPr fontId="9" type="noConversion"/>
  </si>
  <si>
    <t>澳洲，同行直客都做，非洲基本没有</t>
    <phoneticPr fontId="9" type="noConversion"/>
  </si>
  <si>
    <t>前台阿姨给的名片，说非洲好像不做</t>
    <phoneticPr fontId="9" type="noConversion"/>
  </si>
  <si>
    <t>合生</t>
    <phoneticPr fontId="9" type="noConversion"/>
  </si>
  <si>
    <t>合生财富广场A栋904室</t>
    <phoneticPr fontId="9" type="noConversion"/>
  </si>
  <si>
    <t>海上海8号楼1502室</t>
    <phoneticPr fontId="9" type="noConversion"/>
  </si>
  <si>
    <t>海上海8号楼1803室</t>
    <phoneticPr fontId="9" type="noConversion"/>
  </si>
  <si>
    <t>澳欧印巴红海，主要同行直客也有</t>
    <phoneticPr fontId="9" type="noConversion"/>
  </si>
  <si>
    <t>海上海8号楼1607室</t>
    <phoneticPr fontId="9" type="noConversion"/>
  </si>
  <si>
    <t>海上海?号楼1503室</t>
    <phoneticPr fontId="9" type="noConversion"/>
  </si>
  <si>
    <t>澜风几号楼</t>
    <phoneticPr fontId="9" type="noConversion"/>
  </si>
  <si>
    <t>focus</t>
    <phoneticPr fontId="9" type="noConversion"/>
  </si>
  <si>
    <t>Kampala Uganda  40GP 5t</t>
    <phoneticPr fontId="9" type="noConversion"/>
  </si>
  <si>
    <t>Mombasa 转 
EMI USD1567/40GP (含EBS) + 转运费3100，周四/周四外港/外港25/32+15天，价格到11月5日。
EMC USD1650/40GP (含EBS) + 转运费3600，周四外港30+15天，价格到11月7日。</t>
    <phoneticPr fontId="9" type="noConversion"/>
  </si>
  <si>
    <t>南非德班  40GP圣延节礼物</t>
    <phoneticPr fontId="9" type="noConversion"/>
  </si>
  <si>
    <t>Durban COSCO USD1750/40GP + EBS120 + AMS30/BILL，周四/周六洋山/外港直达24天，价格到11月14日。
Durban EMC USD1859/40GP (含EBS) + AMS30/BILL，周四洋山直达24天，价格到11月14日。
Durban HPL USD1750/40GP + EBS110，周四洋山直达27天，价格到11月14日。</t>
    <phoneticPr fontId="9" type="noConversion"/>
  </si>
  <si>
    <t>传书</t>
    <phoneticPr fontId="9" type="noConversion"/>
  </si>
  <si>
    <t>新</t>
    <phoneticPr fontId="9" type="noConversion"/>
  </si>
  <si>
    <t>施正春</t>
    <phoneticPr fontId="9" type="noConversion"/>
  </si>
  <si>
    <t>158-0217-7345</t>
    <phoneticPr fontId="9" type="noConversion"/>
  </si>
  <si>
    <t>021-63069605</t>
    <phoneticPr fontId="9" type="noConversion"/>
  </si>
  <si>
    <t>没有接触过</t>
    <phoneticPr fontId="9" type="noConversion"/>
  </si>
  <si>
    <t>艾克特</t>
    <phoneticPr fontId="9" type="noConversion"/>
  </si>
  <si>
    <t>魏亚利</t>
    <phoneticPr fontId="9" type="noConversion"/>
  </si>
  <si>
    <t>销售经理</t>
    <phoneticPr fontId="9" type="noConversion"/>
  </si>
  <si>
    <t>136-6194-4640</t>
    <phoneticPr fontId="9" type="noConversion"/>
  </si>
  <si>
    <t>021-56513053-814</t>
    <phoneticPr fontId="9" type="noConversion"/>
  </si>
  <si>
    <t>不是很多</t>
    <phoneticPr fontId="9" type="noConversion"/>
  </si>
  <si>
    <t>谊洋</t>
    <phoneticPr fontId="9" type="noConversion"/>
  </si>
  <si>
    <t>应雁</t>
    <phoneticPr fontId="9" type="noConversion"/>
  </si>
  <si>
    <t>经理</t>
    <phoneticPr fontId="9" type="noConversion"/>
  </si>
  <si>
    <t>135-6436-2528</t>
    <phoneticPr fontId="9" type="noConversion"/>
  </si>
  <si>
    <t>021-56037666-215</t>
    <phoneticPr fontId="9" type="noConversion"/>
  </si>
  <si>
    <t>说没有非洲货，应小姐</t>
    <phoneticPr fontId="9" type="noConversion"/>
  </si>
  <si>
    <t>竑达</t>
    <phoneticPr fontId="9" type="noConversion"/>
  </si>
  <si>
    <t>李晓晨</t>
    <phoneticPr fontId="9" type="noConversion"/>
  </si>
  <si>
    <t>销售</t>
    <phoneticPr fontId="9" type="noConversion"/>
  </si>
  <si>
    <t>135-6416-0701</t>
    <phoneticPr fontId="9" type="noConversion"/>
  </si>
  <si>
    <t>021-63570520-108</t>
    <phoneticPr fontId="9" type="noConversion"/>
  </si>
  <si>
    <t>知道谢，有货，不是很多</t>
    <phoneticPr fontId="9" type="noConversion"/>
  </si>
  <si>
    <t>中和</t>
    <phoneticPr fontId="9" type="noConversion"/>
  </si>
  <si>
    <t>史济鸣</t>
    <phoneticPr fontId="9" type="noConversion"/>
  </si>
  <si>
    <t>销售主管</t>
    <phoneticPr fontId="9" type="noConversion"/>
  </si>
  <si>
    <t>138-1793-2357</t>
    <phoneticPr fontId="9" type="noConversion"/>
  </si>
  <si>
    <t>021-51877698-118</t>
    <phoneticPr fontId="9" type="noConversion"/>
  </si>
  <si>
    <t>知道恒道，经常有人跑，但说不上来联系人</t>
    <phoneticPr fontId="9" type="noConversion"/>
  </si>
  <si>
    <t>全和</t>
    <phoneticPr fontId="9" type="noConversion"/>
  </si>
  <si>
    <t>陈燕婷</t>
    <phoneticPr fontId="9" type="noConversion"/>
  </si>
  <si>
    <t>销售部主管</t>
    <phoneticPr fontId="9" type="noConversion"/>
  </si>
  <si>
    <t>186-2185-2902</t>
    <phoneticPr fontId="9" type="noConversion"/>
  </si>
  <si>
    <t>021-61429059</t>
    <phoneticPr fontId="9" type="noConversion"/>
  </si>
  <si>
    <t>申远</t>
    <phoneticPr fontId="9" type="noConversion"/>
  </si>
  <si>
    <t>过炯</t>
    <phoneticPr fontId="9" type="noConversion"/>
  </si>
  <si>
    <t>操作部经理</t>
    <phoneticPr fontId="9" type="noConversion"/>
  </si>
  <si>
    <t>189-1683-0058</t>
    <phoneticPr fontId="9" type="noConversion"/>
  </si>
  <si>
    <t>021-63560920</t>
    <phoneticPr fontId="9" type="noConversion"/>
  </si>
  <si>
    <t>做直客的，知道恒道，有联系人，但说不上来，应该蛮长时间没联系了</t>
    <phoneticPr fontId="9" type="noConversion"/>
  </si>
  <si>
    <t>瑜腾</t>
    <phoneticPr fontId="9" type="noConversion"/>
  </si>
  <si>
    <t>对接直客业务，诚恳，回头可以介绍销售，非洲线基本没有</t>
    <phoneticPr fontId="9" type="noConversion"/>
  </si>
  <si>
    <t>胜马</t>
    <phoneticPr fontId="9" type="noConversion"/>
  </si>
  <si>
    <t>宋景辉</t>
    <phoneticPr fontId="9" type="noConversion"/>
  </si>
  <si>
    <t>137-6408-5421</t>
    <phoneticPr fontId="9" type="noConversion"/>
  </si>
  <si>
    <t>021-36393028</t>
    <phoneticPr fontId="9" type="noConversion"/>
  </si>
  <si>
    <t>有贺圆圆联系方式</t>
    <phoneticPr fontId="9" type="noConversion"/>
  </si>
  <si>
    <t>嘉杰</t>
  </si>
  <si>
    <t>嘉杰</t>
    <phoneticPr fontId="9" type="noConversion"/>
  </si>
  <si>
    <t>认识宋景辉认识贺圆圆</t>
    <phoneticPr fontId="9" type="noConversion"/>
  </si>
  <si>
    <t>凯润</t>
  </si>
  <si>
    <t>凯润</t>
    <phoneticPr fontId="9" type="noConversion"/>
  </si>
  <si>
    <t>张经理对接直客业务，很诚恳，回头可以介绍销售同事</t>
    <phoneticPr fontId="9" type="noConversion"/>
  </si>
  <si>
    <t>嘉杰广场2003室</t>
    <phoneticPr fontId="9" type="noConversion"/>
  </si>
  <si>
    <t>嘉杰广场2206室</t>
    <phoneticPr fontId="9" type="noConversion"/>
  </si>
  <si>
    <t>静泊远志</t>
    <phoneticPr fontId="9" type="noConversion"/>
  </si>
  <si>
    <t>恒道北非跟他们订CMA</t>
    <phoneticPr fontId="9" type="noConversion"/>
  </si>
  <si>
    <t>高宝</t>
    <phoneticPr fontId="9" type="noConversion"/>
  </si>
  <si>
    <t>高宝大厦1801室</t>
    <phoneticPr fontId="9" type="noConversion"/>
  </si>
  <si>
    <t>与“中和”一家</t>
    <phoneticPr fontId="9" type="noConversion"/>
  </si>
  <si>
    <t>与“全和”一家</t>
    <phoneticPr fontId="9" type="noConversion"/>
  </si>
  <si>
    <t>高宝大厦1666室</t>
    <phoneticPr fontId="9" type="noConversion"/>
  </si>
  <si>
    <t>劲海</t>
    <phoneticPr fontId="9" type="noConversion"/>
  </si>
  <si>
    <t>谊华</t>
  </si>
  <si>
    <t>谊华</t>
    <phoneticPr fontId="9" type="noConversion"/>
  </si>
  <si>
    <t>谊华大厦301室</t>
    <phoneticPr fontId="9" type="noConversion"/>
  </si>
  <si>
    <t>万海自己的公司</t>
    <phoneticPr fontId="9" type="noConversion"/>
  </si>
  <si>
    <t>凯润商务楼902室</t>
    <phoneticPr fontId="9" type="noConversion"/>
  </si>
  <si>
    <t>“不是很多”</t>
    <phoneticPr fontId="9" type="noConversion"/>
  </si>
  <si>
    <t>凯润商务楼702室</t>
    <phoneticPr fontId="9" type="noConversion"/>
  </si>
  <si>
    <t>没有接触过恒道</t>
    <phoneticPr fontId="9" type="noConversion"/>
  </si>
  <si>
    <t>凯润商务楼603室</t>
    <phoneticPr fontId="9" type="noConversion"/>
  </si>
  <si>
    <t>虹口区四川北路1611号凯润商务楼</t>
    <phoneticPr fontId="9" type="noConversion"/>
  </si>
  <si>
    <t>东宝兴路118号谊华大厦</t>
    <phoneticPr fontId="9" type="noConversion"/>
  </si>
  <si>
    <t>虹口区四川北路1717号嘉杰广场</t>
    <phoneticPr fontId="9" type="noConversion"/>
  </si>
  <si>
    <t>ASEA2 14days(domestic)21days (transit cargo)</t>
  </si>
  <si>
    <t>SHAKA2/WAX/FAL1 14days(domestic)21days (transit cargo)</t>
  </si>
  <si>
    <t>BOMA</t>
  </si>
  <si>
    <t>奥南</t>
  </si>
  <si>
    <t>-</t>
    <phoneticPr fontId="9" type="noConversion"/>
  </si>
  <si>
    <t>天戈</t>
    <phoneticPr fontId="9" type="noConversion"/>
  </si>
  <si>
    <t>新</t>
    <phoneticPr fontId="9" type="noConversion"/>
  </si>
  <si>
    <t>钱旻清</t>
    <phoneticPr fontId="9" type="noConversion"/>
  </si>
  <si>
    <t>销售经理</t>
    <phoneticPr fontId="9" type="noConversion"/>
  </si>
  <si>
    <t>134-7287-1269</t>
    <phoneticPr fontId="9" type="noConversion"/>
  </si>
  <si>
    <t>021-53088855-671</t>
    <phoneticPr fontId="9" type="noConversion"/>
  </si>
  <si>
    <t>进口项目部销售经理，有进口也有出口，打电话加一下企业QQ</t>
    <phoneticPr fontId="9" type="noConversion"/>
  </si>
  <si>
    <t>汉万</t>
    <phoneticPr fontId="9" type="noConversion"/>
  </si>
  <si>
    <t>宋艳</t>
    <phoneticPr fontId="9" type="noConversion"/>
  </si>
  <si>
    <t>总经理</t>
    <phoneticPr fontId="9" type="noConversion"/>
  </si>
  <si>
    <t>136-0171-6009</t>
    <phoneticPr fontId="9" type="noConversion"/>
  </si>
  <si>
    <t>紫天</t>
    <phoneticPr fontId="9" type="noConversion"/>
  </si>
  <si>
    <t>宋辉</t>
    <phoneticPr fontId="9" type="noConversion"/>
  </si>
  <si>
    <t>021-51085803-848</t>
    <phoneticPr fontId="9" type="noConversion"/>
  </si>
  <si>
    <t>金标</t>
    <phoneticPr fontId="9" type="noConversion"/>
  </si>
  <si>
    <t>副总经理</t>
    <phoneticPr fontId="9" type="noConversion"/>
  </si>
  <si>
    <t>139-0195-0831</t>
    <phoneticPr fontId="9" type="noConversion"/>
  </si>
  <si>
    <t>021-63091909</t>
    <phoneticPr fontId="9" type="noConversion"/>
  </si>
  <si>
    <t>第一感受人挺好，卜说其人口碑一般</t>
    <phoneticPr fontId="9" type="noConversion"/>
  </si>
  <si>
    <t>千禧</t>
    <phoneticPr fontId="9" type="noConversion"/>
  </si>
  <si>
    <t>卢晨</t>
    <phoneticPr fontId="9" type="noConversion"/>
  </si>
  <si>
    <t>市场代表</t>
    <phoneticPr fontId="9" type="noConversion"/>
  </si>
  <si>
    <t>188-1793-0176</t>
    <phoneticPr fontId="9" type="noConversion"/>
  </si>
  <si>
    <t>138-1620-2462</t>
    <phoneticPr fontId="9" type="noConversion"/>
  </si>
  <si>
    <t>021-61437591</t>
    <phoneticPr fontId="9" type="noConversion"/>
  </si>
  <si>
    <t>前台给的名片，深圳公司上海分公司</t>
    <phoneticPr fontId="9" type="noConversion"/>
  </si>
  <si>
    <t>皇马</t>
    <phoneticPr fontId="9" type="noConversion"/>
  </si>
  <si>
    <t>苏启迪</t>
    <phoneticPr fontId="9" type="noConversion"/>
  </si>
  <si>
    <t>销售部</t>
    <phoneticPr fontId="9" type="noConversion"/>
  </si>
  <si>
    <t>156-9211-6733</t>
    <phoneticPr fontId="9" type="noConversion"/>
  </si>
  <si>
    <t>021-65753132-828</t>
    <phoneticPr fontId="9" type="noConversion"/>
  </si>
  <si>
    <t>021-65082093</t>
    <phoneticPr fontId="9" type="noConversion"/>
  </si>
  <si>
    <t>前台拿的名片</t>
    <phoneticPr fontId="9" type="noConversion"/>
  </si>
  <si>
    <t>龙德</t>
    <phoneticPr fontId="9" type="noConversion"/>
  </si>
  <si>
    <t>施飞</t>
    <phoneticPr fontId="9" type="noConversion"/>
  </si>
  <si>
    <t>158-2108-1867</t>
    <phoneticPr fontId="9" type="noConversion"/>
  </si>
  <si>
    <t>021-33872891</t>
    <phoneticPr fontId="9" type="noConversion"/>
  </si>
  <si>
    <t>翊麟</t>
    <phoneticPr fontId="9" type="noConversion"/>
  </si>
  <si>
    <t>陈佳媛</t>
    <phoneticPr fontId="9" type="noConversion"/>
  </si>
  <si>
    <t>销售代表</t>
    <phoneticPr fontId="9" type="noConversion"/>
  </si>
  <si>
    <t>139-1768-8241</t>
    <phoneticPr fontId="9" type="noConversion"/>
  </si>
  <si>
    <t>中柏利合</t>
    <phoneticPr fontId="9" type="noConversion"/>
  </si>
  <si>
    <t>139-1677-1499</t>
    <phoneticPr fontId="9" type="noConversion"/>
  </si>
  <si>
    <t>孙健</t>
    <phoneticPr fontId="9" type="noConversion"/>
  </si>
  <si>
    <t>市场部经理</t>
    <phoneticPr fontId="9" type="noConversion"/>
  </si>
  <si>
    <t>021-60409378</t>
    <phoneticPr fontId="9" type="noConversion"/>
  </si>
  <si>
    <t>厦门公司上海分公司，解传明刚去不久，不过应该没有联系</t>
    <phoneticPr fontId="9" type="noConversion"/>
  </si>
  <si>
    <t>羿鑫</t>
    <phoneticPr fontId="9" type="noConversion"/>
  </si>
  <si>
    <t>冯琪</t>
    <phoneticPr fontId="9" type="noConversion"/>
  </si>
  <si>
    <t>销售</t>
    <phoneticPr fontId="9" type="noConversion"/>
  </si>
  <si>
    <t>139-1891-2643</t>
    <phoneticPr fontId="9" type="noConversion"/>
  </si>
  <si>
    <t>021-63140058-808</t>
    <phoneticPr fontId="9" type="noConversion"/>
  </si>
  <si>
    <t>赛捷</t>
  </si>
  <si>
    <t>赛捷</t>
    <phoneticPr fontId="9" type="noConversion"/>
  </si>
  <si>
    <t>赵子南</t>
    <phoneticPr fontId="9" type="noConversion"/>
  </si>
  <si>
    <t>总经理助理</t>
    <phoneticPr fontId="9" type="noConversion"/>
  </si>
  <si>
    <t>137-9522-2185</t>
    <phoneticPr fontId="9" type="noConversion"/>
  </si>
  <si>
    <t>021-36565588-239</t>
    <phoneticPr fontId="9" type="noConversion"/>
  </si>
  <si>
    <t>整层都是，卜：美设化工品部</t>
    <phoneticPr fontId="9" type="noConversion"/>
  </si>
  <si>
    <t>科技京城西楼28楼D座</t>
    <phoneticPr fontId="9" type="noConversion"/>
  </si>
  <si>
    <t>OK</t>
    <phoneticPr fontId="9" type="noConversion"/>
  </si>
  <si>
    <t>专业化工品物流，卜：美设化工品部</t>
    <phoneticPr fontId="9" type="noConversion"/>
  </si>
  <si>
    <t>大连德力</t>
    <phoneticPr fontId="9" type="noConversion"/>
  </si>
  <si>
    <t>主空运，非洲海运几乎没有</t>
    <phoneticPr fontId="9" type="noConversion"/>
  </si>
  <si>
    <t>瀚诚</t>
    <phoneticPr fontId="9" type="noConversion"/>
  </si>
  <si>
    <t>李雪倩</t>
    <phoneticPr fontId="9" type="noConversion"/>
  </si>
  <si>
    <t>135-2423-8711</t>
    <phoneticPr fontId="9" type="noConversion"/>
  </si>
  <si>
    <t>021-61225645-8006</t>
    <phoneticPr fontId="9" type="noConversion"/>
  </si>
  <si>
    <t>货比较少，问了下做什么船公司</t>
    <phoneticPr fontId="9" type="noConversion"/>
  </si>
  <si>
    <t>盛伟</t>
    <phoneticPr fontId="9" type="noConversion"/>
  </si>
  <si>
    <t>杨小姐</t>
    <phoneticPr fontId="9" type="noConversion"/>
  </si>
  <si>
    <t>021-53085222</t>
    <phoneticPr fontId="9" type="noConversion"/>
  </si>
  <si>
    <t>李嘉庆</t>
    <phoneticPr fontId="9" type="noConversion"/>
  </si>
  <si>
    <t>188-1826-6518</t>
    <phoneticPr fontId="9" type="noConversion"/>
  </si>
  <si>
    <t>021-63140058-807</t>
    <phoneticPr fontId="9" type="noConversion"/>
  </si>
  <si>
    <t>有，</t>
    <phoneticPr fontId="9" type="noConversion"/>
  </si>
  <si>
    <t>销售，老板</t>
    <phoneticPr fontId="9" type="noConversion"/>
  </si>
  <si>
    <t>赛柯</t>
    <phoneticPr fontId="9" type="noConversion"/>
  </si>
  <si>
    <t>孙东</t>
    <phoneticPr fontId="9" type="noConversion"/>
  </si>
  <si>
    <t>139-1612-6098</t>
    <phoneticPr fontId="9" type="noConversion"/>
  </si>
  <si>
    <t>021-51602312-8003</t>
    <phoneticPr fontId="9" type="noConversion"/>
  </si>
  <si>
    <t>空运，几乎没有</t>
    <phoneticPr fontId="9" type="noConversion"/>
  </si>
  <si>
    <t>姜玥</t>
  </si>
  <si>
    <t>姜玥</t>
    <phoneticPr fontId="9" type="noConversion"/>
  </si>
  <si>
    <t>业务主任</t>
    <phoneticPr fontId="9" type="noConversion"/>
  </si>
  <si>
    <t>021-53086442</t>
    <phoneticPr fontId="9" type="noConversion"/>
  </si>
  <si>
    <t>深圳公司上海分公司，束飞，姜老师：非洲线都找我</t>
    <phoneticPr fontId="9" type="noConversion"/>
  </si>
  <si>
    <t>竞舟</t>
    <phoneticPr fontId="9" type="noConversion"/>
  </si>
  <si>
    <t>张静静</t>
    <phoneticPr fontId="9" type="noConversion"/>
  </si>
  <si>
    <t>经理</t>
    <phoneticPr fontId="9" type="noConversion"/>
  </si>
  <si>
    <t>180-1865-9965</t>
    <phoneticPr fontId="9" type="noConversion"/>
  </si>
  <si>
    <t>021-53082365</t>
    <phoneticPr fontId="9" type="noConversion"/>
  </si>
  <si>
    <t>有货，客气</t>
    <phoneticPr fontId="9" type="noConversion"/>
  </si>
  <si>
    <t>科技京城东楼19楼A座</t>
    <phoneticPr fontId="9" type="noConversion"/>
  </si>
  <si>
    <t>有货</t>
    <phoneticPr fontId="9" type="noConversion"/>
  </si>
  <si>
    <t>三联</t>
    <phoneticPr fontId="9" type="noConversion"/>
  </si>
  <si>
    <t>姜玥：非洲都找我</t>
    <phoneticPr fontId="9" type="noConversion"/>
  </si>
  <si>
    <t>科技京城西楼8楼H2室</t>
    <phoneticPr fontId="9" type="noConversion"/>
  </si>
  <si>
    <t>孙东：空运，几乎没有</t>
    <phoneticPr fontId="9" type="noConversion"/>
  </si>
  <si>
    <t>科技京城西楼20H-2</t>
    <phoneticPr fontId="9" type="noConversion"/>
  </si>
  <si>
    <t>科技京城西楼19C</t>
    <phoneticPr fontId="9" type="noConversion"/>
  </si>
  <si>
    <t>写的名片</t>
    <phoneticPr fontId="9" type="noConversion"/>
  </si>
  <si>
    <t>科技京城西楼17楼C座</t>
    <phoneticPr fontId="9" type="noConversion"/>
  </si>
  <si>
    <t>李雪倩：货比较少，问了下做什么船公司</t>
    <phoneticPr fontId="9" type="noConversion"/>
  </si>
  <si>
    <t>德力</t>
    <phoneticPr fontId="9" type="noConversion"/>
  </si>
  <si>
    <t>科技京城东楼21B</t>
    <phoneticPr fontId="9" type="noConversion"/>
  </si>
  <si>
    <t>王：空运，几乎没有</t>
    <phoneticPr fontId="9" type="noConversion"/>
  </si>
  <si>
    <t>李嘉庆：有；老板冯琪特意问了下哪块优势</t>
    <phoneticPr fontId="9" type="noConversion"/>
  </si>
  <si>
    <t>宇航</t>
    <phoneticPr fontId="9" type="noConversion"/>
  </si>
  <si>
    <t>宇航大厦1106室</t>
    <phoneticPr fontId="9" type="noConversion"/>
  </si>
  <si>
    <t>解传明之前刚去过，不过应该是没有联系</t>
    <phoneticPr fontId="9" type="noConversion"/>
  </si>
  <si>
    <t>森林湾大厦C栋2002室</t>
    <phoneticPr fontId="9" type="noConversion"/>
  </si>
  <si>
    <t>森林湾大厦C栋2006室</t>
    <phoneticPr fontId="9" type="noConversion"/>
  </si>
  <si>
    <t>森林湾大厦C栋2102室</t>
    <phoneticPr fontId="9" type="noConversion"/>
  </si>
  <si>
    <t>国际商厦</t>
    <phoneticPr fontId="9" type="noConversion"/>
  </si>
  <si>
    <t>虹口区海宁路358号国际商厦副楼</t>
    <phoneticPr fontId="9" type="noConversion"/>
  </si>
  <si>
    <t>国际商厦15楼</t>
    <phoneticPr fontId="9" type="noConversion"/>
  </si>
  <si>
    <t>外经贸</t>
    <phoneticPr fontId="9" type="noConversion"/>
  </si>
  <si>
    <t>国际商厦1708-12室</t>
    <phoneticPr fontId="9" type="noConversion"/>
  </si>
  <si>
    <t>金标人挺温和，可以发展其关系网</t>
    <phoneticPr fontId="9" type="noConversion"/>
  </si>
  <si>
    <t>国际商厦17楼</t>
    <phoneticPr fontId="9" type="noConversion"/>
  </si>
  <si>
    <t>森林湾大厦C幢1801室</t>
    <phoneticPr fontId="9" type="noConversion"/>
  </si>
  <si>
    <t>科技京城东楼20A-C座</t>
    <phoneticPr fontId="9" type="noConversion"/>
  </si>
  <si>
    <t>中威</t>
    <phoneticPr fontId="9" type="noConversion"/>
  </si>
  <si>
    <t>永融</t>
    <phoneticPr fontId="9" type="noConversion"/>
  </si>
  <si>
    <t>永融企业中心27D</t>
    <phoneticPr fontId="9" type="noConversion"/>
  </si>
  <si>
    <t>跟三威是一家</t>
    <phoneticPr fontId="9" type="noConversion"/>
  </si>
  <si>
    <t>三威</t>
    <phoneticPr fontId="9" type="noConversion"/>
  </si>
  <si>
    <t>熊家成</t>
    <phoneticPr fontId="9" type="noConversion"/>
  </si>
  <si>
    <t>137-5834-0237</t>
    <phoneticPr fontId="9" type="noConversion"/>
  </si>
  <si>
    <t>021-66291533-819</t>
    <phoneticPr fontId="9" type="noConversion"/>
  </si>
  <si>
    <t>一起扫楼</t>
    <phoneticPr fontId="9" type="noConversion"/>
  </si>
  <si>
    <t>TINCAN 小柜</t>
    <phoneticPr fontId="9" type="noConversion"/>
  </si>
  <si>
    <t>Tincan HPL USD2255/20GP + EBS55，周六洋山丹吉尔转48天，价格到11月14日。
Tincan ONE USD2740/20GP (含EBS)，周二外港直达36天，价格到11月7日。
Tincan COSCO USD2760/20GP + EBS60，周二外港直达36天，价格到11月18日。</t>
    <phoneticPr fontId="9" type="noConversion"/>
  </si>
  <si>
    <t>美浩</t>
    <phoneticPr fontId="9" type="noConversion"/>
  </si>
  <si>
    <t>张琰</t>
    <phoneticPr fontId="9" type="noConversion"/>
  </si>
  <si>
    <t>市场部主管</t>
    <phoneticPr fontId="9" type="noConversion"/>
  </si>
  <si>
    <t>134-0206-6352</t>
    <phoneticPr fontId="9" type="noConversion"/>
  </si>
  <si>
    <t>021-51088577-803</t>
    <phoneticPr fontId="9" type="noConversion"/>
  </si>
  <si>
    <t>前台转，没见到人，直接联系就行了</t>
    <phoneticPr fontId="9" type="noConversion"/>
  </si>
  <si>
    <t>联昱</t>
    <phoneticPr fontId="9" type="noConversion"/>
  </si>
  <si>
    <t>许咪孋</t>
    <phoneticPr fontId="9" type="noConversion"/>
  </si>
  <si>
    <t>139-1806-5178</t>
    <phoneticPr fontId="9" type="noConversion"/>
  </si>
  <si>
    <t>021-66600355</t>
    <phoneticPr fontId="9" type="noConversion"/>
  </si>
  <si>
    <t>同行 EMC MSK MSC</t>
    <phoneticPr fontId="9" type="noConversion"/>
  </si>
  <si>
    <t>渤翔</t>
    <phoneticPr fontId="9" type="noConversion"/>
  </si>
  <si>
    <t>梁燕琳</t>
    <phoneticPr fontId="9" type="noConversion"/>
  </si>
  <si>
    <t>操作</t>
    <phoneticPr fontId="9" type="noConversion"/>
  </si>
  <si>
    <t>188-0183-3151</t>
    <phoneticPr fontId="9" type="noConversion"/>
  </si>
  <si>
    <t>021-63099896-201</t>
    <phoneticPr fontId="9" type="noConversion"/>
  </si>
  <si>
    <t>同行EMC，除美加线</t>
    <phoneticPr fontId="9" type="noConversion"/>
  </si>
  <si>
    <t>永源</t>
    <phoneticPr fontId="9" type="noConversion"/>
  </si>
  <si>
    <t>刘俊</t>
    <phoneticPr fontId="9" type="noConversion"/>
  </si>
  <si>
    <t>139-1657-5208</t>
    <phoneticPr fontId="9" type="noConversion"/>
  </si>
  <si>
    <t>021-63579128</t>
    <phoneticPr fontId="9" type="noConversion"/>
  </si>
  <si>
    <t>南陵，记住你了</t>
    <phoneticPr fontId="9" type="noConversion"/>
  </si>
  <si>
    <t>易豪</t>
    <phoneticPr fontId="9" type="noConversion"/>
  </si>
  <si>
    <t>季明明</t>
    <phoneticPr fontId="9" type="noConversion"/>
  </si>
  <si>
    <t>180-1855-7297</t>
    <phoneticPr fontId="9" type="noConversion"/>
  </si>
  <si>
    <t>021-51028968-828</t>
    <phoneticPr fontId="9" type="noConversion"/>
  </si>
  <si>
    <t>迅卓</t>
    <phoneticPr fontId="9" type="noConversion"/>
  </si>
  <si>
    <t>高志强</t>
    <phoneticPr fontId="9" type="noConversion"/>
  </si>
  <si>
    <t>138-1887-4681</t>
    <phoneticPr fontId="9" type="noConversion"/>
  </si>
  <si>
    <t>021-55610259</t>
    <phoneticPr fontId="9" type="noConversion"/>
  </si>
  <si>
    <t>危险品，非洲少</t>
    <phoneticPr fontId="9" type="noConversion"/>
  </si>
  <si>
    <t>钰洲</t>
    <phoneticPr fontId="9" type="noConversion"/>
  </si>
  <si>
    <t>郭晓珺</t>
    <phoneticPr fontId="9" type="noConversion"/>
  </si>
  <si>
    <t>操作部经理</t>
    <phoneticPr fontId="9" type="noConversion"/>
  </si>
  <si>
    <t>137-0181-5771</t>
    <phoneticPr fontId="9" type="noConversion"/>
  </si>
  <si>
    <t>021-61485531</t>
    <phoneticPr fontId="9" type="noConversion"/>
  </si>
  <si>
    <t>华邦通运</t>
    <phoneticPr fontId="9" type="noConversion"/>
  </si>
  <si>
    <t>沈维维</t>
    <phoneticPr fontId="9" type="noConversion"/>
  </si>
  <si>
    <t>159-8987-2781</t>
    <phoneticPr fontId="9" type="noConversion"/>
  </si>
  <si>
    <t>0755-32935955</t>
    <phoneticPr fontId="9" type="noConversion"/>
  </si>
  <si>
    <t>上海同事给的深圳市场部同事名片，海运都是通过他询价</t>
    <phoneticPr fontId="9" type="noConversion"/>
  </si>
  <si>
    <t>如泰</t>
  </si>
  <si>
    <t>马小姐</t>
    <phoneticPr fontId="9" type="noConversion"/>
  </si>
  <si>
    <t>内罗毕 20和40尺</t>
    <phoneticPr fontId="9" type="noConversion"/>
  </si>
  <si>
    <t>颖连</t>
    <phoneticPr fontId="9" type="noConversion"/>
  </si>
  <si>
    <t>李翔</t>
    <phoneticPr fontId="9" type="noConversion"/>
  </si>
  <si>
    <t>139-1842-0581</t>
    <phoneticPr fontId="9" type="noConversion"/>
  </si>
  <si>
    <t>021-66286212</t>
    <phoneticPr fontId="9" type="noConversion"/>
  </si>
  <si>
    <t>广州公司上海分公司，台湾线指定货，非洲线很少，没听说过恒道</t>
    <phoneticPr fontId="9" type="noConversion"/>
  </si>
  <si>
    <t>吉澳</t>
    <phoneticPr fontId="9" type="noConversion"/>
  </si>
  <si>
    <t>梁毅</t>
    <phoneticPr fontId="9" type="noConversion"/>
  </si>
  <si>
    <t>操作主管</t>
    <phoneticPr fontId="9" type="noConversion"/>
  </si>
  <si>
    <t>135-8569-4142</t>
    <phoneticPr fontId="9" type="noConversion"/>
  </si>
  <si>
    <t>021-36035989</t>
    <phoneticPr fontId="9" type="noConversion"/>
  </si>
  <si>
    <t>问价找他，卜：有一点非洲货，也有口子</t>
    <phoneticPr fontId="9" type="noConversion"/>
  </si>
  <si>
    <t>恒海</t>
    <phoneticPr fontId="9" type="noConversion"/>
  </si>
  <si>
    <t>梁飚</t>
    <phoneticPr fontId="9" type="noConversion"/>
  </si>
  <si>
    <t>137-6102-9016</t>
    <phoneticPr fontId="9" type="noConversion"/>
  </si>
  <si>
    <t>021-66059321</t>
    <phoneticPr fontId="9" type="noConversion"/>
  </si>
  <si>
    <t>卜有深圳恒海联系人，不知是否一家</t>
    <phoneticPr fontId="9" type="noConversion"/>
  </si>
  <si>
    <t>驷捷</t>
    <phoneticPr fontId="9" type="noConversion"/>
  </si>
  <si>
    <t>黄明磊</t>
    <phoneticPr fontId="9" type="noConversion"/>
  </si>
  <si>
    <t>销售主管</t>
    <phoneticPr fontId="9" type="noConversion"/>
  </si>
  <si>
    <t>189-1849-0902</t>
    <phoneticPr fontId="9" type="noConversion"/>
  </si>
  <si>
    <t>021-61429965</t>
    <phoneticPr fontId="9" type="noConversion"/>
  </si>
  <si>
    <t>COSCO 全航线</t>
    <phoneticPr fontId="9" type="noConversion"/>
  </si>
  <si>
    <t>忠源</t>
    <phoneticPr fontId="9" type="noConversion"/>
  </si>
  <si>
    <t>邬姐</t>
    <phoneticPr fontId="9" type="noConversion"/>
  </si>
  <si>
    <t>老板？</t>
    <phoneticPr fontId="9" type="noConversion"/>
  </si>
  <si>
    <t>泽诚</t>
    <phoneticPr fontId="9" type="noConversion"/>
  </si>
  <si>
    <t>沈晨昀</t>
    <phoneticPr fontId="9" type="noConversion"/>
  </si>
  <si>
    <t>139-1663-6715</t>
    <phoneticPr fontId="9" type="noConversion"/>
  </si>
  <si>
    <t>021-65437255-208</t>
    <phoneticPr fontId="9" type="noConversion"/>
  </si>
  <si>
    <t>臻幂</t>
    <phoneticPr fontId="9" type="noConversion"/>
  </si>
  <si>
    <t>沈永臻</t>
    <phoneticPr fontId="9" type="noConversion"/>
  </si>
  <si>
    <t>海外部经理</t>
    <phoneticPr fontId="9" type="noConversion"/>
  </si>
  <si>
    <t>133-0166-8017</t>
    <phoneticPr fontId="9" type="noConversion"/>
  </si>
  <si>
    <t>021-56770912</t>
    <phoneticPr fontId="9" type="noConversion"/>
  </si>
  <si>
    <t>爽快</t>
    <phoneticPr fontId="9" type="noConversion"/>
  </si>
  <si>
    <t>阳光</t>
    <phoneticPr fontId="9" type="noConversion"/>
  </si>
  <si>
    <t>褚洪</t>
    <phoneticPr fontId="9" type="noConversion"/>
  </si>
  <si>
    <t>业务一部经理</t>
    <phoneticPr fontId="9" type="noConversion"/>
  </si>
  <si>
    <t>139-0163-3977</t>
    <phoneticPr fontId="9" type="noConversion"/>
  </si>
  <si>
    <t>021-56483211</t>
    <phoneticPr fontId="9" type="noConversion"/>
  </si>
  <si>
    <t>最里面，老板？，人还行，卜：只看价格，不讲交情</t>
    <phoneticPr fontId="9" type="noConversion"/>
  </si>
  <si>
    <t>宇航大厦1312室</t>
    <phoneticPr fontId="9" type="noConversion"/>
  </si>
  <si>
    <t>老板褚洪在最里面，人还行，卜：只看价格不讲交情</t>
    <phoneticPr fontId="9" type="noConversion"/>
  </si>
  <si>
    <t>海泰国际</t>
    <phoneticPr fontId="9" type="noConversion"/>
  </si>
  <si>
    <t>海泰国际大厦1103室</t>
    <phoneticPr fontId="9" type="noConversion"/>
  </si>
  <si>
    <t>虹口区四川北路888号海泰国际大厦</t>
    <phoneticPr fontId="9" type="noConversion"/>
  </si>
  <si>
    <t>知兴</t>
    <phoneticPr fontId="9" type="noConversion"/>
  </si>
  <si>
    <t>知兴大厦B518室</t>
    <phoneticPr fontId="9" type="noConversion"/>
  </si>
  <si>
    <t>不太多，以前接触过，人挺好</t>
    <phoneticPr fontId="9" type="noConversion"/>
  </si>
  <si>
    <t>宇航大厦1308室</t>
    <phoneticPr fontId="9" type="noConversion"/>
  </si>
  <si>
    <t>海泰国际大厦2009室</t>
    <phoneticPr fontId="9" type="noConversion"/>
  </si>
  <si>
    <t>宇航大厦811室</t>
    <phoneticPr fontId="9" type="noConversion"/>
  </si>
  <si>
    <t>海泰国际大厦1006室</t>
    <phoneticPr fontId="9" type="noConversion"/>
  </si>
  <si>
    <t>海泰国际大厦805室</t>
    <phoneticPr fontId="9" type="noConversion"/>
  </si>
  <si>
    <t>广州公司上海分公司，台湾线指定货</t>
    <phoneticPr fontId="9" type="noConversion"/>
  </si>
  <si>
    <t>商贸</t>
    <phoneticPr fontId="9" type="noConversion"/>
  </si>
  <si>
    <t>海泰时代大厦？室</t>
    <phoneticPr fontId="9" type="noConversion"/>
  </si>
  <si>
    <t>名片地址在商贸大厦，海泰时代扫到的名片</t>
    <phoneticPr fontId="9" type="noConversion"/>
  </si>
  <si>
    <t>海泰时代</t>
  </si>
  <si>
    <t>海泰时代</t>
    <phoneticPr fontId="9" type="noConversion"/>
  </si>
  <si>
    <t>海泰时代大厦903-7室</t>
    <phoneticPr fontId="9" type="noConversion"/>
  </si>
  <si>
    <t>名片地址是飘鹰，应该在海泰或者宇航。危险品，非洲少</t>
    <phoneticPr fontId="9" type="noConversion"/>
  </si>
  <si>
    <t>宇航大厦2404室</t>
    <phoneticPr fontId="9" type="noConversion"/>
  </si>
  <si>
    <t>宇航大厦2410室</t>
    <phoneticPr fontId="9" type="noConversion"/>
  </si>
  <si>
    <t>老板南陵</t>
    <phoneticPr fontId="9" type="noConversion"/>
  </si>
  <si>
    <t>宇航大厦1505室</t>
    <phoneticPr fontId="9" type="noConversion"/>
  </si>
  <si>
    <t>EMC同行除美加线，有货优先配EMC</t>
    <phoneticPr fontId="9" type="noConversion"/>
  </si>
  <si>
    <t>宇航大厦1412室</t>
    <phoneticPr fontId="9" type="noConversion"/>
  </si>
  <si>
    <t>宇航大厦1305室</t>
    <phoneticPr fontId="9" type="noConversion"/>
  </si>
  <si>
    <t>17年12月前单子挺多，之后就没有了</t>
    <phoneticPr fontId="9" type="noConversion"/>
  </si>
  <si>
    <t>虹口区武进路289号海泰时代大厦</t>
    <phoneticPr fontId="9" type="noConversion"/>
  </si>
  <si>
    <t>APAPA PORT , NIGERIA 20GP 24tons 说11月份能走80个，不要cosco hpl，要目的港28天</t>
    <phoneticPr fontId="9" type="noConversion"/>
  </si>
  <si>
    <t>ONE 2715 ALL IN 周二外港直达34天，如果有具体的出货计划的话，应该是可以申请价格的</t>
    <phoneticPr fontId="9" type="noConversion"/>
  </si>
  <si>
    <t>主动加我了</t>
    <phoneticPr fontId="9" type="noConversion"/>
  </si>
  <si>
    <t>主动加我问价</t>
    <phoneticPr fontId="9" type="noConversion"/>
  </si>
  <si>
    <t>合誉</t>
    <phoneticPr fontId="9" type="noConversion"/>
  </si>
  <si>
    <t>杨湖</t>
    <phoneticPr fontId="9" type="noConversion"/>
  </si>
  <si>
    <t>执行董事</t>
    <phoneticPr fontId="9" type="noConversion"/>
  </si>
  <si>
    <t>189-1836-5750</t>
    <phoneticPr fontId="9" type="noConversion"/>
  </si>
  <si>
    <t>021-63831886</t>
    <phoneticPr fontId="9" type="noConversion"/>
  </si>
  <si>
    <t>挖</t>
    <phoneticPr fontId="9" type="noConversion"/>
  </si>
  <si>
    <t>暂不接</t>
  </si>
  <si>
    <r>
      <rPr>
        <sz val="11"/>
        <color theme="1"/>
        <rFont val="等线"/>
        <family val="3"/>
        <charset val="134"/>
      </rPr>
      <t>暂不接</t>
    </r>
  </si>
  <si>
    <t>合生</t>
  </si>
  <si>
    <t>虹口区大连路839号合生财富广场</t>
    <phoneticPr fontId="9" type="noConversion"/>
  </si>
  <si>
    <t>金岸</t>
    <phoneticPr fontId="9" type="noConversion"/>
  </si>
  <si>
    <t>虹口区东大名路908号金岸大厦</t>
    <phoneticPr fontId="9" type="noConversion"/>
  </si>
  <si>
    <t>虹业</t>
    <phoneticPr fontId="9" type="noConversion"/>
  </si>
  <si>
    <t>虹口区公平路761号虹业大厦</t>
    <phoneticPr fontId="9" type="noConversion"/>
  </si>
  <si>
    <t>德天</t>
    <phoneticPr fontId="9" type="noConversion"/>
  </si>
  <si>
    <t>金岸大厦7楼G座</t>
    <phoneticPr fontId="9" type="noConversion"/>
  </si>
  <si>
    <t>OK</t>
    <phoneticPr fontId="9" type="noConversion"/>
  </si>
  <si>
    <t>直客</t>
    <phoneticPr fontId="9" type="noConversion"/>
  </si>
  <si>
    <t>泛远</t>
    <phoneticPr fontId="9" type="noConversion"/>
  </si>
  <si>
    <t>金岸大厦22楼A座</t>
    <phoneticPr fontId="9" type="noConversion"/>
  </si>
  <si>
    <t>喜嘉</t>
    <phoneticPr fontId="9" type="noConversion"/>
  </si>
  <si>
    <t>金岸大厦7楼D座</t>
    <phoneticPr fontId="9" type="noConversion"/>
  </si>
  <si>
    <t>颜：非洲很少</t>
    <phoneticPr fontId="9" type="noConversion"/>
  </si>
  <si>
    <t>利通</t>
    <phoneticPr fontId="9" type="noConversion"/>
  </si>
  <si>
    <t>虹业大厦12楼E座</t>
    <phoneticPr fontId="9" type="noConversion"/>
  </si>
  <si>
    <t>莱顿</t>
    <phoneticPr fontId="9" type="noConversion"/>
  </si>
  <si>
    <t>利通一家</t>
    <phoneticPr fontId="9" type="noConversion"/>
  </si>
  <si>
    <t>莱顿一家</t>
    <phoneticPr fontId="9" type="noConversion"/>
  </si>
  <si>
    <t>捷马联</t>
    <phoneticPr fontId="9" type="noConversion"/>
  </si>
  <si>
    <t>虹业大厦12楼A座</t>
    <phoneticPr fontId="9" type="noConversion"/>
  </si>
  <si>
    <t>中南美代理货，没什么非洲货</t>
    <phoneticPr fontId="9" type="noConversion"/>
  </si>
  <si>
    <t>极永</t>
    <phoneticPr fontId="9" type="noConversion"/>
  </si>
  <si>
    <t>虹业大厦11楼G座</t>
    <phoneticPr fontId="9" type="noConversion"/>
  </si>
  <si>
    <t>很久以前合作过，对接销售离职后就没人跟了</t>
    <phoneticPr fontId="9" type="noConversion"/>
  </si>
  <si>
    <t>庆威</t>
    <phoneticPr fontId="9" type="noConversion"/>
  </si>
  <si>
    <t>虹业大厦9楼A座</t>
    <phoneticPr fontId="9" type="noConversion"/>
  </si>
  <si>
    <t>牧和</t>
    <phoneticPr fontId="9" type="noConversion"/>
  </si>
  <si>
    <t>虹业大厦510室</t>
    <phoneticPr fontId="9" type="noConversion"/>
  </si>
  <si>
    <t>朱亮：余婷婷</t>
    <phoneticPr fontId="9" type="noConversion"/>
  </si>
  <si>
    <t>汉钰</t>
    <phoneticPr fontId="9" type="noConversion"/>
  </si>
  <si>
    <t>虹业大厦4楼A座</t>
    <phoneticPr fontId="9" type="noConversion"/>
  </si>
  <si>
    <t>新</t>
    <phoneticPr fontId="9" type="noConversion"/>
  </si>
  <si>
    <t>王爱滨</t>
    <phoneticPr fontId="9" type="noConversion"/>
  </si>
  <si>
    <t>市场企划部</t>
    <phoneticPr fontId="9" type="noConversion"/>
  </si>
  <si>
    <t>133-4171-6585</t>
    <phoneticPr fontId="9" type="noConversion"/>
  </si>
  <si>
    <t>021-51619880-261</t>
    <phoneticPr fontId="9" type="noConversion"/>
  </si>
  <si>
    <t>直客，没接触过</t>
    <phoneticPr fontId="9" type="noConversion"/>
  </si>
  <si>
    <t>栾培杰</t>
    <phoneticPr fontId="9" type="noConversion"/>
  </si>
  <si>
    <t>销售</t>
    <phoneticPr fontId="9" type="noConversion"/>
  </si>
  <si>
    <t>135-8574-6959</t>
    <phoneticPr fontId="9" type="noConversion"/>
  </si>
  <si>
    <t>021-55131005</t>
    <phoneticPr fontId="9" type="noConversion"/>
  </si>
  <si>
    <t>兰弯弯</t>
    <phoneticPr fontId="9" type="noConversion"/>
  </si>
  <si>
    <t>颜晓锦</t>
    <phoneticPr fontId="9" type="noConversion"/>
  </si>
  <si>
    <t>出口部经理</t>
    <phoneticPr fontId="9" type="noConversion"/>
  </si>
  <si>
    <t>181-0179-8831</t>
    <phoneticPr fontId="9" type="noConversion"/>
  </si>
  <si>
    <t>非洲很少</t>
    <phoneticPr fontId="9" type="noConversion"/>
  </si>
  <si>
    <t>刘鹏程</t>
    <phoneticPr fontId="9" type="noConversion"/>
  </si>
  <si>
    <t>客服专员</t>
    <phoneticPr fontId="9" type="noConversion"/>
  </si>
  <si>
    <t>150-0091-9138</t>
    <phoneticPr fontId="9" type="noConversion"/>
  </si>
  <si>
    <t>021-51088691</t>
    <phoneticPr fontId="9" type="noConversion"/>
  </si>
  <si>
    <t>021-51692560-215</t>
    <phoneticPr fontId="9" type="noConversion"/>
  </si>
  <si>
    <t>陈寅俊</t>
    <phoneticPr fontId="9" type="noConversion"/>
  </si>
  <si>
    <t>135-0183-8479</t>
    <phoneticPr fontId="9" type="noConversion"/>
  </si>
  <si>
    <t>021-31001822</t>
    <phoneticPr fontId="9" type="noConversion"/>
  </si>
  <si>
    <t>李瑶</t>
    <phoneticPr fontId="9" type="noConversion"/>
  </si>
  <si>
    <t>操作部经理</t>
    <phoneticPr fontId="9" type="noConversion"/>
  </si>
  <si>
    <t>138-1785-1415</t>
    <phoneticPr fontId="9" type="noConversion"/>
  </si>
  <si>
    <t>021-65380269</t>
    <phoneticPr fontId="9" type="noConversion"/>
  </si>
  <si>
    <t>很久以前合作过，后来对接销售离职没人跟了</t>
    <phoneticPr fontId="9" type="noConversion"/>
  </si>
  <si>
    <t>唐文超</t>
    <phoneticPr fontId="9" type="noConversion"/>
  </si>
  <si>
    <t>业务代表</t>
    <phoneticPr fontId="9" type="noConversion"/>
  </si>
  <si>
    <t>182-0199-8547</t>
    <phoneticPr fontId="9" type="noConversion"/>
  </si>
  <si>
    <t>021-51612727-805</t>
    <phoneticPr fontId="9" type="noConversion"/>
  </si>
  <si>
    <t>138-1696-7190</t>
    <phoneticPr fontId="9" type="noConversion"/>
  </si>
  <si>
    <t>021-60421336</t>
    <phoneticPr fontId="9" type="noConversion"/>
  </si>
  <si>
    <t>王鹏亮</t>
    <phoneticPr fontId="9" type="noConversion"/>
  </si>
  <si>
    <t>销售部主管</t>
    <phoneticPr fontId="9" type="noConversion"/>
  </si>
  <si>
    <t>135-8583-7651</t>
    <phoneticPr fontId="9" type="noConversion"/>
  </si>
  <si>
    <t>021-51612782</t>
    <phoneticPr fontId="9" type="noConversion"/>
  </si>
  <si>
    <t>耀江</t>
    <phoneticPr fontId="9" type="noConversion"/>
  </si>
  <si>
    <t>宝矿</t>
    <phoneticPr fontId="9" type="noConversion"/>
  </si>
  <si>
    <t>虹口区吴淞路218号宝矿大厦</t>
    <phoneticPr fontId="9" type="noConversion"/>
  </si>
  <si>
    <t>上海滩</t>
    <phoneticPr fontId="9" type="noConversion"/>
  </si>
  <si>
    <t>虹口区黄浦路99号上海滩国际大厦</t>
    <phoneticPr fontId="9" type="noConversion"/>
  </si>
  <si>
    <t>海光</t>
    <phoneticPr fontId="9" type="noConversion"/>
  </si>
  <si>
    <t>金岸大厦6楼C座</t>
    <phoneticPr fontId="9" type="noConversion"/>
  </si>
  <si>
    <t>同行，森林湾？</t>
    <phoneticPr fontId="9" type="noConversion"/>
  </si>
  <si>
    <t>懋达</t>
    <phoneticPr fontId="9" type="noConversion"/>
  </si>
  <si>
    <t>森林湾</t>
    <phoneticPr fontId="9" type="noConversion"/>
  </si>
  <si>
    <t>梅杰：出口少</t>
    <phoneticPr fontId="9" type="noConversion"/>
  </si>
  <si>
    <t>崴航</t>
    <phoneticPr fontId="9" type="noConversion"/>
  </si>
  <si>
    <t>周骥：拼箱，基本不接非洲</t>
    <phoneticPr fontId="9" type="noConversion"/>
  </si>
  <si>
    <t>中宇</t>
    <phoneticPr fontId="9" type="noConversion"/>
  </si>
  <si>
    <t>卜：中远旗下</t>
    <phoneticPr fontId="9" type="noConversion"/>
  </si>
  <si>
    <t>伊普莱斯</t>
    <phoneticPr fontId="9" type="noConversion"/>
  </si>
  <si>
    <t>卜：17年1票南非还退了</t>
    <phoneticPr fontId="9" type="noConversion"/>
  </si>
  <si>
    <t>卜：16年前有，18年9月两票</t>
    <phoneticPr fontId="9" type="noConversion"/>
  </si>
  <si>
    <t>永盛</t>
    <phoneticPr fontId="9" type="noConversion"/>
  </si>
  <si>
    <t>森林湾大厦C栋17F</t>
    <phoneticPr fontId="9" type="noConversion"/>
  </si>
  <si>
    <t>森林湾大厦C座15楼</t>
    <phoneticPr fontId="9" type="noConversion"/>
  </si>
  <si>
    <t>森林湾大厦C座902</t>
    <phoneticPr fontId="9" type="noConversion"/>
  </si>
  <si>
    <t>森林湾大厦B412-6室</t>
    <phoneticPr fontId="9" type="noConversion"/>
  </si>
  <si>
    <t>森林湾大厦C座801B室</t>
    <phoneticPr fontId="9" type="noConversion"/>
  </si>
  <si>
    <t>龙骏一家</t>
    <phoneticPr fontId="9" type="noConversion"/>
  </si>
  <si>
    <t>龙骏</t>
    <phoneticPr fontId="9" type="noConversion"/>
  </si>
  <si>
    <t>永盛一家</t>
    <phoneticPr fontId="9" type="noConversion"/>
  </si>
  <si>
    <t>楷弘</t>
    <phoneticPr fontId="9" type="noConversion"/>
  </si>
  <si>
    <t>海湾</t>
    <phoneticPr fontId="9" type="noConversion"/>
  </si>
  <si>
    <t>海湾大厦1406室</t>
    <phoneticPr fontId="9" type="noConversion"/>
  </si>
  <si>
    <t>虹口区虹口黄浦路53号海湾大厦</t>
    <phoneticPr fontId="9" type="noConversion"/>
  </si>
  <si>
    <t>汇智</t>
    <phoneticPr fontId="9" type="noConversion"/>
  </si>
  <si>
    <t>上海滩国际大厦1705-10</t>
    <phoneticPr fontId="9" type="noConversion"/>
  </si>
  <si>
    <t>前台帮找的樊彧名片，也没问到公司做哪一块的</t>
    <phoneticPr fontId="9" type="noConversion"/>
  </si>
  <si>
    <t>炜来</t>
    <phoneticPr fontId="9" type="noConversion"/>
  </si>
  <si>
    <t>宝矿大厦2103室</t>
    <phoneticPr fontId="9" type="noConversion"/>
  </si>
  <si>
    <t>和记宝线</t>
    <phoneticPr fontId="9" type="noConversion"/>
  </si>
  <si>
    <t>宝矿大厦2502室</t>
    <phoneticPr fontId="9" type="noConversion"/>
  </si>
  <si>
    <t>瑞源</t>
    <phoneticPr fontId="9" type="noConversion"/>
  </si>
  <si>
    <t>宝矿大厦3301C</t>
    <phoneticPr fontId="9" type="noConversion"/>
  </si>
  <si>
    <t>万友</t>
    <phoneticPr fontId="9" type="noConversion"/>
  </si>
  <si>
    <t>耀江国际广场3A01室</t>
    <phoneticPr fontId="9" type="noConversion"/>
  </si>
  <si>
    <t>卜：13年两票</t>
    <phoneticPr fontId="9" type="noConversion"/>
  </si>
  <si>
    <t>越翔</t>
    <phoneticPr fontId="9" type="noConversion"/>
  </si>
  <si>
    <t>耀江国际大厦3A03室</t>
    <phoneticPr fontId="9" type="noConversion"/>
  </si>
  <si>
    <t>华运</t>
    <phoneticPr fontId="9" type="noConversion"/>
  </si>
  <si>
    <t>耀江国际广场6楼</t>
    <phoneticPr fontId="9" type="noConversion"/>
  </si>
  <si>
    <t>江鹏飞装傻套话，卜：去年开非洲线，报价注意</t>
    <phoneticPr fontId="9" type="noConversion"/>
  </si>
  <si>
    <t>罗加</t>
    <phoneticPr fontId="9" type="noConversion"/>
  </si>
  <si>
    <t>耀江国际广场1203室</t>
    <phoneticPr fontId="9" type="noConversion"/>
  </si>
  <si>
    <t>王浩</t>
    <phoneticPr fontId="9" type="noConversion"/>
  </si>
  <si>
    <t>General Manager</t>
    <phoneticPr fontId="9" type="noConversion"/>
  </si>
  <si>
    <t>134-7279-8992</t>
    <phoneticPr fontId="9" type="noConversion"/>
  </si>
  <si>
    <t>021-63568808</t>
    <phoneticPr fontId="9" type="noConversion"/>
  </si>
  <si>
    <t>认识束飞</t>
    <phoneticPr fontId="9" type="noConversion"/>
  </si>
  <si>
    <t>江鹏飞</t>
    <phoneticPr fontId="9" type="noConversion"/>
  </si>
  <si>
    <t>航线助理</t>
    <phoneticPr fontId="9" type="noConversion"/>
  </si>
  <si>
    <t>187-0185-7581</t>
    <phoneticPr fontId="9" type="noConversion"/>
  </si>
  <si>
    <t>021-26102112</t>
    <phoneticPr fontId="9" type="noConversion"/>
  </si>
  <si>
    <t>非美事业部非洲航线助理，装傻套话，报价注意</t>
    <phoneticPr fontId="9" type="noConversion"/>
  </si>
  <si>
    <t>陈文俊</t>
    <phoneticPr fontId="9" type="noConversion"/>
  </si>
  <si>
    <t>-</t>
    <phoneticPr fontId="9" type="noConversion"/>
  </si>
  <si>
    <t>139-1781-6864</t>
    <phoneticPr fontId="9" type="noConversion"/>
  </si>
  <si>
    <t>021-60317015</t>
    <phoneticPr fontId="9" type="noConversion"/>
  </si>
  <si>
    <t>PIL 庄</t>
    <phoneticPr fontId="9" type="noConversion"/>
  </si>
  <si>
    <t>杨震毅</t>
    <phoneticPr fontId="9" type="noConversion"/>
  </si>
  <si>
    <t>商务代表</t>
    <phoneticPr fontId="9" type="noConversion"/>
  </si>
  <si>
    <t>136-1172-9150</t>
    <phoneticPr fontId="9" type="noConversion"/>
  </si>
  <si>
    <t>021-60319885</t>
    <phoneticPr fontId="9" type="noConversion"/>
  </si>
  <si>
    <t>认识卜总</t>
    <phoneticPr fontId="9" type="noConversion"/>
  </si>
  <si>
    <t>徐金鑫</t>
    <phoneticPr fontId="9" type="noConversion"/>
  </si>
  <si>
    <t>021-65071883</t>
    <phoneticPr fontId="9" type="noConversion"/>
  </si>
  <si>
    <t>前台写的名片，别说前台给的</t>
    <phoneticPr fontId="9" type="noConversion"/>
  </si>
  <si>
    <t>021-60318249</t>
    <phoneticPr fontId="9" type="noConversion"/>
  </si>
  <si>
    <t>客服同事给写的</t>
    <phoneticPr fontId="9" type="noConversion"/>
  </si>
  <si>
    <t>全航线</t>
    <phoneticPr fontId="9" type="noConversion"/>
  </si>
  <si>
    <t>李震</t>
    <phoneticPr fontId="9" type="noConversion"/>
  </si>
  <si>
    <t>上海分公司经理</t>
    <phoneticPr fontId="9" type="noConversion"/>
  </si>
  <si>
    <t>182-2130-7302</t>
    <phoneticPr fontId="9" type="noConversion"/>
  </si>
  <si>
    <t>021-66288073-808</t>
    <phoneticPr fontId="9" type="noConversion"/>
  </si>
  <si>
    <t>樊彧</t>
    <phoneticPr fontId="9" type="noConversion"/>
  </si>
  <si>
    <t>客户经理</t>
    <phoneticPr fontId="9" type="noConversion"/>
  </si>
  <si>
    <t>138-1801-2428</t>
    <phoneticPr fontId="9" type="noConversion"/>
  </si>
  <si>
    <t>021-23562858</t>
    <phoneticPr fontId="9" type="noConversion"/>
  </si>
  <si>
    <t>前台帮找的名片</t>
    <phoneticPr fontId="9" type="noConversion"/>
  </si>
  <si>
    <t>137-0197-8154</t>
    <phoneticPr fontId="9" type="noConversion"/>
  </si>
  <si>
    <t>林凌</t>
    <phoneticPr fontId="9" type="noConversion"/>
  </si>
  <si>
    <t>危险品销售经理</t>
    <phoneticPr fontId="9" type="noConversion"/>
  </si>
  <si>
    <t>137-0179-6347</t>
    <phoneticPr fontId="9" type="noConversion"/>
  </si>
  <si>
    <t>021-56400119</t>
    <phoneticPr fontId="9" type="noConversion"/>
  </si>
  <si>
    <t>林老师，环世出来，危险品多，同事有普货这次都不在，下次来可以介绍</t>
    <phoneticPr fontId="9" type="noConversion"/>
  </si>
  <si>
    <t>客服部</t>
    <phoneticPr fontId="9" type="noConversion"/>
  </si>
  <si>
    <t>137-6173-7049</t>
    <phoneticPr fontId="9" type="noConversion"/>
  </si>
  <si>
    <t>021-51082608-1006</t>
    <phoneticPr fontId="9" type="noConversion"/>
  </si>
  <si>
    <t>林风</t>
    <phoneticPr fontId="9" type="noConversion"/>
  </si>
  <si>
    <t>市场部</t>
    <phoneticPr fontId="9" type="noConversion"/>
  </si>
  <si>
    <t>139-1701-7707</t>
    <phoneticPr fontId="9" type="noConversion"/>
  </si>
  <si>
    <t>021-63578000-131</t>
    <phoneticPr fontId="9" type="noConversion"/>
  </si>
  <si>
    <t>人不错</t>
    <phoneticPr fontId="9" type="noConversion"/>
  </si>
  <si>
    <t>胡景闰</t>
    <phoneticPr fontId="9" type="noConversion"/>
  </si>
  <si>
    <t>136-0164-2753</t>
    <phoneticPr fontId="9" type="noConversion"/>
  </si>
  <si>
    <t>021-61437188</t>
    <phoneticPr fontId="9" type="noConversion"/>
  </si>
  <si>
    <t>近洋拼箱，非洲几乎没有，有询价可以问一问</t>
    <phoneticPr fontId="9" type="noConversion"/>
  </si>
  <si>
    <t>周骥</t>
    <phoneticPr fontId="9" type="noConversion"/>
  </si>
  <si>
    <t>营业部副课长</t>
    <phoneticPr fontId="9" type="noConversion"/>
  </si>
  <si>
    <t>139-1788-6313</t>
    <phoneticPr fontId="9" type="noConversion"/>
  </si>
  <si>
    <t>021-63649995-290</t>
    <phoneticPr fontId="9" type="noConversion"/>
  </si>
  <si>
    <t>做拼箱，基本不接非洲</t>
    <phoneticPr fontId="9" type="noConversion"/>
  </si>
  <si>
    <t>梅杰</t>
    <phoneticPr fontId="9" type="noConversion"/>
  </si>
  <si>
    <t>销售部</t>
    <phoneticPr fontId="9" type="noConversion"/>
  </si>
  <si>
    <t>136-6190-3809</t>
    <phoneticPr fontId="9" type="noConversion"/>
  </si>
  <si>
    <t>021-61077259</t>
    <phoneticPr fontId="9" type="noConversion"/>
  </si>
  <si>
    <t>前台喊出来帮拿的三张名片，出口少</t>
    <phoneticPr fontId="9" type="noConversion"/>
  </si>
  <si>
    <t>周瑾</t>
    <phoneticPr fontId="9" type="noConversion"/>
  </si>
  <si>
    <t>138-1814-4862</t>
    <phoneticPr fontId="9" type="noConversion"/>
  </si>
  <si>
    <t>021-61077252</t>
    <phoneticPr fontId="9" type="noConversion"/>
  </si>
  <si>
    <t>梅杰帮拿的名片</t>
    <phoneticPr fontId="9" type="noConversion"/>
  </si>
  <si>
    <t>蒋天雄</t>
    <phoneticPr fontId="9" type="noConversion"/>
  </si>
  <si>
    <t>业务经理</t>
    <phoneticPr fontId="9" type="noConversion"/>
  </si>
  <si>
    <t>180-1974-1413</t>
    <phoneticPr fontId="9" type="noConversion"/>
  </si>
  <si>
    <t>021-61077048</t>
    <phoneticPr fontId="9" type="noConversion"/>
  </si>
  <si>
    <t>戴长宇</t>
    <phoneticPr fontId="9" type="noConversion"/>
  </si>
  <si>
    <t>分公司总经理</t>
    <phoneticPr fontId="9" type="noConversion"/>
  </si>
  <si>
    <t>135-0175-1342</t>
    <phoneticPr fontId="9" type="noConversion"/>
  </si>
  <si>
    <t>021-65956598</t>
    <phoneticPr fontId="9" type="noConversion"/>
  </si>
  <si>
    <t>同行，</t>
    <phoneticPr fontId="9" type="noConversion"/>
  </si>
  <si>
    <t>合誉</t>
    <phoneticPr fontId="9" type="noConversion"/>
  </si>
  <si>
    <t>宇航</t>
    <phoneticPr fontId="9" type="noConversion"/>
  </si>
  <si>
    <t>宇航大厦1311室</t>
    <phoneticPr fontId="9" type="noConversion"/>
  </si>
  <si>
    <t>杨哥做危险品</t>
    <phoneticPr fontId="9" type="noConversion"/>
  </si>
  <si>
    <t>恒海</t>
    <phoneticPr fontId="9" type="noConversion"/>
  </si>
  <si>
    <t>Selina</t>
    <phoneticPr fontId="9" type="noConversion"/>
  </si>
  <si>
    <t>138-2658-9501</t>
    <phoneticPr fontId="9" type="noConversion"/>
  </si>
  <si>
    <t>0755-82635227</t>
    <phoneticPr fontId="9" type="noConversion"/>
  </si>
  <si>
    <t>卜海波给的</t>
    <phoneticPr fontId="9" type="noConversion"/>
  </si>
  <si>
    <t>好利航</t>
    <phoneticPr fontId="9" type="noConversion"/>
  </si>
  <si>
    <t>凯德</t>
    <phoneticPr fontId="9" type="noConversion"/>
  </si>
  <si>
    <t>北非COSCO MSK CMA APL</t>
    <phoneticPr fontId="9" type="noConversion"/>
  </si>
  <si>
    <t>天禄</t>
    <phoneticPr fontId="9" type="noConversion"/>
  </si>
  <si>
    <t>凯德龙之梦A栋10F</t>
    <phoneticPr fontId="7" type="noConversion"/>
  </si>
  <si>
    <t>凯德龙之梦B座30R02室</t>
    <phoneticPr fontId="9" type="noConversion"/>
  </si>
  <si>
    <t>凯德龙之梦A栋1201室</t>
    <phoneticPr fontId="9" type="noConversion"/>
  </si>
  <si>
    <t>我们SAF订舱口</t>
    <phoneticPr fontId="9" type="noConversion"/>
  </si>
  <si>
    <t>欧华</t>
    <phoneticPr fontId="9" type="noConversion"/>
  </si>
  <si>
    <t>华宜</t>
    <phoneticPr fontId="9" type="noConversion"/>
  </si>
  <si>
    <t>华宜大厦2号楼19层</t>
    <phoneticPr fontId="9" type="noConversion"/>
  </si>
  <si>
    <t>13-14年合作过，有货</t>
    <phoneticPr fontId="9" type="noConversion"/>
  </si>
  <si>
    <t>融商</t>
    <phoneticPr fontId="9" type="noConversion"/>
  </si>
  <si>
    <t>利通广场2206室</t>
    <phoneticPr fontId="9" type="noConversion"/>
  </si>
  <si>
    <t>伊朗专线</t>
    <phoneticPr fontId="9" type="noConversion"/>
  </si>
  <si>
    <t>对手，专业西非PIL COSCO CMA SAF</t>
    <phoneticPr fontId="9" type="noConversion"/>
  </si>
  <si>
    <t>锐莱</t>
    <phoneticPr fontId="9" type="noConversion"/>
  </si>
  <si>
    <t>爱家</t>
    <phoneticPr fontId="9" type="noConversion"/>
  </si>
  <si>
    <t>爱家国际大厦1号楼803室</t>
    <phoneticPr fontId="9" type="noConversion"/>
  </si>
  <si>
    <t>翘曲点</t>
    <phoneticPr fontId="9" type="noConversion"/>
  </si>
  <si>
    <t>海泰时代大厦1710-13室</t>
    <phoneticPr fontId="9" type="noConversion"/>
  </si>
  <si>
    <t>海泰时代</t>
    <phoneticPr fontId="9" type="noConversion"/>
  </si>
  <si>
    <t>涅浦顿</t>
    <phoneticPr fontId="9" type="noConversion"/>
  </si>
  <si>
    <t>海泰时代大厦1618-22室</t>
    <phoneticPr fontId="9" type="noConversion"/>
  </si>
  <si>
    <t>美国线订舱口</t>
    <phoneticPr fontId="9" type="noConversion"/>
  </si>
  <si>
    <t>同泰</t>
    <phoneticPr fontId="9" type="noConversion"/>
  </si>
  <si>
    <t>周家嘴路3140号</t>
    <phoneticPr fontId="9" type="noConversion"/>
  </si>
  <si>
    <t>NULL</t>
    <phoneticPr fontId="9" type="noConversion"/>
  </si>
  <si>
    <t>小箱超重费：HWCS : USD 50 货重21吨以上</t>
  </si>
  <si>
    <t>高阳</t>
    <phoneticPr fontId="9" type="noConversion"/>
  </si>
  <si>
    <t>虹口区东大名路815号高阳商务中心</t>
    <phoneticPr fontId="9" type="noConversion"/>
  </si>
  <si>
    <t>登戈</t>
    <phoneticPr fontId="9" type="noConversion"/>
  </si>
  <si>
    <t>高阳商务中心4楼A3室</t>
    <phoneticPr fontId="9" type="noConversion"/>
  </si>
  <si>
    <t>很少</t>
    <phoneticPr fontId="9" type="noConversion"/>
  </si>
  <si>
    <t>朗森</t>
    <phoneticPr fontId="9" type="noConversion"/>
  </si>
  <si>
    <t>高阳商务中心2楼A座</t>
    <phoneticPr fontId="9" type="noConversion"/>
  </si>
  <si>
    <t>佰航</t>
    <phoneticPr fontId="9" type="noConversion"/>
  </si>
  <si>
    <t>高阳商务中心H-402室</t>
    <phoneticPr fontId="9" type="noConversion"/>
  </si>
  <si>
    <t>陈心滢</t>
    <phoneticPr fontId="9" type="noConversion"/>
  </si>
  <si>
    <t>操作部经理</t>
    <phoneticPr fontId="9" type="noConversion"/>
  </si>
  <si>
    <t>138-1661-2019</t>
    <phoneticPr fontId="9" type="noConversion"/>
  </si>
  <si>
    <t>021-51802734</t>
    <phoneticPr fontId="9" type="noConversion"/>
  </si>
  <si>
    <t>樊嵘</t>
    <phoneticPr fontId="9" type="noConversion"/>
  </si>
  <si>
    <t>139-0169-5090</t>
    <phoneticPr fontId="9" type="noConversion"/>
  </si>
  <si>
    <t>021-65951655</t>
    <phoneticPr fontId="9" type="noConversion"/>
  </si>
  <si>
    <t>周姐</t>
    <phoneticPr fontId="9" type="noConversion"/>
  </si>
  <si>
    <t>写的名片</t>
    <phoneticPr fontId="9" type="noConversion"/>
  </si>
  <si>
    <t>建爱</t>
    <phoneticPr fontId="9" type="noConversion"/>
  </si>
  <si>
    <t>北美广场</t>
    <phoneticPr fontId="9" type="noConversion"/>
  </si>
  <si>
    <t>创富</t>
    <phoneticPr fontId="9" type="noConversion"/>
  </si>
  <si>
    <t>霍山</t>
    <phoneticPr fontId="9" type="noConversion"/>
  </si>
  <si>
    <t>振天</t>
    <phoneticPr fontId="9" type="noConversion"/>
  </si>
  <si>
    <t>虹口区大连路535号创富大厦</t>
    <phoneticPr fontId="9" type="noConversion"/>
  </si>
  <si>
    <t>虹口区霍山路340号霍山大楼</t>
    <phoneticPr fontId="9" type="noConversion"/>
  </si>
  <si>
    <t>虹口区大连路265号振天商务楼</t>
    <phoneticPr fontId="9" type="noConversion"/>
  </si>
  <si>
    <t>杨浦区昆明路518号北美广场</t>
    <phoneticPr fontId="9" type="noConversion"/>
  </si>
  <si>
    <t>虹口区提篮街道长阳路8号建爱大厦</t>
    <phoneticPr fontId="9" type="noConversion"/>
  </si>
  <si>
    <t>石立</t>
    <phoneticPr fontId="9" type="noConversion"/>
  </si>
  <si>
    <t>陆萱</t>
    <phoneticPr fontId="9" type="noConversion"/>
  </si>
  <si>
    <t>非洲很少</t>
    <phoneticPr fontId="9" type="noConversion"/>
  </si>
  <si>
    <t>千井</t>
    <phoneticPr fontId="9" type="noConversion"/>
  </si>
  <si>
    <t>？</t>
    <phoneticPr fontId="9" type="noConversion"/>
  </si>
  <si>
    <t>杰士尔</t>
    <phoneticPr fontId="9" type="noConversion"/>
  </si>
  <si>
    <t>德亚</t>
    <phoneticPr fontId="9" type="noConversion"/>
  </si>
  <si>
    <t>创通</t>
    <phoneticPr fontId="9" type="noConversion"/>
  </si>
  <si>
    <t>轩远</t>
    <phoneticPr fontId="9" type="noConversion"/>
  </si>
  <si>
    <t>恒道能不用先不用</t>
    <phoneticPr fontId="9" type="noConversion"/>
  </si>
  <si>
    <t>郦海</t>
    <phoneticPr fontId="9" type="noConversion"/>
  </si>
  <si>
    <t>达鸿</t>
    <phoneticPr fontId="9" type="noConversion"/>
  </si>
  <si>
    <t>宝行健</t>
    <phoneticPr fontId="9" type="noConversion"/>
  </si>
  <si>
    <t>少</t>
    <phoneticPr fontId="9" type="noConversion"/>
  </si>
  <si>
    <t>梦腾</t>
    <phoneticPr fontId="9" type="noConversion"/>
  </si>
  <si>
    <t>有一点</t>
    <phoneticPr fontId="9" type="noConversion"/>
  </si>
  <si>
    <t>伟东</t>
    <phoneticPr fontId="9" type="noConversion"/>
  </si>
  <si>
    <t>没有非洲</t>
    <phoneticPr fontId="9" type="noConversion"/>
  </si>
  <si>
    <t>中佳</t>
    <phoneticPr fontId="9" type="noConversion"/>
  </si>
  <si>
    <t>和宏路一家</t>
    <phoneticPr fontId="9" type="noConversion"/>
  </si>
  <si>
    <t>宏路</t>
    <phoneticPr fontId="9" type="noConversion"/>
  </si>
  <si>
    <t>和中佳一家</t>
    <phoneticPr fontId="9" type="noConversion"/>
  </si>
  <si>
    <t>麒天</t>
    <phoneticPr fontId="9" type="noConversion"/>
  </si>
  <si>
    <t>通力</t>
    <phoneticPr fontId="9" type="noConversion"/>
  </si>
  <si>
    <t>元初迈威</t>
    <phoneticPr fontId="9" type="noConversion"/>
  </si>
  <si>
    <t>环信</t>
    <phoneticPr fontId="9" type="noConversion"/>
  </si>
  <si>
    <t>惠泽</t>
    <phoneticPr fontId="9" type="noConversion"/>
  </si>
  <si>
    <t>合作过，没有非洲货就断了</t>
    <phoneticPr fontId="9" type="noConversion"/>
  </si>
  <si>
    <t>英东</t>
    <phoneticPr fontId="9" type="noConversion"/>
  </si>
  <si>
    <t>晟檀</t>
    <phoneticPr fontId="9" type="noConversion"/>
  </si>
  <si>
    <t>主进口，非洲不多</t>
    <phoneticPr fontId="9" type="noConversion"/>
  </si>
  <si>
    <t>富桔</t>
    <phoneticPr fontId="9" type="noConversion"/>
  </si>
  <si>
    <t>NDS</t>
    <phoneticPr fontId="9" type="noConversion"/>
  </si>
  <si>
    <t>懿明</t>
    <phoneticPr fontId="9" type="noConversion"/>
  </si>
  <si>
    <t>浩恒</t>
    <phoneticPr fontId="9" type="noConversion"/>
  </si>
  <si>
    <t>瀚源</t>
    <phoneticPr fontId="9" type="noConversion"/>
  </si>
  <si>
    <t>北美广场A1104</t>
    <phoneticPr fontId="9" type="noConversion"/>
  </si>
  <si>
    <t>什么都做</t>
    <phoneticPr fontId="9" type="noConversion"/>
  </si>
  <si>
    <t>达高</t>
    <phoneticPr fontId="9" type="noConversion"/>
  </si>
  <si>
    <t>霍山大楼406室</t>
    <phoneticPr fontId="9" type="noConversion"/>
  </si>
  <si>
    <t>全优</t>
    <phoneticPr fontId="9" type="noConversion"/>
  </si>
  <si>
    <t>霍山大楼426室</t>
    <phoneticPr fontId="9" type="noConversion"/>
  </si>
  <si>
    <t>柏联</t>
    <phoneticPr fontId="9" type="noConversion"/>
  </si>
  <si>
    <t>霍山大楼330室</t>
    <phoneticPr fontId="9" type="noConversion"/>
  </si>
  <si>
    <t>奥格</t>
    <phoneticPr fontId="9" type="noConversion"/>
  </si>
  <si>
    <t>霍山大楼203室</t>
    <phoneticPr fontId="9" type="noConversion"/>
  </si>
  <si>
    <t>瀚捷</t>
    <phoneticPr fontId="9" type="noConversion"/>
  </si>
  <si>
    <t>振天商务楼407室</t>
    <phoneticPr fontId="9" type="noConversion"/>
  </si>
  <si>
    <t>骏都</t>
    <phoneticPr fontId="9" type="noConversion"/>
  </si>
  <si>
    <t>振天商务楼411室</t>
    <phoneticPr fontId="9" type="noConversion"/>
  </si>
  <si>
    <t>贺昕</t>
    <phoneticPr fontId="9" type="noConversion"/>
  </si>
  <si>
    <t>振天商务楼？室</t>
    <phoneticPr fontId="9" type="noConversion"/>
  </si>
  <si>
    <t>新怡</t>
    <phoneticPr fontId="9" type="noConversion"/>
  </si>
  <si>
    <t>名片地址百联大厦，应该在振天3楼或4楼</t>
    <phoneticPr fontId="9" type="noConversion"/>
  </si>
  <si>
    <t>振天商务楼308B室</t>
    <phoneticPr fontId="9" type="noConversion"/>
  </si>
  <si>
    <t>直客</t>
    <phoneticPr fontId="9" type="noConversion"/>
  </si>
  <si>
    <t>英展</t>
    <phoneticPr fontId="9" type="noConversion"/>
  </si>
  <si>
    <t>建爱大厦17R</t>
    <phoneticPr fontId="9" type="noConversion"/>
  </si>
  <si>
    <t>日本</t>
    <phoneticPr fontId="9" type="noConversion"/>
  </si>
  <si>
    <t>鑫易</t>
    <phoneticPr fontId="9" type="noConversion"/>
  </si>
  <si>
    <t>建爱大厦17B</t>
    <phoneticPr fontId="9" type="noConversion"/>
  </si>
  <si>
    <t>俄罗斯</t>
    <phoneticPr fontId="9" type="noConversion"/>
  </si>
  <si>
    <t>文渊</t>
    <phoneticPr fontId="9" type="noConversion"/>
  </si>
  <si>
    <t>建爱大厦8F</t>
    <phoneticPr fontId="9" type="noConversion"/>
  </si>
  <si>
    <t>荣广B</t>
    <phoneticPr fontId="9" type="noConversion"/>
  </si>
  <si>
    <t>荣广A</t>
    <phoneticPr fontId="9" type="noConversion"/>
  </si>
  <si>
    <t>荣广C</t>
    <phoneticPr fontId="9" type="noConversion"/>
  </si>
  <si>
    <t>杨浦区荆州路334弄108号荣广商务中心A区</t>
    <phoneticPr fontId="9" type="noConversion"/>
  </si>
  <si>
    <t>杨浦区昆明路572号荣广商务中心B区</t>
    <phoneticPr fontId="9" type="noConversion"/>
  </si>
  <si>
    <t>杨浦区昆明路596号荣广商务中心C区</t>
    <phoneticPr fontId="9" type="noConversion"/>
  </si>
  <si>
    <t>杨浦区荆州路280号荣广商务中心D区</t>
    <phoneticPr fontId="9" type="noConversion"/>
  </si>
  <si>
    <t>荣广D</t>
    <phoneticPr fontId="9" type="noConversion"/>
  </si>
  <si>
    <t>荣广B区342室</t>
  </si>
  <si>
    <t>荣广A区316室</t>
  </si>
  <si>
    <t>荣广A区206室</t>
  </si>
  <si>
    <t>荣广A区205室</t>
  </si>
  <si>
    <t>荣广A区203室</t>
  </si>
  <si>
    <t>荣广A区209室</t>
  </si>
  <si>
    <t>荣广A区213室</t>
  </si>
  <si>
    <t>荣广A区112A</t>
  </si>
  <si>
    <t>荣广B区701室</t>
  </si>
  <si>
    <t>荣广B区706室</t>
  </si>
  <si>
    <t>荣广B区713室</t>
  </si>
  <si>
    <t>荣广B区622室</t>
  </si>
  <si>
    <t>荣广B区526室</t>
  </si>
  <si>
    <t>荣广B区511室</t>
  </si>
  <si>
    <t>荣广B区516-520室</t>
  </si>
  <si>
    <t>荣广B区509室</t>
  </si>
  <si>
    <t>荣广B区507室</t>
  </si>
  <si>
    <t>荣广B区512室</t>
  </si>
  <si>
    <t>荣广B区501D室</t>
  </si>
  <si>
    <t>荣广B区320室</t>
  </si>
  <si>
    <t>荣广B区306室</t>
  </si>
  <si>
    <t>荣广B区402室</t>
  </si>
  <si>
    <t>荣广C区204室</t>
  </si>
  <si>
    <t>章玥康</t>
    <phoneticPr fontId="9" type="noConversion"/>
  </si>
  <si>
    <t>销售</t>
    <phoneticPr fontId="9" type="noConversion"/>
  </si>
  <si>
    <t>189-6413-1015</t>
    <phoneticPr fontId="9" type="noConversion"/>
  </si>
  <si>
    <t>021-33623661-8004</t>
    <phoneticPr fontId="9" type="noConversion"/>
  </si>
  <si>
    <t>18049723957/15801801410，东南亚/东亚/美国？</t>
    <phoneticPr fontId="9" type="noConversion"/>
  </si>
  <si>
    <t>周亮</t>
    <phoneticPr fontId="9" type="noConversion"/>
  </si>
  <si>
    <t>139-1728-1650</t>
    <phoneticPr fontId="9" type="noConversion"/>
  </si>
  <si>
    <t>021-51176012</t>
    <phoneticPr fontId="9" type="noConversion"/>
  </si>
  <si>
    <t>茅伟英</t>
    <phoneticPr fontId="9" type="noConversion"/>
  </si>
  <si>
    <t>经理</t>
    <phoneticPr fontId="9" type="noConversion"/>
  </si>
  <si>
    <t>135-6446-8644</t>
    <phoneticPr fontId="9" type="noConversion"/>
  </si>
  <si>
    <t>021-63865077</t>
    <phoneticPr fontId="9" type="noConversion"/>
  </si>
  <si>
    <t>日本线</t>
    <phoneticPr fontId="9" type="noConversion"/>
  </si>
  <si>
    <t>张爱群</t>
    <phoneticPr fontId="9" type="noConversion"/>
  </si>
  <si>
    <t>139-1769-9315</t>
    <phoneticPr fontId="9" type="noConversion"/>
  </si>
  <si>
    <t>021-55086876</t>
    <phoneticPr fontId="9" type="noConversion"/>
  </si>
  <si>
    <t>贺红花</t>
    <phoneticPr fontId="9" type="noConversion"/>
  </si>
  <si>
    <t>物流部经理</t>
    <phoneticPr fontId="9" type="noConversion"/>
  </si>
  <si>
    <t>189-3983-4090</t>
    <phoneticPr fontId="9" type="noConversion"/>
  </si>
  <si>
    <t>021-65660503</t>
    <phoneticPr fontId="9" type="noConversion"/>
  </si>
  <si>
    <t>近洋</t>
    <phoneticPr fontId="9" type="noConversion"/>
  </si>
  <si>
    <t>刘克文</t>
    <phoneticPr fontId="9" type="noConversion"/>
  </si>
  <si>
    <t>总经理</t>
    <phoneticPr fontId="9" type="noConversion"/>
  </si>
  <si>
    <t>134-8246-3945</t>
    <phoneticPr fontId="9" type="noConversion"/>
  </si>
  <si>
    <t>021-65375062</t>
    <phoneticPr fontId="9" type="noConversion"/>
  </si>
  <si>
    <t>谭正国</t>
    <phoneticPr fontId="9" type="noConversion"/>
  </si>
  <si>
    <t>135-8574-2822</t>
    <phoneticPr fontId="9" type="noConversion"/>
  </si>
  <si>
    <t>021-65461805-803</t>
    <phoneticPr fontId="9" type="noConversion"/>
  </si>
  <si>
    <t>谢彬彬</t>
    <phoneticPr fontId="9" type="noConversion"/>
  </si>
  <si>
    <t>市场部经理</t>
    <phoneticPr fontId="9" type="noConversion"/>
  </si>
  <si>
    <t>137-6141-1539</t>
    <phoneticPr fontId="9" type="noConversion"/>
  </si>
  <si>
    <t>021-60781405</t>
    <phoneticPr fontId="9" type="noConversion"/>
  </si>
  <si>
    <t>顾乡平</t>
    <phoneticPr fontId="9" type="noConversion"/>
  </si>
  <si>
    <t>136-3662-8237</t>
    <phoneticPr fontId="9" type="noConversion"/>
  </si>
  <si>
    <t>021-61736238</t>
    <phoneticPr fontId="9" type="noConversion"/>
  </si>
  <si>
    <t>戴冀</t>
    <phoneticPr fontId="9" type="noConversion"/>
  </si>
  <si>
    <t>135-0164-8907</t>
    <phoneticPr fontId="9" type="noConversion"/>
  </si>
  <si>
    <t>021-55670616</t>
    <phoneticPr fontId="9" type="noConversion"/>
  </si>
  <si>
    <t>贝芸</t>
    <phoneticPr fontId="9" type="noConversion"/>
  </si>
  <si>
    <t>138-1617-2470</t>
    <phoneticPr fontId="9" type="noConversion"/>
  </si>
  <si>
    <t>021-51160817</t>
    <phoneticPr fontId="9" type="noConversion"/>
  </si>
  <si>
    <t>张周赛</t>
    <phoneticPr fontId="9" type="noConversion"/>
  </si>
  <si>
    <t>周承毅</t>
    <phoneticPr fontId="9" type="noConversion"/>
  </si>
  <si>
    <t>老板</t>
    <phoneticPr fontId="9" type="noConversion"/>
  </si>
  <si>
    <t>李君玮给写的名片</t>
    <phoneticPr fontId="9" type="noConversion"/>
  </si>
  <si>
    <t>李君玮</t>
    <phoneticPr fontId="9" type="noConversion"/>
  </si>
  <si>
    <t>40HQ 上海到CASABLANCA</t>
    <phoneticPr fontId="9" type="noConversion"/>
  </si>
  <si>
    <t>Casablanca COSCO USD2000/40HQ (含EBS) + ENS25/BILL，周日洋山比雷埃夫斯转30-44天，价格到11月30日。
Casablanca MSK USD2125/40HQ + EBS120，周五洋山丹吉尔转31天，价格到11月30日。
Casablanca SAF USD2200/40HQ + EBS120，周三洋山丹吉尔转30天，价格到11月15日。</t>
    <phoneticPr fontId="9" type="noConversion"/>
  </si>
  <si>
    <t>Mombasa 转 
EMC USD950/1650 (含EBS) + 转运费600/800，周四外港30+15天，价格到11月14日。
EMI USD967/1667 (含EBS) + 转运费630/810，周四/周四外港/外港25/32+15天，价格从11月7日到14日。</t>
    <phoneticPr fontId="9" type="noConversion"/>
  </si>
  <si>
    <t>江</t>
    <phoneticPr fontId="9" type="noConversion"/>
  </si>
  <si>
    <t>蒋彩虹</t>
    <phoneticPr fontId="9" type="noConversion"/>
  </si>
  <si>
    <t>主管</t>
    <phoneticPr fontId="9" type="noConversion"/>
  </si>
  <si>
    <t>137-0177-7846</t>
    <phoneticPr fontId="9" type="noConversion"/>
  </si>
  <si>
    <t>021-51721203</t>
    <phoneticPr fontId="9" type="noConversion"/>
  </si>
  <si>
    <t>QQ不用</t>
    <phoneticPr fontId="9" type="noConversion"/>
  </si>
  <si>
    <t>汪姐</t>
    <phoneticPr fontId="9" type="noConversion"/>
  </si>
  <si>
    <t>NDS可以找她</t>
    <phoneticPr fontId="9" type="noConversion"/>
  </si>
  <si>
    <t>021-51721785</t>
    <phoneticPr fontId="9" type="noConversion"/>
  </si>
  <si>
    <t>檀发苗</t>
    <phoneticPr fontId="9" type="noConversion"/>
  </si>
  <si>
    <t>130-2024-5171</t>
    <phoneticPr fontId="9" type="noConversion"/>
  </si>
  <si>
    <t>021-51721516</t>
    <phoneticPr fontId="9" type="noConversion"/>
  </si>
  <si>
    <t>18721071378，主进口，非洲不多</t>
    <phoneticPr fontId="9" type="noConversion"/>
  </si>
  <si>
    <t>潘军</t>
    <phoneticPr fontId="9" type="noConversion"/>
  </si>
  <si>
    <t>189-1600-4829</t>
    <phoneticPr fontId="9" type="noConversion"/>
  </si>
  <si>
    <t>021-51603929</t>
    <phoneticPr fontId="9" type="noConversion"/>
  </si>
  <si>
    <t>辛海明</t>
    <phoneticPr fontId="9" type="noConversion"/>
  </si>
  <si>
    <t>销售部</t>
    <phoneticPr fontId="9" type="noConversion"/>
  </si>
  <si>
    <t>138-1868-4677</t>
    <phoneticPr fontId="9" type="noConversion"/>
  </si>
  <si>
    <t>021-51721993</t>
    <phoneticPr fontId="9" type="noConversion"/>
  </si>
  <si>
    <t>合作过，没非洲货就断了</t>
    <phoneticPr fontId="9" type="noConversion"/>
  </si>
  <si>
    <t>陈经理</t>
    <phoneticPr fontId="9" type="noConversion"/>
  </si>
  <si>
    <t>新</t>
    <phoneticPr fontId="9" type="noConversion"/>
  </si>
  <si>
    <t>021-51027820</t>
    <phoneticPr fontId="9" type="noConversion"/>
  </si>
  <si>
    <t>卞小姐写的，打过来再说</t>
    <phoneticPr fontId="9" type="noConversion"/>
  </si>
  <si>
    <t>张洪吉</t>
    <phoneticPr fontId="9" type="noConversion"/>
  </si>
  <si>
    <t>186-1682-2440</t>
    <phoneticPr fontId="9" type="noConversion"/>
  </si>
  <si>
    <t>021-51807763</t>
    <phoneticPr fontId="9" type="noConversion"/>
  </si>
  <si>
    <t>马经理</t>
    <phoneticPr fontId="9" type="noConversion"/>
  </si>
  <si>
    <t>老板</t>
    <phoneticPr fontId="9" type="noConversion"/>
  </si>
  <si>
    <t>没名片，让张洪吉写的</t>
    <phoneticPr fontId="9" type="noConversion"/>
  </si>
  <si>
    <t>徐俊杰</t>
    <phoneticPr fontId="9" type="noConversion"/>
  </si>
  <si>
    <t>138-1869-9872</t>
    <phoneticPr fontId="9" type="noConversion"/>
  </si>
  <si>
    <t>021-51176278</t>
    <phoneticPr fontId="9" type="noConversion"/>
  </si>
  <si>
    <t>恒道耳熟</t>
    <phoneticPr fontId="9" type="noConversion"/>
  </si>
  <si>
    <t>唐正盛</t>
    <phoneticPr fontId="9" type="noConversion"/>
  </si>
  <si>
    <t>业务经理</t>
    <phoneticPr fontId="9" type="noConversion"/>
  </si>
  <si>
    <t>189-1800-5693</t>
    <phoneticPr fontId="9" type="noConversion"/>
  </si>
  <si>
    <t>021-51287169</t>
    <phoneticPr fontId="9" type="noConversion"/>
  </si>
  <si>
    <t>走的少就不理我了</t>
    <phoneticPr fontId="9" type="noConversion"/>
  </si>
  <si>
    <t>周真霞</t>
    <phoneticPr fontId="9" type="noConversion"/>
  </si>
  <si>
    <t>137-9548-2165</t>
    <phoneticPr fontId="9" type="noConversion"/>
  </si>
  <si>
    <t>021-51287161-815</t>
    <phoneticPr fontId="9" type="noConversion"/>
  </si>
  <si>
    <t>潘静</t>
    <phoneticPr fontId="9" type="noConversion"/>
  </si>
  <si>
    <t>销售及市场经理</t>
    <phoneticPr fontId="9" type="noConversion"/>
  </si>
  <si>
    <t>139-1634-0483</t>
    <phoneticPr fontId="9" type="noConversion"/>
  </si>
  <si>
    <t>021-51534891/2</t>
    <phoneticPr fontId="9" type="noConversion"/>
  </si>
  <si>
    <t>有一点，应该不是本人名片</t>
    <phoneticPr fontId="9" type="noConversion"/>
  </si>
  <si>
    <t>王经理</t>
    <phoneticPr fontId="9" type="noConversion"/>
  </si>
  <si>
    <t>021-51027891</t>
    <phoneticPr fontId="9" type="noConversion"/>
  </si>
  <si>
    <t>写的名片，少</t>
    <phoneticPr fontId="9" type="noConversion"/>
  </si>
  <si>
    <t>137-6158-3037</t>
    <phoneticPr fontId="9" type="noConversion"/>
  </si>
  <si>
    <t>少，主化工品</t>
    <phoneticPr fontId="9" type="noConversion"/>
  </si>
  <si>
    <t>罗小姐</t>
    <phoneticPr fontId="9" type="noConversion"/>
  </si>
  <si>
    <t>021-51534427</t>
    <phoneticPr fontId="9" type="noConversion"/>
  </si>
  <si>
    <t>电话？QQ？</t>
    <phoneticPr fontId="9" type="noConversion"/>
  </si>
  <si>
    <t>钱鸿赟</t>
    <phoneticPr fontId="9" type="noConversion"/>
  </si>
  <si>
    <t>客户经理</t>
    <phoneticPr fontId="9" type="noConversion"/>
  </si>
  <si>
    <t>159-0069-5036</t>
    <phoneticPr fontId="9" type="noConversion"/>
  </si>
  <si>
    <t>021-51286522</t>
    <phoneticPr fontId="9" type="noConversion"/>
  </si>
  <si>
    <t>移悦</t>
    <phoneticPr fontId="9" type="noConversion"/>
  </si>
  <si>
    <t>138-1858-9223</t>
    <phoneticPr fontId="9" type="noConversion"/>
  </si>
  <si>
    <t>021-51287933</t>
    <phoneticPr fontId="9" type="noConversion"/>
  </si>
  <si>
    <t>叶翔</t>
    <phoneticPr fontId="9" type="noConversion"/>
  </si>
  <si>
    <t>航线经理</t>
    <phoneticPr fontId="9" type="noConversion"/>
  </si>
  <si>
    <t>183-2135-6959</t>
    <phoneticPr fontId="9" type="noConversion"/>
  </si>
  <si>
    <t>021-51130060</t>
    <phoneticPr fontId="9" type="noConversion"/>
  </si>
  <si>
    <t>倪</t>
    <phoneticPr fontId="9" type="noConversion"/>
  </si>
  <si>
    <t>前台写的名片</t>
    <phoneticPr fontId="9" type="noConversion"/>
  </si>
  <si>
    <t>黄荣华</t>
    <phoneticPr fontId="9" type="noConversion"/>
  </si>
  <si>
    <t>137-6445-1072</t>
    <phoneticPr fontId="9" type="noConversion"/>
  </si>
  <si>
    <t>021-68368089-607</t>
    <phoneticPr fontId="9" type="noConversion"/>
  </si>
  <si>
    <t>陆志庆</t>
    <phoneticPr fontId="9" type="noConversion"/>
  </si>
  <si>
    <t>135-0172-4004</t>
    <phoneticPr fontId="9" type="noConversion"/>
  </si>
  <si>
    <t>021-51130972</t>
    <phoneticPr fontId="9" type="noConversion"/>
  </si>
  <si>
    <t>车寿庆</t>
    <phoneticPr fontId="9" type="noConversion"/>
  </si>
  <si>
    <t>134-7251-8405</t>
    <phoneticPr fontId="9" type="noConversion"/>
  </si>
  <si>
    <t>021-51721431</t>
    <phoneticPr fontId="9" type="noConversion"/>
  </si>
  <si>
    <t>朗森</t>
    <phoneticPr fontId="9" type="noConversion"/>
  </si>
  <si>
    <t>卢炎</t>
    <phoneticPr fontId="9" type="noConversion"/>
  </si>
  <si>
    <t>销售主管</t>
    <phoneticPr fontId="9" type="noConversion"/>
  </si>
  <si>
    <t>188-1529-9081</t>
    <phoneticPr fontId="9" type="noConversion"/>
  </si>
  <si>
    <t>021-65951655</t>
    <phoneticPr fontId="9" type="noConversion"/>
  </si>
  <si>
    <t>茗洋</t>
    <phoneticPr fontId="9" type="noConversion"/>
  </si>
  <si>
    <t>没说</t>
    <phoneticPr fontId="9" type="noConversion"/>
  </si>
  <si>
    <t>荣广B区601</t>
    <phoneticPr fontId="9" type="noConversion"/>
  </si>
  <si>
    <t>不确定是不是B区</t>
    <phoneticPr fontId="9" type="noConversion"/>
  </si>
  <si>
    <t>别跟卜说</t>
    <phoneticPr fontId="9" type="noConversion"/>
  </si>
  <si>
    <t>131-2795-3787</t>
    <phoneticPr fontId="9" type="noConversion"/>
  </si>
  <si>
    <t>卜：有</t>
    <phoneticPr fontId="9" type="noConversion"/>
  </si>
  <si>
    <t>卜：15年有单子</t>
    <phoneticPr fontId="9" type="noConversion"/>
  </si>
  <si>
    <t>卜：少</t>
    <phoneticPr fontId="9" type="noConversion"/>
  </si>
  <si>
    <t>主化工品，非洲少，卜：有</t>
    <phoneticPr fontId="9" type="noConversion"/>
  </si>
  <si>
    <t>卜：多，程的客户</t>
    <phoneticPr fontId="9" type="noConversion"/>
  </si>
  <si>
    <t>卜：程章禁客户，多</t>
    <phoneticPr fontId="9" type="noConversion"/>
  </si>
  <si>
    <t>卜：13-17年58票，找商务或销售</t>
    <phoneticPr fontId="9" type="noConversion"/>
  </si>
  <si>
    <t>能不用先不用，卜：10月还有单子</t>
    <phoneticPr fontId="9" type="noConversion"/>
  </si>
  <si>
    <t>客气，问了下框架箱，11-8邮件索取报价表</t>
    <phoneticPr fontId="9" type="noConversion"/>
  </si>
  <si>
    <t>邦哲</t>
    <phoneticPr fontId="9" type="noConversion"/>
  </si>
  <si>
    <t>龙泽</t>
    <phoneticPr fontId="9" type="noConversion"/>
  </si>
  <si>
    <t>以为恒道是做中南美的，非洲比较少</t>
    <phoneticPr fontId="9" type="noConversion"/>
  </si>
  <si>
    <t>浩缘</t>
    <phoneticPr fontId="9" type="noConversion"/>
  </si>
  <si>
    <t>龙泽大厦9幢1108</t>
    <phoneticPr fontId="9" type="noConversion"/>
  </si>
  <si>
    <t>龙泽大厦9幢1408</t>
    <phoneticPr fontId="9" type="noConversion"/>
  </si>
  <si>
    <t>江智涛，欧洲多，非洲少</t>
    <phoneticPr fontId="9" type="noConversion"/>
  </si>
  <si>
    <t>汉泽</t>
    <phoneticPr fontId="9" type="noConversion"/>
  </si>
  <si>
    <t>龙泽大厦9幢804</t>
    <phoneticPr fontId="9" type="noConversion"/>
  </si>
  <si>
    <t>创瑞</t>
    <phoneticPr fontId="9" type="noConversion"/>
  </si>
  <si>
    <t>汉泽一家</t>
    <phoneticPr fontId="9" type="noConversion"/>
  </si>
  <si>
    <t>奇立</t>
    <phoneticPr fontId="9" type="noConversion"/>
  </si>
  <si>
    <t>龙泽大厦9幢603</t>
    <phoneticPr fontId="9" type="noConversion"/>
  </si>
  <si>
    <t>启利一家</t>
    <phoneticPr fontId="9" type="noConversion"/>
  </si>
  <si>
    <t>启利</t>
    <phoneticPr fontId="9" type="noConversion"/>
  </si>
  <si>
    <t>奇立一家</t>
    <phoneticPr fontId="9" type="noConversion"/>
  </si>
  <si>
    <t>法人宗佳 翟虹 宗：你们隔壁，创瑞一家</t>
    <phoneticPr fontId="9" type="noConversion"/>
  </si>
  <si>
    <t>润亿</t>
    <phoneticPr fontId="9" type="noConversion"/>
  </si>
  <si>
    <t>龙泽大厦8幢701</t>
    <phoneticPr fontId="9" type="noConversion"/>
  </si>
  <si>
    <t>以前有，现在没有了</t>
    <phoneticPr fontId="9" type="noConversion"/>
  </si>
  <si>
    <t>品悠</t>
    <phoneticPr fontId="9" type="noConversion"/>
  </si>
  <si>
    <t>郡江</t>
    <phoneticPr fontId="9" type="noConversion"/>
  </si>
  <si>
    <t>郡江国际A座1813室</t>
    <phoneticPr fontId="9" type="noConversion"/>
  </si>
  <si>
    <t>？</t>
    <phoneticPr fontId="9" type="noConversion"/>
  </si>
  <si>
    <t>郡江国际A座1702室</t>
    <phoneticPr fontId="9" type="noConversion"/>
  </si>
  <si>
    <t>抬头忘写了</t>
    <phoneticPr fontId="9" type="noConversion"/>
  </si>
  <si>
    <t>众帆</t>
    <phoneticPr fontId="9" type="noConversion"/>
  </si>
  <si>
    <t>郡江国际A座820室</t>
    <phoneticPr fontId="9" type="noConversion"/>
  </si>
  <si>
    <t>张凯华</t>
    <phoneticPr fontId="9" type="noConversion"/>
  </si>
  <si>
    <t>187-1794-9117</t>
    <phoneticPr fontId="9" type="noConversion"/>
  </si>
  <si>
    <t>021-55081613</t>
    <phoneticPr fontId="9" type="noConversion"/>
  </si>
  <si>
    <t>非洲不多，南美较多</t>
    <phoneticPr fontId="9" type="noConversion"/>
  </si>
  <si>
    <t>三个人发了名片，左边做拼箱没拿，右边两人有货，三人各自负责</t>
    <phoneticPr fontId="9" type="noConversion"/>
  </si>
  <si>
    <t>江小强</t>
    <phoneticPr fontId="9" type="noConversion"/>
  </si>
  <si>
    <t>150-2128-8846</t>
    <phoneticPr fontId="9" type="noConversion"/>
  </si>
  <si>
    <t>021-55083179</t>
    <phoneticPr fontId="9" type="noConversion"/>
  </si>
  <si>
    <t>非洲有，加的时候备注一下姓名</t>
    <phoneticPr fontId="9" type="noConversion"/>
  </si>
  <si>
    <t>朱经理</t>
    <phoneticPr fontId="9" type="noConversion"/>
  </si>
  <si>
    <t>郡江A1702，忘写抬头了</t>
    <phoneticPr fontId="9" type="noConversion"/>
  </si>
  <si>
    <t>周嘉元</t>
    <phoneticPr fontId="9" type="noConversion"/>
  </si>
  <si>
    <t>180-1970-8695</t>
    <phoneticPr fontId="9" type="noConversion"/>
  </si>
  <si>
    <t>021-35309517</t>
    <phoneticPr fontId="9" type="noConversion"/>
  </si>
  <si>
    <t>莫辰雨</t>
    <phoneticPr fontId="9" type="noConversion"/>
  </si>
  <si>
    <t>经理</t>
    <phoneticPr fontId="9" type="noConversion"/>
  </si>
  <si>
    <t>137-9543-9378</t>
    <phoneticPr fontId="9" type="noConversion"/>
  </si>
  <si>
    <t>021-65372502</t>
    <phoneticPr fontId="9" type="noConversion"/>
  </si>
  <si>
    <t>张峰</t>
    <phoneticPr fontId="9" type="noConversion"/>
  </si>
  <si>
    <t>销售经理</t>
    <phoneticPr fontId="9" type="noConversion"/>
  </si>
  <si>
    <t>188-0176-1479</t>
    <phoneticPr fontId="9" type="noConversion"/>
  </si>
  <si>
    <t>021-60546998</t>
    <phoneticPr fontId="9" type="noConversion"/>
  </si>
  <si>
    <t>不在，同事给，订过恒道</t>
    <phoneticPr fontId="9" type="noConversion"/>
  </si>
  <si>
    <t>胡彦文</t>
    <phoneticPr fontId="9" type="noConversion"/>
  </si>
  <si>
    <t>海外市场经理</t>
    <phoneticPr fontId="9" type="noConversion"/>
  </si>
  <si>
    <t>173-1778-4819</t>
    <phoneticPr fontId="9" type="noConversion"/>
  </si>
  <si>
    <t>021-65060620</t>
    <phoneticPr fontId="9" type="noConversion"/>
  </si>
  <si>
    <t>孙桃</t>
    <phoneticPr fontId="9" type="noConversion"/>
  </si>
  <si>
    <t>总经理</t>
    <phoneticPr fontId="9" type="noConversion"/>
  </si>
  <si>
    <t>137-7420-3790</t>
    <phoneticPr fontId="9" type="noConversion"/>
  </si>
  <si>
    <t>021-65152830-802</t>
    <phoneticPr fontId="9" type="noConversion"/>
  </si>
  <si>
    <t>以为恒道是做中南美，非洲比较少</t>
    <phoneticPr fontId="9" type="noConversion"/>
  </si>
  <si>
    <t>欧智</t>
    <phoneticPr fontId="9" type="noConversion"/>
  </si>
  <si>
    <t>郡江国际A座1507室</t>
    <phoneticPr fontId="9" type="noConversion"/>
  </si>
  <si>
    <t>圣嘉</t>
    <phoneticPr fontId="9" type="noConversion"/>
  </si>
  <si>
    <t>祝昊旻，暂不用加，圣嘉一家</t>
    <phoneticPr fontId="9" type="noConversion"/>
  </si>
  <si>
    <t>欧智一家</t>
    <phoneticPr fontId="9" type="noConversion"/>
  </si>
  <si>
    <t>吴巍</t>
    <phoneticPr fontId="9" type="noConversion"/>
  </si>
  <si>
    <t>173-1782-9082</t>
    <phoneticPr fontId="9" type="noConversion"/>
  </si>
  <si>
    <t>021-65150053</t>
    <phoneticPr fontId="9" type="noConversion"/>
  </si>
  <si>
    <t>不对的话看名片，祝昊旻的，不用加</t>
    <phoneticPr fontId="9" type="noConversion"/>
  </si>
  <si>
    <t>世祥陈</t>
    <phoneticPr fontId="9" type="noConversion"/>
  </si>
  <si>
    <t>迅道陈</t>
    <phoneticPr fontId="9" type="noConversion"/>
  </si>
  <si>
    <t>浩缘陈</t>
    <phoneticPr fontId="9" type="noConversion"/>
  </si>
  <si>
    <t>亚韵程</t>
    <phoneticPr fontId="9" type="noConversion"/>
  </si>
  <si>
    <t>康达程</t>
    <phoneticPr fontId="9" type="noConversion"/>
  </si>
  <si>
    <t>屹龙杜</t>
    <phoneticPr fontId="9" type="noConversion"/>
  </si>
  <si>
    <t>荣诚杜</t>
    <phoneticPr fontId="9" type="noConversion"/>
  </si>
  <si>
    <t>丽世高</t>
    <phoneticPr fontId="9" type="noConversion"/>
  </si>
  <si>
    <t>高新高</t>
    <phoneticPr fontId="9" type="noConversion"/>
  </si>
  <si>
    <t>奕雄黄</t>
    <phoneticPr fontId="9" type="noConversion"/>
  </si>
  <si>
    <t>泽恩黄</t>
    <phoneticPr fontId="9" type="noConversion"/>
  </si>
  <si>
    <t>港先黄杰</t>
    <phoneticPr fontId="9" type="noConversion"/>
  </si>
  <si>
    <t>柏联黄杰</t>
    <phoneticPr fontId="9" type="noConversion"/>
  </si>
  <si>
    <t>品瀚江健</t>
    <phoneticPr fontId="9" type="noConversion"/>
  </si>
  <si>
    <t>荣诚江健</t>
    <phoneticPr fontId="9" type="noConversion"/>
  </si>
  <si>
    <t>李小姐</t>
    <phoneticPr fontId="9" type="noConversion"/>
  </si>
  <si>
    <t>领贤李小姐</t>
    <phoneticPr fontId="9" type="noConversion"/>
  </si>
  <si>
    <t>华策刘</t>
    <phoneticPr fontId="9" type="noConversion"/>
  </si>
  <si>
    <t>华烁刘</t>
    <phoneticPr fontId="9" type="noConversion"/>
  </si>
  <si>
    <t>中锐达潘建涛</t>
    <phoneticPr fontId="9" type="noConversion"/>
  </si>
  <si>
    <t>世祥潘建涛</t>
    <phoneticPr fontId="9" type="noConversion"/>
  </si>
  <si>
    <t>向维沈</t>
    <phoneticPr fontId="9" type="noConversion"/>
  </si>
  <si>
    <t>志宏沈</t>
    <phoneticPr fontId="9" type="noConversion"/>
  </si>
  <si>
    <t>海骏沈</t>
    <phoneticPr fontId="9" type="noConversion"/>
  </si>
  <si>
    <t>安海王</t>
    <phoneticPr fontId="9" type="noConversion"/>
  </si>
  <si>
    <t>馨逸王</t>
    <phoneticPr fontId="9" type="noConversion"/>
  </si>
  <si>
    <t>欧航王</t>
    <phoneticPr fontId="9" type="noConversion"/>
  </si>
  <si>
    <t>德力王</t>
    <phoneticPr fontId="9" type="noConversion"/>
  </si>
  <si>
    <t>慕佰仕谢</t>
    <phoneticPr fontId="9" type="noConversion"/>
  </si>
  <si>
    <t>企明谢</t>
    <phoneticPr fontId="9" type="noConversion"/>
  </si>
  <si>
    <t>歌德徐</t>
    <phoneticPr fontId="9" type="noConversion"/>
  </si>
  <si>
    <t>世能徐</t>
    <phoneticPr fontId="9" type="noConversion"/>
  </si>
  <si>
    <t>和记徐</t>
    <phoneticPr fontId="9" type="noConversion"/>
  </si>
  <si>
    <t>鸿舜杨</t>
    <phoneticPr fontId="9" type="noConversion"/>
  </si>
  <si>
    <t>复易杨</t>
    <phoneticPr fontId="9" type="noConversion"/>
  </si>
  <si>
    <t>海源姚</t>
    <phoneticPr fontId="9" type="noConversion"/>
  </si>
  <si>
    <t>瑜腾张</t>
    <phoneticPr fontId="9" type="noConversion"/>
  </si>
  <si>
    <t>盈富张</t>
    <phoneticPr fontId="9" type="noConversion"/>
  </si>
  <si>
    <t>亿亚赵勇</t>
    <phoneticPr fontId="9" type="noConversion"/>
  </si>
  <si>
    <t>中外运赵勇</t>
    <phoneticPr fontId="9" type="noConversion"/>
  </si>
  <si>
    <t>世祥朱亮</t>
    <phoneticPr fontId="9" type="noConversion"/>
  </si>
  <si>
    <t>牧和朱亮</t>
    <phoneticPr fontId="9" type="noConversion"/>
  </si>
  <si>
    <t>张飞</t>
    <phoneticPr fontId="9" type="noConversion"/>
  </si>
  <si>
    <t>陈芳</t>
    <phoneticPr fontId="9" type="noConversion"/>
  </si>
  <si>
    <t>张苗苗</t>
    <phoneticPr fontId="9" type="noConversion"/>
  </si>
  <si>
    <t>Lucy</t>
    <phoneticPr fontId="9" type="noConversion"/>
  </si>
  <si>
    <t>Ruby</t>
    <phoneticPr fontId="9" type="noConversion"/>
  </si>
  <si>
    <t>Michael</t>
    <phoneticPr fontId="9" type="noConversion"/>
  </si>
  <si>
    <t>宏益Linda</t>
    <phoneticPr fontId="9" type="noConversion"/>
  </si>
  <si>
    <t>恒城</t>
    <phoneticPr fontId="9" type="noConversion"/>
  </si>
  <si>
    <t>好利航</t>
    <phoneticPr fontId="9" type="noConversion"/>
  </si>
  <si>
    <t>赵宇</t>
    <phoneticPr fontId="9" type="noConversion"/>
  </si>
  <si>
    <t>186-1656-4915</t>
    <phoneticPr fontId="9" type="noConversion"/>
  </si>
  <si>
    <t>021-56669755</t>
    <phoneticPr fontId="9" type="noConversion"/>
  </si>
  <si>
    <t>北非小群问价</t>
    <phoneticPr fontId="9" type="noConversion"/>
  </si>
  <si>
    <t>同泰</t>
    <phoneticPr fontId="9" type="noConversion"/>
  </si>
  <si>
    <t>杨凯</t>
    <phoneticPr fontId="9" type="noConversion"/>
  </si>
  <si>
    <t>总经理</t>
    <phoneticPr fontId="9" type="noConversion"/>
  </si>
  <si>
    <t>189-3040-1683</t>
    <phoneticPr fontId="9" type="noConversion"/>
  </si>
  <si>
    <t>锐莱</t>
    <phoneticPr fontId="9" type="noConversion"/>
  </si>
  <si>
    <t>彭陈燕</t>
    <phoneticPr fontId="9" type="noConversion"/>
  </si>
  <si>
    <t>客服</t>
    <phoneticPr fontId="9" type="noConversion"/>
  </si>
  <si>
    <t>136-8193-8845</t>
    <phoneticPr fontId="9" type="noConversion"/>
  </si>
  <si>
    <t>021-65080221</t>
    <phoneticPr fontId="9" type="noConversion"/>
  </si>
  <si>
    <t>隆海</t>
    <phoneticPr fontId="9" type="noConversion"/>
  </si>
  <si>
    <t>刘敏</t>
    <phoneticPr fontId="9" type="noConversion"/>
  </si>
  <si>
    <t>139-1677-1156</t>
    <phoneticPr fontId="9" type="noConversion"/>
  </si>
  <si>
    <t>021-65353778</t>
    <phoneticPr fontId="9" type="noConversion"/>
  </si>
  <si>
    <t>专业西非，竞争对手</t>
    <phoneticPr fontId="9" type="noConversion"/>
  </si>
  <si>
    <t>欧华</t>
    <phoneticPr fontId="9" type="noConversion"/>
  </si>
  <si>
    <t>姚慧明</t>
    <phoneticPr fontId="9" type="noConversion"/>
  </si>
  <si>
    <t>业务专员</t>
    <phoneticPr fontId="9" type="noConversion"/>
  </si>
  <si>
    <t>152-5095-8487</t>
    <phoneticPr fontId="9" type="noConversion"/>
  </si>
  <si>
    <t>021-33681853</t>
    <phoneticPr fontId="9" type="noConversion"/>
  </si>
  <si>
    <t>13-14年合作过，有货</t>
    <phoneticPr fontId="9" type="noConversion"/>
  </si>
  <si>
    <t>李亚洲</t>
    <phoneticPr fontId="9" type="noConversion"/>
  </si>
  <si>
    <t>写的名片，还给写了老板的QQ，什么都做。俩人都让发报价表到邮箱。。。</t>
    <phoneticPr fontId="9" type="noConversion"/>
  </si>
  <si>
    <t>赵俊杰</t>
    <phoneticPr fontId="9" type="noConversion"/>
  </si>
  <si>
    <t>人有点油，带参加会议</t>
    <phoneticPr fontId="9" type="noConversion"/>
  </si>
  <si>
    <t>达高</t>
    <phoneticPr fontId="9" type="noConversion"/>
  </si>
  <si>
    <t>贝芸</t>
    <phoneticPr fontId="9" type="noConversion"/>
  </si>
  <si>
    <t>Cotonou 20gp 40gp hpl</t>
    <phoneticPr fontId="9" type="noConversion"/>
  </si>
  <si>
    <t>Cotonou HPL USD1950/3000 + EBS55/110，周六洋山丹吉尔转44天，价格到11月30日。</t>
    <phoneticPr fontId="9" type="noConversion"/>
  </si>
  <si>
    <t>Cotonou</t>
    <phoneticPr fontId="9" type="noConversion"/>
  </si>
  <si>
    <t>特意问了下东南西北非哪块有优势，电话问的QQ，好像不对</t>
    <phoneticPr fontId="9" type="noConversion"/>
  </si>
  <si>
    <t>OK</t>
    <phoneticPr fontId="9" type="noConversion"/>
  </si>
  <si>
    <t>卓智</t>
    <phoneticPr fontId="9" type="noConversion"/>
  </si>
  <si>
    <t>新</t>
    <phoneticPr fontId="9" type="noConversion"/>
  </si>
  <si>
    <t>段昊蕊</t>
    <phoneticPr fontId="9" type="noConversion"/>
  </si>
  <si>
    <t>176-0210-0063</t>
    <phoneticPr fontId="9" type="noConversion"/>
  </si>
  <si>
    <t>-</t>
    <phoneticPr fontId="9" type="noConversion"/>
  </si>
  <si>
    <t>报关行</t>
    <phoneticPr fontId="9" type="noConversion"/>
  </si>
  <si>
    <t>125/250</t>
  </si>
  <si>
    <t>卜：有非洲线货 可以跟，之前合作的销售已离职</t>
    <phoneticPr fontId="9" type="noConversion"/>
  </si>
  <si>
    <t>28/31/38</t>
  </si>
  <si>
    <t>众帆</t>
  </si>
  <si>
    <t>江小强</t>
  </si>
  <si>
    <t>蒙巴萨  40HQ</t>
  </si>
  <si>
    <t>Mombasa OOCL USD1500/40HQ (含EBS)，周三外港直达25天，价格从11月21日到11月28日。
Mombasa EMI USD1617/40HQ (含EBS)，周四/周四外港/外港直达/巴生转25/32天，价格从11月22日到11月28日。</t>
    <phoneticPr fontId="9" type="noConversion"/>
  </si>
  <si>
    <t>达高</t>
  </si>
  <si>
    <t>贝芸</t>
  </si>
  <si>
    <t>外五/外四</t>
  </si>
  <si>
    <t>33/36</t>
  </si>
  <si>
    <t>WAX/WAX3 5天免用箱</t>
  </si>
  <si>
    <t>周五/周四</t>
  </si>
  <si>
    <t>外四/外五</t>
  </si>
  <si>
    <t>46/34</t>
  </si>
  <si>
    <t>AFEX/WAX 11天免用箱</t>
  </si>
  <si>
    <t>马翠</t>
    <phoneticPr fontId="9" type="noConversion"/>
  </si>
  <si>
    <t>销售经理</t>
    <phoneticPr fontId="9" type="noConversion"/>
  </si>
  <si>
    <t>135-8570-6492</t>
    <phoneticPr fontId="9" type="noConversion"/>
  </si>
  <si>
    <t>江智涛，021-59909092</t>
    <phoneticPr fontId="9" type="noConversion"/>
  </si>
  <si>
    <t>如泰</t>
    <phoneticPr fontId="9" type="noConversion"/>
  </si>
  <si>
    <t>马翠</t>
    <phoneticPr fontId="9" type="noConversion"/>
  </si>
  <si>
    <r>
      <t>L</t>
    </r>
    <r>
      <rPr>
        <sz val="10"/>
        <color theme="1"/>
        <rFont val="等线"/>
        <family val="3"/>
        <charset val="134"/>
      </rPr>
      <t>arry</t>
    </r>
    <phoneticPr fontId="9" type="noConversion"/>
  </si>
  <si>
    <t>Y</t>
    <phoneticPr fontId="9" type="noConversion"/>
  </si>
  <si>
    <r>
      <t>C</t>
    </r>
    <r>
      <rPr>
        <sz val="10"/>
        <color theme="1"/>
        <rFont val="等线"/>
        <family val="3"/>
        <charset val="134"/>
      </rPr>
      <t>MA</t>
    </r>
    <phoneticPr fontId="9" type="noConversion"/>
  </si>
  <si>
    <r>
      <t>S</t>
    </r>
    <r>
      <rPr>
        <sz val="10"/>
        <color theme="1"/>
        <rFont val="等线"/>
        <family val="3"/>
        <charset val="134"/>
      </rPr>
      <t>HA</t>
    </r>
    <phoneticPr fontId="9" type="noConversion"/>
  </si>
  <si>
    <r>
      <t>Z</t>
    </r>
    <r>
      <rPr>
        <sz val="10"/>
        <color theme="1"/>
        <rFont val="等线"/>
        <family val="3"/>
        <charset val="134"/>
      </rPr>
      <t>anzibar</t>
    </r>
    <phoneticPr fontId="9" type="noConversion"/>
  </si>
  <si>
    <t>FT1033</t>
    <phoneticPr fontId="9" type="noConversion"/>
  </si>
  <si>
    <t>CMA CGM GEORG FORSTER</t>
    <phoneticPr fontId="9" type="noConversion"/>
  </si>
  <si>
    <t>V.0FL27W</t>
    <phoneticPr fontId="9" type="noConversion"/>
  </si>
  <si>
    <t>邮箱就可以了，1119电话：订舱的是吧，还是发邮箱吧</t>
    <phoneticPr fontId="9" type="noConversion"/>
  </si>
  <si>
    <t>前台给的，1119电话：有合作了</t>
    <phoneticPr fontId="9" type="noConversion"/>
  </si>
  <si>
    <t>前台给的，1119电话问QQ加，没有合作过</t>
    <phoneticPr fontId="9" type="noConversion"/>
  </si>
  <si>
    <t>139-1749-3180</t>
    <phoneticPr fontId="9" type="noConversion"/>
  </si>
  <si>
    <t>拓美</t>
    <phoneticPr fontId="9" type="noConversion"/>
  </si>
  <si>
    <t>荣广D</t>
    <phoneticPr fontId="9" type="noConversion"/>
  </si>
  <si>
    <t>荣广D区331室</t>
    <phoneticPr fontId="9" type="noConversion"/>
  </si>
  <si>
    <t>陈芸</t>
    <phoneticPr fontId="9" type="noConversion"/>
  </si>
  <si>
    <t>中丞</t>
    <phoneticPr fontId="9" type="noConversion"/>
  </si>
  <si>
    <t>荣广D区328室</t>
    <phoneticPr fontId="9" type="noConversion"/>
  </si>
  <si>
    <t>瑞宏</t>
    <phoneticPr fontId="9" type="noConversion"/>
  </si>
  <si>
    <t>荣广D区323室</t>
    <phoneticPr fontId="9" type="noConversion"/>
  </si>
  <si>
    <t>虹口区物华路228弄爱家国际大厦4号楼</t>
    <phoneticPr fontId="9" type="noConversion"/>
  </si>
  <si>
    <t>震恒</t>
  </si>
  <si>
    <t>震恒</t>
    <phoneticPr fontId="9" type="noConversion"/>
  </si>
  <si>
    <t>爱家4</t>
    <phoneticPr fontId="9" type="noConversion"/>
  </si>
  <si>
    <t>爱家4号1105室</t>
    <phoneticPr fontId="9" type="noConversion"/>
  </si>
  <si>
    <t>航龙</t>
    <phoneticPr fontId="9" type="noConversion"/>
  </si>
  <si>
    <t>爱家4号1102室</t>
    <phoneticPr fontId="9" type="noConversion"/>
  </si>
  <si>
    <t>刘小丰</t>
    <phoneticPr fontId="9" type="noConversion"/>
  </si>
  <si>
    <t>业务经理</t>
    <phoneticPr fontId="9" type="noConversion"/>
  </si>
  <si>
    <t>189-3805-8750</t>
    <phoneticPr fontId="9" type="noConversion"/>
  </si>
  <si>
    <t>021-51688235</t>
    <phoneticPr fontId="9" type="noConversion"/>
  </si>
  <si>
    <t>有很多联系人，还没合作过，改天聊这会忙</t>
    <phoneticPr fontId="9" type="noConversion"/>
  </si>
  <si>
    <t>何荣巍</t>
    <phoneticPr fontId="9" type="noConversion"/>
  </si>
  <si>
    <t>138-1822-3747</t>
    <phoneticPr fontId="9" type="noConversion"/>
  </si>
  <si>
    <t>021-65075503-826</t>
    <phoneticPr fontId="9" type="noConversion"/>
  </si>
  <si>
    <t>靳鹏</t>
    <phoneticPr fontId="9" type="noConversion"/>
  </si>
  <si>
    <t>程正德</t>
  </si>
  <si>
    <t>程正德</t>
    <phoneticPr fontId="9" type="noConversion"/>
  </si>
  <si>
    <t>136-1168-0846</t>
    <phoneticPr fontId="9" type="noConversion"/>
  </si>
  <si>
    <t>021-65075503-817</t>
    <phoneticPr fontId="9" type="noConversion"/>
  </si>
  <si>
    <t>朱鑫</t>
    <phoneticPr fontId="9" type="noConversion"/>
  </si>
  <si>
    <t>135-6476-9387</t>
    <phoneticPr fontId="9" type="noConversion"/>
  </si>
  <si>
    <t>021-51791319</t>
    <phoneticPr fontId="9" type="noConversion"/>
  </si>
  <si>
    <t>洪思雨</t>
    <phoneticPr fontId="9" type="noConversion"/>
  </si>
  <si>
    <t>客户经理</t>
    <phoneticPr fontId="9" type="noConversion"/>
  </si>
  <si>
    <t>131-6630-9085</t>
    <phoneticPr fontId="9" type="noConversion"/>
  </si>
  <si>
    <t>021-51692281-8051</t>
    <phoneticPr fontId="9" type="noConversion"/>
  </si>
  <si>
    <t>拓美</t>
    <phoneticPr fontId="9" type="noConversion"/>
  </si>
  <si>
    <t>黄强</t>
    <phoneticPr fontId="9" type="noConversion"/>
  </si>
  <si>
    <t>航线经理</t>
    <phoneticPr fontId="9" type="noConversion"/>
  </si>
  <si>
    <t>136-1177-1004</t>
    <phoneticPr fontId="9" type="noConversion"/>
  </si>
  <si>
    <t>021-51282563</t>
    <phoneticPr fontId="9" type="noConversion"/>
  </si>
  <si>
    <t>上海CMA TINCAN 40HQ 多少下周</t>
    <phoneticPr fontId="9" type="noConversion"/>
  </si>
  <si>
    <t>Tincan CMA USD4388/40HQ + EBS110，周四外四直达36天，价格到11月30日。</t>
    <phoneticPr fontId="9" type="noConversion"/>
  </si>
  <si>
    <t>当天下午就主动加QQ问价</t>
    <phoneticPr fontId="9" type="noConversion"/>
  </si>
  <si>
    <t>余婷婷</t>
    <phoneticPr fontId="9" type="noConversion"/>
  </si>
  <si>
    <t>TRHU3665694</t>
    <phoneticPr fontId="9" type="noConversion"/>
  </si>
  <si>
    <t>K7214690</t>
  </si>
  <si>
    <t>CNSE432055</t>
  </si>
  <si>
    <t>1121 09:34现在没空，不好意思</t>
    <phoneticPr fontId="9" type="noConversion"/>
  </si>
  <si>
    <t xml:space="preserve">11/23日EAX1航线(MOMBASA)不接受小重柜订舱（含箱重15吨以上）
</t>
  </si>
  <si>
    <t>Y</t>
    <phoneticPr fontId="9" type="noConversion"/>
  </si>
  <si>
    <t>Y</t>
    <phoneticPr fontId="9" type="noConversion"/>
  </si>
  <si>
    <t>100/200</t>
  </si>
  <si>
    <t>东</t>
    <phoneticPr fontId="9" type="noConversion"/>
  </si>
  <si>
    <t>南</t>
    <phoneticPr fontId="9" type="noConversion"/>
  </si>
  <si>
    <t>西</t>
    <phoneticPr fontId="9" type="noConversion"/>
  </si>
  <si>
    <t>北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</si>
</sst>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$&quot;* #,##0.00_);_(&quot;$&quot;* \(#,##0.00\);_(&quot;$&quot;* &quot;-&quot;??_);_(@_)"/>
    <numFmt numFmtId="177" formatCode="_-&quot;$&quot;* #,##0.00_-;\-&quot;$&quot;* #,##0.00_-;_-&quot;$&quot;* &quot;-&quot;??_-;_-@_-"/>
    <numFmt numFmtId="178" formatCode="m/dd"/>
    <numFmt numFmtId="179" formatCode="0_);[Red]\(0\)"/>
    <numFmt numFmtId="180" formatCode="mdd\ hh"/>
    <numFmt numFmtId="181" formatCode="0_ "/>
    <numFmt numFmtId="182" formatCode="mm/dd"/>
    <numFmt numFmtId="183" formatCode="mmdd"/>
    <numFmt numFmtId="184" formatCode="d&quot;号&quot;"/>
    <numFmt numFmtId="185" formatCode="mm/dd\ hh"/>
    <numFmt numFmtId="186" formatCode="0.0_);[Red]\(0.0\)"/>
    <numFmt numFmtId="187" formatCode="0.000"/>
    <numFmt numFmtId="188" formatCode="mmdd\ hh"/>
  </numFmts>
  <fonts count="2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scheme val="minor"/>
    </font>
    <font>
      <sz val="10"/>
      <color theme="1"/>
      <name val="等线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等线"/>
      <family val="3"/>
      <charset val="134"/>
    </font>
    <font>
      <sz val="11"/>
      <color theme="1"/>
      <name val="等线"/>
      <family val="3"/>
      <charset val="134"/>
    </font>
    <font>
      <sz val="10"/>
      <color theme="0"/>
      <name val="等线"/>
      <family val="3"/>
      <charset val="134"/>
    </font>
    <font>
      <sz val="1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</font>
    <font>
      <sz val="11"/>
      <name val="等线"/>
      <family val="3"/>
      <charset val="134"/>
    </font>
    <font>
      <sz val="11"/>
      <color theme="1"/>
      <name val="宋体"/>
      <family val="1"/>
      <charset val="134"/>
      <scheme val="minor"/>
    </font>
    <font>
      <sz val="10"/>
      <color theme="1"/>
      <name val="等线"/>
      <family val="3"/>
      <charset val="134"/>
    </font>
    <font>
      <sz val="11"/>
      <color theme="1"/>
      <name val="等线"/>
      <charset val="134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7">
    <xf numFmtId="0" fontId="0" fillId="0" borderId="0">
      <alignment vertical="center"/>
    </xf>
    <xf numFmtId="0" fontId="4" fillId="0" borderId="0"/>
    <xf numFmtId="0" fontId="4" fillId="0" borderId="0"/>
    <xf numFmtId="0" fontId="2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2" fillId="0" borderId="0" applyBorder="0"/>
    <xf numFmtId="0" fontId="8" fillId="0" borderId="0">
      <alignment vertical="center"/>
    </xf>
    <xf numFmtId="0" fontId="1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/>
    <xf numFmtId="177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183" fontId="12" fillId="0" borderId="0" xfId="0" applyNumberFormat="1" applyFont="1" applyAlignment="1">
      <alignment vertical="top"/>
    </xf>
    <xf numFmtId="0" fontId="12" fillId="0" borderId="0" xfId="0" applyFont="1" applyAlignment="1">
      <alignment horizontal="center" vertical="top" textRotation="255"/>
    </xf>
    <xf numFmtId="0" fontId="12" fillId="0" borderId="0" xfId="0" applyFont="1" applyAlignment="1">
      <alignment horizontal="center" vertical="top" textRotation="180"/>
    </xf>
    <xf numFmtId="184" fontId="12" fillId="0" borderId="0" xfId="0" applyNumberFormat="1" applyFont="1" applyAlignment="1">
      <alignment horizontal="center" vertical="top" textRotation="180"/>
    </xf>
    <xf numFmtId="179" fontId="12" fillId="0" borderId="0" xfId="0" applyNumberFormat="1" applyFont="1" applyAlignment="1">
      <alignment vertical="top"/>
    </xf>
    <xf numFmtId="0" fontId="12" fillId="0" borderId="0" xfId="0" applyFont="1" applyAlignment="1">
      <alignment vertical="top" wrapText="1"/>
    </xf>
    <xf numFmtId="183" fontId="12" fillId="0" borderId="0" xfId="0" applyNumberFormat="1" applyFont="1" applyAlignment="1">
      <alignment vertical="top" wrapText="1"/>
    </xf>
    <xf numFmtId="49" fontId="12" fillId="0" borderId="0" xfId="0" applyNumberFormat="1" applyFont="1" applyAlignment="1">
      <alignment vertical="top" wrapText="1" shrinkToFit="1"/>
    </xf>
    <xf numFmtId="0" fontId="12" fillId="0" borderId="0" xfId="0" applyFont="1" applyAlignment="1">
      <alignment vertical="top" wrapText="1" shrinkToFit="1"/>
    </xf>
    <xf numFmtId="0" fontId="12" fillId="0" borderId="0" xfId="0" applyFont="1" applyAlignment="1">
      <alignment horizontal="center" vertical="top"/>
    </xf>
    <xf numFmtId="185" fontId="12" fillId="0" borderId="0" xfId="0" applyNumberFormat="1" applyFont="1" applyAlignment="1">
      <alignment horizontal="center" vertical="top"/>
    </xf>
    <xf numFmtId="183" fontId="12" fillId="0" borderId="0" xfId="0" applyNumberFormat="1" applyFont="1" applyAlignment="1">
      <alignment horizontal="center" vertical="top" textRotation="180"/>
    </xf>
    <xf numFmtId="49" fontId="12" fillId="0" borderId="0" xfId="0" applyNumberFormat="1" applyFont="1" applyAlignment="1">
      <alignment horizontal="center" vertical="top" textRotation="255"/>
    </xf>
    <xf numFmtId="0" fontId="15" fillId="0" borderId="0" xfId="0" applyFont="1">
      <alignment vertical="center"/>
    </xf>
    <xf numFmtId="0" fontId="15" fillId="0" borderId="0" xfId="73" applyFont="1">
      <alignment vertical="center"/>
    </xf>
    <xf numFmtId="182" fontId="15" fillId="0" borderId="0" xfId="73" applyNumberFormat="1" applyFont="1">
      <alignment vertical="center"/>
    </xf>
    <xf numFmtId="0" fontId="15" fillId="0" borderId="0" xfId="71" applyFont="1">
      <alignment vertical="center"/>
    </xf>
    <xf numFmtId="0" fontId="15" fillId="0" borderId="0" xfId="71" applyFont="1" applyAlignment="1">
      <alignment vertical="center" wrapText="1"/>
    </xf>
    <xf numFmtId="0" fontId="15" fillId="0" borderId="8" xfId="71" applyFont="1" applyBorder="1">
      <alignment vertical="center"/>
    </xf>
    <xf numFmtId="188" fontId="15" fillId="0" borderId="0" xfId="71" applyNumberFormat="1" applyFont="1">
      <alignment vertical="center"/>
    </xf>
    <xf numFmtId="0" fontId="15" fillId="0" borderId="0" xfId="71" applyFont="1" applyAlignment="1">
      <alignment horizontal="left" vertical="center"/>
    </xf>
    <xf numFmtId="181" fontId="15" fillId="0" borderId="0" xfId="71" applyNumberFormat="1" applyFont="1" applyAlignment="1">
      <alignment horizontal="right" vertical="center"/>
    </xf>
    <xf numFmtId="181" fontId="15" fillId="0" borderId="0" xfId="71" applyNumberFormat="1" applyFont="1">
      <alignment vertical="center"/>
    </xf>
    <xf numFmtId="0" fontId="17" fillId="0" borderId="0" xfId="0" applyFont="1">
      <alignment vertical="center"/>
    </xf>
    <xf numFmtId="179" fontId="17" fillId="0" borderId="0" xfId="0" applyNumberFormat="1" applyFont="1" applyAlignment="1">
      <alignment horizontal="right" vertical="center"/>
    </xf>
    <xf numFmtId="0" fontId="17" fillId="0" borderId="0" xfId="0" applyFont="1" applyAlignment="1">
      <alignment vertical="center" wrapText="1"/>
    </xf>
    <xf numFmtId="0" fontId="17" fillId="0" borderId="0" xfId="71" applyFont="1" applyAlignment="1">
      <alignment vertical="center" wrapText="1"/>
    </xf>
    <xf numFmtId="0" fontId="15" fillId="0" borderId="0" xfId="73" applyFont="1" applyAlignment="1">
      <alignment vertical="center" shrinkToFit="1"/>
    </xf>
    <xf numFmtId="0" fontId="15" fillId="0" borderId="0" xfId="73" applyFont="1" applyAlignment="1">
      <alignment horizontal="left" vertical="center" shrinkToFit="1"/>
    </xf>
    <xf numFmtId="0" fontId="15" fillId="0" borderId="0" xfId="73" applyFont="1" applyAlignment="1">
      <alignment vertical="center" wrapText="1"/>
    </xf>
    <xf numFmtId="0" fontId="15" fillId="0" borderId="0" xfId="72" applyFont="1">
      <alignment vertical="center"/>
    </xf>
    <xf numFmtId="0" fontId="18" fillId="0" borderId="3" xfId="68" applyFont="1" applyBorder="1">
      <alignment vertical="center"/>
    </xf>
    <xf numFmtId="0" fontId="18" fillId="0" borderId="3" xfId="68" applyFont="1" applyBorder="1" applyAlignment="1">
      <alignment vertical="center" wrapText="1"/>
    </xf>
    <xf numFmtId="0" fontId="18" fillId="0" borderId="5" xfId="68" applyFont="1" applyBorder="1">
      <alignment vertical="center"/>
    </xf>
    <xf numFmtId="0" fontId="18" fillId="0" borderId="7" xfId="68" applyFont="1" applyBorder="1">
      <alignment vertical="center"/>
    </xf>
    <xf numFmtId="0" fontId="17" fillId="0" borderId="0" xfId="68" applyFont="1">
      <alignment vertical="center"/>
    </xf>
    <xf numFmtId="0" fontId="17" fillId="0" borderId="1" xfId="0" applyFont="1" applyBorder="1">
      <alignment vertical="center"/>
    </xf>
    <xf numFmtId="0" fontId="17" fillId="0" borderId="4" xfId="0" applyFont="1" applyBorder="1">
      <alignment vertical="center"/>
    </xf>
    <xf numFmtId="179" fontId="17" fillId="0" borderId="1" xfId="0" applyNumberFormat="1" applyFont="1" applyBorder="1">
      <alignment vertical="center"/>
    </xf>
    <xf numFmtId="186" fontId="17" fillId="0" borderId="1" xfId="0" applyNumberFormat="1" applyFont="1" applyBorder="1">
      <alignment vertical="center"/>
    </xf>
    <xf numFmtId="179" fontId="17" fillId="0" borderId="1" xfId="0" applyNumberFormat="1" applyFont="1" applyBorder="1" applyAlignment="1">
      <alignment horizontal="right" vertical="center"/>
    </xf>
    <xf numFmtId="179" fontId="17" fillId="0" borderId="1" xfId="0" applyNumberFormat="1" applyFont="1" applyBorder="1" applyAlignment="1">
      <alignment horizontal="left" vertical="center"/>
    </xf>
    <xf numFmtId="179" fontId="17" fillId="0" borderId="1" xfId="76" applyNumberFormat="1" applyFont="1" applyBorder="1" applyAlignment="1">
      <alignment horizontal="left" vertical="center"/>
    </xf>
    <xf numFmtId="0" fontId="17" fillId="0" borderId="1" xfId="68" applyFont="1" applyBorder="1">
      <alignment vertical="center"/>
    </xf>
    <xf numFmtId="179" fontId="17" fillId="0" borderId="1" xfId="68" applyNumberFormat="1" applyFont="1" applyBorder="1">
      <alignment vertical="center"/>
    </xf>
    <xf numFmtId="186" fontId="17" fillId="0" borderId="1" xfId="68" applyNumberFormat="1" applyFont="1" applyBorder="1">
      <alignment vertical="center"/>
    </xf>
    <xf numFmtId="179" fontId="17" fillId="0" borderId="1" xfId="68" applyNumberFormat="1" applyFont="1" applyBorder="1" applyAlignment="1">
      <alignment horizontal="right" vertical="center"/>
    </xf>
    <xf numFmtId="179" fontId="17" fillId="0" borderId="1" xfId="68" applyNumberFormat="1" applyFont="1" applyBorder="1" applyAlignment="1">
      <alignment horizontal="left" vertical="center"/>
    </xf>
    <xf numFmtId="179" fontId="17" fillId="0" borderId="1" xfId="76" quotePrefix="1" applyNumberFormat="1" applyFont="1" applyBorder="1" applyAlignment="1">
      <alignment horizontal="left" vertical="center"/>
    </xf>
    <xf numFmtId="0" fontId="17" fillId="0" borderId="4" xfId="68" applyFont="1" applyBorder="1">
      <alignment vertical="center"/>
    </xf>
    <xf numFmtId="0" fontId="17" fillId="0" borderId="2" xfId="0" applyFont="1" applyBorder="1">
      <alignment vertical="center"/>
    </xf>
    <xf numFmtId="0" fontId="17" fillId="0" borderId="6" xfId="0" applyFont="1" applyBorder="1">
      <alignment vertical="center"/>
    </xf>
    <xf numFmtId="179" fontId="17" fillId="0" borderId="2" xfId="0" applyNumberFormat="1" applyFont="1" applyBorder="1">
      <alignment vertical="center"/>
    </xf>
    <xf numFmtId="186" fontId="17" fillId="0" borderId="2" xfId="0" applyNumberFormat="1" applyFont="1" applyBorder="1">
      <alignment vertical="center"/>
    </xf>
    <xf numFmtId="179" fontId="17" fillId="0" borderId="2" xfId="0" applyNumberFormat="1" applyFont="1" applyBorder="1" applyAlignment="1">
      <alignment horizontal="right" vertical="center"/>
    </xf>
    <xf numFmtId="179" fontId="17" fillId="0" borderId="2" xfId="0" applyNumberFormat="1" applyFont="1" applyBorder="1" applyAlignment="1">
      <alignment horizontal="left" vertical="center"/>
    </xf>
    <xf numFmtId="179" fontId="17" fillId="0" borderId="2" xfId="76" applyNumberFormat="1" applyFont="1" applyBorder="1" applyAlignment="1">
      <alignment horizontal="left" vertical="center"/>
    </xf>
    <xf numFmtId="187" fontId="17" fillId="0" borderId="0" xfId="68" applyNumberFormat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/>
    </xf>
    <xf numFmtId="178" fontId="16" fillId="0" borderId="0" xfId="0" applyNumberFormat="1" applyFont="1" applyAlignment="1">
      <alignment horizontal="left" vertical="center"/>
    </xf>
    <xf numFmtId="178" fontId="16" fillId="0" borderId="0" xfId="0" applyNumberFormat="1" applyFont="1">
      <alignment vertical="center"/>
    </xf>
    <xf numFmtId="0" fontId="14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188" fontId="19" fillId="0" borderId="0" xfId="71" applyNumberFormat="1" applyFont="1">
      <alignment vertical="center"/>
    </xf>
    <xf numFmtId="0" fontId="19" fillId="0" borderId="0" xfId="71" applyFont="1" applyAlignment="1">
      <alignment vertical="center" wrapText="1"/>
    </xf>
    <xf numFmtId="0" fontId="19" fillId="0" borderId="0" xfId="71" applyFont="1">
      <alignment vertical="center"/>
    </xf>
    <xf numFmtId="0" fontId="19" fillId="0" borderId="0" xfId="71" applyFont="1" applyAlignment="1">
      <alignment horizontal="left" vertical="center"/>
    </xf>
    <xf numFmtId="181" fontId="19" fillId="0" borderId="0" xfId="71" applyNumberFormat="1" applyFont="1" applyAlignment="1">
      <alignment horizontal="right" vertical="center"/>
    </xf>
    <xf numFmtId="181" fontId="19" fillId="0" borderId="0" xfId="71" applyNumberFormat="1" applyFont="1">
      <alignment vertical="center"/>
    </xf>
    <xf numFmtId="0" fontId="17" fillId="0" borderId="2" xfId="68" applyFont="1" applyBorder="1">
      <alignment vertical="center"/>
    </xf>
    <xf numFmtId="0" fontId="17" fillId="0" borderId="6" xfId="68" applyFont="1" applyBorder="1">
      <alignment vertical="center"/>
    </xf>
    <xf numFmtId="179" fontId="17" fillId="0" borderId="2" xfId="68" applyNumberFormat="1" applyFont="1" applyBorder="1">
      <alignment vertical="center"/>
    </xf>
    <xf numFmtId="186" fontId="17" fillId="0" borderId="2" xfId="68" applyNumberFormat="1" applyFont="1" applyBorder="1">
      <alignment vertical="center"/>
    </xf>
    <xf numFmtId="179" fontId="17" fillId="0" borderId="2" xfId="68" applyNumberFormat="1" applyFont="1" applyBorder="1" applyAlignment="1">
      <alignment horizontal="right" vertical="center"/>
    </xf>
    <xf numFmtId="179" fontId="17" fillId="0" borderId="2" xfId="68" applyNumberFormat="1" applyFont="1" applyBorder="1" applyAlignment="1">
      <alignment horizontal="left" vertical="center"/>
    </xf>
    <xf numFmtId="0" fontId="17" fillId="0" borderId="0" xfId="68" applyFont="1" applyAlignment="1">
      <alignment vertical="center" wrapText="1"/>
    </xf>
    <xf numFmtId="179" fontId="17" fillId="0" borderId="0" xfId="68" applyNumberFormat="1" applyFont="1">
      <alignment vertical="center"/>
    </xf>
    <xf numFmtId="186" fontId="17" fillId="0" borderId="0" xfId="68" applyNumberFormat="1" applyFont="1">
      <alignment vertical="center"/>
    </xf>
    <xf numFmtId="179" fontId="17" fillId="0" borderId="0" xfId="68" applyNumberFormat="1" applyFont="1" applyAlignment="1">
      <alignment horizontal="right" vertical="center"/>
    </xf>
    <xf numFmtId="179" fontId="17" fillId="0" borderId="0" xfId="68" applyNumberFormat="1" applyFont="1" applyAlignment="1">
      <alignment horizontal="left" vertical="center"/>
    </xf>
    <xf numFmtId="188" fontId="20" fillId="0" borderId="0" xfId="71" applyNumberFormat="1" applyFont="1">
      <alignment vertical="center"/>
    </xf>
    <xf numFmtId="0" fontId="20" fillId="0" borderId="0" xfId="71" applyFont="1" applyAlignment="1">
      <alignment vertical="center" wrapText="1"/>
    </xf>
    <xf numFmtId="0" fontId="20" fillId="0" borderId="0" xfId="71" applyFont="1">
      <alignment vertical="center"/>
    </xf>
    <xf numFmtId="0" fontId="20" fillId="0" borderId="0" xfId="71" applyFont="1" applyAlignment="1">
      <alignment horizontal="left" vertical="center"/>
    </xf>
    <xf numFmtId="181" fontId="20" fillId="0" borderId="0" xfId="71" applyNumberFormat="1" applyFont="1" applyAlignment="1">
      <alignment horizontal="right" vertical="center"/>
    </xf>
    <xf numFmtId="181" fontId="20" fillId="0" borderId="0" xfId="71" applyNumberFormat="1" applyFont="1">
      <alignment vertical="center"/>
    </xf>
    <xf numFmtId="188" fontId="21" fillId="0" borderId="0" xfId="71" applyNumberFormat="1" applyFont="1">
      <alignment vertical="center"/>
    </xf>
    <xf numFmtId="0" fontId="21" fillId="0" borderId="0" xfId="71" applyFont="1" applyAlignment="1">
      <alignment vertical="center" wrapText="1"/>
    </xf>
    <xf numFmtId="0" fontId="21" fillId="0" borderId="0" xfId="71" applyFont="1">
      <alignment vertical="center"/>
    </xf>
    <xf numFmtId="0" fontId="21" fillId="0" borderId="0" xfId="71" applyFont="1" applyAlignment="1">
      <alignment horizontal="left" vertical="center"/>
    </xf>
    <xf numFmtId="181" fontId="21" fillId="0" borderId="0" xfId="71" applyNumberFormat="1" applyFont="1" applyAlignment="1">
      <alignment horizontal="right" vertical="center"/>
    </xf>
    <xf numFmtId="181" fontId="21" fillId="0" borderId="0" xfId="71" applyNumberFormat="1" applyFont="1">
      <alignment vertical="center"/>
    </xf>
    <xf numFmtId="0" fontId="22" fillId="0" borderId="0" xfId="0" applyFont="1">
      <alignment vertical="center"/>
    </xf>
    <xf numFmtId="179" fontId="22" fillId="0" borderId="0" xfId="0" applyNumberFormat="1" applyFont="1" applyAlignment="1">
      <alignment horizontal="right" vertical="center"/>
    </xf>
    <xf numFmtId="0" fontId="22" fillId="0" borderId="0" xfId="0" applyFont="1" applyAlignment="1">
      <alignment vertical="center" wrapText="1"/>
    </xf>
    <xf numFmtId="0" fontId="14" fillId="0" borderId="0" xfId="0" applyFont="1">
      <alignment vertical="center"/>
    </xf>
    <xf numFmtId="1" fontId="14" fillId="0" borderId="0" xfId="0" applyNumberFormat="1" applyFont="1">
      <alignment vertical="center"/>
    </xf>
    <xf numFmtId="0" fontId="14" fillId="0" borderId="0" xfId="0" applyFont="1" applyAlignment="1">
      <alignment vertical="center" shrinkToFit="1"/>
    </xf>
    <xf numFmtId="0" fontId="14" fillId="0" borderId="0" xfId="20" applyFont="1" applyAlignment="1">
      <alignment horizontal="right" vertical="center"/>
    </xf>
    <xf numFmtId="0" fontId="14" fillId="0" borderId="0" xfId="52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52" applyFont="1" applyAlignment="1">
      <alignment horizontal="center" vertical="center"/>
    </xf>
    <xf numFmtId="49" fontId="14" fillId="0" borderId="0" xfId="0" applyNumberFormat="1" applyFont="1" applyAlignment="1">
      <alignment vertical="center" shrinkToFit="1"/>
    </xf>
    <xf numFmtId="0" fontId="14" fillId="0" borderId="0" xfId="0" applyFont="1" applyAlignment="1">
      <alignment horizontal="left" vertical="center" shrinkToFit="1"/>
    </xf>
    <xf numFmtId="182" fontId="14" fillId="0" borderId="0" xfId="0" applyNumberFormat="1" applyFont="1" applyAlignment="1">
      <alignment horizontal="center" vertical="center"/>
    </xf>
    <xf numFmtId="182" fontId="14" fillId="0" borderId="0" xfId="0" applyNumberFormat="1" applyFont="1">
      <alignment vertical="center"/>
    </xf>
    <xf numFmtId="0" fontId="14" fillId="0" borderId="0" xfId="0" applyFont="1" applyAlignment="1">
      <alignment horizontal="left" vertical="center" wrapText="1"/>
    </xf>
    <xf numFmtId="181" fontId="15" fillId="0" borderId="0" xfId="0" applyNumberFormat="1" applyFont="1">
      <alignment vertical="center"/>
    </xf>
    <xf numFmtId="0" fontId="15" fillId="0" borderId="0" xfId="0" applyFont="1" applyAlignment="1">
      <alignment horizontal="right" vertical="center"/>
    </xf>
    <xf numFmtId="182" fontId="15" fillId="0" borderId="0" xfId="0" applyNumberFormat="1" applyFont="1">
      <alignment vertical="center"/>
    </xf>
    <xf numFmtId="182" fontId="17" fillId="0" borderId="0" xfId="0" applyNumberFormat="1" applyFont="1" applyAlignment="1">
      <alignment vertical="center" wrapText="1"/>
    </xf>
    <xf numFmtId="182" fontId="22" fillId="0" borderId="0" xfId="0" applyNumberFormat="1" applyFont="1" applyAlignment="1">
      <alignment vertical="center" wrapText="1"/>
    </xf>
    <xf numFmtId="0" fontId="17" fillId="0" borderId="0" xfId="70" applyFont="1" applyAlignment="1">
      <alignment vertical="center"/>
    </xf>
    <xf numFmtId="0" fontId="17" fillId="0" borderId="0" xfId="70" applyFont="1" applyAlignment="1">
      <alignment horizontal="center" vertical="center"/>
    </xf>
    <xf numFmtId="49" fontId="17" fillId="0" borderId="0" xfId="70" applyNumberFormat="1" applyFont="1" applyAlignment="1">
      <alignment vertical="center"/>
    </xf>
    <xf numFmtId="49" fontId="17" fillId="0" borderId="0" xfId="70" quotePrefix="1" applyNumberFormat="1" applyFont="1" applyAlignment="1">
      <alignment vertical="center"/>
    </xf>
    <xf numFmtId="0" fontId="17" fillId="0" borderId="0" xfId="70" applyFont="1" applyAlignment="1">
      <alignment horizontal="left" vertical="center"/>
    </xf>
    <xf numFmtId="0" fontId="18" fillId="0" borderId="10" xfId="3" applyFont="1" applyBorder="1" applyAlignment="1">
      <alignment vertical="center" shrinkToFit="1"/>
    </xf>
    <xf numFmtId="0" fontId="18" fillId="0" borderId="8" xfId="3" applyFont="1" applyBorder="1" applyAlignment="1">
      <alignment vertical="center" shrinkToFit="1"/>
    </xf>
    <xf numFmtId="0" fontId="18" fillId="0" borderId="9" xfId="3" applyFont="1" applyBorder="1" applyAlignment="1">
      <alignment vertical="center" shrinkToFit="1"/>
    </xf>
    <xf numFmtId="0" fontId="17" fillId="0" borderId="0" xfId="3" applyFont="1" applyAlignment="1">
      <alignment vertical="center"/>
    </xf>
    <xf numFmtId="179" fontId="17" fillId="0" borderId="0" xfId="3" applyNumberFormat="1" applyFont="1" applyAlignment="1">
      <alignment vertical="center"/>
    </xf>
    <xf numFmtId="179" fontId="17" fillId="0" borderId="0" xfId="3" quotePrefix="1" applyNumberFormat="1" applyFont="1" applyAlignment="1">
      <alignment vertical="center"/>
    </xf>
    <xf numFmtId="0" fontId="17" fillId="0" borderId="0" xfId="3" applyFont="1" applyAlignment="1">
      <alignment vertical="center" shrinkToFit="1"/>
    </xf>
    <xf numFmtId="0" fontId="17" fillId="0" borderId="0" xfId="3" applyFont="1" applyAlignment="1">
      <alignment vertical="center" wrapText="1"/>
    </xf>
    <xf numFmtId="0" fontId="17" fillId="0" borderId="0" xfId="3" applyFont="1"/>
    <xf numFmtId="182" fontId="15" fillId="0" borderId="0" xfId="73" applyNumberFormat="1" applyFont="1" applyAlignment="1">
      <alignment horizontal="right" vertical="center"/>
    </xf>
    <xf numFmtId="183" fontId="24" fillId="0" borderId="0" xfId="0" applyNumberFormat="1" applyFont="1" applyAlignment="1">
      <alignment vertical="top"/>
    </xf>
    <xf numFmtId="0" fontId="24" fillId="0" borderId="0" xfId="0" applyFont="1" applyAlignment="1">
      <alignment horizontal="center" vertical="top" textRotation="180"/>
    </xf>
    <xf numFmtId="184" fontId="24" fillId="0" borderId="0" xfId="0" applyNumberFormat="1" applyFont="1" applyAlignment="1">
      <alignment horizontal="center" vertical="top" textRotation="180"/>
    </xf>
    <xf numFmtId="49" fontId="24" fillId="0" borderId="0" xfId="0" applyNumberFormat="1" applyFont="1" applyAlignment="1">
      <alignment horizontal="center" vertical="top" textRotation="255"/>
    </xf>
    <xf numFmtId="185" fontId="24" fillId="0" borderId="0" xfId="0" applyNumberFormat="1" applyFont="1" applyAlignment="1">
      <alignment horizontal="center" vertical="top"/>
    </xf>
    <xf numFmtId="0" fontId="24" fillId="0" borderId="0" xfId="0" applyFont="1" applyAlignment="1">
      <alignment horizontal="center" vertical="top"/>
    </xf>
    <xf numFmtId="183" fontId="24" fillId="0" borderId="0" xfId="0" applyNumberFormat="1" applyFont="1" applyAlignment="1">
      <alignment vertical="top" wrapText="1"/>
    </xf>
    <xf numFmtId="179" fontId="24" fillId="0" borderId="0" xfId="0" applyNumberFormat="1" applyFont="1" applyAlignment="1">
      <alignment vertical="top"/>
    </xf>
    <xf numFmtId="0" fontId="24" fillId="0" borderId="0" xfId="0" applyFont="1" applyAlignment="1">
      <alignment vertical="top" wrapText="1"/>
    </xf>
    <xf numFmtId="49" fontId="24" fillId="0" borderId="0" xfId="0" applyNumberFormat="1" applyFont="1" applyAlignment="1">
      <alignment vertical="top" wrapText="1" shrinkToFit="1"/>
    </xf>
    <xf numFmtId="0" fontId="24" fillId="0" borderId="0" xfId="0" applyFont="1" applyAlignment="1">
      <alignment vertical="top" wrapText="1" shrinkToFit="1"/>
    </xf>
    <xf numFmtId="0" fontId="25" fillId="0" borderId="0" xfId="0" pivotButton="1" applyFont="1">
      <alignment vertical="center"/>
    </xf>
    <xf numFmtId="0" fontId="25" fillId="0" borderId="0" xfId="0" applyFont="1">
      <alignment vertical="center"/>
    </xf>
    <xf numFmtId="181" fontId="25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81" fontId="25" fillId="0" borderId="0" xfId="0" applyNumberFormat="1" applyFont="1" applyAlignment="1">
      <alignment horizontal="right" vertical="center"/>
    </xf>
  </cellXfs>
  <cellStyles count="77">
    <cellStyle name="_ET_STYLE_NoName_00__MAERSK-西非运价表" xfId="1" xr:uid="{00000000-0005-0000-0000-000000000000}"/>
    <cellStyle name="Currency" xfId="76" builtinId="4"/>
    <cellStyle name="Currency 2" xfId="69" xr:uid="{00000000-0005-0000-0000-000001000000}"/>
    <cellStyle name="Normal" xfId="0" builtinId="0"/>
    <cellStyle name="Normal 2" xfId="2" xr:uid="{00000000-0005-0000-0000-000002000000}"/>
    <cellStyle name="Normal 2 2" xfId="3" xr:uid="{00000000-0005-0000-0000-000003000000}"/>
    <cellStyle name="Normal 2 3" xfId="73" xr:uid="{00000000-0005-0000-0000-000004000000}"/>
    <cellStyle name="Normal 3" xfId="68" xr:uid="{00000000-0005-0000-0000-000005000000}"/>
    <cellStyle name="Normal 4" xfId="70" xr:uid="{00000000-0005-0000-0000-000006000000}"/>
    <cellStyle name="Normal 5" xfId="71" xr:uid="{00000000-0005-0000-0000-000007000000}"/>
    <cellStyle name="Normal 6" xfId="72" xr:uid="{00000000-0005-0000-0000-000008000000}"/>
    <cellStyle name="Normal 7" xfId="75" xr:uid="{00000000-0005-0000-0000-000009000000}"/>
    <cellStyle name="常规 10" xfId="4" xr:uid="{00000000-0005-0000-0000-00000B000000}"/>
    <cellStyle name="常规 10 2" xfId="5" xr:uid="{00000000-0005-0000-0000-00000C000000}"/>
    <cellStyle name="常规 10 3" xfId="6" xr:uid="{00000000-0005-0000-0000-00000D000000}"/>
    <cellStyle name="常规 10 4" xfId="7" xr:uid="{00000000-0005-0000-0000-00000E000000}"/>
    <cellStyle name="常规 10 5" xfId="8" xr:uid="{00000000-0005-0000-0000-00000F000000}"/>
    <cellStyle name="常规 10 6" xfId="9" xr:uid="{00000000-0005-0000-0000-000010000000}"/>
    <cellStyle name="常规 10 7" xfId="10" xr:uid="{00000000-0005-0000-0000-000011000000}"/>
    <cellStyle name="常规 10 8" xfId="11" xr:uid="{00000000-0005-0000-0000-000012000000}"/>
    <cellStyle name="常规 11" xfId="74" xr:uid="{00000000-0005-0000-0000-000013000000}"/>
    <cellStyle name="常规 12" xfId="12" xr:uid="{00000000-0005-0000-0000-000014000000}"/>
    <cellStyle name="常规 12 2" xfId="13" xr:uid="{00000000-0005-0000-0000-000015000000}"/>
    <cellStyle name="常规 12 3" xfId="14" xr:uid="{00000000-0005-0000-0000-000016000000}"/>
    <cellStyle name="常规 12 4" xfId="15" xr:uid="{00000000-0005-0000-0000-000017000000}"/>
    <cellStyle name="常规 12 5" xfId="16" xr:uid="{00000000-0005-0000-0000-000018000000}"/>
    <cellStyle name="常规 12 6" xfId="17" xr:uid="{00000000-0005-0000-0000-000019000000}"/>
    <cellStyle name="常规 12 7" xfId="18" xr:uid="{00000000-0005-0000-0000-00001A000000}"/>
    <cellStyle name="常规 12 8" xfId="19" xr:uid="{00000000-0005-0000-0000-00001B000000}"/>
    <cellStyle name="常规 13" xfId="20" xr:uid="{00000000-0005-0000-0000-00001C000000}"/>
    <cellStyle name="常规 13 2" xfId="21" xr:uid="{00000000-0005-0000-0000-00001D000000}"/>
    <cellStyle name="常规 13 3" xfId="22" xr:uid="{00000000-0005-0000-0000-00001E000000}"/>
    <cellStyle name="常规 13 4" xfId="23" xr:uid="{00000000-0005-0000-0000-00001F000000}"/>
    <cellStyle name="常规 13 5" xfId="24" xr:uid="{00000000-0005-0000-0000-000020000000}"/>
    <cellStyle name="常规 13 6" xfId="25" xr:uid="{00000000-0005-0000-0000-000021000000}"/>
    <cellStyle name="常规 13 7" xfId="26" xr:uid="{00000000-0005-0000-0000-000022000000}"/>
    <cellStyle name="常规 13 8" xfId="27" xr:uid="{00000000-0005-0000-0000-000023000000}"/>
    <cellStyle name="常规 14" xfId="28" xr:uid="{00000000-0005-0000-0000-000024000000}"/>
    <cellStyle name="常规 14 2" xfId="29" xr:uid="{00000000-0005-0000-0000-000025000000}"/>
    <cellStyle name="常规 14 3" xfId="30" xr:uid="{00000000-0005-0000-0000-000026000000}"/>
    <cellStyle name="常规 14 4" xfId="31" xr:uid="{00000000-0005-0000-0000-000027000000}"/>
    <cellStyle name="常规 14 5" xfId="32" xr:uid="{00000000-0005-0000-0000-000028000000}"/>
    <cellStyle name="常规 14 6" xfId="33" xr:uid="{00000000-0005-0000-0000-000029000000}"/>
    <cellStyle name="常规 14 7" xfId="34" xr:uid="{00000000-0005-0000-0000-00002A000000}"/>
    <cellStyle name="常规 14 8" xfId="35" xr:uid="{00000000-0005-0000-0000-00002B000000}"/>
    <cellStyle name="常规 15" xfId="36" xr:uid="{00000000-0005-0000-0000-00002C000000}"/>
    <cellStyle name="常规 15 2" xfId="37" xr:uid="{00000000-0005-0000-0000-00002D000000}"/>
    <cellStyle name="常规 15 3" xfId="38" xr:uid="{00000000-0005-0000-0000-00002E000000}"/>
    <cellStyle name="常规 15 4" xfId="39" xr:uid="{00000000-0005-0000-0000-00002F000000}"/>
    <cellStyle name="常规 15 5" xfId="40" xr:uid="{00000000-0005-0000-0000-000030000000}"/>
    <cellStyle name="常规 15 6" xfId="41" xr:uid="{00000000-0005-0000-0000-000031000000}"/>
    <cellStyle name="常规 15 7" xfId="42" xr:uid="{00000000-0005-0000-0000-000032000000}"/>
    <cellStyle name="常规 15 8" xfId="43" xr:uid="{00000000-0005-0000-0000-000033000000}"/>
    <cellStyle name="常规 16" xfId="44" xr:uid="{00000000-0005-0000-0000-000034000000}"/>
    <cellStyle name="常规 16 2" xfId="45" xr:uid="{00000000-0005-0000-0000-000035000000}"/>
    <cellStyle name="常规 16 3" xfId="46" xr:uid="{00000000-0005-0000-0000-000036000000}"/>
    <cellStyle name="常规 16 4" xfId="47" xr:uid="{00000000-0005-0000-0000-000037000000}"/>
    <cellStyle name="常规 16 5" xfId="48" xr:uid="{00000000-0005-0000-0000-000038000000}"/>
    <cellStyle name="常规 16 6" xfId="49" xr:uid="{00000000-0005-0000-0000-000039000000}"/>
    <cellStyle name="常规 16 7" xfId="50" xr:uid="{00000000-0005-0000-0000-00003A000000}"/>
    <cellStyle name="常规 16 8" xfId="51" xr:uid="{00000000-0005-0000-0000-00003B000000}"/>
    <cellStyle name="常规 2" xfId="52" xr:uid="{00000000-0005-0000-0000-00003C000000}"/>
    <cellStyle name="常规 2 2" xfId="53" xr:uid="{00000000-0005-0000-0000-00003D000000}"/>
    <cellStyle name="常规 2 2 2" xfId="54" xr:uid="{00000000-0005-0000-0000-00003E000000}"/>
    <cellStyle name="常规 2 2 3" xfId="55" xr:uid="{00000000-0005-0000-0000-00003F000000}"/>
    <cellStyle name="常规 2 2 4" xfId="56" xr:uid="{00000000-0005-0000-0000-000040000000}"/>
    <cellStyle name="常规 2 2 5" xfId="57" xr:uid="{00000000-0005-0000-0000-000041000000}"/>
    <cellStyle name="常规 2 2 6" xfId="58" xr:uid="{00000000-0005-0000-0000-000042000000}"/>
    <cellStyle name="常规 2 2 7" xfId="59" xr:uid="{00000000-0005-0000-0000-000043000000}"/>
    <cellStyle name="常规 2 2 8" xfId="60" xr:uid="{00000000-0005-0000-0000-000044000000}"/>
    <cellStyle name="常规 3" xfId="61" xr:uid="{00000000-0005-0000-0000-000045000000}"/>
    <cellStyle name="常规 4" xfId="62" xr:uid="{00000000-0005-0000-0000-000046000000}"/>
    <cellStyle name="常规 5" xfId="63" xr:uid="{00000000-0005-0000-0000-000047000000}"/>
    <cellStyle name="常规 6" xfId="64" xr:uid="{00000000-0005-0000-0000-000048000000}"/>
    <cellStyle name="常规 7" xfId="65" xr:uid="{00000000-0005-0000-0000-000049000000}"/>
    <cellStyle name="常规 8" xfId="66" xr:uid="{00000000-0005-0000-0000-00004A000000}"/>
    <cellStyle name="常规 9" xfId="67" xr:uid="{00000000-0005-0000-0000-00004B000000}"/>
  </cellStyles>
  <dxfs count="200">
    <dxf>
      <alignment horizontal="general"/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alignment horizontal="general"/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alignment horizontal="right"/>
    </dxf>
    <dxf>
      <alignment horizontal="left"/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font>
        <name val="等线"/>
        <scheme val="none"/>
      </font>
    </dxf>
    <dxf>
      <alignment horizontal="right"/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  <numFmt numFmtId="182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182" formatCode="mm/dd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left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等线"/>
        <family val="3"/>
        <charset val="134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family val="3"/>
        <charset val="134"/>
        <scheme val="none"/>
      </font>
      <numFmt numFmtId="182" formatCode="mm/dd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等线"/>
        <family val="3"/>
        <charset val="134"/>
        <scheme val="none"/>
      </font>
      <numFmt numFmtId="182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30" formatCode="@"/>
      <alignment horizontal="general" vertical="top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30" formatCode="@"/>
      <alignment horizontal="general" vertical="top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30" formatCode="@"/>
      <alignment horizontal="general" vertical="top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general" vertical="top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general" vertical="top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general" vertical="top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30" formatCode="@"/>
      <alignment horizontal="general" vertical="top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center" vertical="top" textRotation="18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等线"/>
        <scheme val="none"/>
      </font>
      <numFmt numFmtId="179" formatCode="0_);[Red]\(0\)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center" vertical="top" textRotation="18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3" formatCode="mmdd"/>
      <alignment horizontal="center" vertical="top" textRotation="18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3" formatCode="mmdd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3" formatCode="mmdd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3" formatCode="mmdd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3" formatCode="mmdd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5" formatCode="mm/dd\ hh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5" formatCode="mm/dd\ hh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5" formatCode="mm/dd\ hh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5" formatCode="mm/dd\ hh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5" formatCode="mm/dd\ hh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5" formatCode="mm/dd\ hh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5" formatCode="mm/dd\ hh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30" formatCode="@"/>
      <alignment horizontal="center" vertical="top" textRotation="255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184" formatCode="d&quot;号&quot;"/>
      <alignment horizontal="center" vertical="top" textRotation="18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numFmt numFmtId="0" formatCode="General"/>
      <alignment horizontal="center" vertical="top" textRotation="18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center" vertical="top" textRotation="18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center" vertical="top" textRotation="255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center" vertical="top" textRotation="255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等线"/>
        <scheme val="none"/>
      </font>
      <numFmt numFmtId="183" formatCode="mmdd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vertical="top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scheme val="none"/>
      </font>
      <alignment horizontal="center" vertical="top" wrapText="0" indent="0" justifyLastLine="0" shrinkToFit="0" readingOrder="0"/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86" formatCode="0.0_);[Red]\(0.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86" formatCode="0.0_);[Red]\(0.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181" formatCode="0_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numFmt numFmtId="188" formatCode="mmdd\ hh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182" formatCode="mm/dd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182" formatCode="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0"/>
        <name val="等线"/>
        <charset val="134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528.444292129629" createdVersion="6" refreshedVersion="6" minRefreshableVersion="3" recordCount="117" xr:uid="{00000000-000A-0000-FFFF-FFFF00000000}">
  <cacheSource type="worksheet">
    <worksheetSource name="Quotation"/>
  </cacheSource>
  <cacheFields count="12">
    <cacheField name="日期" numFmtId="188">
      <sharedItems containsSemiMixedTypes="0" containsNonDate="0" containsDate="1" containsString="0" minDate="2018-10-08T11:00:43" maxDate="2018-11-20T15:35:00"/>
    </cacheField>
    <cacheField name="抬头" numFmtId="0">
      <sharedItems containsBlank="1" count="172">
        <s v="国泰通"/>
        <s v="赛勇"/>
        <s v="新能日盛"/>
        <s v="洁火"/>
        <s v="康达"/>
        <s v="深圳九洋"/>
        <s v="南京长茂"/>
        <s v="远磐"/>
        <s v="荣诚"/>
        <s v="宁波衡通"/>
        <s v="传盛"/>
        <s v="卫青"/>
        <s v="江苏茵博"/>
        <s v="宁波港泰"/>
        <s v="商展"/>
        <s v="唐轩"/>
        <s v="中瑞"/>
        <s v="宸斌"/>
        <s v="东莞长景"/>
        <s v="三联"/>
        <s v="懿站"/>
        <s v="宁波地化"/>
        <s v="通泰"/>
        <s v="冠鑫"/>
        <s v="奥南"/>
        <s v="捷盛"/>
        <s v="汉神"/>
        <s v="世品"/>
        <s v="如泰"/>
        <s v="青禾"/>
        <s v="达高"/>
        <s v="众帆"/>
        <s v="震恒"/>
        <s v="南泰" u="1"/>
        <s v="铁亨" u="1"/>
        <m u="1"/>
        <s v="青岛中创" u="1"/>
        <s v="必特盛" u="1"/>
        <s v="粤立申" u="1"/>
        <s v="jietai" u="1"/>
        <s v="汉泽" u="1"/>
        <s v="港先" u="1"/>
        <s v="金陵" u="1"/>
        <s v="宁波通富" u="1"/>
        <s v="鸿莱" u="1"/>
        <s v="茂源盛" u="1"/>
        <s v="金雕" u="1"/>
        <s v="环海通" u="1"/>
        <s v="深圳世倡" u="1"/>
        <s v="嘉旭" u="1"/>
        <s v="盛立" u="1"/>
        <s v="远航" u="1"/>
        <s v="凯捷" u="1"/>
        <s v="海骏" u="1"/>
        <s v="百福" u="1"/>
        <s v="物流师" u="1"/>
        <s v="革力" u="1"/>
        <s v="腓尼基" u="1"/>
        <s v="悦博" u="1"/>
        <s v="广屹" u="1"/>
        <s v="胜狮" u="1"/>
        <s v="苏州新能日盛" u="1"/>
        <s v="仪霖" u="1"/>
        <s v="戈洋" u="1"/>
        <s v="义乌超亚" u="1"/>
        <s v="万年青" u="1"/>
        <s v="宁波百福" u="1"/>
        <s v="锦海捷亚" u="1"/>
        <s v="江苏鑫顺" u="1"/>
        <s v="博鑫" u="1"/>
        <s v="宏益" u="1"/>
        <s v="高新" u="1"/>
        <s v="丽世" u="1"/>
        <s v="泽尚" u="1"/>
        <s v="青岛龙山" u="1"/>
        <s v="镇江南泰" u="1"/>
        <s v="华烁" u="1"/>
        <s v="无锡世能" u="1"/>
        <s v="环球" u="1"/>
        <s v="宁波甬兰" u="1"/>
        <s v="江苏澳华" u="1"/>
        <s v="屹龙" u="1"/>
        <s v="豪升" u="1"/>
        <s v="锦汇" u="1"/>
        <s v="奥南1" u="1"/>
        <s v="播瑞" u="1"/>
        <s v="昌联" u="1"/>
        <s v="曦之" u="1"/>
        <s v="江苏康成" u="1"/>
        <s v="华亿" u="1"/>
        <s v="泽洋" u="1"/>
        <s v="珩宇" u="1"/>
        <s v="鑫爵" u="1"/>
        <s v="云台" u="1"/>
        <s v="汉翔" u="1"/>
        <s v="立远" u="1"/>
        <s v="泰州高新" u="1"/>
        <s v="承太" u="1"/>
        <s v="溢云" u="1"/>
        <s v="畅俊" u="1"/>
        <s v="瀚尔升" u="1"/>
        <s v="迅道" u="1"/>
        <s v="龙泽" u="1"/>
        <s v="英阔" u="1"/>
        <s v="远通" u="1"/>
        <s v="尤斯卡" u="1"/>
        <s v="深圳德健" u="1"/>
        <s v="亿凯" u="1"/>
        <s v="世祥" u="1"/>
        <s v="浩域" u="1"/>
        <s v="江苏环球" u="1"/>
        <s v="万豪" u="1"/>
        <s v="丹正" u="1"/>
        <s v="宁波泽洋" u="1"/>
        <s v="丝金" u="1"/>
        <s v="圣名" u="1"/>
        <s v="康成" u="1"/>
        <s v="海丰" u="1"/>
        <s v="帝捷" u="1"/>
        <s v="亚韵" u="1"/>
        <s v="浩嘉" u="1"/>
        <s v="瀛和" u="1"/>
        <s v="宁波博航" u="1"/>
        <s v="展晟" u="1"/>
        <s v="港泰" u="1"/>
        <s v="JMO" u="1"/>
        <s v="简贸" u="1"/>
        <s v="深圳旭日" u="1"/>
        <s v="青岛龙泽" u="1"/>
        <s v="迅洋" u="1"/>
        <s v="先创" u="1"/>
        <s v="朗茂" u="1"/>
        <s v="德健" u="1"/>
        <s v="集龙" u="1"/>
        <s v="盛凯达" u="1"/>
        <s v="亚琛" u="1"/>
        <s v="海吉" u="1"/>
        <s v="南京骏高" u="1"/>
        <s v="宁波亿凯" u="1"/>
        <s v="国桥远航" u="1"/>
        <s v="深圳优通" u="1"/>
        <s v="企明" u="1"/>
        <s v="畅运" u="1"/>
        <s v="锦茗" u="1"/>
        <s v="骏耀" u="1"/>
        <s v="宁波合羽" u="1"/>
        <s v="华原" u="1"/>
        <s v="德鸿" u="1"/>
        <s v="中创" u="1"/>
        <s v="淳宏" u="1"/>
        <s v="弈瑞" u="1"/>
        <s v="旭日" u="1"/>
        <s v="正熙" u="1"/>
        <s v="通富" u="1"/>
        <s v="新海丰" u="1"/>
        <s v="优通" u="1"/>
        <s v="君驰" u="1"/>
        <s v="鸿茂" u="1"/>
        <s v="全和悦" u="1"/>
        <s v="亚凯" u="1"/>
        <s v="鑫顺" u="1"/>
        <s v="唐朝三洋" u="1"/>
        <s v="航泰" u="1"/>
        <s v="青岛丽世" u="1"/>
        <s v="骏高" u="1"/>
        <s v="NULL" u="1"/>
        <s v="明睿" u="1"/>
        <s v="华源" u="1"/>
        <s v="危泰" u="1"/>
        <s v="华亿惠通" u="1"/>
        <s v="华海通运" u="1"/>
        <s v="安徽远通" u="1"/>
      </sharedItems>
    </cacheField>
    <cacheField name="姓名" numFmtId="0">
      <sharedItems containsBlank="1" count="38">
        <s v="展小倩"/>
        <s v="张桓"/>
        <s v="NULL"/>
        <s v="石晴"/>
        <s v="程"/>
        <s v="蔡"/>
        <s v="付寒"/>
        <s v="张霞"/>
        <s v="李明"/>
        <s v="阿兴"/>
        <s v="孙维光"/>
        <s v="杜秀梅"/>
        <s v="冯杰"/>
        <s v="顾先生"/>
        <s v="池丽敏"/>
        <s v="王生"/>
        <s v="李大军"/>
        <s v="韩毅"/>
        <s v="龚迪"/>
        <s v="商秀莲"/>
        <s v="Selina"/>
        <s v="姜玥"/>
        <s v="张正冬"/>
        <s v="王小东"/>
        <s v="厉以雄"/>
        <s v="严毅俊"/>
        <s v="贺佑喨"/>
        <s v="赵强"/>
        <s v="陈燕"/>
        <s v="樊"/>
        <s v="杨灿"/>
        <s v="马小姐"/>
        <s v="张华"/>
        <s v="贝芸"/>
        <s v="江小强"/>
        <s v="程正德"/>
        <m u="1"/>
        <s v="姜" u="1"/>
      </sharedItems>
    </cacheField>
    <cacheField name="联系方式" numFmtId="0">
      <sharedItems containsSemiMixedTypes="0" containsString="0" containsNumber="1" containsInteger="1" minValue="47733440" maxValue="3003566765"/>
    </cacheField>
    <cacheField name="询价信息" numFmtId="0">
      <sharedItems/>
    </cacheField>
    <cacheField name="报价" numFmtId="0">
      <sharedItems/>
    </cacheField>
    <cacheField name="目的港" numFmtId="0">
      <sharedItems containsBlank="1"/>
    </cacheField>
    <cacheField name="NEXT" numFmtId="0">
      <sharedItems containsBlank="1"/>
    </cacheField>
    <cacheField name="CNT" numFmtId="181">
      <sharedItems containsSemiMixedTypes="0" containsString="0" containsNumber="1" containsInteger="1" minValue="1" maxValue="44"/>
    </cacheField>
    <cacheField name="地址" numFmtId="0">
      <sharedItems/>
    </cacheField>
    <cacheField name="周" numFmtId="181">
      <sharedItems containsSemiMixedTypes="0" containsString="0" containsNumber="1" containsInteger="1" minValue="0" maxValue="47" count="20">
        <n v="41"/>
        <n v="42"/>
        <n v="43"/>
        <n v="44"/>
        <n v="46"/>
        <n v="47"/>
        <n v="0" u="1"/>
        <n v="34" u="1"/>
        <n v="36" u="1"/>
        <n v="38" u="1"/>
        <n v="40" u="1"/>
        <n v="33" u="1"/>
        <n v="35" u="1"/>
        <n v="37" u="1"/>
        <n v="39" u="1"/>
        <n v="28" u="1"/>
        <n v="29" u="1"/>
        <n v="30" u="1"/>
        <n v="31" u="1"/>
        <n v="32" u="1"/>
      </sharedItems>
    </cacheField>
    <cacheField name="星期" numFmtId="181">
      <sharedItems containsSemiMixedTypes="0" containsString="0" containsNumber="1" containsInteger="1" minValue="0" maxValue="7" count="8">
        <n v="1"/>
        <n v="2"/>
        <n v="3"/>
        <n v="4"/>
        <n v="5"/>
        <n v="0" u="1"/>
        <n v="6" u="1"/>
        <n v="7" u="1"/>
      </sharedItems>
    </cacheField>
  </cacheFields>
  <extLst>
    <ext xmlns:x14="http://schemas.microsoft.com/office/spreadsheetml/2009/9/main" uri="{725AE2AE-9491-48be-B2B4-4EB974FC3084}">
      <x14:pivotCacheDefinition pivotCacheId="20451966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">
  <r>
    <d v="2018-10-08T11:00:43"/>
    <x v="0"/>
    <x v="0"/>
    <n v="2355852338"/>
    <s v="巴塔小柜 高柜"/>
    <s v="Bata SAF USD1950/2800 + EBS60/120，周二/五洋山黑角转42-49天，价格到10月14日。_x000a_Bata CMA USD1988/2863 + EBS55/110，周日洋山洛美转43天，价格到10月14日。_x000a_Bata MSK USD2060/3020(含EBS)，周二洋山黑角转42-49天，价格到10月14日。"/>
    <s v="Bata"/>
    <s v="已"/>
    <n v="5"/>
    <s v="OK"/>
    <x v="0"/>
    <x v="0"/>
  </r>
  <r>
    <d v="2018-10-08T13:32:57"/>
    <x v="1"/>
    <x v="1"/>
    <n v="3003128015"/>
    <s v="Nacala Mozambique 小柜"/>
    <s v="Nacala MSC USD1325+EBS50+AMS25/BILL，周五外港德班转31天，价格到10月14日。_x000a_Nacala CMA USD1375 + EBS55，周四/周日外港/洋山TPP/SIN转36天，价格到10月14日。_x000a_Nacala SAF USD1425 + EBS60，周一洋山丹戎帕拉帕斯港转44天，价格到10月14日。"/>
    <s v="Nacala"/>
    <m/>
    <n v="44"/>
    <s v="OK"/>
    <x v="0"/>
    <x v="0"/>
  </r>
  <r>
    <d v="2018-10-08T13:33:02"/>
    <x v="1"/>
    <x v="1"/>
    <n v="3003128015"/>
    <s v="蒙巴萨20GP 40HQ"/>
    <s v="Mombasa SAF USD700/1200 + EBS60/120，周四洋山新加坡转23天，价格到10月14日。_x000a_Mombasa MSK USD760/1320(含EBS)，周五洋山新加坡转23天，价格到10月14日。_x000a_Mombasa OOCL USD775/1350(含EBS)，周三外港直达25天，价格到10月14日。"/>
    <s v="Mombasa"/>
    <m/>
    <n v="44"/>
    <s v="OK"/>
    <x v="0"/>
    <x v="0"/>
  </r>
  <r>
    <d v="2018-10-09T08:29:33"/>
    <x v="1"/>
    <x v="1"/>
    <n v="3003128015"/>
    <s v="特马的一个40尺高柜"/>
    <s v="Tema ONE USD2065(含EBS)，周二/周三外港直达44天，价格到10月14日。_x000a_Tema ZIM USD1960 + EBS150，周一/周三外港直达44天，价格到10月14日。_x000a_Tema COSCO USD2060 + EBS120，周三外港直达44天，价格到10月14日。"/>
    <s v="Tema"/>
    <m/>
    <n v="44"/>
    <s v="OK"/>
    <x v="0"/>
    <x v="1"/>
  </r>
  <r>
    <d v="2018-10-09T09:50:34"/>
    <x v="1"/>
    <x v="1"/>
    <n v="3003128015"/>
    <s v="onne 大柜"/>
    <s v="Onne COSCO USD2260 + EBS120，周三外港洛美转46天，价格到10月14日。_x000a_Onne PIL USD2610(含EBS)，周三外港新加坡转41天，价格到10月14日。_x000a_Onne SAF USD2550 + EBS120，周四外港直达41天，价格到10月14日。"/>
    <s v="Onne"/>
    <m/>
    <n v="44"/>
    <s v="OK"/>
    <x v="0"/>
    <x v="1"/>
  </r>
  <r>
    <d v="2018-10-09T10:01:56"/>
    <x v="2"/>
    <x v="2"/>
    <n v="2411667393"/>
    <s v="罗安达 高柜  28吨"/>
    <s v="Luanda MSC USD2300 + EBS100，周五外港西尼什转46天，价格到10月14日。_x000a_Luanda COSCO USD2360 + EBS120，周二洋山直达41天，价格到10月14日。_x000a_Luanda PIL USD2510(含EBS)，周一洋山直达41天，价格到10月14日。"/>
    <s v="Luanda"/>
    <s v="已"/>
    <n v="3"/>
    <s v="苏州"/>
    <x v="0"/>
    <x v="1"/>
  </r>
  <r>
    <d v="2018-10-09T10:42:46"/>
    <x v="1"/>
    <x v="1"/>
    <n v="3003128015"/>
    <s v="摩洛哥 Casablanca港口的海运费 大柜小柜"/>
    <s v="Casablanca MSC USD1050/2000/2050 + EBS65/130，周日洋山沙特的阿卜杜拉国王港转35天，价格从10月15日到10月31日。_x000a_Casablanca COSCO USD1150/2100/2150(含EBS) + ENS25/BILL，周四六一洋山ESVAL/阿尔赫西拉斯/ESBAR转30-44天，31日。_x000a_Casablanca MSK USD1175/2250/2275 + EBS60/120，周五洋山丹吉尔转31天，价格到10月15日。"/>
    <s v="Casablanca"/>
    <m/>
    <n v="44"/>
    <s v="OK"/>
    <x v="0"/>
    <x v="1"/>
  </r>
  <r>
    <d v="2018-10-09T15:50:21"/>
    <x v="1"/>
    <x v="1"/>
    <n v="3003128015"/>
    <s v="特马小柜"/>
    <s v="Tema ONE USD1290(含EBS)，周二/周三外港直达44天，价格到10月14日。_x000a_Tema ZIM USD1310 + EBS75，周一/周三外港直达44天，价格到10月14日。_x000a_Tema COSCO USD1335 + EBS60，周三外港直达44天，价格到10月14日。"/>
    <s v="Tema"/>
    <m/>
    <n v="44"/>
    <s v="OK"/>
    <x v="0"/>
    <x v="1"/>
  </r>
  <r>
    <d v="2018-10-09T17:16:28"/>
    <x v="3"/>
    <x v="3"/>
    <n v="3003566765"/>
    <s v="蒙巴萨 PIL 小柜"/>
    <s v="Mombasa PIL USD834(含EBS)，周三外港直达22天，价格到10月14日。"/>
    <s v="Mombasa"/>
    <s v="已"/>
    <n v="1"/>
    <s v="OK"/>
    <x v="0"/>
    <x v="1"/>
  </r>
  <r>
    <d v="2018-10-10T09:08:08"/>
    <x v="1"/>
    <x v="1"/>
    <n v="3003128015"/>
    <s v="20尺柜的运费 上海到 Lagos"/>
    <s v="Apapa ONE USD1570(含EBS)，周二外港直达34天，价格到10月14日。_x000a_Apapa ZIM USD1590 + EBS11，周一外港直达34天，价格到10月14日。_x000a_Apapa COSCO USD1615 + EBS60，周二外港直达34天，价格到10月14日。"/>
    <s v="Lagos"/>
    <m/>
    <n v="44"/>
    <s v="OK"/>
    <x v="0"/>
    <x v="2"/>
  </r>
  <r>
    <d v="2018-10-10T10:23:59"/>
    <x v="1"/>
    <x v="1"/>
    <n v="3003128015"/>
    <s v="Monrovia, Liberia 小柜"/>
    <s v="Monrovia MSK USD1490(含EBS)，周一外港丹吉尔转45天，价格到10月14日。_x000a_Monrovia MSC USD1480 + EBS50，周五外港洛美转52天，价格到10月14日。"/>
    <s v="Monrovia"/>
    <m/>
    <n v="44"/>
    <s v="OK"/>
    <x v="0"/>
    <x v="2"/>
  </r>
  <r>
    <d v="2018-10-10T11:18:12"/>
    <x v="1"/>
    <x v="1"/>
    <n v="3003128015"/>
    <s v="阿尔及利亚，阿尔及尔，40HQ  MSC"/>
    <s v="Alger MSC USD2400 + EBS130，周日洋山沙特的阿卜杜拉国王港转29天，价格从10月15日到10月31日。"/>
    <s v="Algiers"/>
    <m/>
    <n v="44"/>
    <s v="OK"/>
    <x v="0"/>
    <x v="2"/>
  </r>
  <r>
    <d v="2018-10-10T14:06:07"/>
    <x v="4"/>
    <x v="4"/>
    <n v="1713665714"/>
    <s v="MONROVIA  SAF 40HQ"/>
    <s v="Monrovia SAF USD2500 + EBS120，周一/五洋山赛德东/阿尔赫西拉斯转45天，价格到10月14日。"/>
    <s v="Monrovia"/>
    <s v="11月的价格1029第六次问"/>
    <n v="1"/>
    <s v="OK"/>
    <x v="0"/>
    <x v="2"/>
  </r>
  <r>
    <d v="2018-10-10T14:45:01"/>
    <x v="5"/>
    <x v="5"/>
    <n v="147802338"/>
    <s v="布基纳法索小柜和大柜22吨，太阳能发电系统"/>
    <s v="Abidjan 转 Ouagadougou SAF USD1525/2350 + EBS60/120 + 转运费2550/3940，周五洋山38+15天，海运价格到10月14日，汇率问题转运费需要实时确认，这个先参考一下。"/>
    <s v="Ouagadougou"/>
    <s v="已"/>
    <n v="1"/>
    <s v="深圳"/>
    <x v="0"/>
    <x v="2"/>
  </r>
  <r>
    <d v="2018-10-11T09:53:17"/>
    <x v="1"/>
    <x v="1"/>
    <n v="3003128015"/>
    <s v="FREETOWN 小柜"/>
    <s v="Freetown SAF USD1855/20GP + EBS60，周一/五洋山赛德东转50天，价格到10月31日。_x000a_Freetown MSK USD1965/20GP (含EBS)，周一洋山赛德东转44天，价格到10月31日。"/>
    <s v="Freetown"/>
    <m/>
    <n v="44"/>
    <s v="OK"/>
    <x v="0"/>
    <x v="3"/>
  </r>
  <r>
    <d v="2018-10-11T10:59:17"/>
    <x v="6"/>
    <x v="6"/>
    <n v="2851795176"/>
    <s v="TEMA,20GP. 要COSCO 和MSK 的船 货12号OK"/>
    <s v="Tema MSK USD1947/20GP (含EBS)，周五外港直达42天，价格到10月31日。_x000a_COSCO 1685 + 60 价格到31号"/>
    <s v="Tema"/>
    <m/>
    <n v="3"/>
    <s v="南京"/>
    <x v="0"/>
    <x v="3"/>
  </r>
  <r>
    <d v="2018-10-11T16:35:38"/>
    <x v="1"/>
    <x v="1"/>
    <n v="3003128015"/>
    <s v="Beijaia 1*40HQ 19号货好，毛重21.5吨"/>
    <s v="Bejaia MSC USD2400/40HQ + EBS130，周日洋山沙特的阿卜杜拉国王港转41天，价格到10月31日。_x000a_Bejaia MSK USD2850/40HQ + EBS120，周日/周二洋山马尔萨什洛克转36天，价格从10月16日到10月31日。"/>
    <s v="Bejaia"/>
    <m/>
    <n v="44"/>
    <s v="OK"/>
    <x v="0"/>
    <x v="3"/>
  </r>
  <r>
    <d v="2018-10-11T17:08:31"/>
    <x v="7"/>
    <x v="7"/>
    <n v="3002787082"/>
    <s v="突尼斯大柜"/>
    <s v="Tunis(Rades Port) MSC USD2750/40GP + EBS130，周日洋山沙特的阿卜杜拉国王港转34天，价格到10月31日。_x000a_Tunis(Rades Port) MSK USD3150/40GP + EBS120，周日洋山马尔萨什洛克转30天，价格从10月16日到10月31日。"/>
    <s v="Tunis"/>
    <m/>
    <n v="3"/>
    <s v="OK"/>
    <x v="0"/>
    <x v="3"/>
  </r>
  <r>
    <d v="2018-10-11T17:46:08"/>
    <x v="8"/>
    <x v="8"/>
    <n v="2881725314"/>
    <s v="班珠尔一个40HQ"/>
    <s v="Banjul SAF USD4050/40HQ + EBS120，周五洋山阿尔赫西拉斯转42天，价格到10月31日。_x000a_Banjul MSK USD4270/40HQ (含EBS)，周五洋山阿尔赫西拉斯转42天，价格到10月31日。"/>
    <s v="Banjul"/>
    <m/>
    <n v="5"/>
    <s v="OK"/>
    <x v="0"/>
    <x v="3"/>
  </r>
  <r>
    <d v="2018-10-12T10:41:28"/>
    <x v="7"/>
    <x v="9"/>
    <n v="3002716532"/>
    <s v="ONNE 3*40GP "/>
    <s v="Onne COSCO USD2910/40GP + EBS120，周三外港洛美转46天，价格到10月31日。_x000a_Onne PIL USD3260/40GP (含EBS)，周三外港新加坡转41天，价格到10月31日。"/>
    <s v="Onne"/>
    <m/>
    <n v="9"/>
    <s v="OK"/>
    <x v="0"/>
    <x v="4"/>
  </r>
  <r>
    <d v="2018-10-12T11:15:26"/>
    <x v="9"/>
    <x v="10"/>
    <n v="656525426"/>
    <s v="DAR 小柜"/>
    <s v="Dar Es Salaam MSK USD910/20GP (含EBS)，周五洋山新加坡转26-32天，价格从10月17日到10月31日。_x000a_Dar Es Salaam EMI USD917/20GP (含EBS)，周四外港巴生转32天，价格到10月22日。_x000a_Dar Es Salaam EMC USD975/20GP (含EBS)，周四外港巴生转35天，价格到10月31日。"/>
    <s v="Dar es Salaam"/>
    <m/>
    <n v="1"/>
    <s v="宁波"/>
    <x v="0"/>
    <x v="4"/>
  </r>
  <r>
    <d v="2018-10-12T13:31:45"/>
    <x v="10"/>
    <x v="11"/>
    <n v="297961898"/>
    <s v="ZANZIBAR 小柜"/>
    <s v="Zanzibar MSK USD1610/20GP (含EBS)，周五洋山蒙巴萨转37天，价格从10月17日到10月31日。_x000a_Zanzibar CMA USD1725/20GP + EBS55，周四/周日外港/洋山丹戎帕拉帕斯港/新加坡转33天，价格到10月31日。_x000a_Zanzibar PIL USD1800/20GP (含EBS)，周三外港蒙巴萨转30天，价格到10月31日。"/>
    <s v="Zanzibar"/>
    <m/>
    <n v="3"/>
    <s v="OK"/>
    <x v="0"/>
    <x v="4"/>
  </r>
  <r>
    <d v="2018-10-12T15:17:34"/>
    <x v="11"/>
    <x v="12"/>
    <n v="2850135782"/>
    <s v="PORT LOUIS 1X20GP MSK"/>
    <s v="Port Louis MSK USD810/20GP (含EBS)，周三洋山直达20天，价格到10月31日。"/>
    <s v="Louis"/>
    <m/>
    <n v="1"/>
    <s v="OK"/>
    <x v="0"/>
    <x v="4"/>
  </r>
  <r>
    <d v="2018-10-12T15:34:28"/>
    <x v="10"/>
    <x v="11"/>
    <n v="297961898"/>
    <s v="南非Elizabeth  小柜"/>
    <s v="Port Elizabeth COSCO USD890/20GP + EBS60 + AMS30/BILL，周六外港直达28天，价格到10月31日。_x000a_Port Elizabeth HBS USD890/20GP + EBS60 + AMS35/BILL，周三洋山直达25天，价格到10月31日。_x000a_Port Elizabeth CMA USD913/20GP + EBS55，周三洋山直达30天，价格到10月31日。"/>
    <s v="Elizabeth"/>
    <m/>
    <n v="3"/>
    <s v="OK"/>
    <x v="0"/>
    <x v="4"/>
  </r>
  <r>
    <d v="2018-10-12T16:01:22"/>
    <x v="12"/>
    <x v="13"/>
    <n v="1922436408"/>
    <s v="Apapa 价格"/>
    <s v="Apapa HPL USD2500/40GP + EBS110，周六洋山丹吉尔转46天，价格到10月31日。_x000a_Apapa SAF USD3300/40GP + EBS120，周四外港直达36天，价格到10月31日。_x000a_Apapa ONE USD3565/40GP (含EBS)，周二外港直达34天，价格到10月31日。"/>
    <s v="Apapa"/>
    <m/>
    <n v="1"/>
    <s v="张家港"/>
    <x v="0"/>
    <x v="4"/>
  </r>
  <r>
    <d v="2018-10-12T17:18:24"/>
    <x v="13"/>
    <x v="14"/>
    <n v="2851124008"/>
    <s v="MOMBASA OOCL"/>
    <s v="Mombasa OOCL USD775/1350 (含EBS)，周三外港直达25天，价格到10月14日，已过期仅供参考。"/>
    <s v="Mombasa"/>
    <m/>
    <n v="1"/>
    <s v="宁波"/>
    <x v="0"/>
    <x v="4"/>
  </r>
  <r>
    <d v="2018-10-12T17:18:35"/>
    <x v="1"/>
    <x v="1"/>
    <n v="3003128015"/>
    <s v="蒙巴萨有直达船"/>
    <s v="Mombasa CMA USD925/1650 + EBS55/110，周四外港直达25天，价格到10月31日。_x000a_Mombasa COSCO USD925/1650 + EBS60/120，周三/周四外港直达23天，价格到10月22日。_x000a_Mombasa EMC USD975/1700 (含EBS)，周四外港直达30天，价格到10月31日。"/>
    <s v="Mombasa"/>
    <m/>
    <n v="44"/>
    <s v="OK"/>
    <x v="0"/>
    <x v="4"/>
  </r>
  <r>
    <d v="2018-10-15T09:02:51"/>
    <x v="1"/>
    <x v="1"/>
    <n v="3003128015"/>
    <s v="一个20尺柜   拉各斯"/>
    <s v="Apapa HPL USD1750/20GP + EBS55，周六洋山丹吉尔转46天，价格到10月31日。_x000a_Apapa SAF USD2125/20GP + EBS60，周四外港直达36天，价格到10月31日。_x000a_Apapa MSK USD2260/20GP (含EBS)，周四外港直达36天，价格到10月31日。"/>
    <s v="Lagos"/>
    <m/>
    <n v="44"/>
    <s v="OK"/>
    <x v="1"/>
    <x v="0"/>
  </r>
  <r>
    <d v="2018-10-15T09:05:21"/>
    <x v="1"/>
    <x v="1"/>
    <n v="3003128015"/>
    <s v="达喀尔40gp"/>
    <s v="Dakar HPL USD2900/40GP + EBS110，周六洋山丹吉尔转44天，价格到10月31日。_x000a_Dakar COSCO USD3510/40GP + EBS120，周日洋山阿尔赫西拉斯转36天，价格到10月31日。_x000a_Dakar ONE USD3765/40GP (含EBS)，周六洋山汤加转35天，价格到10月31日。"/>
    <s v="Dakar"/>
    <m/>
    <n v="44"/>
    <s v="OK"/>
    <x v="1"/>
    <x v="0"/>
  </r>
  <r>
    <d v="2018-10-15T09:05:43"/>
    <x v="14"/>
    <x v="15"/>
    <n v="2880488446"/>
    <s v="Harcourt ONNE大柜"/>
    <s v="Onne COSCO USD2960/40GP + EBS120，周三外港洛美转46天，价格到10月31日。_x000a_Onne PIL USD3310/40GP (含EBS)，周三外港新加坡转41天，价格到10月31日。_x000a_Onne SAF USD3250/40GP + EBS120，周四外港直达41天，价格到10月31日。"/>
    <s v="Onne"/>
    <m/>
    <n v="5"/>
    <s v="OK"/>
    <x v="1"/>
    <x v="0"/>
  </r>
  <r>
    <d v="2018-10-15T09:10:11"/>
    <x v="8"/>
    <x v="16"/>
    <n v="2881725313"/>
    <s v="安哥拉 罗安达港口，40高柜"/>
    <s v="Luanda NDS USD2860/40HQ (含EBS)，周一洋山直达41天，价格到9月30日，已过期仅供参考。_x000a_Luanda COSCO USD3010/40HQ + EBS120，周二洋山直达41天，价格到10月31日。_x000a_Luanda PIL USD3210/40HQ (含EBS)，周一洋山直达41天，价格到10月31日。"/>
    <s v="Luanda"/>
    <m/>
    <n v="1"/>
    <s v="OK"/>
    <x v="1"/>
    <x v="0"/>
  </r>
  <r>
    <d v="2018-10-15T09:58:44"/>
    <x v="1"/>
    <x v="1"/>
    <n v="3003128015"/>
    <s v="蒙巴萨"/>
    <s v="Mombasa SAF USD850/1500 + EBS60/120，周四洋山新加坡转23天，价格到10月31日。_x000a_Mombasa MSK USD910/1620 (含EBS)，周五洋山新加坡转23天，价格到10月31日。_x000a_Mombasa CMA USD925/1650 + EBS55/110，周四外港直达25天，价格到10月31日。"/>
    <s v="Mombasa"/>
    <m/>
    <n v="44"/>
    <s v="OK"/>
    <x v="1"/>
    <x v="0"/>
  </r>
  <r>
    <d v="2018-10-15T09:58:44"/>
    <x v="1"/>
    <x v="1"/>
    <n v="3003128015"/>
    <s v="卢萨卡15T和大小柜"/>
    <s v="Durban 转 Lusaka_x000a_COSCO USD890/20GP + EBS60 + AMS30/BILL + 转运费3400，周四/周六洋山/外港24+15天，价格到10月31日。_x000a_EMI USD1617/40GP (含EBS) + 转运费5350，周四外港32+15天，价格到10月22日。"/>
    <s v="Lusaka"/>
    <m/>
    <n v="44"/>
    <s v="OK"/>
    <x v="1"/>
    <x v="0"/>
  </r>
  <r>
    <d v="2018-10-15T10:25:58"/>
    <x v="1"/>
    <x v="1"/>
    <n v="3003128015"/>
    <s v="苏丹 40HQ"/>
    <s v="Port Sudan SAF USD1513/40HQ + EBS120，周二洋山丹戎帕拉帕斯港转33天，价格到10月31日。_x000a_Port Sudan MSK USD1876/40HQ (含EBS)，周二洋山丹戎帕拉帕斯港转33天，价格到10月31日。"/>
    <s v="Sudan"/>
    <m/>
    <n v="44"/>
    <s v="OK"/>
    <x v="1"/>
    <x v="0"/>
  </r>
  <r>
    <d v="2018-10-15T11:37:48"/>
    <x v="7"/>
    <x v="9"/>
    <n v="3002716532"/>
    <s v="MODJO DRY PORT  20GP 25T 埃塞"/>
    <s v="没有这个点"/>
    <s v="Modjo"/>
    <m/>
    <n v="9"/>
    <s v="OK"/>
    <x v="1"/>
    <x v="0"/>
  </r>
  <r>
    <d v="2018-10-15T13:26:44"/>
    <x v="7"/>
    <x v="9"/>
    <n v="3002716532"/>
    <s v="Rades"/>
    <s v="Tunis(Rades Port) MSC USD1425/20GP + EBS65，周日洋山沙特的阿卜杜拉国王港转34天，价格到10月31日。_x000a_Tunis(Rades Port) MSK USD1675/20GP + EBS60，周日洋山马尔萨什洛克转30天，价格到10月31日。_x000a_Tunis(Rades Port) CMA USD1835/20GP + EBS55，周四洋山马耳他转35天，价格到10月31日。"/>
    <s v="Rades"/>
    <m/>
    <n v="9"/>
    <s v="OK"/>
    <x v="1"/>
    <x v="0"/>
  </r>
  <r>
    <d v="2018-10-15T13:26:44"/>
    <x v="7"/>
    <x v="9"/>
    <n v="3002716532"/>
    <s v="Sousse"/>
    <s v="Sousse CMA USD1715/20GP + EBS55，周四洋山马耳他转35天，价格到10月31日。"/>
    <s v="Sousse"/>
    <m/>
    <n v="9"/>
    <s v="OK"/>
    <x v="1"/>
    <x v="0"/>
  </r>
  <r>
    <d v="2018-10-15T13:26:44"/>
    <x v="1"/>
    <x v="1"/>
    <n v="3003128015"/>
    <s v="德班的 ，40'HQ"/>
    <s v="Durban HPL USD1350/40HQ + EBS110，周四洋山直达27天，价格到10月31日。_x000a_Durban ONE USD1650/40HQ (含EBS) + AMS35/BILL，周四洋山直达24天，价格到10月22日。_x000a_Durban PIL USD1763/40HQ (含EBS) + AMS30/BILL，周四洋山直达24天，价格到10月31日。"/>
    <s v="Durban"/>
    <m/>
    <n v="44"/>
    <s v="OK"/>
    <x v="1"/>
    <x v="0"/>
  </r>
  <r>
    <d v="2018-10-15T13:42:03"/>
    <x v="15"/>
    <x v="17"/>
    <n v="341474889"/>
    <s v="CMA DAKAR小箱 27日左右的"/>
    <s v="Dakar CMA USD2288/20GP + EBS55，周日洋山阿尔赫西拉斯转34天，价格到10月31日。"/>
    <s v="Dakar"/>
    <m/>
    <n v="2"/>
    <s v="OK"/>
    <x v="1"/>
    <x v="0"/>
  </r>
  <r>
    <d v="2018-10-15T13:52:24"/>
    <x v="6"/>
    <x v="6"/>
    <n v="2851795176"/>
    <s v="TEMA,20GP,纺织品,货好了. 要MSK 和PIL"/>
    <s v="Tema PIL USD1835/20GP (含EBS)，周一/周三外港直达42/40天，价格到10月31日。_x000a_Tema MSK USD1947/20GP (含EBS)，周五外港直达42天，价格到10月31日。"/>
    <s v="Tema"/>
    <m/>
    <n v="3"/>
    <s v="南京"/>
    <x v="1"/>
    <x v="0"/>
  </r>
  <r>
    <d v="2018-10-15T14:32:46"/>
    <x v="16"/>
    <x v="18"/>
    <n v="240689713"/>
    <s v="ZIM 高柜 上海到TINCAN"/>
    <s v="Tincan ZIM USD3410/40HQ + EBS150，周一外港直达36天，价格到10月31日。"/>
    <s v="Tincan"/>
    <m/>
    <n v="1"/>
    <s v="暂不管"/>
    <x v="1"/>
    <x v="0"/>
  </r>
  <r>
    <d v="2018-10-15T14:40:30"/>
    <x v="1"/>
    <x v="1"/>
    <n v="3003128015"/>
    <s v="onne tincan tema 20gp 40gp 40hq"/>
    <s v="Tincan HPL USD1750/2500 + EBS55/110，周六洋山丹吉尔转48天，价格到10月31日。_x000a_Onne COSCO USD1735/2960 + EBS60/120，周三外港洛美转46天，价格到10月31日。_x000a_Tema HPL USD1450/2200 + EBS55/110，周六洋山丹吉尔转51天，价格到10月31日。"/>
    <s v="Tincan"/>
    <m/>
    <n v="44"/>
    <s v="OK"/>
    <x v="1"/>
    <x v="0"/>
  </r>
  <r>
    <d v="2018-10-15T16:44:42"/>
    <x v="1"/>
    <x v="1"/>
    <n v="3003128015"/>
    <s v="达喀尔小柜"/>
    <s v="Dakar HPL USD1750/20GP + EBS55，周六洋山丹吉尔转44天，价格到10月31日。_x000a_Dakar COSCO USD1910/20GP + EBS60，周日洋山阿尔赫西拉斯转36天，价格到10月31日。_x000a_Dakar ONE USD2090/20GP (含EBS)，周六洋山汤加转35天，价格到10月31日。"/>
    <s v="Dakar"/>
    <m/>
    <n v="44"/>
    <s v="OK"/>
    <x v="1"/>
    <x v="0"/>
  </r>
  <r>
    <d v="2018-10-15T16:52:23"/>
    <x v="14"/>
    <x v="15"/>
    <n v="2880488446"/>
    <s v="BEJAIA 高柜"/>
    <s v="Bejaia MSC USD2400/40HQ + EBS130，周日洋山沙特的阿卜杜拉国王港转41天，价格到10月31日。_x000a_Bejaia MSK USD2850/40HQ + EBS120，周日/周二洋山马尔萨什洛克转36天，价格到10月31日。_x000a_Bejaia CMA USD3225/40HQ + EBS110，周一洋山马耳他转33天，价格到10月31日。"/>
    <s v="Bejaia"/>
    <m/>
    <n v="5"/>
    <s v="OK"/>
    <x v="1"/>
    <x v="0"/>
  </r>
  <r>
    <d v="2018-10-15T17:25:58"/>
    <x v="1"/>
    <x v="1"/>
    <n v="3003128015"/>
    <s v="阿尔及尔  25吨  小柜"/>
    <s v="Alger COSCO USD1175/20GP (含EBS) + ENS25/BILL，周日洋山比雷埃夫斯/瓦伦西亚转33-39天，价格到10月31日。_x000a_Alger MSC USD1225/20GP + EBS65，周日洋山沙特的阿卜杜拉国王港转29天，价格到10月31日。_x000a_Alger MSK USD1375/20GP + EBS60，周日/周二洋山马耳他转37天，价格到10月31日。"/>
    <s v="Algiers"/>
    <m/>
    <n v="44"/>
    <s v="OK"/>
    <x v="1"/>
    <x v="0"/>
  </r>
  <r>
    <d v="2018-10-16T09:45:44"/>
    <x v="7"/>
    <x v="9"/>
    <n v="3002716532"/>
    <s v="蒙巴萨 40GP"/>
    <s v="Mombasa HPL USD1300/40GP + EBS110，周日洋山迪拜转39天，价格到10月31日。_x000a_Mombasa MSC USD1406/40GP + EBS130，周五洋山德班转38天，价格从10月21日到10月31日。_x000a_Mombasa EMI USD1567/40GP (含EBS)，周四外港巴生转32天，价格到10月22日。"/>
    <s v="Mombasa"/>
    <m/>
    <n v="9"/>
    <s v="OK"/>
    <x v="1"/>
    <x v="1"/>
  </r>
  <r>
    <d v="2018-10-16T10:16:55"/>
    <x v="8"/>
    <x v="8"/>
    <n v="2881725314"/>
    <s v="埃及亚历山大港口20尺柜以及40尺柜"/>
    <s v="Alexandria SAF USD1075/1450 + EBS60/120，4洋山赛德港转27天，价格到10月31日。_x000a_Alexandria MSK USD1250/1800 + EBS60/120，周一/周二洋山赛德港转27天，价格到10月31日。"/>
    <s v="Alexandria"/>
    <m/>
    <n v="5"/>
    <s v="OK"/>
    <x v="1"/>
    <x v="1"/>
  </r>
  <r>
    <d v="2018-10-16T11:30:39"/>
    <x v="1"/>
    <x v="1"/>
    <n v="3003128015"/>
    <s v="大约20t 马塔迪 刚果金 高柜"/>
    <s v="Matadi MSK USD4720/40HQ (含EBS)，周二洋山黑角转43天，价格到10月31日。_x000a_Matadi CMA USD4863/40HQ + EBS110，周二洋山开瑞比转48天，价格到10月31日。"/>
    <s v="Matadi"/>
    <m/>
    <n v="44"/>
    <s v="OK"/>
    <x v="1"/>
    <x v="1"/>
  </r>
  <r>
    <d v="2018-10-16T11:39:30"/>
    <x v="1"/>
    <x v="1"/>
    <n v="3003128015"/>
    <s v="APAPA 大柜"/>
    <s v="Apapa HPL USD2500/40GP + EBS110，周六洋山丹吉尔转46天，价格到10月31日。_x000a_Apapa SAF USD3300/40GP + EBS120，周四外港直达36天，价格到10月31日。_x000a_Apapa ZIM USD3410/40GP + EBS150，周一外港直达34天，价格从10月22日到10月31日。"/>
    <s v="Apapa"/>
    <m/>
    <n v="44"/>
    <s v="OK"/>
    <x v="1"/>
    <x v="1"/>
  </r>
  <r>
    <d v="2018-10-16T13:05:17"/>
    <x v="17"/>
    <x v="19"/>
    <n v="289556410"/>
    <s v="Dar es salaam 40GP 10.18周四装箱"/>
    <s v="Dar Es Salaam HPL USD1300/40GP + EBS110，周日洋山迪拜转41天，价格到10月31日。_x000a_Dar Es Salaam CMA USD1650/40GP + EBS110，周日洋山新加坡转25天，价格到10月31日。"/>
    <s v="Dar es Salaam"/>
    <m/>
    <n v="1"/>
    <s v="OK"/>
    <x v="1"/>
    <x v="1"/>
  </r>
  <r>
    <d v="2018-10-16T15:04:34"/>
    <x v="18"/>
    <x v="20"/>
    <n v="2508797879"/>
    <s v="20GP  Durban EMI PIL"/>
    <s v="Durban EMC USD959/20GP (含EBS) + AMS30/BILL，周四洋山直达24天，价格从10月21日到10月31日。_x000a_Durban PIL USD988/20GP (含EBS) + AMS30/BILL，周四洋山直达24天，价格到10月31日。"/>
    <s v="Durban"/>
    <s v="价格好高都没拿下来"/>
    <n v="2"/>
    <s v="东莞"/>
    <x v="1"/>
    <x v="1"/>
  </r>
  <r>
    <d v="2018-10-16T15:05:01"/>
    <x v="1"/>
    <x v="1"/>
    <n v="3003128015"/>
    <s v="Dakar (SENEGAL) 一个大柜   HPL"/>
    <s v="Dakar HPL USD2900/40GP + EBS110，周六洋山丹吉尔转44天，价格到10月31日。_x000a_减150报"/>
    <s v="Dakar"/>
    <m/>
    <n v="44"/>
    <s v="OK"/>
    <x v="1"/>
    <x v="1"/>
  </r>
  <r>
    <d v="2018-10-16T16:12:42"/>
    <x v="2"/>
    <x v="2"/>
    <n v="2411667393"/>
    <s v="卡萨布兰卡 小柜7t"/>
    <s v="Casablanca SAF USD1025/20GP + EBS60，周三洋山丹吉尔转30天，价格到10月31日。_x000a_Casablanca MSC USD1050/20GP + EBS65，周日洋山沙特的阿卜杜拉国王港转35天，价格到10月31日。"/>
    <s v="Casablanca"/>
    <m/>
    <n v="3"/>
    <s v="苏州"/>
    <x v="1"/>
    <x v="1"/>
  </r>
  <r>
    <d v="2018-10-16T17:03:20"/>
    <x v="19"/>
    <x v="21"/>
    <n v="1308309518"/>
    <s v="Bamako, Mali Weight : 15 MT _x000a_Volume : 1x40 HQ"/>
    <s v="Abidjan 转 _x000a_SAF USD2950/40HQ + EBS120 + 转运费4652，周五洋山38+15天，价格到10月31日。_x000a_Dakar 转 _x000a_SAF USD3919/40HQ + EBS120 + 转运费4520，周一/五洋山36+15天，价格到10月31日。"/>
    <s v="Bamako"/>
    <m/>
    <n v="7"/>
    <s v="OK"/>
    <x v="1"/>
    <x v="1"/>
  </r>
  <r>
    <d v="2018-10-17T09:52:33"/>
    <x v="0"/>
    <x v="0"/>
    <n v="2355852338"/>
    <s v="黑角40hq 客户要cma"/>
    <s v="Pointe Noire CMA USD3363/40HQ + EBS110，周二洋山直达36天，价格到10月31日。"/>
    <s v="Pointe-Noire"/>
    <m/>
    <n v="5"/>
    <s v="OK"/>
    <x v="1"/>
    <x v="2"/>
  </r>
  <r>
    <d v="2018-10-17T10:18:06"/>
    <x v="20"/>
    <x v="22"/>
    <n v="2071192663"/>
    <s v="科托努"/>
    <s v="Cotonou CMA USD1813/3113 + EBS55/110，周五外四直达46天，价格到10月31日。_x000a_Cotonou COSCO USD1685/2760 + EBS60/120，周三外港直达38天，价格到10月31日。_x000a_Cotonou HPL USD1450/2200 + EBS55/110，周六洋山丹吉尔转44天，价格到10月31日。"/>
    <s v="Cotonou"/>
    <m/>
    <n v="2"/>
    <s v="OK"/>
    <x v="1"/>
    <x v="2"/>
  </r>
  <r>
    <d v="2018-10-17T10:18:06"/>
    <x v="20"/>
    <x v="22"/>
    <n v="2071192663"/>
    <s v="Lome"/>
    <s v="Lome CMA USD1813/3113 + EBS55/110，周五外四直达37天，价格到10月31日。_x000a_Lome COSCO USD1685/2760 + EBS60/120，周三外港直达38天，价格到10月31日。_x000a_Lome MSC USD1900/3000 + EBS65/130，周五外港直达35天，价格到10月31日。"/>
    <s v="Lome"/>
    <m/>
    <n v="2"/>
    <s v="OK"/>
    <x v="1"/>
    <x v="2"/>
  </r>
  <r>
    <d v="2018-10-17T15:13:11"/>
    <x v="1"/>
    <x v="1"/>
    <n v="3003128015"/>
    <s v="卡萨布兰卡(Kasablanka）40HQ"/>
    <s v="Casablanca SAF USD2000/40HQ + EBS120，周三洋山丹吉尔转30天，价格到10月31日。_x000a_Casablanca COSCO USD2150/40HQ (含EBS) + ENS25/BILL，周四/周六/周一洋山瓦伦西亚/阿尔赫西拉斯/巴塞罗那转30-44天，价格到10月31日。_x000a_Casablanca MSC USD2050/40HQ + EBS130，周日洋山沙特的阿卜杜拉国王港转35天，价格到10月31日。"/>
    <s v="Kasablanca"/>
    <m/>
    <n v="44"/>
    <s v="OK"/>
    <x v="1"/>
    <x v="2"/>
  </r>
  <r>
    <d v="2018-10-17T15:23:57"/>
    <x v="7"/>
    <x v="9"/>
    <n v="3002716532"/>
    <s v="Gaborone Botswana 20GP"/>
    <s v="Durban 转 Gaborone_x000a_COSCO USD890/20GP+EBS60+AMS30/BL+转运费 周四/周六洋山/外港24+15天，价格到10月31日。_x000a_SAF USD915/20GP + EBS60 + 转运费，周三洋山26+15天，价格到10月31日。"/>
    <s v="Barborone"/>
    <m/>
    <n v="9"/>
    <s v="OK"/>
    <x v="1"/>
    <x v="2"/>
  </r>
  <r>
    <d v="2018-10-17T16:27:11"/>
    <x v="21"/>
    <x v="23"/>
    <n v="306538476"/>
    <s v="约堡下周末或下下周小柜 13t"/>
    <s v="Durban 转 Johannesburg_x000a_HPL USD775/20GP + EBS55 + 转运费312，周四洋山27+15天，价格到10月31日。_x000a_EMC USD959/20GP (含EBS) + AMS30/BILL + 转运费251，周四洋山24+15天，价格到10月31日。"/>
    <s v="Johannesburg"/>
    <m/>
    <n v="1"/>
    <s v="宁波"/>
    <x v="1"/>
    <x v="2"/>
  </r>
  <r>
    <d v="2018-10-17T17:07:48"/>
    <x v="1"/>
    <x v="1"/>
    <n v="3003128015"/>
    <s v="卢旺达基加利  一个小柜13t"/>
    <s v="Dar Es Salaam 转 Kigali_x000a_EMI USD917/20GP (含EBS) + 转运费2400，周四外港32+15天，价格到10月31日。_x000a_PIL USD975/20GP (含EBS) + 转运费2500，周三外港25+15天，价格到10月31日。"/>
    <s v="Kigali"/>
    <m/>
    <n v="44"/>
    <s v="OK"/>
    <x v="1"/>
    <x v="2"/>
  </r>
  <r>
    <d v="2018-10-17T20:08:02"/>
    <x v="7"/>
    <x v="9"/>
    <n v="3002716532"/>
    <s v="Durban小柜"/>
    <s v="Durban HPL USD775/20GP + EBS55，周四洋山直达27天，价格到10月31日。_x000a_Durban MSC USD850/20GP + EBS65 + AMS25/BILL，周五外港直达27天，价格到10月31日。_x000a_Durban CMA USD913/20GP + EBS55，周三洋山直达25天，价格到10月31日。"/>
    <s v="Durban"/>
    <m/>
    <n v="9"/>
    <s v="OK"/>
    <x v="1"/>
    <x v="2"/>
  </r>
  <r>
    <d v="2018-10-22T09:43:48"/>
    <x v="1"/>
    <x v="1"/>
    <n v="3003128015"/>
    <s v="比绍 20GP MSK"/>
    <s v="Bissau MSK USD2785/20GP (含EBS)，周五洋山阿尔赫西拉斯转54-62天，价格到10月31日。"/>
    <s v="Bissau"/>
    <s v="11-2价格"/>
    <n v="44"/>
    <s v="OK"/>
    <x v="2"/>
    <x v="0"/>
  </r>
  <r>
    <d v="2018-10-22T15:38:16"/>
    <x v="7"/>
    <x v="7"/>
    <n v="3002787082"/>
    <s v="苏丹港 小柜"/>
    <s v="Port Sudan SAF USD948/20GP + EBS60，周二洋山丹戎帕拉帕斯港转33天，价格到10月31日。_x000a_Port Sudan MSK USD1168/20GP (含EBS)，周二洋山丹戎帕拉帕斯港转33天，价格到10月31日。"/>
    <s v="Sudan"/>
    <m/>
    <n v="3"/>
    <s v="OK"/>
    <x v="2"/>
    <x v="0"/>
  </r>
  <r>
    <d v="2018-10-23T09:40:54"/>
    <x v="14"/>
    <x v="15"/>
    <n v="2880488446"/>
    <s v="阿尔及尔 小柜"/>
    <s v="Alger COSCO USD1175/20GP (含EBS) + ENS25/BILL，周日洋山比雷埃夫斯/瓦伦西亚转33-39天，价格到10月31日。_x000a_Alger MSC USD1350/20GP + EBS65，周日洋山沙特的阿卜杜拉国王港转29天，价格到10月31日。_x000a_Alger MSK USD1375/20GP + EBS60，周日/周二洋山马耳他转37天，价格到10月31日。"/>
    <s v="Algiers"/>
    <m/>
    <n v="5"/>
    <s v="OK"/>
    <x v="2"/>
    <x v="1"/>
  </r>
  <r>
    <d v="2018-10-23T10:49:28"/>
    <x v="19"/>
    <x v="21"/>
    <n v="1308309518"/>
    <s v="Algeria 1*45HQ"/>
    <s v="Alger MSK USD3550/45HQ + EBS120，周日/周二洋山马耳他转37天，价格到10月31日。"/>
    <s v="Algiers"/>
    <m/>
    <n v="7"/>
    <s v="OK"/>
    <x v="2"/>
    <x v="1"/>
  </r>
  <r>
    <d v="2018-10-23T11:06:02"/>
    <x v="6"/>
    <x v="6"/>
    <n v="2851795176"/>
    <s v="DAKAR,20GP,MSK"/>
    <s v="Dakar MSK USD2727/20GP (含EBS)，周一外港赛德东转40天，价格从11月1日到11月18日。"/>
    <s v="Dakar"/>
    <m/>
    <n v="3"/>
    <s v="南京"/>
    <x v="2"/>
    <x v="1"/>
  </r>
  <r>
    <d v="2018-10-23T13:31:07"/>
    <x v="7"/>
    <x v="7"/>
    <n v="3002787082"/>
    <s v="德班大小柜"/>
    <s v="Durban HPL USD775/1350 + EBS55/110，周四洋山直达27天，价格到10月31日。_x000a_Durban MSC USD850/1700 + EBS65/130 + AMS25/BILL，周五外港直达27天，价格到10月31日。_x000a_Durban ZIM USD860/1560 + EBS75/150 + AMS30/BILL，周六外港直达24天，价格到10月31日。"/>
    <s v="Durban"/>
    <m/>
    <n v="3"/>
    <s v="OK"/>
    <x v="2"/>
    <x v="1"/>
  </r>
  <r>
    <d v="2018-10-23T14:23:01"/>
    <x v="1"/>
    <x v="1"/>
    <n v="3003128015"/>
    <s v="德班的40高柜"/>
    <s v="Durban HPL USD1350/40HQ + EBS110，周四洋山直达27天，价格到10月31日。_x000a_Durban ZIM USD1560/40HQ + EBS150 + AMS30/BILL，周六外港直达24天，价格到10月31日。"/>
    <s v="Durban"/>
    <m/>
    <n v="44"/>
    <s v="OK"/>
    <x v="2"/>
    <x v="1"/>
  </r>
  <r>
    <d v="2018-10-23T15:28:07"/>
    <x v="22"/>
    <x v="24"/>
    <n v="645267409"/>
    <s v="Lagos 40HC"/>
    <s v="Apapa HPL USD2500/40HQ + EBS110，周六洋山丹吉尔转46天，价格到10月31日。_x000a_Apapa OOCL USD2900/40HQ (含EBS)，周一外港直达34天，价格到11月5日。_x000a_Apapa SAF USD3300/40HQ + EBS120，周四外港直达36天，价格到10月31日。"/>
    <s v="Lagos"/>
    <s v="下月价格"/>
    <n v="1"/>
    <s v="OK"/>
    <x v="2"/>
    <x v="1"/>
  </r>
  <r>
    <d v="2018-10-24T09:46:28"/>
    <x v="1"/>
    <x v="1"/>
    <n v="3003128015"/>
    <s v="塞拉利昂Freetown 指定MSK 小柜"/>
    <s v="Freetown MSK USD1940/20GP (含EBS)，周一洋山赛德东转44天，价格到10月31日。"/>
    <s v="Freetown"/>
    <m/>
    <n v="44"/>
    <s v="OK"/>
    <x v="2"/>
    <x v="2"/>
  </r>
  <r>
    <d v="2018-10-24T11:24:14"/>
    <x v="1"/>
    <x v="1"/>
    <n v="3003128015"/>
    <s v="苏丹的40HQ的费用。PIL"/>
    <s v="1900+DHTC210预付 周四洋山吉达转30天到，11月1号的价格"/>
    <s v="Sudan"/>
    <m/>
    <n v="44"/>
    <s v="OK"/>
    <x v="2"/>
    <x v="2"/>
  </r>
  <r>
    <d v="2018-10-24T12:04:13"/>
    <x v="23"/>
    <x v="25"/>
    <n v="47733440"/>
    <s v="报我个APAPA价格好伐"/>
    <s v="Apapa OOCL USD1725/2900 (含EBS)，周一外港直达34天，价格到11月5日。_x000a_Apapa HPL USD1750/2500 + EBS55/110，周六洋山丹吉尔转46天，价格到10月31日。_x000a_Apapa SAF USD2125/3300 + EBS60/120，周四外港直达36天，价格到10月31日。"/>
    <s v="Apapa"/>
    <m/>
    <n v="1"/>
    <s v="OK"/>
    <x v="2"/>
    <x v="2"/>
  </r>
  <r>
    <d v="2018-10-24T14:40:12"/>
    <x v="1"/>
    <x v="1"/>
    <n v="3003128015"/>
    <s v="德班下个月的40HQ"/>
    <s v="Durban PIL USD1913/40HQ (含EBS) + AMS30/BILL，周四洋山直达24天，价格从11月1日到11月15日。_x000a_Durban ONE USD1965/40HQ (含EBS) + AMS35/BILL，周四洋山直达24天，价格从11月1日到11月7日。_x000a_Durban EMC USD2059/40HQ (含EBS) + AMS30/BILL，周四洋山直达24天，价格从11月1日到11月10日。"/>
    <s v="Durban"/>
    <s v="新的低价"/>
    <n v="44"/>
    <s v="OK"/>
    <x v="2"/>
    <x v="2"/>
  </r>
  <r>
    <d v="2018-10-24T15:23:15"/>
    <x v="1"/>
    <x v="1"/>
    <n v="3003128015"/>
    <s v="开普敦的大柜"/>
    <s v="Capetown PIL USD1963/40GP (含EBS) + AMS30/BILL，周六外港新加坡转30天，价格从11月1日到11月15日。_x000a_Capetown ONE USD1965/40GP (含EBS) + AMS35/BILL，周四洋山新加坡转32天，价格从11月1日到11月7日。_x000a_Capetown EMC USD2059/40GP (含EBS) + AMS30/BILL，周四洋山新加坡转34天，价格从11月1日到11月10日。"/>
    <s v="Capetown"/>
    <s v="新的低价"/>
    <n v="44"/>
    <s v="OK"/>
    <x v="2"/>
    <x v="2"/>
  </r>
  <r>
    <d v="2018-10-24T15:56:41"/>
    <x v="1"/>
    <x v="1"/>
    <n v="3003128015"/>
    <s v="蒙巴萨 40HQ"/>
    <s v="Mombasa HPL USD1300/40HQ + EBS110，周日洋山迪拜转39天，价格到10月31日。_x000a_Mombasa MSC USD1406/40HQ + EBS130，周五洋山德班转38天，价格到10月31日。_x000a_Mombasa EMI USD1567/40HQ (含EBS)，周四外港巴生转32天，价格从11月1日到11月5日。"/>
    <s v="Mombasa"/>
    <s v="新的低价"/>
    <n v="44"/>
    <s v="OK"/>
    <x v="2"/>
    <x v="2"/>
  </r>
  <r>
    <d v="2018-10-24T16:00:54"/>
    <x v="18"/>
    <x v="20"/>
    <n v="2508797879"/>
    <s v="1*40GP+1*20GP Durban  要求14天免柜11月之后"/>
    <s v="Durban PIL USD1038/1913 (含EBS) + AMS30/BILL，周四洋山直达24天，价格从11月1日到11月15日。_x000a_Durban ONE USD1040/1965 (含EBS) + AMS35/BILL，周四洋山直达24天，价格从11月1日到11月7日。_x000a_Durban EMC USD1000/1950 (含EBS) + AMS30/BILL，周四洋山直达24天，价格从11月1日到11月15日。"/>
    <s v="Durban"/>
    <s v="11月价格"/>
    <n v="2"/>
    <s v="东莞"/>
    <x v="2"/>
    <x v="2"/>
  </r>
  <r>
    <d v="2018-10-24T16:02:01"/>
    <x v="1"/>
    <x v="1"/>
    <n v="3003128015"/>
    <s v="坎帕拉 40HQ 8t"/>
    <s v="Mombasa 转 _x000a_EMI USD1567/40HQ (含EBS) + 转运费3100，周四外港32+15天，价格从11月1日到11月5日。_x000a_EMC USD1650/40HQ (含EBS) + 转运费3600，周四外港30+15天，价格从11月1日到11月10日。"/>
    <s v="Kampala"/>
    <m/>
    <n v="44"/>
    <s v="OK"/>
    <x v="2"/>
    <x v="2"/>
  </r>
  <r>
    <d v="2018-10-24T16:05:08"/>
    <x v="24"/>
    <x v="26"/>
    <n v="953332168"/>
    <s v="吉大 卷钢 27吨 小柜"/>
    <s v="MCC 755/20GP + DDF 30/BILL + 超重费50   周一周四外港9天直达价格到11月5号"/>
    <m/>
    <m/>
    <n v="1"/>
    <s v="OK"/>
    <x v="2"/>
    <x v="2"/>
  </r>
  <r>
    <d v="2018-10-24T16:25:16"/>
    <x v="8"/>
    <x v="8"/>
    <n v="2881725314"/>
    <s v="Conakry 一个小柜"/>
    <s v="Conakry PIL USD2210/20GP (含EBS)，周三外港洛美转45天，价格从10月29日到10月31日。_x000a_Conakry COSCO USD2210/20GP + EBS60，周三外港洛美转42天，价格到10月31日。_x000a_Conakry MSC USD2265/20GP + EBS65，周五外港瓦伦西亚转50-60天，价格到10月31日。"/>
    <s v="Conakry"/>
    <s v="11月价格"/>
    <n v="5"/>
    <s v="OK"/>
    <x v="2"/>
    <x v="2"/>
  </r>
  <r>
    <d v="2018-10-24T16:51:15"/>
    <x v="14"/>
    <x v="15"/>
    <n v="2880488446"/>
    <s v="拉各斯 20GP 40GP"/>
    <s v="Apapa OOCL USD1725/2900 (含EBS)，周一外港直达34天，价格到11月5日。_x000a_Apapa HPL USD1750/2500 + EBS55/110，周六洋山丹吉尔转46天，价格到10月31日。_x000a_Apapa SAF USD2125/3300 + EBS60/120，周四外港直达36天，价格到10月31日。"/>
    <s v="Lagos"/>
    <s v="11月价格"/>
    <n v="5"/>
    <s v="OK"/>
    <x v="2"/>
    <x v="2"/>
  </r>
  <r>
    <d v="2018-10-24T17:18:47"/>
    <x v="1"/>
    <x v="1"/>
    <n v="3003128015"/>
    <s v="卢萨卡 LUSAKA 一个高柜 10t"/>
    <s v="Dar Es Salaam 转 _x000a_EMI USD1617/40HQ (含EBS) + 转运费5350，周四外港32+15天，价格从11月1日到11月5日。"/>
    <s v="Lusaka"/>
    <m/>
    <n v="44"/>
    <s v="OK"/>
    <x v="2"/>
    <x v="2"/>
  </r>
  <r>
    <d v="2018-10-25T10:19:02"/>
    <x v="1"/>
    <x v="1"/>
    <n v="3003128015"/>
    <s v="20尺的柜 吉布提"/>
    <s v="cosco 900 加ebs68 洋山直达21天"/>
    <s v="Djibouti"/>
    <m/>
    <n v="44"/>
    <s v="OK"/>
    <x v="2"/>
    <x v="3"/>
  </r>
  <r>
    <d v="2018-10-25T10:37:13"/>
    <x v="19"/>
    <x v="21"/>
    <n v="1308309518"/>
    <s v="Libreville (Gabon) ,2X20GP,20T"/>
    <s v="Libreville MSK USD1935/20GP (含EBS)，周二洋山黑角转45天，价格到10月31日。_x000a_Libreville SAF USD1900/20GP + EBS60，周二洋山黑角转45天，价格到10月31日。_x000a_Libreville MSC USD1900/20GP + EBS65，周五外港洛美转50天，价格到10月31日。"/>
    <s v="Libreville"/>
    <s v="新的低价"/>
    <n v="7"/>
    <s v="OK"/>
    <x v="2"/>
    <x v="3"/>
  </r>
  <r>
    <d v="2018-10-25T14:39:55"/>
    <x v="1"/>
    <x v="1"/>
    <n v="3003128015"/>
    <s v="Dar Es Salaam, Tanzania的CIF价格、小柜、16吨"/>
    <s v="Dar Es Salaam SAF USD850/20GP + EBS60，周四洋山新加坡转26-32天，价格到10月31日。_x000a_Dar Es Salaam EMI USD917/20GP (含EBS)，周四外港巴生转32天，价格从11月1日到11月5日。"/>
    <s v="Dar es Salaam"/>
    <s v="新的低价"/>
    <n v="44"/>
    <s v="OK"/>
    <x v="2"/>
    <x v="3"/>
  </r>
  <r>
    <d v="2018-10-25T15:29:22"/>
    <x v="1"/>
    <x v="1"/>
    <n v="3003128015"/>
    <s v="阿尔及尔的20尺柜和40尺高柜"/>
    <s v="Alger CMA USD1675/3150/3225 + EBS55/110，周四洋山马耳他转36天，价格到10月31日。_x000a_Alger MSC USD1350/2600/2650 + EBS65/130，周日洋山沙特的阿卜杜拉国王港转29天，价格到10月31日。_x000a_Alger MSK USD1375/2650/2700 + EBS60/120，周日/周二洋山马耳他转37天，价格到10月31日。"/>
    <s v="Algiers"/>
    <s v="新的低价"/>
    <n v="44"/>
    <s v="OK"/>
    <x v="2"/>
    <x v="3"/>
  </r>
  <r>
    <d v="2018-10-25T16:01:19"/>
    <x v="0"/>
    <x v="0"/>
    <n v="2355852338"/>
    <s v="利伯维尔 3个高柜 11月的船"/>
    <s v="Libreville PIL USD4220/40HQ (含EBS)，周一洋山黑角转62天，价格到11月14日。"/>
    <s v="Libreville"/>
    <s v="已1029，跟了好久了"/>
    <n v="5"/>
    <s v="OK"/>
    <x v="2"/>
    <x v="3"/>
  </r>
  <r>
    <d v="2018-10-25T16:31:22"/>
    <x v="7"/>
    <x v="9"/>
    <n v="3002716532"/>
    <s v="40HQ去Tema最近"/>
    <s v="oocl 11月5号2950 外港直达42天"/>
    <s v="Tema"/>
    <s v="11月份货还没好，好了再问你"/>
    <n v="9"/>
    <s v="OK"/>
    <x v="2"/>
    <x v="3"/>
  </r>
  <r>
    <d v="2018-10-25T16:57:53"/>
    <x v="0"/>
    <x v="0"/>
    <n v="2355852338"/>
    <s v="德班的40尺高柜"/>
    <s v="Durban HPL USD1750/40HQ + EBS110，周四洋山直达27天，价格从11月1日到11月14日。_x000a_Durban PIL USD1863/40HQ (含EBS) + AMS30/BILL，周四洋山直达24天，价格从11月1日到11月15日。_x000a_Durban CMA USD1763/40HQ + EBS110 + AMS35/BILL，周三洋山直达25天，价格从11月1日到11月14日。"/>
    <s v="Durban"/>
    <s v="新的低价"/>
    <n v="5"/>
    <s v="OK"/>
    <x v="2"/>
    <x v="3"/>
  </r>
  <r>
    <d v="2018-10-25T16:57:53"/>
    <x v="0"/>
    <x v="0"/>
    <n v="2355852338"/>
    <s v="纳米比亚鲸湾港的40尺高柜"/>
    <s v="Walvis Bay COSCO USD3310/40HQ + EBS120，周三外港直达30天，价格到11月18日。_x000a_Walvis Bay CMA USD3563/40HQ + EBS110，周四外四直达32天，价格到11月18日。"/>
    <s v="Walvis Bay"/>
    <s v="新的低价"/>
    <n v="5"/>
    <s v="OK"/>
    <x v="2"/>
    <x v="3"/>
  </r>
  <r>
    <d v="2018-10-25T17:00:29"/>
    <x v="2"/>
    <x v="2"/>
    <n v="2411667393"/>
    <s v="吉布提 40GP"/>
    <s v="Walvis Bay CMA USD3563/40HQ + EBS110，周四外四直达32天，价格到11月18日。"/>
    <s v="Djibouti"/>
    <m/>
    <n v="3"/>
    <s v="苏州"/>
    <x v="2"/>
    <x v="3"/>
  </r>
  <r>
    <d v="2018-10-25T17:08:02"/>
    <x v="19"/>
    <x v="21"/>
    <n v="1308309518"/>
    <s v="上海到mombasa 一小一高"/>
    <s v="Mombasa BLINE USD775/ + EBS50/100，周四外港直达30天，价格到10月31日。_x000a_Mombasa EMI USD892/1567 (含EBS)，周四外港巴生转32天，价格从11月1日到11月5日。_x000a_Mombasa SAF USD850/1500 + EBS60/120，周四洋山新加坡转23天，价格到10月31日。"/>
    <s v="Mombasa"/>
    <s v="新的低价"/>
    <n v="7"/>
    <s v="OK"/>
    <x v="2"/>
    <x v="3"/>
  </r>
  <r>
    <d v="2018-10-25T17:09:26"/>
    <x v="19"/>
    <x v="21"/>
    <n v="1308309518"/>
    <s v="ICD Nairobi 1x20GP  6322KG"/>
    <s v="Mombasa 转 _x000a_EMI USD892/20GP (含EBS) + 转运费630，周四外港32+15天，价格从11月1日到11月5日。_x000a_EMC USD950/20GP (含EBS) + 转运费600，周四外港30+15天，价格从11月1日到11月10日。"/>
    <s v="Nairobi"/>
    <m/>
    <n v="7"/>
    <s v="OK"/>
    <x v="2"/>
    <x v="3"/>
  </r>
  <r>
    <d v="2018-10-25T17:31:32"/>
    <x v="10"/>
    <x v="11"/>
    <n v="297961898"/>
    <s v="APAPA 什么价格"/>
    <s v="Apapa SAF USD2125/3300 + EBS60/120，周四外港直达36天，价格到10月31日。_x000a_Apapa HPL USD2255/3360 + EBS55/110，周六洋山丹吉尔转46天，价格到10月31日。_x000a_Apapa OOCL USD2325/3350 (含EBS)，周一外港直达34天，价格到11月5日。"/>
    <s v="Apapa"/>
    <s v="新的低价"/>
    <n v="3"/>
    <s v="OK"/>
    <x v="2"/>
    <x v="3"/>
  </r>
  <r>
    <d v="2018-10-26T10:15:37"/>
    <x v="1"/>
    <x v="1"/>
    <n v="3003128015"/>
    <s v="FREETOWN，MSK   小柜  11月价格"/>
    <s v="Freetown MSK USD2465/20GP (含EBS)，周一洋山赛德东转44天，价格从11月1日到11月18日。"/>
    <s v="Freetown"/>
    <m/>
    <n v="44"/>
    <s v="OK"/>
    <x v="2"/>
    <x v="4"/>
  </r>
  <r>
    <d v="2018-10-26T10:38:20"/>
    <x v="15"/>
    <x v="17"/>
    <n v="341474889"/>
    <s v="布基纳法索 -博博迪乌拉索"/>
    <s v="不去"/>
    <s v="Bobo-Dioulasso"/>
    <m/>
    <n v="2"/>
    <s v="OK"/>
    <x v="2"/>
    <x v="4"/>
  </r>
  <r>
    <d v="2018-10-26T14:04:19"/>
    <x v="19"/>
    <x v="21"/>
    <n v="1308309518"/>
    <s v="Mombasa 1x40FR 19t 2.8*2.8*2.5m"/>
    <s v="…"/>
    <s v="Mombasa"/>
    <m/>
    <n v="7"/>
    <s v="OK"/>
    <x v="2"/>
    <x v="4"/>
  </r>
  <r>
    <d v="2018-10-26T14:42:11"/>
    <x v="1"/>
    <x v="1"/>
    <n v="3003128015"/>
    <s v="摩加迪沙20GP"/>
    <s v="Mogadishu CMA USD1775/20GP + EBS55，周四/周日外港/洋山丹戎帕拉帕斯港/新加坡转33天，价格从11月1日到11月14日。_x000a_Mogadishu BLINE USD1850/20GP + EBS50，周三外港迪拜转35天，价格到11月4日。"/>
    <s v="Mogadishu"/>
    <s v="MSC 价格"/>
    <n v="44"/>
    <s v="OK"/>
    <x v="2"/>
    <x v="4"/>
  </r>
  <r>
    <d v="2018-10-26T15:47:50"/>
    <x v="1"/>
    <x v="1"/>
    <n v="3003128015"/>
    <s v="蒙巴萨20GP"/>
    <s v="Mombasa BLINE USD775/20GP + EBS50，周四外港直达30天，价格到11月4日。_x000a_Mombasa EMI USD892/20GP (含EBS)，周四/周四外港/外港直达/巴生转25/32天，价格从11月1日到11月5日。_x000a_Mombasa EMC USD950/20GP (含EBS)，周四外港直达30天，价格从11月1日到11月7日。"/>
    <s v="Mombasa"/>
    <s v="新的低价_x000a_BLINE 下周四能不能订"/>
    <n v="44"/>
    <s v="OK"/>
    <x v="2"/>
    <x v="4"/>
  </r>
  <r>
    <d v="2018-10-26T15:55:29"/>
    <x v="8"/>
    <x v="27"/>
    <n v="2881725310"/>
    <s v="40尺柜，CIF Benghazi Libya"/>
    <s v="Benghazi CMA USD3150/40GP + EBS110，周一洋山马耳他转36天，价格从11月1日到11月14日。_x000a_Benghazi HPL价格 USD2450/40GP+EBS110+战争附加费USD130，到14号"/>
    <s v="Benghazi"/>
    <m/>
    <n v="1"/>
    <s v="OK"/>
    <x v="2"/>
    <x v="4"/>
  </r>
  <r>
    <d v="2018-10-26T16:19:07"/>
    <x v="14"/>
    <x v="15"/>
    <n v="2880488446"/>
    <s v="TANGER  40HQ"/>
    <s v="Port Tangier SAF USD2200/40HQ + EBS120，周五洋山直达23天，价格从11月1日到11月15日。_x000a_Port Tangier MSK USD2225/40HQ + EBS120，周五洋山直达24天，价格从11月1日到11月15日。_x000a_Port Tangier CMA USD2675/40HQ + EBS110，周日洋山阿尔赫西拉斯转30天，价格从11月1日到11月14日。"/>
    <s v="Tangier"/>
    <m/>
    <n v="5"/>
    <s v="OK"/>
    <x v="2"/>
    <x v="4"/>
  </r>
  <r>
    <d v="2018-10-26T17:12:19"/>
    <x v="1"/>
    <x v="1"/>
    <n v="3003128015"/>
    <s v="Cotonou in Benin (West Africa)，40HQ"/>
    <s v="Cotonou HPL USD2800/40HQ + EBS110，周六洋山丹吉尔转44天，价格从11月1日到11月14日。_x000a_Cotonou COSCO USD3510/40HQ + EBS120，周三外港直达38天，价格从11月1日到11月18日。_x000a_Cotonou CMA USD3863/40HQ + EBS110，周五外四直达46天，价格从11月1日到11月18日。"/>
    <s v="Cotonou"/>
    <s v="新的低价"/>
    <n v="44"/>
    <s v="OK"/>
    <x v="2"/>
    <x v="4"/>
  </r>
  <r>
    <d v="2018-10-29T10:00:48"/>
    <x v="8"/>
    <x v="8"/>
    <n v="2881725314"/>
    <s v="Port Sudan 40GP"/>
    <s v="Port Sudan SAF USD1513/40GP + EBS120，周二洋山丹戎帕拉帕斯港转33天，价格到11月15日。_x000a_PIL 1800+DHTC210预付，洋山吉达转30天11-1价格"/>
    <s v="Sudan"/>
    <m/>
    <n v="5"/>
    <s v="OK"/>
    <x v="3"/>
    <x v="0"/>
  </r>
  <r>
    <d v="2018-10-29T10:04:20"/>
    <x v="1"/>
    <x v="1"/>
    <n v="3003128015"/>
    <s v="Port Sudan 40HQ"/>
    <s v="Port Sudan SAF USD1513/40HQ + EBS120，周二洋山丹戎帕拉帕斯港转33天，价格到11月15日。_x000a_PIL 1800+DHTC210预付，洋山吉达转30天11-1价格"/>
    <s v="Sudan"/>
    <m/>
    <n v="44"/>
    <s v="OK"/>
    <x v="3"/>
    <x v="0"/>
  </r>
  <r>
    <d v="2018-10-29T10:58:32"/>
    <x v="25"/>
    <x v="28"/>
    <n v="583103951"/>
    <s v="11月CMA  去  科纳克里小柜价格"/>
    <s v="Conakry CMA USD2638/20GP + EBS55，周日洋山阿尔赫西拉斯转42天，价格到11月18日。"/>
    <s v="Conakry"/>
    <m/>
    <n v="1"/>
    <s v="OK"/>
    <x v="3"/>
    <x v="0"/>
  </r>
  <r>
    <d v="2018-10-29T11:46:20"/>
    <x v="1"/>
    <x v="1"/>
    <n v="3003128015"/>
    <s v="8类危险品整柜到尼日尼亚拉各斯四羟甲基硫酸膦 29313990 20GP"/>
    <s v="MSK 危险品附加费USD150_x000a_Apapa MSK USD2910/20GP (含EBS)，周四外港直达36天，价格到11月18日。"/>
    <s v="Lagos"/>
    <m/>
    <n v="44"/>
    <s v="OK"/>
    <x v="3"/>
    <x v="0"/>
  </r>
  <r>
    <d v="2018-10-29T13:45:30"/>
    <x v="26"/>
    <x v="29"/>
    <n v="372202948"/>
    <s v="ONNE 1*20GP"/>
    <s v="Onne MSK USD2510/20GP (含EBS)，周四外港直达41天，价格到11月18日。_x000a_Onne CMA USD2488/20GP + EBS55，周四外四直达39天，价格到11月18日。_x000a_Onne COSCO USD2660/20GP + EBS60，周三外港洛美转46天，价格到11月18日。"/>
    <s v="Onne"/>
    <m/>
    <n v="2"/>
    <s v="OK"/>
    <x v="3"/>
    <x v="0"/>
  </r>
  <r>
    <d v="2018-10-29T13:45:55"/>
    <x v="7"/>
    <x v="9"/>
    <n v="3002716532"/>
    <s v="Gaborone Botswana  小柜大柜"/>
    <s v="Durban 转 _x000a_COSCO USD890/1780 + EBS60/120 + AMS30/BILL + 转运费1500/2600，周四/周六洋山/外港24+15天"/>
    <s v="Gaborone"/>
    <m/>
    <n v="9"/>
    <s v="OK"/>
    <x v="3"/>
    <x v="0"/>
  </r>
  <r>
    <d v="2018-10-29T15:33:28"/>
    <x v="8"/>
    <x v="8"/>
    <n v="2881725314"/>
    <s v="Kampala Uganda  40GP 5t"/>
    <s v="Mombasa 转 _x000a_EMI USD1567/40GP (含EBS) + 转运费3100，周四/周四外港/外港25/32+15天，价格到11月5日。_x000a_EMC USD1650/40GP (含EBS) + 转运费3600，周四外港30+15天，价格到11月7日。"/>
    <s v="Kampala"/>
    <m/>
    <n v="5"/>
    <s v="OK"/>
    <x v="3"/>
    <x v="0"/>
  </r>
  <r>
    <d v="2018-10-29T17:18:55"/>
    <x v="26"/>
    <x v="29"/>
    <n v="372202948"/>
    <s v="南非德班  40GP圣延节礼物"/>
    <s v="Durban COSCO USD1750/40GP + EBS120 + AMS30/BILL，周四/周六洋山/外港直达24天，价格到11月14日。_x000a_Durban EMC USD1859/40GP (含EBS) + AMS30/BILL，周四洋山直达24天，价格到11月14日。_x000a_Durban HPL USD1750/40GP + EBS110，周四洋山直达27天，价格到11月14日。"/>
    <s v="Durban"/>
    <m/>
    <n v="2"/>
    <s v="OK"/>
    <x v="3"/>
    <x v="0"/>
  </r>
  <r>
    <d v="2018-11-02T10:14:57"/>
    <x v="27"/>
    <x v="30"/>
    <n v="599796523"/>
    <s v="TINCAN 小柜"/>
    <s v="Tincan HPL USD2255/20GP + EBS55，周六洋山丹吉尔转48天，价格到11月14日。_x000a_Tincan ONE USD2740/20GP (含EBS)，周二外港直达36天，价格到11月7日。_x000a_Tincan COSCO USD2760/20GP + EBS60，周二外港直达36天，价格到11月18日。"/>
    <s v="Tincan"/>
    <m/>
    <n v="1"/>
    <s v="OK"/>
    <x v="3"/>
    <x v="4"/>
  </r>
  <r>
    <d v="2018-11-02T10:36:21"/>
    <x v="19"/>
    <x v="21"/>
    <n v="1308309518"/>
    <s v="APAPA PORT , NIGERIA 20GP 24tons 说11月份能走80个，不要cosco hpl，要目的港28天"/>
    <s v="ONE 2715 ALL IN 周二外港直达34天，如果有具体的出货计划的话，应该是可以申请价格的"/>
    <s v="Apapa"/>
    <m/>
    <n v="7"/>
    <s v="OK"/>
    <x v="3"/>
    <x v="4"/>
  </r>
  <r>
    <d v="2018-11-02T10:50:14"/>
    <x v="28"/>
    <x v="31"/>
    <n v="2231954274"/>
    <s v="内罗毕 20和40尺"/>
    <s v="Mombasa 转 _x000a_EMC USD950/1650 (含EBS) + 转运费600/800，周四外港30+15天，价格到11月14日。_x000a_EMI USD967/1667 (含EBS) + 转运费630/810，周四/周四外港/外港25/32+15天，价格从11月7日到14日。"/>
    <s v="Nairobi"/>
    <m/>
    <n v="1"/>
    <s v="OK"/>
    <x v="3"/>
    <x v="4"/>
  </r>
  <r>
    <d v="2018-11-12T10:23:24"/>
    <x v="29"/>
    <x v="32"/>
    <n v="409265438"/>
    <s v="40HQ 上海到CASABLANCA"/>
    <s v="Casablanca COSCO USD2000/40HQ (含EBS) + ENS25/BILL，周日洋山比雷埃夫斯转30-44天，价格到11月30日。_x000a_Casablanca MSK USD2125/40HQ + EBS120，周五洋山丹吉尔转31天，价格到11月30日。_x000a_Casablanca SAF USD2200/40HQ + EBS120，周三洋山丹吉尔转30天，价格到11月15日。"/>
    <s v="Casablanca"/>
    <m/>
    <n v="1"/>
    <s v="OK"/>
    <x v="4"/>
    <x v="0"/>
  </r>
  <r>
    <d v="2018-11-13T13:22:42"/>
    <x v="30"/>
    <x v="33"/>
    <n v="1224031008"/>
    <s v="Cotonou 20gp 40gp hpl"/>
    <s v="Cotonou HPL USD1950/3000 + EBS55/110，周六洋山丹吉尔转44天，价格到11月30日。"/>
    <s v="Cotonou"/>
    <m/>
    <n v="1"/>
    <s v="OK"/>
    <x v="4"/>
    <x v="1"/>
  </r>
  <r>
    <d v="2018-11-15T08:32:27"/>
    <x v="31"/>
    <x v="34"/>
    <n v="331810151"/>
    <s v="蒙巴萨  40HQ"/>
    <s v="Mombasa OOCL USD1500/40HQ (含EBS)，周三外港直达25天，价格从11月21日到11月28日。_x000a_Mombasa EMI USD1617/40HQ (含EBS)，周四/周四外港/外港直达/巴生转25/32天，价格从11月22日到11月28日。"/>
    <s v="Mombasa"/>
    <m/>
    <n v="1"/>
    <s v="OK"/>
    <x v="4"/>
    <x v="3"/>
  </r>
  <r>
    <d v="2018-11-20T15:35:00"/>
    <x v="32"/>
    <x v="35"/>
    <n v="1551072268"/>
    <s v="上海CMA TINCAN 40HQ 多少下周"/>
    <s v="Tincan CMA USD4388/40HQ + EBS110，周四外四直达36天，价格到11月30日。"/>
    <s v="Tincan"/>
    <m/>
    <n v="1"/>
    <s v="OK"/>
    <x v="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B2E747-1AB5-427F-AC3D-2DAED1B1D5E4}" name="PivotTable3" cacheId="12" applyNumberFormats="0" applyBorderFormats="0" applyFontFormats="0" applyPatternFormats="0" applyAlignmentFormats="0" applyWidthHeightFormats="1" dataCaption="Values" grandTotalCaption="合计" updatedVersion="6" minRefreshableVersion="3" useAutoFormatting="1" itemPrintTitles="1" createdVersion="6" indent="0" showHeaders="0" outline="1" outlineData="1" multipleFieldFilters="0">
  <location ref="J1:Q39" firstHeaderRow="1" firstDataRow="2" firstDataCol="1"/>
  <pivotFields count="12">
    <pivotField dataField="1" numFmtId="188" showAll="0"/>
    <pivotField showAll="0"/>
    <pivotField axis="axisRow" showAll="0" sortType="descending">
      <items count="39">
        <item x="2"/>
        <item x="5"/>
        <item x="4"/>
        <item x="6"/>
        <item x="8"/>
        <item x="3"/>
        <item x="0"/>
        <item x="1"/>
        <item x="7"/>
        <item x="9"/>
        <item x="10"/>
        <item x="11"/>
        <item x="12"/>
        <item x="13"/>
        <item x="14"/>
        <item x="16"/>
        <item x="15"/>
        <item x="17"/>
        <item x="18"/>
        <item x="19"/>
        <item x="20"/>
        <item m="1" x="36"/>
        <item m="1" x="37"/>
        <item x="22"/>
        <item x="23"/>
        <item x="24"/>
        <item x="25"/>
        <item x="26"/>
        <item x="27"/>
        <item x="28"/>
        <item x="29"/>
        <item x="21"/>
        <item x="30"/>
        <item x="31"/>
        <item x="32"/>
        <item x="33"/>
        <item x="34"/>
        <item x="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numFmtId="181" showAll="0"/>
    <pivotField showAll="0"/>
    <pivotField axis="axisCol" numFmtId="181" showAll="0">
      <items count="21">
        <item m="1" x="6"/>
        <item m="1" x="15"/>
        <item m="1" x="16"/>
        <item m="1" x="17"/>
        <item m="1" x="18"/>
        <item m="1" x="19"/>
        <item m="1" x="11"/>
        <item m="1" x="7"/>
        <item m="1" x="12"/>
        <item m="1" x="8"/>
        <item m="1" x="13"/>
        <item m="1" x="9"/>
        <item m="1" x="14"/>
        <item m="1" x="10"/>
        <item x="0"/>
        <item x="1"/>
        <item x="2"/>
        <item x="3"/>
        <item x="4"/>
        <item x="5"/>
        <item t="default"/>
      </items>
    </pivotField>
    <pivotField numFmtId="181" showAll="0"/>
  </pivotFields>
  <rowFields count="1">
    <field x="2"/>
  </rowFields>
  <rowItems count="37">
    <i>
      <x v="7"/>
    </i>
    <i>
      <x v="9"/>
    </i>
    <i>
      <x v="31"/>
    </i>
    <i>
      <x v="4"/>
    </i>
    <i>
      <x v="6"/>
    </i>
    <i>
      <x v="16"/>
    </i>
    <i>
      <x/>
    </i>
    <i>
      <x v="3"/>
    </i>
    <i>
      <x v="8"/>
    </i>
    <i>
      <x v="11"/>
    </i>
    <i>
      <x v="20"/>
    </i>
    <i>
      <x v="30"/>
    </i>
    <i>
      <x v="23"/>
    </i>
    <i>
      <x v="17"/>
    </i>
    <i>
      <x v="13"/>
    </i>
    <i>
      <x v="27"/>
    </i>
    <i>
      <x v="35"/>
    </i>
    <i>
      <x v="15"/>
    </i>
    <i>
      <x v="29"/>
    </i>
    <i>
      <x v="5"/>
    </i>
    <i>
      <x v="33"/>
    </i>
    <i>
      <x v="1"/>
    </i>
    <i>
      <x v="37"/>
    </i>
    <i>
      <x v="18"/>
    </i>
    <i>
      <x v="28"/>
    </i>
    <i>
      <x v="19"/>
    </i>
    <i>
      <x v="12"/>
    </i>
    <i>
      <x v="10"/>
    </i>
    <i>
      <x v="32"/>
    </i>
    <i>
      <x v="2"/>
    </i>
    <i>
      <x v="34"/>
    </i>
    <i>
      <x v="24"/>
    </i>
    <i>
      <x v="36"/>
    </i>
    <i>
      <x v="25"/>
    </i>
    <i>
      <x v="14"/>
    </i>
    <i>
      <x v="26"/>
    </i>
    <i t="grand">
      <x/>
    </i>
  </rowItems>
  <colFields count="1">
    <field x="10"/>
  </colFields>
  <colItems count="7"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计数" fld="0" subtotal="count" baseField="2" baseItem="5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type="topRight" dataOnly="0" labelOnly="1" outline="0" fieldPosition="0"/>
    </format>
    <format dxfId="4">
      <pivotArea dataOnly="0" labelOnly="1" fieldPosition="0">
        <references count="1">
          <reference field="2" count="0"/>
        </references>
      </pivotArea>
    </format>
    <format dxfId="3">
      <pivotArea dataOnly="0" labelOnly="1" grandRow="1" outline="0" fieldPosition="0"/>
    </format>
    <format dxfId="2">
      <pivotArea dataOnly="0" labelOnly="1" fieldPosition="0">
        <references count="1">
          <reference field="10" count="0"/>
        </references>
      </pivotArea>
    </format>
    <format dxfId="1">
      <pivotArea dataOnly="0" labelOnly="1" grandCol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12" applyNumberFormats="0" applyBorderFormats="0" applyFontFormats="0" applyPatternFormats="0" applyAlignmentFormats="0" applyWidthHeightFormats="1" dataCaption="Values" grandTotalCaption="合计" updatedVersion="6" minRefreshableVersion="3" useAutoFormatting="1" itemPrintTitles="1" createdVersion="6" indent="0" showHeaders="0" outline="1" outlineData="1" rowHeaderCaption="行筛选" colHeaderCaption="列筛选">
  <location ref="A1:H36" firstHeaderRow="1" firstDataRow="2" firstDataCol="1"/>
  <pivotFields count="12">
    <pivotField dataField="1" numFmtId="22" showAll="0"/>
    <pivotField axis="axisRow" showAll="0" sortType="descending">
      <items count="173">
        <item sd="0" m="1" x="39"/>
        <item sd="0" m="1" x="125"/>
        <item sd="0" m="1" x="54"/>
        <item sd="0" m="1" x="37"/>
        <item sd="0" m="1" x="85"/>
        <item sd="0" m="1" x="69"/>
        <item sd="0" m="1" x="86"/>
        <item sd="0" m="1" x="99"/>
        <item sd="0" m="1" x="142"/>
        <item sd="0" x="17"/>
        <item sd="0" m="1" x="97"/>
        <item sd="0" x="10"/>
        <item sd="0" m="1" x="149"/>
        <item sd="0" m="1" x="112"/>
        <item sd="0" m="1" x="147"/>
        <item sd="0" m="1" x="132"/>
        <item sd="0" m="1" x="118"/>
        <item sd="0" m="1" x="57"/>
        <item sd="0" m="1" x="124"/>
        <item sd="0" m="1" x="41"/>
        <item sd="0" m="1" x="71"/>
        <item sd="0" m="1" x="56"/>
        <item sd="0" m="1" x="59"/>
        <item sd="0" x="0"/>
        <item sd="0" m="1" x="136"/>
        <item sd="0" m="1" x="53"/>
        <item sd="0" m="1" x="94"/>
        <item sd="0" m="1" x="40"/>
        <item sd="0" m="1" x="100"/>
        <item sd="0" m="1" x="162"/>
        <item sd="0" m="1" x="82"/>
        <item sd="0" m="1" x="120"/>
        <item sd="0" m="1" x="109"/>
        <item sd="0" m="1" x="91"/>
        <item sd="0" m="1" x="70"/>
        <item sd="0" m="1" x="157"/>
        <item sd="0" m="1" x="170"/>
        <item sd="0" m="1" x="89"/>
        <item sd="0" m="1" x="167"/>
        <item sd="0" m="1" x="47"/>
        <item sd="0" m="1" x="78"/>
        <item sd="0" m="1" x="133"/>
        <item sd="0" x="3"/>
        <item sd="0" m="1" x="46"/>
        <item sd="0" m="1" x="42"/>
        <item sd="0" m="1" x="143"/>
        <item sd="0" m="1" x="156"/>
        <item sd="0" m="1" x="164"/>
        <item sd="0" m="1" x="52"/>
        <item sd="0" m="1" x="116"/>
        <item sd="0" x="4"/>
        <item sd="0" m="1" x="131"/>
        <item sd="0" m="1" x="95"/>
        <item sd="0" m="1" x="72"/>
        <item sd="0" m="1" x="102"/>
        <item sd="0" m="1" x="45"/>
        <item sd="0" m="1" x="166"/>
        <item sd="0" m="1" x="33"/>
        <item sd="0" m="1" x="141"/>
        <item sd="0" m="1" x="158"/>
        <item sd="0" x="8"/>
        <item sd="0" x="1"/>
        <item sd="0" m="1" x="44"/>
        <item sd="0" x="19"/>
        <item sd="0" x="14"/>
        <item sd="0" m="1" x="115"/>
        <item sd="0" m="1" x="60"/>
        <item sd="0" m="1" x="134"/>
        <item sd="0" m="1" x="50"/>
        <item sd="0" m="1" x="108"/>
        <item sd="0" m="1" x="161"/>
        <item sd="0" m="1" x="34"/>
        <item sd="0" m="1" x="153"/>
        <item sd="0" m="1" x="111"/>
        <item sd="0" m="1" x="55"/>
        <item sd="0" m="1" x="130"/>
        <item sd="0" m="1" x="151"/>
        <item sd="0" m="1" x="101"/>
        <item sd="0" m="1" x="129"/>
        <item sd="0" m="1" x="135"/>
        <item sd="0" m="1" x="159"/>
        <item sd="0" m="1" x="119"/>
        <item sd="0" m="1" x="62"/>
        <item sd="0" m="1" x="107"/>
        <item sd="0" m="1" x="81"/>
        <item sd="0" m="1" x="150"/>
        <item sd="0" m="1" x="98"/>
        <item sd="0" m="1" x="103"/>
        <item sd="0" m="1" x="155"/>
        <item sd="0" m="1" x="105"/>
        <item sd="0" m="1" x="51"/>
        <item sd="0" x="7"/>
        <item sd="0" m="1" x="104"/>
        <item sd="0" m="1" x="58"/>
        <item sd="0" m="1" x="38"/>
        <item sd="0" m="1" x="93"/>
        <item sd="0" m="1" x="73"/>
        <item sd="0" m="1" x="90"/>
        <item sd="0" m="1" x="123"/>
        <item sd="0" m="1" x="152"/>
        <item sd="0" m="1" x="148"/>
        <item sd="0" x="16"/>
        <item sd="0" m="1" x="169"/>
        <item sd="0" m="1" x="146"/>
        <item sd="0" m="1" x="126"/>
        <item sd="0" x="11"/>
        <item sd="0" m="1" x="110"/>
        <item sd="0" m="1" x="35"/>
        <item sd="0" m="1" x="139"/>
        <item sd="0" m="1" x="63"/>
        <item sd="0" m="1" x="65"/>
        <item sd="0" m="1" x="140"/>
        <item sd="0" m="1" x="137"/>
        <item sd="0" m="1" x="163"/>
        <item sd="0" m="1" x="66"/>
        <item sd="0" m="1" x="171"/>
        <item sd="0" m="1" x="88"/>
        <item sd="0" m="1" x="127"/>
        <item sd="0" m="1" x="106"/>
        <item sd="0" m="1" x="43"/>
        <item sd="0" m="1" x="36"/>
        <item sd="0" m="1" x="138"/>
        <item sd="0" m="1" x="75"/>
        <item sd="0" m="1" x="96"/>
        <item sd="0" m="1" x="128"/>
        <item sd="0" m="1" x="113"/>
        <item sd="0" x="13"/>
        <item sd="0" m="1" x="121"/>
        <item sd="0" x="26"/>
        <item sd="0" m="1" x="77"/>
        <item sd="0" m="1" x="49"/>
        <item sd="0" m="1" x="76"/>
        <item sd="0" m="1" x="79"/>
        <item sd="0" m="1" x="145"/>
        <item sd="0" m="1" x="83"/>
        <item sd="0" m="1" x="165"/>
        <item sd="0" m="1" x="80"/>
        <item sd="0" x="15"/>
        <item sd="0" m="1" x="144"/>
        <item m="1" x="117"/>
        <item sd="0" m="1" x="154"/>
        <item sd="0" m="1" x="74"/>
        <item sd="0" m="1" x="160"/>
        <item sd="0" m="1" x="87"/>
        <item sd="0" m="1" x="68"/>
        <item sd="0" m="1" x="67"/>
        <item sd="0" m="1" x="122"/>
        <item sd="0" m="1" x="64"/>
        <item sd="0" m="1" x="48"/>
        <item m="1" x="168"/>
        <item m="1" x="92"/>
        <item m="1" x="114"/>
        <item x="5"/>
        <item x="2"/>
        <item x="6"/>
        <item x="9"/>
        <item x="12"/>
        <item x="18"/>
        <item m="1" x="61"/>
        <item x="21"/>
        <item x="20"/>
        <item x="22"/>
        <item x="23"/>
        <item x="24"/>
        <item m="1" x="84"/>
        <item x="25"/>
        <item x="27"/>
        <item x="28"/>
        <item x="29"/>
        <item x="30"/>
        <item x="31"/>
        <item x="32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Col" showAll="0">
      <items count="21">
        <item m="1" x="15"/>
        <item m="1" x="16"/>
        <item m="1" x="17"/>
        <item m="1" x="18"/>
        <item m="1" x="19"/>
        <item m="1" x="6"/>
        <item m="1" x="11"/>
        <item m="1" x="7"/>
        <item m="1" x="12"/>
        <item m="1" x="8"/>
        <item m="1" x="13"/>
        <item m="1" x="9"/>
        <item m="1" x="14"/>
        <item m="1" x="10"/>
        <item x="0"/>
        <item x="1"/>
        <item x="2"/>
        <item x="3"/>
        <item x="4"/>
        <item x="5"/>
        <item t="default"/>
      </items>
    </pivotField>
    <pivotField numFmtId="181" showAll="0"/>
  </pivotFields>
  <rowFields count="1">
    <field x="1"/>
  </rowFields>
  <rowItems count="34">
    <i>
      <x v="61"/>
    </i>
    <i>
      <x v="91"/>
    </i>
    <i>
      <x v="63"/>
    </i>
    <i>
      <x v="60"/>
    </i>
    <i>
      <x v="64"/>
    </i>
    <i>
      <x v="23"/>
    </i>
    <i>
      <x v="154"/>
    </i>
    <i>
      <x v="11"/>
    </i>
    <i>
      <x v="153"/>
    </i>
    <i>
      <x v="160"/>
    </i>
    <i>
      <x v="137"/>
    </i>
    <i>
      <x v="128"/>
    </i>
    <i>
      <x v="157"/>
    </i>
    <i>
      <x v="167"/>
    </i>
    <i>
      <x v="162"/>
    </i>
    <i>
      <x v="171"/>
    </i>
    <i>
      <x v="105"/>
    </i>
    <i>
      <x v="165"/>
    </i>
    <i>
      <x v="152"/>
    </i>
    <i>
      <x v="169"/>
    </i>
    <i>
      <x v="9"/>
    </i>
    <i>
      <x v="161"/>
    </i>
    <i>
      <x v="50"/>
    </i>
    <i>
      <x v="163"/>
    </i>
    <i>
      <x v="155"/>
    </i>
    <i>
      <x v="166"/>
    </i>
    <i>
      <x v="156"/>
    </i>
    <i>
      <x v="168"/>
    </i>
    <i>
      <x v="42"/>
    </i>
    <i>
      <x v="170"/>
    </i>
    <i>
      <x v="159"/>
    </i>
    <i>
      <x v="101"/>
    </i>
    <i>
      <x v="126"/>
    </i>
    <i t="grand">
      <x/>
    </i>
  </rowItems>
  <colFields count="1">
    <field x="10"/>
  </colFields>
  <colItems count="7"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计数" fld="0" subtotal="count" baseField="1" baseItem="15"/>
  </dataFields>
  <formats count="10">
    <format dxfId="18">
      <pivotArea dataOnly="0" labelOnly="1" grandCol="1" outline="0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type="origin" dataOnly="0" labelOnly="1" outline="0" fieldPosition="0"/>
    </format>
    <format dxfId="14">
      <pivotArea type="topRight" dataOnly="0" labelOnly="1" outline="0" fieldPosition="0"/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10" count="0"/>
        </references>
      </pivotArea>
    </format>
    <format dxfId="10">
      <pivotArea dataOnly="0" labelOnly="1" grandCol="1" outline="0" fieldPosition="0"/>
    </format>
    <format dxfId="9">
      <pivotArea dataOnly="0" labelOnly="1" fieldPosition="0">
        <references count="1">
          <reference field="1" count="0"/>
        </references>
      </pivotArea>
    </format>
  </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" cacheId="12" applyNumberFormats="0" applyBorderFormats="0" applyFontFormats="0" applyPatternFormats="0" applyAlignmentFormats="0" applyWidthHeightFormats="1" dataCaption="Values" grandTotalCaption="合计" updatedVersion="6" minRefreshableVersion="3" showDrill="0" useAutoFormatting="1" itemPrintTitles="1" createdVersion="6" indent="0" showHeaders="0" outline="1" outlineData="1" multipleFieldFilters="0">
  <location ref="S1:Y9" firstHeaderRow="1" firstDataRow="2" firstDataCol="1"/>
  <pivotFields count="12">
    <pivotField numFmtId="18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1">
        <item m="1" x="6"/>
        <item m="1" x="15"/>
        <item m="1" x="16"/>
        <item m="1" x="17"/>
        <item m="1" x="18"/>
        <item m="1" x="19"/>
        <item m="1" x="11"/>
        <item m="1" x="7"/>
        <item m="1" x="12"/>
        <item m="1" x="8"/>
        <item m="1" x="13"/>
        <item m="1" x="9"/>
        <item m="1" x="14"/>
        <item m="1" x="10"/>
        <item x="0"/>
        <item x="1"/>
        <item x="2"/>
        <item x="3"/>
        <item x="4"/>
        <item x="5"/>
        <item t="default"/>
      </items>
    </pivotField>
    <pivotField axis="axisCol" numFmtId="181" showAll="0" sortType="ascending">
      <items count="9">
        <item m="1" x="5"/>
        <item x="0"/>
        <item x="1"/>
        <item x="2"/>
        <item x="3"/>
        <item x="4"/>
        <item m="1" x="6"/>
        <item m="1" x="7"/>
        <item t="default"/>
      </items>
    </pivotField>
  </pivotFields>
  <rowFields count="1">
    <field x="10"/>
  </rowFields>
  <rowItems count="7"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1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计数" fld="1" subtotal="count" baseField="0" baseItem="0"/>
  </dataFields>
  <formats count="10">
    <format dxfId="28">
      <pivotArea dataOnly="0" labelOnly="1" grandCol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type="origin" dataOnly="0" labelOnly="1" outline="0" fieldPosition="0"/>
    </format>
    <format dxfId="24">
      <pivotArea type="topRight" dataOnly="0" labelOnly="1" outline="0" fieldPosition="0"/>
    </format>
    <format dxfId="23">
      <pivotArea dataOnly="0" labelOnly="1" fieldPosition="0">
        <references count="1">
          <reference field="10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11" count="0"/>
        </references>
      </pivotArea>
    </format>
    <format dxfId="20">
      <pivotArea dataOnly="0" labelOnly="1" grandCol="1" outline="0" fieldPosition="0"/>
    </format>
    <format dxfId="19">
      <pivotArea dataOnly="0" labelOnly="1" fieldPosition="0">
        <references count="1">
          <reference field="10" count="0"/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ricelist" displayName="Pricelist" ref="A1:AC419" totalsRowShown="0" headerRowDxfId="197" dataDxfId="196">
  <autoFilter ref="A1:AC419" xr:uid="{00000000-0009-0000-0100-000003000000}">
    <filterColumn colId="3">
      <filters>
        <filter val="MOMBASA"/>
      </filters>
    </filterColumn>
  </autoFilter>
  <tableColumns count="29">
    <tableColumn id="1" xr3:uid="{00000000-0010-0000-0000-000001000000}" name="序" dataDxfId="195"/>
    <tableColumn id="26" xr3:uid="{00000000-0010-0000-0000-00001A000000}" name="时间" dataDxfId="194"/>
    <tableColumn id="2" xr3:uid="{00000000-0010-0000-0000-000002000000}" name="区" dataDxfId="193"/>
    <tableColumn id="3" xr3:uid="{00000000-0010-0000-0000-000003000000}" name="目的港" dataDxfId="192"/>
    <tableColumn id="4" xr3:uid="{00000000-0010-0000-0000-000004000000}" name="国家" dataDxfId="191"/>
    <tableColumn id="5" xr3:uid="{00000000-0010-0000-0000-000005000000}" name="中文" dataDxfId="190"/>
    <tableColumn id="6" xr3:uid="{00000000-0010-0000-0000-000006000000}" name="代" dataDxfId="189"/>
    <tableColumn id="7" xr3:uid="{00000000-0010-0000-0000-000007000000}" name="船" dataDxfId="188">
      <calculatedColumnFormula>VLOOKUP(G2,CGS[],2,FALSE)</calculatedColumnFormula>
    </tableColumn>
    <tableColumn id="8" xr3:uid="{00000000-0010-0000-0000-000008000000}" name="20G" dataDxfId="187"/>
    <tableColumn id="9" xr3:uid="{00000000-0010-0000-0000-000009000000}" name="E1" dataDxfId="186" dataCellStyle="常规 13">
      <calculatedColumnFormula>IF(ISBLANK(Pricelist[[#This Row],[EBS]]),"",VALUE(LEFT(Pricelist[[#This Row],[EBS]],LEN(Pricelist[[#This Row],[EBS]])-LEN(Pricelist[[#This Row],[E2]])-1)))</calculatedColumnFormula>
    </tableColumn>
    <tableColumn id="10" xr3:uid="{00000000-0010-0000-0000-00000A000000}" name="40G" dataDxfId="185"/>
    <tableColumn id="11" xr3:uid="{00000000-0010-0000-0000-00000B000000}" name="E2" dataDxfId="184" dataCellStyle="常规 13">
      <calculatedColumnFormula>IF(ISBLANK(Pricelist[[#This Row],[EBS]]),"",VALUE(RIGHT(Pricelist[[#This Row],[EBS]],3)))</calculatedColumnFormula>
    </tableColumn>
    <tableColumn id="12" xr3:uid="{00000000-0010-0000-0000-00000C000000}" name="40H" dataDxfId="183"/>
    <tableColumn id="16" xr3:uid="{00000000-0010-0000-0000-000010000000}" name="E3" dataDxfId="182" dataCellStyle="常规 13">
      <calculatedColumnFormula>IF(ISBLANK(Pricelist[[#This Row],[EBS]]),"",VALUE(RIGHT(Pricelist[[#This Row],[EBS]],3)))</calculatedColumnFormula>
    </tableColumn>
    <tableColumn id="33" xr3:uid="{00000000-0010-0000-0000-000021000000}" name="AE" dataDxfId="181" dataCellStyle="常规 13">
      <calculatedColumnFormula>IF(AND(Pricelist[[#This Row],[AE1]]&lt;&gt;"",OR(Pricelist[[#This Row],[区]]="南",Pricelist[[#This Row],[区]]="北")),MID(Pricelist[[#This Row],[AE1]],4,2),"")</calculatedColumnFormula>
    </tableColumn>
    <tableColumn id="13" xr3:uid="{00000000-0010-0000-0000-00000D000000}" name="20'GP(标准报价)" dataDxfId="180" dataCellStyle="常规 2"/>
    <tableColumn id="14" xr3:uid="{00000000-0010-0000-0000-00000E000000}" name="40'GP(标准报价)" dataDxfId="179"/>
    <tableColumn id="15" xr3:uid="{00000000-0010-0000-0000-00000F000000}" name="40'HQ(标准报价)" dataDxfId="178"/>
    <tableColumn id="27" xr3:uid="{00000000-0010-0000-0000-00001B000000}" name="EBS" dataDxfId="177" dataCellStyle="常规 2"/>
    <tableColumn id="29" xr3:uid="{00000000-0010-0000-0000-00001D000000}" name="AE1" dataDxfId="176" dataCellStyle="常规 2"/>
    <tableColumn id="17" xr3:uid="{00000000-0010-0000-0000-000011000000}" name="船期" dataDxfId="175"/>
    <tableColumn id="18" xr3:uid="{00000000-0010-0000-0000-000012000000}" name="港" dataDxfId="174"/>
    <tableColumn id="19" xr3:uid="{00000000-0010-0000-0000-000013000000}" name="中转港" dataDxfId="173"/>
    <tableColumn id="20" xr3:uid="{00000000-0010-0000-0000-000014000000}" name="中转" dataDxfId="172"/>
    <tableColumn id="21" xr3:uid="{00000000-0010-0000-0000-000015000000}" name="航程" dataDxfId="171"/>
    <tableColumn id="22" xr3:uid="{00000000-0010-0000-0000-000016000000}" name="起" dataDxfId="170"/>
    <tableColumn id="23" xr3:uid="{00000000-0010-0000-0000-000017000000}" name="止" dataDxfId="169"/>
    <tableColumn id="24" xr3:uid="{00000000-0010-0000-0000-000018000000}" name="内部备注" dataDxfId="168"/>
    <tableColumn id="25" xr3:uid="{00000000-0010-0000-0000-000019000000}" name="限重" dataDxfId="16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Quotation" displayName="Quotation" ref="A1:L118" totalsRowShown="0" headerRowDxfId="166" dataDxfId="165">
  <autoFilter ref="A1:L118" xr:uid="{00000000-0009-0000-0100-000007000000}"/>
  <tableColumns count="12">
    <tableColumn id="2" xr3:uid="{00000000-0010-0000-0100-000002000000}" name="日期" dataDxfId="164"/>
    <tableColumn id="3" xr3:uid="{00000000-0010-0000-0100-000003000000}" name="抬头" dataDxfId="163"/>
    <tableColumn id="1" xr3:uid="{00000000-0010-0000-0100-000001000000}" name="姓名" dataDxfId="162"/>
    <tableColumn id="4" xr3:uid="{00000000-0010-0000-0100-000004000000}" name="联系方式" dataDxfId="161"/>
    <tableColumn id="5" xr3:uid="{00000000-0010-0000-0100-000005000000}" name="询价信息" dataDxfId="160"/>
    <tableColumn id="6" xr3:uid="{00000000-0010-0000-0100-000006000000}" name="报价" dataDxfId="159"/>
    <tableColumn id="7" xr3:uid="{00000000-0010-0000-0100-000007000000}" name="目的港" dataDxfId="158" dataCellStyle="Normal 5"/>
    <tableColumn id="10" xr3:uid="{00000000-0010-0000-0100-00000A000000}" name="NEXT" dataDxfId="157"/>
    <tableColumn id="11" xr3:uid="{00000000-0010-0000-0100-00000B000000}" name="CNT" dataDxfId="156">
      <calculatedColumnFormula>COUNTIF(Quotation[联系方式],Quotation[[#This Row],[联系方式]])</calculatedColumnFormula>
    </tableColumn>
    <tableColumn id="9" xr3:uid="{00000000-0010-0000-0100-000009000000}" name="地址" dataDxfId="155">
      <calculatedColumnFormula>VLOOKUP(Quotation[[#This Row],[抬头]],Customer[],5,FALSE)&amp;""</calculatedColumnFormula>
    </tableColumn>
    <tableColumn id="12" xr3:uid="{00000000-0010-0000-0100-00000C000000}" name="周" dataDxfId="154">
      <calculatedColumnFormula>WEEKNUM(Quotation[[#This Row],[日期]])</calculatedColumnFormula>
    </tableColumn>
    <tableColumn id="13" xr3:uid="{00000000-0010-0000-0100-00000D000000}" name="星期" dataDxfId="153">
      <calculatedColumnFormula>WEEKDAY(Quotation[[#This Row],[日期]],1)-1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S" displayName="TS" ref="A1:L229" totalsRowShown="0" headerRowDxfId="152" dataDxfId="150" headerRowBorderDxfId="151" tableBorderDxfId="149" totalsRowBorderDxfId="148">
  <autoFilter ref="A1:L229" xr:uid="{00000000-0009-0000-0100-000005000000}">
    <filterColumn colId="1">
      <filters>
        <filter val="Lusaka"/>
      </filters>
    </filterColumn>
    <filterColumn colId="2">
      <filters>
        <filter val="TZDAR"/>
      </filters>
    </filterColumn>
    <filterColumn colId="4">
      <filters>
        <filter val="40"/>
      </filters>
    </filterColumn>
  </autoFilter>
  <tableColumns count="12">
    <tableColumn id="2" xr3:uid="{00000000-0010-0000-0200-000002000000}" name="目的国" dataDxfId="147"/>
    <tableColumn id="3" xr3:uid="{00000000-0010-0000-0200-000003000000}" name="目的港" dataDxfId="146"/>
    <tableColumn id="1" xr3:uid="{00000000-0010-0000-0200-000001000000}" name="转运港" dataDxfId="145"/>
    <tableColumn id="4" xr3:uid="{00000000-0010-0000-0200-000004000000}" name="船公司" dataDxfId="144"/>
    <tableColumn id="5" xr3:uid="{00000000-0010-0000-0200-000005000000}" name="箱型" dataDxfId="143"/>
    <tableColumn id="11" xr3:uid="{00000000-0010-0000-0200-00000B000000}" name="下限" dataDxfId="142"/>
    <tableColumn id="10" xr3:uid="{00000000-0010-0000-0200-00000A000000}" name="上限" dataDxfId="141"/>
    <tableColumn id="7" xr3:uid="{00000000-0010-0000-0200-000007000000}" name="转运费" dataDxfId="140"/>
    <tableColumn id="6" xr3:uid="{00000000-0010-0000-0200-000006000000}" name="币种" dataDxfId="139"/>
    <tableColumn id="8" xr3:uid="{00000000-0010-0000-0200-000008000000}" name="美金" dataDxfId="138" dataCellStyle="Normal 3">
      <calculatedColumnFormula>TS[[#This Row],[转运费]]*LOOKUP(TS[[#This Row],[币种]]&amp;"-",{"-","EUR-","USD-","ZAR-"},{1,1.163,1,0.06792})</calculatedColumnFormula>
    </tableColumn>
    <tableColumn id="12" xr3:uid="{00000000-0010-0000-0200-00000C000000}" name="公路税" dataDxfId="137"/>
    <tableColumn id="9" xr3:uid="{00000000-0010-0000-0200-000009000000}" name="备注" dataDxfId="13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RMB" displayName="RMB" ref="A1:O241" totalsRowShown="0" headerRowDxfId="135" dataDxfId="133" headerRowBorderDxfId="134" tableBorderDxfId="132" totalsRowBorderDxfId="131">
  <autoFilter ref="A1:O241" xr:uid="{00000000-0009-0000-0100-000004000000}">
    <filterColumn colId="0">
      <filters>
        <filter val="CMA"/>
      </filters>
    </filterColumn>
    <filterColumn colId="1">
      <filters>
        <filter val="卖价"/>
      </filters>
    </filterColumn>
    <filterColumn colId="3">
      <filters>
        <filter val="20GP"/>
      </filters>
    </filterColumn>
  </autoFilter>
  <tableColumns count="15">
    <tableColumn id="1" xr3:uid="{00000000-0010-0000-0300-000001000000}" name="船公司" dataDxfId="130"/>
    <tableColumn id="12" xr3:uid="{077D2AEE-B46D-4237-B4B8-05BCDA46D31E}" name="类型" dataDxfId="129" dataCellStyle="Normal 2 2"/>
    <tableColumn id="3" xr3:uid="{00000000-0010-0000-0300-000003000000}" name="合计" dataDxfId="128" dataCellStyle="Normal 2 2">
      <calculatedColumnFormula>SUM(RMB[[#This Row],[箱型]:[VGM]])</calculatedColumnFormula>
    </tableColumn>
    <tableColumn id="14" xr3:uid="{00000000-0010-0000-0300-00000E000000}" name="箱型" dataDxfId="127"/>
    <tableColumn id="2" xr3:uid="{00000000-0010-0000-0300-000002000000}" name="订舱" dataDxfId="126"/>
    <tableColumn id="6" xr3:uid="{00000000-0010-0000-0300-000006000000}" name="安保" dataDxfId="125" dataCellStyle="Normal 2 2"/>
    <tableColumn id="4" xr3:uid="{00000000-0010-0000-0300-000004000000}" name="THC" dataDxfId="124"/>
    <tableColumn id="7" xr3:uid="{00000000-0010-0000-0300-000007000000}" name="文件" dataDxfId="123" dataCellStyle="Normal 2 2"/>
    <tableColumn id="9" xr3:uid="{00000000-0010-0000-0300-000009000000}" name="封志" dataDxfId="122" dataCellStyle="Normal 2 2"/>
    <tableColumn id="8" xr3:uid="{00000000-0010-0000-0300-000008000000}" name="设备" dataDxfId="121"/>
    <tableColumn id="10" xr3:uid="{00000000-0010-0000-0300-00000A000000}" name="放单" dataDxfId="120"/>
    <tableColumn id="11" xr3:uid="{00000000-0010-0000-0300-00000B000000}" name="VGM" dataDxfId="119"/>
    <tableColumn id="13" xr3:uid="{00000000-0010-0000-0300-00000D000000}" name="备注" dataDxfId="118"/>
    <tableColumn id="22" xr3:uid="{00000000-0010-0000-0300-000016000000}" name="直接复制" dataDxfId="117">
      <calculatedColumnFormula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calculatedColumnFormula>
    </tableColumn>
    <tableColumn id="5" xr3:uid="{00000000-0010-0000-0300-000005000000}" name="其他" dataDxfId="1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Order" displayName="Order" ref="A1:AG3" totalsRowShown="0" headerRowDxfId="111" dataDxfId="110">
  <autoFilter ref="A1:AG3" xr:uid="{00000000-0009-0000-0100-00000C000000}"/>
  <tableColumns count="33">
    <tableColumn id="1" xr3:uid="{00000000-0010-0000-0400-000001000000}" name="日期" dataDxfId="109"/>
    <tableColumn id="2" xr3:uid="{00000000-0010-0000-0400-000002000000}" name="公司" dataDxfId="108"/>
    <tableColumn id="3" xr3:uid="{00000000-0010-0000-0400-000003000000}" name="客户" dataDxfId="107"/>
    <tableColumn id="23" xr3:uid="{00000000-0010-0000-0400-000017000000}" name="操作" dataDxfId="106"/>
    <tableColumn id="31" xr3:uid="{00000000-0010-0000-0400-00001F000000}" name="排序" dataDxfId="105">
      <calculatedColumnFormula array="1">SUM(LOOKUP($H2:$P2&amp;"-",{"-","--","Y-"},{0,2,1})*{1,2,4,8,16,32,64,128,256})</calculatedColumnFormula>
    </tableColumn>
    <tableColumn id="24" xr3:uid="{00000000-0010-0000-0400-000018000000}" name="Nt" dataDxfId="104"/>
    <tableColumn id="16" xr3:uid="{00000000-0010-0000-0400-000010000000}" name="Nw" dataDxfId="103"/>
    <tableColumn id="29" xr3:uid="{00000000-0010-0000-0400-00001D000000}" name="托书" dataDxfId="102"/>
    <tableColumn id="28" xr3:uid="{00000000-0010-0000-0400-00001C000000}" name="预配" dataDxfId="101"/>
    <tableColumn id="30" xr3:uid="{00000000-0010-0000-0400-00001E000000}" name="截重" dataDxfId="100"/>
    <tableColumn id="19" xr3:uid="{00000000-0010-0000-0400-000013000000}" name="运抵" dataDxfId="99"/>
    <tableColumn id="20" xr3:uid="{00000000-0010-0000-0400-000014000000}" name="海放" dataDxfId="98"/>
    <tableColumn id="21" xr3:uid="{00000000-0010-0000-0400-000015000000}" name="码放" dataDxfId="97"/>
    <tableColumn id="22" xr3:uid="{00000000-0010-0000-0400-000016000000}" name="配载" dataDxfId="96"/>
    <tableColumn id="27" xr3:uid="{00000000-0010-0000-0400-00001B000000}" name="放单" dataDxfId="95"/>
    <tableColumn id="32" xr3:uid="{00000000-0010-0000-0400-000020000000}" name="提货" dataDxfId="94"/>
    <tableColumn id="17" xr3:uid="{00000000-0010-0000-0400-000011000000}" name="核重" dataDxfId="93"/>
    <tableColumn id="18" xr3:uid="{00000000-0010-0000-0400-000012000000}" name="截关" dataDxfId="92"/>
    <tableColumn id="8" xr3:uid="{00000000-0010-0000-0400-000008000000}" name="启航" dataDxfId="91"/>
    <tableColumn id="9" xr3:uid="{00000000-0010-0000-0400-000009000000}" name="抵港" dataDxfId="90"/>
    <tableColumn id="12" xr3:uid="{00000000-0010-0000-0400-00000C000000}" name="船东" dataDxfId="89"/>
    <tableColumn id="11" xr3:uid="{00000000-0010-0000-0400-00000B000000}" name="箱型" dataDxfId="88"/>
    <tableColumn id="10" xr3:uid="{00000000-0010-0000-0400-00000A000000}" name="数量" dataDxfId="87"/>
    <tableColumn id="6" xr3:uid="{00000000-0010-0000-0400-000006000000}" name="载港" dataDxfId="86"/>
    <tableColumn id="7" xr3:uid="{00000000-0010-0000-0400-000007000000}" name="卸港" dataDxfId="85"/>
    <tableColumn id="4" xr3:uid="{00000000-0010-0000-0400-000004000000}" name="托号" dataDxfId="84"/>
    <tableColumn id="13" xr3:uid="{00000000-0010-0000-0400-00000D000000}" name="船名" dataDxfId="83"/>
    <tableColumn id="14" xr3:uid="{00000000-0010-0000-0400-00000E000000}" name="航次" dataDxfId="82"/>
    <tableColumn id="33" xr3:uid="{00000000-0010-0000-0400-000021000000}" name="港区" dataDxfId="81"/>
    <tableColumn id="5" xr3:uid="{00000000-0010-0000-0400-000005000000}" name="提单" dataDxfId="80"/>
    <tableColumn id="25" xr3:uid="{00000000-0010-0000-0400-000019000000}" name="箱号" dataDxfId="79"/>
    <tableColumn id="26" xr3:uid="{00000000-0010-0000-0400-00001A000000}" name="封号" dataDxfId="78"/>
    <tableColumn id="15" xr3:uid="{00000000-0010-0000-0400-00000F000000}" name="备注" dataDxfId="7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Staff" displayName="Staff" ref="A1:H113" totalsRowShown="0" headerRowDxfId="76" dataDxfId="75">
  <autoFilter ref="A1:H113" xr:uid="{00000000-0009-0000-0100-000006000000}">
    <filterColumn colId="3">
      <filters>
        <filter val="张周赛"/>
      </filters>
    </filterColumn>
  </autoFilter>
  <tableColumns count="8">
    <tableColumn id="2" xr3:uid="{00000000-0010-0000-0500-000002000000}" name="类别" dataDxfId="74"/>
    <tableColumn id="3" xr3:uid="{00000000-0010-0000-0500-000003000000}" name="部门" dataDxfId="73"/>
    <tableColumn id="4" xr3:uid="{00000000-0010-0000-0500-000004000000}" name="职位" dataDxfId="72"/>
    <tableColumn id="5" xr3:uid="{00000000-0010-0000-0500-000005000000}" name="姓名" dataDxfId="71"/>
    <tableColumn id="12" xr3:uid="{00000000-0010-0000-0500-00000C000000}" name="身份证" dataDxfId="70" dataCellStyle="Normal 4"/>
    <tableColumn id="11" xr3:uid="{00000000-0010-0000-0500-00000B000000}" name="实习" dataDxfId="69"/>
    <tableColumn id="7" xr3:uid="{00000000-0010-0000-0500-000007000000}" name="电话" dataDxfId="68"/>
    <tableColumn id="9" xr3:uid="{00000000-0010-0000-0500-000009000000}" name="手机号码" dataDxfId="67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Landmark" displayName="Landmark" ref="A1:D93" totalsRowShown="0" headerRowDxfId="66" dataDxfId="65">
  <autoFilter ref="A1:D93" xr:uid="{00000000-0009-0000-0100-000009000000}"/>
  <sortState ref="A2:D82">
    <sortCondition ref="B36"/>
  </sortState>
  <tableColumns count="4">
    <tableColumn id="3" xr3:uid="{7578D80A-FBC1-45C9-96A3-539F47F4075F}" name="Visit" dataDxfId="64"/>
    <tableColumn id="1" xr3:uid="{00000000-0010-0000-0600-000001000000}" name="地标" dataDxfId="63"/>
    <tableColumn id="2" xr3:uid="{00000000-0010-0000-0600-000002000000}" name="地址" dataDxfId="62"/>
    <tableColumn id="4" xr3:uid="{501E7603-5290-4AAD-8FE1-8A47137191DB}" name="focus" dataDxfId="6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ustomer" displayName="Customer" ref="A1:H416" totalsRowShown="0" headerRowDxfId="60" dataDxfId="59">
  <autoFilter ref="A1:H416" xr:uid="{00000000-0009-0000-0100-000008000000}"/>
  <tableColumns count="8">
    <tableColumn id="1" xr3:uid="{00000000-0010-0000-0700-000001000000}" name="抬头" dataDxfId="58"/>
    <tableColumn id="7" xr3:uid="{00000000-0010-0000-0700-000007000000}" name="CNT" dataDxfId="57">
      <calculatedColumnFormula>IF(OR(Customer[[#This Row],[地标]]="",COUNTIF(Landmark[地标],Customer[[#This Row],[地标]])=1),COUNTIF(Quotation[抬头],Customer[[#This Row],[抬头]]),"地标")</calculatedColumnFormula>
    </tableColumn>
    <tableColumn id="8" xr3:uid="{00000000-0010-0000-0700-000008000000}" name="地标" dataDxfId="56"/>
    <tableColumn id="2" xr3:uid="{00000000-0010-0000-0700-000002000000}" name="地址" dataDxfId="55"/>
    <tableColumn id="3" xr3:uid="{00000000-0010-0000-0700-000003000000}" name="地址确认" dataDxfId="54"/>
    <tableColumn id="5" xr3:uid="{0E003EC5-1DE8-4D48-BD5E-B069A9DFE1C7}" name="Visit" dataDxfId="53"/>
    <tableColumn id="4" xr3:uid="{00000000-0010-0000-0700-000004000000}" name="Focus" dataDxfId="52"/>
    <tableColumn id="6" xr3:uid="{C009A7ED-C3F4-4FB1-906A-A3A4178735A0}" name="Column1" dataDxfId="51">
      <calculatedColumnFormula>COUNTIF(Customer[抬头],Customer[[#This Row],[抬头]])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8000000}" name="Contacts" displayName="Contacts" ref="A1:K1499" totalsRowShown="0" headerRowDxfId="50" dataDxfId="49">
  <autoFilter ref="A1:K1499" xr:uid="{00000000-0009-0000-0100-000001000000}"/>
  <tableColumns count="11">
    <tableColumn id="3" xr3:uid="{00000000-0010-0000-0800-000003000000}" name="抬头" dataDxfId="48"/>
    <tableColumn id="1" xr3:uid="{00000000-0010-0000-0800-000001000000}" name="分组" dataDxfId="47"/>
    <tableColumn id="4" xr3:uid="{00000000-0010-0000-0800-000004000000}" name="QQ" dataDxfId="46"/>
    <tableColumn id="2" xr3:uid="{00000000-0010-0000-0800-000002000000}" name="昵称" dataDxfId="45"/>
    <tableColumn id="8" xr3:uid="{00000000-0010-0000-0800-000008000000}" name="名片" dataDxfId="44" dataCellStyle="Normal 2 3"/>
    <tableColumn id="12" xr3:uid="{00000000-0010-0000-0800-00000C000000}" name="姓名" dataDxfId="43" dataCellStyle="Normal 2 3"/>
    <tableColumn id="13" xr3:uid="{00000000-0010-0000-0800-00000D000000}" name="职务" dataDxfId="42" dataCellStyle="Normal 2 3"/>
    <tableColumn id="9" xr3:uid="{00000000-0010-0000-0800-000009000000}" name="手机" dataDxfId="41" dataCellStyle="Normal 2 3"/>
    <tableColumn id="10" xr3:uid="{00000000-0010-0000-0800-00000A000000}" name="座机" dataDxfId="40" dataCellStyle="Normal 2 3"/>
    <tableColumn id="11" xr3:uid="{00000000-0010-0000-0800-00000B000000}" name="备注" dataDxfId="39" dataCellStyle="Normal 2 3"/>
    <tableColumn id="5" xr3:uid="{7797B065-BA07-4DD0-8E80-7A39572E926B}" name="Column1" dataDxfId="38" dataCellStyle="Normal 2 3">
      <calculatedColumnFormula>COUNTIF(Contacts[姓名],Contacts[[#This Row],[姓名]])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Visit" displayName="Visit" ref="A1:C16" totalsRowShown="0" headerRowDxfId="37" dataDxfId="36" headerRowCellStyle="Normal 2 3" dataCellStyle="Normal 2 3">
  <autoFilter ref="A1:C16" xr:uid="{00000000-0009-0000-0100-00000B000000}"/>
  <sortState ref="A2:C16">
    <sortCondition ref="A2:A14"/>
    <sortCondition ref="B2:B14"/>
    <sortCondition ref="C2:C14"/>
  </sortState>
  <tableColumns count="3">
    <tableColumn id="1" xr3:uid="{00000000-0010-0000-0900-000001000000}" name="日期" dataDxfId="35" dataCellStyle="Normal 2 3"/>
    <tableColumn id="2" xr3:uid="{00000000-0010-0000-0900-000002000000}" name="抬头" dataDxfId="34" dataCellStyle="Normal 2 3"/>
    <tableColumn id="3" xr3:uid="{00000000-0010-0000-0900-000003000000}" name="地址" dataDxfId="33" dataCellStyle="Normal 2 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CGS" displayName="CGS" ref="A1:B16" totalsRowShown="0" headerRowDxfId="32" dataDxfId="31">
  <sortState ref="A2:B16">
    <sortCondition ref="B5"/>
  </sortState>
  <tableColumns count="2">
    <tableColumn id="1" xr3:uid="{00000000-0010-0000-0A00-000001000000}" name="代码" dataDxfId="30"/>
    <tableColumn id="2" xr3:uid="{00000000-0010-0000-0A00-000002000000}" name="船公司" dataDxfId="2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419"/>
  <sheetViews>
    <sheetView tabSelected="1" zoomScaleNormal="100" workbookViewId="0">
      <pane ySplit="1" topLeftCell="A2" activePane="bottomLeft" state="frozen"/>
      <selection pane="bottomLeft" activeCell="M6" sqref="M6"/>
    </sheetView>
  </sheetViews>
  <sheetFormatPr defaultColWidth="9" defaultRowHeight="12.75" x14ac:dyDescent="0.15"/>
  <cols>
    <col min="1" max="1" width="3.75" style="65" customWidth="1"/>
    <col min="2" max="2" width="6.75" style="65" customWidth="1"/>
    <col min="3" max="3" width="3.625" style="65" customWidth="1"/>
    <col min="4" max="4" width="9.375" style="65" customWidth="1"/>
    <col min="5" max="5" width="8.875" style="65" customWidth="1"/>
    <col min="6" max="6" width="10.375" style="65" customWidth="1"/>
    <col min="7" max="7" width="3.375" style="65" hidden="1" customWidth="1"/>
    <col min="8" max="8" width="5.875" style="65" customWidth="1"/>
    <col min="9" max="9" width="4.75" style="65" customWidth="1"/>
    <col min="10" max="10" width="3.875" style="65" customWidth="1"/>
    <col min="11" max="11" width="5" style="65" customWidth="1"/>
    <col min="12" max="12" width="4" style="65" customWidth="1"/>
    <col min="13" max="13" width="5.125" style="65" customWidth="1"/>
    <col min="14" max="14" width="4" style="65" customWidth="1"/>
    <col min="15" max="15" width="4.125" style="65" customWidth="1"/>
    <col min="16" max="18" width="6.625" style="65" hidden="1" customWidth="1"/>
    <col min="19" max="19" width="6.75" style="65" hidden="1" customWidth="1"/>
    <col min="20" max="20" width="10.25" style="65" hidden="1" customWidth="1"/>
    <col min="21" max="21" width="7.375" style="65" customWidth="1"/>
    <col min="22" max="22" width="4.625" style="65" customWidth="1"/>
    <col min="23" max="23" width="6" style="65" hidden="1" customWidth="1"/>
    <col min="24" max="24" width="7.25" style="65" customWidth="1"/>
    <col min="25" max="25" width="5" style="65" customWidth="1"/>
    <col min="26" max="26" width="6" style="65" customWidth="1"/>
    <col min="27" max="27" width="6.25" style="65" customWidth="1"/>
    <col min="28" max="29" width="21.625" style="65" customWidth="1"/>
    <col min="30" max="16384" width="9" style="65"/>
  </cols>
  <sheetData>
    <row r="1" spans="1:29" s="64" customFormat="1" x14ac:dyDescent="0.15">
      <c r="A1" s="59" t="s">
        <v>392</v>
      </c>
      <c r="B1" s="59" t="s">
        <v>409</v>
      </c>
      <c r="C1" s="59" t="s">
        <v>393</v>
      </c>
      <c r="D1" s="60" t="s">
        <v>0</v>
      </c>
      <c r="E1" s="60" t="s">
        <v>1</v>
      </c>
      <c r="F1" s="60" t="s">
        <v>391</v>
      </c>
      <c r="G1" s="59" t="s">
        <v>406</v>
      </c>
      <c r="H1" s="59" t="s">
        <v>408</v>
      </c>
      <c r="I1" s="61" t="s">
        <v>397</v>
      </c>
      <c r="J1" s="61" t="s">
        <v>395</v>
      </c>
      <c r="K1" s="61" t="s">
        <v>398</v>
      </c>
      <c r="L1" s="61" t="s">
        <v>389</v>
      </c>
      <c r="M1" s="61" t="s">
        <v>376</v>
      </c>
      <c r="N1" s="59" t="s">
        <v>396</v>
      </c>
      <c r="O1" s="59" t="s">
        <v>407</v>
      </c>
      <c r="P1" s="59" t="s">
        <v>401</v>
      </c>
      <c r="Q1" s="59" t="s">
        <v>402</v>
      </c>
      <c r="R1" s="59" t="s">
        <v>403</v>
      </c>
      <c r="S1" s="59" t="s">
        <v>430</v>
      </c>
      <c r="T1" s="59" t="s">
        <v>738</v>
      </c>
      <c r="U1" s="59" t="s">
        <v>399</v>
      </c>
      <c r="V1" s="59" t="s">
        <v>400</v>
      </c>
      <c r="W1" s="60" t="s">
        <v>2</v>
      </c>
      <c r="X1" s="60" t="s">
        <v>390</v>
      </c>
      <c r="Y1" s="60" t="s">
        <v>3480</v>
      </c>
      <c r="Z1" s="62" t="s">
        <v>529</v>
      </c>
      <c r="AA1" s="63" t="s">
        <v>528</v>
      </c>
      <c r="AB1" s="61" t="s">
        <v>3</v>
      </c>
      <c r="AC1" s="61" t="s">
        <v>4</v>
      </c>
    </row>
    <row r="2" spans="1:29" ht="38.25" x14ac:dyDescent="0.15">
      <c r="A2" s="98">
        <v>1</v>
      </c>
      <c r="B2" s="99">
        <v>112917</v>
      </c>
      <c r="C2" s="98" t="s">
        <v>6329</v>
      </c>
      <c r="D2" s="100" t="s">
        <v>5</v>
      </c>
      <c r="E2" s="100" t="s">
        <v>6</v>
      </c>
      <c r="F2" s="100" t="s">
        <v>7</v>
      </c>
      <c r="G2" s="98" t="s">
        <v>8</v>
      </c>
      <c r="H2" s="98" t="str">
        <f>VLOOKUP(G2,CGS[],2,FALSE)</f>
        <v>CMA</v>
      </c>
      <c r="I2" s="65">
        <v>1175</v>
      </c>
      <c r="J2" s="101">
        <f>IF(ISBLANK(Pricelist[[#This Row],[EBS]]),"",VALUE(LEFT(Pricelist[[#This Row],[EBS]],LEN(Pricelist[[#This Row],[EBS]])-LEN(Pricelist[[#This Row],[E2]])-1)))</f>
        <v>55</v>
      </c>
      <c r="K2" s="65">
        <v>2050</v>
      </c>
      <c r="L2" s="101">
        <f>IF(ISBLANK(Pricelist[[#This Row],[EBS]]),"",VALUE(RIGHT(Pricelist[[#This Row],[EBS]],3)))</f>
        <v>110</v>
      </c>
      <c r="M2" s="65">
        <v>2050</v>
      </c>
      <c r="N2" s="101">
        <f>IF(ISBLANK(Pricelist[[#This Row],[EBS]]),"",VALUE(RIGHT(Pricelist[[#This Row],[EBS]],3)))</f>
        <v>110</v>
      </c>
      <c r="O2" s="101" t="str">
        <f>IF(AND(Pricelist[[#This Row],[AE1]]&lt;&gt;"",OR(Pricelist[[#This Row],[区]]="南",Pricelist[[#This Row],[区]]="北")),MID(Pricelist[[#This Row],[AE1]],4,2),"")</f>
        <v/>
      </c>
      <c r="P2" s="102">
        <v>1450</v>
      </c>
      <c r="Q2" s="103">
        <v>2500</v>
      </c>
      <c r="R2" s="103">
        <v>2500</v>
      </c>
      <c r="S2" s="104" t="s">
        <v>2204</v>
      </c>
      <c r="T2" s="104"/>
      <c r="U2" s="105" t="s">
        <v>505</v>
      </c>
      <c r="V2" s="100" t="s">
        <v>504</v>
      </c>
      <c r="W2" s="106" t="s">
        <v>10</v>
      </c>
      <c r="X2" s="106" t="s">
        <v>11</v>
      </c>
      <c r="Y2" s="106">
        <v>25</v>
      </c>
      <c r="Z2" s="107">
        <v>43435</v>
      </c>
      <c r="AA2" s="108">
        <v>43448</v>
      </c>
      <c r="AB2" s="109" t="s">
        <v>5311</v>
      </c>
      <c r="AC2" s="109"/>
    </row>
    <row r="3" spans="1:29" ht="51" x14ac:dyDescent="0.15">
      <c r="A3" s="98">
        <v>2</v>
      </c>
      <c r="B3" s="99">
        <v>112917</v>
      </c>
      <c r="C3" s="98" t="s">
        <v>6329</v>
      </c>
      <c r="D3" s="100" t="s">
        <v>5</v>
      </c>
      <c r="E3" s="100" t="s">
        <v>6</v>
      </c>
      <c r="F3" s="100" t="s">
        <v>7</v>
      </c>
      <c r="G3" s="98" t="s">
        <v>9</v>
      </c>
      <c r="H3" s="98" t="str">
        <f>VLOOKUP(G3,CGS[],2,FALSE)</f>
        <v>COSCO</v>
      </c>
      <c r="I3" s="65">
        <v>1125</v>
      </c>
      <c r="J3" s="101">
        <f>IF(ISBLANK(Pricelist[[#This Row],[EBS]]),"",VALUE(LEFT(Pricelist[[#This Row],[EBS]],LEN(Pricelist[[#This Row],[EBS]])-LEN(Pricelist[[#This Row],[E2]])-1)))</f>
        <v>60</v>
      </c>
      <c r="K3" s="65">
        <v>2050</v>
      </c>
      <c r="L3" s="101">
        <f>IF(ISBLANK(Pricelist[[#This Row],[EBS]]),"",VALUE(RIGHT(Pricelist[[#This Row],[EBS]],3)))</f>
        <v>120</v>
      </c>
      <c r="M3" s="65">
        <v>2050</v>
      </c>
      <c r="N3" s="101">
        <f>IF(ISBLANK(Pricelist[[#This Row],[EBS]]),"",VALUE(RIGHT(Pricelist[[#This Row],[EBS]],3)))</f>
        <v>120</v>
      </c>
      <c r="O3" s="101" t="str">
        <f>IF(AND(Pricelist[[#This Row],[AE1]]&lt;&gt;"",OR(Pricelist[[#This Row],[区]]="南",Pricelist[[#This Row],[区]]="北")),MID(Pricelist[[#This Row],[AE1]],4,2),"")</f>
        <v/>
      </c>
      <c r="P3" s="102">
        <v>1150</v>
      </c>
      <c r="Q3" s="103">
        <v>2100</v>
      </c>
      <c r="R3" s="103">
        <v>2100</v>
      </c>
      <c r="S3" s="104" t="s">
        <v>2199</v>
      </c>
      <c r="T3" s="104"/>
      <c r="U3" s="105" t="s">
        <v>2185</v>
      </c>
      <c r="V3" s="100" t="s">
        <v>504</v>
      </c>
      <c r="W3" s="106" t="s">
        <v>10</v>
      </c>
      <c r="X3" s="106" t="s">
        <v>11</v>
      </c>
      <c r="Y3" s="106">
        <v>25</v>
      </c>
      <c r="Z3" s="107">
        <v>43435</v>
      </c>
      <c r="AA3" s="108">
        <v>43448</v>
      </c>
      <c r="AB3" s="109" t="s">
        <v>6325</v>
      </c>
      <c r="AC3" s="109" t="s">
        <v>12</v>
      </c>
    </row>
    <row r="4" spans="1:29" x14ac:dyDescent="0.15">
      <c r="A4" s="98">
        <v>3</v>
      </c>
      <c r="B4" s="99">
        <v>112917</v>
      </c>
      <c r="C4" s="98" t="s">
        <v>6329</v>
      </c>
      <c r="D4" s="100" t="s">
        <v>5</v>
      </c>
      <c r="E4" s="100" t="s">
        <v>6</v>
      </c>
      <c r="F4" s="100" t="s">
        <v>7</v>
      </c>
      <c r="G4" s="98" t="s">
        <v>13</v>
      </c>
      <c r="H4" s="98" t="str">
        <f>VLOOKUP(G4,CGS[],2,FALSE)</f>
        <v>EMC</v>
      </c>
      <c r="I4" s="65">
        <v>1075</v>
      </c>
      <c r="J4" s="101" t="str">
        <f>IF(ISBLANK(Pricelist[[#This Row],[EBS]]),"",VALUE(LEFT(Pricelist[[#This Row],[EBS]],LEN(Pricelist[[#This Row],[EBS]])-LEN(Pricelist[[#This Row],[E2]])-1)))</f>
        <v/>
      </c>
      <c r="K4" s="65">
        <v>1950</v>
      </c>
      <c r="L4" s="101" t="str">
        <f>IF(ISBLANK(Pricelist[[#This Row],[EBS]]),"",VALUE(RIGHT(Pricelist[[#This Row],[EBS]],3)))</f>
        <v/>
      </c>
      <c r="M4" s="65">
        <v>1950</v>
      </c>
      <c r="N4" s="101" t="str">
        <f>IF(ISBLANK(Pricelist[[#This Row],[EBS]]),"",VALUE(RIGHT(Pricelist[[#This Row],[EBS]],3)))</f>
        <v/>
      </c>
      <c r="O4" s="101" t="str">
        <f>IF(AND(Pricelist[[#This Row],[AE1]]&lt;&gt;"",OR(Pricelist[[#This Row],[区]]="南",Pricelist[[#This Row],[区]]="北")),MID(Pricelist[[#This Row],[AE1]],4,2),"")</f>
        <v/>
      </c>
      <c r="P4" s="102">
        <v>1100</v>
      </c>
      <c r="Q4" s="103">
        <v>2000</v>
      </c>
      <c r="R4" s="103">
        <v>2000</v>
      </c>
      <c r="S4" s="104"/>
      <c r="T4" s="104"/>
      <c r="U4" s="105" t="s">
        <v>505</v>
      </c>
      <c r="V4" s="100" t="s">
        <v>504</v>
      </c>
      <c r="W4" s="106" t="s">
        <v>10</v>
      </c>
      <c r="X4" s="106" t="s">
        <v>11</v>
      </c>
      <c r="Y4" s="106">
        <v>30</v>
      </c>
      <c r="Z4" s="107">
        <v>43435</v>
      </c>
      <c r="AA4" s="108">
        <v>43442</v>
      </c>
      <c r="AB4" s="109" t="s">
        <v>2186</v>
      </c>
      <c r="AC4" s="109"/>
    </row>
    <row r="5" spans="1:29" x14ac:dyDescent="0.15">
      <c r="A5" s="98">
        <v>4</v>
      </c>
      <c r="B5" s="99">
        <v>112917</v>
      </c>
      <c r="C5" s="98" t="s">
        <v>6329</v>
      </c>
      <c r="D5" s="100" t="s">
        <v>5</v>
      </c>
      <c r="E5" s="100" t="s">
        <v>6</v>
      </c>
      <c r="F5" s="100" t="s">
        <v>7</v>
      </c>
      <c r="G5" s="98" t="s">
        <v>14</v>
      </c>
      <c r="H5" s="98" t="str">
        <f>VLOOKUP(G5,CGS[],2,FALSE)</f>
        <v>EMI</v>
      </c>
      <c r="I5" s="65">
        <v>1017</v>
      </c>
      <c r="J5" s="101" t="str">
        <f>IF(ISBLANK(Pricelist[[#This Row],[EBS]]),"",VALUE(LEFT(Pricelist[[#This Row],[EBS]],LEN(Pricelist[[#This Row],[EBS]])-LEN(Pricelist[[#This Row],[E2]])-1)))</f>
        <v/>
      </c>
      <c r="K5" s="65">
        <v>1817</v>
      </c>
      <c r="L5" s="101" t="str">
        <f>IF(ISBLANK(Pricelist[[#This Row],[EBS]]),"",VALUE(RIGHT(Pricelist[[#This Row],[EBS]],3)))</f>
        <v/>
      </c>
      <c r="M5" s="65">
        <v>1817</v>
      </c>
      <c r="N5" s="101" t="str">
        <f>IF(ISBLANK(Pricelist[[#This Row],[EBS]]),"",VALUE(RIGHT(Pricelist[[#This Row],[EBS]],3)))</f>
        <v/>
      </c>
      <c r="O5" s="101" t="str">
        <f>IF(AND(Pricelist[[#This Row],[AE1]]&lt;&gt;"",OR(Pricelist[[#This Row],[区]]="南",Pricelist[[#This Row],[区]]="北")),MID(Pricelist[[#This Row],[AE1]],4,2),"")</f>
        <v/>
      </c>
      <c r="P5" s="102">
        <v>1042</v>
      </c>
      <c r="Q5" s="103">
        <v>1867</v>
      </c>
      <c r="R5" s="103">
        <v>1867</v>
      </c>
      <c r="S5" s="104"/>
      <c r="T5" s="104"/>
      <c r="U5" s="105" t="s">
        <v>4956</v>
      </c>
      <c r="V5" s="100" t="s">
        <v>4957</v>
      </c>
      <c r="W5" s="106" t="s">
        <v>4958</v>
      </c>
      <c r="X5" s="106" t="s">
        <v>4959</v>
      </c>
      <c r="Y5" s="106" t="s">
        <v>4960</v>
      </c>
      <c r="Z5" s="107">
        <v>43437</v>
      </c>
      <c r="AA5" s="108">
        <v>43443</v>
      </c>
      <c r="AB5" s="109"/>
      <c r="AC5" s="109"/>
    </row>
    <row r="6" spans="1:29" x14ac:dyDescent="0.15">
      <c r="A6" s="98">
        <v>5</v>
      </c>
      <c r="B6" s="99">
        <v>112917</v>
      </c>
      <c r="C6" s="98" t="s">
        <v>6329</v>
      </c>
      <c r="D6" s="100" t="s">
        <v>5</v>
      </c>
      <c r="E6" s="100" t="s">
        <v>6</v>
      </c>
      <c r="F6" s="100" t="s">
        <v>7</v>
      </c>
      <c r="G6" s="98" t="s">
        <v>17</v>
      </c>
      <c r="H6" s="98" t="str">
        <f>VLOOKUP(G6,CGS[],2,FALSE)</f>
        <v>MSC</v>
      </c>
      <c r="I6" s="65">
        <v>1031</v>
      </c>
      <c r="J6" s="101">
        <f>IF(ISBLANK(Pricelist[[#This Row],[EBS]]),"",VALUE(LEFT(Pricelist[[#This Row],[EBS]],LEN(Pricelist[[#This Row],[EBS]])-LEN(Pricelist[[#This Row],[E2]])-1)))</f>
        <v>100</v>
      </c>
      <c r="K6" s="65">
        <v>1406</v>
      </c>
      <c r="L6" s="101">
        <f>IF(ISBLANK(Pricelist[[#This Row],[EBS]]),"",VALUE(RIGHT(Pricelist[[#This Row],[EBS]],3)))</f>
        <v>200</v>
      </c>
      <c r="M6" s="65">
        <v>1406</v>
      </c>
      <c r="N6" s="101">
        <f>IF(ISBLANK(Pricelist[[#This Row],[EBS]]),"",VALUE(RIGHT(Pricelist[[#This Row],[EBS]],3)))</f>
        <v>200</v>
      </c>
      <c r="O6" s="101" t="str">
        <f>IF(AND(Pricelist[[#This Row],[AE1]]&lt;&gt;"",OR(Pricelist[[#This Row],[区]]="南",Pricelist[[#This Row],[区]]="北")),MID(Pricelist[[#This Row],[AE1]],4,2),"")</f>
        <v/>
      </c>
      <c r="P6" s="102">
        <v>1031</v>
      </c>
      <c r="Q6" s="103">
        <v>1406</v>
      </c>
      <c r="R6" s="103">
        <v>1406</v>
      </c>
      <c r="S6" s="104" t="s">
        <v>6328</v>
      </c>
      <c r="T6" s="104"/>
      <c r="U6" s="105" t="s">
        <v>506</v>
      </c>
      <c r="V6" s="100" t="s">
        <v>507</v>
      </c>
      <c r="W6" s="106" t="s">
        <v>410</v>
      </c>
      <c r="X6" s="106" t="s">
        <v>257</v>
      </c>
      <c r="Y6" s="106">
        <v>38</v>
      </c>
      <c r="Z6" s="107">
        <v>43435</v>
      </c>
      <c r="AA6" s="108">
        <v>43449</v>
      </c>
      <c r="AB6" s="109" t="s">
        <v>3679</v>
      </c>
      <c r="AC6" s="109"/>
    </row>
    <row r="7" spans="1:29" x14ac:dyDescent="0.15">
      <c r="A7" s="98">
        <v>6</v>
      </c>
      <c r="B7" s="99">
        <v>112917</v>
      </c>
      <c r="C7" s="98" t="s">
        <v>6329</v>
      </c>
      <c r="D7" s="100" t="s">
        <v>5</v>
      </c>
      <c r="E7" s="100" t="s">
        <v>6</v>
      </c>
      <c r="F7" s="100" t="s">
        <v>7</v>
      </c>
      <c r="G7" s="98" t="s">
        <v>18</v>
      </c>
      <c r="H7" s="98" t="str">
        <f>VLOOKUP(G7,CGS[],2,FALSE)</f>
        <v>PIL</v>
      </c>
      <c r="I7" s="65">
        <v>1384</v>
      </c>
      <c r="J7" s="101" t="str">
        <f>IF(ISBLANK(Pricelist[[#This Row],[EBS]]),"",VALUE(LEFT(Pricelist[[#This Row],[EBS]],LEN(Pricelist[[#This Row],[EBS]])-LEN(Pricelist[[#This Row],[E2]])-1)))</f>
        <v/>
      </c>
      <c r="K7" s="65">
        <v>2459</v>
      </c>
      <c r="L7" s="101" t="str">
        <f>IF(ISBLANK(Pricelist[[#This Row],[EBS]]),"",VALUE(RIGHT(Pricelist[[#This Row],[EBS]],3)))</f>
        <v/>
      </c>
      <c r="M7" s="65">
        <v>2459</v>
      </c>
      <c r="N7" s="101" t="str">
        <f>IF(ISBLANK(Pricelist[[#This Row],[EBS]]),"",VALUE(RIGHT(Pricelist[[#This Row],[EBS]],3)))</f>
        <v/>
      </c>
      <c r="O7" s="101" t="str">
        <f>IF(AND(Pricelist[[#This Row],[AE1]]&lt;&gt;"",OR(Pricelist[[#This Row],[区]]="南",Pricelist[[#This Row],[区]]="北")),MID(Pricelist[[#This Row],[AE1]],4,2),"")</f>
        <v/>
      </c>
      <c r="P7" s="102">
        <v>1434</v>
      </c>
      <c r="Q7" s="103">
        <v>2559</v>
      </c>
      <c r="R7" s="103">
        <v>2559</v>
      </c>
      <c r="S7" s="104"/>
      <c r="T7" s="104"/>
      <c r="U7" s="105" t="s">
        <v>508</v>
      </c>
      <c r="V7" s="100" t="s">
        <v>504</v>
      </c>
      <c r="W7" s="106" t="s">
        <v>10</v>
      </c>
      <c r="X7" s="106" t="s">
        <v>11</v>
      </c>
      <c r="Y7" s="106">
        <v>25</v>
      </c>
      <c r="Z7" s="107">
        <v>43435</v>
      </c>
      <c r="AA7" s="108">
        <v>43448</v>
      </c>
      <c r="AB7" s="109"/>
      <c r="AC7" s="109"/>
    </row>
    <row r="8" spans="1:29" x14ac:dyDescent="0.15">
      <c r="A8" s="98">
        <v>7</v>
      </c>
      <c r="B8" s="99">
        <v>112917</v>
      </c>
      <c r="C8" s="98" t="s">
        <v>6329</v>
      </c>
      <c r="D8" s="100" t="s">
        <v>5</v>
      </c>
      <c r="E8" s="100" t="s">
        <v>6</v>
      </c>
      <c r="F8" s="100" t="s">
        <v>7</v>
      </c>
      <c r="G8" s="98" t="s">
        <v>19</v>
      </c>
      <c r="H8" s="98" t="str">
        <f>VLOOKUP(G8,CGS[],2,FALSE)</f>
        <v>OOCL</v>
      </c>
      <c r="I8" s="65">
        <v>850</v>
      </c>
      <c r="J8" s="101" t="str">
        <f>IF(ISBLANK(Pricelist[[#This Row],[EBS]]),"",VALUE(LEFT(Pricelist[[#This Row],[EBS]],LEN(Pricelist[[#This Row],[EBS]])-LEN(Pricelist[[#This Row],[E2]])-1)))</f>
        <v/>
      </c>
      <c r="K8" s="65">
        <v>1500</v>
      </c>
      <c r="L8" s="101" t="str">
        <f>IF(ISBLANK(Pricelist[[#This Row],[EBS]]),"",VALUE(RIGHT(Pricelist[[#This Row],[EBS]],3)))</f>
        <v/>
      </c>
      <c r="M8" s="65">
        <v>1500</v>
      </c>
      <c r="N8" s="101" t="str">
        <f>IF(ISBLANK(Pricelist[[#This Row],[EBS]]),"",VALUE(RIGHT(Pricelist[[#This Row],[EBS]],3)))</f>
        <v/>
      </c>
      <c r="O8" s="101" t="str">
        <f>IF(AND(Pricelist[[#This Row],[AE1]]&lt;&gt;"",OR(Pricelist[[#This Row],[区]]="南",Pricelist[[#This Row],[区]]="北")),MID(Pricelist[[#This Row],[AE1]],4,2),"")</f>
        <v/>
      </c>
      <c r="P8" s="102">
        <v>875</v>
      </c>
      <c r="Q8" s="103">
        <v>1550</v>
      </c>
      <c r="R8" s="103">
        <v>1550</v>
      </c>
      <c r="S8" s="104"/>
      <c r="T8" s="104"/>
      <c r="U8" s="105" t="s">
        <v>508</v>
      </c>
      <c r="V8" s="100" t="s">
        <v>504</v>
      </c>
      <c r="W8" s="106" t="s">
        <v>10</v>
      </c>
      <c r="X8" s="106" t="s">
        <v>11</v>
      </c>
      <c r="Y8" s="106">
        <v>25</v>
      </c>
      <c r="Z8" s="107">
        <v>43425</v>
      </c>
      <c r="AA8" s="108">
        <v>43448</v>
      </c>
      <c r="AB8" s="109" t="s">
        <v>3680</v>
      </c>
      <c r="AC8" s="109"/>
    </row>
    <row r="9" spans="1:29" x14ac:dyDescent="0.15">
      <c r="A9" s="98">
        <v>8</v>
      </c>
      <c r="B9" s="99">
        <v>112917</v>
      </c>
      <c r="C9" s="98" t="s">
        <v>6329</v>
      </c>
      <c r="D9" s="100" t="s">
        <v>5</v>
      </c>
      <c r="E9" s="100" t="s">
        <v>6</v>
      </c>
      <c r="F9" s="100" t="s">
        <v>7</v>
      </c>
      <c r="G9" s="98" t="s">
        <v>20</v>
      </c>
      <c r="H9" s="98" t="str">
        <f>VLOOKUP(G9,CGS[],2,FALSE)</f>
        <v>HPL</v>
      </c>
      <c r="I9" s="65">
        <v>1125</v>
      </c>
      <c r="J9" s="101">
        <f>IF(ISBLANK(Pricelist[[#This Row],[EBS]]),"",VALUE(LEFT(Pricelist[[#This Row],[EBS]],LEN(Pricelist[[#This Row],[EBS]])-LEN(Pricelist[[#This Row],[E2]])-1)))</f>
        <v>55</v>
      </c>
      <c r="K9" s="65">
        <v>1850</v>
      </c>
      <c r="L9" s="101">
        <f>IF(ISBLANK(Pricelist[[#This Row],[EBS]]),"",VALUE(RIGHT(Pricelist[[#This Row],[EBS]],3)))</f>
        <v>110</v>
      </c>
      <c r="M9" s="65">
        <v>1850</v>
      </c>
      <c r="N9" s="101">
        <f>IF(ISBLANK(Pricelist[[#This Row],[EBS]]),"",VALUE(RIGHT(Pricelist[[#This Row],[EBS]],3)))</f>
        <v>110</v>
      </c>
      <c r="O9" s="101" t="str">
        <f>IF(AND(Pricelist[[#This Row],[AE1]]&lt;&gt;"",OR(Pricelist[[#This Row],[区]]="南",Pricelist[[#This Row],[区]]="北")),MID(Pricelist[[#This Row],[AE1]],4,2),"")</f>
        <v/>
      </c>
      <c r="P9" s="102">
        <v>1150</v>
      </c>
      <c r="Q9" s="103">
        <v>1900</v>
      </c>
      <c r="R9" s="103">
        <v>1900</v>
      </c>
      <c r="S9" s="104" t="s">
        <v>2204</v>
      </c>
      <c r="T9" s="104"/>
      <c r="U9" s="105" t="s">
        <v>511</v>
      </c>
      <c r="V9" s="100" t="s">
        <v>507</v>
      </c>
      <c r="W9" s="106" t="s">
        <v>3681</v>
      </c>
      <c r="X9" s="106" t="s">
        <v>38</v>
      </c>
      <c r="Y9" s="106">
        <v>39</v>
      </c>
      <c r="Z9" s="107">
        <v>43435</v>
      </c>
      <c r="AA9" s="108">
        <v>43449</v>
      </c>
      <c r="AB9" s="109"/>
      <c r="AC9" s="109"/>
    </row>
    <row r="10" spans="1:29" x14ac:dyDescent="0.15">
      <c r="A10" s="98">
        <v>9</v>
      </c>
      <c r="B10" s="99">
        <v>112917</v>
      </c>
      <c r="C10" s="98" t="s">
        <v>6329</v>
      </c>
      <c r="D10" s="100" t="s">
        <v>5</v>
      </c>
      <c r="E10" s="100" t="s">
        <v>6</v>
      </c>
      <c r="F10" s="100" t="s">
        <v>7</v>
      </c>
      <c r="G10" s="98" t="s">
        <v>21</v>
      </c>
      <c r="H10" s="98" t="str">
        <f>VLOOKUP(G10,CGS[],2,FALSE)</f>
        <v>MSK</v>
      </c>
      <c r="I10" s="65">
        <v>1410</v>
      </c>
      <c r="J10" s="101" t="str">
        <f>IF(ISBLANK(Pricelist[[#This Row],[EBS]]),"",VALUE(LEFT(Pricelist[[#This Row],[EBS]],LEN(Pricelist[[#This Row],[EBS]])-LEN(Pricelist[[#This Row],[E2]])-1)))</f>
        <v/>
      </c>
      <c r="K10" s="65">
        <v>2520</v>
      </c>
      <c r="L10" s="101" t="str">
        <f>IF(ISBLANK(Pricelist[[#This Row],[EBS]]),"",VALUE(RIGHT(Pricelist[[#This Row],[EBS]],3)))</f>
        <v/>
      </c>
      <c r="M10" s="65">
        <v>2520</v>
      </c>
      <c r="N10" s="101" t="str">
        <f>IF(ISBLANK(Pricelist[[#This Row],[EBS]]),"",VALUE(RIGHT(Pricelist[[#This Row],[EBS]],3)))</f>
        <v/>
      </c>
      <c r="O10" s="101" t="str">
        <f>IF(AND(Pricelist[[#This Row],[AE1]]&lt;&gt;"",OR(Pricelist[[#This Row],[区]]="南",Pricelist[[#This Row],[区]]="北")),MID(Pricelist[[#This Row],[AE1]],4,2),"")</f>
        <v/>
      </c>
      <c r="P10" s="102">
        <v>1435</v>
      </c>
      <c r="Q10" s="103">
        <v>2570</v>
      </c>
      <c r="R10" s="103">
        <v>2570</v>
      </c>
      <c r="S10" s="104"/>
      <c r="T10" s="104"/>
      <c r="U10" s="105" t="s">
        <v>506</v>
      </c>
      <c r="V10" s="100" t="s">
        <v>507</v>
      </c>
      <c r="W10" s="106" t="s">
        <v>22</v>
      </c>
      <c r="X10" s="106" t="s">
        <v>23</v>
      </c>
      <c r="Y10" s="106">
        <v>23</v>
      </c>
      <c r="Z10" s="107">
        <v>43435</v>
      </c>
      <c r="AA10" s="108">
        <v>43449</v>
      </c>
      <c r="AB10" s="109"/>
      <c r="AC10" s="109"/>
    </row>
    <row r="11" spans="1:29" x14ac:dyDescent="0.15">
      <c r="A11" s="98">
        <v>10</v>
      </c>
      <c r="B11" s="99">
        <v>112917</v>
      </c>
      <c r="C11" s="98" t="s">
        <v>6329</v>
      </c>
      <c r="D11" s="100" t="s">
        <v>5</v>
      </c>
      <c r="E11" s="100" t="s">
        <v>6</v>
      </c>
      <c r="F11" s="100" t="s">
        <v>7</v>
      </c>
      <c r="G11" s="98" t="s">
        <v>36</v>
      </c>
      <c r="H11" s="98" t="str">
        <f>VLOOKUP(G11,CGS[],2,FALSE)</f>
        <v>BLINE</v>
      </c>
      <c r="I11" s="65">
        <v>825</v>
      </c>
      <c r="J11" s="101">
        <f>IF(ISBLANK(Pricelist[[#This Row],[EBS]]),"",VALUE(LEFT(Pricelist[[#This Row],[EBS]],LEN(Pricelist[[#This Row],[EBS]])-LEN(Pricelist[[#This Row],[E2]])-1)))</f>
        <v>50</v>
      </c>
      <c r="L11" s="101">
        <f>IF(ISBLANK(Pricelist[[#This Row],[EBS]]),"",VALUE(RIGHT(Pricelist[[#This Row],[EBS]],3)))</f>
        <v>100</v>
      </c>
      <c r="N11" s="101">
        <f>IF(ISBLANK(Pricelist[[#This Row],[EBS]]),"",VALUE(RIGHT(Pricelist[[#This Row],[EBS]],3)))</f>
        <v>100</v>
      </c>
      <c r="O11" s="101" t="str">
        <f>IF(AND(Pricelist[[#This Row],[AE1]]&lt;&gt;"",OR(Pricelist[[#This Row],[区]]="南",Pricelist[[#This Row],[区]]="北")),MID(Pricelist[[#This Row],[AE1]],4,2),"")</f>
        <v/>
      </c>
      <c r="P11" s="102">
        <v>850</v>
      </c>
      <c r="Q11" s="103"/>
      <c r="R11" s="103"/>
      <c r="S11" s="104" t="s">
        <v>2205</v>
      </c>
      <c r="T11" s="104"/>
      <c r="U11" s="105" t="s">
        <v>505</v>
      </c>
      <c r="V11" s="100" t="s">
        <v>504</v>
      </c>
      <c r="W11" s="106" t="s">
        <v>10</v>
      </c>
      <c r="X11" s="106" t="s">
        <v>11</v>
      </c>
      <c r="Y11" s="106">
        <v>30</v>
      </c>
      <c r="Z11" s="107">
        <v>43416</v>
      </c>
      <c r="AA11" s="108">
        <v>43422</v>
      </c>
      <c r="AB11" s="109" t="s">
        <v>39</v>
      </c>
      <c r="AC11" s="109"/>
    </row>
    <row r="12" spans="1:29" x14ac:dyDescent="0.15">
      <c r="A12" s="98">
        <v>11</v>
      </c>
      <c r="B12" s="99">
        <v>112917</v>
      </c>
      <c r="C12" s="98" t="s">
        <v>6329</v>
      </c>
      <c r="D12" s="100" t="s">
        <v>5</v>
      </c>
      <c r="E12" s="100" t="s">
        <v>6</v>
      </c>
      <c r="F12" s="100" t="s">
        <v>7</v>
      </c>
      <c r="G12" s="98" t="s">
        <v>24</v>
      </c>
      <c r="H12" s="98" t="str">
        <f>VLOOKUP(G12,CGS[],2,FALSE)</f>
        <v>SAF</v>
      </c>
      <c r="I12" s="65">
        <v>1350</v>
      </c>
      <c r="J12" s="101">
        <f>IF(ISBLANK(Pricelist[[#This Row],[EBS]]),"",VALUE(LEFT(Pricelist[[#This Row],[EBS]],LEN(Pricelist[[#This Row],[EBS]])-LEN(Pricelist[[#This Row],[E2]])-1)))</f>
        <v>60</v>
      </c>
      <c r="K12" s="65">
        <v>2400</v>
      </c>
      <c r="L12" s="101">
        <f>IF(ISBLANK(Pricelist[[#This Row],[EBS]]),"",VALUE(RIGHT(Pricelist[[#This Row],[EBS]],3)))</f>
        <v>120</v>
      </c>
      <c r="M12" s="65">
        <v>2400</v>
      </c>
      <c r="N12" s="101">
        <f>IF(ISBLANK(Pricelist[[#This Row],[EBS]]),"",VALUE(RIGHT(Pricelist[[#This Row],[EBS]],3)))</f>
        <v>120</v>
      </c>
      <c r="O12" s="101" t="str">
        <f>IF(AND(Pricelist[[#This Row],[AE1]]&lt;&gt;"",OR(Pricelist[[#This Row],[区]]="南",Pricelist[[#This Row],[区]]="北")),MID(Pricelist[[#This Row],[AE1]],4,2),"")</f>
        <v/>
      </c>
      <c r="P12" s="102">
        <v>1350</v>
      </c>
      <c r="Q12" s="103">
        <v>2400</v>
      </c>
      <c r="R12" s="103">
        <v>2400</v>
      </c>
      <c r="S12" s="104" t="s">
        <v>2199</v>
      </c>
      <c r="T12" s="104"/>
      <c r="U12" s="105" t="s">
        <v>505</v>
      </c>
      <c r="V12" s="100" t="s">
        <v>507</v>
      </c>
      <c r="W12" s="106" t="s">
        <v>22</v>
      </c>
      <c r="X12" s="106" t="s">
        <v>23</v>
      </c>
      <c r="Y12" s="106">
        <v>23</v>
      </c>
      <c r="Z12" s="107">
        <v>43435</v>
      </c>
      <c r="AA12" s="108">
        <v>43450</v>
      </c>
      <c r="AB12" s="109" t="s">
        <v>25</v>
      </c>
      <c r="AC12" s="109"/>
    </row>
    <row r="13" spans="1:29" ht="38.25" hidden="1" x14ac:dyDescent="0.15">
      <c r="A13" s="98">
        <v>12</v>
      </c>
      <c r="B13" s="99">
        <v>112917</v>
      </c>
      <c r="C13" s="98" t="s">
        <v>6329</v>
      </c>
      <c r="D13" s="100" t="s">
        <v>26</v>
      </c>
      <c r="E13" s="100" t="s">
        <v>27</v>
      </c>
      <c r="F13" s="100" t="s">
        <v>28</v>
      </c>
      <c r="G13" s="98" t="s">
        <v>8</v>
      </c>
      <c r="H13" s="98" t="str">
        <f>VLOOKUP(G13,CGS[],2,FALSE)</f>
        <v>CMA</v>
      </c>
      <c r="I13" s="65">
        <v>1175</v>
      </c>
      <c r="J13" s="101">
        <f>IF(ISBLANK(Pricelist[[#This Row],[EBS]]),"",VALUE(LEFT(Pricelist[[#This Row],[EBS]],LEN(Pricelist[[#This Row],[EBS]])-LEN(Pricelist[[#This Row],[E2]])-1)))</f>
        <v>55</v>
      </c>
      <c r="K13" s="65">
        <v>2050</v>
      </c>
      <c r="L13" s="101">
        <f>IF(ISBLANK(Pricelist[[#This Row],[EBS]]),"",VALUE(RIGHT(Pricelist[[#This Row],[EBS]],3)))</f>
        <v>110</v>
      </c>
      <c r="M13" s="65">
        <v>2050</v>
      </c>
      <c r="N13" s="101">
        <f>IF(ISBLANK(Pricelist[[#This Row],[EBS]]),"",VALUE(RIGHT(Pricelist[[#This Row],[EBS]],3)))</f>
        <v>110</v>
      </c>
      <c r="O13" s="101" t="str">
        <f>IF(AND(Pricelist[[#This Row],[AE1]]&lt;&gt;"",OR(Pricelist[[#This Row],[区]]="南",Pricelist[[#This Row],[区]]="北")),MID(Pricelist[[#This Row],[AE1]],4,2),"")</f>
        <v/>
      </c>
      <c r="P13" s="102">
        <v>1450</v>
      </c>
      <c r="Q13" s="103">
        <v>2500</v>
      </c>
      <c r="R13" s="103">
        <v>2500</v>
      </c>
      <c r="S13" s="104" t="s">
        <v>2204</v>
      </c>
      <c r="T13" s="104"/>
      <c r="U13" s="105" t="s">
        <v>2187</v>
      </c>
      <c r="V13" s="100" t="s">
        <v>2188</v>
      </c>
      <c r="W13" s="106" t="s">
        <v>3682</v>
      </c>
      <c r="X13" s="106" t="s">
        <v>2189</v>
      </c>
      <c r="Y13" s="106">
        <v>25</v>
      </c>
      <c r="Z13" s="107">
        <v>43435</v>
      </c>
      <c r="AA13" s="108">
        <v>43448</v>
      </c>
      <c r="AB13" s="109" t="s">
        <v>5312</v>
      </c>
      <c r="AC13" s="109"/>
    </row>
    <row r="14" spans="1:29" hidden="1" x14ac:dyDescent="0.15">
      <c r="A14" s="98">
        <v>13</v>
      </c>
      <c r="B14" s="99">
        <v>112917</v>
      </c>
      <c r="C14" s="98" t="s">
        <v>6329</v>
      </c>
      <c r="D14" s="100" t="s">
        <v>26</v>
      </c>
      <c r="E14" s="100" t="s">
        <v>27</v>
      </c>
      <c r="F14" s="100" t="s">
        <v>28</v>
      </c>
      <c r="G14" s="98" t="s">
        <v>9</v>
      </c>
      <c r="H14" s="98" t="str">
        <f>VLOOKUP(G14,CGS[],2,FALSE)</f>
        <v>COSCO</v>
      </c>
      <c r="I14" s="65">
        <v>1125</v>
      </c>
      <c r="J14" s="101">
        <f>IF(ISBLANK(Pricelist[[#This Row],[EBS]]),"",VALUE(LEFT(Pricelist[[#This Row],[EBS]],LEN(Pricelist[[#This Row],[EBS]])-LEN(Pricelist[[#This Row],[E2]])-1)))</f>
        <v>60</v>
      </c>
      <c r="K14" s="65">
        <v>2050</v>
      </c>
      <c r="L14" s="101">
        <f>IF(ISBLANK(Pricelist[[#This Row],[EBS]]),"",VALUE(RIGHT(Pricelist[[#This Row],[EBS]],3)))</f>
        <v>120</v>
      </c>
      <c r="M14" s="65">
        <v>2050</v>
      </c>
      <c r="N14" s="101">
        <f>IF(ISBLANK(Pricelist[[#This Row],[EBS]]),"",VALUE(RIGHT(Pricelist[[#This Row],[EBS]],3)))</f>
        <v>120</v>
      </c>
      <c r="O14" s="101" t="str">
        <f>IF(AND(Pricelist[[#This Row],[AE1]]&lt;&gt;"",OR(Pricelist[[#This Row],[区]]="南",Pricelist[[#This Row],[区]]="北")),MID(Pricelist[[#This Row],[AE1]],4,2),"")</f>
        <v/>
      </c>
      <c r="P14" s="102">
        <v>1150</v>
      </c>
      <c r="Q14" s="103">
        <v>2100</v>
      </c>
      <c r="R14" s="103">
        <v>2100</v>
      </c>
      <c r="S14" s="104" t="s">
        <v>2199</v>
      </c>
      <c r="T14" s="104"/>
      <c r="U14" s="105" t="s">
        <v>2190</v>
      </c>
      <c r="V14" s="100" t="s">
        <v>504</v>
      </c>
      <c r="W14" s="106" t="s">
        <v>2191</v>
      </c>
      <c r="X14" s="106" t="s">
        <v>2192</v>
      </c>
      <c r="Y14" s="106" t="s">
        <v>6245</v>
      </c>
      <c r="Z14" s="107">
        <v>43435</v>
      </c>
      <c r="AA14" s="108">
        <v>43448</v>
      </c>
      <c r="AB14" s="109" t="s">
        <v>2193</v>
      </c>
      <c r="AC14" s="109" t="s">
        <v>12</v>
      </c>
    </row>
    <row r="15" spans="1:29" hidden="1" x14ac:dyDescent="0.15">
      <c r="A15" s="98">
        <v>14</v>
      </c>
      <c r="B15" s="99">
        <v>112917</v>
      </c>
      <c r="C15" s="98" t="s">
        <v>6329</v>
      </c>
      <c r="D15" s="100" t="s">
        <v>26</v>
      </c>
      <c r="E15" s="100" t="s">
        <v>27</v>
      </c>
      <c r="F15" s="100" t="s">
        <v>28</v>
      </c>
      <c r="G15" s="98" t="s">
        <v>13</v>
      </c>
      <c r="H15" s="98" t="str">
        <f>VLOOKUP(G15,CGS[],2,FALSE)</f>
        <v>EMC</v>
      </c>
      <c r="I15" s="65">
        <v>1125</v>
      </c>
      <c r="J15" s="101" t="str">
        <f>IF(ISBLANK(Pricelist[[#This Row],[EBS]]),"",VALUE(LEFT(Pricelist[[#This Row],[EBS]],LEN(Pricelist[[#This Row],[EBS]])-LEN(Pricelist[[#This Row],[E2]])-1)))</f>
        <v/>
      </c>
      <c r="K15" s="65">
        <v>2050</v>
      </c>
      <c r="L15" s="101" t="str">
        <f>IF(ISBLANK(Pricelist[[#This Row],[EBS]]),"",VALUE(RIGHT(Pricelist[[#This Row],[EBS]],3)))</f>
        <v/>
      </c>
      <c r="M15" s="65">
        <v>2050</v>
      </c>
      <c r="N15" s="101" t="str">
        <f>IF(ISBLANK(Pricelist[[#This Row],[EBS]]),"",VALUE(RIGHT(Pricelist[[#This Row],[EBS]],3)))</f>
        <v/>
      </c>
      <c r="O15" s="101" t="str">
        <f>IF(AND(Pricelist[[#This Row],[AE1]]&lt;&gt;"",OR(Pricelist[[#This Row],[区]]="南",Pricelist[[#This Row],[区]]="北")),MID(Pricelist[[#This Row],[AE1]],4,2),"")</f>
        <v/>
      </c>
      <c r="P15" s="102">
        <v>1150</v>
      </c>
      <c r="Q15" s="103">
        <v>2100</v>
      </c>
      <c r="R15" s="103">
        <v>2100</v>
      </c>
      <c r="S15" s="104"/>
      <c r="T15" s="104"/>
      <c r="U15" s="105" t="s">
        <v>505</v>
      </c>
      <c r="V15" s="100" t="s">
        <v>504</v>
      </c>
      <c r="W15" s="106" t="s">
        <v>15</v>
      </c>
      <c r="X15" s="106" t="s">
        <v>16</v>
      </c>
      <c r="Y15" s="106">
        <v>35</v>
      </c>
      <c r="Z15" s="107">
        <v>43435</v>
      </c>
      <c r="AA15" s="108">
        <v>43442</v>
      </c>
      <c r="AB15" s="109" t="s">
        <v>2186</v>
      </c>
      <c r="AC15" s="109"/>
    </row>
    <row r="16" spans="1:29" hidden="1" x14ac:dyDescent="0.15">
      <c r="A16" s="98">
        <v>15</v>
      </c>
      <c r="B16" s="99">
        <v>112917</v>
      </c>
      <c r="C16" s="98" t="s">
        <v>6329</v>
      </c>
      <c r="D16" s="100" t="s">
        <v>26</v>
      </c>
      <c r="E16" s="100" t="s">
        <v>27</v>
      </c>
      <c r="F16" s="100" t="s">
        <v>28</v>
      </c>
      <c r="G16" s="98" t="s">
        <v>14</v>
      </c>
      <c r="H16" s="98" t="str">
        <f>VLOOKUP(G16,CGS[],2,FALSE)</f>
        <v>EMI</v>
      </c>
      <c r="I16" s="65">
        <v>1067</v>
      </c>
      <c r="J16" s="101" t="str">
        <f>IF(ISBLANK(Pricelist[[#This Row],[EBS]]),"",VALUE(LEFT(Pricelist[[#This Row],[EBS]],LEN(Pricelist[[#This Row],[EBS]])-LEN(Pricelist[[#This Row],[E2]])-1)))</f>
        <v/>
      </c>
      <c r="K16" s="65">
        <v>1917</v>
      </c>
      <c r="L16" s="101" t="str">
        <f>IF(ISBLANK(Pricelist[[#This Row],[EBS]]),"",VALUE(RIGHT(Pricelist[[#This Row],[EBS]],3)))</f>
        <v/>
      </c>
      <c r="M16" s="65">
        <v>1917</v>
      </c>
      <c r="N16" s="101" t="str">
        <f>IF(ISBLANK(Pricelist[[#This Row],[EBS]]),"",VALUE(RIGHT(Pricelist[[#This Row],[EBS]],3)))</f>
        <v/>
      </c>
      <c r="O16" s="101" t="str">
        <f>IF(AND(Pricelist[[#This Row],[AE1]]&lt;&gt;"",OR(Pricelist[[#This Row],[区]]="南",Pricelist[[#This Row],[区]]="北")),MID(Pricelist[[#This Row],[AE1]],4,2),"")</f>
        <v/>
      </c>
      <c r="P16" s="102">
        <v>1092</v>
      </c>
      <c r="Q16" s="103">
        <v>1967</v>
      </c>
      <c r="R16" s="103">
        <v>1967</v>
      </c>
      <c r="S16" s="104"/>
      <c r="T16" s="104"/>
      <c r="U16" s="105" t="s">
        <v>505</v>
      </c>
      <c r="V16" s="100" t="s">
        <v>504</v>
      </c>
      <c r="W16" s="106" t="s">
        <v>15</v>
      </c>
      <c r="X16" s="106" t="s">
        <v>16</v>
      </c>
      <c r="Y16" s="106">
        <v>32</v>
      </c>
      <c r="Z16" s="107">
        <v>43437</v>
      </c>
      <c r="AA16" s="108">
        <v>43443</v>
      </c>
      <c r="AB16" s="109"/>
      <c r="AC16" s="109"/>
    </row>
    <row r="17" spans="1:29" hidden="1" x14ac:dyDescent="0.15">
      <c r="A17" s="98">
        <v>16</v>
      </c>
      <c r="B17" s="99">
        <v>112917</v>
      </c>
      <c r="C17" s="98" t="s">
        <v>6329</v>
      </c>
      <c r="D17" s="100" t="s">
        <v>26</v>
      </c>
      <c r="E17" s="100" t="s">
        <v>27</v>
      </c>
      <c r="F17" s="100" t="s">
        <v>28</v>
      </c>
      <c r="G17" s="98" t="s">
        <v>17</v>
      </c>
      <c r="H17" s="98" t="str">
        <f>VLOOKUP(G17,CGS[],2,FALSE)</f>
        <v>MSC</v>
      </c>
      <c r="I17" s="65">
        <v>1025</v>
      </c>
      <c r="J17" s="101">
        <f>IF(ISBLANK(Pricelist[[#This Row],[EBS]]),"",VALUE(LEFT(Pricelist[[#This Row],[EBS]],LEN(Pricelist[[#This Row],[EBS]])-LEN(Pricelist[[#This Row],[E2]])-1)))</f>
        <v>100</v>
      </c>
      <c r="K17" s="65">
        <v>1450</v>
      </c>
      <c r="L17" s="101">
        <f>IF(ISBLANK(Pricelist[[#This Row],[EBS]]),"",VALUE(RIGHT(Pricelist[[#This Row],[EBS]],3)))</f>
        <v>200</v>
      </c>
      <c r="M17" s="65">
        <v>1450</v>
      </c>
      <c r="N17" s="101">
        <f>IF(ISBLANK(Pricelist[[#This Row],[EBS]]),"",VALUE(RIGHT(Pricelist[[#This Row],[EBS]],3)))</f>
        <v>200</v>
      </c>
      <c r="O17" s="101" t="str">
        <f>IF(AND(Pricelist[[#This Row],[AE1]]&lt;&gt;"",OR(Pricelist[[#This Row],[区]]="南",Pricelist[[#This Row],[区]]="北")),MID(Pricelist[[#This Row],[AE1]],4,2),"")</f>
        <v/>
      </c>
      <c r="P17" s="102">
        <v>1025</v>
      </c>
      <c r="Q17" s="103">
        <v>1450</v>
      </c>
      <c r="R17" s="103">
        <v>1450</v>
      </c>
      <c r="S17" s="104" t="s">
        <v>6328</v>
      </c>
      <c r="T17" s="104"/>
      <c r="U17" s="105" t="s">
        <v>506</v>
      </c>
      <c r="V17" s="100" t="s">
        <v>507</v>
      </c>
      <c r="W17" s="106" t="s">
        <v>410</v>
      </c>
      <c r="X17" s="106" t="s">
        <v>257</v>
      </c>
      <c r="Y17" s="106">
        <v>37</v>
      </c>
      <c r="Z17" s="107">
        <v>43435</v>
      </c>
      <c r="AA17" s="108">
        <v>43449</v>
      </c>
      <c r="AB17" s="109" t="s">
        <v>3679</v>
      </c>
      <c r="AC17" s="109"/>
    </row>
    <row r="18" spans="1:29" hidden="1" x14ac:dyDescent="0.15">
      <c r="A18" s="98">
        <v>17</v>
      </c>
      <c r="B18" s="99">
        <v>112917</v>
      </c>
      <c r="C18" s="98" t="s">
        <v>6329</v>
      </c>
      <c r="D18" s="100" t="s">
        <v>26</v>
      </c>
      <c r="E18" s="100" t="s">
        <v>27</v>
      </c>
      <c r="F18" s="100" t="s">
        <v>28</v>
      </c>
      <c r="G18" s="98" t="s">
        <v>21</v>
      </c>
      <c r="H18" s="98" t="str">
        <f>VLOOKUP(G18,CGS[],2,FALSE)</f>
        <v>MSK</v>
      </c>
      <c r="I18" s="65">
        <v>1410</v>
      </c>
      <c r="J18" s="101" t="str">
        <f>IF(ISBLANK(Pricelist[[#This Row],[EBS]]),"",VALUE(LEFT(Pricelist[[#This Row],[EBS]],LEN(Pricelist[[#This Row],[EBS]])-LEN(Pricelist[[#This Row],[E2]])-1)))</f>
        <v/>
      </c>
      <c r="K18" s="65">
        <v>2520</v>
      </c>
      <c r="L18" s="101" t="str">
        <f>IF(ISBLANK(Pricelist[[#This Row],[EBS]]),"",VALUE(RIGHT(Pricelist[[#This Row],[EBS]],3)))</f>
        <v/>
      </c>
      <c r="M18" s="65">
        <v>2520</v>
      </c>
      <c r="N18" s="101" t="str">
        <f>IF(ISBLANK(Pricelist[[#This Row],[EBS]]),"",VALUE(RIGHT(Pricelist[[#This Row],[EBS]],3)))</f>
        <v/>
      </c>
      <c r="O18" s="101" t="str">
        <f>IF(AND(Pricelist[[#This Row],[AE1]]&lt;&gt;"",OR(Pricelist[[#This Row],[区]]="南",Pricelist[[#This Row],[区]]="北")),MID(Pricelist[[#This Row],[AE1]],4,2),"")</f>
        <v/>
      </c>
      <c r="P18" s="102">
        <v>1435</v>
      </c>
      <c r="Q18" s="103">
        <v>2570</v>
      </c>
      <c r="R18" s="103">
        <v>2570</v>
      </c>
      <c r="S18" s="104"/>
      <c r="T18" s="104"/>
      <c r="U18" s="105" t="s">
        <v>506</v>
      </c>
      <c r="V18" s="100" t="s">
        <v>507</v>
      </c>
      <c r="W18" s="106" t="s">
        <v>22</v>
      </c>
      <c r="X18" s="106" t="s">
        <v>23</v>
      </c>
      <c r="Y18" s="106" t="s">
        <v>29</v>
      </c>
      <c r="Z18" s="107">
        <v>43435</v>
      </c>
      <c r="AA18" s="108">
        <v>43449</v>
      </c>
      <c r="AB18" s="109"/>
      <c r="AC18" s="109"/>
    </row>
    <row r="19" spans="1:29" hidden="1" x14ac:dyDescent="0.15">
      <c r="A19" s="98">
        <v>18</v>
      </c>
      <c r="B19" s="99">
        <v>112917</v>
      </c>
      <c r="C19" s="98" t="s">
        <v>6329</v>
      </c>
      <c r="D19" s="100" t="s">
        <v>26</v>
      </c>
      <c r="E19" s="100" t="s">
        <v>27</v>
      </c>
      <c r="F19" s="100" t="s">
        <v>28</v>
      </c>
      <c r="G19" s="98" t="s">
        <v>24</v>
      </c>
      <c r="H19" s="98" t="str">
        <f>VLOOKUP(G19,CGS[],2,FALSE)</f>
        <v>SAF</v>
      </c>
      <c r="I19" s="65">
        <v>1350</v>
      </c>
      <c r="J19" s="101">
        <f>IF(ISBLANK(Pricelist[[#This Row],[EBS]]),"",VALUE(LEFT(Pricelist[[#This Row],[EBS]],LEN(Pricelist[[#This Row],[EBS]])-LEN(Pricelist[[#This Row],[E2]])-1)))</f>
        <v>60</v>
      </c>
      <c r="K19" s="65">
        <v>2400</v>
      </c>
      <c r="L19" s="101">
        <f>IF(ISBLANK(Pricelist[[#This Row],[EBS]]),"",VALUE(RIGHT(Pricelist[[#This Row],[EBS]],3)))</f>
        <v>120</v>
      </c>
      <c r="M19" s="65">
        <v>2400</v>
      </c>
      <c r="N19" s="101">
        <f>IF(ISBLANK(Pricelist[[#This Row],[EBS]]),"",VALUE(RIGHT(Pricelist[[#This Row],[EBS]],3)))</f>
        <v>120</v>
      </c>
      <c r="O19" s="101" t="str">
        <f>IF(AND(Pricelist[[#This Row],[AE1]]&lt;&gt;"",OR(Pricelist[[#This Row],[区]]="南",Pricelist[[#This Row],[区]]="北")),MID(Pricelist[[#This Row],[AE1]],4,2),"")</f>
        <v/>
      </c>
      <c r="P19" s="102">
        <v>1350</v>
      </c>
      <c r="Q19" s="103">
        <v>2400</v>
      </c>
      <c r="R19" s="103">
        <v>2400</v>
      </c>
      <c r="S19" s="104" t="s">
        <v>2199</v>
      </c>
      <c r="T19" s="104"/>
      <c r="U19" s="105" t="s">
        <v>505</v>
      </c>
      <c r="V19" s="100" t="s">
        <v>507</v>
      </c>
      <c r="W19" s="106" t="s">
        <v>22</v>
      </c>
      <c r="X19" s="106" t="s">
        <v>23</v>
      </c>
      <c r="Y19" s="106" t="s">
        <v>29</v>
      </c>
      <c r="Z19" s="107">
        <v>43435</v>
      </c>
      <c r="AA19" s="108">
        <v>43450</v>
      </c>
      <c r="AB19" s="109" t="s">
        <v>25</v>
      </c>
      <c r="AC19" s="109"/>
    </row>
    <row r="20" spans="1:29" hidden="1" x14ac:dyDescent="0.15">
      <c r="A20" s="98">
        <v>19</v>
      </c>
      <c r="B20" s="99">
        <v>112917</v>
      </c>
      <c r="C20" s="98" t="s">
        <v>6329</v>
      </c>
      <c r="D20" s="100" t="s">
        <v>26</v>
      </c>
      <c r="E20" s="100" t="s">
        <v>27</v>
      </c>
      <c r="F20" s="100" t="s">
        <v>28</v>
      </c>
      <c r="G20" s="98" t="s">
        <v>19</v>
      </c>
      <c r="H20" s="98" t="str">
        <f>VLOOKUP(G20,CGS[],2,FALSE)</f>
        <v>OOCL</v>
      </c>
      <c r="I20" s="65">
        <v>875</v>
      </c>
      <c r="J20" s="101" t="str">
        <f>IF(ISBLANK(Pricelist[[#This Row],[EBS]]),"",VALUE(LEFT(Pricelist[[#This Row],[EBS]],LEN(Pricelist[[#This Row],[EBS]])-LEN(Pricelist[[#This Row],[E2]])-1)))</f>
        <v/>
      </c>
      <c r="K20" s="65">
        <v>1550</v>
      </c>
      <c r="L20" s="101" t="str">
        <f>IF(ISBLANK(Pricelist[[#This Row],[EBS]]),"",VALUE(RIGHT(Pricelist[[#This Row],[EBS]],3)))</f>
        <v/>
      </c>
      <c r="M20" s="65">
        <v>1550</v>
      </c>
      <c r="N20" s="101" t="str">
        <f>IF(ISBLANK(Pricelist[[#This Row],[EBS]]),"",VALUE(RIGHT(Pricelist[[#This Row],[EBS]],3)))</f>
        <v/>
      </c>
      <c r="O20" s="101" t="str">
        <f>IF(AND(Pricelist[[#This Row],[AE1]]&lt;&gt;"",OR(Pricelist[[#This Row],[区]]="南",Pricelist[[#This Row],[区]]="北")),MID(Pricelist[[#This Row],[AE1]],4,2),"")</f>
        <v/>
      </c>
      <c r="P20" s="102">
        <v>900</v>
      </c>
      <c r="Q20" s="103">
        <v>1600</v>
      </c>
      <c r="R20" s="103">
        <v>1600</v>
      </c>
      <c r="S20" s="104"/>
      <c r="T20" s="104"/>
      <c r="U20" s="105" t="s">
        <v>508</v>
      </c>
      <c r="V20" s="100" t="s">
        <v>504</v>
      </c>
      <c r="W20" s="106" t="s">
        <v>10</v>
      </c>
      <c r="X20" s="106" t="s">
        <v>11</v>
      </c>
      <c r="Y20" s="106">
        <v>28</v>
      </c>
      <c r="Z20" s="107">
        <v>43425</v>
      </c>
      <c r="AA20" s="108">
        <v>43448</v>
      </c>
      <c r="AB20" s="109" t="s">
        <v>3680</v>
      </c>
      <c r="AC20" s="109"/>
    </row>
    <row r="21" spans="1:29" hidden="1" x14ac:dyDescent="0.15">
      <c r="A21" s="98">
        <v>20</v>
      </c>
      <c r="B21" s="99">
        <v>112917</v>
      </c>
      <c r="C21" s="98" t="s">
        <v>6329</v>
      </c>
      <c r="D21" s="100" t="s">
        <v>26</v>
      </c>
      <c r="E21" s="100" t="s">
        <v>27</v>
      </c>
      <c r="F21" s="100" t="s">
        <v>28</v>
      </c>
      <c r="G21" s="98" t="s">
        <v>20</v>
      </c>
      <c r="H21" s="98" t="str">
        <f>VLOOKUP(G21,CGS[],2,FALSE)</f>
        <v>HPL</v>
      </c>
      <c r="I21" s="65">
        <v>1125</v>
      </c>
      <c r="J21" s="101">
        <f>IF(ISBLANK(Pricelist[[#This Row],[EBS]]),"",VALUE(LEFT(Pricelist[[#This Row],[EBS]],LEN(Pricelist[[#This Row],[EBS]])-LEN(Pricelist[[#This Row],[E2]])-1)))</f>
        <v>55</v>
      </c>
      <c r="K21" s="65">
        <v>1850</v>
      </c>
      <c r="L21" s="101">
        <f>IF(ISBLANK(Pricelist[[#This Row],[EBS]]),"",VALUE(RIGHT(Pricelist[[#This Row],[EBS]],3)))</f>
        <v>110</v>
      </c>
      <c r="M21" s="65">
        <v>1850</v>
      </c>
      <c r="N21" s="101">
        <f>IF(ISBLANK(Pricelist[[#This Row],[EBS]]),"",VALUE(RIGHT(Pricelist[[#This Row],[EBS]],3)))</f>
        <v>110</v>
      </c>
      <c r="O21" s="101" t="str">
        <f>IF(AND(Pricelist[[#This Row],[AE1]]&lt;&gt;"",OR(Pricelist[[#This Row],[区]]="南",Pricelist[[#This Row],[区]]="北")),MID(Pricelist[[#This Row],[AE1]],4,2),"")</f>
        <v/>
      </c>
      <c r="P21" s="102">
        <v>1150</v>
      </c>
      <c r="Q21" s="103">
        <v>1900</v>
      </c>
      <c r="R21" s="103">
        <v>1900</v>
      </c>
      <c r="S21" s="104" t="s">
        <v>2204</v>
      </c>
      <c r="T21" s="104"/>
      <c r="U21" s="105" t="s">
        <v>511</v>
      </c>
      <c r="V21" s="100" t="s">
        <v>507</v>
      </c>
      <c r="W21" s="106" t="s">
        <v>3681</v>
      </c>
      <c r="X21" s="106" t="s">
        <v>38</v>
      </c>
      <c r="Y21" s="106">
        <v>41</v>
      </c>
      <c r="Z21" s="107">
        <v>43435</v>
      </c>
      <c r="AA21" s="108">
        <v>43449</v>
      </c>
      <c r="AB21" s="109"/>
      <c r="AC21" s="109"/>
    </row>
    <row r="22" spans="1:29" hidden="1" x14ac:dyDescent="0.15">
      <c r="A22" s="98">
        <v>21</v>
      </c>
      <c r="B22" s="99">
        <v>112917</v>
      </c>
      <c r="C22" s="98" t="s">
        <v>6329</v>
      </c>
      <c r="D22" s="100" t="s">
        <v>26</v>
      </c>
      <c r="E22" s="100" t="s">
        <v>27</v>
      </c>
      <c r="F22" s="100" t="s">
        <v>28</v>
      </c>
      <c r="G22" s="98" t="s">
        <v>18</v>
      </c>
      <c r="H22" s="98" t="str">
        <f>VLOOKUP(G22,CGS[],2,FALSE)</f>
        <v>PIL</v>
      </c>
      <c r="I22" s="65">
        <v>1375</v>
      </c>
      <c r="J22" s="101" t="str">
        <f>IF(ISBLANK(Pricelist[[#This Row],[EBS]]),"",VALUE(LEFT(Pricelist[[#This Row],[EBS]],LEN(Pricelist[[#This Row],[EBS]])-LEN(Pricelist[[#This Row],[E2]])-1)))</f>
        <v/>
      </c>
      <c r="K22" s="65">
        <v>2450</v>
      </c>
      <c r="L22" s="101" t="str">
        <f>IF(ISBLANK(Pricelist[[#This Row],[EBS]]),"",VALUE(RIGHT(Pricelist[[#This Row],[EBS]],3)))</f>
        <v/>
      </c>
      <c r="M22" s="65">
        <v>2450</v>
      </c>
      <c r="N22" s="101" t="str">
        <f>IF(ISBLANK(Pricelist[[#This Row],[EBS]]),"",VALUE(RIGHT(Pricelist[[#This Row],[EBS]],3)))</f>
        <v/>
      </c>
      <c r="O22" s="101" t="str">
        <f>IF(AND(Pricelist[[#This Row],[AE1]]&lt;&gt;"",OR(Pricelist[[#This Row],[区]]="南",Pricelist[[#This Row],[区]]="北")),MID(Pricelist[[#This Row],[AE1]],4,2),"")</f>
        <v/>
      </c>
      <c r="P22" s="102">
        <v>1425</v>
      </c>
      <c r="Q22" s="103">
        <v>2550</v>
      </c>
      <c r="R22" s="103">
        <v>2550</v>
      </c>
      <c r="S22" s="104"/>
      <c r="T22" s="104"/>
      <c r="U22" s="105" t="s">
        <v>508</v>
      </c>
      <c r="V22" s="100" t="s">
        <v>504</v>
      </c>
      <c r="W22" s="106" t="s">
        <v>10</v>
      </c>
      <c r="X22" s="106" t="s">
        <v>11</v>
      </c>
      <c r="Y22" s="106">
        <v>28</v>
      </c>
      <c r="Z22" s="107">
        <v>43435</v>
      </c>
      <c r="AA22" s="108">
        <v>43448</v>
      </c>
      <c r="AB22" s="109"/>
      <c r="AC22" s="109"/>
    </row>
    <row r="23" spans="1:29" hidden="1" x14ac:dyDescent="0.15">
      <c r="A23" s="98">
        <v>22</v>
      </c>
      <c r="B23" s="99">
        <v>112917</v>
      </c>
      <c r="C23" s="98" t="s">
        <v>6329</v>
      </c>
      <c r="D23" s="100" t="s">
        <v>30</v>
      </c>
      <c r="E23" s="100" t="s">
        <v>27</v>
      </c>
      <c r="F23" s="100" t="s">
        <v>31</v>
      </c>
      <c r="G23" s="98" t="s">
        <v>8</v>
      </c>
      <c r="H23" s="98" t="str">
        <f>VLOOKUP(G23,CGS[],2,FALSE)</f>
        <v>CMA</v>
      </c>
      <c r="I23" s="65">
        <v>2125</v>
      </c>
      <c r="J23" s="101">
        <f>IF(ISBLANK(Pricelist[[#This Row],[EBS]]),"",VALUE(LEFT(Pricelist[[#This Row],[EBS]],LEN(Pricelist[[#This Row],[EBS]])-LEN(Pricelist[[#This Row],[E2]])-1)))</f>
        <v>55</v>
      </c>
      <c r="K23" s="65">
        <v>3700</v>
      </c>
      <c r="L23" s="101">
        <f>IF(ISBLANK(Pricelist[[#This Row],[EBS]]),"",VALUE(RIGHT(Pricelist[[#This Row],[EBS]],3)))</f>
        <v>110</v>
      </c>
      <c r="M23" s="65">
        <v>3700</v>
      </c>
      <c r="N23" s="101">
        <f>IF(ISBLANK(Pricelist[[#This Row],[EBS]]),"",VALUE(RIGHT(Pricelist[[#This Row],[EBS]],3)))</f>
        <v>110</v>
      </c>
      <c r="O23" s="101" t="str">
        <f>IF(AND(Pricelist[[#This Row],[AE1]]&lt;&gt;"",OR(Pricelist[[#This Row],[区]]="南",Pricelist[[#This Row],[区]]="北")),MID(Pricelist[[#This Row],[AE1]],4,2),"")</f>
        <v/>
      </c>
      <c r="P23" s="102">
        <v>2200</v>
      </c>
      <c r="Q23" s="103">
        <v>3850</v>
      </c>
      <c r="R23" s="103">
        <v>3850</v>
      </c>
      <c r="S23" s="104" t="s">
        <v>2204</v>
      </c>
      <c r="T23" s="104"/>
      <c r="U23" s="105" t="s">
        <v>515</v>
      </c>
      <c r="V23" s="100" t="s">
        <v>2194</v>
      </c>
      <c r="W23" s="106" t="s">
        <v>2210</v>
      </c>
      <c r="X23" s="106" t="s">
        <v>2195</v>
      </c>
      <c r="Y23" s="106">
        <v>33</v>
      </c>
      <c r="Z23" s="107">
        <v>43435</v>
      </c>
      <c r="AA23" s="108">
        <v>43448</v>
      </c>
      <c r="AB23" s="109" t="s">
        <v>2196</v>
      </c>
      <c r="AC23" s="109"/>
    </row>
    <row r="24" spans="1:29" hidden="1" x14ac:dyDescent="0.15">
      <c r="A24" s="98">
        <v>23</v>
      </c>
      <c r="B24" s="99">
        <v>112917</v>
      </c>
      <c r="C24" s="98" t="s">
        <v>6329</v>
      </c>
      <c r="D24" s="100" t="s">
        <v>30</v>
      </c>
      <c r="E24" s="100" t="s">
        <v>27</v>
      </c>
      <c r="F24" s="100" t="s">
        <v>31</v>
      </c>
      <c r="G24" s="98" t="s">
        <v>17</v>
      </c>
      <c r="H24" s="98" t="str">
        <f>VLOOKUP(G24,CGS[],2,FALSE)</f>
        <v>MSC</v>
      </c>
      <c r="I24" s="65">
        <v>1950</v>
      </c>
      <c r="J24" s="101">
        <f>IF(ISBLANK(Pricelist[[#This Row],[EBS]]),"",VALUE(LEFT(Pricelist[[#This Row],[EBS]],LEN(Pricelist[[#This Row],[EBS]])-LEN(Pricelist[[#This Row],[E2]])-1)))</f>
        <v>100</v>
      </c>
      <c r="K24" s="65">
        <v>3050</v>
      </c>
      <c r="L24" s="101">
        <f>IF(ISBLANK(Pricelist[[#This Row],[EBS]]),"",VALUE(RIGHT(Pricelist[[#This Row],[EBS]],3)))</f>
        <v>200</v>
      </c>
      <c r="M24" s="65">
        <v>3050</v>
      </c>
      <c r="N24" s="101">
        <f>IF(ISBLANK(Pricelist[[#This Row],[EBS]]),"",VALUE(RIGHT(Pricelist[[#This Row],[EBS]],3)))</f>
        <v>200</v>
      </c>
      <c r="O24" s="101" t="str">
        <f>IF(AND(Pricelist[[#This Row],[AE1]]&lt;&gt;"",OR(Pricelist[[#This Row],[区]]="南",Pricelist[[#This Row],[区]]="北")),MID(Pricelist[[#This Row],[AE1]],4,2),"")</f>
        <v/>
      </c>
      <c r="P24" s="102">
        <v>1950</v>
      </c>
      <c r="Q24" s="103">
        <v>3050</v>
      </c>
      <c r="R24" s="103">
        <v>3050</v>
      </c>
      <c r="S24" s="104" t="s">
        <v>6328</v>
      </c>
      <c r="T24" s="104"/>
      <c r="U24" s="105" t="s">
        <v>506</v>
      </c>
      <c r="V24" s="100" t="s">
        <v>507</v>
      </c>
      <c r="W24" s="106" t="s">
        <v>32</v>
      </c>
      <c r="X24" s="106" t="s">
        <v>33</v>
      </c>
      <c r="Y24" s="106">
        <v>38</v>
      </c>
      <c r="Z24" s="107">
        <v>43435</v>
      </c>
      <c r="AA24" s="108">
        <v>43449</v>
      </c>
      <c r="AB24" s="109"/>
      <c r="AC24" s="109"/>
    </row>
    <row r="25" spans="1:29" hidden="1" x14ac:dyDescent="0.15">
      <c r="A25" s="98">
        <v>24</v>
      </c>
      <c r="B25" s="99">
        <v>112917</v>
      </c>
      <c r="C25" s="98" t="s">
        <v>6329</v>
      </c>
      <c r="D25" s="100" t="s">
        <v>30</v>
      </c>
      <c r="E25" s="100" t="s">
        <v>27</v>
      </c>
      <c r="F25" s="100" t="s">
        <v>31</v>
      </c>
      <c r="G25" s="98" t="s">
        <v>18</v>
      </c>
      <c r="H25" s="98" t="str">
        <f>VLOOKUP(G25,CGS[],2,FALSE)</f>
        <v>PIL</v>
      </c>
      <c r="I25" s="65">
        <v>1975</v>
      </c>
      <c r="J25" s="101" t="str">
        <f>IF(ISBLANK(Pricelist[[#This Row],[EBS]]),"",VALUE(LEFT(Pricelist[[#This Row],[EBS]],LEN(Pricelist[[#This Row],[EBS]])-LEN(Pricelist[[#This Row],[E2]])-1)))</f>
        <v/>
      </c>
      <c r="K25" s="65">
        <v>3650</v>
      </c>
      <c r="L25" s="101" t="str">
        <f>IF(ISBLANK(Pricelist[[#This Row],[EBS]]),"",VALUE(RIGHT(Pricelist[[#This Row],[EBS]],3)))</f>
        <v/>
      </c>
      <c r="M25" s="65">
        <v>3650</v>
      </c>
      <c r="N25" s="101" t="str">
        <f>IF(ISBLANK(Pricelist[[#This Row],[EBS]]),"",VALUE(RIGHT(Pricelist[[#This Row],[EBS]],3)))</f>
        <v/>
      </c>
      <c r="O25" s="101" t="str">
        <f>IF(AND(Pricelist[[#This Row],[AE1]]&lt;&gt;"",OR(Pricelist[[#This Row],[区]]="南",Pricelist[[#This Row],[区]]="北")),MID(Pricelist[[#This Row],[AE1]],4,2),"")</f>
        <v/>
      </c>
      <c r="P25" s="102">
        <v>2025</v>
      </c>
      <c r="Q25" s="103">
        <v>3750</v>
      </c>
      <c r="R25" s="103">
        <v>3750</v>
      </c>
      <c r="S25" s="104"/>
      <c r="T25" s="104"/>
      <c r="U25" s="105" t="s">
        <v>508</v>
      </c>
      <c r="V25" s="100" t="s">
        <v>504</v>
      </c>
      <c r="W25" s="106" t="s">
        <v>34</v>
      </c>
      <c r="X25" s="106" t="s">
        <v>35</v>
      </c>
      <c r="Y25" s="106">
        <v>30</v>
      </c>
      <c r="Z25" s="107">
        <v>43435</v>
      </c>
      <c r="AA25" s="108">
        <v>43448</v>
      </c>
      <c r="AB25" s="109"/>
      <c r="AC25" s="109"/>
    </row>
    <row r="26" spans="1:29" hidden="1" x14ac:dyDescent="0.15">
      <c r="A26" s="98">
        <v>25</v>
      </c>
      <c r="B26" s="99">
        <v>112917</v>
      </c>
      <c r="C26" s="98" t="s">
        <v>6329</v>
      </c>
      <c r="D26" s="100" t="s">
        <v>30</v>
      </c>
      <c r="E26" s="100" t="s">
        <v>27</v>
      </c>
      <c r="F26" s="100" t="s">
        <v>31</v>
      </c>
      <c r="G26" s="98" t="s">
        <v>36</v>
      </c>
      <c r="H26" s="98" t="str">
        <f>VLOOKUP(G26,CGS[],2,FALSE)</f>
        <v>BLINE</v>
      </c>
      <c r="I26" s="65">
        <v>1550</v>
      </c>
      <c r="J26" s="101">
        <f>IF(ISBLANK(Pricelist[[#This Row],[EBS]]),"",VALUE(LEFT(Pricelist[[#This Row],[EBS]],LEN(Pricelist[[#This Row],[EBS]])-LEN(Pricelist[[#This Row],[E2]])-1)))</f>
        <v>50</v>
      </c>
      <c r="K26" s="65">
        <v>2800</v>
      </c>
      <c r="L26" s="101">
        <f>IF(ISBLANK(Pricelist[[#This Row],[EBS]]),"",VALUE(RIGHT(Pricelist[[#This Row],[EBS]],3)))</f>
        <v>100</v>
      </c>
      <c r="M26" s="65">
        <v>2800</v>
      </c>
      <c r="N26" s="101">
        <f>IF(ISBLANK(Pricelist[[#This Row],[EBS]]),"",VALUE(RIGHT(Pricelist[[#This Row],[EBS]],3)))</f>
        <v>100</v>
      </c>
      <c r="O26" s="101" t="str">
        <f>IF(AND(Pricelist[[#This Row],[AE1]]&lt;&gt;"",OR(Pricelist[[#This Row],[区]]="南",Pricelist[[#This Row],[区]]="北")),MID(Pricelist[[#This Row],[AE1]],4,2),"")</f>
        <v/>
      </c>
      <c r="P26" s="102">
        <v>1550</v>
      </c>
      <c r="Q26" s="103">
        <v>2800</v>
      </c>
      <c r="R26" s="103">
        <v>2800</v>
      </c>
      <c r="S26" s="104" t="s">
        <v>2205</v>
      </c>
      <c r="T26" s="104"/>
      <c r="U26" s="105" t="s">
        <v>508</v>
      </c>
      <c r="V26" s="100" t="s">
        <v>504</v>
      </c>
      <c r="W26" s="106" t="s">
        <v>37</v>
      </c>
      <c r="X26" s="106" t="s">
        <v>38</v>
      </c>
      <c r="Y26" s="106">
        <v>34</v>
      </c>
      <c r="Z26" s="107">
        <v>43416</v>
      </c>
      <c r="AA26" s="108">
        <v>43422</v>
      </c>
      <c r="AB26" s="109" t="s">
        <v>39</v>
      </c>
      <c r="AC26" s="109"/>
    </row>
    <row r="27" spans="1:29" hidden="1" x14ac:dyDescent="0.15">
      <c r="A27" s="98">
        <v>26</v>
      </c>
      <c r="B27" s="99">
        <v>112917</v>
      </c>
      <c r="C27" s="98" t="s">
        <v>6329</v>
      </c>
      <c r="D27" s="100" t="s">
        <v>30</v>
      </c>
      <c r="E27" s="100" t="s">
        <v>27</v>
      </c>
      <c r="F27" s="100" t="s">
        <v>31</v>
      </c>
      <c r="G27" s="98" t="s">
        <v>21</v>
      </c>
      <c r="H27" s="98" t="str">
        <f>VLOOKUP(G27,CGS[],2,FALSE)</f>
        <v>MSK</v>
      </c>
      <c r="I27" s="65">
        <v>2110</v>
      </c>
      <c r="J27" s="101" t="str">
        <f>IF(ISBLANK(Pricelist[[#This Row],[EBS]]),"",VALUE(LEFT(Pricelist[[#This Row],[EBS]],LEN(Pricelist[[#This Row],[EBS]])-LEN(Pricelist[[#This Row],[E2]])-1)))</f>
        <v/>
      </c>
      <c r="K27" s="65">
        <v>3820</v>
      </c>
      <c r="L27" s="101" t="str">
        <f>IF(ISBLANK(Pricelist[[#This Row],[EBS]]),"",VALUE(RIGHT(Pricelist[[#This Row],[EBS]],3)))</f>
        <v/>
      </c>
      <c r="M27" s="65">
        <v>3820</v>
      </c>
      <c r="N27" s="101" t="str">
        <f>IF(ISBLANK(Pricelist[[#This Row],[EBS]]),"",VALUE(RIGHT(Pricelist[[#This Row],[EBS]],3)))</f>
        <v/>
      </c>
      <c r="O27" s="101" t="str">
        <f>IF(AND(Pricelist[[#This Row],[AE1]]&lt;&gt;"",OR(Pricelist[[#This Row],[区]]="南",Pricelist[[#This Row],[区]]="北")),MID(Pricelist[[#This Row],[AE1]],4,2),"")</f>
        <v/>
      </c>
      <c r="P27" s="102">
        <v>2135</v>
      </c>
      <c r="Q27" s="103">
        <v>3870</v>
      </c>
      <c r="R27" s="103">
        <v>3870</v>
      </c>
      <c r="S27" s="104"/>
      <c r="T27" s="104"/>
      <c r="U27" s="105" t="s">
        <v>506</v>
      </c>
      <c r="V27" s="100" t="s">
        <v>507</v>
      </c>
      <c r="W27" s="106" t="s">
        <v>40</v>
      </c>
      <c r="X27" s="106" t="s">
        <v>35</v>
      </c>
      <c r="Y27" s="106">
        <v>37</v>
      </c>
      <c r="Z27" s="107">
        <v>43435</v>
      </c>
      <c r="AA27" s="108">
        <v>43449</v>
      </c>
      <c r="AB27" s="109"/>
      <c r="AC27" s="109"/>
    </row>
    <row r="28" spans="1:29" hidden="1" x14ac:dyDescent="0.15">
      <c r="A28" s="98">
        <v>27</v>
      </c>
      <c r="B28" s="99">
        <v>112917</v>
      </c>
      <c r="C28" s="98" t="s">
        <v>6329</v>
      </c>
      <c r="D28" s="100" t="s">
        <v>30</v>
      </c>
      <c r="E28" s="100" t="s">
        <v>27</v>
      </c>
      <c r="F28" s="100" t="s">
        <v>31</v>
      </c>
      <c r="G28" s="98" t="s">
        <v>24</v>
      </c>
      <c r="H28" s="98" t="str">
        <f>VLOOKUP(G28,CGS[],2,FALSE)</f>
        <v>SAF</v>
      </c>
      <c r="I28" s="65">
        <v>2050</v>
      </c>
      <c r="J28" s="101">
        <f>IF(ISBLANK(Pricelist[[#This Row],[EBS]]),"",VALUE(LEFT(Pricelist[[#This Row],[EBS]],LEN(Pricelist[[#This Row],[EBS]])-LEN(Pricelist[[#This Row],[E2]])-1)))</f>
        <v>60</v>
      </c>
      <c r="K28" s="65">
        <v>3700</v>
      </c>
      <c r="L28" s="101">
        <f>IF(ISBLANK(Pricelist[[#This Row],[EBS]]),"",VALUE(RIGHT(Pricelist[[#This Row],[EBS]],3)))</f>
        <v>120</v>
      </c>
      <c r="M28" s="65">
        <v>3700</v>
      </c>
      <c r="N28" s="101">
        <f>IF(ISBLANK(Pricelist[[#This Row],[EBS]]),"",VALUE(RIGHT(Pricelist[[#This Row],[EBS]],3)))</f>
        <v>120</v>
      </c>
      <c r="O28" s="101" t="str">
        <f>IF(AND(Pricelist[[#This Row],[AE1]]&lt;&gt;"",OR(Pricelist[[#This Row],[区]]="南",Pricelist[[#This Row],[区]]="北")),MID(Pricelist[[#This Row],[AE1]],4,2),"")</f>
        <v/>
      </c>
      <c r="P28" s="102">
        <v>2050</v>
      </c>
      <c r="Q28" s="103">
        <v>3700</v>
      </c>
      <c r="R28" s="103">
        <v>3700</v>
      </c>
      <c r="S28" s="104" t="s">
        <v>2199</v>
      </c>
      <c r="T28" s="104"/>
      <c r="U28" s="105" t="s">
        <v>505</v>
      </c>
      <c r="V28" s="100" t="s">
        <v>507</v>
      </c>
      <c r="W28" s="106" t="s">
        <v>40</v>
      </c>
      <c r="X28" s="106" t="s">
        <v>35</v>
      </c>
      <c r="Y28" s="106">
        <v>37</v>
      </c>
      <c r="Z28" s="107">
        <v>43435</v>
      </c>
      <c r="AA28" s="108">
        <v>43450</v>
      </c>
      <c r="AB28" s="109" t="s">
        <v>41</v>
      </c>
      <c r="AC28" s="109"/>
    </row>
    <row r="29" spans="1:29" hidden="1" x14ac:dyDescent="0.15">
      <c r="A29" s="98">
        <v>28</v>
      </c>
      <c r="B29" s="99">
        <v>112917</v>
      </c>
      <c r="C29" s="98" t="s">
        <v>6329</v>
      </c>
      <c r="D29" s="100" t="s">
        <v>42</v>
      </c>
      <c r="E29" s="100" t="s">
        <v>27</v>
      </c>
      <c r="F29" s="100" t="s">
        <v>43</v>
      </c>
      <c r="G29" s="98" t="s">
        <v>17</v>
      </c>
      <c r="H29" s="98" t="str">
        <f>VLOOKUP(G29,CGS[],2,FALSE)</f>
        <v>MSC</v>
      </c>
      <c r="I29" s="65">
        <v>1950</v>
      </c>
      <c r="J29" s="101">
        <f>IF(ISBLANK(Pricelist[[#This Row],[EBS]]),"",VALUE(LEFT(Pricelist[[#This Row],[EBS]],LEN(Pricelist[[#This Row],[EBS]])-LEN(Pricelist[[#This Row],[E2]])-1)))</f>
        <v>100</v>
      </c>
      <c r="K29" s="65">
        <v>3050</v>
      </c>
      <c r="L29" s="101">
        <f>IF(ISBLANK(Pricelist[[#This Row],[EBS]]),"",VALUE(RIGHT(Pricelist[[#This Row],[EBS]],3)))</f>
        <v>200</v>
      </c>
      <c r="M29" s="65">
        <v>3050</v>
      </c>
      <c r="N29" s="101">
        <f>IF(ISBLANK(Pricelist[[#This Row],[EBS]]),"",VALUE(RIGHT(Pricelist[[#This Row],[EBS]],3)))</f>
        <v>200</v>
      </c>
      <c r="O29" s="101" t="str">
        <f>IF(AND(Pricelist[[#This Row],[AE1]]&lt;&gt;"",OR(Pricelist[[#This Row],[区]]="南",Pricelist[[#This Row],[区]]="北")),MID(Pricelist[[#This Row],[AE1]],4,2),"")</f>
        <v/>
      </c>
      <c r="P29" s="102">
        <v>1950</v>
      </c>
      <c r="Q29" s="103">
        <v>3050</v>
      </c>
      <c r="R29" s="103">
        <v>3050</v>
      </c>
      <c r="S29" s="104" t="s">
        <v>6328</v>
      </c>
      <c r="T29" s="104"/>
      <c r="U29" s="105" t="s">
        <v>506</v>
      </c>
      <c r="V29" s="100" t="s">
        <v>507</v>
      </c>
      <c r="W29" s="106" t="s">
        <v>32</v>
      </c>
      <c r="X29" s="106" t="s">
        <v>33</v>
      </c>
      <c r="Y29" s="106">
        <v>39</v>
      </c>
      <c r="Z29" s="107">
        <v>43435</v>
      </c>
      <c r="AA29" s="108">
        <v>43449</v>
      </c>
      <c r="AB29" s="109"/>
      <c r="AC29" s="109"/>
    </row>
    <row r="30" spans="1:29" hidden="1" x14ac:dyDescent="0.15">
      <c r="A30" s="98">
        <v>29</v>
      </c>
      <c r="B30" s="99">
        <v>112917</v>
      </c>
      <c r="C30" s="98" t="s">
        <v>6329</v>
      </c>
      <c r="D30" s="100" t="s">
        <v>42</v>
      </c>
      <c r="E30" s="100" t="s">
        <v>27</v>
      </c>
      <c r="F30" s="100" t="s">
        <v>43</v>
      </c>
      <c r="G30" s="98" t="s">
        <v>8</v>
      </c>
      <c r="H30" s="98" t="str">
        <f>VLOOKUP(G30,CGS[],2,FALSE)</f>
        <v>CMA</v>
      </c>
      <c r="I30" s="65">
        <v>1875</v>
      </c>
      <c r="J30" s="101">
        <f>IF(ISBLANK(Pricelist[[#This Row],[EBS]]),"",VALUE(LEFT(Pricelist[[#This Row],[EBS]],LEN(Pricelist[[#This Row],[EBS]])-LEN(Pricelist[[#This Row],[E2]])-1)))</f>
        <v>55</v>
      </c>
      <c r="K30" s="65">
        <v>2700</v>
      </c>
      <c r="L30" s="101">
        <f>IF(ISBLANK(Pricelist[[#This Row],[EBS]]),"",VALUE(RIGHT(Pricelist[[#This Row],[EBS]],3)))</f>
        <v>110</v>
      </c>
      <c r="M30" s="65">
        <v>2700</v>
      </c>
      <c r="N30" s="101">
        <f>IF(ISBLANK(Pricelist[[#This Row],[EBS]]),"",VALUE(RIGHT(Pricelist[[#This Row],[EBS]],3)))</f>
        <v>110</v>
      </c>
      <c r="O30" s="101" t="str">
        <f>IF(AND(Pricelist[[#This Row],[AE1]]&lt;&gt;"",OR(Pricelist[[#This Row],[区]]="南",Pricelist[[#This Row],[区]]="北")),MID(Pricelist[[#This Row],[AE1]],4,2),"")</f>
        <v/>
      </c>
      <c r="P30" s="102">
        <v>1900</v>
      </c>
      <c r="Q30" s="103">
        <v>2750</v>
      </c>
      <c r="R30" s="103">
        <v>2750</v>
      </c>
      <c r="S30" s="104" t="s">
        <v>2204</v>
      </c>
      <c r="T30" s="104"/>
      <c r="U30" s="105" t="s">
        <v>515</v>
      </c>
      <c r="V30" s="100" t="s">
        <v>2194</v>
      </c>
      <c r="W30" s="106" t="s">
        <v>2210</v>
      </c>
      <c r="X30" s="106" t="s">
        <v>2195</v>
      </c>
      <c r="Y30" s="106">
        <v>31</v>
      </c>
      <c r="Z30" s="107">
        <v>43435</v>
      </c>
      <c r="AA30" s="108">
        <v>43448</v>
      </c>
      <c r="AB30" s="109" t="s">
        <v>2196</v>
      </c>
      <c r="AC30" s="109"/>
    </row>
    <row r="31" spans="1:29" hidden="1" x14ac:dyDescent="0.15">
      <c r="A31" s="98">
        <v>30</v>
      </c>
      <c r="B31" s="99">
        <v>112917</v>
      </c>
      <c r="C31" s="98" t="s">
        <v>6329</v>
      </c>
      <c r="D31" s="100" t="s">
        <v>42</v>
      </c>
      <c r="E31" s="100" t="s">
        <v>27</v>
      </c>
      <c r="F31" s="100" t="s">
        <v>43</v>
      </c>
      <c r="G31" s="98" t="s">
        <v>21</v>
      </c>
      <c r="H31" s="98" t="str">
        <f>VLOOKUP(G31,CGS[],2,FALSE)</f>
        <v>MSK</v>
      </c>
      <c r="I31" s="65">
        <v>2060</v>
      </c>
      <c r="J31" s="101" t="str">
        <f>IF(ISBLANK(Pricelist[[#This Row],[EBS]]),"",VALUE(LEFT(Pricelist[[#This Row],[EBS]],LEN(Pricelist[[#This Row],[EBS]])-LEN(Pricelist[[#This Row],[E2]])-1)))</f>
        <v/>
      </c>
      <c r="K31" s="65">
        <v>3820</v>
      </c>
      <c r="L31" s="101" t="str">
        <f>IF(ISBLANK(Pricelist[[#This Row],[EBS]]),"",VALUE(RIGHT(Pricelist[[#This Row],[EBS]],3)))</f>
        <v/>
      </c>
      <c r="M31" s="65">
        <v>3820</v>
      </c>
      <c r="N31" s="101" t="str">
        <f>IF(ISBLANK(Pricelist[[#This Row],[EBS]]),"",VALUE(RIGHT(Pricelist[[#This Row],[EBS]],3)))</f>
        <v/>
      </c>
      <c r="O31" s="101" t="str">
        <f>IF(AND(Pricelist[[#This Row],[AE1]]&lt;&gt;"",OR(Pricelist[[#This Row],[区]]="南",Pricelist[[#This Row],[区]]="北")),MID(Pricelist[[#This Row],[AE1]],4,2),"")</f>
        <v/>
      </c>
      <c r="P31" s="102">
        <v>2085</v>
      </c>
      <c r="Q31" s="103">
        <v>3870</v>
      </c>
      <c r="R31" s="103">
        <v>3870</v>
      </c>
      <c r="S31" s="104"/>
      <c r="T31" s="104"/>
      <c r="U31" s="105" t="s">
        <v>506</v>
      </c>
      <c r="V31" s="100" t="s">
        <v>507</v>
      </c>
      <c r="W31" s="106" t="s">
        <v>26</v>
      </c>
      <c r="X31" s="106" t="s">
        <v>44</v>
      </c>
      <c r="Y31" s="106">
        <v>35</v>
      </c>
      <c r="Z31" s="107">
        <v>43435</v>
      </c>
      <c r="AA31" s="108">
        <v>43449</v>
      </c>
      <c r="AB31" s="109"/>
      <c r="AC31" s="109"/>
    </row>
    <row r="32" spans="1:29" hidden="1" x14ac:dyDescent="0.15">
      <c r="A32" s="98">
        <v>31</v>
      </c>
      <c r="B32" s="99">
        <v>112917</v>
      </c>
      <c r="C32" s="98" t="s">
        <v>6329</v>
      </c>
      <c r="D32" s="100" t="s">
        <v>42</v>
      </c>
      <c r="E32" s="100" t="s">
        <v>27</v>
      </c>
      <c r="F32" s="100" t="s">
        <v>43</v>
      </c>
      <c r="G32" s="98" t="s">
        <v>24</v>
      </c>
      <c r="H32" s="98" t="str">
        <f>VLOOKUP(G32,CGS[],2,FALSE)</f>
        <v>SAF</v>
      </c>
      <c r="I32" s="65">
        <v>2000</v>
      </c>
      <c r="J32" s="101">
        <f>IF(ISBLANK(Pricelist[[#This Row],[EBS]]),"",VALUE(LEFT(Pricelist[[#This Row],[EBS]],LEN(Pricelist[[#This Row],[EBS]])-LEN(Pricelist[[#This Row],[E2]])-1)))</f>
        <v>60</v>
      </c>
      <c r="K32" s="65">
        <v>3700</v>
      </c>
      <c r="L32" s="101">
        <f>IF(ISBLANK(Pricelist[[#This Row],[EBS]]),"",VALUE(RIGHT(Pricelist[[#This Row],[EBS]],3)))</f>
        <v>120</v>
      </c>
      <c r="M32" s="65">
        <v>3700</v>
      </c>
      <c r="N32" s="101">
        <f>IF(ISBLANK(Pricelist[[#This Row],[EBS]]),"",VALUE(RIGHT(Pricelist[[#This Row],[EBS]],3)))</f>
        <v>120</v>
      </c>
      <c r="O32" s="101" t="str">
        <f>IF(AND(Pricelist[[#This Row],[AE1]]&lt;&gt;"",OR(Pricelist[[#This Row],[区]]="南",Pricelist[[#This Row],[区]]="北")),MID(Pricelist[[#This Row],[AE1]],4,2),"")</f>
        <v/>
      </c>
      <c r="P32" s="102">
        <v>2000</v>
      </c>
      <c r="Q32" s="103">
        <v>3700</v>
      </c>
      <c r="R32" s="103">
        <v>3700</v>
      </c>
      <c r="S32" s="104" t="s">
        <v>2199</v>
      </c>
      <c r="T32" s="104"/>
      <c r="U32" s="105" t="s">
        <v>505</v>
      </c>
      <c r="V32" s="100" t="s">
        <v>507</v>
      </c>
      <c r="W32" s="106" t="s">
        <v>26</v>
      </c>
      <c r="X32" s="106" t="s">
        <v>44</v>
      </c>
      <c r="Y32" s="106">
        <v>35</v>
      </c>
      <c r="Z32" s="107">
        <v>43435</v>
      </c>
      <c r="AA32" s="108">
        <v>43450</v>
      </c>
      <c r="AB32" s="109" t="s">
        <v>41</v>
      </c>
      <c r="AC32" s="109"/>
    </row>
    <row r="33" spans="1:29" hidden="1" x14ac:dyDescent="0.15">
      <c r="A33" s="98">
        <v>32</v>
      </c>
      <c r="B33" s="99">
        <v>112917</v>
      </c>
      <c r="C33" s="98" t="s">
        <v>6329</v>
      </c>
      <c r="D33" s="100" t="s">
        <v>45</v>
      </c>
      <c r="E33" s="100" t="s">
        <v>46</v>
      </c>
      <c r="F33" s="100" t="s">
        <v>47</v>
      </c>
      <c r="G33" s="98" t="s">
        <v>21</v>
      </c>
      <c r="H33" s="98" t="str">
        <f>VLOOKUP(G33,CGS[],2,FALSE)</f>
        <v>MSK</v>
      </c>
      <c r="I33" s="65">
        <v>985</v>
      </c>
      <c r="J33" s="101" t="str">
        <f>IF(ISBLANK(Pricelist[[#This Row],[EBS]]),"",VALUE(LEFT(Pricelist[[#This Row],[EBS]],LEN(Pricelist[[#This Row],[EBS]])-LEN(Pricelist[[#This Row],[E2]])-1)))</f>
        <v/>
      </c>
      <c r="K33" s="65">
        <v>1570</v>
      </c>
      <c r="L33" s="101" t="str">
        <f>IF(ISBLANK(Pricelist[[#This Row],[EBS]]),"",VALUE(RIGHT(Pricelist[[#This Row],[EBS]],3)))</f>
        <v/>
      </c>
      <c r="M33" s="65">
        <v>1570</v>
      </c>
      <c r="N33" s="101" t="str">
        <f>IF(ISBLANK(Pricelist[[#This Row],[EBS]]),"",VALUE(RIGHT(Pricelist[[#This Row],[EBS]],3)))</f>
        <v/>
      </c>
      <c r="O33" s="101" t="str">
        <f>IF(AND(Pricelist[[#This Row],[AE1]]&lt;&gt;"",OR(Pricelist[[#This Row],[区]]="南",Pricelist[[#This Row],[区]]="北")),MID(Pricelist[[#This Row],[AE1]],4,2),"")</f>
        <v/>
      </c>
      <c r="P33" s="102">
        <v>1010</v>
      </c>
      <c r="Q33" s="103">
        <v>1620</v>
      </c>
      <c r="R33" s="103">
        <v>1620</v>
      </c>
      <c r="S33" s="104"/>
      <c r="T33" s="104"/>
      <c r="U33" s="105" t="s">
        <v>2197</v>
      </c>
      <c r="V33" s="100" t="s">
        <v>507</v>
      </c>
      <c r="W33" s="106" t="s">
        <v>48</v>
      </c>
      <c r="X33" s="106" t="s">
        <v>49</v>
      </c>
      <c r="Y33" s="106">
        <v>28</v>
      </c>
      <c r="Z33" s="107">
        <v>43435</v>
      </c>
      <c r="AA33" s="108">
        <v>43449</v>
      </c>
      <c r="AB33" s="109"/>
      <c r="AC33" s="109"/>
    </row>
    <row r="34" spans="1:29" hidden="1" x14ac:dyDescent="0.15">
      <c r="A34" s="98">
        <v>33</v>
      </c>
      <c r="B34" s="99">
        <v>112917</v>
      </c>
      <c r="C34" s="98" t="s">
        <v>6329</v>
      </c>
      <c r="D34" s="100" t="s">
        <v>45</v>
      </c>
      <c r="E34" s="100" t="s">
        <v>46</v>
      </c>
      <c r="F34" s="100" t="s">
        <v>47</v>
      </c>
      <c r="G34" s="98" t="s">
        <v>24</v>
      </c>
      <c r="H34" s="98" t="str">
        <f>VLOOKUP(G34,CGS[],2,FALSE)</f>
        <v>SAF</v>
      </c>
      <c r="I34" s="65">
        <v>925</v>
      </c>
      <c r="J34" s="101">
        <f>IF(ISBLANK(Pricelist[[#This Row],[EBS]]),"",VALUE(LEFT(Pricelist[[#This Row],[EBS]],LEN(Pricelist[[#This Row],[EBS]])-LEN(Pricelist[[#This Row],[E2]])-1)))</f>
        <v>60</v>
      </c>
      <c r="K34" s="65">
        <v>1450</v>
      </c>
      <c r="L34" s="101">
        <f>IF(ISBLANK(Pricelist[[#This Row],[EBS]]),"",VALUE(RIGHT(Pricelist[[#This Row],[EBS]],3)))</f>
        <v>120</v>
      </c>
      <c r="M34" s="65">
        <v>1450</v>
      </c>
      <c r="N34" s="101">
        <f>IF(ISBLANK(Pricelist[[#This Row],[EBS]]),"",VALUE(RIGHT(Pricelist[[#This Row],[EBS]],3)))</f>
        <v>120</v>
      </c>
      <c r="O34" s="101" t="str">
        <f>IF(AND(Pricelist[[#This Row],[AE1]]&lt;&gt;"",OR(Pricelist[[#This Row],[区]]="南",Pricelist[[#This Row],[区]]="北")),MID(Pricelist[[#This Row],[AE1]],4,2),"")</f>
        <v/>
      </c>
      <c r="P34" s="102">
        <v>925</v>
      </c>
      <c r="Q34" s="103">
        <v>1450</v>
      </c>
      <c r="R34" s="103">
        <v>1450</v>
      </c>
      <c r="S34" s="104" t="s">
        <v>2199</v>
      </c>
      <c r="T34" s="104"/>
      <c r="U34" s="105" t="s">
        <v>509</v>
      </c>
      <c r="V34" s="100" t="s">
        <v>507</v>
      </c>
      <c r="W34" s="106" t="s">
        <v>48</v>
      </c>
      <c r="X34" s="106" t="s">
        <v>49</v>
      </c>
      <c r="Y34" s="106">
        <v>28</v>
      </c>
      <c r="Z34" s="107">
        <v>43435</v>
      </c>
      <c r="AA34" s="108">
        <v>43450</v>
      </c>
      <c r="AB34" s="109" t="s">
        <v>50</v>
      </c>
      <c r="AC34" s="109"/>
    </row>
    <row r="35" spans="1:29" hidden="1" x14ac:dyDescent="0.15">
      <c r="A35" s="98">
        <v>34</v>
      </c>
      <c r="B35" s="99">
        <v>112917</v>
      </c>
      <c r="C35" s="98" t="s">
        <v>6329</v>
      </c>
      <c r="D35" s="100" t="s">
        <v>3485</v>
      </c>
      <c r="E35" s="100" t="s">
        <v>51</v>
      </c>
      <c r="F35" s="100" t="s">
        <v>52</v>
      </c>
      <c r="G35" s="98" t="s">
        <v>21</v>
      </c>
      <c r="H35" s="98" t="str">
        <f>VLOOKUP(G35,CGS[],2,FALSE)</f>
        <v>MSK</v>
      </c>
      <c r="I35" s="65">
        <v>1438</v>
      </c>
      <c r="J35" s="101" t="str">
        <f>IF(ISBLANK(Pricelist[[#This Row],[EBS]]),"",VALUE(LEFT(Pricelist[[#This Row],[EBS]],LEN(Pricelist[[#This Row],[EBS]])-LEN(Pricelist[[#This Row],[E2]])-1)))</f>
        <v/>
      </c>
      <c r="K35" s="65">
        <v>2416</v>
      </c>
      <c r="L35" s="101" t="str">
        <f>IF(ISBLANK(Pricelist[[#This Row],[EBS]]),"",VALUE(RIGHT(Pricelist[[#This Row],[EBS]],3)))</f>
        <v/>
      </c>
      <c r="M35" s="65">
        <v>2416</v>
      </c>
      <c r="N35" s="101" t="str">
        <f>IF(ISBLANK(Pricelist[[#This Row],[EBS]]),"",VALUE(RIGHT(Pricelist[[#This Row],[EBS]],3)))</f>
        <v/>
      </c>
      <c r="O35" s="101" t="str">
        <f>IF(AND(Pricelist[[#This Row],[AE1]]&lt;&gt;"",OR(Pricelist[[#This Row],[区]]="南",Pricelist[[#This Row],[区]]="北")),MID(Pricelist[[#This Row],[AE1]],4,2),"")</f>
        <v/>
      </c>
      <c r="P35" s="102">
        <v>1463</v>
      </c>
      <c r="Q35" s="103">
        <v>2466</v>
      </c>
      <c r="R35" s="103">
        <v>2466</v>
      </c>
      <c r="S35" s="104"/>
      <c r="T35" s="104"/>
      <c r="U35" s="105" t="s">
        <v>509</v>
      </c>
      <c r="V35" s="100" t="s">
        <v>507</v>
      </c>
      <c r="W35" s="106" t="s">
        <v>48</v>
      </c>
      <c r="X35" s="106" t="s">
        <v>49</v>
      </c>
      <c r="Y35" s="106">
        <v>33</v>
      </c>
      <c r="Z35" s="107">
        <v>43435</v>
      </c>
      <c r="AA35" s="108">
        <v>43449</v>
      </c>
      <c r="AB35" s="109"/>
      <c r="AC35" s="109"/>
    </row>
    <row r="36" spans="1:29" ht="25.5" hidden="1" x14ac:dyDescent="0.15">
      <c r="A36" s="98">
        <v>35</v>
      </c>
      <c r="B36" s="99">
        <v>112917</v>
      </c>
      <c r="C36" s="98" t="s">
        <v>6329</v>
      </c>
      <c r="D36" s="100" t="s">
        <v>3485</v>
      </c>
      <c r="E36" s="100" t="s">
        <v>51</v>
      </c>
      <c r="F36" s="100" t="s">
        <v>52</v>
      </c>
      <c r="G36" s="98" t="s">
        <v>24</v>
      </c>
      <c r="H36" s="98" t="str">
        <f>VLOOKUP(G36,CGS[],2,FALSE)</f>
        <v>SAF</v>
      </c>
      <c r="I36" s="65">
        <v>1098</v>
      </c>
      <c r="J36" s="101">
        <f>IF(ISBLANK(Pricelist[[#This Row],[EBS]]),"",VALUE(LEFT(Pricelist[[#This Row],[EBS]],LEN(Pricelist[[#This Row],[EBS]])-LEN(Pricelist[[#This Row],[E2]])-1)))</f>
        <v>125</v>
      </c>
      <c r="K36" s="65">
        <v>1813</v>
      </c>
      <c r="L36" s="101">
        <f>IF(ISBLANK(Pricelist[[#This Row],[EBS]]),"",VALUE(RIGHT(Pricelist[[#This Row],[EBS]],3)))</f>
        <v>250</v>
      </c>
      <c r="M36" s="65">
        <v>1813</v>
      </c>
      <c r="N36" s="101">
        <f>IF(ISBLANK(Pricelist[[#This Row],[EBS]]),"",VALUE(RIGHT(Pricelist[[#This Row],[EBS]],3)))</f>
        <v>250</v>
      </c>
      <c r="O36" s="101" t="str">
        <f>IF(AND(Pricelist[[#This Row],[AE1]]&lt;&gt;"",OR(Pricelist[[#This Row],[区]]="南",Pricelist[[#This Row],[区]]="北")),MID(Pricelist[[#This Row],[AE1]],4,2),"")</f>
        <v/>
      </c>
      <c r="P36" s="102">
        <v>1098</v>
      </c>
      <c r="Q36" s="103">
        <v>1813</v>
      </c>
      <c r="R36" s="103">
        <v>1813</v>
      </c>
      <c r="S36" s="104" t="s">
        <v>6243</v>
      </c>
      <c r="T36" s="104"/>
      <c r="U36" s="105" t="s">
        <v>509</v>
      </c>
      <c r="V36" s="100" t="s">
        <v>507</v>
      </c>
      <c r="W36" s="106" t="s">
        <v>48</v>
      </c>
      <c r="X36" s="106" t="s">
        <v>49</v>
      </c>
      <c r="Y36" s="106">
        <v>33</v>
      </c>
      <c r="Z36" s="107">
        <v>43435</v>
      </c>
      <c r="AA36" s="108">
        <v>43450</v>
      </c>
      <c r="AB36" s="109" t="s">
        <v>3683</v>
      </c>
      <c r="AC36" s="109"/>
    </row>
    <row r="37" spans="1:29" hidden="1" x14ac:dyDescent="0.15">
      <c r="A37" s="98">
        <v>36</v>
      </c>
      <c r="B37" s="99">
        <v>112917</v>
      </c>
      <c r="C37" s="98" t="s">
        <v>6329</v>
      </c>
      <c r="D37" s="100" t="s">
        <v>53</v>
      </c>
      <c r="E37" s="100" t="s">
        <v>54</v>
      </c>
      <c r="F37" s="100" t="s">
        <v>55</v>
      </c>
      <c r="G37" s="98" t="s">
        <v>8</v>
      </c>
      <c r="H37" s="98" t="str">
        <f>VLOOKUP(G37,CGS[],2,FALSE)</f>
        <v>CMA</v>
      </c>
      <c r="I37" s="65">
        <v>1875</v>
      </c>
      <c r="J37" s="101">
        <f>IF(ISBLANK(Pricelist[[#This Row],[EBS]]),"",VALUE(LEFT(Pricelist[[#This Row],[EBS]],LEN(Pricelist[[#This Row],[EBS]])-LEN(Pricelist[[#This Row],[E2]])-1)))</f>
        <v>55</v>
      </c>
      <c r="K37" s="65">
        <v>3750</v>
      </c>
      <c r="L37" s="101">
        <f>IF(ISBLANK(Pricelist[[#This Row],[EBS]]),"",VALUE(RIGHT(Pricelist[[#This Row],[EBS]],3)))</f>
        <v>110</v>
      </c>
      <c r="M37" s="65">
        <v>3750</v>
      </c>
      <c r="N37" s="101">
        <f>IF(ISBLANK(Pricelist[[#This Row],[EBS]]),"",VALUE(RIGHT(Pricelist[[#This Row],[EBS]],3)))</f>
        <v>110</v>
      </c>
      <c r="O37" s="101" t="str">
        <f>IF(AND(Pricelist[[#This Row],[AE1]]&lt;&gt;"",OR(Pricelist[[#This Row],[区]]="南",Pricelist[[#This Row],[区]]="北")),MID(Pricelist[[#This Row],[AE1]],4,2),"")</f>
        <v/>
      </c>
      <c r="P37" s="102">
        <v>1900</v>
      </c>
      <c r="Q37" s="103">
        <v>3800</v>
      </c>
      <c r="R37" s="103">
        <v>3800</v>
      </c>
      <c r="S37" s="104" t="s">
        <v>2204</v>
      </c>
      <c r="T37" s="104"/>
      <c r="U37" s="105" t="s">
        <v>515</v>
      </c>
      <c r="V37" s="100" t="s">
        <v>2194</v>
      </c>
      <c r="W37" s="106" t="s">
        <v>2210</v>
      </c>
      <c r="X37" s="106" t="s">
        <v>2195</v>
      </c>
      <c r="Y37" s="106">
        <v>33</v>
      </c>
      <c r="Z37" s="107">
        <v>43435</v>
      </c>
      <c r="AA37" s="108">
        <v>43448</v>
      </c>
      <c r="AB37" s="109" t="s">
        <v>2198</v>
      </c>
      <c r="AC37" s="109"/>
    </row>
    <row r="38" spans="1:29" hidden="1" x14ac:dyDescent="0.15">
      <c r="A38" s="98">
        <v>37</v>
      </c>
      <c r="B38" s="99">
        <v>112917</v>
      </c>
      <c r="C38" s="98" t="s">
        <v>6329</v>
      </c>
      <c r="D38" s="100" t="s">
        <v>53</v>
      </c>
      <c r="E38" s="100" t="s">
        <v>54</v>
      </c>
      <c r="F38" s="100" t="s">
        <v>55</v>
      </c>
      <c r="G38" s="98" t="s">
        <v>36</v>
      </c>
      <c r="H38" s="98" t="str">
        <f>VLOOKUP(G38,CGS[],2,FALSE)</f>
        <v>BLINE</v>
      </c>
      <c r="I38" s="65">
        <v>1850</v>
      </c>
      <c r="J38" s="101">
        <f>IF(ISBLANK(Pricelist[[#This Row],[EBS]]),"",VALUE(LEFT(Pricelist[[#This Row],[EBS]],LEN(Pricelist[[#This Row],[EBS]])-LEN(Pricelist[[#This Row],[E2]])-1)))</f>
        <v>50</v>
      </c>
      <c r="K38" s="65">
        <v>3300</v>
      </c>
      <c r="L38" s="101">
        <f>IF(ISBLANK(Pricelist[[#This Row],[EBS]]),"",VALUE(RIGHT(Pricelist[[#This Row],[EBS]],3)))</f>
        <v>100</v>
      </c>
      <c r="M38" s="65">
        <v>3300</v>
      </c>
      <c r="N38" s="101">
        <f>IF(ISBLANK(Pricelist[[#This Row],[EBS]]),"",VALUE(RIGHT(Pricelist[[#This Row],[EBS]],3)))</f>
        <v>100</v>
      </c>
      <c r="O38" s="101" t="str">
        <f>IF(AND(Pricelist[[#This Row],[AE1]]&lt;&gt;"",OR(Pricelist[[#This Row],[区]]="南",Pricelist[[#This Row],[区]]="北")),MID(Pricelist[[#This Row],[AE1]],4,2),"")</f>
        <v/>
      </c>
      <c r="P38" s="102">
        <v>1850</v>
      </c>
      <c r="Q38" s="103">
        <v>3300</v>
      </c>
      <c r="R38" s="103">
        <v>3300</v>
      </c>
      <c r="S38" s="104" t="s">
        <v>2205</v>
      </c>
      <c r="T38" s="104"/>
      <c r="U38" s="105" t="s">
        <v>508</v>
      </c>
      <c r="V38" s="100" t="s">
        <v>504</v>
      </c>
      <c r="W38" s="106" t="s">
        <v>37</v>
      </c>
      <c r="X38" s="106" t="s">
        <v>38</v>
      </c>
      <c r="Y38" s="106">
        <v>35</v>
      </c>
      <c r="Z38" s="107">
        <v>43416</v>
      </c>
      <c r="AA38" s="108">
        <v>43422</v>
      </c>
      <c r="AB38" s="109" t="s">
        <v>39</v>
      </c>
      <c r="AC38" s="109"/>
    </row>
    <row r="39" spans="1:29" hidden="1" x14ac:dyDescent="0.15">
      <c r="A39" s="98">
        <v>38</v>
      </c>
      <c r="B39" s="99">
        <v>112917</v>
      </c>
      <c r="C39" s="98" t="s">
        <v>6329</v>
      </c>
      <c r="D39" s="100" t="s">
        <v>53</v>
      </c>
      <c r="E39" s="100" t="s">
        <v>54</v>
      </c>
      <c r="F39" s="100" t="s">
        <v>55</v>
      </c>
      <c r="G39" s="98" t="s">
        <v>17</v>
      </c>
      <c r="H39" s="98" t="str">
        <f>VLOOKUP(G39,CGS[],2,FALSE)</f>
        <v>MSC</v>
      </c>
      <c r="I39" s="65">
        <v>2025</v>
      </c>
      <c r="J39" s="101">
        <f>IF(ISBLANK(Pricelist[[#This Row],[EBS]]),"",VALUE(LEFT(Pricelist[[#This Row],[EBS]],LEN(Pricelist[[#This Row],[EBS]])-LEN(Pricelist[[#This Row],[E2]])-1)))</f>
        <v>100</v>
      </c>
      <c r="K39" s="65">
        <v>3850</v>
      </c>
      <c r="L39" s="101">
        <f>IF(ISBLANK(Pricelist[[#This Row],[EBS]]),"",VALUE(RIGHT(Pricelist[[#This Row],[EBS]],3)))</f>
        <v>200</v>
      </c>
      <c r="M39" s="65">
        <v>3850</v>
      </c>
      <c r="N39" s="101">
        <f>IF(ISBLANK(Pricelist[[#This Row],[EBS]]),"",VALUE(RIGHT(Pricelist[[#This Row],[EBS]],3)))</f>
        <v>200</v>
      </c>
      <c r="O39" s="101" t="str">
        <f>IF(AND(Pricelist[[#This Row],[AE1]]&lt;&gt;"",OR(Pricelist[[#This Row],[区]]="南",Pricelist[[#This Row],[区]]="北")),MID(Pricelist[[#This Row],[AE1]],4,2),"")</f>
        <v/>
      </c>
      <c r="P39" s="102">
        <v>2025</v>
      </c>
      <c r="Q39" s="103">
        <v>3850</v>
      </c>
      <c r="R39" s="103">
        <v>3850</v>
      </c>
      <c r="S39" s="104" t="s">
        <v>6328</v>
      </c>
      <c r="T39" s="104"/>
      <c r="U39" s="105" t="s">
        <v>506</v>
      </c>
      <c r="V39" s="100" t="s">
        <v>507</v>
      </c>
      <c r="W39" s="106" t="s">
        <v>37</v>
      </c>
      <c r="X39" s="106" t="s">
        <v>38</v>
      </c>
      <c r="Y39" s="106">
        <v>40</v>
      </c>
      <c r="Z39" s="107">
        <v>43435</v>
      </c>
      <c r="AA39" s="108">
        <v>43449</v>
      </c>
      <c r="AB39" s="109"/>
      <c r="AC39" s="109" t="s">
        <v>56</v>
      </c>
    </row>
    <row r="40" spans="1:29" hidden="1" x14ac:dyDescent="0.15">
      <c r="A40" s="98">
        <v>39</v>
      </c>
      <c r="B40" s="99">
        <v>112917</v>
      </c>
      <c r="C40" s="98" t="s">
        <v>6329</v>
      </c>
      <c r="D40" s="100" t="s">
        <v>57</v>
      </c>
      <c r="E40" s="100" t="s">
        <v>54</v>
      </c>
      <c r="F40" s="100" t="s">
        <v>58</v>
      </c>
      <c r="G40" s="98" t="s">
        <v>17</v>
      </c>
      <c r="H40" s="98" t="str">
        <f>VLOOKUP(G40,CGS[],2,FALSE)</f>
        <v>MSC</v>
      </c>
      <c r="I40" s="65">
        <v>1675</v>
      </c>
      <c r="J40" s="101">
        <f>IF(ISBLANK(Pricelist[[#This Row],[EBS]]),"",VALUE(LEFT(Pricelist[[#This Row],[EBS]],LEN(Pricelist[[#This Row],[EBS]])-LEN(Pricelist[[#This Row],[E2]])-1)))</f>
        <v>100</v>
      </c>
      <c r="K40" s="65">
        <v>3350</v>
      </c>
      <c r="L40" s="101">
        <f>IF(ISBLANK(Pricelist[[#This Row],[EBS]]),"",VALUE(RIGHT(Pricelist[[#This Row],[EBS]],3)))</f>
        <v>200</v>
      </c>
      <c r="M40" s="65">
        <v>3350</v>
      </c>
      <c r="N40" s="101">
        <f>IF(ISBLANK(Pricelist[[#This Row],[EBS]]),"",VALUE(RIGHT(Pricelist[[#This Row],[EBS]],3)))</f>
        <v>200</v>
      </c>
      <c r="O40" s="101" t="str">
        <f>IF(AND(Pricelist[[#This Row],[AE1]]&lt;&gt;"",OR(Pricelist[[#This Row],[区]]="南",Pricelist[[#This Row],[区]]="北")),MID(Pricelist[[#This Row],[AE1]],4,2),"")</f>
        <v/>
      </c>
      <c r="P40" s="102">
        <v>1675</v>
      </c>
      <c r="Q40" s="103">
        <v>3350</v>
      </c>
      <c r="R40" s="103">
        <v>3350</v>
      </c>
      <c r="S40" s="104" t="s">
        <v>6328</v>
      </c>
      <c r="T40" s="104"/>
      <c r="U40" s="105" t="s">
        <v>506</v>
      </c>
      <c r="V40" s="100" t="s">
        <v>507</v>
      </c>
      <c r="W40" s="106" t="s">
        <v>37</v>
      </c>
      <c r="X40" s="106" t="s">
        <v>38</v>
      </c>
      <c r="Y40" s="106">
        <v>40</v>
      </c>
      <c r="Z40" s="107">
        <v>43435</v>
      </c>
      <c r="AA40" s="108">
        <v>43449</v>
      </c>
      <c r="AB40" s="109"/>
      <c r="AC40" s="109" t="s">
        <v>56</v>
      </c>
    </row>
    <row r="41" spans="1:29" hidden="1" x14ac:dyDescent="0.15">
      <c r="A41" s="98">
        <v>40</v>
      </c>
      <c r="B41" s="99">
        <v>112917</v>
      </c>
      <c r="C41" s="98" t="s">
        <v>6329</v>
      </c>
      <c r="D41" s="100" t="s">
        <v>59</v>
      </c>
      <c r="E41" s="100" t="s">
        <v>54</v>
      </c>
      <c r="F41" s="100" t="s">
        <v>60</v>
      </c>
      <c r="G41" s="98" t="s">
        <v>21</v>
      </c>
      <c r="H41" s="98" t="str">
        <f>VLOOKUP(G41,CGS[],2,FALSE)</f>
        <v>MSK</v>
      </c>
      <c r="I41" s="65">
        <v>1610</v>
      </c>
      <c r="J41" s="101" t="str">
        <f>IF(ISBLANK(Pricelist[[#This Row],[EBS]]),"",VALUE(LEFT(Pricelist[[#This Row],[EBS]],LEN(Pricelist[[#This Row],[EBS]])-LEN(Pricelist[[#This Row],[E2]])-1)))</f>
        <v/>
      </c>
      <c r="K41" s="65">
        <v>2670</v>
      </c>
      <c r="L41" s="101" t="str">
        <f>IF(ISBLANK(Pricelist[[#This Row],[EBS]]),"",VALUE(RIGHT(Pricelist[[#This Row],[EBS]],3)))</f>
        <v/>
      </c>
      <c r="M41" s="65">
        <v>2670</v>
      </c>
      <c r="N41" s="101" t="str">
        <f>IF(ISBLANK(Pricelist[[#This Row],[EBS]]),"",VALUE(RIGHT(Pricelist[[#This Row],[EBS]],3)))</f>
        <v/>
      </c>
      <c r="O41" s="101" t="str">
        <f>IF(AND(Pricelist[[#This Row],[AE1]]&lt;&gt;"",OR(Pricelist[[#This Row],[区]]="南",Pricelist[[#This Row],[区]]="北")),MID(Pricelist[[#This Row],[AE1]],4,2),"")</f>
        <v/>
      </c>
      <c r="P41" s="102">
        <v>1635</v>
      </c>
      <c r="Q41" s="103">
        <v>2720</v>
      </c>
      <c r="R41" s="103">
        <v>2720</v>
      </c>
      <c r="S41" s="104"/>
      <c r="T41" s="104"/>
      <c r="U41" s="105" t="s">
        <v>2197</v>
      </c>
      <c r="V41" s="100" t="s">
        <v>507</v>
      </c>
      <c r="W41" s="106" t="s">
        <v>61</v>
      </c>
      <c r="X41" s="106" t="s">
        <v>33</v>
      </c>
      <c r="Y41" s="106">
        <v>31</v>
      </c>
      <c r="Z41" s="107">
        <v>43435</v>
      </c>
      <c r="AA41" s="108">
        <v>43449</v>
      </c>
      <c r="AB41" s="109"/>
      <c r="AC41" s="109"/>
    </row>
    <row r="42" spans="1:29" hidden="1" x14ac:dyDescent="0.15">
      <c r="A42" s="98">
        <v>41</v>
      </c>
      <c r="B42" s="99">
        <v>112917</v>
      </c>
      <c r="C42" s="98" t="s">
        <v>6329</v>
      </c>
      <c r="D42" s="100" t="s">
        <v>59</v>
      </c>
      <c r="E42" s="100" t="s">
        <v>54</v>
      </c>
      <c r="F42" s="100" t="s">
        <v>60</v>
      </c>
      <c r="G42" s="98" t="s">
        <v>24</v>
      </c>
      <c r="H42" s="98" t="str">
        <f>VLOOKUP(G42,CGS[],2,FALSE)</f>
        <v>SAF</v>
      </c>
      <c r="I42" s="65">
        <v>1550</v>
      </c>
      <c r="J42" s="101">
        <f>IF(ISBLANK(Pricelist[[#This Row],[EBS]]),"",VALUE(LEFT(Pricelist[[#This Row],[EBS]],LEN(Pricelist[[#This Row],[EBS]])-LEN(Pricelist[[#This Row],[E2]])-1)))</f>
        <v>60</v>
      </c>
      <c r="K42" s="65">
        <v>2550</v>
      </c>
      <c r="L42" s="101">
        <f>IF(ISBLANK(Pricelist[[#This Row],[EBS]]),"",VALUE(RIGHT(Pricelist[[#This Row],[EBS]],3)))</f>
        <v>120</v>
      </c>
      <c r="M42" s="65">
        <v>2550</v>
      </c>
      <c r="N42" s="101">
        <f>IF(ISBLANK(Pricelist[[#This Row],[EBS]]),"",VALUE(RIGHT(Pricelist[[#This Row],[EBS]],3)))</f>
        <v>120</v>
      </c>
      <c r="O42" s="101" t="str">
        <f>IF(AND(Pricelist[[#This Row],[AE1]]&lt;&gt;"",OR(Pricelist[[#This Row],[区]]="南",Pricelist[[#This Row],[区]]="北")),MID(Pricelist[[#This Row],[AE1]],4,2),"")</f>
        <v/>
      </c>
      <c r="P42" s="102">
        <v>1550</v>
      </c>
      <c r="Q42" s="103">
        <v>2550</v>
      </c>
      <c r="R42" s="103">
        <v>2550</v>
      </c>
      <c r="S42" s="104" t="s">
        <v>2199</v>
      </c>
      <c r="T42" s="104"/>
      <c r="U42" s="105" t="s">
        <v>511</v>
      </c>
      <c r="V42" s="100" t="s">
        <v>507</v>
      </c>
      <c r="W42" s="106" t="s">
        <v>61</v>
      </c>
      <c r="X42" s="106" t="s">
        <v>33</v>
      </c>
      <c r="Y42" s="106">
        <v>31</v>
      </c>
      <c r="Z42" s="107">
        <v>43435</v>
      </c>
      <c r="AA42" s="108">
        <v>43450</v>
      </c>
      <c r="AB42" s="109" t="s">
        <v>62</v>
      </c>
      <c r="AC42" s="109"/>
    </row>
    <row r="43" spans="1:29" hidden="1" x14ac:dyDescent="0.15">
      <c r="A43" s="98">
        <v>42</v>
      </c>
      <c r="B43" s="99">
        <v>112917</v>
      </c>
      <c r="C43" s="98" t="s">
        <v>6329</v>
      </c>
      <c r="D43" s="100" t="s">
        <v>59</v>
      </c>
      <c r="E43" s="100" t="s">
        <v>54</v>
      </c>
      <c r="F43" s="100" t="s">
        <v>60</v>
      </c>
      <c r="G43" s="98" t="s">
        <v>17</v>
      </c>
      <c r="H43" s="98" t="str">
        <f>VLOOKUP(G43,CGS[],2,FALSE)</f>
        <v>MSC</v>
      </c>
      <c r="I43" s="65">
        <v>1575</v>
      </c>
      <c r="J43" s="101">
        <f>IF(ISBLANK(Pricelist[[#This Row],[EBS]]),"",VALUE(LEFT(Pricelist[[#This Row],[EBS]],LEN(Pricelist[[#This Row],[EBS]])-LEN(Pricelist[[#This Row],[E2]])-1)))</f>
        <v>100</v>
      </c>
      <c r="K43" s="65">
        <v>3150</v>
      </c>
      <c r="L43" s="101">
        <f>IF(ISBLANK(Pricelist[[#This Row],[EBS]]),"",VALUE(RIGHT(Pricelist[[#This Row],[EBS]],3)))</f>
        <v>200</v>
      </c>
      <c r="M43" s="65">
        <v>3150</v>
      </c>
      <c r="N43" s="101">
        <f>IF(ISBLANK(Pricelist[[#This Row],[EBS]]),"",VALUE(RIGHT(Pricelist[[#This Row],[EBS]],3)))</f>
        <v>200</v>
      </c>
      <c r="O43" s="101" t="str">
        <f>IF(AND(Pricelist[[#This Row],[AE1]]&lt;&gt;"",OR(Pricelist[[#This Row],[区]]="南",Pricelist[[#This Row],[区]]="北")),MID(Pricelist[[#This Row],[AE1]],4,2),"")</f>
        <v/>
      </c>
      <c r="P43" s="102">
        <v>1575</v>
      </c>
      <c r="Q43" s="103">
        <v>3150</v>
      </c>
      <c r="R43" s="103">
        <v>3150</v>
      </c>
      <c r="S43" s="104" t="s">
        <v>6328</v>
      </c>
      <c r="T43" s="104"/>
      <c r="U43" s="105" t="s">
        <v>506</v>
      </c>
      <c r="V43" s="100" t="s">
        <v>507</v>
      </c>
      <c r="W43" s="106" t="s">
        <v>37</v>
      </c>
      <c r="X43" s="106" t="s">
        <v>38</v>
      </c>
      <c r="Y43" s="106">
        <v>40</v>
      </c>
      <c r="Z43" s="107">
        <v>43435</v>
      </c>
      <c r="AA43" s="108">
        <v>43449</v>
      </c>
      <c r="AB43" s="109"/>
      <c r="AC43" s="109" t="s">
        <v>56</v>
      </c>
    </row>
    <row r="44" spans="1:29" hidden="1" x14ac:dyDescent="0.15">
      <c r="A44" s="98">
        <v>43</v>
      </c>
      <c r="B44" s="99">
        <v>112917</v>
      </c>
      <c r="C44" s="98" t="s">
        <v>6329</v>
      </c>
      <c r="D44" s="100" t="s">
        <v>59</v>
      </c>
      <c r="E44" s="100" t="s">
        <v>54</v>
      </c>
      <c r="F44" s="100" t="s">
        <v>60</v>
      </c>
      <c r="G44" s="98" t="s">
        <v>36</v>
      </c>
      <c r="H44" s="98" t="str">
        <f>VLOOKUP(G44,CGS[],2,FALSE)</f>
        <v>BLINE</v>
      </c>
      <c r="I44" s="65">
        <v>1850</v>
      </c>
      <c r="J44" s="101">
        <f>IF(ISBLANK(Pricelist[[#This Row],[EBS]]),"",VALUE(LEFT(Pricelist[[#This Row],[EBS]],LEN(Pricelist[[#This Row],[EBS]])-LEN(Pricelist[[#This Row],[E2]])-1)))</f>
        <v>50</v>
      </c>
      <c r="K44" s="65">
        <v>3300</v>
      </c>
      <c r="L44" s="101">
        <f>IF(ISBLANK(Pricelist[[#This Row],[EBS]]),"",VALUE(RIGHT(Pricelist[[#This Row],[EBS]],3)))</f>
        <v>100</v>
      </c>
      <c r="M44" s="65">
        <v>3300</v>
      </c>
      <c r="N44" s="101">
        <f>IF(ISBLANK(Pricelist[[#This Row],[EBS]]),"",VALUE(RIGHT(Pricelist[[#This Row],[EBS]],3)))</f>
        <v>100</v>
      </c>
      <c r="O44" s="101" t="str">
        <f>IF(AND(Pricelist[[#This Row],[AE1]]&lt;&gt;"",OR(Pricelist[[#This Row],[区]]="南",Pricelist[[#This Row],[区]]="北")),MID(Pricelist[[#This Row],[AE1]],4,2),"")</f>
        <v/>
      </c>
      <c r="P44" s="102">
        <v>1850</v>
      </c>
      <c r="Q44" s="103">
        <v>3300</v>
      </c>
      <c r="R44" s="103">
        <v>3300</v>
      </c>
      <c r="S44" s="104" t="s">
        <v>2205</v>
      </c>
      <c r="T44" s="104"/>
      <c r="U44" s="105" t="s">
        <v>508</v>
      </c>
      <c r="V44" s="100" t="s">
        <v>504</v>
      </c>
      <c r="W44" s="106" t="s">
        <v>37</v>
      </c>
      <c r="X44" s="106" t="s">
        <v>38</v>
      </c>
      <c r="Y44" s="106">
        <v>35</v>
      </c>
      <c r="Z44" s="107">
        <v>43416</v>
      </c>
      <c r="AA44" s="108">
        <v>43422</v>
      </c>
      <c r="AB44" s="109" t="s">
        <v>39</v>
      </c>
      <c r="AC44" s="109"/>
    </row>
    <row r="45" spans="1:29" hidden="1" x14ac:dyDescent="0.15">
      <c r="A45" s="98">
        <v>44</v>
      </c>
      <c r="B45" s="99">
        <v>112917</v>
      </c>
      <c r="C45" s="98" t="s">
        <v>6329</v>
      </c>
      <c r="D45" s="100" t="s">
        <v>63</v>
      </c>
      <c r="E45" s="100" t="s">
        <v>64</v>
      </c>
      <c r="F45" s="100" t="s">
        <v>65</v>
      </c>
      <c r="G45" s="98" t="s">
        <v>18</v>
      </c>
      <c r="H45" s="98" t="str">
        <f>VLOOKUP(G45,CGS[],2,FALSE)</f>
        <v>PIL</v>
      </c>
      <c r="I45" s="65">
        <v>2710</v>
      </c>
      <c r="J45" s="101" t="str">
        <f>IF(ISBLANK(Pricelist[[#This Row],[EBS]]),"",VALUE(LEFT(Pricelist[[#This Row],[EBS]],LEN(Pricelist[[#This Row],[EBS]])-LEN(Pricelist[[#This Row],[E2]])-1)))</f>
        <v/>
      </c>
      <c r="K45" s="65">
        <v>5410</v>
      </c>
      <c r="L45" s="101" t="str">
        <f>IF(ISBLANK(Pricelist[[#This Row],[EBS]]),"",VALUE(RIGHT(Pricelist[[#This Row],[EBS]],3)))</f>
        <v/>
      </c>
      <c r="M45" s="65">
        <v>5410</v>
      </c>
      <c r="N45" s="101" t="str">
        <f>IF(ISBLANK(Pricelist[[#This Row],[EBS]]),"",VALUE(RIGHT(Pricelist[[#This Row],[EBS]],3)))</f>
        <v/>
      </c>
      <c r="O45" s="101" t="str">
        <f>IF(AND(Pricelist[[#This Row],[AE1]]&lt;&gt;"",OR(Pricelist[[#This Row],[区]]="南",Pricelist[[#This Row],[区]]="北")),MID(Pricelist[[#This Row],[AE1]],4,2),"")</f>
        <v/>
      </c>
      <c r="P45" s="102">
        <v>2760</v>
      </c>
      <c r="Q45" s="103">
        <v>5510</v>
      </c>
      <c r="R45" s="103">
        <v>5510</v>
      </c>
      <c r="S45" s="104"/>
      <c r="T45" s="104"/>
      <c r="U45" s="105" t="s">
        <v>508</v>
      </c>
      <c r="V45" s="100" t="s">
        <v>504</v>
      </c>
      <c r="W45" s="106" t="s">
        <v>66</v>
      </c>
      <c r="X45" s="106" t="s">
        <v>35</v>
      </c>
      <c r="Y45" s="106">
        <v>42</v>
      </c>
      <c r="Z45" s="107">
        <v>43422</v>
      </c>
      <c r="AA45" s="108">
        <v>43434</v>
      </c>
      <c r="AB45" s="109"/>
      <c r="AC45" s="109"/>
    </row>
    <row r="46" spans="1:29" hidden="1" x14ac:dyDescent="0.15">
      <c r="A46" s="98">
        <v>45</v>
      </c>
      <c r="B46" s="99">
        <v>112917</v>
      </c>
      <c r="C46" s="98" t="s">
        <v>6329</v>
      </c>
      <c r="D46" s="100" t="s">
        <v>63</v>
      </c>
      <c r="E46" s="100" t="s">
        <v>64</v>
      </c>
      <c r="F46" s="100" t="s">
        <v>65</v>
      </c>
      <c r="G46" s="98" t="s">
        <v>36</v>
      </c>
      <c r="H46" s="98" t="str">
        <f>VLOOKUP(G46,CGS[],2,FALSE)</f>
        <v>BLINE</v>
      </c>
      <c r="I46" s="65">
        <v>2150</v>
      </c>
      <c r="J46" s="101">
        <f>IF(ISBLANK(Pricelist[[#This Row],[EBS]]),"",VALUE(LEFT(Pricelist[[#This Row],[EBS]],LEN(Pricelist[[#This Row],[EBS]])-LEN(Pricelist[[#This Row],[E2]])-1)))</f>
        <v>50</v>
      </c>
      <c r="K46" s="65">
        <v>4300</v>
      </c>
      <c r="L46" s="101">
        <f>IF(ISBLANK(Pricelist[[#This Row],[EBS]]),"",VALUE(RIGHT(Pricelist[[#This Row],[EBS]],3)))</f>
        <v>100</v>
      </c>
      <c r="M46" s="65">
        <v>4300</v>
      </c>
      <c r="N46" s="101">
        <f>IF(ISBLANK(Pricelist[[#This Row],[EBS]]),"",VALUE(RIGHT(Pricelist[[#This Row],[EBS]],3)))</f>
        <v>100</v>
      </c>
      <c r="O46" s="101" t="str">
        <f>IF(AND(Pricelist[[#This Row],[AE1]]&lt;&gt;"",OR(Pricelist[[#This Row],[区]]="南",Pricelist[[#This Row],[区]]="北")),MID(Pricelist[[#This Row],[AE1]],4,2),"")</f>
        <v/>
      </c>
      <c r="P46" s="102">
        <v>2150</v>
      </c>
      <c r="Q46" s="103">
        <v>4300</v>
      </c>
      <c r="R46" s="103">
        <v>4300</v>
      </c>
      <c r="S46" s="104" t="s">
        <v>2205</v>
      </c>
      <c r="T46" s="104"/>
      <c r="U46" s="105" t="s">
        <v>508</v>
      </c>
      <c r="V46" s="100" t="s">
        <v>504</v>
      </c>
      <c r="W46" s="106" t="s">
        <v>37</v>
      </c>
      <c r="X46" s="106" t="s">
        <v>38</v>
      </c>
      <c r="Y46" s="106">
        <v>45</v>
      </c>
      <c r="Z46" s="107">
        <v>43416</v>
      </c>
      <c r="AA46" s="108">
        <v>43422</v>
      </c>
      <c r="AB46" s="109" t="s">
        <v>39</v>
      </c>
      <c r="AC46" s="109"/>
    </row>
    <row r="47" spans="1:29" hidden="1" x14ac:dyDescent="0.15">
      <c r="A47" s="98">
        <v>46</v>
      </c>
      <c r="B47" s="99">
        <v>112917</v>
      </c>
      <c r="C47" s="98" t="s">
        <v>6329</v>
      </c>
      <c r="D47" s="100" t="s">
        <v>67</v>
      </c>
      <c r="E47" s="100" t="s">
        <v>64</v>
      </c>
      <c r="F47" s="100" t="s">
        <v>65</v>
      </c>
      <c r="G47" s="98" t="s">
        <v>36</v>
      </c>
      <c r="H47" s="98" t="str">
        <f>VLOOKUP(G47,CGS[],2,FALSE)</f>
        <v>BLINE</v>
      </c>
      <c r="I47" s="65">
        <v>2225</v>
      </c>
      <c r="J47" s="101">
        <f>IF(ISBLANK(Pricelist[[#This Row],[EBS]]),"",VALUE(LEFT(Pricelist[[#This Row],[EBS]],LEN(Pricelist[[#This Row],[EBS]])-LEN(Pricelist[[#This Row],[E2]])-1)))</f>
        <v>50</v>
      </c>
      <c r="K47" s="65">
        <v>4450</v>
      </c>
      <c r="L47" s="101">
        <f>IF(ISBLANK(Pricelist[[#This Row],[EBS]]),"",VALUE(RIGHT(Pricelist[[#This Row],[EBS]],3)))</f>
        <v>100</v>
      </c>
      <c r="M47" s="65">
        <v>4450</v>
      </c>
      <c r="N47" s="101">
        <f>IF(ISBLANK(Pricelist[[#This Row],[EBS]]),"",VALUE(RIGHT(Pricelist[[#This Row],[EBS]],3)))</f>
        <v>100</v>
      </c>
      <c r="O47" s="101" t="str">
        <f>IF(AND(Pricelist[[#This Row],[AE1]]&lt;&gt;"",OR(Pricelist[[#This Row],[区]]="南",Pricelist[[#This Row],[区]]="北")),MID(Pricelist[[#This Row],[AE1]],4,2),"")</f>
        <v/>
      </c>
      <c r="P47" s="102">
        <v>2225</v>
      </c>
      <c r="Q47" s="103">
        <v>4450</v>
      </c>
      <c r="R47" s="103">
        <v>4450</v>
      </c>
      <c r="S47" s="104" t="s">
        <v>2205</v>
      </c>
      <c r="T47" s="104"/>
      <c r="U47" s="105" t="s">
        <v>508</v>
      </c>
      <c r="V47" s="100" t="s">
        <v>504</v>
      </c>
      <c r="W47" s="106" t="s">
        <v>68</v>
      </c>
      <c r="X47" s="106" t="s">
        <v>69</v>
      </c>
      <c r="Y47" s="106">
        <v>44</v>
      </c>
      <c r="Z47" s="107">
        <v>43416</v>
      </c>
      <c r="AA47" s="108">
        <v>43422</v>
      </c>
      <c r="AB47" s="109" t="s">
        <v>39</v>
      </c>
      <c r="AC47" s="109"/>
    </row>
    <row r="48" spans="1:29" ht="25.5" hidden="1" x14ac:dyDescent="0.15">
      <c r="A48" s="98">
        <v>47</v>
      </c>
      <c r="B48" s="99">
        <v>112917</v>
      </c>
      <c r="C48" s="98" t="s">
        <v>6329</v>
      </c>
      <c r="D48" s="100" t="s">
        <v>70</v>
      </c>
      <c r="E48" s="100" t="s">
        <v>71</v>
      </c>
      <c r="F48" s="100" t="s">
        <v>72</v>
      </c>
      <c r="G48" s="98" t="s">
        <v>8</v>
      </c>
      <c r="H48" s="98" t="str">
        <f>VLOOKUP(G48,CGS[],2,FALSE)</f>
        <v>CMA</v>
      </c>
      <c r="I48" s="65">
        <v>1825</v>
      </c>
      <c r="J48" s="101">
        <f>IF(ISBLANK(Pricelist[[#This Row],[EBS]]),"",VALUE(LEFT(Pricelist[[#This Row],[EBS]],LEN(Pricelist[[#This Row],[EBS]])-LEN(Pricelist[[#This Row],[E2]])-1)))</f>
        <v>55</v>
      </c>
      <c r="K48" s="65">
        <v>3600</v>
      </c>
      <c r="L48" s="101">
        <f>IF(ISBLANK(Pricelist[[#This Row],[EBS]]),"",VALUE(RIGHT(Pricelist[[#This Row],[EBS]],3)))</f>
        <v>110</v>
      </c>
      <c r="M48" s="65">
        <v>3600</v>
      </c>
      <c r="N48" s="101">
        <f>IF(ISBLANK(Pricelist[[#This Row],[EBS]]),"",VALUE(RIGHT(Pricelist[[#This Row],[EBS]],3)))</f>
        <v>110</v>
      </c>
      <c r="O48" s="101" t="str">
        <f>IF(AND(Pricelist[[#This Row],[AE1]]&lt;&gt;"",OR(Pricelist[[#This Row],[区]]="南",Pricelist[[#This Row],[区]]="北")),MID(Pricelist[[#This Row],[AE1]],4,2),"")</f>
        <v/>
      </c>
      <c r="P48" s="102">
        <v>1900</v>
      </c>
      <c r="Q48" s="103">
        <v>3750</v>
      </c>
      <c r="R48" s="103">
        <v>3750</v>
      </c>
      <c r="S48" s="104" t="s">
        <v>2204</v>
      </c>
      <c r="T48" s="104"/>
      <c r="U48" s="105" t="s">
        <v>509</v>
      </c>
      <c r="V48" s="100" t="s">
        <v>507</v>
      </c>
      <c r="W48" s="106" t="s">
        <v>73</v>
      </c>
      <c r="X48" s="106" t="s">
        <v>404</v>
      </c>
      <c r="Y48" s="106">
        <v>35</v>
      </c>
      <c r="Z48" s="107">
        <v>43435</v>
      </c>
      <c r="AA48" s="108">
        <v>43448</v>
      </c>
      <c r="AB48" s="109" t="s">
        <v>74</v>
      </c>
      <c r="AC48" s="109" t="s">
        <v>75</v>
      </c>
    </row>
    <row r="49" spans="1:29" hidden="1" x14ac:dyDescent="0.15">
      <c r="A49" s="98">
        <v>48</v>
      </c>
      <c r="B49" s="99">
        <v>112917</v>
      </c>
      <c r="C49" s="98" t="s">
        <v>6329</v>
      </c>
      <c r="D49" s="100" t="s">
        <v>70</v>
      </c>
      <c r="E49" s="100" t="s">
        <v>71</v>
      </c>
      <c r="F49" s="100" t="s">
        <v>72</v>
      </c>
      <c r="G49" s="98" t="s">
        <v>17</v>
      </c>
      <c r="H49" s="98" t="str">
        <f>VLOOKUP(G49,CGS[],2,FALSE)</f>
        <v>MSC</v>
      </c>
      <c r="I49" s="65">
        <v>1575</v>
      </c>
      <c r="J49" s="101">
        <f>IF(ISBLANK(Pricelist[[#This Row],[EBS]]),"",VALUE(LEFT(Pricelist[[#This Row],[EBS]],LEN(Pricelist[[#This Row],[EBS]])-LEN(Pricelist[[#This Row],[E2]])-1)))</f>
        <v>100</v>
      </c>
      <c r="K49" s="65">
        <v>3150</v>
      </c>
      <c r="L49" s="101">
        <f>IF(ISBLANK(Pricelist[[#This Row],[EBS]]),"",VALUE(RIGHT(Pricelist[[#This Row],[EBS]],3)))</f>
        <v>200</v>
      </c>
      <c r="M49" s="65">
        <v>3250</v>
      </c>
      <c r="N49" s="101">
        <f>IF(ISBLANK(Pricelist[[#This Row],[EBS]]),"",VALUE(RIGHT(Pricelist[[#This Row],[EBS]],3)))</f>
        <v>200</v>
      </c>
      <c r="O49" s="101" t="str">
        <f>IF(AND(Pricelist[[#This Row],[AE1]]&lt;&gt;"",OR(Pricelist[[#This Row],[区]]="南",Pricelist[[#This Row],[区]]="北")),MID(Pricelist[[#This Row],[AE1]],4,2),"")</f>
        <v/>
      </c>
      <c r="P49" s="102">
        <v>1575</v>
      </c>
      <c r="Q49" s="103">
        <v>3150</v>
      </c>
      <c r="R49" s="103">
        <v>3250</v>
      </c>
      <c r="S49" s="104" t="s">
        <v>6328</v>
      </c>
      <c r="T49" s="104"/>
      <c r="U49" s="105" t="s">
        <v>506</v>
      </c>
      <c r="V49" s="100" t="s">
        <v>507</v>
      </c>
      <c r="W49" s="106" t="s">
        <v>76</v>
      </c>
      <c r="X49" s="106" t="s">
        <v>77</v>
      </c>
      <c r="Y49" s="106">
        <v>28</v>
      </c>
      <c r="Z49" s="107">
        <v>43435</v>
      </c>
      <c r="AA49" s="108">
        <v>43449</v>
      </c>
      <c r="AB49" s="109"/>
      <c r="AC49" s="109" t="s">
        <v>56</v>
      </c>
    </row>
    <row r="50" spans="1:29" hidden="1" x14ac:dyDescent="0.15">
      <c r="A50" s="98">
        <v>49</v>
      </c>
      <c r="B50" s="99">
        <v>112917</v>
      </c>
      <c r="C50" s="98" t="s">
        <v>6329</v>
      </c>
      <c r="D50" s="100" t="s">
        <v>78</v>
      </c>
      <c r="E50" s="100" t="s">
        <v>79</v>
      </c>
      <c r="F50" s="100" t="s">
        <v>80</v>
      </c>
      <c r="G50" s="98" t="s">
        <v>8</v>
      </c>
      <c r="H50" s="98" t="str">
        <f>VLOOKUP(G50,CGS[],2,FALSE)</f>
        <v>CMA</v>
      </c>
      <c r="I50" s="65">
        <v>2425</v>
      </c>
      <c r="J50" s="101">
        <f>IF(ISBLANK(Pricelist[[#This Row],[EBS]]),"",VALUE(LEFT(Pricelist[[#This Row],[EBS]],LEN(Pricelist[[#This Row],[EBS]])-LEN(Pricelist[[#This Row],[E2]])-1)))</f>
        <v>55</v>
      </c>
      <c r="K50" s="65">
        <v>4850</v>
      </c>
      <c r="L50" s="101">
        <f>IF(ISBLANK(Pricelist[[#This Row],[EBS]]),"",VALUE(RIGHT(Pricelist[[#This Row],[EBS]],3)))</f>
        <v>110</v>
      </c>
      <c r="M50" s="65">
        <v>4850</v>
      </c>
      <c r="N50" s="101">
        <f>IF(ISBLANK(Pricelist[[#This Row],[EBS]]),"",VALUE(RIGHT(Pricelist[[#This Row],[EBS]],3)))</f>
        <v>110</v>
      </c>
      <c r="O50" s="101" t="str">
        <f>IF(AND(Pricelist[[#This Row],[AE1]]&lt;&gt;"",OR(Pricelist[[#This Row],[区]]="南",Pricelist[[#This Row],[区]]="北")),MID(Pricelist[[#This Row],[AE1]],4,2),"")</f>
        <v/>
      </c>
      <c r="P50" s="102">
        <v>2500</v>
      </c>
      <c r="Q50" s="103">
        <v>5000</v>
      </c>
      <c r="R50" s="103">
        <v>5000</v>
      </c>
      <c r="S50" s="104" t="s">
        <v>2204</v>
      </c>
      <c r="T50" s="104"/>
      <c r="U50" s="105" t="s">
        <v>509</v>
      </c>
      <c r="V50" s="100" t="s">
        <v>507</v>
      </c>
      <c r="W50" s="106" t="s">
        <v>73</v>
      </c>
      <c r="X50" s="106" t="s">
        <v>404</v>
      </c>
      <c r="Y50" s="106">
        <v>40</v>
      </c>
      <c r="Z50" s="107">
        <v>43435</v>
      </c>
      <c r="AA50" s="108">
        <v>43448</v>
      </c>
      <c r="AB50" s="109" t="s">
        <v>74</v>
      </c>
      <c r="AC50" s="109"/>
    </row>
    <row r="51" spans="1:29" hidden="1" x14ac:dyDescent="0.15">
      <c r="A51" s="98">
        <v>50</v>
      </c>
      <c r="B51" s="99">
        <v>112917</v>
      </c>
      <c r="C51" s="98" t="s">
        <v>6329</v>
      </c>
      <c r="D51" s="100" t="s">
        <v>81</v>
      </c>
      <c r="E51" s="100" t="s">
        <v>79</v>
      </c>
      <c r="F51" s="100" t="s">
        <v>82</v>
      </c>
      <c r="G51" s="98" t="s">
        <v>36</v>
      </c>
      <c r="H51" s="98" t="str">
        <f>VLOOKUP(G51,CGS[],2,FALSE)</f>
        <v>BLINE</v>
      </c>
      <c r="I51" s="65">
        <v>2225</v>
      </c>
      <c r="J51" s="101">
        <f>IF(ISBLANK(Pricelist[[#This Row],[EBS]]),"",VALUE(LEFT(Pricelist[[#This Row],[EBS]],LEN(Pricelist[[#This Row],[EBS]])-LEN(Pricelist[[#This Row],[E2]])-1)))</f>
        <v>50</v>
      </c>
      <c r="K51" s="65">
        <v>4375</v>
      </c>
      <c r="L51" s="101">
        <f>IF(ISBLANK(Pricelist[[#This Row],[EBS]]),"",VALUE(RIGHT(Pricelist[[#This Row],[EBS]],3)))</f>
        <v>100</v>
      </c>
      <c r="M51" s="65">
        <v>4375</v>
      </c>
      <c r="N51" s="101">
        <f>IF(ISBLANK(Pricelist[[#This Row],[EBS]]),"",VALUE(RIGHT(Pricelist[[#This Row],[EBS]],3)))</f>
        <v>100</v>
      </c>
      <c r="O51" s="101" t="str">
        <f>IF(AND(Pricelist[[#This Row],[AE1]]&lt;&gt;"",OR(Pricelist[[#This Row],[区]]="南",Pricelist[[#This Row],[区]]="北")),MID(Pricelist[[#This Row],[AE1]],4,2),"")</f>
        <v/>
      </c>
      <c r="P51" s="102">
        <v>2225</v>
      </c>
      <c r="Q51" s="103">
        <v>4375</v>
      </c>
      <c r="R51" s="103">
        <v>4375</v>
      </c>
      <c r="S51" s="104" t="s">
        <v>2205</v>
      </c>
      <c r="T51" s="104"/>
      <c r="U51" s="105" t="s">
        <v>508</v>
      </c>
      <c r="V51" s="100" t="s">
        <v>504</v>
      </c>
      <c r="W51" s="106" t="s">
        <v>68</v>
      </c>
      <c r="X51" s="106" t="s">
        <v>69</v>
      </c>
      <c r="Y51" s="106">
        <v>43</v>
      </c>
      <c r="Z51" s="107">
        <v>43416</v>
      </c>
      <c r="AA51" s="108">
        <v>43422</v>
      </c>
      <c r="AB51" s="109" t="s">
        <v>39</v>
      </c>
      <c r="AC51" s="109"/>
    </row>
    <row r="52" spans="1:29" ht="25.5" hidden="1" x14ac:dyDescent="0.15">
      <c r="A52" s="98">
        <v>51</v>
      </c>
      <c r="B52" s="99">
        <v>112917</v>
      </c>
      <c r="C52" s="98" t="s">
        <v>6329</v>
      </c>
      <c r="D52" s="100" t="s">
        <v>81</v>
      </c>
      <c r="E52" s="100" t="s">
        <v>79</v>
      </c>
      <c r="F52" s="100" t="s">
        <v>82</v>
      </c>
      <c r="G52" s="98" t="s">
        <v>8</v>
      </c>
      <c r="H52" s="98" t="str">
        <f>VLOOKUP(G52,CGS[],2,FALSE)</f>
        <v>CMA</v>
      </c>
      <c r="I52" s="65">
        <v>2525</v>
      </c>
      <c r="J52" s="101">
        <f>IF(ISBLANK(Pricelist[[#This Row],[EBS]]),"",VALUE(LEFT(Pricelist[[#This Row],[EBS]],LEN(Pricelist[[#This Row],[EBS]])-LEN(Pricelist[[#This Row],[E2]])-1)))</f>
        <v>55</v>
      </c>
      <c r="K52" s="65">
        <v>5050</v>
      </c>
      <c r="L52" s="101">
        <f>IF(ISBLANK(Pricelist[[#This Row],[EBS]]),"",VALUE(RIGHT(Pricelist[[#This Row],[EBS]],3)))</f>
        <v>110</v>
      </c>
      <c r="M52" s="65">
        <v>5050</v>
      </c>
      <c r="N52" s="101">
        <f>IF(ISBLANK(Pricelist[[#This Row],[EBS]]),"",VALUE(RIGHT(Pricelist[[#This Row],[EBS]],3)))</f>
        <v>110</v>
      </c>
      <c r="O52" s="101" t="str">
        <f>IF(AND(Pricelist[[#This Row],[AE1]]&lt;&gt;"",OR(Pricelist[[#This Row],[区]]="南",Pricelist[[#This Row],[区]]="北")),MID(Pricelist[[#This Row],[AE1]],4,2),"")</f>
        <v/>
      </c>
      <c r="P52" s="102">
        <v>2600</v>
      </c>
      <c r="Q52" s="103">
        <v>5200</v>
      </c>
      <c r="R52" s="103">
        <v>5200</v>
      </c>
      <c r="S52" s="104" t="s">
        <v>2204</v>
      </c>
      <c r="T52" s="104"/>
      <c r="U52" s="105" t="s">
        <v>509</v>
      </c>
      <c r="V52" s="100" t="s">
        <v>507</v>
      </c>
      <c r="W52" s="106" t="s">
        <v>73</v>
      </c>
      <c r="X52" s="106" t="s">
        <v>404</v>
      </c>
      <c r="Y52" s="106">
        <v>40</v>
      </c>
      <c r="Z52" s="107">
        <v>43435</v>
      </c>
      <c r="AA52" s="108">
        <v>43448</v>
      </c>
      <c r="AB52" s="109" t="s">
        <v>74</v>
      </c>
      <c r="AC52" s="109" t="s">
        <v>75</v>
      </c>
    </row>
    <row r="53" spans="1:29" hidden="1" x14ac:dyDescent="0.15">
      <c r="A53" s="98">
        <v>52</v>
      </c>
      <c r="B53" s="99">
        <v>112917</v>
      </c>
      <c r="C53" s="98" t="s">
        <v>6329</v>
      </c>
      <c r="D53" s="100" t="s">
        <v>83</v>
      </c>
      <c r="E53" s="100" t="s">
        <v>84</v>
      </c>
      <c r="F53" s="100" t="s">
        <v>85</v>
      </c>
      <c r="G53" s="98" t="s">
        <v>8</v>
      </c>
      <c r="H53" s="98" t="str">
        <f>VLOOKUP(G53,CGS[],2,FALSE)</f>
        <v>CMA</v>
      </c>
      <c r="I53" s="65">
        <v>1775</v>
      </c>
      <c r="J53" s="101">
        <f>IF(ISBLANK(Pricelist[[#This Row],[EBS]]),"",VALUE(LEFT(Pricelist[[#This Row],[EBS]],LEN(Pricelist[[#This Row],[EBS]])-LEN(Pricelist[[#This Row],[E2]])-1)))</f>
        <v>55</v>
      </c>
      <c r="K53" s="65">
        <v>2900</v>
      </c>
      <c r="L53" s="101">
        <f>IF(ISBLANK(Pricelist[[#This Row],[EBS]]),"",VALUE(RIGHT(Pricelist[[#This Row],[EBS]],3)))</f>
        <v>110</v>
      </c>
      <c r="M53" s="65">
        <v>2900</v>
      </c>
      <c r="N53" s="101">
        <f>IF(ISBLANK(Pricelist[[#This Row],[EBS]]),"",VALUE(RIGHT(Pricelist[[#This Row],[EBS]],3)))</f>
        <v>110</v>
      </c>
      <c r="O53" s="101" t="str">
        <f>IF(AND(Pricelist[[#This Row],[AE1]]&lt;&gt;"",OR(Pricelist[[#This Row],[区]]="南",Pricelist[[#This Row],[区]]="北")),MID(Pricelist[[#This Row],[AE1]],4,2),"")</f>
        <v/>
      </c>
      <c r="P53" s="102">
        <v>1800</v>
      </c>
      <c r="Q53" s="103">
        <v>2950</v>
      </c>
      <c r="R53" s="103">
        <v>2950</v>
      </c>
      <c r="S53" s="104" t="s">
        <v>2204</v>
      </c>
      <c r="T53" s="104"/>
      <c r="U53" s="105" t="s">
        <v>515</v>
      </c>
      <c r="V53" s="100" t="s">
        <v>2194</v>
      </c>
      <c r="W53" s="106" t="s">
        <v>2210</v>
      </c>
      <c r="X53" s="106" t="s">
        <v>2195</v>
      </c>
      <c r="Y53" s="106">
        <v>23</v>
      </c>
      <c r="Z53" s="107">
        <v>43435</v>
      </c>
      <c r="AA53" s="108">
        <v>43448</v>
      </c>
      <c r="AB53" s="109" t="s">
        <v>2196</v>
      </c>
      <c r="AC53" s="109"/>
    </row>
    <row r="54" spans="1:29" hidden="1" x14ac:dyDescent="0.15">
      <c r="A54" s="98">
        <v>53</v>
      </c>
      <c r="B54" s="99">
        <v>112917</v>
      </c>
      <c r="C54" s="98" t="s">
        <v>6329</v>
      </c>
      <c r="D54" s="100" t="s">
        <v>83</v>
      </c>
      <c r="E54" s="100" t="s">
        <v>84</v>
      </c>
      <c r="F54" s="100" t="s">
        <v>85</v>
      </c>
      <c r="G54" s="98" t="s">
        <v>36</v>
      </c>
      <c r="H54" s="98" t="str">
        <f>VLOOKUP(G54,CGS[],2,FALSE)</f>
        <v>BLINE</v>
      </c>
      <c r="I54" s="65">
        <v>1375</v>
      </c>
      <c r="J54" s="101">
        <f>IF(ISBLANK(Pricelist[[#This Row],[EBS]]),"",VALUE(LEFT(Pricelist[[#This Row],[EBS]],LEN(Pricelist[[#This Row],[EBS]])-LEN(Pricelist[[#This Row],[E2]])-1)))</f>
        <v>50</v>
      </c>
      <c r="K54" s="65" t="s">
        <v>4963</v>
      </c>
      <c r="L54" s="101">
        <f>IF(ISBLANK(Pricelist[[#This Row],[EBS]]),"",VALUE(RIGHT(Pricelist[[#This Row],[EBS]],3)))</f>
        <v>100</v>
      </c>
      <c r="M54" s="65">
        <v>2550</v>
      </c>
      <c r="N54" s="101">
        <f>IF(ISBLANK(Pricelist[[#This Row],[EBS]]),"",VALUE(RIGHT(Pricelist[[#This Row],[EBS]],3)))</f>
        <v>100</v>
      </c>
      <c r="O54" s="101" t="str">
        <f>IF(AND(Pricelist[[#This Row],[AE1]]&lt;&gt;"",OR(Pricelist[[#This Row],[区]]="南",Pricelist[[#This Row],[区]]="北")),MID(Pricelist[[#This Row],[AE1]],4,2),"")</f>
        <v/>
      </c>
      <c r="P54" s="102">
        <v>1375</v>
      </c>
      <c r="Q54" s="103" t="s">
        <v>4963</v>
      </c>
      <c r="R54" s="103">
        <v>2550</v>
      </c>
      <c r="S54" s="104" t="s">
        <v>2205</v>
      </c>
      <c r="T54" s="104"/>
      <c r="U54" s="105" t="s">
        <v>508</v>
      </c>
      <c r="V54" s="100" t="s">
        <v>504</v>
      </c>
      <c r="W54" s="106" t="s">
        <v>15</v>
      </c>
      <c r="X54" s="106" t="s">
        <v>16</v>
      </c>
      <c r="Y54" s="106">
        <v>20</v>
      </c>
      <c r="Z54" s="107">
        <v>43416</v>
      </c>
      <c r="AA54" s="108">
        <v>43422</v>
      </c>
      <c r="AB54" s="109" t="s">
        <v>39</v>
      </c>
      <c r="AC54" s="109"/>
    </row>
    <row r="55" spans="1:29" hidden="1" x14ac:dyDescent="0.15">
      <c r="A55" s="98">
        <v>54</v>
      </c>
      <c r="B55" s="99">
        <v>112917</v>
      </c>
      <c r="C55" s="98" t="s">
        <v>6329</v>
      </c>
      <c r="D55" s="100" t="s">
        <v>86</v>
      </c>
      <c r="E55" s="100" t="s">
        <v>87</v>
      </c>
      <c r="F55" s="100" t="s">
        <v>88</v>
      </c>
      <c r="G55" s="98" t="s">
        <v>36</v>
      </c>
      <c r="H55" s="98" t="str">
        <f>VLOOKUP(G55,CGS[],2,FALSE)</f>
        <v>BLINE</v>
      </c>
      <c r="I55" s="65">
        <v>4550</v>
      </c>
      <c r="J55" s="101">
        <f>IF(ISBLANK(Pricelist[[#This Row],[EBS]]),"",VALUE(LEFT(Pricelist[[#This Row],[EBS]],LEN(Pricelist[[#This Row],[EBS]])-LEN(Pricelist[[#This Row],[E2]])-1)))</f>
        <v>50</v>
      </c>
      <c r="K55" s="65">
        <v>5400</v>
      </c>
      <c r="L55" s="101">
        <f>IF(ISBLANK(Pricelist[[#This Row],[EBS]]),"",VALUE(RIGHT(Pricelist[[#This Row],[EBS]],3)))</f>
        <v>100</v>
      </c>
      <c r="M55" s="65">
        <v>5400</v>
      </c>
      <c r="N55" s="101">
        <f>IF(ISBLANK(Pricelist[[#This Row],[EBS]]),"",VALUE(RIGHT(Pricelist[[#This Row],[EBS]],3)))</f>
        <v>100</v>
      </c>
      <c r="O55" s="101" t="str">
        <f>IF(AND(Pricelist[[#This Row],[AE1]]&lt;&gt;"",OR(Pricelist[[#This Row],[区]]="南",Pricelist[[#This Row],[区]]="北")),MID(Pricelist[[#This Row],[AE1]],4,2),"")</f>
        <v/>
      </c>
      <c r="P55" s="102">
        <v>4550</v>
      </c>
      <c r="Q55" s="103">
        <v>5400</v>
      </c>
      <c r="R55" s="103">
        <v>5400</v>
      </c>
      <c r="S55" s="104" t="s">
        <v>2205</v>
      </c>
      <c r="T55" s="104"/>
      <c r="U55" s="105" t="s">
        <v>508</v>
      </c>
      <c r="V55" s="100" t="s">
        <v>504</v>
      </c>
      <c r="W55" s="106" t="s">
        <v>67</v>
      </c>
      <c r="X55" s="106" t="s">
        <v>89</v>
      </c>
      <c r="Y55" s="106">
        <v>55</v>
      </c>
      <c r="Z55" s="107">
        <v>43416</v>
      </c>
      <c r="AA55" s="108">
        <v>43422</v>
      </c>
      <c r="AB55" s="109" t="s">
        <v>39</v>
      </c>
      <c r="AC55" s="109"/>
    </row>
    <row r="56" spans="1:29" hidden="1" x14ac:dyDescent="0.15">
      <c r="A56" s="98">
        <v>55</v>
      </c>
      <c r="B56" s="99">
        <v>112917</v>
      </c>
      <c r="C56" s="98" t="s">
        <v>6329</v>
      </c>
      <c r="D56" s="100" t="s">
        <v>90</v>
      </c>
      <c r="E56" s="100" t="s">
        <v>87</v>
      </c>
      <c r="F56" s="100" t="s">
        <v>88</v>
      </c>
      <c r="G56" s="98" t="s">
        <v>36</v>
      </c>
      <c r="H56" s="98" t="str">
        <f>VLOOKUP(G56,CGS[],2,FALSE)</f>
        <v>BLINE</v>
      </c>
      <c r="I56" s="65">
        <v>5000</v>
      </c>
      <c r="J56" s="101">
        <f>IF(ISBLANK(Pricelist[[#This Row],[EBS]]),"",VALUE(LEFT(Pricelist[[#This Row],[EBS]],LEN(Pricelist[[#This Row],[EBS]])-LEN(Pricelist[[#This Row],[E2]])-1)))</f>
        <v>50</v>
      </c>
      <c r="K56" s="65">
        <v>6500</v>
      </c>
      <c r="L56" s="101">
        <f>IF(ISBLANK(Pricelist[[#This Row],[EBS]]),"",VALUE(RIGHT(Pricelist[[#This Row],[EBS]],3)))</f>
        <v>100</v>
      </c>
      <c r="M56" s="65">
        <v>6500</v>
      </c>
      <c r="N56" s="101">
        <f>IF(ISBLANK(Pricelist[[#This Row],[EBS]]),"",VALUE(RIGHT(Pricelist[[#This Row],[EBS]],3)))</f>
        <v>100</v>
      </c>
      <c r="O56" s="101" t="str">
        <f>IF(AND(Pricelist[[#This Row],[AE1]]&lt;&gt;"",OR(Pricelist[[#This Row],[区]]="南",Pricelist[[#This Row],[区]]="北")),MID(Pricelist[[#This Row],[AE1]],4,2),"")</f>
        <v/>
      </c>
      <c r="P56" s="102">
        <v>5000</v>
      </c>
      <c r="Q56" s="103">
        <v>6500</v>
      </c>
      <c r="R56" s="103">
        <v>6500</v>
      </c>
      <c r="S56" s="104" t="s">
        <v>2205</v>
      </c>
      <c r="T56" s="104"/>
      <c r="U56" s="105" t="s">
        <v>508</v>
      </c>
      <c r="V56" s="100" t="s">
        <v>504</v>
      </c>
      <c r="W56" s="106" t="s">
        <v>67</v>
      </c>
      <c r="X56" s="106" t="s">
        <v>89</v>
      </c>
      <c r="Y56" s="106">
        <v>60</v>
      </c>
      <c r="Z56" s="107">
        <v>43416</v>
      </c>
      <c r="AA56" s="108">
        <v>43422</v>
      </c>
      <c r="AB56" s="109" t="s">
        <v>39</v>
      </c>
      <c r="AC56" s="109"/>
    </row>
    <row r="57" spans="1:29" hidden="1" x14ac:dyDescent="0.15">
      <c r="A57" s="98">
        <v>56</v>
      </c>
      <c r="B57" s="99">
        <v>112917</v>
      </c>
      <c r="C57" s="98" t="s">
        <v>6330</v>
      </c>
      <c r="D57" s="100" t="s">
        <v>410</v>
      </c>
      <c r="E57" s="100" t="s">
        <v>243</v>
      </c>
      <c r="F57" s="100" t="s">
        <v>244</v>
      </c>
      <c r="G57" s="98" t="s">
        <v>21</v>
      </c>
      <c r="H57" s="98" t="str">
        <f>VLOOKUP(G57,CGS[],2,FALSE)</f>
        <v>MSK</v>
      </c>
      <c r="I57" s="65">
        <v>1225</v>
      </c>
      <c r="J57" s="101" t="str">
        <f>IF(ISBLANK(Pricelist[[#This Row],[EBS]]),"",VALUE(LEFT(Pricelist[[#This Row],[EBS]],LEN(Pricelist[[#This Row],[EBS]])-LEN(Pricelist[[#This Row],[E2]])-1)))</f>
        <v/>
      </c>
      <c r="K57" s="65">
        <v>2450</v>
      </c>
      <c r="L57" s="101" t="str">
        <f>IF(ISBLANK(Pricelist[[#This Row],[EBS]]),"",VALUE(RIGHT(Pricelist[[#This Row],[EBS]],3)))</f>
        <v/>
      </c>
      <c r="M57" s="65">
        <v>2450</v>
      </c>
      <c r="N57" s="101" t="str">
        <f>IF(ISBLANK(Pricelist[[#This Row],[EBS]]),"",VALUE(RIGHT(Pricelist[[#This Row],[EBS]],3)))</f>
        <v/>
      </c>
      <c r="O57" s="101" t="str">
        <f>IF(AND(Pricelist[[#This Row],[AE1]]&lt;&gt;"",OR(Pricelist[[#This Row],[区]]="南",Pricelist[[#This Row],[区]]="北")),MID(Pricelist[[#This Row],[AE1]],4,2),"")</f>
        <v/>
      </c>
      <c r="P57" s="102">
        <v>1250</v>
      </c>
      <c r="Q57" s="103">
        <v>2500</v>
      </c>
      <c r="R57" s="103">
        <v>2500</v>
      </c>
      <c r="S57" s="104"/>
      <c r="T57" s="104"/>
      <c r="U57" s="105" t="s">
        <v>508</v>
      </c>
      <c r="V57" s="100" t="s">
        <v>507</v>
      </c>
      <c r="W57" s="106" t="s">
        <v>10</v>
      </c>
      <c r="X57" s="106" t="s">
        <v>11</v>
      </c>
      <c r="Y57" s="106">
        <v>26</v>
      </c>
      <c r="Z57" s="107">
        <v>43435</v>
      </c>
      <c r="AA57" s="108">
        <v>43449</v>
      </c>
      <c r="AB57" s="109" t="s">
        <v>245</v>
      </c>
      <c r="AC57" s="109"/>
    </row>
    <row r="58" spans="1:29" hidden="1" x14ac:dyDescent="0.15">
      <c r="A58" s="98">
        <v>57</v>
      </c>
      <c r="B58" s="99">
        <v>112917</v>
      </c>
      <c r="C58" s="98" t="s">
        <v>6330</v>
      </c>
      <c r="D58" s="100" t="s">
        <v>410</v>
      </c>
      <c r="E58" s="100" t="s">
        <v>243</v>
      </c>
      <c r="F58" s="100" t="s">
        <v>244</v>
      </c>
      <c r="G58" s="98" t="s">
        <v>24</v>
      </c>
      <c r="H58" s="98" t="str">
        <f>VLOOKUP(G58,CGS[],2,FALSE)</f>
        <v>SAF</v>
      </c>
      <c r="I58" s="65">
        <v>1015</v>
      </c>
      <c r="J58" s="101">
        <f>IF(ISBLANK(Pricelist[[#This Row],[EBS]]),"",VALUE(LEFT(Pricelist[[#This Row],[EBS]],LEN(Pricelist[[#This Row],[EBS]])-LEN(Pricelist[[#This Row],[E2]])-1)))</f>
        <v>60</v>
      </c>
      <c r="K58" s="65">
        <v>2030</v>
      </c>
      <c r="L58" s="101">
        <f>IF(ISBLANK(Pricelist[[#This Row],[EBS]]),"",VALUE(RIGHT(Pricelist[[#This Row],[EBS]],3)))</f>
        <v>120</v>
      </c>
      <c r="M58" s="65">
        <v>2030</v>
      </c>
      <c r="N58" s="101">
        <f>IF(ISBLANK(Pricelist[[#This Row],[EBS]]),"",VALUE(RIGHT(Pricelist[[#This Row],[EBS]],3)))</f>
        <v>120</v>
      </c>
      <c r="O58" s="101" t="str">
        <f>IF(AND(Pricelist[[#This Row],[AE1]]&lt;&gt;"",OR(Pricelist[[#This Row],[区]]="南",Pricelist[[#This Row],[区]]="北")),MID(Pricelist[[#This Row],[AE1]],4,2),"")</f>
        <v/>
      </c>
      <c r="P58" s="102">
        <v>1015</v>
      </c>
      <c r="Q58" s="103">
        <v>2030</v>
      </c>
      <c r="R58" s="103">
        <v>2030</v>
      </c>
      <c r="S58" s="104" t="s">
        <v>2199</v>
      </c>
      <c r="T58" s="104"/>
      <c r="U58" s="105" t="s">
        <v>508</v>
      </c>
      <c r="V58" s="100" t="s">
        <v>507</v>
      </c>
      <c r="W58" s="106" t="s">
        <v>10</v>
      </c>
      <c r="X58" s="106" t="s">
        <v>11</v>
      </c>
      <c r="Y58" s="106">
        <v>26</v>
      </c>
      <c r="Z58" s="107">
        <v>43435</v>
      </c>
      <c r="AA58" s="108">
        <v>43449</v>
      </c>
      <c r="AB58" s="109" t="s">
        <v>246</v>
      </c>
      <c r="AC58" s="109"/>
    </row>
    <row r="59" spans="1:29" ht="25.5" hidden="1" x14ac:dyDescent="0.15">
      <c r="A59" s="98">
        <v>58</v>
      </c>
      <c r="B59" s="99">
        <v>112917</v>
      </c>
      <c r="C59" s="98" t="s">
        <v>6330</v>
      </c>
      <c r="D59" s="100" t="s">
        <v>410</v>
      </c>
      <c r="E59" s="100" t="s">
        <v>243</v>
      </c>
      <c r="F59" s="100" t="s">
        <v>244</v>
      </c>
      <c r="G59" s="98" t="s">
        <v>247</v>
      </c>
      <c r="H59" s="98" t="str">
        <f>VLOOKUP(G59,CGS[],2,FALSE)</f>
        <v>HBS</v>
      </c>
      <c r="I59" s="65">
        <v>825</v>
      </c>
      <c r="J59" s="101">
        <f>IF(ISBLANK(Pricelist[[#This Row],[EBS]]),"",VALUE(LEFT(Pricelist[[#This Row],[EBS]],LEN(Pricelist[[#This Row],[EBS]])-LEN(Pricelist[[#This Row],[E2]])-1)))</f>
        <v>60</v>
      </c>
      <c r="K59" s="65">
        <v>1575</v>
      </c>
      <c r="L59" s="101">
        <f>IF(ISBLANK(Pricelist[[#This Row],[EBS]]),"",VALUE(RIGHT(Pricelist[[#This Row],[EBS]],3)))</f>
        <v>120</v>
      </c>
      <c r="M59" s="65">
        <v>1575</v>
      </c>
      <c r="N59" s="101">
        <f>IF(ISBLANK(Pricelist[[#This Row],[EBS]]),"",VALUE(RIGHT(Pricelist[[#This Row],[EBS]],3)))</f>
        <v>120</v>
      </c>
      <c r="O59" s="101" t="str">
        <f>IF(AND(Pricelist[[#This Row],[AE1]]&lt;&gt;"",OR(Pricelist[[#This Row],[区]]="南",Pricelist[[#This Row],[区]]="北")),MID(Pricelist[[#This Row],[AE1]],4,2),"")</f>
        <v>35</v>
      </c>
      <c r="P59" s="102">
        <v>850</v>
      </c>
      <c r="Q59" s="103">
        <v>1625</v>
      </c>
      <c r="R59" s="103">
        <v>1625</v>
      </c>
      <c r="S59" s="104" t="s">
        <v>2199</v>
      </c>
      <c r="T59" s="104" t="s">
        <v>2200</v>
      </c>
      <c r="U59" s="105" t="s">
        <v>508</v>
      </c>
      <c r="V59" s="100" t="s">
        <v>507</v>
      </c>
      <c r="W59" s="106" t="s">
        <v>10</v>
      </c>
      <c r="X59" s="106" t="s">
        <v>11</v>
      </c>
      <c r="Y59" s="106">
        <v>22</v>
      </c>
      <c r="Z59" s="107">
        <v>43437</v>
      </c>
      <c r="AA59" s="108">
        <v>43443</v>
      </c>
      <c r="AB59" s="109" t="s">
        <v>4767</v>
      </c>
      <c r="AC59" s="109"/>
    </row>
    <row r="60" spans="1:29" hidden="1" x14ac:dyDescent="0.15">
      <c r="A60" s="98">
        <v>59</v>
      </c>
      <c r="B60" s="99">
        <v>112917</v>
      </c>
      <c r="C60" s="98" t="s">
        <v>6330</v>
      </c>
      <c r="D60" s="100" t="s">
        <v>410</v>
      </c>
      <c r="E60" s="100" t="s">
        <v>243</v>
      </c>
      <c r="F60" s="100" t="s">
        <v>244</v>
      </c>
      <c r="G60" s="98" t="s">
        <v>95</v>
      </c>
      <c r="H60" s="98" t="str">
        <f>VLOOKUP(G60,CGS[],2,FALSE)</f>
        <v>ZIM</v>
      </c>
      <c r="I60" s="65">
        <v>765</v>
      </c>
      <c r="J60" s="101">
        <f>IF(ISBLANK(Pricelist[[#This Row],[EBS]]),"",VALUE(LEFT(Pricelist[[#This Row],[EBS]],LEN(Pricelist[[#This Row],[EBS]])-LEN(Pricelist[[#This Row],[E2]])-1)))</f>
        <v>110</v>
      </c>
      <c r="K60" s="65">
        <v>1330</v>
      </c>
      <c r="L60" s="101">
        <f>IF(ISBLANK(Pricelist[[#This Row],[EBS]]),"",VALUE(RIGHT(Pricelist[[#This Row],[EBS]],3)))</f>
        <v>220</v>
      </c>
      <c r="M60" s="65">
        <v>1330</v>
      </c>
      <c r="N60" s="101">
        <f>IF(ISBLANK(Pricelist[[#This Row],[EBS]]),"",VALUE(RIGHT(Pricelist[[#This Row],[EBS]],3)))</f>
        <v>220</v>
      </c>
      <c r="O60" s="101" t="str">
        <f>IF(AND(Pricelist[[#This Row],[AE1]]&lt;&gt;"",OR(Pricelist[[#This Row],[区]]="南",Pricelist[[#This Row],[区]]="北")),MID(Pricelist[[#This Row],[AE1]],4,2),"")</f>
        <v>30</v>
      </c>
      <c r="P60" s="102">
        <v>825</v>
      </c>
      <c r="Q60" s="103">
        <v>1540</v>
      </c>
      <c r="R60" s="103">
        <v>1540</v>
      </c>
      <c r="S60" s="104" t="s">
        <v>3743</v>
      </c>
      <c r="T60" s="104" t="s">
        <v>2201</v>
      </c>
      <c r="U60" s="105" t="s">
        <v>512</v>
      </c>
      <c r="V60" s="100" t="s">
        <v>504</v>
      </c>
      <c r="W60" s="106" t="s">
        <v>10</v>
      </c>
      <c r="X60" s="106" t="s">
        <v>11</v>
      </c>
      <c r="Y60" s="106">
        <v>24</v>
      </c>
      <c r="Z60" s="107">
        <v>43438</v>
      </c>
      <c r="AA60" s="108">
        <v>43445</v>
      </c>
      <c r="AB60" s="109"/>
      <c r="AC60" s="109"/>
    </row>
    <row r="61" spans="1:29" ht="76.5" hidden="1" x14ac:dyDescent="0.15">
      <c r="A61" s="98">
        <v>60</v>
      </c>
      <c r="B61" s="99">
        <v>112917</v>
      </c>
      <c r="C61" s="98" t="s">
        <v>6330</v>
      </c>
      <c r="D61" s="100" t="s">
        <v>410</v>
      </c>
      <c r="E61" s="100" t="s">
        <v>243</v>
      </c>
      <c r="F61" s="100" t="s">
        <v>244</v>
      </c>
      <c r="G61" s="98" t="s">
        <v>9</v>
      </c>
      <c r="H61" s="98" t="str">
        <f>VLOOKUP(G61,CGS[],2,FALSE)</f>
        <v>COSCO</v>
      </c>
      <c r="I61" s="65">
        <v>1060</v>
      </c>
      <c r="J61" s="101">
        <f>IF(ISBLANK(Pricelist[[#This Row],[EBS]]),"",VALUE(LEFT(Pricelist[[#This Row],[EBS]],LEN(Pricelist[[#This Row],[EBS]])-LEN(Pricelist[[#This Row],[E2]])-1)))</f>
        <v>60</v>
      </c>
      <c r="K61" s="65">
        <v>2070</v>
      </c>
      <c r="L61" s="101">
        <f>IF(ISBLANK(Pricelist[[#This Row],[EBS]]),"",VALUE(RIGHT(Pricelist[[#This Row],[EBS]],3)))</f>
        <v>120</v>
      </c>
      <c r="M61" s="65">
        <v>2070</v>
      </c>
      <c r="N61" s="101">
        <f>IF(ISBLANK(Pricelist[[#This Row],[EBS]]),"",VALUE(RIGHT(Pricelist[[#This Row],[EBS]],3)))</f>
        <v>120</v>
      </c>
      <c r="O61" s="101" t="str">
        <f>IF(AND(Pricelist[[#This Row],[AE1]]&lt;&gt;"",OR(Pricelist[[#This Row],[区]]="南",Pricelist[[#This Row],[区]]="北")),MID(Pricelist[[#This Row],[AE1]],4,2),"")</f>
        <v>30</v>
      </c>
      <c r="P61" s="102">
        <v>1075</v>
      </c>
      <c r="Q61" s="103">
        <v>2100</v>
      </c>
      <c r="R61" s="103">
        <v>2100</v>
      </c>
      <c r="S61" s="104" t="s">
        <v>2199</v>
      </c>
      <c r="T61" s="104" t="s">
        <v>2201</v>
      </c>
      <c r="U61" s="105" t="s">
        <v>513</v>
      </c>
      <c r="V61" s="100" t="s">
        <v>2202</v>
      </c>
      <c r="W61" s="106" t="s">
        <v>10</v>
      </c>
      <c r="X61" s="106" t="s">
        <v>11</v>
      </c>
      <c r="Y61" s="106">
        <v>24</v>
      </c>
      <c r="Z61" s="107">
        <v>43437</v>
      </c>
      <c r="AA61" s="108">
        <v>43448</v>
      </c>
      <c r="AB61" s="109" t="s">
        <v>2203</v>
      </c>
      <c r="AC61" s="109" t="s">
        <v>248</v>
      </c>
    </row>
    <row r="62" spans="1:29" ht="25.5" hidden="1" x14ac:dyDescent="0.15">
      <c r="A62" s="98">
        <v>61</v>
      </c>
      <c r="B62" s="99">
        <v>112917</v>
      </c>
      <c r="C62" s="98" t="s">
        <v>6330</v>
      </c>
      <c r="D62" s="100" t="s">
        <v>410</v>
      </c>
      <c r="E62" s="100" t="s">
        <v>243</v>
      </c>
      <c r="F62" s="100" t="s">
        <v>244</v>
      </c>
      <c r="G62" s="98" t="s">
        <v>13</v>
      </c>
      <c r="H62" s="98" t="str">
        <f>VLOOKUP(G62,CGS[],2,FALSE)</f>
        <v>EMC</v>
      </c>
      <c r="I62" s="65">
        <v>1009</v>
      </c>
      <c r="J62" s="101" t="str">
        <f>IF(ISBLANK(Pricelist[[#This Row],[EBS]]),"",VALUE(LEFT(Pricelist[[#This Row],[EBS]],LEN(Pricelist[[#This Row],[EBS]])-LEN(Pricelist[[#This Row],[E2]])-1)))</f>
        <v/>
      </c>
      <c r="K62" s="65">
        <v>1759</v>
      </c>
      <c r="L62" s="101" t="str">
        <f>IF(ISBLANK(Pricelist[[#This Row],[EBS]]),"",VALUE(RIGHT(Pricelist[[#This Row],[EBS]],3)))</f>
        <v/>
      </c>
      <c r="M62" s="65">
        <v>1759</v>
      </c>
      <c r="N62" s="101" t="str">
        <f>IF(ISBLANK(Pricelist[[#This Row],[EBS]]),"",VALUE(RIGHT(Pricelist[[#This Row],[EBS]],3)))</f>
        <v/>
      </c>
      <c r="O62" s="101" t="str">
        <f>IF(AND(Pricelist[[#This Row],[AE1]]&lt;&gt;"",OR(Pricelist[[#This Row],[区]]="南",Pricelist[[#This Row],[区]]="北")),MID(Pricelist[[#This Row],[AE1]],4,2),"")</f>
        <v>30</v>
      </c>
      <c r="P62" s="102">
        <v>1034</v>
      </c>
      <c r="Q62" s="103">
        <v>1809</v>
      </c>
      <c r="R62" s="103">
        <v>1809</v>
      </c>
      <c r="S62" s="104"/>
      <c r="T62" s="104" t="s">
        <v>2201</v>
      </c>
      <c r="U62" s="105" t="s">
        <v>505</v>
      </c>
      <c r="V62" s="100" t="s">
        <v>507</v>
      </c>
      <c r="W62" s="106" t="s">
        <v>10</v>
      </c>
      <c r="X62" s="106" t="s">
        <v>11</v>
      </c>
      <c r="Y62" s="106">
        <v>24</v>
      </c>
      <c r="Z62" s="107">
        <v>43435</v>
      </c>
      <c r="AA62" s="108">
        <v>43442</v>
      </c>
      <c r="AB62" s="109" t="s">
        <v>5811</v>
      </c>
      <c r="AC62" s="109" t="s">
        <v>249</v>
      </c>
    </row>
    <row r="63" spans="1:29" hidden="1" x14ac:dyDescent="0.15">
      <c r="A63" s="98">
        <v>62</v>
      </c>
      <c r="B63" s="99">
        <v>112917</v>
      </c>
      <c r="C63" s="98" t="s">
        <v>6330</v>
      </c>
      <c r="D63" s="100" t="s">
        <v>410</v>
      </c>
      <c r="E63" s="100" t="s">
        <v>243</v>
      </c>
      <c r="F63" s="100" t="s">
        <v>244</v>
      </c>
      <c r="G63" s="98" t="s">
        <v>8</v>
      </c>
      <c r="H63" s="98" t="str">
        <f>VLOOKUP(G63,CGS[],2,FALSE)</f>
        <v>CMA</v>
      </c>
      <c r="I63" s="65">
        <v>1150</v>
      </c>
      <c r="J63" s="101">
        <f>IF(ISBLANK(Pricelist[[#This Row],[EBS]]),"",VALUE(LEFT(Pricelist[[#This Row],[EBS]],LEN(Pricelist[[#This Row],[EBS]])-LEN(Pricelist[[#This Row],[E2]])-1)))</f>
        <v>55</v>
      </c>
      <c r="K63" s="65">
        <v>2250</v>
      </c>
      <c r="L63" s="101">
        <f>IF(ISBLANK(Pricelist[[#This Row],[EBS]]),"",VALUE(RIGHT(Pricelist[[#This Row],[EBS]],3)))</f>
        <v>110</v>
      </c>
      <c r="M63" s="65">
        <v>2250</v>
      </c>
      <c r="N63" s="101">
        <f>IF(ISBLANK(Pricelist[[#This Row],[EBS]]),"",VALUE(RIGHT(Pricelist[[#This Row],[EBS]],3)))</f>
        <v>110</v>
      </c>
      <c r="O63" s="101" t="str">
        <f>IF(AND(Pricelist[[#This Row],[AE1]]&lt;&gt;"",OR(Pricelist[[#This Row],[区]]="南",Pricelist[[#This Row],[区]]="北")),MID(Pricelist[[#This Row],[AE1]],4,2),"")</f>
        <v>35</v>
      </c>
      <c r="P63" s="102">
        <v>1300</v>
      </c>
      <c r="Q63" s="103">
        <v>2500</v>
      </c>
      <c r="R63" s="103">
        <v>2500</v>
      </c>
      <c r="S63" s="104" t="s">
        <v>2204</v>
      </c>
      <c r="T63" s="104" t="s">
        <v>2200</v>
      </c>
      <c r="U63" s="105" t="s">
        <v>508</v>
      </c>
      <c r="V63" s="100" t="s">
        <v>507</v>
      </c>
      <c r="W63" s="106" t="s">
        <v>10</v>
      </c>
      <c r="X63" s="106" t="s">
        <v>11</v>
      </c>
      <c r="Y63" s="106">
        <v>25</v>
      </c>
      <c r="Z63" s="107">
        <v>43435</v>
      </c>
      <c r="AA63" s="108">
        <v>43465</v>
      </c>
      <c r="AB63" s="109" t="s">
        <v>250</v>
      </c>
      <c r="AC63" s="109"/>
    </row>
    <row r="64" spans="1:29" hidden="1" x14ac:dyDescent="0.15">
      <c r="A64" s="98">
        <v>63</v>
      </c>
      <c r="B64" s="99">
        <v>112917</v>
      </c>
      <c r="C64" s="98" t="s">
        <v>6330</v>
      </c>
      <c r="D64" s="100" t="s">
        <v>410</v>
      </c>
      <c r="E64" s="100" t="s">
        <v>243</v>
      </c>
      <c r="F64" s="100" t="s">
        <v>244</v>
      </c>
      <c r="G64" s="98" t="s">
        <v>100</v>
      </c>
      <c r="H64" s="98" t="str">
        <f>VLOOKUP(G64,CGS[],2,FALSE)</f>
        <v>ONE</v>
      </c>
      <c r="I64" s="65">
        <v>940</v>
      </c>
      <c r="J64" s="101" t="str">
        <f>IF(ISBLANK(Pricelist[[#This Row],[EBS]]),"",VALUE(LEFT(Pricelist[[#This Row],[EBS]],LEN(Pricelist[[#This Row],[EBS]])-LEN(Pricelist[[#This Row],[E2]])-1)))</f>
        <v/>
      </c>
      <c r="K64" s="65">
        <v>1665</v>
      </c>
      <c r="L64" s="101" t="str">
        <f>IF(ISBLANK(Pricelist[[#This Row],[EBS]]),"",VALUE(RIGHT(Pricelist[[#This Row],[EBS]],3)))</f>
        <v/>
      </c>
      <c r="M64" s="65">
        <v>1665</v>
      </c>
      <c r="N64" s="101" t="str">
        <f>IF(ISBLANK(Pricelist[[#This Row],[EBS]]),"",VALUE(RIGHT(Pricelist[[#This Row],[EBS]],3)))</f>
        <v/>
      </c>
      <c r="O64" s="101" t="str">
        <f>IF(AND(Pricelist[[#This Row],[AE1]]&lt;&gt;"",OR(Pricelist[[#This Row],[区]]="南",Pricelist[[#This Row],[区]]="北")),MID(Pricelist[[#This Row],[AE1]],4,2),"")</f>
        <v>35</v>
      </c>
      <c r="P64" s="102">
        <v>965</v>
      </c>
      <c r="Q64" s="103">
        <v>1715</v>
      </c>
      <c r="R64" s="103">
        <v>1715</v>
      </c>
      <c r="S64" s="104"/>
      <c r="T64" s="104" t="s">
        <v>2200</v>
      </c>
      <c r="U64" s="105" t="s">
        <v>505</v>
      </c>
      <c r="V64" s="100" t="s">
        <v>507</v>
      </c>
      <c r="W64" s="106" t="s">
        <v>10</v>
      </c>
      <c r="X64" s="106" t="s">
        <v>11</v>
      </c>
      <c r="Y64" s="106">
        <v>24</v>
      </c>
      <c r="Z64" s="107">
        <v>43435</v>
      </c>
      <c r="AA64" s="108">
        <v>43443</v>
      </c>
      <c r="AB64" s="109"/>
      <c r="AC64" s="109"/>
    </row>
    <row r="65" spans="1:29" hidden="1" x14ac:dyDescent="0.15">
      <c r="A65" s="98">
        <v>64</v>
      </c>
      <c r="B65" s="99">
        <v>112917</v>
      </c>
      <c r="C65" s="98" t="s">
        <v>6330</v>
      </c>
      <c r="D65" s="100" t="s">
        <v>410</v>
      </c>
      <c r="E65" s="100" t="s">
        <v>243</v>
      </c>
      <c r="F65" s="100" t="s">
        <v>244</v>
      </c>
      <c r="G65" s="98" t="s">
        <v>17</v>
      </c>
      <c r="H65" s="98" t="str">
        <f>VLOOKUP(G65,CGS[],2,FALSE)</f>
        <v>MSC</v>
      </c>
      <c r="I65" s="65">
        <v>1125</v>
      </c>
      <c r="J65" s="101">
        <f>IF(ISBLANK(Pricelist[[#This Row],[EBS]]),"",VALUE(LEFT(Pricelist[[#This Row],[EBS]],LEN(Pricelist[[#This Row],[EBS]])-LEN(Pricelist[[#This Row],[E2]])-1)))</f>
        <v>100</v>
      </c>
      <c r="K65" s="65">
        <v>2250</v>
      </c>
      <c r="L65" s="101">
        <f>IF(ISBLANK(Pricelist[[#This Row],[EBS]]),"",VALUE(RIGHT(Pricelist[[#This Row],[EBS]],3)))</f>
        <v>200</v>
      </c>
      <c r="M65" s="65">
        <v>2250</v>
      </c>
      <c r="N65" s="101">
        <f>IF(ISBLANK(Pricelist[[#This Row],[EBS]]),"",VALUE(RIGHT(Pricelist[[#This Row],[EBS]],3)))</f>
        <v>200</v>
      </c>
      <c r="O65" s="101" t="str">
        <f>IF(AND(Pricelist[[#This Row],[AE1]]&lt;&gt;"",OR(Pricelist[[#This Row],[区]]="南",Pricelist[[#This Row],[区]]="北")),MID(Pricelist[[#This Row],[AE1]],4,2),"")</f>
        <v>30</v>
      </c>
      <c r="P65" s="102">
        <v>1125</v>
      </c>
      <c r="Q65" s="103">
        <v>2250</v>
      </c>
      <c r="R65" s="103">
        <v>2250</v>
      </c>
      <c r="S65" s="104" t="s">
        <v>6328</v>
      </c>
      <c r="T65" s="104" t="s">
        <v>2201</v>
      </c>
      <c r="U65" s="105" t="s">
        <v>506</v>
      </c>
      <c r="V65" s="100" t="s">
        <v>504</v>
      </c>
      <c r="W65" s="106" t="s">
        <v>10</v>
      </c>
      <c r="X65" s="106" t="s">
        <v>11</v>
      </c>
      <c r="Y65" s="106">
        <v>27</v>
      </c>
      <c r="Z65" s="107">
        <v>43435</v>
      </c>
      <c r="AA65" s="108">
        <v>43448</v>
      </c>
      <c r="AB65" s="109"/>
      <c r="AC65" s="109"/>
    </row>
    <row r="66" spans="1:29" ht="25.5" hidden="1" x14ac:dyDescent="0.15">
      <c r="A66" s="98">
        <v>65</v>
      </c>
      <c r="B66" s="99">
        <v>112917</v>
      </c>
      <c r="C66" s="98" t="s">
        <v>6330</v>
      </c>
      <c r="D66" s="100" t="s">
        <v>410</v>
      </c>
      <c r="E66" s="100" t="s">
        <v>243</v>
      </c>
      <c r="F66" s="100" t="s">
        <v>244</v>
      </c>
      <c r="G66" s="98" t="s">
        <v>20</v>
      </c>
      <c r="H66" s="98" t="str">
        <f>VLOOKUP(G66,CGS[],2,FALSE)</f>
        <v>HPL</v>
      </c>
      <c r="I66" s="65">
        <v>850</v>
      </c>
      <c r="J66" s="101">
        <f>IF(ISBLANK(Pricelist[[#This Row],[EBS]]),"",VALUE(LEFT(Pricelist[[#This Row],[EBS]],LEN(Pricelist[[#This Row],[EBS]])-LEN(Pricelist[[#This Row],[E2]])-1)))</f>
        <v>55</v>
      </c>
      <c r="K66" s="65">
        <v>1600</v>
      </c>
      <c r="L66" s="101">
        <f>IF(ISBLANK(Pricelist[[#This Row],[EBS]]),"",VALUE(RIGHT(Pricelist[[#This Row],[EBS]],3)))</f>
        <v>110</v>
      </c>
      <c r="M66" s="65">
        <v>1600</v>
      </c>
      <c r="N66" s="101">
        <f>IF(ISBLANK(Pricelist[[#This Row],[EBS]]),"",VALUE(RIGHT(Pricelist[[#This Row],[EBS]],3)))</f>
        <v>110</v>
      </c>
      <c r="O66" s="101" t="str">
        <f>IF(AND(Pricelist[[#This Row],[AE1]]&lt;&gt;"",OR(Pricelist[[#This Row],[区]]="南",Pricelist[[#This Row],[区]]="北")),MID(Pricelist[[#This Row],[AE1]],4,2),"")</f>
        <v>35</v>
      </c>
      <c r="P66" s="102">
        <v>875</v>
      </c>
      <c r="Q66" s="103">
        <v>1650</v>
      </c>
      <c r="R66" s="103">
        <v>1650</v>
      </c>
      <c r="S66" s="104" t="s">
        <v>2204</v>
      </c>
      <c r="T66" s="104" t="s">
        <v>2200</v>
      </c>
      <c r="U66" s="105" t="s">
        <v>505</v>
      </c>
      <c r="V66" s="100" t="s">
        <v>507</v>
      </c>
      <c r="W66" s="106" t="s">
        <v>10</v>
      </c>
      <c r="X66" s="106" t="s">
        <v>11</v>
      </c>
      <c r="Y66" s="106">
        <v>27</v>
      </c>
      <c r="Z66" s="107">
        <v>43435</v>
      </c>
      <c r="AA66" s="108">
        <v>43448</v>
      </c>
      <c r="AB66" s="109" t="s">
        <v>4964</v>
      </c>
      <c r="AC66" s="109" t="s">
        <v>251</v>
      </c>
    </row>
    <row r="67" spans="1:29" hidden="1" x14ac:dyDescent="0.15">
      <c r="A67" s="98">
        <v>66</v>
      </c>
      <c r="B67" s="99">
        <v>112917</v>
      </c>
      <c r="C67" s="98" t="s">
        <v>6330</v>
      </c>
      <c r="D67" s="100" t="s">
        <v>410</v>
      </c>
      <c r="E67" s="100" t="s">
        <v>243</v>
      </c>
      <c r="F67" s="100" t="s">
        <v>244</v>
      </c>
      <c r="G67" s="98" t="s">
        <v>19</v>
      </c>
      <c r="H67" s="98" t="str">
        <f>VLOOKUP(G67,CGS[],2,FALSE)</f>
        <v>OOCL</v>
      </c>
      <c r="I67" s="65">
        <v>775</v>
      </c>
      <c r="J67" s="101" t="str">
        <f>IF(ISBLANK(Pricelist[[#This Row],[EBS]]),"",VALUE(LEFT(Pricelist[[#This Row],[EBS]],LEN(Pricelist[[#This Row],[EBS]])-LEN(Pricelist[[#This Row],[E2]])-1)))</f>
        <v/>
      </c>
      <c r="K67" s="65">
        <v>1450</v>
      </c>
      <c r="L67" s="101" t="str">
        <f>IF(ISBLANK(Pricelist[[#This Row],[EBS]]),"",VALUE(RIGHT(Pricelist[[#This Row],[EBS]],3)))</f>
        <v/>
      </c>
      <c r="M67" s="65">
        <v>1450</v>
      </c>
      <c r="N67" s="101" t="str">
        <f>IF(ISBLANK(Pricelist[[#This Row],[EBS]]),"",VALUE(RIGHT(Pricelist[[#This Row],[EBS]],3)))</f>
        <v/>
      </c>
      <c r="O67" s="101" t="str">
        <f>IF(AND(Pricelist[[#This Row],[AE1]]&lt;&gt;"",OR(Pricelist[[#This Row],[区]]="南",Pricelist[[#This Row],[区]]="北")),MID(Pricelist[[#This Row],[AE1]],4,2),"")</f>
        <v>30</v>
      </c>
      <c r="P67" s="102">
        <v>800</v>
      </c>
      <c r="Q67" s="103">
        <v>1500</v>
      </c>
      <c r="R67" s="103">
        <v>1500</v>
      </c>
      <c r="S67" s="104"/>
      <c r="T67" s="104" t="s">
        <v>2201</v>
      </c>
      <c r="U67" s="105" t="s">
        <v>505</v>
      </c>
      <c r="V67" s="100" t="s">
        <v>507</v>
      </c>
      <c r="W67" s="106" t="s">
        <v>10</v>
      </c>
      <c r="X67" s="106" t="s">
        <v>11</v>
      </c>
      <c r="Y67" s="106">
        <v>24</v>
      </c>
      <c r="Z67" s="107">
        <v>43440</v>
      </c>
      <c r="AA67" s="108">
        <v>43440</v>
      </c>
      <c r="AB67" s="109"/>
      <c r="AC67" s="109"/>
    </row>
    <row r="68" spans="1:29" hidden="1" x14ac:dyDescent="0.15">
      <c r="A68" s="98">
        <v>67</v>
      </c>
      <c r="B68" s="99">
        <v>112917</v>
      </c>
      <c r="C68" s="98" t="s">
        <v>6330</v>
      </c>
      <c r="D68" s="100" t="s">
        <v>410</v>
      </c>
      <c r="E68" s="100" t="s">
        <v>243</v>
      </c>
      <c r="F68" s="100" t="s">
        <v>244</v>
      </c>
      <c r="G68" s="98" t="s">
        <v>18</v>
      </c>
      <c r="H68" s="98" t="str">
        <f>VLOOKUP(G68,CGS[],2,FALSE)</f>
        <v>PIL</v>
      </c>
      <c r="I68" s="65">
        <v>738</v>
      </c>
      <c r="J68" s="101" t="str">
        <f>IF(ISBLANK(Pricelist[[#This Row],[EBS]]),"",VALUE(LEFT(Pricelist[[#This Row],[EBS]],LEN(Pricelist[[#This Row],[EBS]])-LEN(Pricelist[[#This Row],[E2]])-1)))</f>
        <v/>
      </c>
      <c r="K68" s="65">
        <v>1363</v>
      </c>
      <c r="L68" s="101" t="str">
        <f>IF(ISBLANK(Pricelist[[#This Row],[EBS]]),"",VALUE(RIGHT(Pricelist[[#This Row],[EBS]],3)))</f>
        <v/>
      </c>
      <c r="M68" s="65">
        <v>1363</v>
      </c>
      <c r="N68" s="101" t="str">
        <f>IF(ISBLANK(Pricelist[[#This Row],[EBS]]),"",VALUE(RIGHT(Pricelist[[#This Row],[EBS]],3)))</f>
        <v/>
      </c>
      <c r="O68" s="101" t="str">
        <f>IF(AND(Pricelist[[#This Row],[AE1]]&lt;&gt;"",OR(Pricelist[[#This Row],[区]]="南",Pricelist[[#This Row],[区]]="北")),MID(Pricelist[[#This Row],[AE1]],4,2),"")</f>
        <v>30</v>
      </c>
      <c r="P68" s="102">
        <v>838</v>
      </c>
      <c r="Q68" s="103">
        <v>1563</v>
      </c>
      <c r="R68" s="103">
        <v>1563</v>
      </c>
      <c r="S68" s="104"/>
      <c r="T68" s="104" t="s">
        <v>2201</v>
      </c>
      <c r="U68" s="105" t="s">
        <v>505</v>
      </c>
      <c r="V68" s="100" t="s">
        <v>507</v>
      </c>
      <c r="W68" s="106" t="s">
        <v>10</v>
      </c>
      <c r="X68" s="106" t="s">
        <v>11</v>
      </c>
      <c r="Y68" s="106">
        <v>24</v>
      </c>
      <c r="Z68" s="107">
        <v>43419</v>
      </c>
      <c r="AA68" s="108">
        <v>43434</v>
      </c>
      <c r="AB68" s="109"/>
      <c r="AC68" s="109"/>
    </row>
    <row r="69" spans="1:29" hidden="1" x14ac:dyDescent="0.15">
      <c r="A69" s="98">
        <v>68</v>
      </c>
      <c r="B69" s="99">
        <v>112917</v>
      </c>
      <c r="C69" s="98" t="s">
        <v>6330</v>
      </c>
      <c r="D69" s="100" t="s">
        <v>411</v>
      </c>
      <c r="E69" s="100" t="s">
        <v>243</v>
      </c>
      <c r="F69" s="100" t="s">
        <v>252</v>
      </c>
      <c r="G69" s="98" t="s">
        <v>21</v>
      </c>
      <c r="H69" s="98" t="str">
        <f>VLOOKUP(G69,CGS[],2,FALSE)</f>
        <v>MSK</v>
      </c>
      <c r="I69" s="65">
        <v>1425</v>
      </c>
      <c r="J69" s="101" t="str">
        <f>IF(ISBLANK(Pricelist[[#This Row],[EBS]]),"",VALUE(LEFT(Pricelist[[#This Row],[EBS]],LEN(Pricelist[[#This Row],[EBS]])-LEN(Pricelist[[#This Row],[E2]])-1)))</f>
        <v/>
      </c>
      <c r="K69" s="65">
        <v>2850</v>
      </c>
      <c r="L69" s="101" t="str">
        <f>IF(ISBLANK(Pricelist[[#This Row],[EBS]]),"",VALUE(RIGHT(Pricelist[[#This Row],[EBS]],3)))</f>
        <v/>
      </c>
      <c r="M69" s="65">
        <v>2850</v>
      </c>
      <c r="N69" s="101" t="str">
        <f>IF(ISBLANK(Pricelist[[#This Row],[EBS]]),"",VALUE(RIGHT(Pricelist[[#This Row],[EBS]],3)))</f>
        <v/>
      </c>
      <c r="O69" s="101" t="str">
        <f>IF(AND(Pricelist[[#This Row],[AE1]]&lt;&gt;"",OR(Pricelist[[#This Row],[区]]="南",Pricelist[[#This Row],[区]]="北")),MID(Pricelist[[#This Row],[AE1]],4,2),"")</f>
        <v/>
      </c>
      <c r="P69" s="102">
        <v>1450</v>
      </c>
      <c r="Q69" s="103">
        <v>2900</v>
      </c>
      <c r="R69" s="103">
        <v>2900</v>
      </c>
      <c r="S69" s="104"/>
      <c r="T69" s="104"/>
      <c r="U69" s="105" t="s">
        <v>509</v>
      </c>
      <c r="V69" s="100" t="s">
        <v>507</v>
      </c>
      <c r="W69" s="106" t="s">
        <v>10</v>
      </c>
      <c r="X69" s="106" t="s">
        <v>11</v>
      </c>
      <c r="Y69" s="106">
        <v>28</v>
      </c>
      <c r="Z69" s="107">
        <v>43435</v>
      </c>
      <c r="AA69" s="108">
        <v>43449</v>
      </c>
      <c r="AB69" s="109" t="s">
        <v>245</v>
      </c>
      <c r="AC69" s="109"/>
    </row>
    <row r="70" spans="1:29" hidden="1" x14ac:dyDescent="0.15">
      <c r="A70" s="98">
        <v>69</v>
      </c>
      <c r="B70" s="99">
        <v>112917</v>
      </c>
      <c r="C70" s="98" t="s">
        <v>6330</v>
      </c>
      <c r="D70" s="100" t="s">
        <v>411</v>
      </c>
      <c r="E70" s="100" t="s">
        <v>243</v>
      </c>
      <c r="F70" s="100" t="s">
        <v>252</v>
      </c>
      <c r="G70" s="98" t="s">
        <v>24</v>
      </c>
      <c r="H70" s="98" t="str">
        <f>VLOOKUP(G70,CGS[],2,FALSE)</f>
        <v>SAF</v>
      </c>
      <c r="I70" s="65">
        <v>1215</v>
      </c>
      <c r="J70" s="101">
        <f>IF(ISBLANK(Pricelist[[#This Row],[EBS]]),"",VALUE(LEFT(Pricelist[[#This Row],[EBS]],LEN(Pricelist[[#This Row],[EBS]])-LEN(Pricelist[[#This Row],[E2]])-1)))</f>
        <v>60</v>
      </c>
      <c r="K70" s="65">
        <v>2430</v>
      </c>
      <c r="L70" s="101">
        <f>IF(ISBLANK(Pricelist[[#This Row],[EBS]]),"",VALUE(RIGHT(Pricelist[[#This Row],[EBS]],3)))</f>
        <v>120</v>
      </c>
      <c r="M70" s="65">
        <v>2430</v>
      </c>
      <c r="N70" s="101">
        <f>IF(ISBLANK(Pricelist[[#This Row],[EBS]]),"",VALUE(RIGHT(Pricelist[[#This Row],[EBS]],3)))</f>
        <v>120</v>
      </c>
      <c r="O70" s="101" t="str">
        <f>IF(AND(Pricelist[[#This Row],[AE1]]&lt;&gt;"",OR(Pricelist[[#This Row],[区]]="南",Pricelist[[#This Row],[区]]="北")),MID(Pricelist[[#This Row],[AE1]],4,2),"")</f>
        <v/>
      </c>
      <c r="P70" s="102">
        <v>1215</v>
      </c>
      <c r="Q70" s="103">
        <v>2430</v>
      </c>
      <c r="R70" s="103">
        <v>2430</v>
      </c>
      <c r="S70" s="104" t="s">
        <v>2199</v>
      </c>
      <c r="T70" s="104"/>
      <c r="U70" s="105" t="s">
        <v>509</v>
      </c>
      <c r="V70" s="100" t="s">
        <v>507</v>
      </c>
      <c r="W70" s="106" t="s">
        <v>10</v>
      </c>
      <c r="X70" s="106" t="s">
        <v>11</v>
      </c>
      <c r="Y70" s="106">
        <v>28</v>
      </c>
      <c r="Z70" s="107">
        <v>43435</v>
      </c>
      <c r="AA70" s="108">
        <v>43449</v>
      </c>
      <c r="AB70" s="109" t="s">
        <v>288</v>
      </c>
      <c r="AC70" s="109"/>
    </row>
    <row r="71" spans="1:29" ht="63.75" hidden="1" x14ac:dyDescent="0.15">
      <c r="A71" s="98">
        <v>70</v>
      </c>
      <c r="B71" s="99">
        <v>112917</v>
      </c>
      <c r="C71" s="98" t="s">
        <v>6330</v>
      </c>
      <c r="D71" s="100" t="s">
        <v>411</v>
      </c>
      <c r="E71" s="100" t="s">
        <v>243</v>
      </c>
      <c r="F71" s="100" t="s">
        <v>252</v>
      </c>
      <c r="G71" s="98" t="s">
        <v>9</v>
      </c>
      <c r="H71" s="98" t="str">
        <f>VLOOKUP(G71,CGS[],2,FALSE)</f>
        <v>COSCO</v>
      </c>
      <c r="I71" s="65">
        <v>1060</v>
      </c>
      <c r="J71" s="101">
        <f>IF(ISBLANK(Pricelist[[#This Row],[EBS]]),"",VALUE(LEFT(Pricelist[[#This Row],[EBS]],LEN(Pricelist[[#This Row],[EBS]])-LEN(Pricelist[[#This Row],[E2]])-1)))</f>
        <v>60</v>
      </c>
      <c r="K71" s="65">
        <v>2070</v>
      </c>
      <c r="L71" s="101">
        <f>IF(ISBLANK(Pricelist[[#This Row],[EBS]]),"",VALUE(RIGHT(Pricelist[[#This Row],[EBS]],3)))</f>
        <v>120</v>
      </c>
      <c r="M71" s="65">
        <v>2070</v>
      </c>
      <c r="N71" s="101">
        <f>IF(ISBLANK(Pricelist[[#This Row],[EBS]]),"",VALUE(RIGHT(Pricelist[[#This Row],[EBS]],3)))</f>
        <v>120</v>
      </c>
      <c r="O71" s="101" t="str">
        <f>IF(AND(Pricelist[[#This Row],[AE1]]&lt;&gt;"",OR(Pricelist[[#This Row],[区]]="南",Pricelist[[#This Row],[区]]="北")),MID(Pricelist[[#This Row],[AE1]],4,2),"")</f>
        <v>30</v>
      </c>
      <c r="P71" s="102">
        <v>1075</v>
      </c>
      <c r="Q71" s="103">
        <v>2100</v>
      </c>
      <c r="R71" s="103">
        <v>2100</v>
      </c>
      <c r="S71" s="104" t="s">
        <v>2199</v>
      </c>
      <c r="T71" s="104" t="s">
        <v>2201</v>
      </c>
      <c r="U71" s="105" t="s">
        <v>509</v>
      </c>
      <c r="V71" s="100" t="s">
        <v>507</v>
      </c>
      <c r="W71" s="106" t="s">
        <v>10</v>
      </c>
      <c r="X71" s="106" t="s">
        <v>11</v>
      </c>
      <c r="Y71" s="106">
        <v>27</v>
      </c>
      <c r="Z71" s="107">
        <v>43437</v>
      </c>
      <c r="AA71" s="108">
        <v>43448</v>
      </c>
      <c r="AB71" s="109" t="s">
        <v>2207</v>
      </c>
      <c r="AC71" s="109" t="s">
        <v>248</v>
      </c>
    </row>
    <row r="72" spans="1:29" ht="25.5" hidden="1" x14ac:dyDescent="0.15">
      <c r="A72" s="98">
        <v>71</v>
      </c>
      <c r="B72" s="99">
        <v>112917</v>
      </c>
      <c r="C72" s="98" t="s">
        <v>6330</v>
      </c>
      <c r="D72" s="100" t="s">
        <v>411</v>
      </c>
      <c r="E72" s="100" t="s">
        <v>243</v>
      </c>
      <c r="F72" s="100" t="s">
        <v>252</v>
      </c>
      <c r="G72" s="98" t="s">
        <v>13</v>
      </c>
      <c r="H72" s="98" t="str">
        <f>VLOOKUP(G72,CGS[],2,FALSE)</f>
        <v>EMC</v>
      </c>
      <c r="I72" s="65">
        <v>1009</v>
      </c>
      <c r="J72" s="101" t="str">
        <f>IF(ISBLANK(Pricelist[[#This Row],[EBS]]),"",VALUE(LEFT(Pricelist[[#This Row],[EBS]],LEN(Pricelist[[#This Row],[EBS]])-LEN(Pricelist[[#This Row],[E2]])-1)))</f>
        <v/>
      </c>
      <c r="K72" s="65">
        <v>1759</v>
      </c>
      <c r="L72" s="101" t="str">
        <f>IF(ISBLANK(Pricelist[[#This Row],[EBS]]),"",VALUE(RIGHT(Pricelist[[#This Row],[EBS]],3)))</f>
        <v/>
      </c>
      <c r="M72" s="65">
        <v>1759</v>
      </c>
      <c r="N72" s="101" t="str">
        <f>IF(ISBLANK(Pricelist[[#This Row],[EBS]]),"",VALUE(RIGHT(Pricelist[[#This Row],[EBS]],3)))</f>
        <v/>
      </c>
      <c r="O72" s="101" t="str">
        <f>IF(AND(Pricelist[[#This Row],[AE1]]&lt;&gt;"",OR(Pricelist[[#This Row],[区]]="南",Pricelist[[#This Row],[区]]="北")),MID(Pricelist[[#This Row],[AE1]],4,2),"")</f>
        <v>30</v>
      </c>
      <c r="P72" s="102">
        <v>1034</v>
      </c>
      <c r="Q72" s="103">
        <v>1809</v>
      </c>
      <c r="R72" s="103">
        <v>1809</v>
      </c>
      <c r="S72" s="104"/>
      <c r="T72" s="104" t="s">
        <v>2201</v>
      </c>
      <c r="U72" s="105" t="s">
        <v>505</v>
      </c>
      <c r="V72" s="100" t="s">
        <v>507</v>
      </c>
      <c r="W72" s="106" t="s">
        <v>514</v>
      </c>
      <c r="X72" s="106" t="s">
        <v>23</v>
      </c>
      <c r="Y72" s="106">
        <v>34</v>
      </c>
      <c r="Z72" s="107">
        <v>43435</v>
      </c>
      <c r="AA72" s="108">
        <v>43442</v>
      </c>
      <c r="AB72" s="109" t="s">
        <v>5811</v>
      </c>
      <c r="AC72" s="109" t="s">
        <v>249</v>
      </c>
    </row>
    <row r="73" spans="1:29" ht="25.5" hidden="1" x14ac:dyDescent="0.15">
      <c r="A73" s="98">
        <v>72</v>
      </c>
      <c r="B73" s="99">
        <v>112917</v>
      </c>
      <c r="C73" s="98" t="s">
        <v>6330</v>
      </c>
      <c r="D73" s="100" t="s">
        <v>411</v>
      </c>
      <c r="E73" s="100" t="s">
        <v>243</v>
      </c>
      <c r="F73" s="100" t="s">
        <v>252</v>
      </c>
      <c r="G73" s="98" t="s">
        <v>247</v>
      </c>
      <c r="H73" s="98" t="str">
        <f>VLOOKUP(G73,CGS[],2,FALSE)</f>
        <v>HBS</v>
      </c>
      <c r="I73" s="65">
        <v>825</v>
      </c>
      <c r="J73" s="101">
        <f>IF(ISBLANK(Pricelist[[#This Row],[EBS]]),"",VALUE(LEFT(Pricelist[[#This Row],[EBS]],LEN(Pricelist[[#This Row],[EBS]])-LEN(Pricelist[[#This Row],[E2]])-1)))</f>
        <v>60</v>
      </c>
      <c r="K73" s="65">
        <v>1575</v>
      </c>
      <c r="L73" s="101">
        <f>IF(ISBLANK(Pricelist[[#This Row],[EBS]]),"",VALUE(RIGHT(Pricelist[[#This Row],[EBS]],3)))</f>
        <v>120</v>
      </c>
      <c r="M73" s="65">
        <v>1575</v>
      </c>
      <c r="N73" s="101">
        <f>IF(ISBLANK(Pricelist[[#This Row],[EBS]]),"",VALUE(RIGHT(Pricelist[[#This Row],[EBS]],3)))</f>
        <v>120</v>
      </c>
      <c r="O73" s="101" t="str">
        <f>IF(AND(Pricelist[[#This Row],[AE1]]&lt;&gt;"",OR(Pricelist[[#This Row],[区]]="南",Pricelist[[#This Row],[区]]="北")),MID(Pricelist[[#This Row],[AE1]],4,2),"")</f>
        <v>35</v>
      </c>
      <c r="P73" s="102">
        <v>850</v>
      </c>
      <c r="Q73" s="103">
        <v>1625</v>
      </c>
      <c r="R73" s="103">
        <v>1625</v>
      </c>
      <c r="S73" s="104" t="s">
        <v>2199</v>
      </c>
      <c r="T73" s="104" t="s">
        <v>2200</v>
      </c>
      <c r="U73" s="105" t="s">
        <v>509</v>
      </c>
      <c r="V73" s="100" t="s">
        <v>507</v>
      </c>
      <c r="W73" s="106" t="s">
        <v>10</v>
      </c>
      <c r="X73" s="106" t="s">
        <v>11</v>
      </c>
      <c r="Y73" s="106">
        <v>26</v>
      </c>
      <c r="Z73" s="107">
        <v>43437</v>
      </c>
      <c r="AA73" s="108">
        <v>43443</v>
      </c>
      <c r="AB73" s="109" t="s">
        <v>4767</v>
      </c>
      <c r="AC73" s="109"/>
    </row>
    <row r="74" spans="1:29" hidden="1" x14ac:dyDescent="0.15">
      <c r="A74" s="98">
        <v>73</v>
      </c>
      <c r="B74" s="99">
        <v>112917</v>
      </c>
      <c r="C74" s="98" t="s">
        <v>6330</v>
      </c>
      <c r="D74" s="100" t="s">
        <v>411</v>
      </c>
      <c r="E74" s="100" t="s">
        <v>243</v>
      </c>
      <c r="F74" s="100" t="s">
        <v>252</v>
      </c>
      <c r="G74" s="98" t="s">
        <v>8</v>
      </c>
      <c r="H74" s="98" t="str">
        <f>VLOOKUP(G74,CGS[],2,FALSE)</f>
        <v>CMA</v>
      </c>
      <c r="I74" s="65">
        <v>1375</v>
      </c>
      <c r="J74" s="101">
        <f>IF(ISBLANK(Pricelist[[#This Row],[EBS]]),"",VALUE(LEFT(Pricelist[[#This Row],[EBS]],LEN(Pricelist[[#This Row],[EBS]])-LEN(Pricelist[[#This Row],[E2]])-1)))</f>
        <v>55</v>
      </c>
      <c r="K74" s="65">
        <v>2650</v>
      </c>
      <c r="L74" s="101">
        <f>IF(ISBLANK(Pricelist[[#This Row],[EBS]]),"",VALUE(RIGHT(Pricelist[[#This Row],[EBS]],3)))</f>
        <v>110</v>
      </c>
      <c r="M74" s="65">
        <v>2650</v>
      </c>
      <c r="N74" s="101">
        <f>IF(ISBLANK(Pricelist[[#This Row],[EBS]]),"",VALUE(RIGHT(Pricelist[[#This Row],[EBS]],3)))</f>
        <v>110</v>
      </c>
      <c r="O74" s="101" t="str">
        <f>IF(AND(Pricelist[[#This Row],[AE1]]&lt;&gt;"",OR(Pricelist[[#This Row],[区]]="南",Pricelist[[#This Row],[区]]="北")),MID(Pricelist[[#This Row],[AE1]],4,2),"")</f>
        <v>35</v>
      </c>
      <c r="P74" s="102">
        <v>1400</v>
      </c>
      <c r="Q74" s="103">
        <v>2700</v>
      </c>
      <c r="R74" s="103">
        <v>2700</v>
      </c>
      <c r="S74" s="104" t="s">
        <v>2204</v>
      </c>
      <c r="T74" s="104" t="s">
        <v>2200</v>
      </c>
      <c r="U74" s="105" t="s">
        <v>509</v>
      </c>
      <c r="V74" s="100" t="s">
        <v>507</v>
      </c>
      <c r="W74" s="106" t="s">
        <v>10</v>
      </c>
      <c r="X74" s="106" t="s">
        <v>11</v>
      </c>
      <c r="Y74" s="106">
        <v>26</v>
      </c>
      <c r="Z74" s="107">
        <v>43435</v>
      </c>
      <c r="AA74" s="108">
        <v>43465</v>
      </c>
      <c r="AB74" s="109" t="s">
        <v>253</v>
      </c>
      <c r="AC74" s="109"/>
    </row>
    <row r="75" spans="1:29" hidden="1" x14ac:dyDescent="0.15">
      <c r="A75" s="98">
        <v>74</v>
      </c>
      <c r="B75" s="99">
        <v>112917</v>
      </c>
      <c r="C75" s="98" t="s">
        <v>6330</v>
      </c>
      <c r="D75" s="100" t="s">
        <v>411</v>
      </c>
      <c r="E75" s="100" t="s">
        <v>243</v>
      </c>
      <c r="F75" s="100" t="s">
        <v>252</v>
      </c>
      <c r="G75" s="98" t="s">
        <v>17</v>
      </c>
      <c r="H75" s="98" t="str">
        <f>VLOOKUP(G75,CGS[],2,FALSE)</f>
        <v>MSC</v>
      </c>
      <c r="I75" s="65">
        <v>1125</v>
      </c>
      <c r="J75" s="101">
        <f>IF(ISBLANK(Pricelist[[#This Row],[EBS]]),"",VALUE(LEFT(Pricelist[[#This Row],[EBS]],LEN(Pricelist[[#This Row],[EBS]])-LEN(Pricelist[[#This Row],[E2]])-1)))</f>
        <v>100</v>
      </c>
      <c r="K75" s="65">
        <v>2250</v>
      </c>
      <c r="L75" s="101">
        <f>IF(ISBLANK(Pricelist[[#This Row],[EBS]]),"",VALUE(RIGHT(Pricelist[[#This Row],[EBS]],3)))</f>
        <v>200</v>
      </c>
      <c r="M75" s="65">
        <v>2250</v>
      </c>
      <c r="N75" s="101">
        <f>IF(ISBLANK(Pricelist[[#This Row],[EBS]]),"",VALUE(RIGHT(Pricelist[[#This Row],[EBS]],3)))</f>
        <v>200</v>
      </c>
      <c r="O75" s="101" t="str">
        <f>IF(AND(Pricelist[[#This Row],[AE1]]&lt;&gt;"",OR(Pricelist[[#This Row],[区]]="南",Pricelist[[#This Row],[区]]="北")),MID(Pricelist[[#This Row],[AE1]],4,2),"")</f>
        <v/>
      </c>
      <c r="P75" s="102">
        <v>1125</v>
      </c>
      <c r="Q75" s="103">
        <v>2250</v>
      </c>
      <c r="R75" s="103">
        <v>2250</v>
      </c>
      <c r="S75" s="104" t="s">
        <v>6328</v>
      </c>
      <c r="T75" s="104"/>
      <c r="U75" s="105" t="s">
        <v>506</v>
      </c>
      <c r="V75" s="100" t="s">
        <v>504</v>
      </c>
      <c r="W75" s="106" t="s">
        <v>76</v>
      </c>
      <c r="X75" s="106" t="s">
        <v>77</v>
      </c>
      <c r="Y75" s="106">
        <v>32</v>
      </c>
      <c r="Z75" s="107">
        <v>43435</v>
      </c>
      <c r="AA75" s="108">
        <v>43448</v>
      </c>
      <c r="AB75" s="109"/>
      <c r="AC75" s="109"/>
    </row>
    <row r="76" spans="1:29" hidden="1" x14ac:dyDescent="0.15">
      <c r="A76" s="98">
        <v>75</v>
      </c>
      <c r="B76" s="99">
        <v>112917</v>
      </c>
      <c r="C76" s="98" t="s">
        <v>6330</v>
      </c>
      <c r="D76" s="100" t="s">
        <v>411</v>
      </c>
      <c r="E76" s="100" t="s">
        <v>243</v>
      </c>
      <c r="F76" s="100" t="s">
        <v>252</v>
      </c>
      <c r="G76" s="98" t="s">
        <v>106</v>
      </c>
      <c r="H76" s="98" t="str">
        <f>VLOOKUP(G76,CGS[],2,FALSE)</f>
        <v>NDS</v>
      </c>
      <c r="I76" s="65">
        <v>960</v>
      </c>
      <c r="J76" s="101" t="str">
        <f>IF(ISBLANK(Pricelist[[#This Row],[EBS]]),"",VALUE(LEFT(Pricelist[[#This Row],[EBS]],LEN(Pricelist[[#This Row],[EBS]])-LEN(Pricelist[[#This Row],[E2]])-1)))</f>
        <v/>
      </c>
      <c r="K76" s="65">
        <v>1810</v>
      </c>
      <c r="L76" s="101" t="str">
        <f>IF(ISBLANK(Pricelist[[#This Row],[EBS]]),"",VALUE(RIGHT(Pricelist[[#This Row],[EBS]],3)))</f>
        <v/>
      </c>
      <c r="M76" s="65">
        <v>1810</v>
      </c>
      <c r="N76" s="101" t="str">
        <f>IF(ISBLANK(Pricelist[[#This Row],[EBS]]),"",VALUE(RIGHT(Pricelist[[#This Row],[EBS]],3)))</f>
        <v/>
      </c>
      <c r="O76" s="101" t="str">
        <f>IF(AND(Pricelist[[#This Row],[AE1]]&lt;&gt;"",OR(Pricelist[[#This Row],[区]]="南",Pricelist[[#This Row],[区]]="北")),MID(Pricelist[[#This Row],[AE1]],4,2),"")</f>
        <v/>
      </c>
      <c r="P76" s="102">
        <v>960</v>
      </c>
      <c r="Q76" s="103">
        <v>1810</v>
      </c>
      <c r="R76" s="103">
        <v>1810</v>
      </c>
      <c r="S76" s="104"/>
      <c r="T76" s="104"/>
      <c r="U76" s="105" t="s">
        <v>510</v>
      </c>
      <c r="V76" s="100" t="s">
        <v>507</v>
      </c>
      <c r="W76" s="106" t="s">
        <v>10</v>
      </c>
      <c r="X76" s="106" t="s">
        <v>11</v>
      </c>
      <c r="Y76" s="106">
        <v>27</v>
      </c>
      <c r="Z76" s="107">
        <v>43423</v>
      </c>
      <c r="AA76" s="108">
        <v>43434</v>
      </c>
      <c r="AB76" s="109"/>
      <c r="AC76" s="109"/>
    </row>
    <row r="77" spans="1:29" hidden="1" x14ac:dyDescent="0.15">
      <c r="A77" s="98">
        <v>76</v>
      </c>
      <c r="B77" s="99">
        <v>112917</v>
      </c>
      <c r="C77" s="98" t="s">
        <v>6330</v>
      </c>
      <c r="D77" s="100" t="s">
        <v>411</v>
      </c>
      <c r="E77" s="100" t="s">
        <v>243</v>
      </c>
      <c r="F77" s="100" t="s">
        <v>252</v>
      </c>
      <c r="G77" s="98" t="s">
        <v>18</v>
      </c>
      <c r="H77" s="98" t="str">
        <f>VLOOKUP(G77,CGS[],2,FALSE)</f>
        <v>PIL</v>
      </c>
      <c r="I77" s="65">
        <v>788</v>
      </c>
      <c r="J77" s="101" t="str">
        <f>IF(ISBLANK(Pricelist[[#This Row],[EBS]]),"",VALUE(LEFT(Pricelist[[#This Row],[EBS]],LEN(Pricelist[[#This Row],[EBS]])-LEN(Pricelist[[#This Row],[E2]])-1)))</f>
        <v/>
      </c>
      <c r="K77" s="65">
        <v>1463</v>
      </c>
      <c r="L77" s="101" t="str">
        <f>IF(ISBLANK(Pricelist[[#This Row],[EBS]]),"",VALUE(RIGHT(Pricelist[[#This Row],[EBS]],3)))</f>
        <v/>
      </c>
      <c r="M77" s="65">
        <v>1463</v>
      </c>
      <c r="N77" s="101" t="str">
        <f>IF(ISBLANK(Pricelist[[#This Row],[EBS]]),"",VALUE(RIGHT(Pricelist[[#This Row],[EBS]],3)))</f>
        <v/>
      </c>
      <c r="O77" s="101" t="str">
        <f>IF(AND(Pricelist[[#This Row],[AE1]]&lt;&gt;"",OR(Pricelist[[#This Row],[区]]="南",Pricelist[[#This Row],[区]]="北")),MID(Pricelist[[#This Row],[AE1]],4,2),"")</f>
        <v>30</v>
      </c>
      <c r="P77" s="102">
        <v>888</v>
      </c>
      <c r="Q77" s="103">
        <v>1663</v>
      </c>
      <c r="R77" s="103">
        <v>1663</v>
      </c>
      <c r="S77" s="104"/>
      <c r="T77" s="104" t="s">
        <v>2201</v>
      </c>
      <c r="U77" s="105" t="s">
        <v>512</v>
      </c>
      <c r="V77" s="100" t="s">
        <v>504</v>
      </c>
      <c r="W77" s="106" t="s">
        <v>22</v>
      </c>
      <c r="X77" s="106" t="s">
        <v>23</v>
      </c>
      <c r="Y77" s="106">
        <v>30</v>
      </c>
      <c r="Z77" s="107">
        <v>43419</v>
      </c>
      <c r="AA77" s="108">
        <v>43434</v>
      </c>
      <c r="AB77" s="109"/>
      <c r="AC77" s="109"/>
    </row>
    <row r="78" spans="1:29" hidden="1" x14ac:dyDescent="0.15">
      <c r="A78" s="98">
        <v>77</v>
      </c>
      <c r="B78" s="99">
        <v>112917</v>
      </c>
      <c r="C78" s="98" t="s">
        <v>6330</v>
      </c>
      <c r="D78" s="100" t="s">
        <v>411</v>
      </c>
      <c r="E78" s="100" t="s">
        <v>243</v>
      </c>
      <c r="F78" s="100" t="s">
        <v>252</v>
      </c>
      <c r="G78" s="98" t="s">
        <v>19</v>
      </c>
      <c r="H78" s="98" t="str">
        <f>VLOOKUP(G78,CGS[],2,FALSE)</f>
        <v>OOCL</v>
      </c>
      <c r="I78" s="65">
        <v>775</v>
      </c>
      <c r="J78" s="101" t="str">
        <f>IF(ISBLANK(Pricelist[[#This Row],[EBS]]),"",VALUE(LEFT(Pricelist[[#This Row],[EBS]],LEN(Pricelist[[#This Row],[EBS]])-LEN(Pricelist[[#This Row],[E2]])-1)))</f>
        <v/>
      </c>
      <c r="K78" s="65">
        <v>1500</v>
      </c>
      <c r="L78" s="101" t="str">
        <f>IF(ISBLANK(Pricelist[[#This Row],[EBS]]),"",VALUE(RIGHT(Pricelist[[#This Row],[EBS]],3)))</f>
        <v/>
      </c>
      <c r="M78" s="65">
        <v>1500</v>
      </c>
      <c r="N78" s="101" t="str">
        <f>IF(ISBLANK(Pricelist[[#This Row],[EBS]]),"",VALUE(RIGHT(Pricelist[[#This Row],[EBS]],3)))</f>
        <v/>
      </c>
      <c r="O78" s="101" t="str">
        <f>IF(AND(Pricelist[[#This Row],[AE1]]&lt;&gt;"",OR(Pricelist[[#This Row],[区]]="南",Pricelist[[#This Row],[区]]="北")),MID(Pricelist[[#This Row],[AE1]],4,2),"")</f>
        <v>30</v>
      </c>
      <c r="P78" s="102">
        <v>800</v>
      </c>
      <c r="Q78" s="103">
        <v>1550</v>
      </c>
      <c r="R78" s="103">
        <v>1550</v>
      </c>
      <c r="S78" s="104"/>
      <c r="T78" s="104" t="s">
        <v>2201</v>
      </c>
      <c r="U78" s="105" t="s">
        <v>505</v>
      </c>
      <c r="V78" s="100" t="s">
        <v>504</v>
      </c>
      <c r="W78" s="106" t="s">
        <v>15</v>
      </c>
      <c r="X78" s="106" t="s">
        <v>16</v>
      </c>
      <c r="Y78" s="106">
        <v>28</v>
      </c>
      <c r="Z78" s="107">
        <v>43440</v>
      </c>
      <c r="AA78" s="108">
        <v>43440</v>
      </c>
      <c r="AB78" s="109"/>
      <c r="AC78" s="109"/>
    </row>
    <row r="79" spans="1:29" hidden="1" x14ac:dyDescent="0.15">
      <c r="A79" s="98">
        <v>78</v>
      </c>
      <c r="B79" s="99">
        <v>112917</v>
      </c>
      <c r="C79" s="98" t="s">
        <v>6330</v>
      </c>
      <c r="D79" s="100" t="s">
        <v>411</v>
      </c>
      <c r="E79" s="100" t="s">
        <v>243</v>
      </c>
      <c r="F79" s="100" t="s">
        <v>252</v>
      </c>
      <c r="G79" s="98" t="s">
        <v>100</v>
      </c>
      <c r="H79" s="98" t="str">
        <f>VLOOKUP(G79,CGS[],2,FALSE)</f>
        <v>ONE</v>
      </c>
      <c r="I79" s="65">
        <v>940</v>
      </c>
      <c r="J79" s="101" t="str">
        <f>IF(ISBLANK(Pricelist[[#This Row],[EBS]]),"",VALUE(LEFT(Pricelist[[#This Row],[EBS]],LEN(Pricelist[[#This Row],[EBS]])-LEN(Pricelist[[#This Row],[E2]])-1)))</f>
        <v/>
      </c>
      <c r="K79" s="65">
        <v>1665</v>
      </c>
      <c r="L79" s="101" t="str">
        <f>IF(ISBLANK(Pricelist[[#This Row],[EBS]]),"",VALUE(RIGHT(Pricelist[[#This Row],[EBS]],3)))</f>
        <v/>
      </c>
      <c r="M79" s="65">
        <v>1665</v>
      </c>
      <c r="N79" s="101" t="str">
        <f>IF(ISBLANK(Pricelist[[#This Row],[EBS]]),"",VALUE(RIGHT(Pricelist[[#This Row],[EBS]],3)))</f>
        <v/>
      </c>
      <c r="O79" s="101" t="str">
        <f>IF(AND(Pricelist[[#This Row],[AE1]]&lt;&gt;"",OR(Pricelist[[#This Row],[区]]="南",Pricelist[[#This Row],[区]]="北")),MID(Pricelist[[#This Row],[AE1]],4,2),"")</f>
        <v>35</v>
      </c>
      <c r="P79" s="102">
        <v>965</v>
      </c>
      <c r="Q79" s="103">
        <v>1715</v>
      </c>
      <c r="R79" s="103">
        <v>1715</v>
      </c>
      <c r="S79" s="104"/>
      <c r="T79" s="104" t="s">
        <v>2200</v>
      </c>
      <c r="U79" s="105" t="s">
        <v>505</v>
      </c>
      <c r="V79" s="100" t="s">
        <v>507</v>
      </c>
      <c r="W79" s="106" t="s">
        <v>22</v>
      </c>
      <c r="X79" s="106" t="s">
        <v>23</v>
      </c>
      <c r="Y79" s="106">
        <v>32</v>
      </c>
      <c r="Z79" s="107">
        <v>43435</v>
      </c>
      <c r="AA79" s="108">
        <v>43443</v>
      </c>
      <c r="AB79" s="109"/>
      <c r="AC79" s="109"/>
    </row>
    <row r="80" spans="1:29" hidden="1" x14ac:dyDescent="0.15">
      <c r="A80" s="98">
        <v>79</v>
      </c>
      <c r="B80" s="99">
        <v>112917</v>
      </c>
      <c r="C80" s="98" t="s">
        <v>6330</v>
      </c>
      <c r="D80" s="100" t="s">
        <v>412</v>
      </c>
      <c r="E80" s="100" t="s">
        <v>243</v>
      </c>
      <c r="F80" s="100" t="s">
        <v>254</v>
      </c>
      <c r="G80" s="98" t="s">
        <v>21</v>
      </c>
      <c r="H80" s="98" t="str">
        <f>VLOOKUP(G80,CGS[],2,FALSE)</f>
        <v>MSK</v>
      </c>
      <c r="I80" s="65">
        <v>1225</v>
      </c>
      <c r="J80" s="101" t="str">
        <f>IF(ISBLANK(Pricelist[[#This Row],[EBS]]),"",VALUE(LEFT(Pricelist[[#This Row],[EBS]],LEN(Pricelist[[#This Row],[EBS]])-LEN(Pricelist[[#This Row],[E2]])-1)))</f>
        <v/>
      </c>
      <c r="K80" s="65">
        <v>2450</v>
      </c>
      <c r="L80" s="101" t="str">
        <f>IF(ISBLANK(Pricelist[[#This Row],[EBS]]),"",VALUE(RIGHT(Pricelist[[#This Row],[EBS]],3)))</f>
        <v/>
      </c>
      <c r="M80" s="65">
        <v>2450</v>
      </c>
      <c r="N80" s="101" t="str">
        <f>IF(ISBLANK(Pricelist[[#This Row],[EBS]]),"",VALUE(RIGHT(Pricelist[[#This Row],[EBS]],3)))</f>
        <v/>
      </c>
      <c r="O80" s="101" t="str">
        <f>IF(AND(Pricelist[[#This Row],[AE1]]&lt;&gt;"",OR(Pricelist[[#This Row],[区]]="南",Pricelist[[#This Row],[区]]="北")),MID(Pricelist[[#This Row],[AE1]],4,2),"")</f>
        <v/>
      </c>
      <c r="P80" s="102">
        <v>1250</v>
      </c>
      <c r="Q80" s="103">
        <v>2500</v>
      </c>
      <c r="R80" s="103">
        <v>2500</v>
      </c>
      <c r="S80" s="104"/>
      <c r="T80" s="104"/>
      <c r="U80" s="105" t="s">
        <v>508</v>
      </c>
      <c r="V80" s="100" t="s">
        <v>507</v>
      </c>
      <c r="W80" s="106" t="s">
        <v>10</v>
      </c>
      <c r="X80" s="106" t="s">
        <v>11</v>
      </c>
      <c r="Y80" s="106">
        <v>33</v>
      </c>
      <c r="Z80" s="107">
        <v>43435</v>
      </c>
      <c r="AA80" s="108">
        <v>43449</v>
      </c>
      <c r="AB80" s="109" t="s">
        <v>245</v>
      </c>
      <c r="AC80" s="109"/>
    </row>
    <row r="81" spans="1:29" hidden="1" x14ac:dyDescent="0.15">
      <c r="A81" s="98">
        <v>80</v>
      </c>
      <c r="B81" s="99">
        <v>112917</v>
      </c>
      <c r="C81" s="98" t="s">
        <v>6330</v>
      </c>
      <c r="D81" s="100" t="s">
        <v>412</v>
      </c>
      <c r="E81" s="100" t="s">
        <v>243</v>
      </c>
      <c r="F81" s="100" t="s">
        <v>254</v>
      </c>
      <c r="G81" s="98" t="s">
        <v>9</v>
      </c>
      <c r="H81" s="98" t="str">
        <f>VLOOKUP(G81,CGS[],2,FALSE)</f>
        <v>COSCO</v>
      </c>
      <c r="I81" s="65">
        <v>1060</v>
      </c>
      <c r="J81" s="101">
        <f>IF(ISBLANK(Pricelist[[#This Row],[EBS]]),"",VALUE(LEFT(Pricelist[[#This Row],[EBS]],LEN(Pricelist[[#This Row],[EBS]])-LEN(Pricelist[[#This Row],[E2]])-1)))</f>
        <v>60</v>
      </c>
      <c r="K81" s="65">
        <v>2070</v>
      </c>
      <c r="L81" s="101">
        <f>IF(ISBLANK(Pricelist[[#This Row],[EBS]]),"",VALUE(RIGHT(Pricelist[[#This Row],[EBS]],3)))</f>
        <v>120</v>
      </c>
      <c r="M81" s="65">
        <v>2070</v>
      </c>
      <c r="N81" s="101">
        <f>IF(ISBLANK(Pricelist[[#This Row],[EBS]]),"",VALUE(RIGHT(Pricelist[[#This Row],[EBS]],3)))</f>
        <v>120</v>
      </c>
      <c r="O81" s="101" t="str">
        <f>IF(AND(Pricelist[[#This Row],[AE1]]&lt;&gt;"",OR(Pricelist[[#This Row],[区]]="南",Pricelist[[#This Row],[区]]="北")),MID(Pricelist[[#This Row],[AE1]],4,2),"")</f>
        <v>30</v>
      </c>
      <c r="P81" s="102">
        <v>1075</v>
      </c>
      <c r="Q81" s="103">
        <v>2100</v>
      </c>
      <c r="R81" s="103">
        <v>2100</v>
      </c>
      <c r="S81" s="104" t="s">
        <v>2199</v>
      </c>
      <c r="T81" s="104" t="s">
        <v>2201</v>
      </c>
      <c r="U81" s="105" t="s">
        <v>512</v>
      </c>
      <c r="V81" s="100" t="s">
        <v>504</v>
      </c>
      <c r="W81" s="106" t="s">
        <v>10</v>
      </c>
      <c r="X81" s="106" t="s">
        <v>11</v>
      </c>
      <c r="Y81" s="106">
        <v>28</v>
      </c>
      <c r="Z81" s="107">
        <v>43437</v>
      </c>
      <c r="AA81" s="108">
        <v>43448</v>
      </c>
      <c r="AB81" s="109" t="s">
        <v>2208</v>
      </c>
      <c r="AC81" s="109"/>
    </row>
    <row r="82" spans="1:29" hidden="1" x14ac:dyDescent="0.15">
      <c r="A82" s="98">
        <v>81</v>
      </c>
      <c r="B82" s="99">
        <v>112917</v>
      </c>
      <c r="C82" s="98" t="s">
        <v>6330</v>
      </c>
      <c r="D82" s="100" t="s">
        <v>412</v>
      </c>
      <c r="E82" s="100" t="s">
        <v>243</v>
      </c>
      <c r="F82" s="100" t="s">
        <v>254</v>
      </c>
      <c r="G82" s="98" t="s">
        <v>95</v>
      </c>
      <c r="H82" s="98" t="str">
        <f>VLOOKUP(G82,CGS[],2,FALSE)</f>
        <v>ZIM</v>
      </c>
      <c r="I82" s="65">
        <v>765</v>
      </c>
      <c r="J82" s="101">
        <f>IF(ISBLANK(Pricelist[[#This Row],[EBS]]),"",VALUE(LEFT(Pricelist[[#This Row],[EBS]],LEN(Pricelist[[#This Row],[EBS]])-LEN(Pricelist[[#This Row],[E2]])-1)))</f>
        <v>110</v>
      </c>
      <c r="K82" s="65">
        <v>1330</v>
      </c>
      <c r="L82" s="101">
        <f>IF(ISBLANK(Pricelist[[#This Row],[EBS]]),"",VALUE(RIGHT(Pricelist[[#This Row],[EBS]],3)))</f>
        <v>220</v>
      </c>
      <c r="M82" s="65">
        <v>1330</v>
      </c>
      <c r="N82" s="101">
        <f>IF(ISBLANK(Pricelist[[#This Row],[EBS]]),"",VALUE(RIGHT(Pricelist[[#This Row],[EBS]],3)))</f>
        <v>220</v>
      </c>
      <c r="O82" s="101" t="str">
        <f>IF(AND(Pricelist[[#This Row],[AE1]]&lt;&gt;"",OR(Pricelist[[#This Row],[区]]="南",Pricelist[[#This Row],[区]]="北")),MID(Pricelist[[#This Row],[AE1]],4,2),"")</f>
        <v>30</v>
      </c>
      <c r="P82" s="102">
        <v>825</v>
      </c>
      <c r="Q82" s="103">
        <v>1540</v>
      </c>
      <c r="R82" s="103">
        <v>1540</v>
      </c>
      <c r="S82" s="104" t="s">
        <v>3743</v>
      </c>
      <c r="T82" s="104" t="s">
        <v>2201</v>
      </c>
      <c r="U82" s="105" t="s">
        <v>512</v>
      </c>
      <c r="V82" s="100" t="s">
        <v>504</v>
      </c>
      <c r="W82" s="106" t="s">
        <v>10</v>
      </c>
      <c r="X82" s="106" t="s">
        <v>11</v>
      </c>
      <c r="Y82" s="106">
        <v>24</v>
      </c>
      <c r="Z82" s="107">
        <v>43438</v>
      </c>
      <c r="AA82" s="108">
        <v>43445</v>
      </c>
      <c r="AB82" s="109"/>
      <c r="AC82" s="109"/>
    </row>
    <row r="83" spans="1:29" hidden="1" x14ac:dyDescent="0.15">
      <c r="A83" s="98">
        <v>82</v>
      </c>
      <c r="B83" s="99">
        <v>112917</v>
      </c>
      <c r="C83" s="98" t="s">
        <v>6330</v>
      </c>
      <c r="D83" s="100" t="s">
        <v>412</v>
      </c>
      <c r="E83" s="100" t="s">
        <v>243</v>
      </c>
      <c r="F83" s="100" t="s">
        <v>254</v>
      </c>
      <c r="G83" s="98" t="s">
        <v>24</v>
      </c>
      <c r="H83" s="98" t="str">
        <f>VLOOKUP(G83,CGS[],2,FALSE)</f>
        <v>SAF</v>
      </c>
      <c r="I83" s="65">
        <v>1015</v>
      </c>
      <c r="J83" s="101">
        <f>IF(ISBLANK(Pricelist[[#This Row],[EBS]]),"",VALUE(LEFT(Pricelist[[#This Row],[EBS]],LEN(Pricelist[[#This Row],[EBS]])-LEN(Pricelist[[#This Row],[E2]])-1)))</f>
        <v>60</v>
      </c>
      <c r="K83" s="65">
        <v>2030</v>
      </c>
      <c r="L83" s="101">
        <f>IF(ISBLANK(Pricelist[[#This Row],[EBS]]),"",VALUE(RIGHT(Pricelist[[#This Row],[EBS]],3)))</f>
        <v>120</v>
      </c>
      <c r="M83" s="65">
        <v>2030</v>
      </c>
      <c r="N83" s="101">
        <f>IF(ISBLANK(Pricelist[[#This Row],[EBS]]),"",VALUE(RIGHT(Pricelist[[#This Row],[EBS]],3)))</f>
        <v>120</v>
      </c>
      <c r="O83" s="101" t="str">
        <f>IF(AND(Pricelist[[#This Row],[AE1]]&lt;&gt;"",OR(Pricelist[[#This Row],[区]]="南",Pricelist[[#This Row],[区]]="北")),MID(Pricelist[[#This Row],[AE1]],4,2),"")</f>
        <v/>
      </c>
      <c r="P83" s="102">
        <v>1015</v>
      </c>
      <c r="Q83" s="103">
        <v>2030</v>
      </c>
      <c r="R83" s="103">
        <v>2030</v>
      </c>
      <c r="S83" s="104" t="s">
        <v>2199</v>
      </c>
      <c r="T83" s="104"/>
      <c r="U83" s="105" t="s">
        <v>508</v>
      </c>
      <c r="V83" s="100" t="s">
        <v>507</v>
      </c>
      <c r="W83" s="106" t="s">
        <v>10</v>
      </c>
      <c r="X83" s="106" t="s">
        <v>11</v>
      </c>
      <c r="Y83" s="106">
        <v>33</v>
      </c>
      <c r="Z83" s="107">
        <v>43435</v>
      </c>
      <c r="AA83" s="108">
        <v>43449</v>
      </c>
      <c r="AB83" s="109" t="s">
        <v>246</v>
      </c>
      <c r="AC83" s="109"/>
    </row>
    <row r="84" spans="1:29" hidden="1" x14ac:dyDescent="0.15">
      <c r="A84" s="98">
        <v>83</v>
      </c>
      <c r="B84" s="99">
        <v>112917</v>
      </c>
      <c r="C84" s="98" t="s">
        <v>6330</v>
      </c>
      <c r="D84" s="100" t="s">
        <v>412</v>
      </c>
      <c r="E84" s="100" t="s">
        <v>243</v>
      </c>
      <c r="F84" s="100" t="s">
        <v>254</v>
      </c>
      <c r="G84" s="98" t="s">
        <v>8</v>
      </c>
      <c r="H84" s="98" t="str">
        <f>VLOOKUP(G84,CGS[],2,FALSE)</f>
        <v>CMA</v>
      </c>
      <c r="I84" s="65">
        <v>1150</v>
      </c>
      <c r="J84" s="101">
        <f>IF(ISBLANK(Pricelist[[#This Row],[EBS]]),"",VALUE(LEFT(Pricelist[[#This Row],[EBS]],LEN(Pricelist[[#This Row],[EBS]])-LEN(Pricelist[[#This Row],[E2]])-1)))</f>
        <v>55</v>
      </c>
      <c r="K84" s="65">
        <v>2250</v>
      </c>
      <c r="L84" s="101">
        <f>IF(ISBLANK(Pricelist[[#This Row],[EBS]]),"",VALUE(RIGHT(Pricelist[[#This Row],[EBS]],3)))</f>
        <v>110</v>
      </c>
      <c r="M84" s="65">
        <v>2250</v>
      </c>
      <c r="N84" s="101">
        <f>IF(ISBLANK(Pricelist[[#This Row],[EBS]]),"",VALUE(RIGHT(Pricelist[[#This Row],[EBS]],3)))</f>
        <v>110</v>
      </c>
      <c r="O84" s="101" t="str">
        <f>IF(AND(Pricelist[[#This Row],[AE1]]&lt;&gt;"",OR(Pricelist[[#This Row],[区]]="南",Pricelist[[#This Row],[区]]="北")),MID(Pricelist[[#This Row],[AE1]],4,2),"")</f>
        <v>35</v>
      </c>
      <c r="P84" s="102">
        <v>1300</v>
      </c>
      <c r="Q84" s="103">
        <v>2500</v>
      </c>
      <c r="R84" s="103">
        <v>2500</v>
      </c>
      <c r="S84" s="104" t="s">
        <v>2204</v>
      </c>
      <c r="T84" s="104" t="s">
        <v>2200</v>
      </c>
      <c r="U84" s="105" t="s">
        <v>508</v>
      </c>
      <c r="V84" s="100" t="s">
        <v>507</v>
      </c>
      <c r="W84" s="106" t="s">
        <v>10</v>
      </c>
      <c r="X84" s="106" t="s">
        <v>11</v>
      </c>
      <c r="Y84" s="106">
        <v>30</v>
      </c>
      <c r="Z84" s="107">
        <v>43435</v>
      </c>
      <c r="AA84" s="108">
        <v>43465</v>
      </c>
      <c r="AB84" s="109" t="s">
        <v>255</v>
      </c>
      <c r="AC84" s="109"/>
    </row>
    <row r="85" spans="1:29" ht="25.5" hidden="1" x14ac:dyDescent="0.15">
      <c r="A85" s="98">
        <v>84</v>
      </c>
      <c r="B85" s="99">
        <v>112917</v>
      </c>
      <c r="C85" s="98" t="s">
        <v>6330</v>
      </c>
      <c r="D85" s="100" t="s">
        <v>412</v>
      </c>
      <c r="E85" s="100" t="s">
        <v>243</v>
      </c>
      <c r="F85" s="100" t="s">
        <v>254</v>
      </c>
      <c r="G85" s="98" t="s">
        <v>17</v>
      </c>
      <c r="H85" s="98" t="str">
        <f>VLOOKUP(G85,CGS[],2,FALSE)</f>
        <v>MSC</v>
      </c>
      <c r="I85" s="65">
        <v>1125</v>
      </c>
      <c r="J85" s="101">
        <f>IF(ISBLANK(Pricelist[[#This Row],[EBS]]),"",VALUE(LEFT(Pricelist[[#This Row],[EBS]],LEN(Pricelist[[#This Row],[EBS]])-LEN(Pricelist[[#This Row],[E2]])-1)))</f>
        <v>100</v>
      </c>
      <c r="K85" s="65">
        <v>2250</v>
      </c>
      <c r="L85" s="101">
        <f>IF(ISBLANK(Pricelist[[#This Row],[EBS]]),"",VALUE(RIGHT(Pricelist[[#This Row],[EBS]],3)))</f>
        <v>200</v>
      </c>
      <c r="M85" s="65">
        <v>2250</v>
      </c>
      <c r="N85" s="101">
        <f>IF(ISBLANK(Pricelist[[#This Row],[EBS]]),"",VALUE(RIGHT(Pricelist[[#This Row],[EBS]],3)))</f>
        <v>200</v>
      </c>
      <c r="O85" s="101" t="str">
        <f>IF(AND(Pricelist[[#This Row],[AE1]]&lt;&gt;"",OR(Pricelist[[#This Row],[区]]="南",Pricelist[[#This Row],[区]]="北")),MID(Pricelist[[#This Row],[AE1]],4,2),"")</f>
        <v>30</v>
      </c>
      <c r="P85" s="102">
        <v>1125</v>
      </c>
      <c r="Q85" s="103">
        <v>2250</v>
      </c>
      <c r="R85" s="103">
        <v>2250</v>
      </c>
      <c r="S85" s="104" t="s">
        <v>6328</v>
      </c>
      <c r="T85" s="104" t="s">
        <v>2201</v>
      </c>
      <c r="U85" s="105" t="s">
        <v>506</v>
      </c>
      <c r="V85" s="100" t="s">
        <v>504</v>
      </c>
      <c r="W85" s="106" t="s">
        <v>256</v>
      </c>
      <c r="X85" s="106" t="s">
        <v>257</v>
      </c>
      <c r="Y85" s="106">
        <v>25</v>
      </c>
      <c r="Z85" s="107">
        <v>43435</v>
      </c>
      <c r="AA85" s="108">
        <v>43448</v>
      </c>
      <c r="AB85" s="109" t="s">
        <v>2209</v>
      </c>
      <c r="AC85" s="109" t="s">
        <v>56</v>
      </c>
    </row>
    <row r="86" spans="1:29" ht="25.5" hidden="1" x14ac:dyDescent="0.15">
      <c r="A86" s="98">
        <v>85</v>
      </c>
      <c r="B86" s="99">
        <v>112917</v>
      </c>
      <c r="C86" s="98" t="s">
        <v>6330</v>
      </c>
      <c r="D86" s="100" t="s">
        <v>412</v>
      </c>
      <c r="E86" s="100" t="s">
        <v>243</v>
      </c>
      <c r="F86" s="100" t="s">
        <v>254</v>
      </c>
      <c r="G86" s="98" t="s">
        <v>247</v>
      </c>
      <c r="H86" s="98" t="str">
        <f>VLOOKUP(G86,CGS[],2,FALSE)</f>
        <v>HBS</v>
      </c>
      <c r="I86" s="65">
        <v>825</v>
      </c>
      <c r="J86" s="101">
        <f>IF(ISBLANK(Pricelist[[#This Row],[EBS]]),"",VALUE(LEFT(Pricelist[[#This Row],[EBS]],LEN(Pricelist[[#This Row],[EBS]])-LEN(Pricelist[[#This Row],[E2]])-1)))</f>
        <v>60</v>
      </c>
      <c r="K86" s="65">
        <v>1575</v>
      </c>
      <c r="L86" s="101">
        <f>IF(ISBLANK(Pricelist[[#This Row],[EBS]]),"",VALUE(RIGHT(Pricelist[[#This Row],[EBS]],3)))</f>
        <v>120</v>
      </c>
      <c r="M86" s="65">
        <v>1575</v>
      </c>
      <c r="N86" s="101">
        <f>IF(ISBLANK(Pricelist[[#This Row],[EBS]]),"",VALUE(RIGHT(Pricelist[[#This Row],[EBS]],3)))</f>
        <v>120</v>
      </c>
      <c r="O86" s="101" t="str">
        <f>IF(AND(Pricelist[[#This Row],[AE1]]&lt;&gt;"",OR(Pricelist[[#This Row],[区]]="南",Pricelist[[#This Row],[区]]="北")),MID(Pricelist[[#This Row],[AE1]],4,2),"")</f>
        <v>35</v>
      </c>
      <c r="P86" s="102">
        <v>850</v>
      </c>
      <c r="Q86" s="103">
        <v>1625</v>
      </c>
      <c r="R86" s="103">
        <v>1625</v>
      </c>
      <c r="S86" s="104" t="s">
        <v>2199</v>
      </c>
      <c r="T86" s="104" t="s">
        <v>2200</v>
      </c>
      <c r="U86" s="105" t="s">
        <v>508</v>
      </c>
      <c r="V86" s="100" t="s">
        <v>507</v>
      </c>
      <c r="W86" s="106" t="s">
        <v>10</v>
      </c>
      <c r="X86" s="106" t="s">
        <v>11</v>
      </c>
      <c r="Y86" s="106">
        <v>25</v>
      </c>
      <c r="Z86" s="107">
        <v>43437</v>
      </c>
      <c r="AA86" s="108">
        <v>43443</v>
      </c>
      <c r="AB86" s="109" t="s">
        <v>4767</v>
      </c>
      <c r="AC86" s="109"/>
    </row>
    <row r="87" spans="1:29" hidden="1" x14ac:dyDescent="0.15">
      <c r="A87" s="98">
        <v>86</v>
      </c>
      <c r="B87" s="99">
        <v>112917</v>
      </c>
      <c r="C87" s="98" t="s">
        <v>6330</v>
      </c>
      <c r="D87" s="100" t="s">
        <v>258</v>
      </c>
      <c r="E87" s="100" t="s">
        <v>64</v>
      </c>
      <c r="F87" s="100" t="s">
        <v>259</v>
      </c>
      <c r="G87" s="98" t="s">
        <v>24</v>
      </c>
      <c r="H87" s="98" t="str">
        <f>VLOOKUP(G87,CGS[],2,FALSE)</f>
        <v>SAF</v>
      </c>
      <c r="I87" s="65">
        <v>1550</v>
      </c>
      <c r="J87" s="101">
        <f>IF(ISBLANK(Pricelist[[#This Row],[EBS]]),"",VALUE(LEFT(Pricelist[[#This Row],[EBS]],LEN(Pricelist[[#This Row],[EBS]])-LEN(Pricelist[[#This Row],[E2]])-1)))</f>
        <v>60</v>
      </c>
      <c r="K87" s="65">
        <v>2850</v>
      </c>
      <c r="L87" s="101">
        <f>IF(ISBLANK(Pricelist[[#This Row],[EBS]]),"",VALUE(RIGHT(Pricelist[[#This Row],[EBS]],3)))</f>
        <v>120</v>
      </c>
      <c r="M87" s="65">
        <v>2850</v>
      </c>
      <c r="N87" s="101">
        <f>IF(ISBLANK(Pricelist[[#This Row],[EBS]]),"",VALUE(RIGHT(Pricelist[[#This Row],[EBS]],3)))</f>
        <v>120</v>
      </c>
      <c r="O87" s="101" t="str">
        <f>IF(AND(Pricelist[[#This Row],[AE1]]&lt;&gt;"",OR(Pricelist[[#This Row],[区]]="南",Pricelist[[#This Row],[区]]="北")),MID(Pricelist[[#This Row],[AE1]],4,2),"")</f>
        <v/>
      </c>
      <c r="P87" s="102">
        <v>1550</v>
      </c>
      <c r="Q87" s="103">
        <v>2850</v>
      </c>
      <c r="R87" s="103">
        <v>2850</v>
      </c>
      <c r="S87" s="104" t="s">
        <v>2199</v>
      </c>
      <c r="T87" s="104"/>
      <c r="U87" s="105" t="s">
        <v>511</v>
      </c>
      <c r="V87" s="100" t="s">
        <v>507</v>
      </c>
      <c r="W87" s="106" t="s">
        <v>48</v>
      </c>
      <c r="X87" s="106" t="s">
        <v>49</v>
      </c>
      <c r="Y87" s="106">
        <v>34</v>
      </c>
      <c r="Z87" s="107">
        <v>43435</v>
      </c>
      <c r="AA87" s="108">
        <v>43449</v>
      </c>
      <c r="AB87" s="109" t="s">
        <v>260</v>
      </c>
      <c r="AC87" s="109"/>
    </row>
    <row r="88" spans="1:29" hidden="1" x14ac:dyDescent="0.15">
      <c r="A88" s="98">
        <v>87</v>
      </c>
      <c r="B88" s="99">
        <v>112917</v>
      </c>
      <c r="C88" s="98" t="s">
        <v>6330</v>
      </c>
      <c r="D88" s="100" t="s">
        <v>258</v>
      </c>
      <c r="E88" s="100" t="s">
        <v>64</v>
      </c>
      <c r="F88" s="100" t="s">
        <v>259</v>
      </c>
      <c r="G88" s="98" t="s">
        <v>21</v>
      </c>
      <c r="H88" s="98" t="str">
        <f>VLOOKUP(G88,CGS[],2,FALSE)</f>
        <v>MSK</v>
      </c>
      <c r="I88" s="65">
        <v>1585</v>
      </c>
      <c r="J88" s="101" t="str">
        <f>IF(ISBLANK(Pricelist[[#This Row],[EBS]]),"",VALUE(LEFT(Pricelist[[#This Row],[EBS]],LEN(Pricelist[[#This Row],[EBS]])-LEN(Pricelist[[#This Row],[E2]])-1)))</f>
        <v/>
      </c>
      <c r="K88" s="65">
        <v>2920</v>
      </c>
      <c r="L88" s="101" t="str">
        <f>IF(ISBLANK(Pricelist[[#This Row],[EBS]]),"",VALUE(RIGHT(Pricelist[[#This Row],[EBS]],3)))</f>
        <v/>
      </c>
      <c r="M88" s="65">
        <v>2920</v>
      </c>
      <c r="N88" s="101" t="str">
        <f>IF(ISBLANK(Pricelist[[#This Row],[EBS]]),"",VALUE(RIGHT(Pricelist[[#This Row],[EBS]],3)))</f>
        <v/>
      </c>
      <c r="O88" s="101" t="str">
        <f>IF(AND(Pricelist[[#This Row],[AE1]]&lt;&gt;"",OR(Pricelist[[#This Row],[区]]="南",Pricelist[[#This Row],[区]]="北")),MID(Pricelist[[#This Row],[AE1]],4,2),"")</f>
        <v/>
      </c>
      <c r="P88" s="102">
        <v>1610</v>
      </c>
      <c r="Q88" s="103">
        <v>2970</v>
      </c>
      <c r="R88" s="103">
        <v>2970</v>
      </c>
      <c r="S88" s="104"/>
      <c r="T88" s="104"/>
      <c r="U88" s="105" t="s">
        <v>511</v>
      </c>
      <c r="V88" s="100" t="s">
        <v>507</v>
      </c>
      <c r="W88" s="106" t="s">
        <v>48</v>
      </c>
      <c r="X88" s="106" t="s">
        <v>49</v>
      </c>
      <c r="Y88" s="106">
        <v>34</v>
      </c>
      <c r="Z88" s="107">
        <v>43435</v>
      </c>
      <c r="AA88" s="108">
        <v>43449</v>
      </c>
      <c r="AB88" s="109" t="s">
        <v>261</v>
      </c>
      <c r="AC88" s="109"/>
    </row>
    <row r="89" spans="1:29" hidden="1" x14ac:dyDescent="0.15">
      <c r="A89" s="98">
        <v>88</v>
      </c>
      <c r="B89" s="99">
        <v>112917</v>
      </c>
      <c r="C89" s="98" t="s">
        <v>6330</v>
      </c>
      <c r="D89" s="100" t="s">
        <v>258</v>
      </c>
      <c r="E89" s="100" t="s">
        <v>64</v>
      </c>
      <c r="F89" s="100" t="s">
        <v>259</v>
      </c>
      <c r="G89" s="98" t="s">
        <v>18</v>
      </c>
      <c r="H89" s="98" t="str">
        <f>VLOOKUP(G89,CGS[],2,FALSE)</f>
        <v>PIL</v>
      </c>
      <c r="I89" s="65">
        <v>1710</v>
      </c>
      <c r="J89" s="101" t="str">
        <f>IF(ISBLANK(Pricelist[[#This Row],[EBS]]),"",VALUE(LEFT(Pricelist[[#This Row],[EBS]],LEN(Pricelist[[#This Row],[EBS]])-LEN(Pricelist[[#This Row],[E2]])-1)))</f>
        <v/>
      </c>
      <c r="K89" s="65">
        <v>2910</v>
      </c>
      <c r="L89" s="101" t="str">
        <f>IF(ISBLANK(Pricelist[[#This Row],[EBS]]),"",VALUE(RIGHT(Pricelist[[#This Row],[EBS]],3)))</f>
        <v/>
      </c>
      <c r="M89" s="65">
        <v>2910</v>
      </c>
      <c r="N89" s="101" t="str">
        <f>IF(ISBLANK(Pricelist[[#This Row],[EBS]]),"",VALUE(RIGHT(Pricelist[[#This Row],[EBS]],3)))</f>
        <v/>
      </c>
      <c r="O89" s="101" t="str">
        <f>IF(AND(Pricelist[[#This Row],[AE1]]&lt;&gt;"",OR(Pricelist[[#This Row],[区]]="南",Pricelist[[#This Row],[区]]="北")),MID(Pricelist[[#This Row],[AE1]],4,2),"")</f>
        <v/>
      </c>
      <c r="P89" s="102">
        <v>1735</v>
      </c>
      <c r="Q89" s="103">
        <v>2960</v>
      </c>
      <c r="R89" s="103">
        <v>2960</v>
      </c>
      <c r="S89" s="104"/>
      <c r="T89" s="104"/>
      <c r="U89" s="105" t="s">
        <v>508</v>
      </c>
      <c r="V89" s="100" t="s">
        <v>504</v>
      </c>
      <c r="W89" s="106" t="s">
        <v>22</v>
      </c>
      <c r="X89" s="106" t="s">
        <v>23</v>
      </c>
      <c r="Y89" s="106">
        <v>40</v>
      </c>
      <c r="Z89" s="107">
        <v>43419</v>
      </c>
      <c r="AA89" s="108">
        <v>43434</v>
      </c>
      <c r="AB89" s="109"/>
      <c r="AC89" s="109"/>
    </row>
    <row r="90" spans="1:29" ht="25.5" hidden="1" x14ac:dyDescent="0.15">
      <c r="A90" s="98">
        <v>89</v>
      </c>
      <c r="B90" s="99">
        <v>112917</v>
      </c>
      <c r="C90" s="98" t="s">
        <v>6330</v>
      </c>
      <c r="D90" s="100" t="s">
        <v>258</v>
      </c>
      <c r="E90" s="100" t="s">
        <v>64</v>
      </c>
      <c r="F90" s="100" t="s">
        <v>259</v>
      </c>
      <c r="G90" s="98" t="s">
        <v>8</v>
      </c>
      <c r="H90" s="98" t="str">
        <f>VLOOKUP(G90,CGS[],2,FALSE)</f>
        <v>CMA</v>
      </c>
      <c r="I90" s="65">
        <v>1425</v>
      </c>
      <c r="J90" s="101">
        <f>IF(ISBLANK(Pricelist[[#This Row],[EBS]]),"",VALUE(LEFT(Pricelist[[#This Row],[EBS]],LEN(Pricelist[[#This Row],[EBS]])-LEN(Pricelist[[#This Row],[E2]])-1)))</f>
        <v>55</v>
      </c>
      <c r="K90" s="65">
        <v>2600</v>
      </c>
      <c r="L90" s="101">
        <f>IF(ISBLANK(Pricelist[[#This Row],[EBS]]),"",VALUE(RIGHT(Pricelist[[#This Row],[EBS]],3)))</f>
        <v>110</v>
      </c>
      <c r="M90" s="65">
        <v>2600</v>
      </c>
      <c r="N90" s="101">
        <f>IF(ISBLANK(Pricelist[[#This Row],[EBS]]),"",VALUE(RIGHT(Pricelist[[#This Row],[EBS]],3)))</f>
        <v>110</v>
      </c>
      <c r="O90" s="101" t="str">
        <f>IF(AND(Pricelist[[#This Row],[AE1]]&lt;&gt;"",OR(Pricelist[[#This Row],[区]]="南",Pricelist[[#This Row],[区]]="北")),MID(Pricelist[[#This Row],[AE1]],4,2),"")</f>
        <v/>
      </c>
      <c r="P90" s="102">
        <v>1425</v>
      </c>
      <c r="Q90" s="103">
        <v>2600</v>
      </c>
      <c r="R90" s="103">
        <v>2600</v>
      </c>
      <c r="S90" s="104" t="s">
        <v>2204</v>
      </c>
      <c r="T90" s="104"/>
      <c r="U90" s="105" t="s">
        <v>515</v>
      </c>
      <c r="V90" s="100" t="s">
        <v>2194</v>
      </c>
      <c r="W90" s="106" t="s">
        <v>2210</v>
      </c>
      <c r="X90" s="106" t="s">
        <v>2195</v>
      </c>
      <c r="Y90" s="106">
        <v>34</v>
      </c>
      <c r="Z90" s="107">
        <v>43435</v>
      </c>
      <c r="AA90" s="108">
        <v>43448</v>
      </c>
      <c r="AB90" s="109" t="s">
        <v>2212</v>
      </c>
      <c r="AC90" s="109"/>
    </row>
    <row r="91" spans="1:29" hidden="1" x14ac:dyDescent="0.15">
      <c r="A91" s="98">
        <v>90</v>
      </c>
      <c r="B91" s="99">
        <v>112917</v>
      </c>
      <c r="C91" s="98" t="s">
        <v>6330</v>
      </c>
      <c r="D91" s="100" t="s">
        <v>258</v>
      </c>
      <c r="E91" s="100" t="s">
        <v>64</v>
      </c>
      <c r="F91" s="100" t="s">
        <v>259</v>
      </c>
      <c r="G91" s="98" t="s">
        <v>17</v>
      </c>
      <c r="H91" s="98" t="str">
        <f>VLOOKUP(G91,CGS[],2,FALSE)</f>
        <v>MSC</v>
      </c>
      <c r="I91" s="65">
        <v>1225</v>
      </c>
      <c r="J91" s="101">
        <f>IF(ISBLANK(Pricelist[[#This Row],[EBS]]),"",VALUE(LEFT(Pricelist[[#This Row],[EBS]],LEN(Pricelist[[#This Row],[EBS]])-LEN(Pricelist[[#This Row],[E2]])-1)))</f>
        <v>100</v>
      </c>
      <c r="K91" s="65">
        <v>2050</v>
      </c>
      <c r="L91" s="101">
        <f>IF(ISBLANK(Pricelist[[#This Row],[EBS]]),"",VALUE(RIGHT(Pricelist[[#This Row],[EBS]],3)))</f>
        <v>200</v>
      </c>
      <c r="M91" s="65">
        <v>2050</v>
      </c>
      <c r="N91" s="101">
        <f>IF(ISBLANK(Pricelist[[#This Row],[EBS]]),"",VALUE(RIGHT(Pricelist[[#This Row],[EBS]],3)))</f>
        <v>200</v>
      </c>
      <c r="O91" s="101" t="str">
        <f>IF(AND(Pricelist[[#This Row],[AE1]]&lt;&gt;"",OR(Pricelist[[#This Row],[区]]="南",Pricelist[[#This Row],[区]]="北")),MID(Pricelist[[#This Row],[AE1]],4,2),"")</f>
        <v>30</v>
      </c>
      <c r="P91" s="102">
        <v>1225</v>
      </c>
      <c r="Q91" s="103">
        <v>2050</v>
      </c>
      <c r="R91" s="103">
        <v>2050</v>
      </c>
      <c r="S91" s="104" t="s">
        <v>6328</v>
      </c>
      <c r="T91" s="104" t="s">
        <v>2201</v>
      </c>
      <c r="U91" s="105" t="s">
        <v>506</v>
      </c>
      <c r="V91" s="100" t="s">
        <v>504</v>
      </c>
      <c r="W91" s="106" t="s">
        <v>256</v>
      </c>
      <c r="X91" s="106" t="s">
        <v>257</v>
      </c>
      <c r="Y91" s="106">
        <v>32</v>
      </c>
      <c r="Z91" s="107">
        <v>43435</v>
      </c>
      <c r="AA91" s="108">
        <v>43448</v>
      </c>
      <c r="AB91" s="109"/>
      <c r="AC91" s="109" t="s">
        <v>56</v>
      </c>
    </row>
    <row r="92" spans="1:29" hidden="1" x14ac:dyDescent="0.15">
      <c r="A92" s="98">
        <v>91</v>
      </c>
      <c r="B92" s="99">
        <v>112917</v>
      </c>
      <c r="C92" s="98" t="s">
        <v>6330</v>
      </c>
      <c r="D92" s="100" t="s">
        <v>262</v>
      </c>
      <c r="E92" s="100" t="s">
        <v>64</v>
      </c>
      <c r="F92" s="100" t="s">
        <v>263</v>
      </c>
      <c r="G92" s="98" t="s">
        <v>21</v>
      </c>
      <c r="H92" s="98" t="str">
        <f>VLOOKUP(G92,CGS[],2,FALSE)</f>
        <v>MSK</v>
      </c>
      <c r="I92" s="65">
        <v>1585</v>
      </c>
      <c r="J92" s="101" t="str">
        <f>IF(ISBLANK(Pricelist[[#This Row],[EBS]]),"",VALUE(LEFT(Pricelist[[#This Row],[EBS]],LEN(Pricelist[[#This Row],[EBS]])-LEN(Pricelist[[#This Row],[E2]])-1)))</f>
        <v/>
      </c>
      <c r="K92" s="65">
        <v>2920</v>
      </c>
      <c r="L92" s="101" t="str">
        <f>IF(ISBLANK(Pricelist[[#This Row],[EBS]]),"",VALUE(RIGHT(Pricelist[[#This Row],[EBS]],3)))</f>
        <v/>
      </c>
      <c r="M92" s="65">
        <v>2920</v>
      </c>
      <c r="N92" s="101" t="str">
        <f>IF(ISBLANK(Pricelist[[#This Row],[EBS]]),"",VALUE(RIGHT(Pricelist[[#This Row],[EBS]],3)))</f>
        <v/>
      </c>
      <c r="O92" s="101" t="str">
        <f>IF(AND(Pricelist[[#This Row],[AE1]]&lt;&gt;"",OR(Pricelist[[#This Row],[区]]="南",Pricelist[[#This Row],[区]]="北")),MID(Pricelist[[#This Row],[AE1]],4,2),"")</f>
        <v/>
      </c>
      <c r="P92" s="102">
        <v>1610</v>
      </c>
      <c r="Q92" s="103">
        <v>2970</v>
      </c>
      <c r="R92" s="103">
        <v>2970</v>
      </c>
      <c r="S92" s="104"/>
      <c r="T92" s="104"/>
      <c r="U92" s="105" t="s">
        <v>510</v>
      </c>
      <c r="V92" s="100" t="s">
        <v>507</v>
      </c>
      <c r="W92" s="106" t="s">
        <v>48</v>
      </c>
      <c r="X92" s="106" t="s">
        <v>49</v>
      </c>
      <c r="Y92" s="106">
        <v>44</v>
      </c>
      <c r="Z92" s="107">
        <v>43435</v>
      </c>
      <c r="AA92" s="108">
        <v>43449</v>
      </c>
      <c r="AB92" s="109" t="s">
        <v>261</v>
      </c>
      <c r="AC92" s="109"/>
    </row>
    <row r="93" spans="1:29" hidden="1" x14ac:dyDescent="0.15">
      <c r="A93" s="98">
        <v>92</v>
      </c>
      <c r="B93" s="99">
        <v>112917</v>
      </c>
      <c r="C93" s="98" t="s">
        <v>6330</v>
      </c>
      <c r="D93" s="100" t="s">
        <v>262</v>
      </c>
      <c r="E93" s="100" t="s">
        <v>64</v>
      </c>
      <c r="F93" s="100" t="s">
        <v>263</v>
      </c>
      <c r="G93" s="98" t="s">
        <v>24</v>
      </c>
      <c r="H93" s="98" t="str">
        <f>VLOOKUP(G93,CGS[],2,FALSE)</f>
        <v>SAF</v>
      </c>
      <c r="I93" s="65">
        <v>1550</v>
      </c>
      <c r="J93" s="101">
        <f>IF(ISBLANK(Pricelist[[#This Row],[EBS]]),"",VALUE(LEFT(Pricelist[[#This Row],[EBS]],LEN(Pricelist[[#This Row],[EBS]])-LEN(Pricelist[[#This Row],[E2]])-1)))</f>
        <v>60</v>
      </c>
      <c r="K93" s="65">
        <v>2850</v>
      </c>
      <c r="L93" s="101">
        <f>IF(ISBLANK(Pricelist[[#This Row],[EBS]]),"",VALUE(RIGHT(Pricelist[[#This Row],[EBS]],3)))</f>
        <v>120</v>
      </c>
      <c r="M93" s="65">
        <v>2850</v>
      </c>
      <c r="N93" s="101">
        <f>IF(ISBLANK(Pricelist[[#This Row],[EBS]]),"",VALUE(RIGHT(Pricelist[[#This Row],[EBS]],3)))</f>
        <v>120</v>
      </c>
      <c r="O93" s="101" t="str">
        <f>IF(AND(Pricelist[[#This Row],[AE1]]&lt;&gt;"",OR(Pricelist[[#This Row],[区]]="南",Pricelist[[#This Row],[区]]="北")),MID(Pricelist[[#This Row],[AE1]],4,2),"")</f>
        <v/>
      </c>
      <c r="P93" s="102">
        <v>1550</v>
      </c>
      <c r="Q93" s="103">
        <v>2850</v>
      </c>
      <c r="R93" s="103">
        <v>2850</v>
      </c>
      <c r="S93" s="104" t="s">
        <v>2199</v>
      </c>
      <c r="T93" s="104"/>
      <c r="U93" s="105" t="s">
        <v>510</v>
      </c>
      <c r="V93" s="100" t="s">
        <v>507</v>
      </c>
      <c r="W93" s="106" t="s">
        <v>48</v>
      </c>
      <c r="X93" s="106" t="s">
        <v>49</v>
      </c>
      <c r="Y93" s="106">
        <v>44</v>
      </c>
      <c r="Z93" s="107">
        <v>43435</v>
      </c>
      <c r="AA93" s="108">
        <v>43449</v>
      </c>
      <c r="AB93" s="109" t="s">
        <v>260</v>
      </c>
      <c r="AC93" s="109"/>
    </row>
    <row r="94" spans="1:29" ht="25.5" hidden="1" x14ac:dyDescent="0.15">
      <c r="A94" s="98">
        <v>93</v>
      </c>
      <c r="B94" s="99">
        <v>112917</v>
      </c>
      <c r="C94" s="98" t="s">
        <v>6330</v>
      </c>
      <c r="D94" s="100" t="s">
        <v>262</v>
      </c>
      <c r="E94" s="100" t="s">
        <v>64</v>
      </c>
      <c r="F94" s="100" t="s">
        <v>263</v>
      </c>
      <c r="G94" s="98" t="s">
        <v>8</v>
      </c>
      <c r="H94" s="98" t="str">
        <f>VLOOKUP(G94,CGS[],2,FALSE)</f>
        <v>CMA</v>
      </c>
      <c r="I94" s="65">
        <v>1425</v>
      </c>
      <c r="J94" s="101">
        <f>IF(ISBLANK(Pricelist[[#This Row],[EBS]]),"",VALUE(LEFT(Pricelist[[#This Row],[EBS]],LEN(Pricelist[[#This Row],[EBS]])-LEN(Pricelist[[#This Row],[E2]])-1)))</f>
        <v>55</v>
      </c>
      <c r="K94" s="65">
        <v>2600</v>
      </c>
      <c r="L94" s="101">
        <f>IF(ISBLANK(Pricelist[[#This Row],[EBS]]),"",VALUE(RIGHT(Pricelist[[#This Row],[EBS]],3)))</f>
        <v>110</v>
      </c>
      <c r="M94" s="65">
        <v>2600</v>
      </c>
      <c r="N94" s="101">
        <f>IF(ISBLANK(Pricelist[[#This Row],[EBS]]),"",VALUE(RIGHT(Pricelist[[#This Row],[EBS]],3)))</f>
        <v>110</v>
      </c>
      <c r="O94" s="101" t="str">
        <f>IF(AND(Pricelist[[#This Row],[AE1]]&lt;&gt;"",OR(Pricelist[[#This Row],[区]]="南",Pricelist[[#This Row],[区]]="北")),MID(Pricelist[[#This Row],[AE1]],4,2),"")</f>
        <v/>
      </c>
      <c r="P94" s="102">
        <v>1425</v>
      </c>
      <c r="Q94" s="103">
        <v>2600</v>
      </c>
      <c r="R94" s="103">
        <v>2600</v>
      </c>
      <c r="S94" s="104" t="s">
        <v>2204</v>
      </c>
      <c r="T94" s="104"/>
      <c r="U94" s="105" t="s">
        <v>515</v>
      </c>
      <c r="V94" s="100" t="s">
        <v>2194</v>
      </c>
      <c r="W94" s="106" t="s">
        <v>2210</v>
      </c>
      <c r="X94" s="106" t="s">
        <v>2195</v>
      </c>
      <c r="Y94" s="106">
        <v>36</v>
      </c>
      <c r="Z94" s="107">
        <v>43435</v>
      </c>
      <c r="AA94" s="108">
        <v>43448</v>
      </c>
      <c r="AB94" s="109" t="s">
        <v>2212</v>
      </c>
      <c r="AC94" s="109"/>
    </row>
    <row r="95" spans="1:29" hidden="1" x14ac:dyDescent="0.15">
      <c r="A95" s="98">
        <v>94</v>
      </c>
      <c r="B95" s="99">
        <v>112917</v>
      </c>
      <c r="C95" s="98" t="s">
        <v>6330</v>
      </c>
      <c r="D95" s="100" t="s">
        <v>262</v>
      </c>
      <c r="E95" s="100" t="s">
        <v>64</v>
      </c>
      <c r="F95" s="100" t="s">
        <v>263</v>
      </c>
      <c r="G95" s="98" t="s">
        <v>17</v>
      </c>
      <c r="H95" s="98" t="str">
        <f>VLOOKUP(G95,CGS[],2,FALSE)</f>
        <v>MSC</v>
      </c>
      <c r="I95" s="65">
        <v>1225</v>
      </c>
      <c r="J95" s="101">
        <f>IF(ISBLANK(Pricelist[[#This Row],[EBS]]),"",VALUE(LEFT(Pricelist[[#This Row],[EBS]],LEN(Pricelist[[#This Row],[EBS]])-LEN(Pricelist[[#This Row],[E2]])-1)))</f>
        <v>100</v>
      </c>
      <c r="K95" s="65">
        <v>2050</v>
      </c>
      <c r="L95" s="101">
        <f>IF(ISBLANK(Pricelist[[#This Row],[EBS]]),"",VALUE(RIGHT(Pricelist[[#This Row],[EBS]],3)))</f>
        <v>200</v>
      </c>
      <c r="M95" s="65">
        <v>2050</v>
      </c>
      <c r="N95" s="101">
        <f>IF(ISBLANK(Pricelist[[#This Row],[EBS]]),"",VALUE(RIGHT(Pricelist[[#This Row],[EBS]],3)))</f>
        <v>200</v>
      </c>
      <c r="O95" s="101" t="str">
        <f>IF(AND(Pricelist[[#This Row],[AE1]]&lt;&gt;"",OR(Pricelist[[#This Row],[区]]="南",Pricelist[[#This Row],[区]]="北")),MID(Pricelist[[#This Row],[AE1]],4,2),"")</f>
        <v>30</v>
      </c>
      <c r="P95" s="102">
        <v>1225</v>
      </c>
      <c r="Q95" s="103">
        <v>2050</v>
      </c>
      <c r="R95" s="103">
        <v>2050</v>
      </c>
      <c r="S95" s="104" t="s">
        <v>6328</v>
      </c>
      <c r="T95" s="104" t="s">
        <v>2201</v>
      </c>
      <c r="U95" s="105" t="s">
        <v>506</v>
      </c>
      <c r="V95" s="100" t="s">
        <v>504</v>
      </c>
      <c r="W95" s="106" t="s">
        <v>256</v>
      </c>
      <c r="X95" s="106" t="s">
        <v>257</v>
      </c>
      <c r="Y95" s="106">
        <v>31</v>
      </c>
      <c r="Z95" s="107">
        <v>43435</v>
      </c>
      <c r="AA95" s="108">
        <v>43448</v>
      </c>
      <c r="AB95" s="109"/>
      <c r="AC95" s="109" t="s">
        <v>56</v>
      </c>
    </row>
    <row r="96" spans="1:29" hidden="1" x14ac:dyDescent="0.15">
      <c r="A96" s="98">
        <v>95</v>
      </c>
      <c r="B96" s="99">
        <v>112917</v>
      </c>
      <c r="C96" s="98" t="s">
        <v>6330</v>
      </c>
      <c r="D96" s="100" t="s">
        <v>262</v>
      </c>
      <c r="E96" s="100" t="s">
        <v>64</v>
      </c>
      <c r="F96" s="100" t="s">
        <v>263</v>
      </c>
      <c r="G96" s="98" t="s">
        <v>18</v>
      </c>
      <c r="H96" s="98" t="str">
        <f>VLOOKUP(G96,CGS[],2,FALSE)</f>
        <v>PIL</v>
      </c>
      <c r="I96" s="65">
        <v>1710</v>
      </c>
      <c r="J96" s="101" t="str">
        <f>IF(ISBLANK(Pricelist[[#This Row],[EBS]]),"",VALUE(LEFT(Pricelist[[#This Row],[EBS]],LEN(Pricelist[[#This Row],[EBS]])-LEN(Pricelist[[#This Row],[E2]])-1)))</f>
        <v/>
      </c>
      <c r="K96" s="65">
        <v>2910</v>
      </c>
      <c r="L96" s="101" t="str">
        <f>IF(ISBLANK(Pricelist[[#This Row],[EBS]]),"",VALUE(RIGHT(Pricelist[[#This Row],[EBS]],3)))</f>
        <v/>
      </c>
      <c r="M96" s="65">
        <v>2910</v>
      </c>
      <c r="N96" s="101" t="str">
        <f>IF(ISBLANK(Pricelist[[#This Row],[EBS]]),"",VALUE(RIGHT(Pricelist[[#This Row],[EBS]],3)))</f>
        <v/>
      </c>
      <c r="O96" s="101" t="str">
        <f>IF(AND(Pricelist[[#This Row],[AE1]]&lt;&gt;"",OR(Pricelist[[#This Row],[区]]="南",Pricelist[[#This Row],[区]]="北")),MID(Pricelist[[#This Row],[AE1]],4,2),"")</f>
        <v/>
      </c>
      <c r="P96" s="102">
        <v>1735</v>
      </c>
      <c r="Q96" s="103">
        <v>2960</v>
      </c>
      <c r="R96" s="103">
        <v>2960</v>
      </c>
      <c r="S96" s="104"/>
      <c r="T96" s="104"/>
      <c r="U96" s="105" t="s">
        <v>508</v>
      </c>
      <c r="V96" s="100" t="s">
        <v>504</v>
      </c>
      <c r="W96" s="106" t="s">
        <v>22</v>
      </c>
      <c r="X96" s="106" t="s">
        <v>23</v>
      </c>
      <c r="Y96" s="106">
        <v>46</v>
      </c>
      <c r="Z96" s="107">
        <v>43419</v>
      </c>
      <c r="AA96" s="108">
        <v>43434</v>
      </c>
      <c r="AB96" s="109"/>
      <c r="AC96" s="109"/>
    </row>
    <row r="97" spans="1:29" hidden="1" x14ac:dyDescent="0.15">
      <c r="A97" s="98">
        <v>96</v>
      </c>
      <c r="B97" s="99">
        <v>112917</v>
      </c>
      <c r="C97" s="98" t="s">
        <v>6330</v>
      </c>
      <c r="D97" s="100" t="s">
        <v>264</v>
      </c>
      <c r="E97" s="100" t="s">
        <v>64</v>
      </c>
      <c r="F97" s="100" t="s">
        <v>265</v>
      </c>
      <c r="G97" s="98" t="s">
        <v>21</v>
      </c>
      <c r="H97" s="98" t="str">
        <f>VLOOKUP(G97,CGS[],2,FALSE)</f>
        <v>MSK</v>
      </c>
      <c r="I97" s="65">
        <v>1585</v>
      </c>
      <c r="J97" s="101" t="str">
        <f>IF(ISBLANK(Pricelist[[#This Row],[EBS]]),"",VALUE(LEFT(Pricelist[[#This Row],[EBS]],LEN(Pricelist[[#This Row],[EBS]])-LEN(Pricelist[[#This Row],[E2]])-1)))</f>
        <v/>
      </c>
      <c r="K97" s="65">
        <v>2920</v>
      </c>
      <c r="L97" s="101" t="str">
        <f>IF(ISBLANK(Pricelist[[#This Row],[EBS]]),"",VALUE(RIGHT(Pricelist[[#This Row],[EBS]],3)))</f>
        <v/>
      </c>
      <c r="M97" s="65">
        <v>2920</v>
      </c>
      <c r="N97" s="101" t="str">
        <f>IF(ISBLANK(Pricelist[[#This Row],[EBS]]),"",VALUE(RIGHT(Pricelist[[#This Row],[EBS]],3)))</f>
        <v/>
      </c>
      <c r="O97" s="101" t="str">
        <f>IF(AND(Pricelist[[#This Row],[AE1]]&lt;&gt;"",OR(Pricelist[[#This Row],[区]]="南",Pricelist[[#This Row],[区]]="北")),MID(Pricelist[[#This Row],[AE1]],4,2),"")</f>
        <v/>
      </c>
      <c r="P97" s="102">
        <v>1610</v>
      </c>
      <c r="Q97" s="103">
        <v>2970</v>
      </c>
      <c r="R97" s="103">
        <v>2970</v>
      </c>
      <c r="S97" s="104"/>
      <c r="T97" s="104"/>
      <c r="U97" s="105" t="s">
        <v>511</v>
      </c>
      <c r="V97" s="100" t="s">
        <v>507</v>
      </c>
      <c r="W97" s="106" t="s">
        <v>48</v>
      </c>
      <c r="X97" s="106" t="s">
        <v>49</v>
      </c>
      <c r="Y97" s="106">
        <v>31</v>
      </c>
      <c r="Z97" s="107">
        <v>43435</v>
      </c>
      <c r="AA97" s="108">
        <v>43449</v>
      </c>
      <c r="AB97" s="109" t="s">
        <v>261</v>
      </c>
      <c r="AC97" s="109"/>
    </row>
    <row r="98" spans="1:29" hidden="1" x14ac:dyDescent="0.15">
      <c r="A98" s="98">
        <v>97</v>
      </c>
      <c r="B98" s="99">
        <v>112917</v>
      </c>
      <c r="C98" s="98" t="s">
        <v>6330</v>
      </c>
      <c r="D98" s="100" t="s">
        <v>264</v>
      </c>
      <c r="E98" s="100" t="s">
        <v>64</v>
      </c>
      <c r="F98" s="100" t="s">
        <v>265</v>
      </c>
      <c r="G98" s="98" t="s">
        <v>24</v>
      </c>
      <c r="H98" s="98" t="str">
        <f>VLOOKUP(G98,CGS[],2,FALSE)</f>
        <v>SAF</v>
      </c>
      <c r="I98" s="65">
        <v>1550</v>
      </c>
      <c r="J98" s="101">
        <f>IF(ISBLANK(Pricelist[[#This Row],[EBS]]),"",VALUE(LEFT(Pricelist[[#This Row],[EBS]],LEN(Pricelist[[#This Row],[EBS]])-LEN(Pricelist[[#This Row],[E2]])-1)))</f>
        <v>60</v>
      </c>
      <c r="K98" s="65">
        <v>2850</v>
      </c>
      <c r="L98" s="101">
        <f>IF(ISBLANK(Pricelist[[#This Row],[EBS]]),"",VALUE(RIGHT(Pricelist[[#This Row],[EBS]],3)))</f>
        <v>120</v>
      </c>
      <c r="M98" s="65">
        <v>2850</v>
      </c>
      <c r="N98" s="101">
        <f>IF(ISBLANK(Pricelist[[#This Row],[EBS]]),"",VALUE(RIGHT(Pricelist[[#This Row],[EBS]],3)))</f>
        <v>120</v>
      </c>
      <c r="O98" s="101" t="str">
        <f>IF(AND(Pricelist[[#This Row],[AE1]]&lt;&gt;"",OR(Pricelist[[#This Row],[区]]="南",Pricelist[[#This Row],[区]]="北")),MID(Pricelist[[#This Row],[AE1]],4,2),"")</f>
        <v/>
      </c>
      <c r="P98" s="102">
        <v>1550</v>
      </c>
      <c r="Q98" s="103">
        <v>2850</v>
      </c>
      <c r="R98" s="103">
        <v>2850</v>
      </c>
      <c r="S98" s="104" t="s">
        <v>2199</v>
      </c>
      <c r="T98" s="104"/>
      <c r="U98" s="105" t="s">
        <v>511</v>
      </c>
      <c r="V98" s="100" t="s">
        <v>507</v>
      </c>
      <c r="W98" s="106" t="s">
        <v>48</v>
      </c>
      <c r="X98" s="106" t="s">
        <v>49</v>
      </c>
      <c r="Y98" s="106">
        <v>31</v>
      </c>
      <c r="Z98" s="107">
        <v>43435</v>
      </c>
      <c r="AA98" s="108">
        <v>43449</v>
      </c>
      <c r="AB98" s="109" t="s">
        <v>2211</v>
      </c>
      <c r="AC98" s="109"/>
    </row>
    <row r="99" spans="1:29" ht="25.5" hidden="1" x14ac:dyDescent="0.15">
      <c r="A99" s="98">
        <v>98</v>
      </c>
      <c r="B99" s="99">
        <v>112917</v>
      </c>
      <c r="C99" s="98" t="s">
        <v>6330</v>
      </c>
      <c r="D99" s="100" t="s">
        <v>264</v>
      </c>
      <c r="E99" s="100" t="s">
        <v>64</v>
      </c>
      <c r="F99" s="100" t="s">
        <v>265</v>
      </c>
      <c r="G99" s="98" t="s">
        <v>8</v>
      </c>
      <c r="H99" s="98" t="str">
        <f>VLOOKUP(G99,CGS[],2,FALSE)</f>
        <v>CMA</v>
      </c>
      <c r="I99" s="65">
        <v>1425</v>
      </c>
      <c r="J99" s="101">
        <f>IF(ISBLANK(Pricelist[[#This Row],[EBS]]),"",VALUE(LEFT(Pricelist[[#This Row],[EBS]],LEN(Pricelist[[#This Row],[EBS]])-LEN(Pricelist[[#This Row],[E2]])-1)))</f>
        <v>55</v>
      </c>
      <c r="K99" s="65">
        <v>2600</v>
      </c>
      <c r="L99" s="101">
        <f>IF(ISBLANK(Pricelist[[#This Row],[EBS]]),"",VALUE(RIGHT(Pricelist[[#This Row],[EBS]],3)))</f>
        <v>110</v>
      </c>
      <c r="M99" s="65">
        <v>2600</v>
      </c>
      <c r="N99" s="101">
        <f>IF(ISBLANK(Pricelist[[#This Row],[EBS]]),"",VALUE(RIGHT(Pricelist[[#This Row],[EBS]],3)))</f>
        <v>110</v>
      </c>
      <c r="O99" s="101" t="str">
        <f>IF(AND(Pricelist[[#This Row],[AE1]]&lt;&gt;"",OR(Pricelist[[#This Row],[区]]="南",Pricelist[[#This Row],[区]]="北")),MID(Pricelist[[#This Row],[AE1]],4,2),"")</f>
        <v/>
      </c>
      <c r="P99" s="102">
        <v>1425</v>
      </c>
      <c r="Q99" s="103">
        <v>2600</v>
      </c>
      <c r="R99" s="103">
        <v>2600</v>
      </c>
      <c r="S99" s="104" t="s">
        <v>2204</v>
      </c>
      <c r="T99" s="104"/>
      <c r="U99" s="105" t="s">
        <v>515</v>
      </c>
      <c r="V99" s="100" t="s">
        <v>2194</v>
      </c>
      <c r="W99" s="106" t="s">
        <v>2210</v>
      </c>
      <c r="X99" s="106" t="s">
        <v>2195</v>
      </c>
      <c r="Y99" s="106">
        <v>30</v>
      </c>
      <c r="Z99" s="107">
        <v>43435</v>
      </c>
      <c r="AA99" s="108">
        <v>43448</v>
      </c>
      <c r="AB99" s="109" t="s">
        <v>2212</v>
      </c>
      <c r="AC99" s="109"/>
    </row>
    <row r="100" spans="1:29" hidden="1" x14ac:dyDescent="0.15">
      <c r="A100" s="98">
        <v>99</v>
      </c>
      <c r="B100" s="99">
        <v>112917</v>
      </c>
      <c r="C100" s="98" t="s">
        <v>6330</v>
      </c>
      <c r="D100" s="100" t="s">
        <v>264</v>
      </c>
      <c r="E100" s="100" t="s">
        <v>64</v>
      </c>
      <c r="F100" s="100" t="s">
        <v>265</v>
      </c>
      <c r="G100" s="98" t="s">
        <v>18</v>
      </c>
      <c r="H100" s="98" t="str">
        <f>VLOOKUP(G100,CGS[],2,FALSE)</f>
        <v>PIL</v>
      </c>
      <c r="I100" s="65">
        <v>1710</v>
      </c>
      <c r="J100" s="101" t="str">
        <f>IF(ISBLANK(Pricelist[[#This Row],[EBS]]),"",VALUE(LEFT(Pricelist[[#This Row],[EBS]],LEN(Pricelist[[#This Row],[EBS]])-LEN(Pricelist[[#This Row],[E2]])-1)))</f>
        <v/>
      </c>
      <c r="K100" s="65">
        <v>2910</v>
      </c>
      <c r="L100" s="101" t="str">
        <f>IF(ISBLANK(Pricelist[[#This Row],[EBS]]),"",VALUE(RIGHT(Pricelist[[#This Row],[EBS]],3)))</f>
        <v/>
      </c>
      <c r="M100" s="65">
        <v>2910</v>
      </c>
      <c r="N100" s="101" t="str">
        <f>IF(ISBLANK(Pricelist[[#This Row],[EBS]]),"",VALUE(RIGHT(Pricelist[[#This Row],[EBS]],3)))</f>
        <v/>
      </c>
      <c r="O100" s="101" t="str">
        <f>IF(AND(Pricelist[[#This Row],[AE1]]&lt;&gt;"",OR(Pricelist[[#This Row],[区]]="南",Pricelist[[#This Row],[区]]="北")),MID(Pricelist[[#This Row],[AE1]],4,2),"")</f>
        <v/>
      </c>
      <c r="P100" s="102">
        <v>1735</v>
      </c>
      <c r="Q100" s="103">
        <v>2960</v>
      </c>
      <c r="R100" s="103">
        <v>2960</v>
      </c>
      <c r="S100" s="104"/>
      <c r="T100" s="104"/>
      <c r="U100" s="105" t="s">
        <v>508</v>
      </c>
      <c r="V100" s="100" t="s">
        <v>504</v>
      </c>
      <c r="W100" s="106" t="s">
        <v>22</v>
      </c>
      <c r="X100" s="106" t="s">
        <v>23</v>
      </c>
      <c r="Y100" s="106">
        <v>36</v>
      </c>
      <c r="Z100" s="107">
        <v>43419</v>
      </c>
      <c r="AA100" s="108">
        <v>43434</v>
      </c>
      <c r="AB100" s="109"/>
      <c r="AC100" s="109"/>
    </row>
    <row r="101" spans="1:29" hidden="1" x14ac:dyDescent="0.15">
      <c r="A101" s="98">
        <v>100</v>
      </c>
      <c r="B101" s="99">
        <v>112917</v>
      </c>
      <c r="C101" s="98" t="s">
        <v>6330</v>
      </c>
      <c r="D101" s="100" t="s">
        <v>264</v>
      </c>
      <c r="E101" s="100" t="s">
        <v>64</v>
      </c>
      <c r="F101" s="100" t="s">
        <v>265</v>
      </c>
      <c r="G101" s="98" t="s">
        <v>17</v>
      </c>
      <c r="H101" s="98" t="str">
        <f>VLOOKUP(G101,CGS[],2,FALSE)</f>
        <v>MSC</v>
      </c>
      <c r="I101" s="65">
        <v>1225</v>
      </c>
      <c r="J101" s="101">
        <f>IF(ISBLANK(Pricelist[[#This Row],[EBS]]),"",VALUE(LEFT(Pricelist[[#This Row],[EBS]],LEN(Pricelist[[#This Row],[EBS]])-LEN(Pricelist[[#This Row],[E2]])-1)))</f>
        <v>100</v>
      </c>
      <c r="K101" s="65">
        <v>2050</v>
      </c>
      <c r="L101" s="101">
        <f>IF(ISBLANK(Pricelist[[#This Row],[EBS]]),"",VALUE(RIGHT(Pricelist[[#This Row],[EBS]],3)))</f>
        <v>200</v>
      </c>
      <c r="M101" s="65">
        <v>2050</v>
      </c>
      <c r="N101" s="101">
        <f>IF(ISBLANK(Pricelist[[#This Row],[EBS]]),"",VALUE(RIGHT(Pricelist[[#This Row],[EBS]],3)))</f>
        <v>200</v>
      </c>
      <c r="O101" s="101" t="str">
        <f>IF(AND(Pricelist[[#This Row],[AE1]]&lt;&gt;"",OR(Pricelist[[#This Row],[区]]="南",Pricelist[[#This Row],[区]]="北")),MID(Pricelist[[#This Row],[AE1]],4,2),"")</f>
        <v>30</v>
      </c>
      <c r="P101" s="102">
        <v>1225</v>
      </c>
      <c r="Q101" s="103">
        <v>2050</v>
      </c>
      <c r="R101" s="103">
        <v>2050</v>
      </c>
      <c r="S101" s="104" t="s">
        <v>6328</v>
      </c>
      <c r="T101" s="104" t="s">
        <v>2201</v>
      </c>
      <c r="U101" s="105" t="s">
        <v>506</v>
      </c>
      <c r="V101" s="100" t="s">
        <v>504</v>
      </c>
      <c r="W101" s="106" t="s">
        <v>256</v>
      </c>
      <c r="X101" s="106" t="s">
        <v>257</v>
      </c>
      <c r="Y101" s="106">
        <v>32</v>
      </c>
      <c r="Z101" s="107">
        <v>43435</v>
      </c>
      <c r="AA101" s="108">
        <v>43448</v>
      </c>
      <c r="AB101" s="109"/>
      <c r="AC101" s="109" t="s">
        <v>56</v>
      </c>
    </row>
    <row r="102" spans="1:29" hidden="1" x14ac:dyDescent="0.15">
      <c r="A102" s="98">
        <v>101</v>
      </c>
      <c r="B102" s="99">
        <v>112917</v>
      </c>
      <c r="C102" s="98" t="s">
        <v>6330</v>
      </c>
      <c r="D102" s="100" t="s">
        <v>266</v>
      </c>
      <c r="E102" s="100" t="s">
        <v>267</v>
      </c>
      <c r="F102" s="100" t="s">
        <v>268</v>
      </c>
      <c r="G102" s="98" t="s">
        <v>18</v>
      </c>
      <c r="H102" s="98" t="str">
        <f>VLOOKUP(G102,CGS[],2,FALSE)</f>
        <v>PIL</v>
      </c>
      <c r="I102" s="65">
        <v>1160</v>
      </c>
      <c r="J102" s="101" t="str">
        <f>IF(ISBLANK(Pricelist[[#This Row],[EBS]]),"",VALUE(LEFT(Pricelist[[#This Row],[EBS]],LEN(Pricelist[[#This Row],[EBS]])-LEN(Pricelist[[#This Row],[E2]])-1)))</f>
        <v/>
      </c>
      <c r="K102" s="65">
        <v>2260</v>
      </c>
      <c r="L102" s="101" t="str">
        <f>IF(ISBLANK(Pricelist[[#This Row],[EBS]]),"",VALUE(RIGHT(Pricelist[[#This Row],[EBS]],3)))</f>
        <v/>
      </c>
      <c r="M102" s="65">
        <v>2260</v>
      </c>
      <c r="N102" s="101" t="str">
        <f>IF(ISBLANK(Pricelist[[#This Row],[EBS]]),"",VALUE(RIGHT(Pricelist[[#This Row],[EBS]],3)))</f>
        <v/>
      </c>
      <c r="O102" s="101" t="str">
        <f>IF(AND(Pricelist[[#This Row],[AE1]]&lt;&gt;"",OR(Pricelist[[#This Row],[区]]="南",Pricelist[[#This Row],[区]]="北")),MID(Pricelist[[#This Row],[AE1]],4,2),"")</f>
        <v/>
      </c>
      <c r="P102" s="102">
        <v>1185</v>
      </c>
      <c r="Q102" s="103">
        <v>2310</v>
      </c>
      <c r="R102" s="103">
        <v>2310</v>
      </c>
      <c r="S102" s="104"/>
      <c r="T102" s="104"/>
      <c r="U102" s="105" t="s">
        <v>508</v>
      </c>
      <c r="V102" s="100" t="s">
        <v>504</v>
      </c>
      <c r="W102" s="106" t="s">
        <v>22</v>
      </c>
      <c r="X102" s="106" t="s">
        <v>23</v>
      </c>
      <c r="Y102" s="106">
        <v>28</v>
      </c>
      <c r="Z102" s="107">
        <v>43419</v>
      </c>
      <c r="AA102" s="108">
        <v>43434</v>
      </c>
      <c r="AB102" s="109"/>
      <c r="AC102" s="109"/>
    </row>
    <row r="103" spans="1:29" hidden="1" x14ac:dyDescent="0.15">
      <c r="A103" s="98">
        <v>102</v>
      </c>
      <c r="B103" s="99">
        <v>112917</v>
      </c>
      <c r="C103" s="98" t="s">
        <v>6330</v>
      </c>
      <c r="D103" s="100" t="s">
        <v>266</v>
      </c>
      <c r="E103" s="100" t="s">
        <v>267</v>
      </c>
      <c r="F103" s="100" t="s">
        <v>268</v>
      </c>
      <c r="G103" s="98" t="s">
        <v>21</v>
      </c>
      <c r="H103" s="98" t="str">
        <f>VLOOKUP(G103,CGS[],2,FALSE)</f>
        <v>MSK</v>
      </c>
      <c r="I103" s="65">
        <v>960</v>
      </c>
      <c r="J103" s="101" t="str">
        <f>IF(ISBLANK(Pricelist[[#This Row],[EBS]]),"",VALUE(LEFT(Pricelist[[#This Row],[EBS]],LEN(Pricelist[[#This Row],[EBS]])-LEN(Pricelist[[#This Row],[E2]])-1)))</f>
        <v/>
      </c>
      <c r="K103" s="65">
        <v>1920</v>
      </c>
      <c r="L103" s="101" t="str">
        <f>IF(ISBLANK(Pricelist[[#This Row],[EBS]]),"",VALUE(RIGHT(Pricelist[[#This Row],[EBS]],3)))</f>
        <v/>
      </c>
      <c r="M103" s="65">
        <v>1920</v>
      </c>
      <c r="N103" s="101" t="str">
        <f>IF(ISBLANK(Pricelist[[#This Row],[EBS]]),"",VALUE(RIGHT(Pricelist[[#This Row],[EBS]],3)))</f>
        <v/>
      </c>
      <c r="O103" s="101" t="str">
        <f>IF(AND(Pricelist[[#This Row],[AE1]]&lt;&gt;"",OR(Pricelist[[#This Row],[区]]="南",Pricelist[[#This Row],[区]]="北")),MID(Pricelist[[#This Row],[AE1]],4,2),"")</f>
        <v/>
      </c>
      <c r="P103" s="102">
        <v>985</v>
      </c>
      <c r="Q103" s="103">
        <v>1970</v>
      </c>
      <c r="R103" s="103">
        <v>1970</v>
      </c>
      <c r="S103" s="104"/>
      <c r="T103" s="104"/>
      <c r="U103" s="105" t="s">
        <v>508</v>
      </c>
      <c r="V103" s="100" t="s">
        <v>507</v>
      </c>
      <c r="W103" s="106" t="s">
        <v>10</v>
      </c>
      <c r="X103" s="106" t="s">
        <v>11</v>
      </c>
      <c r="Y103" s="106">
        <v>20</v>
      </c>
      <c r="Z103" s="107">
        <v>43435</v>
      </c>
      <c r="AA103" s="108">
        <v>43449</v>
      </c>
      <c r="AB103" s="109" t="s">
        <v>245</v>
      </c>
      <c r="AC103" s="109"/>
    </row>
    <row r="104" spans="1:29" hidden="1" x14ac:dyDescent="0.15">
      <c r="A104" s="98">
        <v>103</v>
      </c>
      <c r="B104" s="99">
        <v>112917</v>
      </c>
      <c r="C104" s="98" t="s">
        <v>6330</v>
      </c>
      <c r="D104" s="100" t="s">
        <v>266</v>
      </c>
      <c r="E104" s="100" t="s">
        <v>267</v>
      </c>
      <c r="F104" s="100" t="s">
        <v>268</v>
      </c>
      <c r="G104" s="98" t="s">
        <v>24</v>
      </c>
      <c r="H104" s="98" t="str">
        <f>VLOOKUP(G104,CGS[],2,FALSE)</f>
        <v>SAF</v>
      </c>
      <c r="I104" s="65">
        <v>925</v>
      </c>
      <c r="J104" s="101">
        <f>IF(ISBLANK(Pricelist[[#This Row],[EBS]]),"",VALUE(LEFT(Pricelist[[#This Row],[EBS]],LEN(Pricelist[[#This Row],[EBS]])-LEN(Pricelist[[#This Row],[E2]])-1)))</f>
        <v>60</v>
      </c>
      <c r="K104" s="65">
        <v>1850</v>
      </c>
      <c r="L104" s="101">
        <f>IF(ISBLANK(Pricelist[[#This Row],[EBS]]),"",VALUE(RIGHT(Pricelist[[#This Row],[EBS]],3)))</f>
        <v>120</v>
      </c>
      <c r="M104" s="65">
        <v>1850</v>
      </c>
      <c r="N104" s="101">
        <f>IF(ISBLANK(Pricelist[[#This Row],[EBS]]),"",VALUE(RIGHT(Pricelist[[#This Row],[EBS]],3)))</f>
        <v>120</v>
      </c>
      <c r="O104" s="101" t="str">
        <f>IF(AND(Pricelist[[#This Row],[AE1]]&lt;&gt;"",OR(Pricelist[[#This Row],[区]]="南",Pricelist[[#This Row],[区]]="北")),MID(Pricelist[[#This Row],[AE1]],4,2),"")</f>
        <v/>
      </c>
      <c r="P104" s="102">
        <v>925</v>
      </c>
      <c r="Q104" s="103">
        <v>1850</v>
      </c>
      <c r="R104" s="103">
        <v>1850</v>
      </c>
      <c r="S104" s="104" t="s">
        <v>2199</v>
      </c>
      <c r="T104" s="104"/>
      <c r="U104" s="105" t="s">
        <v>508</v>
      </c>
      <c r="V104" s="100" t="s">
        <v>507</v>
      </c>
      <c r="W104" s="106" t="s">
        <v>10</v>
      </c>
      <c r="X104" s="106" t="s">
        <v>11</v>
      </c>
      <c r="Y104" s="106">
        <v>20</v>
      </c>
      <c r="Z104" s="107">
        <v>43435</v>
      </c>
      <c r="AA104" s="108">
        <v>43449</v>
      </c>
      <c r="AB104" s="109" t="s">
        <v>246</v>
      </c>
      <c r="AC104" s="109"/>
    </row>
    <row r="105" spans="1:29" hidden="1" x14ac:dyDescent="0.15">
      <c r="A105" s="98">
        <v>104</v>
      </c>
      <c r="B105" s="99">
        <v>112917</v>
      </c>
      <c r="C105" s="98" t="s">
        <v>6330</v>
      </c>
      <c r="D105" s="100" t="s">
        <v>266</v>
      </c>
      <c r="E105" s="100" t="s">
        <v>267</v>
      </c>
      <c r="F105" s="100" t="s">
        <v>268</v>
      </c>
      <c r="G105" s="98" t="s">
        <v>8</v>
      </c>
      <c r="H105" s="98" t="str">
        <f>VLOOKUP(G105,CGS[],2,FALSE)</f>
        <v>CMA</v>
      </c>
      <c r="I105" s="65">
        <v>875</v>
      </c>
      <c r="J105" s="101">
        <f>IF(ISBLANK(Pricelist[[#This Row],[EBS]]),"",VALUE(LEFT(Pricelist[[#This Row],[EBS]],LEN(Pricelist[[#This Row],[EBS]])-LEN(Pricelist[[#This Row],[E2]])-1)))</f>
        <v>55</v>
      </c>
      <c r="K105" s="65">
        <v>1750</v>
      </c>
      <c r="L105" s="101">
        <f>IF(ISBLANK(Pricelist[[#This Row],[EBS]]),"",VALUE(RIGHT(Pricelist[[#This Row],[EBS]],3)))</f>
        <v>110</v>
      </c>
      <c r="M105" s="65">
        <v>1750</v>
      </c>
      <c r="N105" s="101">
        <f>IF(ISBLANK(Pricelist[[#This Row],[EBS]]),"",VALUE(RIGHT(Pricelist[[#This Row],[EBS]],3)))</f>
        <v>110</v>
      </c>
      <c r="O105" s="101" t="str">
        <f>IF(AND(Pricelist[[#This Row],[AE1]]&lt;&gt;"",OR(Pricelist[[#This Row],[区]]="南",Pricelist[[#This Row],[区]]="北")),MID(Pricelist[[#This Row],[AE1]],4,2),"")</f>
        <v/>
      </c>
      <c r="P105" s="102">
        <v>900</v>
      </c>
      <c r="Q105" s="103">
        <v>1800</v>
      </c>
      <c r="R105" s="103">
        <v>1800</v>
      </c>
      <c r="S105" s="104" t="s">
        <v>2204</v>
      </c>
      <c r="T105" s="104"/>
      <c r="U105" s="105" t="s">
        <v>508</v>
      </c>
      <c r="V105" s="100" t="s">
        <v>507</v>
      </c>
      <c r="W105" s="106" t="s">
        <v>10</v>
      </c>
      <c r="X105" s="106" t="s">
        <v>11</v>
      </c>
      <c r="Y105" s="106">
        <v>18</v>
      </c>
      <c r="Z105" s="107">
        <v>43435</v>
      </c>
      <c r="AA105" s="108">
        <v>43448</v>
      </c>
      <c r="AB105" s="109" t="s">
        <v>255</v>
      </c>
      <c r="AC105" s="109"/>
    </row>
    <row r="106" spans="1:29" hidden="1" x14ac:dyDescent="0.15">
      <c r="A106" s="98">
        <v>105</v>
      </c>
      <c r="B106" s="99">
        <v>112917</v>
      </c>
      <c r="C106" s="98" t="s">
        <v>6330</v>
      </c>
      <c r="D106" s="100" t="s">
        <v>266</v>
      </c>
      <c r="E106" s="100" t="s">
        <v>267</v>
      </c>
      <c r="F106" s="100" t="s">
        <v>268</v>
      </c>
      <c r="G106" s="98" t="s">
        <v>17</v>
      </c>
      <c r="H106" s="98" t="str">
        <f>VLOOKUP(G106,CGS[],2,FALSE)</f>
        <v>MSC</v>
      </c>
      <c r="I106" s="65">
        <v>875</v>
      </c>
      <c r="J106" s="101">
        <f>IF(ISBLANK(Pricelist[[#This Row],[EBS]]),"",VALUE(LEFT(Pricelist[[#This Row],[EBS]],LEN(Pricelist[[#This Row],[EBS]])-LEN(Pricelist[[#This Row],[E2]])-1)))</f>
        <v>100</v>
      </c>
      <c r="K106" s="65">
        <v>1750</v>
      </c>
      <c r="L106" s="101">
        <f>IF(ISBLANK(Pricelist[[#This Row],[EBS]]),"",VALUE(RIGHT(Pricelist[[#This Row],[EBS]],3)))</f>
        <v>200</v>
      </c>
      <c r="M106" s="65">
        <v>1750</v>
      </c>
      <c r="N106" s="101">
        <f>IF(ISBLANK(Pricelist[[#This Row],[EBS]]),"",VALUE(RIGHT(Pricelist[[#This Row],[EBS]],3)))</f>
        <v>200</v>
      </c>
      <c r="O106" s="101" t="str">
        <f>IF(AND(Pricelist[[#This Row],[AE1]]&lt;&gt;"",OR(Pricelist[[#This Row],[区]]="南",Pricelist[[#This Row],[区]]="北")),MID(Pricelist[[#This Row],[AE1]],4,2),"")</f>
        <v/>
      </c>
      <c r="P106" s="102">
        <v>875</v>
      </c>
      <c r="Q106" s="103">
        <v>1750</v>
      </c>
      <c r="R106" s="103">
        <v>1750</v>
      </c>
      <c r="S106" s="104" t="s">
        <v>6328</v>
      </c>
      <c r="T106" s="104"/>
      <c r="U106" s="105" t="s">
        <v>506</v>
      </c>
      <c r="V106" s="100" t="s">
        <v>504</v>
      </c>
      <c r="W106" s="106" t="s">
        <v>22</v>
      </c>
      <c r="X106" s="106" t="s">
        <v>23</v>
      </c>
      <c r="Y106" s="106">
        <v>19</v>
      </c>
      <c r="Z106" s="107">
        <v>43435</v>
      </c>
      <c r="AA106" s="108">
        <v>43448</v>
      </c>
      <c r="AB106" s="109"/>
      <c r="AC106" s="109" t="s">
        <v>56</v>
      </c>
    </row>
    <row r="107" spans="1:29" hidden="1" x14ac:dyDescent="0.15">
      <c r="A107" s="98">
        <v>106</v>
      </c>
      <c r="B107" s="99">
        <v>112917</v>
      </c>
      <c r="C107" s="98" t="s">
        <v>6330</v>
      </c>
      <c r="D107" s="100" t="s">
        <v>269</v>
      </c>
      <c r="E107" s="100" t="s">
        <v>270</v>
      </c>
      <c r="F107" s="100" t="s">
        <v>271</v>
      </c>
      <c r="G107" s="98" t="s">
        <v>21</v>
      </c>
      <c r="H107" s="98" t="str">
        <f>VLOOKUP(G107,CGS[],2,FALSE)</f>
        <v>MSK</v>
      </c>
      <c r="I107" s="65">
        <v>1285</v>
      </c>
      <c r="J107" s="101" t="str">
        <f>IF(ISBLANK(Pricelist[[#This Row],[EBS]]),"",VALUE(LEFT(Pricelist[[#This Row],[EBS]],LEN(Pricelist[[#This Row],[EBS]])-LEN(Pricelist[[#This Row],[E2]])-1)))</f>
        <v/>
      </c>
      <c r="K107" s="65">
        <v>2370</v>
      </c>
      <c r="L107" s="101" t="str">
        <f>IF(ISBLANK(Pricelist[[#This Row],[EBS]]),"",VALUE(RIGHT(Pricelist[[#This Row],[EBS]],3)))</f>
        <v/>
      </c>
      <c r="M107" s="65">
        <v>2370</v>
      </c>
      <c r="N107" s="101" t="str">
        <f>IF(ISBLANK(Pricelist[[#This Row],[EBS]]),"",VALUE(RIGHT(Pricelist[[#This Row],[EBS]],3)))</f>
        <v/>
      </c>
      <c r="O107" s="101" t="str">
        <f>IF(AND(Pricelist[[#This Row],[AE1]]&lt;&gt;"",OR(Pricelist[[#This Row],[区]]="南",Pricelist[[#This Row],[区]]="北")),MID(Pricelist[[#This Row],[AE1]],4,2),"")</f>
        <v/>
      </c>
      <c r="P107" s="102">
        <v>1310</v>
      </c>
      <c r="Q107" s="103">
        <v>2420</v>
      </c>
      <c r="R107" s="103">
        <v>2420</v>
      </c>
      <c r="S107" s="104"/>
      <c r="T107" s="104"/>
      <c r="U107" s="105" t="s">
        <v>506</v>
      </c>
      <c r="V107" s="100" t="s">
        <v>507</v>
      </c>
      <c r="W107" s="106" t="s">
        <v>48</v>
      </c>
      <c r="X107" s="106" t="s">
        <v>49</v>
      </c>
      <c r="Y107" s="106">
        <v>26</v>
      </c>
      <c r="Z107" s="107">
        <v>43435</v>
      </c>
      <c r="AA107" s="108">
        <v>43449</v>
      </c>
      <c r="AB107" s="109" t="s">
        <v>261</v>
      </c>
      <c r="AC107" s="109"/>
    </row>
    <row r="108" spans="1:29" hidden="1" x14ac:dyDescent="0.15">
      <c r="A108" s="98">
        <v>107</v>
      </c>
      <c r="B108" s="99">
        <v>112917</v>
      </c>
      <c r="C108" s="98" t="s">
        <v>6330</v>
      </c>
      <c r="D108" s="100" t="s">
        <v>269</v>
      </c>
      <c r="E108" s="100" t="s">
        <v>270</v>
      </c>
      <c r="F108" s="100" t="s">
        <v>271</v>
      </c>
      <c r="G108" s="98" t="s">
        <v>24</v>
      </c>
      <c r="H108" s="98" t="str">
        <f>VLOOKUP(G108,CGS[],2,FALSE)</f>
        <v>SAF</v>
      </c>
      <c r="I108" s="65">
        <v>1200</v>
      </c>
      <c r="J108" s="101">
        <f>IF(ISBLANK(Pricelist[[#This Row],[EBS]]),"",VALUE(LEFT(Pricelist[[#This Row],[EBS]],LEN(Pricelist[[#This Row],[EBS]])-LEN(Pricelist[[#This Row],[E2]])-1)))</f>
        <v>60</v>
      </c>
      <c r="K108" s="65">
        <v>2200</v>
      </c>
      <c r="L108" s="101">
        <f>IF(ISBLANK(Pricelist[[#This Row],[EBS]]),"",VALUE(RIGHT(Pricelist[[#This Row],[EBS]],3)))</f>
        <v>120</v>
      </c>
      <c r="M108" s="65">
        <v>2200</v>
      </c>
      <c r="N108" s="101">
        <f>IF(ISBLANK(Pricelist[[#This Row],[EBS]]),"",VALUE(RIGHT(Pricelist[[#This Row],[EBS]],3)))</f>
        <v>120</v>
      </c>
      <c r="O108" s="101" t="str">
        <f>IF(AND(Pricelist[[#This Row],[AE1]]&lt;&gt;"",OR(Pricelist[[#This Row],[区]]="南",Pricelist[[#This Row],[区]]="北")),MID(Pricelist[[#This Row],[AE1]],4,2),"")</f>
        <v/>
      </c>
      <c r="P108" s="102">
        <v>1200</v>
      </c>
      <c r="Q108" s="103">
        <v>2200</v>
      </c>
      <c r="R108" s="103">
        <v>2200</v>
      </c>
      <c r="S108" s="104" t="s">
        <v>2199</v>
      </c>
      <c r="T108" s="104"/>
      <c r="U108" s="105" t="s">
        <v>508</v>
      </c>
      <c r="V108" s="100" t="s">
        <v>507</v>
      </c>
      <c r="W108" s="106" t="s">
        <v>48</v>
      </c>
      <c r="X108" s="106" t="s">
        <v>49</v>
      </c>
      <c r="Y108" s="106">
        <v>26</v>
      </c>
      <c r="Z108" s="107">
        <v>43435</v>
      </c>
      <c r="AA108" s="108">
        <v>43449</v>
      </c>
      <c r="AB108" s="109" t="s">
        <v>260</v>
      </c>
      <c r="AC108" s="109"/>
    </row>
    <row r="109" spans="1:29" hidden="1" x14ac:dyDescent="0.15">
      <c r="A109" s="98">
        <v>108</v>
      </c>
      <c r="B109" s="99">
        <v>112917</v>
      </c>
      <c r="C109" s="98" t="s">
        <v>6330</v>
      </c>
      <c r="D109" s="100" t="s">
        <v>269</v>
      </c>
      <c r="E109" s="100" t="s">
        <v>270</v>
      </c>
      <c r="F109" s="100" t="s">
        <v>271</v>
      </c>
      <c r="G109" s="98" t="s">
        <v>8</v>
      </c>
      <c r="H109" s="98" t="str">
        <f>VLOOKUP(G109,CGS[],2,FALSE)</f>
        <v>CMA</v>
      </c>
      <c r="I109" s="65">
        <v>1075</v>
      </c>
      <c r="J109" s="101">
        <f>IF(ISBLANK(Pricelist[[#This Row],[EBS]]),"",VALUE(LEFT(Pricelist[[#This Row],[EBS]],LEN(Pricelist[[#This Row],[EBS]])-LEN(Pricelist[[#This Row],[E2]])-1)))</f>
        <v>55</v>
      </c>
      <c r="K109" s="65">
        <v>2050</v>
      </c>
      <c r="L109" s="101">
        <f>IF(ISBLANK(Pricelist[[#This Row],[EBS]]),"",VALUE(RIGHT(Pricelist[[#This Row],[EBS]],3)))</f>
        <v>110</v>
      </c>
      <c r="M109" s="65">
        <v>2050</v>
      </c>
      <c r="N109" s="101">
        <f>IF(ISBLANK(Pricelist[[#This Row],[EBS]]),"",VALUE(RIGHT(Pricelist[[#This Row],[EBS]],3)))</f>
        <v>110</v>
      </c>
      <c r="O109" s="101" t="str">
        <f>IF(AND(Pricelist[[#This Row],[AE1]]&lt;&gt;"",OR(Pricelist[[#This Row],[区]]="南",Pricelist[[#This Row],[区]]="北")),MID(Pricelist[[#This Row],[AE1]],4,2),"")</f>
        <v/>
      </c>
      <c r="P109" s="102">
        <v>1100</v>
      </c>
      <c r="Q109" s="103">
        <v>2100</v>
      </c>
      <c r="R109" s="103">
        <v>2100</v>
      </c>
      <c r="S109" s="104" t="s">
        <v>2204</v>
      </c>
      <c r="T109" s="104"/>
      <c r="U109" s="105" t="s">
        <v>2187</v>
      </c>
      <c r="V109" s="100" t="s">
        <v>2188</v>
      </c>
      <c r="W109" s="106" t="s">
        <v>3682</v>
      </c>
      <c r="X109" s="106" t="s">
        <v>2189</v>
      </c>
      <c r="Y109" s="106">
        <v>27</v>
      </c>
      <c r="Z109" s="107">
        <v>43435</v>
      </c>
      <c r="AA109" s="108">
        <v>43448</v>
      </c>
      <c r="AB109" s="109" t="s">
        <v>4768</v>
      </c>
      <c r="AC109" s="109"/>
    </row>
    <row r="110" spans="1:29" hidden="1" x14ac:dyDescent="0.15">
      <c r="A110" s="98">
        <v>109</v>
      </c>
      <c r="B110" s="99">
        <v>112917</v>
      </c>
      <c r="C110" s="98" t="s">
        <v>6330</v>
      </c>
      <c r="D110" s="100" t="s">
        <v>269</v>
      </c>
      <c r="E110" s="100" t="s">
        <v>270</v>
      </c>
      <c r="F110" s="100" t="s">
        <v>271</v>
      </c>
      <c r="G110" s="98" t="s">
        <v>18</v>
      </c>
      <c r="H110" s="98" t="str">
        <f>VLOOKUP(G110,CGS[],2,FALSE)</f>
        <v>PIL</v>
      </c>
      <c r="I110" s="65">
        <v>1560</v>
      </c>
      <c r="J110" s="101" t="str">
        <f>IF(ISBLANK(Pricelist[[#This Row],[EBS]]),"",VALUE(LEFT(Pricelist[[#This Row],[EBS]],LEN(Pricelist[[#This Row],[EBS]])-LEN(Pricelist[[#This Row],[E2]])-1)))</f>
        <v/>
      </c>
      <c r="K110" s="65">
        <v>2760</v>
      </c>
      <c r="L110" s="101" t="str">
        <f>IF(ISBLANK(Pricelist[[#This Row],[EBS]]),"",VALUE(RIGHT(Pricelist[[#This Row],[EBS]],3)))</f>
        <v/>
      </c>
      <c r="M110" s="65">
        <v>2760</v>
      </c>
      <c r="N110" s="101" t="str">
        <f>IF(ISBLANK(Pricelist[[#This Row],[EBS]]),"",VALUE(RIGHT(Pricelist[[#This Row],[EBS]],3)))</f>
        <v/>
      </c>
      <c r="O110" s="101" t="str">
        <f>IF(AND(Pricelist[[#This Row],[AE1]]&lt;&gt;"",OR(Pricelist[[#This Row],[区]]="南",Pricelist[[#This Row],[区]]="北")),MID(Pricelist[[#This Row],[AE1]],4,2),"")</f>
        <v/>
      </c>
      <c r="P110" s="102">
        <v>1585</v>
      </c>
      <c r="Q110" s="103">
        <v>2810</v>
      </c>
      <c r="R110" s="103">
        <v>2810</v>
      </c>
      <c r="S110" s="104"/>
      <c r="T110" s="104"/>
      <c r="U110" s="105" t="s">
        <v>508</v>
      </c>
      <c r="V110" s="100" t="s">
        <v>504</v>
      </c>
      <c r="W110" s="106" t="s">
        <v>22</v>
      </c>
      <c r="X110" s="106" t="s">
        <v>23</v>
      </c>
      <c r="Y110" s="106">
        <v>31</v>
      </c>
      <c r="Z110" s="107">
        <v>43419</v>
      </c>
      <c r="AA110" s="108">
        <v>43434</v>
      </c>
      <c r="AB110" s="109"/>
      <c r="AC110" s="109"/>
    </row>
    <row r="111" spans="1:29" hidden="1" x14ac:dyDescent="0.15">
      <c r="A111" s="98">
        <v>110</v>
      </c>
      <c r="B111" s="99">
        <v>112917</v>
      </c>
      <c r="C111" s="98" t="s">
        <v>6330</v>
      </c>
      <c r="D111" s="100" t="s">
        <v>269</v>
      </c>
      <c r="E111" s="100" t="s">
        <v>270</v>
      </c>
      <c r="F111" s="100" t="s">
        <v>271</v>
      </c>
      <c r="G111" s="98" t="s">
        <v>17</v>
      </c>
      <c r="H111" s="98" t="str">
        <f>VLOOKUP(G111,CGS[],2,FALSE)</f>
        <v>MSC</v>
      </c>
      <c r="I111" s="65">
        <v>950</v>
      </c>
      <c r="J111" s="101">
        <f>IF(ISBLANK(Pricelist[[#This Row],[EBS]]),"",VALUE(LEFT(Pricelist[[#This Row],[EBS]],LEN(Pricelist[[#This Row],[EBS]])-LEN(Pricelist[[#This Row],[E2]])-1)))</f>
        <v>100</v>
      </c>
      <c r="K111" s="65">
        <v>1890</v>
      </c>
      <c r="L111" s="101">
        <f>IF(ISBLANK(Pricelist[[#This Row],[EBS]]),"",VALUE(RIGHT(Pricelist[[#This Row],[EBS]],3)))</f>
        <v>200</v>
      </c>
      <c r="M111" s="65">
        <v>1890</v>
      </c>
      <c r="N111" s="101">
        <f>IF(ISBLANK(Pricelist[[#This Row],[EBS]]),"",VALUE(RIGHT(Pricelist[[#This Row],[EBS]],3)))</f>
        <v>200</v>
      </c>
      <c r="O111" s="101" t="str">
        <f>IF(AND(Pricelist[[#This Row],[AE1]]&lt;&gt;"",OR(Pricelist[[#This Row],[区]]="南",Pricelist[[#This Row],[区]]="北")),MID(Pricelist[[#This Row],[AE1]],4,2),"")</f>
        <v>30</v>
      </c>
      <c r="P111" s="102">
        <v>950</v>
      </c>
      <c r="Q111" s="103">
        <v>1890</v>
      </c>
      <c r="R111" s="103">
        <v>1890</v>
      </c>
      <c r="S111" s="104" t="s">
        <v>6328</v>
      </c>
      <c r="T111" s="104" t="s">
        <v>2201</v>
      </c>
      <c r="U111" s="105" t="s">
        <v>506</v>
      </c>
      <c r="V111" s="100" t="s">
        <v>504</v>
      </c>
      <c r="W111" s="106" t="s">
        <v>76</v>
      </c>
      <c r="X111" s="106" t="s">
        <v>77</v>
      </c>
      <c r="Y111" s="106">
        <v>25</v>
      </c>
      <c r="Z111" s="107">
        <v>43435</v>
      </c>
      <c r="AA111" s="108">
        <v>43448</v>
      </c>
      <c r="AB111" s="109" t="s">
        <v>2213</v>
      </c>
      <c r="AC111" s="109" t="s">
        <v>56</v>
      </c>
    </row>
    <row r="112" spans="1:29" hidden="1" x14ac:dyDescent="0.15">
      <c r="A112" s="98">
        <v>111</v>
      </c>
      <c r="B112" s="99">
        <v>112917</v>
      </c>
      <c r="C112" s="98" t="s">
        <v>6330</v>
      </c>
      <c r="D112" s="100" t="s">
        <v>272</v>
      </c>
      <c r="E112" s="100" t="s">
        <v>270</v>
      </c>
      <c r="F112" s="100" t="s">
        <v>273</v>
      </c>
      <c r="G112" s="98" t="s">
        <v>36</v>
      </c>
      <c r="H112" s="98" t="str">
        <f>VLOOKUP(G112,CGS[],2,FALSE)</f>
        <v>BLINE</v>
      </c>
      <c r="I112" s="65">
        <v>1850</v>
      </c>
      <c r="J112" s="101">
        <f>IF(ISBLANK(Pricelist[[#This Row],[EBS]]),"",VALUE(LEFT(Pricelist[[#This Row],[EBS]],LEN(Pricelist[[#This Row],[EBS]])-LEN(Pricelist[[#This Row],[E2]])-1)))</f>
        <v>50</v>
      </c>
      <c r="K112" s="65">
        <v>3300</v>
      </c>
      <c r="L112" s="101">
        <f>IF(ISBLANK(Pricelist[[#This Row],[EBS]]),"",VALUE(RIGHT(Pricelist[[#This Row],[EBS]],3)))</f>
        <v>100</v>
      </c>
      <c r="M112" s="65">
        <v>3300</v>
      </c>
      <c r="N112" s="101">
        <f>IF(ISBLANK(Pricelist[[#This Row],[EBS]]),"",VALUE(RIGHT(Pricelist[[#This Row],[EBS]],3)))</f>
        <v>100</v>
      </c>
      <c r="O112" s="101" t="str">
        <f>IF(AND(Pricelist[[#This Row],[AE1]]&lt;&gt;"",OR(Pricelist[[#This Row],[区]]="南",Pricelist[[#This Row],[区]]="北")),MID(Pricelist[[#This Row],[AE1]],4,2),"")</f>
        <v/>
      </c>
      <c r="P112" s="102">
        <v>1850</v>
      </c>
      <c r="Q112" s="103">
        <v>3300</v>
      </c>
      <c r="R112" s="103">
        <v>3300</v>
      </c>
      <c r="S112" s="104" t="s">
        <v>2205</v>
      </c>
      <c r="T112" s="104"/>
      <c r="U112" s="105" t="s">
        <v>508</v>
      </c>
      <c r="V112" s="100" t="s">
        <v>504</v>
      </c>
      <c r="W112" s="106" t="s">
        <v>68</v>
      </c>
      <c r="X112" s="106" t="s">
        <v>69</v>
      </c>
      <c r="Y112" s="106">
        <v>65</v>
      </c>
      <c r="Z112" s="107">
        <v>43416</v>
      </c>
      <c r="AA112" s="108">
        <v>43422</v>
      </c>
      <c r="AB112" s="109" t="s">
        <v>39</v>
      </c>
      <c r="AC112" s="109"/>
    </row>
    <row r="113" spans="1:29" hidden="1" x14ac:dyDescent="0.15">
      <c r="A113" s="98">
        <v>112</v>
      </c>
      <c r="B113" s="99">
        <v>112917</v>
      </c>
      <c r="C113" s="98" t="s">
        <v>6330</v>
      </c>
      <c r="D113" s="100" t="s">
        <v>272</v>
      </c>
      <c r="E113" s="100" t="s">
        <v>270</v>
      </c>
      <c r="F113" s="100" t="s">
        <v>273</v>
      </c>
      <c r="G113" s="98" t="s">
        <v>8</v>
      </c>
      <c r="H113" s="98" t="str">
        <f>VLOOKUP(G113,CGS[],2,FALSE)</f>
        <v>CMA</v>
      </c>
      <c r="I113" s="65">
        <v>1825</v>
      </c>
      <c r="J113" s="101">
        <f>IF(ISBLANK(Pricelist[[#This Row],[EBS]]),"",VALUE(LEFT(Pricelist[[#This Row],[EBS]],LEN(Pricelist[[#This Row],[EBS]])-LEN(Pricelist[[#This Row],[E2]])-1)))</f>
        <v>55</v>
      </c>
      <c r="K113" s="65">
        <v>3600</v>
      </c>
      <c r="L113" s="101">
        <f>IF(ISBLANK(Pricelist[[#This Row],[EBS]]),"",VALUE(RIGHT(Pricelist[[#This Row],[EBS]],3)))</f>
        <v>110</v>
      </c>
      <c r="M113" s="65">
        <v>3600</v>
      </c>
      <c r="N113" s="101">
        <f>IF(ISBLANK(Pricelist[[#This Row],[EBS]]),"",VALUE(RIGHT(Pricelist[[#This Row],[EBS]],3)))</f>
        <v>110</v>
      </c>
      <c r="O113" s="101" t="str">
        <f>IF(AND(Pricelist[[#This Row],[AE1]]&lt;&gt;"",OR(Pricelist[[#This Row],[区]]="南",Pricelist[[#This Row],[区]]="北")),MID(Pricelist[[#This Row],[AE1]],4,2),"")</f>
        <v/>
      </c>
      <c r="P113" s="102">
        <v>1900</v>
      </c>
      <c r="Q113" s="103">
        <v>3750</v>
      </c>
      <c r="R113" s="103">
        <v>3750</v>
      </c>
      <c r="S113" s="104" t="s">
        <v>2204</v>
      </c>
      <c r="T113" s="104"/>
      <c r="U113" s="105" t="s">
        <v>509</v>
      </c>
      <c r="V113" s="100" t="s">
        <v>507</v>
      </c>
      <c r="W113" s="106" t="s">
        <v>73</v>
      </c>
      <c r="X113" s="106" t="s">
        <v>274</v>
      </c>
      <c r="Y113" s="106">
        <v>40</v>
      </c>
      <c r="Z113" s="107">
        <v>43435</v>
      </c>
      <c r="AA113" s="108">
        <v>43448</v>
      </c>
      <c r="AB113" s="109" t="s">
        <v>74</v>
      </c>
      <c r="AC113" s="109"/>
    </row>
    <row r="114" spans="1:29" hidden="1" x14ac:dyDescent="0.15">
      <c r="A114" s="98">
        <v>113</v>
      </c>
      <c r="B114" s="99">
        <v>112917</v>
      </c>
      <c r="C114" s="98" t="s">
        <v>6330</v>
      </c>
      <c r="D114" s="100" t="s">
        <v>275</v>
      </c>
      <c r="E114" s="100" t="s">
        <v>270</v>
      </c>
      <c r="F114" s="100" t="s">
        <v>276</v>
      </c>
      <c r="G114" s="98" t="s">
        <v>8</v>
      </c>
      <c r="H114" s="98" t="str">
        <f>VLOOKUP(G114,CGS[],2,FALSE)</f>
        <v>CMA</v>
      </c>
      <c r="I114" s="65">
        <v>1825</v>
      </c>
      <c r="J114" s="101">
        <f>IF(ISBLANK(Pricelist[[#This Row],[EBS]]),"",VALUE(LEFT(Pricelist[[#This Row],[EBS]],LEN(Pricelist[[#This Row],[EBS]])-LEN(Pricelist[[#This Row],[E2]])-1)))</f>
        <v>55</v>
      </c>
      <c r="K114" s="65">
        <v>3600</v>
      </c>
      <c r="L114" s="101">
        <f>IF(ISBLANK(Pricelist[[#This Row],[EBS]]),"",VALUE(RIGHT(Pricelist[[#This Row],[EBS]],3)))</f>
        <v>110</v>
      </c>
      <c r="M114" s="65">
        <v>3600</v>
      </c>
      <c r="N114" s="101">
        <f>IF(ISBLANK(Pricelist[[#This Row],[EBS]]),"",VALUE(RIGHT(Pricelist[[#This Row],[EBS]],3)))</f>
        <v>110</v>
      </c>
      <c r="O114" s="101" t="str">
        <f>IF(AND(Pricelist[[#This Row],[AE1]]&lt;&gt;"",OR(Pricelist[[#This Row],[区]]="南",Pricelist[[#This Row],[区]]="北")),MID(Pricelist[[#This Row],[AE1]],4,2),"")</f>
        <v/>
      </c>
      <c r="P114" s="102">
        <v>1900</v>
      </c>
      <c r="Q114" s="103">
        <v>3750</v>
      </c>
      <c r="R114" s="103">
        <v>3750</v>
      </c>
      <c r="S114" s="104" t="s">
        <v>2204</v>
      </c>
      <c r="T114" s="104"/>
      <c r="U114" s="105" t="s">
        <v>509</v>
      </c>
      <c r="V114" s="100" t="s">
        <v>507</v>
      </c>
      <c r="W114" s="106" t="s">
        <v>73</v>
      </c>
      <c r="X114" s="106" t="s">
        <v>274</v>
      </c>
      <c r="Y114" s="106">
        <v>40</v>
      </c>
      <c r="Z114" s="107">
        <v>43435</v>
      </c>
      <c r="AA114" s="108">
        <v>43448</v>
      </c>
      <c r="AB114" s="109" t="s">
        <v>74</v>
      </c>
      <c r="AC114" s="109"/>
    </row>
    <row r="115" spans="1:29" hidden="1" x14ac:dyDescent="0.15">
      <c r="A115" s="98">
        <v>114</v>
      </c>
      <c r="B115" s="99">
        <v>112917</v>
      </c>
      <c r="C115" s="98" t="s">
        <v>6330</v>
      </c>
      <c r="D115" s="100" t="s">
        <v>277</v>
      </c>
      <c r="E115" s="100" t="s">
        <v>270</v>
      </c>
      <c r="F115" s="100" t="s">
        <v>278</v>
      </c>
      <c r="G115" s="98" t="s">
        <v>17</v>
      </c>
      <c r="H115" s="98" t="str">
        <f>VLOOKUP(G115,CGS[],2,FALSE)</f>
        <v>MSC</v>
      </c>
      <c r="I115" s="65">
        <v>1675</v>
      </c>
      <c r="J115" s="101">
        <f>IF(ISBLANK(Pricelist[[#This Row],[EBS]]),"",VALUE(LEFT(Pricelist[[#This Row],[EBS]],LEN(Pricelist[[#This Row],[EBS]])-LEN(Pricelist[[#This Row],[E2]])-1)))</f>
        <v>100</v>
      </c>
      <c r="K115" s="65">
        <v>3350</v>
      </c>
      <c r="L115" s="101">
        <f>IF(ISBLANK(Pricelist[[#This Row],[EBS]]),"",VALUE(RIGHT(Pricelist[[#This Row],[EBS]],3)))</f>
        <v>200</v>
      </c>
      <c r="M115" s="65">
        <v>3450</v>
      </c>
      <c r="N115" s="101">
        <f>IF(ISBLANK(Pricelist[[#This Row],[EBS]]),"",VALUE(RIGHT(Pricelist[[#This Row],[EBS]],3)))</f>
        <v>200</v>
      </c>
      <c r="O115" s="101" t="str">
        <f>IF(AND(Pricelist[[#This Row],[AE1]]&lt;&gt;"",OR(Pricelist[[#This Row],[区]]="南",Pricelist[[#This Row],[区]]="北")),MID(Pricelist[[#This Row],[AE1]],4,2),"")</f>
        <v/>
      </c>
      <c r="P115" s="102">
        <v>1675</v>
      </c>
      <c r="Q115" s="103">
        <v>3350</v>
      </c>
      <c r="R115" s="103">
        <v>3450</v>
      </c>
      <c r="S115" s="104" t="s">
        <v>6328</v>
      </c>
      <c r="T115" s="104"/>
      <c r="U115" s="105" t="s">
        <v>506</v>
      </c>
      <c r="V115" s="100" t="s">
        <v>504</v>
      </c>
      <c r="W115" s="106" t="s">
        <v>76</v>
      </c>
      <c r="X115" s="106" t="s">
        <v>77</v>
      </c>
      <c r="Y115" s="106">
        <v>28</v>
      </c>
      <c r="Z115" s="107">
        <v>43435</v>
      </c>
      <c r="AA115" s="108">
        <v>43448</v>
      </c>
      <c r="AB115" s="109"/>
      <c r="AC115" s="109" t="s">
        <v>56</v>
      </c>
    </row>
    <row r="116" spans="1:29" ht="25.5" hidden="1" x14ac:dyDescent="0.15">
      <c r="A116" s="98">
        <v>115</v>
      </c>
      <c r="B116" s="99">
        <v>112917</v>
      </c>
      <c r="C116" s="98" t="s">
        <v>6330</v>
      </c>
      <c r="D116" s="100" t="s">
        <v>279</v>
      </c>
      <c r="E116" s="100" t="s">
        <v>270</v>
      </c>
      <c r="F116" s="100" t="s">
        <v>280</v>
      </c>
      <c r="G116" s="98" t="s">
        <v>8</v>
      </c>
      <c r="H116" s="98" t="str">
        <f>VLOOKUP(G116,CGS[],2,FALSE)</f>
        <v>CMA</v>
      </c>
      <c r="I116" s="65">
        <v>1825</v>
      </c>
      <c r="J116" s="101">
        <f>IF(ISBLANK(Pricelist[[#This Row],[EBS]]),"",VALUE(LEFT(Pricelist[[#This Row],[EBS]],LEN(Pricelist[[#This Row],[EBS]])-LEN(Pricelist[[#This Row],[E2]])-1)))</f>
        <v>55</v>
      </c>
      <c r="K116" s="65">
        <v>3600</v>
      </c>
      <c r="L116" s="101">
        <f>IF(ISBLANK(Pricelist[[#This Row],[EBS]]),"",VALUE(RIGHT(Pricelist[[#This Row],[EBS]],3)))</f>
        <v>110</v>
      </c>
      <c r="M116" s="65">
        <v>3600</v>
      </c>
      <c r="N116" s="101">
        <f>IF(ISBLANK(Pricelist[[#This Row],[EBS]]),"",VALUE(RIGHT(Pricelist[[#This Row],[EBS]],3)))</f>
        <v>110</v>
      </c>
      <c r="O116" s="101" t="str">
        <f>IF(AND(Pricelist[[#This Row],[AE1]]&lt;&gt;"",OR(Pricelist[[#This Row],[区]]="南",Pricelist[[#This Row],[区]]="北")),MID(Pricelist[[#This Row],[AE1]],4,2),"")</f>
        <v/>
      </c>
      <c r="P116" s="102">
        <v>1900</v>
      </c>
      <c r="Q116" s="103">
        <v>3750</v>
      </c>
      <c r="R116" s="103">
        <v>3750</v>
      </c>
      <c r="S116" s="104" t="s">
        <v>2204</v>
      </c>
      <c r="T116" s="104"/>
      <c r="U116" s="105" t="s">
        <v>509</v>
      </c>
      <c r="V116" s="100" t="s">
        <v>507</v>
      </c>
      <c r="W116" s="106" t="s">
        <v>73</v>
      </c>
      <c r="X116" s="106" t="s">
        <v>274</v>
      </c>
      <c r="Y116" s="106">
        <v>40</v>
      </c>
      <c r="Z116" s="107">
        <v>43435</v>
      </c>
      <c r="AA116" s="108">
        <v>43448</v>
      </c>
      <c r="AB116" s="109" t="s">
        <v>74</v>
      </c>
      <c r="AC116" s="109" t="s">
        <v>75</v>
      </c>
    </row>
    <row r="117" spans="1:29" hidden="1" x14ac:dyDescent="0.15">
      <c r="A117" s="98">
        <v>116</v>
      </c>
      <c r="B117" s="99">
        <v>112917</v>
      </c>
      <c r="C117" s="98" t="s">
        <v>6330</v>
      </c>
      <c r="D117" s="100" t="s">
        <v>279</v>
      </c>
      <c r="E117" s="100" t="s">
        <v>270</v>
      </c>
      <c r="F117" s="100" t="s">
        <v>280</v>
      </c>
      <c r="G117" s="98" t="s">
        <v>36</v>
      </c>
      <c r="H117" s="98" t="str">
        <f>VLOOKUP(G117,CGS[],2,FALSE)</f>
        <v>BLINE</v>
      </c>
      <c r="I117" s="65">
        <v>1950</v>
      </c>
      <c r="J117" s="101">
        <f>IF(ISBLANK(Pricelist[[#This Row],[EBS]]),"",VALUE(LEFT(Pricelist[[#This Row],[EBS]],LEN(Pricelist[[#This Row],[EBS]])-LEN(Pricelist[[#This Row],[E2]])-1)))</f>
        <v>50</v>
      </c>
      <c r="K117" s="65">
        <v>3400</v>
      </c>
      <c r="L117" s="101">
        <f>IF(ISBLANK(Pricelist[[#This Row],[EBS]]),"",VALUE(RIGHT(Pricelist[[#This Row],[EBS]],3)))</f>
        <v>100</v>
      </c>
      <c r="M117" s="65">
        <v>3400</v>
      </c>
      <c r="N117" s="101">
        <f>IF(ISBLANK(Pricelist[[#This Row],[EBS]]),"",VALUE(RIGHT(Pricelist[[#This Row],[EBS]],3)))</f>
        <v>100</v>
      </c>
      <c r="O117" s="101" t="str">
        <f>IF(AND(Pricelist[[#This Row],[AE1]]&lt;&gt;"",OR(Pricelist[[#This Row],[区]]="南",Pricelist[[#This Row],[区]]="北")),MID(Pricelist[[#This Row],[AE1]],4,2),"")</f>
        <v/>
      </c>
      <c r="P117" s="102">
        <v>1950</v>
      </c>
      <c r="Q117" s="103">
        <v>3400</v>
      </c>
      <c r="R117" s="103">
        <v>3400</v>
      </c>
      <c r="S117" s="104" t="s">
        <v>2205</v>
      </c>
      <c r="T117" s="104"/>
      <c r="U117" s="105" t="s">
        <v>508</v>
      </c>
      <c r="V117" s="100" t="s">
        <v>504</v>
      </c>
      <c r="W117" s="106" t="s">
        <v>37</v>
      </c>
      <c r="X117" s="106" t="s">
        <v>38</v>
      </c>
      <c r="Y117" s="106">
        <v>45</v>
      </c>
      <c r="Z117" s="107">
        <v>43416</v>
      </c>
      <c r="AA117" s="108">
        <v>43422</v>
      </c>
      <c r="AB117" s="109" t="s">
        <v>39</v>
      </c>
      <c r="AC117" s="109"/>
    </row>
    <row r="118" spans="1:29" hidden="1" x14ac:dyDescent="0.15">
      <c r="A118" s="98">
        <v>117</v>
      </c>
      <c r="B118" s="99">
        <v>112917</v>
      </c>
      <c r="C118" s="98" t="s">
        <v>6330</v>
      </c>
      <c r="D118" s="100" t="s">
        <v>281</v>
      </c>
      <c r="E118" s="100" t="s">
        <v>270</v>
      </c>
      <c r="F118" s="100" t="s">
        <v>282</v>
      </c>
      <c r="G118" s="98" t="s">
        <v>8</v>
      </c>
      <c r="H118" s="98" t="str">
        <f>VLOOKUP(G118,CGS[],2,FALSE)</f>
        <v>CMA</v>
      </c>
      <c r="I118" s="65">
        <v>2075</v>
      </c>
      <c r="J118" s="101">
        <f>IF(ISBLANK(Pricelist[[#This Row],[EBS]]),"",VALUE(LEFT(Pricelist[[#This Row],[EBS]],LEN(Pricelist[[#This Row],[EBS]])-LEN(Pricelist[[#This Row],[E2]])-1)))</f>
        <v>55</v>
      </c>
      <c r="K118" s="65">
        <v>3750</v>
      </c>
      <c r="L118" s="101">
        <f>IF(ISBLANK(Pricelist[[#This Row],[EBS]]),"",VALUE(RIGHT(Pricelist[[#This Row],[EBS]],3)))</f>
        <v>110</v>
      </c>
      <c r="M118" s="65">
        <v>3750</v>
      </c>
      <c r="N118" s="101">
        <f>IF(ISBLANK(Pricelist[[#This Row],[EBS]]),"",VALUE(RIGHT(Pricelist[[#This Row],[EBS]],3)))</f>
        <v>110</v>
      </c>
      <c r="O118" s="101" t="str">
        <f>IF(AND(Pricelist[[#This Row],[AE1]]&lt;&gt;"",OR(Pricelist[[#This Row],[区]]="南",Pricelist[[#This Row],[区]]="北")),MID(Pricelist[[#This Row],[AE1]],4,2),"")</f>
        <v/>
      </c>
      <c r="P118" s="102">
        <v>2100</v>
      </c>
      <c r="Q118" s="103">
        <v>4050</v>
      </c>
      <c r="R118" s="103">
        <v>4050</v>
      </c>
      <c r="S118" s="104" t="s">
        <v>2204</v>
      </c>
      <c r="T118" s="104"/>
      <c r="U118" s="105" t="s">
        <v>508</v>
      </c>
      <c r="V118" s="100" t="s">
        <v>507</v>
      </c>
      <c r="W118" s="106" t="s">
        <v>256</v>
      </c>
      <c r="X118" s="106" t="s">
        <v>283</v>
      </c>
      <c r="Y118" s="106">
        <v>45</v>
      </c>
      <c r="Z118" s="107">
        <v>43435</v>
      </c>
      <c r="AA118" s="108">
        <v>43448</v>
      </c>
      <c r="AB118" s="109" t="s">
        <v>2216</v>
      </c>
      <c r="AC118" s="109"/>
    </row>
    <row r="119" spans="1:29" hidden="1" x14ac:dyDescent="0.15">
      <c r="A119" s="98">
        <v>118</v>
      </c>
      <c r="B119" s="99">
        <v>112917</v>
      </c>
      <c r="C119" s="98" t="s">
        <v>6330</v>
      </c>
      <c r="D119" s="100" t="s">
        <v>281</v>
      </c>
      <c r="E119" s="100" t="s">
        <v>270</v>
      </c>
      <c r="F119" s="100" t="s">
        <v>282</v>
      </c>
      <c r="G119" s="98" t="s">
        <v>36</v>
      </c>
      <c r="H119" s="98" t="str">
        <f>VLOOKUP(G119,CGS[],2,FALSE)</f>
        <v>BLINE</v>
      </c>
      <c r="I119" s="65">
        <v>1950</v>
      </c>
      <c r="J119" s="101">
        <f>IF(ISBLANK(Pricelist[[#This Row],[EBS]]),"",VALUE(LEFT(Pricelist[[#This Row],[EBS]],LEN(Pricelist[[#This Row],[EBS]])-LEN(Pricelist[[#This Row],[E2]])-1)))</f>
        <v>50</v>
      </c>
      <c r="K119" s="65">
        <v>3400</v>
      </c>
      <c r="L119" s="101">
        <f>IF(ISBLANK(Pricelist[[#This Row],[EBS]]),"",VALUE(RIGHT(Pricelist[[#This Row],[EBS]],3)))</f>
        <v>100</v>
      </c>
      <c r="M119" s="65">
        <v>3400</v>
      </c>
      <c r="N119" s="101">
        <f>IF(ISBLANK(Pricelist[[#This Row],[EBS]]),"",VALUE(RIGHT(Pricelist[[#This Row],[EBS]],3)))</f>
        <v>100</v>
      </c>
      <c r="O119" s="101" t="str">
        <f>IF(AND(Pricelist[[#This Row],[AE1]]&lt;&gt;"",OR(Pricelist[[#This Row],[区]]="南",Pricelist[[#This Row],[区]]="北")),MID(Pricelist[[#This Row],[AE1]],4,2),"")</f>
        <v/>
      </c>
      <c r="P119" s="102">
        <v>1950</v>
      </c>
      <c r="Q119" s="103">
        <v>3400</v>
      </c>
      <c r="R119" s="103">
        <v>3400</v>
      </c>
      <c r="S119" s="104" t="s">
        <v>2205</v>
      </c>
      <c r="T119" s="104"/>
      <c r="U119" s="105" t="s">
        <v>508</v>
      </c>
      <c r="V119" s="100" t="s">
        <v>504</v>
      </c>
      <c r="W119" s="106" t="s">
        <v>68</v>
      </c>
      <c r="X119" s="106" t="s">
        <v>69</v>
      </c>
      <c r="Y119" s="106">
        <v>65</v>
      </c>
      <c r="Z119" s="107">
        <v>43416</v>
      </c>
      <c r="AA119" s="108">
        <v>43422</v>
      </c>
      <c r="AB119" s="109" t="s">
        <v>39</v>
      </c>
      <c r="AC119" s="109"/>
    </row>
    <row r="120" spans="1:29" hidden="1" x14ac:dyDescent="0.15">
      <c r="A120" s="98">
        <v>119</v>
      </c>
      <c r="B120" s="99">
        <v>112917</v>
      </c>
      <c r="C120" s="98" t="s">
        <v>6330</v>
      </c>
      <c r="D120" s="100" t="s">
        <v>284</v>
      </c>
      <c r="E120" s="100" t="s">
        <v>270</v>
      </c>
      <c r="F120" s="100" t="s">
        <v>285</v>
      </c>
      <c r="G120" s="98" t="s">
        <v>36</v>
      </c>
      <c r="H120" s="98" t="str">
        <f>VLOOKUP(G120,CGS[],2,FALSE)</f>
        <v>BLINE</v>
      </c>
      <c r="I120" s="65">
        <v>1950</v>
      </c>
      <c r="J120" s="101">
        <f>IF(ISBLANK(Pricelist[[#This Row],[EBS]]),"",VALUE(LEFT(Pricelist[[#This Row],[EBS]],LEN(Pricelist[[#This Row],[EBS]])-LEN(Pricelist[[#This Row],[E2]])-1)))</f>
        <v>50</v>
      </c>
      <c r="K120" s="65">
        <v>3400</v>
      </c>
      <c r="L120" s="101">
        <f>IF(ISBLANK(Pricelist[[#This Row],[EBS]]),"",VALUE(RIGHT(Pricelist[[#This Row],[EBS]],3)))</f>
        <v>100</v>
      </c>
      <c r="M120" s="65">
        <v>3400</v>
      </c>
      <c r="N120" s="101">
        <f>IF(ISBLANK(Pricelist[[#This Row],[EBS]]),"",VALUE(RIGHT(Pricelist[[#This Row],[EBS]],3)))</f>
        <v>100</v>
      </c>
      <c r="O120" s="101" t="str">
        <f>IF(AND(Pricelist[[#This Row],[AE1]]&lt;&gt;"",OR(Pricelist[[#This Row],[区]]="南",Pricelist[[#This Row],[区]]="北")),MID(Pricelist[[#This Row],[AE1]],4,2),"")</f>
        <v/>
      </c>
      <c r="P120" s="102">
        <v>1950</v>
      </c>
      <c r="Q120" s="103">
        <v>3400</v>
      </c>
      <c r="R120" s="103">
        <v>3400</v>
      </c>
      <c r="S120" s="104" t="s">
        <v>2205</v>
      </c>
      <c r="T120" s="104"/>
      <c r="U120" s="105" t="s">
        <v>508</v>
      </c>
      <c r="V120" s="100" t="s">
        <v>504</v>
      </c>
      <c r="W120" s="106" t="s">
        <v>68</v>
      </c>
      <c r="X120" s="106" t="s">
        <v>69</v>
      </c>
      <c r="Y120" s="106">
        <v>67</v>
      </c>
      <c r="Z120" s="107">
        <v>43416</v>
      </c>
      <c r="AA120" s="108">
        <v>43422</v>
      </c>
      <c r="AB120" s="109" t="s">
        <v>39</v>
      </c>
      <c r="AC120" s="109"/>
    </row>
    <row r="121" spans="1:29" ht="14.25" hidden="1" x14ac:dyDescent="0.15">
      <c r="A121" s="98">
        <v>120</v>
      </c>
      <c r="B121" s="99">
        <v>112917</v>
      </c>
      <c r="C121" s="98" t="s">
        <v>6330</v>
      </c>
      <c r="D121" s="100" t="s">
        <v>284</v>
      </c>
      <c r="E121" s="100" t="s">
        <v>270</v>
      </c>
      <c r="F121" s="100" t="s">
        <v>285</v>
      </c>
      <c r="G121" s="98" t="s">
        <v>8</v>
      </c>
      <c r="H121" s="98" t="str">
        <f>VLOOKUP(G121,CGS[],2,FALSE)</f>
        <v>CMA</v>
      </c>
      <c r="I121" s="65" t="s">
        <v>5575</v>
      </c>
      <c r="J121" s="101">
        <f>IF(ISBLANK(Pricelist[[#This Row],[EBS]]),"",VALUE(LEFT(Pricelist[[#This Row],[EBS]],LEN(Pricelist[[#This Row],[EBS]])-LEN(Pricelist[[#This Row],[E2]])-1)))</f>
        <v>55</v>
      </c>
      <c r="K121" s="65" t="s">
        <v>5575</v>
      </c>
      <c r="L121" s="101">
        <f>IF(ISBLANK(Pricelist[[#This Row],[EBS]]),"",VALUE(RIGHT(Pricelist[[#This Row],[EBS]],3)))</f>
        <v>110</v>
      </c>
      <c r="M121" s="65" t="s">
        <v>5575</v>
      </c>
      <c r="N121" s="101">
        <f>IF(ISBLANK(Pricelist[[#This Row],[EBS]]),"",VALUE(RIGHT(Pricelist[[#This Row],[EBS]],3)))</f>
        <v>110</v>
      </c>
      <c r="O121" s="101" t="str">
        <f>IF(AND(Pricelist[[#This Row],[AE1]]&lt;&gt;"",OR(Pricelist[[#This Row],[区]]="南",Pricelist[[#This Row],[区]]="北")),MID(Pricelist[[#This Row],[AE1]],4,2),"")</f>
        <v/>
      </c>
      <c r="P121" s="102" t="s">
        <v>5576</v>
      </c>
      <c r="Q121" s="103" t="s">
        <v>5575</v>
      </c>
      <c r="R121" s="103" t="s">
        <v>5575</v>
      </c>
      <c r="S121" s="104" t="s">
        <v>2204</v>
      </c>
      <c r="T121" s="104"/>
      <c r="U121" s="105" t="s">
        <v>508</v>
      </c>
      <c r="V121" s="100" t="s">
        <v>507</v>
      </c>
      <c r="W121" s="106" t="s">
        <v>256</v>
      </c>
      <c r="X121" s="106" t="s">
        <v>257</v>
      </c>
      <c r="Y121" s="106" t="s">
        <v>2215</v>
      </c>
      <c r="Z121" s="107"/>
      <c r="AA121" s="108"/>
      <c r="AB121" s="109" t="s">
        <v>2216</v>
      </c>
      <c r="AC121" s="109"/>
    </row>
    <row r="122" spans="1:29" hidden="1" x14ac:dyDescent="0.15">
      <c r="A122" s="98">
        <v>121</v>
      </c>
      <c r="B122" s="99">
        <v>112917</v>
      </c>
      <c r="C122" s="98" t="s">
        <v>6330</v>
      </c>
      <c r="D122" s="100" t="s">
        <v>413</v>
      </c>
      <c r="E122" s="100" t="s">
        <v>286</v>
      </c>
      <c r="F122" s="100" t="s">
        <v>287</v>
      </c>
      <c r="G122" s="98" t="s">
        <v>21</v>
      </c>
      <c r="H122" s="98" t="str">
        <f>VLOOKUP(G122,CGS[],2,FALSE)</f>
        <v>MSK</v>
      </c>
      <c r="I122" s="65">
        <v>875</v>
      </c>
      <c r="J122" s="101" t="str">
        <f>IF(ISBLANK(Pricelist[[#This Row],[EBS]]),"",VALUE(LEFT(Pricelist[[#This Row],[EBS]],LEN(Pricelist[[#This Row],[EBS]])-LEN(Pricelist[[#This Row],[E2]])-1)))</f>
        <v/>
      </c>
      <c r="K122" s="65">
        <v>1550</v>
      </c>
      <c r="L122" s="101" t="str">
        <f>IF(ISBLANK(Pricelist[[#This Row],[EBS]]),"",VALUE(RIGHT(Pricelist[[#This Row],[EBS]],3)))</f>
        <v/>
      </c>
      <c r="M122" s="65">
        <v>1550</v>
      </c>
      <c r="N122" s="101" t="str">
        <f>IF(ISBLANK(Pricelist[[#This Row],[EBS]]),"",VALUE(RIGHT(Pricelist[[#This Row],[EBS]],3)))</f>
        <v/>
      </c>
      <c r="O122" s="101" t="str">
        <f>IF(AND(Pricelist[[#This Row],[AE1]]&lt;&gt;"",OR(Pricelist[[#This Row],[区]]="南",Pricelist[[#This Row],[区]]="北")),MID(Pricelist[[#This Row],[AE1]],4,2),"")</f>
        <v>30</v>
      </c>
      <c r="P122" s="102">
        <v>900</v>
      </c>
      <c r="Q122" s="103">
        <v>1600</v>
      </c>
      <c r="R122" s="103">
        <v>1600</v>
      </c>
      <c r="S122" s="104"/>
      <c r="T122" s="104" t="s">
        <v>2201</v>
      </c>
      <c r="U122" s="105" t="s">
        <v>506</v>
      </c>
      <c r="V122" s="100" t="s">
        <v>507</v>
      </c>
      <c r="W122" s="106" t="s">
        <v>48</v>
      </c>
      <c r="X122" s="106" t="s">
        <v>49</v>
      </c>
      <c r="Y122" s="106">
        <v>24</v>
      </c>
      <c r="Z122" s="107">
        <v>43435</v>
      </c>
      <c r="AA122" s="108">
        <v>43449</v>
      </c>
      <c r="AB122" s="109" t="s">
        <v>261</v>
      </c>
      <c r="AC122" s="109"/>
    </row>
    <row r="123" spans="1:29" ht="25.5" hidden="1" x14ac:dyDescent="0.15">
      <c r="A123" s="98">
        <v>122</v>
      </c>
      <c r="B123" s="99">
        <v>112917</v>
      </c>
      <c r="C123" s="98" t="s">
        <v>6330</v>
      </c>
      <c r="D123" s="100" t="s">
        <v>413</v>
      </c>
      <c r="E123" s="100" t="s">
        <v>286</v>
      </c>
      <c r="F123" s="100" t="s">
        <v>287</v>
      </c>
      <c r="G123" s="98" t="s">
        <v>24</v>
      </c>
      <c r="H123" s="98" t="str">
        <f>VLOOKUP(G123,CGS[],2,FALSE)</f>
        <v>SAF</v>
      </c>
      <c r="I123" s="65">
        <v>840</v>
      </c>
      <c r="J123" s="101">
        <f>IF(ISBLANK(Pricelist[[#This Row],[EBS]]),"",VALUE(LEFT(Pricelist[[#This Row],[EBS]],LEN(Pricelist[[#This Row],[EBS]])-LEN(Pricelist[[#This Row],[E2]])-1)))</f>
        <v>60</v>
      </c>
      <c r="K123" s="65">
        <v>1480</v>
      </c>
      <c r="L123" s="101">
        <f>IF(ISBLANK(Pricelist[[#This Row],[EBS]]),"",VALUE(RIGHT(Pricelist[[#This Row],[EBS]],3)))</f>
        <v>120</v>
      </c>
      <c r="M123" s="65">
        <v>1480</v>
      </c>
      <c r="N123" s="101">
        <f>IF(ISBLANK(Pricelist[[#This Row],[EBS]]),"",VALUE(RIGHT(Pricelist[[#This Row],[EBS]],3)))</f>
        <v>120</v>
      </c>
      <c r="O123" s="101" t="str">
        <f>IF(AND(Pricelist[[#This Row],[AE1]]&lt;&gt;"",OR(Pricelist[[#This Row],[区]]="南",Pricelist[[#This Row],[区]]="北")),MID(Pricelist[[#This Row],[AE1]],4,2),"")</f>
        <v/>
      </c>
      <c r="P123" s="102">
        <v>840</v>
      </c>
      <c r="Q123" s="103">
        <v>1480</v>
      </c>
      <c r="R123" s="103">
        <v>1480</v>
      </c>
      <c r="S123" s="104" t="s">
        <v>2199</v>
      </c>
      <c r="T123" s="104"/>
      <c r="U123" s="105" t="s">
        <v>511</v>
      </c>
      <c r="V123" s="100" t="s">
        <v>507</v>
      </c>
      <c r="W123" s="106" t="s">
        <v>48</v>
      </c>
      <c r="X123" s="106" t="s">
        <v>49</v>
      </c>
      <c r="Y123" s="106">
        <v>24</v>
      </c>
      <c r="Z123" s="107">
        <v>43405</v>
      </c>
      <c r="AA123" s="108">
        <v>43434</v>
      </c>
      <c r="AB123" s="109" t="s">
        <v>288</v>
      </c>
      <c r="AC123" s="109" t="s">
        <v>289</v>
      </c>
    </row>
    <row r="124" spans="1:29" hidden="1" x14ac:dyDescent="0.15">
      <c r="A124" s="98">
        <v>123</v>
      </c>
      <c r="B124" s="99">
        <v>112917</v>
      </c>
      <c r="C124" s="98" t="s">
        <v>6330</v>
      </c>
      <c r="D124" s="100" t="s">
        <v>413</v>
      </c>
      <c r="E124" s="100" t="s">
        <v>286</v>
      </c>
      <c r="F124" s="100" t="s">
        <v>287</v>
      </c>
      <c r="G124" s="98" t="s">
        <v>8</v>
      </c>
      <c r="H124" s="98" t="str">
        <f>VLOOKUP(G124,CGS[],2,FALSE)</f>
        <v>CMA</v>
      </c>
      <c r="I124" s="65">
        <v>975</v>
      </c>
      <c r="J124" s="101">
        <f>IF(ISBLANK(Pricelist[[#This Row],[EBS]]),"",VALUE(LEFT(Pricelist[[#This Row],[EBS]],LEN(Pricelist[[#This Row],[EBS]])-LEN(Pricelist[[#This Row],[E2]])-1)))</f>
        <v>55</v>
      </c>
      <c r="K124" s="65">
        <v>1700</v>
      </c>
      <c r="L124" s="101">
        <f>IF(ISBLANK(Pricelist[[#This Row],[EBS]]),"",VALUE(RIGHT(Pricelist[[#This Row],[EBS]],3)))</f>
        <v>110</v>
      </c>
      <c r="M124" s="65">
        <v>1700</v>
      </c>
      <c r="N124" s="101">
        <f>IF(ISBLANK(Pricelist[[#This Row],[EBS]]),"",VALUE(RIGHT(Pricelist[[#This Row],[EBS]],3)))</f>
        <v>110</v>
      </c>
      <c r="O124" s="101" t="str">
        <f>IF(AND(Pricelist[[#This Row],[AE1]]&lt;&gt;"",OR(Pricelist[[#This Row],[区]]="南",Pricelist[[#This Row],[区]]="北")),MID(Pricelist[[#This Row],[AE1]],4,2),"")</f>
        <v/>
      </c>
      <c r="P124" s="102">
        <v>1075</v>
      </c>
      <c r="Q124" s="103">
        <v>1900</v>
      </c>
      <c r="R124" s="103">
        <v>1900</v>
      </c>
      <c r="S124" s="104" t="s">
        <v>2204</v>
      </c>
      <c r="T124" s="104"/>
      <c r="U124" s="105" t="s">
        <v>509</v>
      </c>
      <c r="V124" s="100" t="s">
        <v>507</v>
      </c>
      <c r="W124" s="106" t="s">
        <v>22</v>
      </c>
      <c r="X124" s="106" t="s">
        <v>77</v>
      </c>
      <c r="Y124" s="106">
        <v>20</v>
      </c>
      <c r="Z124" s="107">
        <v>43435</v>
      </c>
      <c r="AA124" s="108">
        <v>43448</v>
      </c>
      <c r="AB124" s="109" t="s">
        <v>74</v>
      </c>
      <c r="AC124" s="109"/>
    </row>
    <row r="125" spans="1:29" hidden="1" x14ac:dyDescent="0.15">
      <c r="A125" s="98">
        <v>124</v>
      </c>
      <c r="B125" s="99">
        <v>112917</v>
      </c>
      <c r="C125" s="98" t="s">
        <v>6330</v>
      </c>
      <c r="D125" s="100" t="s">
        <v>413</v>
      </c>
      <c r="E125" s="100" t="s">
        <v>286</v>
      </c>
      <c r="F125" s="100" t="s">
        <v>287</v>
      </c>
      <c r="G125" s="98" t="s">
        <v>18</v>
      </c>
      <c r="H125" s="98" t="str">
        <f>VLOOKUP(G125,CGS[],2,FALSE)</f>
        <v>PIL</v>
      </c>
      <c r="I125" s="65">
        <v>1162</v>
      </c>
      <c r="J125" s="101" t="str">
        <f>IF(ISBLANK(Pricelist[[#This Row],[EBS]]),"",VALUE(LEFT(Pricelist[[#This Row],[EBS]],LEN(Pricelist[[#This Row],[EBS]])-LEN(Pricelist[[#This Row],[E2]])-1)))</f>
        <v/>
      </c>
      <c r="K125" s="65">
        <v>2262</v>
      </c>
      <c r="L125" s="101" t="str">
        <f>IF(ISBLANK(Pricelist[[#This Row],[EBS]]),"",VALUE(RIGHT(Pricelist[[#This Row],[EBS]],3)))</f>
        <v/>
      </c>
      <c r="M125" s="65">
        <v>2262</v>
      </c>
      <c r="N125" s="101" t="str">
        <f>IF(ISBLANK(Pricelist[[#This Row],[EBS]]),"",VALUE(RIGHT(Pricelist[[#This Row],[EBS]],3)))</f>
        <v/>
      </c>
      <c r="O125" s="101" t="str">
        <f>IF(AND(Pricelist[[#This Row],[AE1]]&lt;&gt;"",OR(Pricelist[[#This Row],[区]]="南",Pricelist[[#This Row],[区]]="北")),MID(Pricelist[[#This Row],[AE1]],4,2),"")</f>
        <v>25</v>
      </c>
      <c r="P125" s="102">
        <v>1187</v>
      </c>
      <c r="Q125" s="103">
        <v>2312</v>
      </c>
      <c r="R125" s="103">
        <v>2312</v>
      </c>
      <c r="S125" s="104"/>
      <c r="T125" s="104" t="s">
        <v>2206</v>
      </c>
      <c r="U125" s="105" t="s">
        <v>508</v>
      </c>
      <c r="V125" s="100" t="s">
        <v>504</v>
      </c>
      <c r="W125" s="106" t="s">
        <v>22</v>
      </c>
      <c r="X125" s="106" t="s">
        <v>23</v>
      </c>
      <c r="Y125" s="106">
        <v>29</v>
      </c>
      <c r="Z125" s="107">
        <v>43419</v>
      </c>
      <c r="AA125" s="108">
        <v>43434</v>
      </c>
      <c r="AB125" s="109"/>
      <c r="AC125" s="109"/>
    </row>
    <row r="126" spans="1:29" hidden="1" x14ac:dyDescent="0.15">
      <c r="A126" s="98">
        <v>125</v>
      </c>
      <c r="B126" s="99">
        <v>112917</v>
      </c>
      <c r="C126" s="98" t="s">
        <v>6330</v>
      </c>
      <c r="D126" s="100" t="s">
        <v>290</v>
      </c>
      <c r="E126" s="100" t="s">
        <v>286</v>
      </c>
      <c r="F126" s="100" t="s">
        <v>291</v>
      </c>
      <c r="G126" s="98" t="s">
        <v>17</v>
      </c>
      <c r="H126" s="98" t="str">
        <f>VLOOKUP(G126,CGS[],2,FALSE)</f>
        <v>MSC</v>
      </c>
      <c r="I126" s="65">
        <v>925</v>
      </c>
      <c r="J126" s="101">
        <f>IF(ISBLANK(Pricelist[[#This Row],[EBS]]),"",VALUE(LEFT(Pricelist[[#This Row],[EBS]],LEN(Pricelist[[#This Row],[EBS]])-LEN(Pricelist[[#This Row],[E2]])-1)))</f>
        <v>100</v>
      </c>
      <c r="K126" s="65">
        <v>1850</v>
      </c>
      <c r="L126" s="101">
        <f>IF(ISBLANK(Pricelist[[#This Row],[EBS]]),"",VALUE(RIGHT(Pricelist[[#This Row],[EBS]],3)))</f>
        <v>200</v>
      </c>
      <c r="M126" s="65">
        <v>1850</v>
      </c>
      <c r="N126" s="101">
        <f>IF(ISBLANK(Pricelist[[#This Row],[EBS]]),"",VALUE(RIGHT(Pricelist[[#This Row],[EBS]],3)))</f>
        <v>200</v>
      </c>
      <c r="O126" s="101" t="str">
        <f>IF(AND(Pricelist[[#This Row],[AE1]]&lt;&gt;"",OR(Pricelist[[#This Row],[区]]="南",Pricelist[[#This Row],[区]]="北")),MID(Pricelist[[#This Row],[AE1]],4,2),"")</f>
        <v/>
      </c>
      <c r="P126" s="102">
        <v>925</v>
      </c>
      <c r="Q126" s="103">
        <v>1850</v>
      </c>
      <c r="R126" s="103">
        <v>1850</v>
      </c>
      <c r="S126" s="104" t="s">
        <v>6328</v>
      </c>
      <c r="T126" s="104"/>
      <c r="U126" s="105" t="s">
        <v>506</v>
      </c>
      <c r="V126" s="100" t="s">
        <v>504</v>
      </c>
      <c r="W126" s="106" t="s">
        <v>76</v>
      </c>
      <c r="X126" s="106" t="s">
        <v>77</v>
      </c>
      <c r="Y126" s="106">
        <v>26</v>
      </c>
      <c r="Z126" s="107">
        <v>43435</v>
      </c>
      <c r="AA126" s="108">
        <v>43448</v>
      </c>
      <c r="AB126" s="109"/>
      <c r="AC126" s="109" t="s">
        <v>56</v>
      </c>
    </row>
    <row r="127" spans="1:29" hidden="1" x14ac:dyDescent="0.15">
      <c r="A127" s="98">
        <v>126</v>
      </c>
      <c r="B127" s="99">
        <v>112917</v>
      </c>
      <c r="C127" s="98" t="s">
        <v>6330</v>
      </c>
      <c r="D127" s="100" t="s">
        <v>290</v>
      </c>
      <c r="E127" s="100" t="s">
        <v>286</v>
      </c>
      <c r="F127" s="100" t="s">
        <v>291</v>
      </c>
      <c r="G127" s="98" t="s">
        <v>8</v>
      </c>
      <c r="H127" s="98" t="str">
        <f>VLOOKUP(G127,CGS[],2,FALSE)</f>
        <v>CMA</v>
      </c>
      <c r="I127" s="65">
        <v>975</v>
      </c>
      <c r="J127" s="101">
        <f>IF(ISBLANK(Pricelist[[#This Row],[EBS]]),"",VALUE(LEFT(Pricelist[[#This Row],[EBS]],LEN(Pricelist[[#This Row],[EBS]])-LEN(Pricelist[[#This Row],[E2]])-1)))</f>
        <v>55</v>
      </c>
      <c r="K127" s="65">
        <v>1700</v>
      </c>
      <c r="L127" s="101">
        <f>IF(ISBLANK(Pricelist[[#This Row],[EBS]]),"",VALUE(RIGHT(Pricelist[[#This Row],[EBS]],3)))</f>
        <v>110</v>
      </c>
      <c r="M127" s="65">
        <v>1700</v>
      </c>
      <c r="N127" s="101">
        <f>IF(ISBLANK(Pricelist[[#This Row],[EBS]]),"",VALUE(RIGHT(Pricelist[[#This Row],[EBS]],3)))</f>
        <v>110</v>
      </c>
      <c r="O127" s="101" t="str">
        <f>IF(AND(Pricelist[[#This Row],[AE1]]&lt;&gt;"",OR(Pricelist[[#This Row],[区]]="南",Pricelist[[#This Row],[区]]="北")),MID(Pricelist[[#This Row],[AE1]],4,2),"")</f>
        <v/>
      </c>
      <c r="P127" s="102">
        <v>1075</v>
      </c>
      <c r="Q127" s="103">
        <v>1900</v>
      </c>
      <c r="R127" s="103">
        <v>1900</v>
      </c>
      <c r="S127" s="104" t="s">
        <v>2204</v>
      </c>
      <c r="T127" s="104"/>
      <c r="U127" s="105" t="s">
        <v>509</v>
      </c>
      <c r="V127" s="100" t="s">
        <v>507</v>
      </c>
      <c r="W127" s="106" t="s">
        <v>10</v>
      </c>
      <c r="X127" s="106" t="s">
        <v>11</v>
      </c>
      <c r="Y127" s="106">
        <v>22</v>
      </c>
      <c r="Z127" s="107">
        <v>43435</v>
      </c>
      <c r="AA127" s="108">
        <v>43448</v>
      </c>
      <c r="AB127" s="109" t="s">
        <v>74</v>
      </c>
      <c r="AC127" s="109"/>
    </row>
    <row r="128" spans="1:29" hidden="1" x14ac:dyDescent="0.15">
      <c r="A128" s="98">
        <v>127</v>
      </c>
      <c r="B128" s="99">
        <v>112917</v>
      </c>
      <c r="C128" s="98" t="s">
        <v>6330</v>
      </c>
      <c r="D128" s="100" t="s">
        <v>292</v>
      </c>
      <c r="E128" s="100" t="s">
        <v>243</v>
      </c>
      <c r="F128" s="100" t="s">
        <v>293</v>
      </c>
      <c r="G128" s="98" t="s">
        <v>24</v>
      </c>
      <c r="H128" s="98" t="str">
        <f>VLOOKUP(G128,CGS[],2,FALSE)</f>
        <v>SAF</v>
      </c>
      <c r="I128" s="65">
        <v>1315</v>
      </c>
      <c r="J128" s="101">
        <f>IF(ISBLANK(Pricelist[[#This Row],[EBS]]),"",VALUE(LEFT(Pricelist[[#This Row],[EBS]],LEN(Pricelist[[#This Row],[EBS]])-LEN(Pricelist[[#This Row],[E2]])-1)))</f>
        <v>60</v>
      </c>
      <c r="K128" s="65">
        <v>2630</v>
      </c>
      <c r="L128" s="101">
        <f>IF(ISBLANK(Pricelist[[#This Row],[EBS]]),"",VALUE(RIGHT(Pricelist[[#This Row],[EBS]],3)))</f>
        <v>120</v>
      </c>
      <c r="M128" s="65">
        <v>2630</v>
      </c>
      <c r="N128" s="101">
        <f>IF(ISBLANK(Pricelist[[#This Row],[EBS]]),"",VALUE(RIGHT(Pricelist[[#This Row],[EBS]],3)))</f>
        <v>120</v>
      </c>
      <c r="O128" s="101" t="str">
        <f>IF(AND(Pricelist[[#This Row],[AE1]]&lt;&gt;"",OR(Pricelist[[#This Row],[区]]="南",Pricelist[[#This Row],[区]]="北")),MID(Pricelist[[#This Row],[AE1]],4,2),"")</f>
        <v/>
      </c>
      <c r="P128" s="102">
        <v>1315</v>
      </c>
      <c r="Q128" s="103">
        <v>2630</v>
      </c>
      <c r="R128" s="103">
        <v>2630</v>
      </c>
      <c r="S128" s="104" t="s">
        <v>2199</v>
      </c>
      <c r="T128" s="104"/>
      <c r="U128" s="105" t="s">
        <v>508</v>
      </c>
      <c r="V128" s="100" t="s">
        <v>507</v>
      </c>
      <c r="W128" s="106" t="s">
        <v>294</v>
      </c>
      <c r="X128" s="106" t="s">
        <v>295</v>
      </c>
      <c r="Y128" s="106">
        <v>39</v>
      </c>
      <c r="Z128" s="107">
        <v>43435</v>
      </c>
      <c r="AA128" s="108">
        <v>43449</v>
      </c>
      <c r="AB128" s="109" t="s">
        <v>246</v>
      </c>
      <c r="AC128" s="109"/>
    </row>
    <row r="129" spans="1:29" hidden="1" x14ac:dyDescent="0.15">
      <c r="A129" s="98">
        <v>128</v>
      </c>
      <c r="B129" s="99">
        <v>112917</v>
      </c>
      <c r="C129" s="98" t="s">
        <v>6330</v>
      </c>
      <c r="D129" s="100" t="s">
        <v>292</v>
      </c>
      <c r="E129" s="100" t="s">
        <v>243</v>
      </c>
      <c r="F129" s="100" t="s">
        <v>293</v>
      </c>
      <c r="G129" s="98" t="s">
        <v>17</v>
      </c>
      <c r="H129" s="98" t="str">
        <f>VLOOKUP(G129,CGS[],2,FALSE)</f>
        <v>MSC</v>
      </c>
      <c r="I129" s="65">
        <v>1575</v>
      </c>
      <c r="J129" s="101">
        <f>IF(ISBLANK(Pricelist[[#This Row],[EBS]]),"",VALUE(LEFT(Pricelist[[#This Row],[EBS]],LEN(Pricelist[[#This Row],[EBS]])-LEN(Pricelist[[#This Row],[E2]])-1)))</f>
        <v>100</v>
      </c>
      <c r="K129" s="65">
        <v>2800</v>
      </c>
      <c r="L129" s="101">
        <f>IF(ISBLANK(Pricelist[[#This Row],[EBS]]),"",VALUE(RIGHT(Pricelist[[#This Row],[EBS]],3)))</f>
        <v>200</v>
      </c>
      <c r="M129" s="65">
        <v>2800</v>
      </c>
      <c r="N129" s="101">
        <f>IF(ISBLANK(Pricelist[[#This Row],[EBS]]),"",VALUE(RIGHT(Pricelist[[#This Row],[EBS]],3)))</f>
        <v>200</v>
      </c>
      <c r="O129" s="101" t="str">
        <f>IF(AND(Pricelist[[#This Row],[AE1]]&lt;&gt;"",OR(Pricelist[[#This Row],[区]]="南",Pricelist[[#This Row],[区]]="北")),MID(Pricelist[[#This Row],[AE1]],4,2),"")</f>
        <v/>
      </c>
      <c r="P129" s="102">
        <v>1575</v>
      </c>
      <c r="Q129" s="103">
        <v>2800</v>
      </c>
      <c r="R129" s="103">
        <v>2800</v>
      </c>
      <c r="S129" s="104" t="s">
        <v>6328</v>
      </c>
      <c r="T129" s="104"/>
      <c r="U129" s="105" t="s">
        <v>506</v>
      </c>
      <c r="V129" s="100" t="s">
        <v>504</v>
      </c>
      <c r="W129" s="106" t="s">
        <v>294</v>
      </c>
      <c r="X129" s="106" t="s">
        <v>295</v>
      </c>
      <c r="Y129" s="106">
        <v>34</v>
      </c>
      <c r="Z129" s="107">
        <v>43435</v>
      </c>
      <c r="AA129" s="108">
        <v>43448</v>
      </c>
      <c r="AB129" s="109"/>
      <c r="AC129" s="109" t="s">
        <v>56</v>
      </c>
    </row>
    <row r="130" spans="1:29" hidden="1" x14ac:dyDescent="0.15">
      <c r="A130" s="98">
        <v>129</v>
      </c>
      <c r="B130" s="99">
        <v>112917</v>
      </c>
      <c r="C130" s="98" t="s">
        <v>6330</v>
      </c>
      <c r="D130" s="100" t="s">
        <v>292</v>
      </c>
      <c r="E130" s="100" t="s">
        <v>243</v>
      </c>
      <c r="F130" s="100" t="s">
        <v>293</v>
      </c>
      <c r="G130" s="98" t="s">
        <v>21</v>
      </c>
      <c r="H130" s="98" t="str">
        <f>VLOOKUP(G130,CGS[],2,FALSE)</f>
        <v>MSK</v>
      </c>
      <c r="I130" s="65">
        <v>1625</v>
      </c>
      <c r="J130" s="101" t="str">
        <f>IF(ISBLANK(Pricelist[[#This Row],[EBS]]),"",VALUE(LEFT(Pricelist[[#This Row],[EBS]],LEN(Pricelist[[#This Row],[EBS]])-LEN(Pricelist[[#This Row],[E2]])-1)))</f>
        <v/>
      </c>
      <c r="K130" s="65">
        <v>3250</v>
      </c>
      <c r="L130" s="101" t="str">
        <f>IF(ISBLANK(Pricelist[[#This Row],[EBS]]),"",VALUE(RIGHT(Pricelist[[#This Row],[EBS]],3)))</f>
        <v/>
      </c>
      <c r="M130" s="65">
        <v>3250</v>
      </c>
      <c r="N130" s="101" t="str">
        <f>IF(ISBLANK(Pricelist[[#This Row],[EBS]]),"",VALUE(RIGHT(Pricelist[[#This Row],[EBS]],3)))</f>
        <v/>
      </c>
      <c r="O130" s="101" t="str">
        <f>IF(AND(Pricelist[[#This Row],[AE1]]&lt;&gt;"",OR(Pricelist[[#This Row],[区]]="南",Pricelist[[#This Row],[区]]="北")),MID(Pricelist[[#This Row],[AE1]],4,2),"")</f>
        <v/>
      </c>
      <c r="P130" s="102">
        <v>1650</v>
      </c>
      <c r="Q130" s="103">
        <v>3300</v>
      </c>
      <c r="R130" s="103">
        <v>3300</v>
      </c>
      <c r="S130" s="104"/>
      <c r="T130" s="104"/>
      <c r="U130" s="105" t="s">
        <v>508</v>
      </c>
      <c r="V130" s="100" t="s">
        <v>507</v>
      </c>
      <c r="W130" s="106" t="s">
        <v>294</v>
      </c>
      <c r="X130" s="106" t="s">
        <v>295</v>
      </c>
      <c r="Y130" s="106">
        <v>39</v>
      </c>
      <c r="Z130" s="107">
        <v>43435</v>
      </c>
      <c r="AA130" s="108">
        <v>43449</v>
      </c>
      <c r="AB130" s="109" t="s">
        <v>245</v>
      </c>
      <c r="AC130" s="109"/>
    </row>
    <row r="131" spans="1:29" hidden="1" x14ac:dyDescent="0.15">
      <c r="A131" s="98">
        <v>130</v>
      </c>
      <c r="B131" s="99">
        <v>112917</v>
      </c>
      <c r="C131" s="98" t="s">
        <v>6330</v>
      </c>
      <c r="D131" s="100" t="s">
        <v>296</v>
      </c>
      <c r="E131" s="100" t="s">
        <v>297</v>
      </c>
      <c r="F131" s="100" t="s">
        <v>298</v>
      </c>
      <c r="G131" s="98" t="s">
        <v>21</v>
      </c>
      <c r="H131" s="98" t="str">
        <f>VLOOKUP(G131,CGS[],2,FALSE)</f>
        <v>MSK</v>
      </c>
      <c r="I131" s="65">
        <v>1935</v>
      </c>
      <c r="J131" s="101" t="str">
        <f>IF(ISBLANK(Pricelist[[#This Row],[EBS]]),"",VALUE(LEFT(Pricelist[[#This Row],[EBS]],LEN(Pricelist[[#This Row],[EBS]])-LEN(Pricelist[[#This Row],[E2]])-1)))</f>
        <v/>
      </c>
      <c r="K131" s="65">
        <v>3520</v>
      </c>
      <c r="L131" s="101" t="str">
        <f>IF(ISBLANK(Pricelist[[#This Row],[EBS]]),"",VALUE(RIGHT(Pricelist[[#This Row],[EBS]],3)))</f>
        <v/>
      </c>
      <c r="M131" s="65">
        <v>3520</v>
      </c>
      <c r="N131" s="101" t="str">
        <f>IF(ISBLANK(Pricelist[[#This Row],[EBS]]),"",VALUE(RIGHT(Pricelist[[#This Row],[EBS]],3)))</f>
        <v/>
      </c>
      <c r="O131" s="101" t="str">
        <f>IF(AND(Pricelist[[#This Row],[AE1]]&lt;&gt;"",OR(Pricelist[[#This Row],[区]]="南",Pricelist[[#This Row],[区]]="北")),MID(Pricelist[[#This Row],[AE1]],4,2),"")</f>
        <v/>
      </c>
      <c r="P131" s="102">
        <v>1960</v>
      </c>
      <c r="Q131" s="103">
        <v>3570</v>
      </c>
      <c r="R131" s="103">
        <v>3570</v>
      </c>
      <c r="S131" s="104"/>
      <c r="T131" s="104"/>
      <c r="U131" s="105" t="s">
        <v>506</v>
      </c>
      <c r="V131" s="100" t="s">
        <v>507</v>
      </c>
      <c r="W131" s="106" t="s">
        <v>299</v>
      </c>
      <c r="X131" s="106" t="s">
        <v>77</v>
      </c>
      <c r="Y131" s="106">
        <v>34</v>
      </c>
      <c r="Z131" s="107">
        <v>43435</v>
      </c>
      <c r="AA131" s="108">
        <v>43449</v>
      </c>
      <c r="AB131" s="109" t="s">
        <v>245</v>
      </c>
      <c r="AC131" s="109"/>
    </row>
    <row r="132" spans="1:29" hidden="1" x14ac:dyDescent="0.15">
      <c r="A132" s="98">
        <v>131</v>
      </c>
      <c r="B132" s="99">
        <v>112917</v>
      </c>
      <c r="C132" s="98" t="s">
        <v>6330</v>
      </c>
      <c r="D132" s="100" t="s">
        <v>296</v>
      </c>
      <c r="E132" s="100" t="s">
        <v>297</v>
      </c>
      <c r="F132" s="100" t="s">
        <v>298</v>
      </c>
      <c r="G132" s="98" t="s">
        <v>24</v>
      </c>
      <c r="H132" s="98" t="str">
        <f>VLOOKUP(G132,CGS[],2,FALSE)</f>
        <v>SAF</v>
      </c>
      <c r="I132" s="65">
        <v>1900</v>
      </c>
      <c r="J132" s="101">
        <f>IF(ISBLANK(Pricelist[[#This Row],[EBS]]),"",VALUE(LEFT(Pricelist[[#This Row],[EBS]],LEN(Pricelist[[#This Row],[EBS]])-LEN(Pricelist[[#This Row],[E2]])-1)))</f>
        <v>60</v>
      </c>
      <c r="K132" s="65">
        <v>3450</v>
      </c>
      <c r="L132" s="101">
        <f>IF(ISBLANK(Pricelist[[#This Row],[EBS]]),"",VALUE(RIGHT(Pricelist[[#This Row],[EBS]],3)))</f>
        <v>120</v>
      </c>
      <c r="M132" s="65">
        <v>3450</v>
      </c>
      <c r="N132" s="101">
        <f>IF(ISBLANK(Pricelist[[#This Row],[EBS]]),"",VALUE(RIGHT(Pricelist[[#This Row],[EBS]],3)))</f>
        <v>120</v>
      </c>
      <c r="O132" s="101" t="str">
        <f>IF(AND(Pricelist[[#This Row],[AE1]]&lt;&gt;"",OR(Pricelist[[#This Row],[区]]="南",Pricelist[[#This Row],[区]]="北")),MID(Pricelist[[#This Row],[AE1]],4,2),"")</f>
        <v/>
      </c>
      <c r="P132" s="102">
        <v>1900</v>
      </c>
      <c r="Q132" s="103">
        <v>3450</v>
      </c>
      <c r="R132" s="103">
        <v>3450</v>
      </c>
      <c r="S132" s="104" t="s">
        <v>2199</v>
      </c>
      <c r="T132" s="104"/>
      <c r="U132" s="105" t="s">
        <v>508</v>
      </c>
      <c r="V132" s="100" t="s">
        <v>507</v>
      </c>
      <c r="W132" s="106" t="s">
        <v>299</v>
      </c>
      <c r="X132" s="106" t="s">
        <v>77</v>
      </c>
      <c r="Y132" s="106">
        <v>34</v>
      </c>
      <c r="Z132" s="107">
        <v>43435</v>
      </c>
      <c r="AA132" s="108">
        <v>43449</v>
      </c>
      <c r="AB132" s="109" t="s">
        <v>246</v>
      </c>
      <c r="AC132" s="109"/>
    </row>
    <row r="133" spans="1:29" ht="51" hidden="1" x14ac:dyDescent="0.15">
      <c r="A133" s="98">
        <v>132</v>
      </c>
      <c r="B133" s="99">
        <v>112917</v>
      </c>
      <c r="C133" s="98" t="s">
        <v>6330</v>
      </c>
      <c r="D133" s="100" t="s">
        <v>296</v>
      </c>
      <c r="E133" s="100" t="s">
        <v>297</v>
      </c>
      <c r="F133" s="100" t="s">
        <v>298</v>
      </c>
      <c r="G133" s="98" t="s">
        <v>36</v>
      </c>
      <c r="H133" s="98" t="str">
        <f>VLOOKUP(G133,CGS[],2,FALSE)</f>
        <v>BLINE</v>
      </c>
      <c r="I133" s="65">
        <v>1950</v>
      </c>
      <c r="J133" s="101">
        <f>IF(ISBLANK(Pricelist[[#This Row],[EBS]]),"",VALUE(LEFT(Pricelist[[#This Row],[EBS]],LEN(Pricelist[[#This Row],[EBS]])-LEN(Pricelist[[#This Row],[E2]])-1)))</f>
        <v>50</v>
      </c>
      <c r="K133" s="65">
        <v>3300</v>
      </c>
      <c r="L133" s="101">
        <f>IF(ISBLANK(Pricelist[[#This Row],[EBS]]),"",VALUE(RIGHT(Pricelist[[#This Row],[EBS]],3)))</f>
        <v>100</v>
      </c>
      <c r="M133" s="65">
        <v>3300</v>
      </c>
      <c r="N133" s="101">
        <f>IF(ISBLANK(Pricelist[[#This Row],[EBS]]),"",VALUE(RIGHT(Pricelist[[#This Row],[EBS]],3)))</f>
        <v>100</v>
      </c>
      <c r="O133" s="101" t="str">
        <f>IF(AND(Pricelist[[#This Row],[AE1]]&lt;&gt;"",OR(Pricelist[[#This Row],[区]]="南",Pricelist[[#This Row],[区]]="北")),MID(Pricelist[[#This Row],[AE1]],4,2),"")</f>
        <v>he</v>
      </c>
      <c r="P133" s="102">
        <v>1950</v>
      </c>
      <c r="Q133" s="103">
        <v>3300</v>
      </c>
      <c r="R133" s="103">
        <v>3300</v>
      </c>
      <c r="S133" s="104" t="s">
        <v>2205</v>
      </c>
      <c r="T133" s="104" t="s">
        <v>4966</v>
      </c>
      <c r="U133" s="105" t="s">
        <v>508</v>
      </c>
      <c r="V133" s="100" t="s">
        <v>504</v>
      </c>
      <c r="W133" s="106" t="s">
        <v>37</v>
      </c>
      <c r="X133" s="106" t="s">
        <v>38</v>
      </c>
      <c r="Y133" s="106">
        <v>27</v>
      </c>
      <c r="Z133" s="107">
        <v>43416</v>
      </c>
      <c r="AA133" s="108">
        <v>43422</v>
      </c>
      <c r="AB133" s="109" t="s">
        <v>4965</v>
      </c>
      <c r="AC133" s="109"/>
    </row>
    <row r="134" spans="1:29" hidden="1" x14ac:dyDescent="0.15">
      <c r="A134" s="98">
        <v>133</v>
      </c>
      <c r="B134" s="99">
        <v>112917</v>
      </c>
      <c r="C134" s="98" t="s">
        <v>6330</v>
      </c>
      <c r="D134" s="100" t="s">
        <v>296</v>
      </c>
      <c r="E134" s="100" t="s">
        <v>297</v>
      </c>
      <c r="F134" s="100" t="s">
        <v>298</v>
      </c>
      <c r="G134" s="98" t="s">
        <v>8</v>
      </c>
      <c r="H134" s="98" t="str">
        <f>VLOOKUP(G134,CGS[],2,FALSE)</f>
        <v>CMA</v>
      </c>
      <c r="I134" s="65">
        <v>1775</v>
      </c>
      <c r="J134" s="101">
        <f>IF(ISBLANK(Pricelist[[#This Row],[EBS]]),"",VALUE(LEFT(Pricelist[[#This Row],[EBS]],LEN(Pricelist[[#This Row],[EBS]])-LEN(Pricelist[[#This Row],[E2]])-1)))</f>
        <v>55</v>
      </c>
      <c r="K134" s="65">
        <v>3250</v>
      </c>
      <c r="L134" s="101">
        <f>IF(ISBLANK(Pricelist[[#This Row],[EBS]]),"",VALUE(RIGHT(Pricelist[[#This Row],[EBS]],3)))</f>
        <v>110</v>
      </c>
      <c r="M134" s="65">
        <v>3250</v>
      </c>
      <c r="N134" s="101">
        <f>IF(ISBLANK(Pricelist[[#This Row],[EBS]]),"",VALUE(RIGHT(Pricelist[[#This Row],[EBS]],3)))</f>
        <v>110</v>
      </c>
      <c r="O134" s="101" t="str">
        <f>IF(AND(Pricelist[[#This Row],[AE1]]&lt;&gt;"",OR(Pricelist[[#This Row],[区]]="南",Pricelist[[#This Row],[区]]="北")),MID(Pricelist[[#This Row],[AE1]],4,2),"")</f>
        <v/>
      </c>
      <c r="P134" s="102">
        <v>1800</v>
      </c>
      <c r="Q134" s="103">
        <v>3300</v>
      </c>
      <c r="R134" s="103">
        <v>3300</v>
      </c>
      <c r="S134" s="104" t="s">
        <v>2204</v>
      </c>
      <c r="T134" s="104"/>
      <c r="U134" s="105" t="s">
        <v>515</v>
      </c>
      <c r="V134" s="100" t="s">
        <v>2194</v>
      </c>
      <c r="W134" s="106" t="s">
        <v>2210</v>
      </c>
      <c r="X134" s="106" t="s">
        <v>2195</v>
      </c>
      <c r="Y134" s="106">
        <v>26</v>
      </c>
      <c r="Z134" s="107">
        <v>43435</v>
      </c>
      <c r="AA134" s="108">
        <v>43448</v>
      </c>
      <c r="AB134" s="109" t="s">
        <v>2196</v>
      </c>
      <c r="AC134" s="109"/>
    </row>
    <row r="135" spans="1:29" hidden="1" x14ac:dyDescent="0.15">
      <c r="A135" s="98">
        <v>134</v>
      </c>
      <c r="B135" s="99">
        <v>112917</v>
      </c>
      <c r="C135" s="98" t="s">
        <v>6331</v>
      </c>
      <c r="D135" s="100" t="s">
        <v>91</v>
      </c>
      <c r="E135" s="100" t="s">
        <v>92</v>
      </c>
      <c r="F135" s="100" t="s">
        <v>93</v>
      </c>
      <c r="G135" s="98" t="s">
        <v>8</v>
      </c>
      <c r="H135" s="98" t="str">
        <f>VLOOKUP(G135,CGS[],2,FALSE)</f>
        <v>CMA</v>
      </c>
      <c r="I135" s="65">
        <v>2013</v>
      </c>
      <c r="J135" s="101">
        <f>IF(ISBLANK(Pricelist[[#This Row],[EBS]]),"",VALUE(LEFT(Pricelist[[#This Row],[EBS]],LEN(Pricelist[[#This Row],[EBS]])-LEN(Pricelist[[#This Row],[E2]])-1)))</f>
        <v>55</v>
      </c>
      <c r="K135" s="65">
        <v>3413</v>
      </c>
      <c r="L135" s="101">
        <f>IF(ISBLANK(Pricelist[[#This Row],[EBS]]),"",VALUE(RIGHT(Pricelist[[#This Row],[EBS]],3)))</f>
        <v>110</v>
      </c>
      <c r="M135" s="65">
        <v>3413</v>
      </c>
      <c r="N135" s="101">
        <f>IF(ISBLANK(Pricelist[[#This Row],[EBS]]),"",VALUE(RIGHT(Pricelist[[#This Row],[EBS]],3)))</f>
        <v>110</v>
      </c>
      <c r="O135" s="101" t="str">
        <f>IF(AND(Pricelist[[#This Row],[AE1]]&lt;&gt;"",OR(Pricelist[[#This Row],[区]]="南",Pricelist[[#This Row],[区]]="北")),MID(Pricelist[[#This Row],[AE1]],4,2),"")</f>
        <v/>
      </c>
      <c r="P135" s="102">
        <v>2088</v>
      </c>
      <c r="Q135" s="103">
        <v>3563</v>
      </c>
      <c r="R135" s="103">
        <v>3563</v>
      </c>
      <c r="S135" s="104" t="s">
        <v>2204</v>
      </c>
      <c r="T135" s="104"/>
      <c r="U135" s="105" t="s">
        <v>506</v>
      </c>
      <c r="V135" s="100" t="s">
        <v>2217</v>
      </c>
      <c r="W135" s="106" t="s">
        <v>10</v>
      </c>
      <c r="X135" s="106" t="s">
        <v>11</v>
      </c>
      <c r="Y135" s="106">
        <v>37</v>
      </c>
      <c r="Z135" s="107">
        <v>43430</v>
      </c>
      <c r="AA135" s="108">
        <v>43448</v>
      </c>
      <c r="AB135" s="109" t="s">
        <v>94</v>
      </c>
      <c r="AC135" s="109"/>
    </row>
    <row r="136" spans="1:29" hidden="1" x14ac:dyDescent="0.15">
      <c r="A136" s="98">
        <v>135</v>
      </c>
      <c r="B136" s="99">
        <v>112917</v>
      </c>
      <c r="C136" s="98" t="s">
        <v>6331</v>
      </c>
      <c r="D136" s="100" t="s">
        <v>91</v>
      </c>
      <c r="E136" s="100" t="s">
        <v>92</v>
      </c>
      <c r="F136" s="100" t="s">
        <v>93</v>
      </c>
      <c r="G136" s="98" t="s">
        <v>9</v>
      </c>
      <c r="H136" s="98" t="str">
        <f>VLOOKUP(G136,CGS[],2,FALSE)</f>
        <v>COSCO</v>
      </c>
      <c r="I136" s="65">
        <v>1685</v>
      </c>
      <c r="J136" s="101">
        <f>IF(ISBLANK(Pricelist[[#This Row],[EBS]]),"",VALUE(LEFT(Pricelist[[#This Row],[EBS]],LEN(Pricelist[[#This Row],[EBS]])-LEN(Pricelist[[#This Row],[E2]])-1)))</f>
        <v>60</v>
      </c>
      <c r="K136" s="65">
        <v>2760</v>
      </c>
      <c r="L136" s="101">
        <f>IF(ISBLANK(Pricelist[[#This Row],[EBS]]),"",VALUE(RIGHT(Pricelist[[#This Row],[EBS]],3)))</f>
        <v>120</v>
      </c>
      <c r="M136" s="65">
        <v>2760</v>
      </c>
      <c r="N136" s="101">
        <f>IF(ISBLANK(Pricelist[[#This Row],[EBS]]),"",VALUE(RIGHT(Pricelist[[#This Row],[EBS]],3)))</f>
        <v>120</v>
      </c>
      <c r="O136" s="101" t="str">
        <f>IF(AND(Pricelist[[#This Row],[AE1]]&lt;&gt;"",OR(Pricelist[[#This Row],[区]]="南",Pricelist[[#This Row],[区]]="北")),MID(Pricelist[[#This Row],[AE1]],4,2),"")</f>
        <v/>
      </c>
      <c r="P136" s="102">
        <v>1710</v>
      </c>
      <c r="Q136" s="103">
        <v>2810</v>
      </c>
      <c r="R136" s="103">
        <v>2810</v>
      </c>
      <c r="S136" s="104" t="s">
        <v>2199</v>
      </c>
      <c r="T136" s="104"/>
      <c r="U136" s="105" t="s">
        <v>508</v>
      </c>
      <c r="V136" s="100" t="s">
        <v>504</v>
      </c>
      <c r="W136" s="106" t="s">
        <v>10</v>
      </c>
      <c r="X136" s="106" t="s">
        <v>11</v>
      </c>
      <c r="Y136" s="106">
        <v>38</v>
      </c>
      <c r="Z136" s="107">
        <v>43437</v>
      </c>
      <c r="AA136" s="108">
        <v>43450</v>
      </c>
      <c r="AB136" s="109" t="s">
        <v>135</v>
      </c>
      <c r="AC136" s="109" t="s">
        <v>12</v>
      </c>
    </row>
    <row r="137" spans="1:29" hidden="1" x14ac:dyDescent="0.15">
      <c r="A137" s="98">
        <v>136</v>
      </c>
      <c r="B137" s="99">
        <v>112917</v>
      </c>
      <c r="C137" s="98" t="s">
        <v>6331</v>
      </c>
      <c r="D137" s="100" t="s">
        <v>91</v>
      </c>
      <c r="E137" s="100" t="s">
        <v>92</v>
      </c>
      <c r="F137" s="100" t="s">
        <v>93</v>
      </c>
      <c r="G137" s="98" t="s">
        <v>95</v>
      </c>
      <c r="H137" s="98" t="str">
        <f>VLOOKUP(G137,CGS[],2,FALSE)</f>
        <v>ZIM</v>
      </c>
      <c r="I137" s="65">
        <v>1660</v>
      </c>
      <c r="J137" s="101">
        <f>IF(ISBLANK(Pricelist[[#This Row],[EBS]]),"",VALUE(LEFT(Pricelist[[#This Row],[EBS]],LEN(Pricelist[[#This Row],[EBS]])-LEN(Pricelist[[#This Row],[E2]])-1)))</f>
        <v>110</v>
      </c>
      <c r="K137" s="65">
        <v>2660</v>
      </c>
      <c r="L137" s="101">
        <f>IF(ISBLANK(Pricelist[[#This Row],[EBS]]),"",VALUE(RIGHT(Pricelist[[#This Row],[EBS]],3)))</f>
        <v>220</v>
      </c>
      <c r="M137" s="65">
        <v>2660</v>
      </c>
      <c r="N137" s="101">
        <f>IF(ISBLANK(Pricelist[[#This Row],[EBS]]),"",VALUE(RIGHT(Pricelist[[#This Row],[EBS]],3)))</f>
        <v>220</v>
      </c>
      <c r="O137" s="101" t="str">
        <f>IF(AND(Pricelist[[#This Row],[AE1]]&lt;&gt;"",OR(Pricelist[[#This Row],[区]]="南",Pricelist[[#This Row],[区]]="北")),MID(Pricelist[[#This Row],[AE1]],4,2),"")</f>
        <v/>
      </c>
      <c r="P137" s="102">
        <v>1860</v>
      </c>
      <c r="Q137" s="103">
        <v>3060</v>
      </c>
      <c r="R137" s="103">
        <v>3060</v>
      </c>
      <c r="S137" s="104" t="s">
        <v>3743</v>
      </c>
      <c r="T137" s="104"/>
      <c r="U137" s="105" t="s">
        <v>508</v>
      </c>
      <c r="V137" s="100" t="s">
        <v>504</v>
      </c>
      <c r="W137" s="106" t="s">
        <v>10</v>
      </c>
      <c r="X137" s="106" t="s">
        <v>11</v>
      </c>
      <c r="Y137" s="106">
        <v>38</v>
      </c>
      <c r="Z137" s="107">
        <v>43437</v>
      </c>
      <c r="AA137" s="108">
        <v>43445</v>
      </c>
      <c r="AB137" s="109"/>
      <c r="AC137" s="109"/>
    </row>
    <row r="138" spans="1:29" hidden="1" x14ac:dyDescent="0.15">
      <c r="A138" s="98">
        <v>137</v>
      </c>
      <c r="B138" s="99">
        <v>112917</v>
      </c>
      <c r="C138" s="98" t="s">
        <v>6331</v>
      </c>
      <c r="D138" s="100" t="s">
        <v>91</v>
      </c>
      <c r="E138" s="100" t="s">
        <v>92</v>
      </c>
      <c r="F138" s="100" t="s">
        <v>93</v>
      </c>
      <c r="G138" s="98" t="s">
        <v>17</v>
      </c>
      <c r="H138" s="98" t="str">
        <f>VLOOKUP(G138,CGS[],2,FALSE)</f>
        <v>MSC</v>
      </c>
      <c r="I138" s="65">
        <v>1900</v>
      </c>
      <c r="J138" s="101">
        <f>IF(ISBLANK(Pricelist[[#This Row],[EBS]]),"",VALUE(LEFT(Pricelist[[#This Row],[EBS]],LEN(Pricelist[[#This Row],[EBS]])-LEN(Pricelist[[#This Row],[E2]])-1)))</f>
        <v>100</v>
      </c>
      <c r="K138" s="65">
        <v>3100</v>
      </c>
      <c r="L138" s="101">
        <f>IF(ISBLANK(Pricelist[[#This Row],[EBS]]),"",VALUE(RIGHT(Pricelist[[#This Row],[EBS]],3)))</f>
        <v>200</v>
      </c>
      <c r="M138" s="65">
        <v>3100</v>
      </c>
      <c r="N138" s="101">
        <f>IF(ISBLANK(Pricelist[[#This Row],[EBS]]),"",VALUE(RIGHT(Pricelist[[#This Row],[EBS]],3)))</f>
        <v>200</v>
      </c>
      <c r="O138" s="101" t="str">
        <f>IF(AND(Pricelist[[#This Row],[AE1]]&lt;&gt;"",OR(Pricelist[[#This Row],[区]]="南",Pricelist[[#This Row],[区]]="北")),MID(Pricelist[[#This Row],[AE1]],4,2),"")</f>
        <v/>
      </c>
      <c r="P138" s="102">
        <v>1925</v>
      </c>
      <c r="Q138" s="103">
        <v>3150</v>
      </c>
      <c r="R138" s="103">
        <v>3150</v>
      </c>
      <c r="S138" s="104" t="s">
        <v>6328</v>
      </c>
      <c r="T138" s="104"/>
      <c r="U138" s="105" t="s">
        <v>506</v>
      </c>
      <c r="V138" s="100" t="s">
        <v>504</v>
      </c>
      <c r="W138" s="106" t="s">
        <v>10</v>
      </c>
      <c r="X138" s="106" t="s">
        <v>11</v>
      </c>
      <c r="Y138" s="106">
        <v>35</v>
      </c>
      <c r="Z138" s="107">
        <v>43435</v>
      </c>
      <c r="AA138" s="108">
        <v>43448</v>
      </c>
      <c r="AB138" s="109"/>
      <c r="AC138" s="109"/>
    </row>
    <row r="139" spans="1:29" hidden="1" x14ac:dyDescent="0.15">
      <c r="A139" s="98">
        <v>138</v>
      </c>
      <c r="B139" s="99">
        <v>112917</v>
      </c>
      <c r="C139" s="98" t="s">
        <v>6331</v>
      </c>
      <c r="D139" s="100" t="s">
        <v>91</v>
      </c>
      <c r="E139" s="100" t="s">
        <v>92</v>
      </c>
      <c r="F139" s="100" t="s">
        <v>93</v>
      </c>
      <c r="G139" s="98" t="s">
        <v>21</v>
      </c>
      <c r="H139" s="98" t="str">
        <f>VLOOKUP(G139,CGS[],2,FALSE)</f>
        <v>MSK</v>
      </c>
      <c r="I139" s="65">
        <v>2035</v>
      </c>
      <c r="J139" s="101" t="str">
        <f>IF(ISBLANK(Pricelist[[#This Row],[EBS]]),"",VALUE(LEFT(Pricelist[[#This Row],[EBS]],LEN(Pricelist[[#This Row],[EBS]])-LEN(Pricelist[[#This Row],[E2]])-1)))</f>
        <v/>
      </c>
      <c r="K139" s="65">
        <v>3570</v>
      </c>
      <c r="L139" s="101" t="str">
        <f>IF(ISBLANK(Pricelist[[#This Row],[EBS]]),"",VALUE(RIGHT(Pricelist[[#This Row],[EBS]],3)))</f>
        <v/>
      </c>
      <c r="M139" s="65">
        <v>3570</v>
      </c>
      <c r="N139" s="101" t="str">
        <f>IF(ISBLANK(Pricelist[[#This Row],[EBS]]),"",VALUE(RIGHT(Pricelist[[#This Row],[EBS]],3)))</f>
        <v/>
      </c>
      <c r="O139" s="101" t="str">
        <f>IF(AND(Pricelist[[#This Row],[AE1]]&lt;&gt;"",OR(Pricelist[[#This Row],[区]]="南",Pricelist[[#This Row],[区]]="北")),MID(Pricelist[[#This Row],[AE1]],4,2),"")</f>
        <v/>
      </c>
      <c r="P139" s="102">
        <v>2035</v>
      </c>
      <c r="Q139" s="103">
        <v>3570</v>
      </c>
      <c r="R139" s="103">
        <v>3570</v>
      </c>
      <c r="S139" s="104"/>
      <c r="T139" s="104"/>
      <c r="U139" s="105" t="s">
        <v>506</v>
      </c>
      <c r="V139" s="100" t="s">
        <v>504</v>
      </c>
      <c r="W139" s="106" t="s">
        <v>10</v>
      </c>
      <c r="X139" s="106" t="s">
        <v>11</v>
      </c>
      <c r="Y139" s="106">
        <v>39</v>
      </c>
      <c r="Z139" s="107">
        <v>43437</v>
      </c>
      <c r="AA139" s="108">
        <v>43450</v>
      </c>
      <c r="AB139" s="109" t="s">
        <v>3684</v>
      </c>
      <c r="AC139" s="109"/>
    </row>
    <row r="140" spans="1:29" hidden="1" x14ac:dyDescent="0.15">
      <c r="A140" s="98">
        <v>139</v>
      </c>
      <c r="B140" s="99">
        <v>112917</v>
      </c>
      <c r="C140" s="98" t="s">
        <v>6331</v>
      </c>
      <c r="D140" s="100" t="s">
        <v>91</v>
      </c>
      <c r="E140" s="100" t="s">
        <v>92</v>
      </c>
      <c r="F140" s="100" t="s">
        <v>93</v>
      </c>
      <c r="G140" s="98" t="s">
        <v>24</v>
      </c>
      <c r="H140" s="98" t="str">
        <f>VLOOKUP(G140,CGS[],2,FALSE)</f>
        <v>SAF</v>
      </c>
      <c r="I140" s="65">
        <v>2025</v>
      </c>
      <c r="J140" s="101">
        <f>IF(ISBLANK(Pricelist[[#This Row],[EBS]]),"",VALUE(LEFT(Pricelist[[#This Row],[EBS]],LEN(Pricelist[[#This Row],[EBS]])-LEN(Pricelist[[#This Row],[E2]])-1)))</f>
        <v>60</v>
      </c>
      <c r="K140" s="65">
        <v>3550</v>
      </c>
      <c r="L140" s="101">
        <f>IF(ISBLANK(Pricelist[[#This Row],[EBS]]),"",VALUE(RIGHT(Pricelist[[#This Row],[EBS]],3)))</f>
        <v>120</v>
      </c>
      <c r="M140" s="65">
        <v>3550</v>
      </c>
      <c r="N140" s="101">
        <f>IF(ISBLANK(Pricelist[[#This Row],[EBS]]),"",VALUE(RIGHT(Pricelist[[#This Row],[EBS]],3)))</f>
        <v>120</v>
      </c>
      <c r="O140" s="101" t="str">
        <f>IF(AND(Pricelist[[#This Row],[AE1]]&lt;&gt;"",OR(Pricelist[[#This Row],[区]]="南",Pricelist[[#This Row],[区]]="北")),MID(Pricelist[[#This Row],[AE1]],4,2),"")</f>
        <v/>
      </c>
      <c r="P140" s="102">
        <v>2025</v>
      </c>
      <c r="Q140" s="103">
        <v>3550</v>
      </c>
      <c r="R140" s="103">
        <v>3550</v>
      </c>
      <c r="S140" s="104" t="s">
        <v>2199</v>
      </c>
      <c r="T140" s="104"/>
      <c r="U140" s="105" t="s">
        <v>506</v>
      </c>
      <c r="V140" s="100" t="s">
        <v>504</v>
      </c>
      <c r="W140" s="106" t="s">
        <v>10</v>
      </c>
      <c r="X140" s="106" t="s">
        <v>11</v>
      </c>
      <c r="Y140" s="106">
        <v>39</v>
      </c>
      <c r="Z140" s="107">
        <v>43437</v>
      </c>
      <c r="AA140" s="108">
        <v>43450</v>
      </c>
      <c r="AB140" s="109" t="s">
        <v>261</v>
      </c>
      <c r="AC140" s="109"/>
    </row>
    <row r="141" spans="1:29" hidden="1" x14ac:dyDescent="0.15">
      <c r="A141" s="98">
        <v>140</v>
      </c>
      <c r="B141" s="99">
        <v>112917</v>
      </c>
      <c r="C141" s="98" t="s">
        <v>6331</v>
      </c>
      <c r="D141" s="100" t="s">
        <v>91</v>
      </c>
      <c r="E141" s="100" t="s">
        <v>92</v>
      </c>
      <c r="F141" s="100" t="s">
        <v>93</v>
      </c>
      <c r="G141" s="98" t="s">
        <v>18</v>
      </c>
      <c r="H141" s="98" t="str">
        <f>VLOOKUP(G141,CGS[],2,FALSE)</f>
        <v>PIL</v>
      </c>
      <c r="I141" s="65">
        <v>1810</v>
      </c>
      <c r="J141" s="101" t="str">
        <f>IF(ISBLANK(Pricelist[[#This Row],[EBS]]),"",VALUE(LEFT(Pricelist[[#This Row],[EBS]],LEN(Pricelist[[#This Row],[EBS]])-LEN(Pricelist[[#This Row],[E2]])-1)))</f>
        <v/>
      </c>
      <c r="K141" s="65">
        <v>3010</v>
      </c>
      <c r="L141" s="101" t="str">
        <f>IF(ISBLANK(Pricelist[[#This Row],[EBS]]),"",VALUE(RIGHT(Pricelist[[#This Row],[EBS]],3)))</f>
        <v/>
      </c>
      <c r="M141" s="65">
        <v>3010</v>
      </c>
      <c r="N141" s="101" t="str">
        <f>IF(ISBLANK(Pricelist[[#This Row],[EBS]]),"",VALUE(RIGHT(Pricelist[[#This Row],[EBS]],3)))</f>
        <v/>
      </c>
      <c r="O141" s="101" t="str">
        <f>IF(AND(Pricelist[[#This Row],[AE1]]&lt;&gt;"",OR(Pricelist[[#This Row],[区]]="南",Pricelist[[#This Row],[区]]="北")),MID(Pricelist[[#This Row],[AE1]],4,2),"")</f>
        <v/>
      </c>
      <c r="P141" s="102">
        <v>1910</v>
      </c>
      <c r="Q141" s="103">
        <v>3210</v>
      </c>
      <c r="R141" s="103">
        <v>3210</v>
      </c>
      <c r="S141" s="104"/>
      <c r="T141" s="104"/>
      <c r="U141" s="105" t="s">
        <v>508</v>
      </c>
      <c r="V141" s="100" t="s">
        <v>504</v>
      </c>
      <c r="W141" s="106" t="s">
        <v>10</v>
      </c>
      <c r="X141" s="106" t="s">
        <v>11</v>
      </c>
      <c r="Y141" s="106">
        <v>35</v>
      </c>
      <c r="Z141" s="107">
        <v>43444</v>
      </c>
      <c r="AA141" s="108">
        <v>43449</v>
      </c>
      <c r="AB141" s="109"/>
      <c r="AC141" s="109"/>
    </row>
    <row r="142" spans="1:29" hidden="1" x14ac:dyDescent="0.15">
      <c r="A142" s="98">
        <v>141</v>
      </c>
      <c r="B142" s="99">
        <v>112917</v>
      </c>
      <c r="C142" s="98" t="s">
        <v>6331</v>
      </c>
      <c r="D142" s="100" t="s">
        <v>97</v>
      </c>
      <c r="E142" s="100" t="s">
        <v>98</v>
      </c>
      <c r="F142" s="100" t="s">
        <v>99</v>
      </c>
      <c r="G142" s="98" t="s">
        <v>8</v>
      </c>
      <c r="H142" s="98" t="str">
        <f>VLOOKUP(G142,CGS[],2,FALSE)</f>
        <v>CMA</v>
      </c>
      <c r="I142" s="65">
        <v>1963</v>
      </c>
      <c r="J142" s="101">
        <f>IF(ISBLANK(Pricelist[[#This Row],[EBS]]),"",VALUE(LEFT(Pricelist[[#This Row],[EBS]],LEN(Pricelist[[#This Row],[EBS]])-LEN(Pricelist[[#This Row],[E2]])-1)))</f>
        <v>55</v>
      </c>
      <c r="K142" s="65">
        <v>3263</v>
      </c>
      <c r="L142" s="101">
        <f>IF(ISBLANK(Pricelist[[#This Row],[EBS]]),"",VALUE(RIGHT(Pricelist[[#This Row],[EBS]],3)))</f>
        <v>110</v>
      </c>
      <c r="M142" s="65">
        <v>3263</v>
      </c>
      <c r="N142" s="101">
        <f>IF(ISBLANK(Pricelist[[#This Row],[EBS]]),"",VALUE(RIGHT(Pricelist[[#This Row],[EBS]],3)))</f>
        <v>110</v>
      </c>
      <c r="O142" s="101" t="str">
        <f>IF(AND(Pricelist[[#This Row],[AE1]]&lt;&gt;"",OR(Pricelist[[#This Row],[区]]="南",Pricelist[[#This Row],[区]]="北")),MID(Pricelist[[#This Row],[AE1]],4,2),"")</f>
        <v/>
      </c>
      <c r="P142" s="102">
        <v>2038</v>
      </c>
      <c r="Q142" s="103">
        <v>3413</v>
      </c>
      <c r="R142" s="103">
        <v>3413</v>
      </c>
      <c r="S142" s="104" t="s">
        <v>2204</v>
      </c>
      <c r="T142" s="104"/>
      <c r="U142" s="105" t="s">
        <v>506</v>
      </c>
      <c r="V142" s="100" t="s">
        <v>2217</v>
      </c>
      <c r="W142" s="106" t="s">
        <v>10</v>
      </c>
      <c r="X142" s="106" t="s">
        <v>11</v>
      </c>
      <c r="Y142" s="106">
        <v>39</v>
      </c>
      <c r="Z142" s="107">
        <v>43430</v>
      </c>
      <c r="AA142" s="108">
        <v>43448</v>
      </c>
      <c r="AB142" s="109" t="s">
        <v>2218</v>
      </c>
      <c r="AC142" s="109"/>
    </row>
    <row r="143" spans="1:29" hidden="1" x14ac:dyDescent="0.15">
      <c r="A143" s="98">
        <v>142</v>
      </c>
      <c r="B143" s="99">
        <v>112917</v>
      </c>
      <c r="C143" s="98" t="s">
        <v>6331</v>
      </c>
      <c r="D143" s="100" t="s">
        <v>97</v>
      </c>
      <c r="E143" s="100" t="s">
        <v>98</v>
      </c>
      <c r="F143" s="100" t="s">
        <v>99</v>
      </c>
      <c r="G143" s="98" t="s">
        <v>9</v>
      </c>
      <c r="H143" s="98" t="str">
        <f>VLOOKUP(G143,CGS[],2,FALSE)</f>
        <v>COSCO</v>
      </c>
      <c r="I143" s="65">
        <v>1685</v>
      </c>
      <c r="J143" s="101">
        <f>IF(ISBLANK(Pricelist[[#This Row],[EBS]]),"",VALUE(LEFT(Pricelist[[#This Row],[EBS]],LEN(Pricelist[[#This Row],[EBS]])-LEN(Pricelist[[#This Row],[E2]])-1)))</f>
        <v>60</v>
      </c>
      <c r="K143" s="65">
        <v>2760</v>
      </c>
      <c r="L143" s="101">
        <f>IF(ISBLANK(Pricelist[[#This Row],[EBS]]),"",VALUE(RIGHT(Pricelist[[#This Row],[EBS]],3)))</f>
        <v>120</v>
      </c>
      <c r="M143" s="65">
        <v>2760</v>
      </c>
      <c r="N143" s="101">
        <f>IF(ISBLANK(Pricelist[[#This Row],[EBS]]),"",VALUE(RIGHT(Pricelist[[#This Row],[EBS]],3)))</f>
        <v>120</v>
      </c>
      <c r="O143" s="101" t="str">
        <f>IF(AND(Pricelist[[#This Row],[AE1]]&lt;&gt;"",OR(Pricelist[[#This Row],[区]]="南",Pricelist[[#This Row],[区]]="北")),MID(Pricelist[[#This Row],[AE1]],4,2),"")</f>
        <v/>
      </c>
      <c r="P143" s="102">
        <v>1710</v>
      </c>
      <c r="Q143" s="103">
        <v>2810</v>
      </c>
      <c r="R143" s="103">
        <v>2810</v>
      </c>
      <c r="S143" s="104" t="s">
        <v>2199</v>
      </c>
      <c r="T143" s="104"/>
      <c r="U143" s="105" t="s">
        <v>508</v>
      </c>
      <c r="V143" s="100" t="s">
        <v>504</v>
      </c>
      <c r="W143" s="106" t="s">
        <v>10</v>
      </c>
      <c r="X143" s="106" t="s">
        <v>11</v>
      </c>
      <c r="Y143" s="106">
        <v>44</v>
      </c>
      <c r="Z143" s="107">
        <v>43437</v>
      </c>
      <c r="AA143" s="108">
        <v>43450</v>
      </c>
      <c r="AB143" s="109" t="s">
        <v>135</v>
      </c>
      <c r="AC143" s="109" t="s">
        <v>12</v>
      </c>
    </row>
    <row r="144" spans="1:29" hidden="1" x14ac:dyDescent="0.15">
      <c r="A144" s="98">
        <v>143</v>
      </c>
      <c r="B144" s="99">
        <v>112917</v>
      </c>
      <c r="C144" s="98" t="s">
        <v>6331</v>
      </c>
      <c r="D144" s="100" t="s">
        <v>97</v>
      </c>
      <c r="E144" s="100" t="s">
        <v>98</v>
      </c>
      <c r="F144" s="100" t="s">
        <v>99</v>
      </c>
      <c r="G144" s="98" t="s">
        <v>95</v>
      </c>
      <c r="H144" s="98" t="str">
        <f>VLOOKUP(G144,CGS[],2,FALSE)</f>
        <v>ZIM</v>
      </c>
      <c r="I144" s="65">
        <v>1660</v>
      </c>
      <c r="J144" s="101">
        <f>IF(ISBLANK(Pricelist[[#This Row],[EBS]]),"",VALUE(LEFT(Pricelist[[#This Row],[EBS]],LEN(Pricelist[[#This Row],[EBS]])-LEN(Pricelist[[#This Row],[E2]])-1)))</f>
        <v>110</v>
      </c>
      <c r="K144" s="65">
        <v>2660</v>
      </c>
      <c r="L144" s="101">
        <f>IF(ISBLANK(Pricelist[[#This Row],[EBS]]),"",VALUE(RIGHT(Pricelist[[#This Row],[EBS]],3)))</f>
        <v>220</v>
      </c>
      <c r="M144" s="65">
        <v>2660</v>
      </c>
      <c r="N144" s="101">
        <f>IF(ISBLANK(Pricelist[[#This Row],[EBS]]),"",VALUE(RIGHT(Pricelist[[#This Row],[EBS]],3)))</f>
        <v>220</v>
      </c>
      <c r="O144" s="101" t="str">
        <f>IF(AND(Pricelist[[#This Row],[AE1]]&lt;&gt;"",OR(Pricelist[[#This Row],[区]]="南",Pricelist[[#This Row],[区]]="北")),MID(Pricelist[[#This Row],[AE1]],4,2),"")</f>
        <v/>
      </c>
      <c r="P144" s="102">
        <v>1860</v>
      </c>
      <c r="Q144" s="103">
        <v>3060</v>
      </c>
      <c r="R144" s="103">
        <v>3060</v>
      </c>
      <c r="S144" s="104" t="s">
        <v>3743</v>
      </c>
      <c r="T144" s="104"/>
      <c r="U144" s="105" t="s">
        <v>510</v>
      </c>
      <c r="V144" s="100" t="s">
        <v>504</v>
      </c>
      <c r="W144" s="106" t="s">
        <v>10</v>
      </c>
      <c r="X144" s="106" t="s">
        <v>11</v>
      </c>
      <c r="Y144" s="106">
        <v>44</v>
      </c>
      <c r="Z144" s="107">
        <v>43437</v>
      </c>
      <c r="AA144" s="108">
        <v>43445</v>
      </c>
      <c r="AB144" s="109"/>
      <c r="AC144" s="109"/>
    </row>
    <row r="145" spans="1:29" hidden="1" x14ac:dyDescent="0.15">
      <c r="A145" s="98">
        <v>144</v>
      </c>
      <c r="B145" s="99">
        <v>112917</v>
      </c>
      <c r="C145" s="98" t="s">
        <v>6331</v>
      </c>
      <c r="D145" s="100" t="s">
        <v>97</v>
      </c>
      <c r="E145" s="100" t="s">
        <v>98</v>
      </c>
      <c r="F145" s="100" t="s">
        <v>99</v>
      </c>
      <c r="G145" s="98" t="s">
        <v>95</v>
      </c>
      <c r="H145" s="98" t="str">
        <f>VLOOKUP(G145,CGS[],2,FALSE)</f>
        <v>ZIM</v>
      </c>
      <c r="I145" s="65">
        <v>1660</v>
      </c>
      <c r="J145" s="101">
        <f>IF(ISBLANK(Pricelist[[#This Row],[EBS]]),"",VALUE(LEFT(Pricelist[[#This Row],[EBS]],LEN(Pricelist[[#This Row],[EBS]])-LEN(Pricelist[[#This Row],[E2]])-1)))</f>
        <v>110</v>
      </c>
      <c r="K145" s="65">
        <v>2660</v>
      </c>
      <c r="L145" s="101">
        <f>IF(ISBLANK(Pricelist[[#This Row],[EBS]]),"",VALUE(RIGHT(Pricelist[[#This Row],[EBS]],3)))</f>
        <v>220</v>
      </c>
      <c r="M145" s="65">
        <v>2660</v>
      </c>
      <c r="N145" s="101">
        <f>IF(ISBLANK(Pricelist[[#This Row],[EBS]]),"",VALUE(RIGHT(Pricelist[[#This Row],[EBS]],3)))</f>
        <v>220</v>
      </c>
      <c r="O145" s="101" t="str">
        <f>IF(AND(Pricelist[[#This Row],[AE1]]&lt;&gt;"",OR(Pricelist[[#This Row],[区]]="南",Pricelist[[#This Row],[区]]="北")),MID(Pricelist[[#This Row],[AE1]],4,2),"")</f>
        <v/>
      </c>
      <c r="P145" s="102">
        <v>1860</v>
      </c>
      <c r="Q145" s="103">
        <v>3060</v>
      </c>
      <c r="R145" s="103">
        <v>3060</v>
      </c>
      <c r="S145" s="104" t="s">
        <v>3743</v>
      </c>
      <c r="T145" s="104"/>
      <c r="U145" s="105" t="s">
        <v>508</v>
      </c>
      <c r="V145" s="100" t="s">
        <v>504</v>
      </c>
      <c r="W145" s="106" t="s">
        <v>10</v>
      </c>
      <c r="X145" s="106" t="s">
        <v>11</v>
      </c>
      <c r="Y145" s="106">
        <v>44</v>
      </c>
      <c r="Z145" s="107">
        <v>43437</v>
      </c>
      <c r="AA145" s="108">
        <v>43445</v>
      </c>
      <c r="AB145" s="109"/>
      <c r="AC145" s="109"/>
    </row>
    <row r="146" spans="1:29" hidden="1" x14ac:dyDescent="0.15">
      <c r="A146" s="98">
        <v>145</v>
      </c>
      <c r="B146" s="99">
        <v>112917</v>
      </c>
      <c r="C146" s="98" t="s">
        <v>6331</v>
      </c>
      <c r="D146" s="100" t="s">
        <v>97</v>
      </c>
      <c r="E146" s="100" t="s">
        <v>98</v>
      </c>
      <c r="F146" s="100" t="s">
        <v>99</v>
      </c>
      <c r="G146" s="98" t="s">
        <v>18</v>
      </c>
      <c r="H146" s="98" t="str">
        <f>VLOOKUP(G146,CGS[],2,FALSE)</f>
        <v>PIL</v>
      </c>
      <c r="I146" s="65">
        <v>1810</v>
      </c>
      <c r="J146" s="101" t="str">
        <f>IF(ISBLANK(Pricelist[[#This Row],[EBS]]),"",VALUE(LEFT(Pricelist[[#This Row],[EBS]],LEN(Pricelist[[#This Row],[EBS]])-LEN(Pricelist[[#This Row],[E2]])-1)))</f>
        <v/>
      </c>
      <c r="K146" s="65">
        <v>3010</v>
      </c>
      <c r="L146" s="101" t="str">
        <f>IF(ISBLANK(Pricelist[[#This Row],[EBS]]),"",VALUE(RIGHT(Pricelist[[#This Row],[EBS]],3)))</f>
        <v/>
      </c>
      <c r="M146" s="65">
        <v>3010</v>
      </c>
      <c r="N146" s="101" t="str">
        <f>IF(ISBLANK(Pricelist[[#This Row],[EBS]]),"",VALUE(RIGHT(Pricelist[[#This Row],[EBS]],3)))</f>
        <v/>
      </c>
      <c r="O146" s="101" t="str">
        <f>IF(AND(Pricelist[[#This Row],[AE1]]&lt;&gt;"",OR(Pricelist[[#This Row],[区]]="南",Pricelist[[#This Row],[区]]="北")),MID(Pricelist[[#This Row],[AE1]],4,2),"")</f>
        <v/>
      </c>
      <c r="P146" s="102">
        <v>1910</v>
      </c>
      <c r="Q146" s="103">
        <v>3210</v>
      </c>
      <c r="R146" s="103">
        <v>3210</v>
      </c>
      <c r="S146" s="104"/>
      <c r="T146" s="104"/>
      <c r="U146" s="105" t="s">
        <v>3270</v>
      </c>
      <c r="V146" s="100" t="s">
        <v>504</v>
      </c>
      <c r="W146" s="106" t="s">
        <v>10</v>
      </c>
      <c r="X146" s="106" t="s">
        <v>11</v>
      </c>
      <c r="Y146" s="106" t="s">
        <v>516</v>
      </c>
      <c r="Z146" s="107">
        <v>43444</v>
      </c>
      <c r="AA146" s="108">
        <v>43449</v>
      </c>
      <c r="AB146" s="109"/>
      <c r="AC146" s="109"/>
    </row>
    <row r="147" spans="1:29" hidden="1" x14ac:dyDescent="0.15">
      <c r="A147" s="98">
        <v>146</v>
      </c>
      <c r="B147" s="99">
        <v>112917</v>
      </c>
      <c r="C147" s="98" t="s">
        <v>6331</v>
      </c>
      <c r="D147" s="100" t="s">
        <v>97</v>
      </c>
      <c r="E147" s="100" t="s">
        <v>98</v>
      </c>
      <c r="F147" s="100" t="s">
        <v>99</v>
      </c>
      <c r="G147" s="98" t="s">
        <v>100</v>
      </c>
      <c r="H147" s="98" t="str">
        <f>VLOOKUP(G147,CGS[],2,FALSE)</f>
        <v>ONE</v>
      </c>
      <c r="I147" s="65">
        <v>1940</v>
      </c>
      <c r="J147" s="101" t="str">
        <f>IF(ISBLANK(Pricelist[[#This Row],[EBS]]),"",VALUE(LEFT(Pricelist[[#This Row],[EBS]],LEN(Pricelist[[#This Row],[EBS]])-LEN(Pricelist[[#This Row],[E2]])-1)))</f>
        <v/>
      </c>
      <c r="K147" s="65">
        <v>3265</v>
      </c>
      <c r="L147" s="101" t="str">
        <f>IF(ISBLANK(Pricelist[[#This Row],[EBS]]),"",VALUE(RIGHT(Pricelist[[#This Row],[EBS]],3)))</f>
        <v/>
      </c>
      <c r="M147" s="65">
        <v>3265</v>
      </c>
      <c r="N147" s="101" t="str">
        <f>IF(ISBLANK(Pricelist[[#This Row],[EBS]]),"",VALUE(RIGHT(Pricelist[[#This Row],[EBS]],3)))</f>
        <v/>
      </c>
      <c r="O147" s="101" t="str">
        <f>IF(AND(Pricelist[[#This Row],[AE1]]&lt;&gt;"",OR(Pricelist[[#This Row],[区]]="南",Pricelist[[#This Row],[区]]="北")),MID(Pricelist[[#This Row],[AE1]],4,2),"")</f>
        <v/>
      </c>
      <c r="P147" s="102">
        <v>1965</v>
      </c>
      <c r="Q147" s="103">
        <v>3315</v>
      </c>
      <c r="R147" s="103">
        <v>3315</v>
      </c>
      <c r="S147" s="104"/>
      <c r="T147" s="104"/>
      <c r="U147" s="105" t="s">
        <v>3271</v>
      </c>
      <c r="V147" s="100" t="s">
        <v>504</v>
      </c>
      <c r="W147" s="106" t="s">
        <v>10</v>
      </c>
      <c r="X147" s="106" t="s">
        <v>11</v>
      </c>
      <c r="Y147" s="106">
        <v>44</v>
      </c>
      <c r="Z147" s="107">
        <v>43435</v>
      </c>
      <c r="AA147" s="108">
        <v>43443</v>
      </c>
      <c r="AB147" s="109"/>
      <c r="AC147" s="109"/>
    </row>
    <row r="148" spans="1:29" hidden="1" x14ac:dyDescent="0.15">
      <c r="A148" s="98">
        <v>147</v>
      </c>
      <c r="B148" s="99">
        <v>112917</v>
      </c>
      <c r="C148" s="98" t="s">
        <v>6331</v>
      </c>
      <c r="D148" s="100" t="s">
        <v>97</v>
      </c>
      <c r="E148" s="100" t="s">
        <v>98</v>
      </c>
      <c r="F148" s="100" t="s">
        <v>99</v>
      </c>
      <c r="G148" s="98" t="s">
        <v>17</v>
      </c>
      <c r="H148" s="98" t="str">
        <f>VLOOKUP(G148,CGS[],2,FALSE)</f>
        <v>MSC</v>
      </c>
      <c r="I148" s="65">
        <v>1900</v>
      </c>
      <c r="J148" s="101">
        <f>IF(ISBLANK(Pricelist[[#This Row],[EBS]]),"",VALUE(LEFT(Pricelist[[#This Row],[EBS]],LEN(Pricelist[[#This Row],[EBS]])-LEN(Pricelist[[#This Row],[E2]])-1)))</f>
        <v>100</v>
      </c>
      <c r="K148" s="65">
        <v>3100</v>
      </c>
      <c r="L148" s="101">
        <f>IF(ISBLANK(Pricelist[[#This Row],[EBS]]),"",VALUE(RIGHT(Pricelist[[#This Row],[EBS]],3)))</f>
        <v>200</v>
      </c>
      <c r="M148" s="65">
        <v>3100</v>
      </c>
      <c r="N148" s="101">
        <f>IF(ISBLANK(Pricelist[[#This Row],[EBS]]),"",VALUE(RIGHT(Pricelist[[#This Row],[EBS]],3)))</f>
        <v>200</v>
      </c>
      <c r="O148" s="101" t="str">
        <f>IF(AND(Pricelist[[#This Row],[AE1]]&lt;&gt;"",OR(Pricelist[[#This Row],[区]]="南",Pricelist[[#This Row],[区]]="北")),MID(Pricelist[[#This Row],[AE1]],4,2),"")</f>
        <v/>
      </c>
      <c r="P148" s="102">
        <v>1925</v>
      </c>
      <c r="Q148" s="103">
        <v>3150</v>
      </c>
      <c r="R148" s="103">
        <v>3150</v>
      </c>
      <c r="S148" s="104" t="s">
        <v>6328</v>
      </c>
      <c r="T148" s="104"/>
      <c r="U148" s="105" t="s">
        <v>506</v>
      </c>
      <c r="V148" s="100" t="s">
        <v>504</v>
      </c>
      <c r="W148" s="106" t="s">
        <v>101</v>
      </c>
      <c r="X148" s="106" t="s">
        <v>102</v>
      </c>
      <c r="Y148" s="106">
        <v>42</v>
      </c>
      <c r="Z148" s="107">
        <v>43435</v>
      </c>
      <c r="AA148" s="108">
        <v>43448</v>
      </c>
      <c r="AB148" s="109"/>
      <c r="AC148" s="109"/>
    </row>
    <row r="149" spans="1:29" hidden="1" x14ac:dyDescent="0.15">
      <c r="A149" s="98">
        <v>148</v>
      </c>
      <c r="B149" s="99">
        <v>112917</v>
      </c>
      <c r="C149" s="98" t="s">
        <v>6331</v>
      </c>
      <c r="D149" s="100" t="s">
        <v>97</v>
      </c>
      <c r="E149" s="100" t="s">
        <v>98</v>
      </c>
      <c r="F149" s="100" t="s">
        <v>99</v>
      </c>
      <c r="G149" s="98" t="s">
        <v>21</v>
      </c>
      <c r="H149" s="98" t="str">
        <f>VLOOKUP(G149,CGS[],2,FALSE)</f>
        <v>MSK</v>
      </c>
      <c r="I149" s="65">
        <v>2047</v>
      </c>
      <c r="J149" s="101" t="str">
        <f>IF(ISBLANK(Pricelist[[#This Row],[EBS]]),"",VALUE(LEFT(Pricelist[[#This Row],[EBS]],LEN(Pricelist[[#This Row],[EBS]])-LEN(Pricelist[[#This Row],[E2]])-1)))</f>
        <v/>
      </c>
      <c r="K149" s="65">
        <v>3439</v>
      </c>
      <c r="L149" s="101" t="str">
        <f>IF(ISBLANK(Pricelist[[#This Row],[EBS]]),"",VALUE(RIGHT(Pricelist[[#This Row],[EBS]],3)))</f>
        <v/>
      </c>
      <c r="M149" s="65">
        <v>3439</v>
      </c>
      <c r="N149" s="101" t="str">
        <f>IF(ISBLANK(Pricelist[[#This Row],[EBS]]),"",VALUE(RIGHT(Pricelist[[#This Row],[EBS]],3)))</f>
        <v/>
      </c>
      <c r="O149" s="101" t="str">
        <f>IF(AND(Pricelist[[#This Row],[AE1]]&lt;&gt;"",OR(Pricelist[[#This Row],[区]]="南",Pricelist[[#This Row],[区]]="北")),MID(Pricelist[[#This Row],[AE1]],4,2),"")</f>
        <v/>
      </c>
      <c r="P149" s="102">
        <v>2047</v>
      </c>
      <c r="Q149" s="103">
        <v>3439</v>
      </c>
      <c r="R149" s="103">
        <v>3439</v>
      </c>
      <c r="S149" s="104"/>
      <c r="T149" s="104"/>
      <c r="U149" s="105" t="s">
        <v>506</v>
      </c>
      <c r="V149" s="100" t="s">
        <v>504</v>
      </c>
      <c r="W149" s="106" t="s">
        <v>10</v>
      </c>
      <c r="X149" s="106" t="s">
        <v>11</v>
      </c>
      <c r="Y149" s="106">
        <v>42</v>
      </c>
      <c r="Z149" s="107">
        <v>43437</v>
      </c>
      <c r="AA149" s="108">
        <v>43450</v>
      </c>
      <c r="AB149" s="109" t="s">
        <v>3684</v>
      </c>
      <c r="AC149" s="109"/>
    </row>
    <row r="150" spans="1:29" hidden="1" x14ac:dyDescent="0.15">
      <c r="A150" s="98">
        <v>149</v>
      </c>
      <c r="B150" s="99">
        <v>112917</v>
      </c>
      <c r="C150" s="98" t="s">
        <v>6331</v>
      </c>
      <c r="D150" s="100" t="s">
        <v>97</v>
      </c>
      <c r="E150" s="100" t="s">
        <v>98</v>
      </c>
      <c r="F150" s="100" t="s">
        <v>99</v>
      </c>
      <c r="G150" s="98" t="s">
        <v>24</v>
      </c>
      <c r="H150" s="98" t="str">
        <f>VLOOKUP(G150,CGS[],2,FALSE)</f>
        <v>SAF</v>
      </c>
      <c r="I150" s="65">
        <v>2037</v>
      </c>
      <c r="J150" s="101">
        <f>IF(ISBLANK(Pricelist[[#This Row],[EBS]]),"",VALUE(LEFT(Pricelist[[#This Row],[EBS]],LEN(Pricelist[[#This Row],[EBS]])-LEN(Pricelist[[#This Row],[E2]])-1)))</f>
        <v>60</v>
      </c>
      <c r="K150" s="65">
        <v>3419</v>
      </c>
      <c r="L150" s="101">
        <f>IF(ISBLANK(Pricelist[[#This Row],[EBS]]),"",VALUE(RIGHT(Pricelist[[#This Row],[EBS]],3)))</f>
        <v>120</v>
      </c>
      <c r="M150" s="65">
        <v>3419</v>
      </c>
      <c r="N150" s="101">
        <f>IF(ISBLANK(Pricelist[[#This Row],[EBS]]),"",VALUE(RIGHT(Pricelist[[#This Row],[EBS]],3)))</f>
        <v>120</v>
      </c>
      <c r="O150" s="101" t="str">
        <f>IF(AND(Pricelist[[#This Row],[AE1]]&lt;&gt;"",OR(Pricelist[[#This Row],[区]]="南",Pricelist[[#This Row],[区]]="北")),MID(Pricelist[[#This Row],[AE1]],4,2),"")</f>
        <v/>
      </c>
      <c r="P150" s="102">
        <v>2037</v>
      </c>
      <c r="Q150" s="103">
        <v>3419</v>
      </c>
      <c r="R150" s="103">
        <v>3419</v>
      </c>
      <c r="S150" s="104" t="s">
        <v>2199</v>
      </c>
      <c r="T150" s="104"/>
      <c r="U150" s="105" t="s">
        <v>506</v>
      </c>
      <c r="V150" s="100" t="s">
        <v>504</v>
      </c>
      <c r="W150" s="106" t="s">
        <v>10</v>
      </c>
      <c r="X150" s="106" t="s">
        <v>11</v>
      </c>
      <c r="Y150" s="106">
        <v>42</v>
      </c>
      <c r="Z150" s="107">
        <v>43437</v>
      </c>
      <c r="AA150" s="108">
        <v>43450</v>
      </c>
      <c r="AB150" s="109" t="s">
        <v>96</v>
      </c>
      <c r="AC150" s="109"/>
    </row>
    <row r="151" spans="1:29" hidden="1" x14ac:dyDescent="0.15">
      <c r="A151" s="98">
        <v>150</v>
      </c>
      <c r="B151" s="99">
        <v>112917</v>
      </c>
      <c r="C151" s="98" t="s">
        <v>6331</v>
      </c>
      <c r="D151" s="100" t="s">
        <v>97</v>
      </c>
      <c r="E151" s="100" t="s">
        <v>98</v>
      </c>
      <c r="F151" s="100" t="s">
        <v>99</v>
      </c>
      <c r="G151" s="98" t="s">
        <v>20</v>
      </c>
      <c r="H151" s="98" t="str">
        <f>VLOOKUP(G151,CGS[],2,FALSE)</f>
        <v>HPL</v>
      </c>
      <c r="I151" s="65">
        <v>1950</v>
      </c>
      <c r="J151" s="101">
        <f>IF(ISBLANK(Pricelist[[#This Row],[EBS]]),"",VALUE(LEFT(Pricelist[[#This Row],[EBS]],LEN(Pricelist[[#This Row],[EBS]])-LEN(Pricelist[[#This Row],[E2]])-1)))</f>
        <v>55</v>
      </c>
      <c r="K151" s="65">
        <v>3000</v>
      </c>
      <c r="L151" s="101">
        <f>IF(ISBLANK(Pricelist[[#This Row],[EBS]]),"",VALUE(RIGHT(Pricelist[[#This Row],[EBS]],3)))</f>
        <v>110</v>
      </c>
      <c r="M151" s="65">
        <v>3000</v>
      </c>
      <c r="N151" s="101">
        <f>IF(ISBLANK(Pricelist[[#This Row],[EBS]]),"",VALUE(RIGHT(Pricelist[[#This Row],[EBS]],3)))</f>
        <v>110</v>
      </c>
      <c r="O151" s="101" t="str">
        <f>IF(AND(Pricelist[[#This Row],[AE1]]&lt;&gt;"",OR(Pricelist[[#This Row],[区]]="南",Pricelist[[#This Row],[区]]="北")),MID(Pricelist[[#This Row],[AE1]],4,2),"")</f>
        <v/>
      </c>
      <c r="P151" s="102">
        <v>1975</v>
      </c>
      <c r="Q151" s="103">
        <v>3050</v>
      </c>
      <c r="R151" s="103">
        <v>3050</v>
      </c>
      <c r="S151" s="104" t="s">
        <v>2204</v>
      </c>
      <c r="T151" s="104"/>
      <c r="U151" s="105" t="s">
        <v>512</v>
      </c>
      <c r="V151" s="100" t="s">
        <v>507</v>
      </c>
      <c r="W151" s="106" t="s">
        <v>103</v>
      </c>
      <c r="X151" s="106" t="s">
        <v>104</v>
      </c>
      <c r="Y151" s="106">
        <v>51</v>
      </c>
      <c r="Z151" s="107">
        <v>43435</v>
      </c>
      <c r="AA151" s="108">
        <v>43448</v>
      </c>
      <c r="AB151" s="109" t="s">
        <v>105</v>
      </c>
      <c r="AC151" s="109"/>
    </row>
    <row r="152" spans="1:29" hidden="1" x14ac:dyDescent="0.15">
      <c r="A152" s="98">
        <v>151</v>
      </c>
      <c r="B152" s="99">
        <v>112917</v>
      </c>
      <c r="C152" s="98" t="s">
        <v>6331</v>
      </c>
      <c r="D152" s="100" t="s">
        <v>97</v>
      </c>
      <c r="E152" s="100" t="s">
        <v>98</v>
      </c>
      <c r="F152" s="100" t="s">
        <v>99</v>
      </c>
      <c r="G152" s="98" t="s">
        <v>19</v>
      </c>
      <c r="H152" s="98" t="str">
        <f>VLOOKUP(G152,CGS[],2,FALSE)</f>
        <v>OOCL</v>
      </c>
      <c r="I152" s="65">
        <v>1725</v>
      </c>
      <c r="J152" s="101" t="str">
        <f>IF(ISBLANK(Pricelist[[#This Row],[EBS]]),"",VALUE(LEFT(Pricelist[[#This Row],[EBS]],LEN(Pricelist[[#This Row],[EBS]])-LEN(Pricelist[[#This Row],[E2]])-1)))</f>
        <v/>
      </c>
      <c r="K152" s="65">
        <v>2800</v>
      </c>
      <c r="L152" s="101" t="str">
        <f>IF(ISBLANK(Pricelist[[#This Row],[EBS]]),"",VALUE(RIGHT(Pricelist[[#This Row],[EBS]],3)))</f>
        <v/>
      </c>
      <c r="M152" s="65">
        <v>2800</v>
      </c>
      <c r="N152" s="101" t="str">
        <f>IF(ISBLANK(Pricelist[[#This Row],[EBS]]),"",VALUE(RIGHT(Pricelist[[#This Row],[EBS]],3)))</f>
        <v/>
      </c>
      <c r="O152" s="101" t="str">
        <f>IF(AND(Pricelist[[#This Row],[AE1]]&lt;&gt;"",OR(Pricelist[[#This Row],[区]]="南",Pricelist[[#This Row],[区]]="北")),MID(Pricelist[[#This Row],[AE1]],4,2),"")</f>
        <v/>
      </c>
      <c r="P152" s="102">
        <v>1750</v>
      </c>
      <c r="Q152" s="103">
        <v>2850</v>
      </c>
      <c r="R152" s="103">
        <v>2850</v>
      </c>
      <c r="S152" s="104"/>
      <c r="T152" s="104"/>
      <c r="U152" s="105" t="s">
        <v>3270</v>
      </c>
      <c r="V152" s="100" t="s">
        <v>504</v>
      </c>
      <c r="W152" s="106" t="s">
        <v>10</v>
      </c>
      <c r="X152" s="106" t="s">
        <v>11</v>
      </c>
      <c r="Y152" s="106" t="s">
        <v>516</v>
      </c>
      <c r="Z152" s="107">
        <v>43437</v>
      </c>
      <c r="AA152" s="108">
        <v>43443</v>
      </c>
      <c r="AB152" s="109" t="s">
        <v>4484</v>
      </c>
      <c r="AC152" s="109"/>
    </row>
    <row r="153" spans="1:29" hidden="1" x14ac:dyDescent="0.15">
      <c r="A153" s="98">
        <v>152</v>
      </c>
      <c r="B153" s="99">
        <v>112917</v>
      </c>
      <c r="C153" s="98" t="s">
        <v>6331</v>
      </c>
      <c r="D153" s="100" t="s">
        <v>97</v>
      </c>
      <c r="E153" s="100" t="s">
        <v>98</v>
      </c>
      <c r="F153" s="100" t="s">
        <v>99</v>
      </c>
      <c r="G153" s="98" t="s">
        <v>106</v>
      </c>
      <c r="H153" s="98" t="str">
        <f>VLOOKUP(G153,CGS[],2,FALSE)</f>
        <v>NDS</v>
      </c>
      <c r="I153" s="65">
        <v>2710</v>
      </c>
      <c r="J153" s="101" t="str">
        <f>IF(ISBLANK(Pricelist[[#This Row],[EBS]]),"",VALUE(LEFT(Pricelist[[#This Row],[EBS]],LEN(Pricelist[[#This Row],[EBS]])-LEN(Pricelist[[#This Row],[E2]])-1)))</f>
        <v/>
      </c>
      <c r="K153" s="65">
        <v>4660</v>
      </c>
      <c r="L153" s="101" t="str">
        <f>IF(ISBLANK(Pricelist[[#This Row],[EBS]]),"",VALUE(RIGHT(Pricelist[[#This Row],[EBS]],3)))</f>
        <v/>
      </c>
      <c r="M153" s="65">
        <v>4660</v>
      </c>
      <c r="N153" s="101" t="str">
        <f>IF(ISBLANK(Pricelist[[#This Row],[EBS]]),"",VALUE(RIGHT(Pricelist[[#This Row],[EBS]],3)))</f>
        <v/>
      </c>
      <c r="O153" s="101" t="str">
        <f>IF(AND(Pricelist[[#This Row],[AE1]]&lt;&gt;"",OR(Pricelist[[#This Row],[区]]="南",Pricelist[[#This Row],[区]]="北")),MID(Pricelist[[#This Row],[AE1]],4,2),"")</f>
        <v/>
      </c>
      <c r="P153" s="102">
        <v>2710</v>
      </c>
      <c r="Q153" s="103">
        <v>4660</v>
      </c>
      <c r="R153" s="103">
        <v>4660</v>
      </c>
      <c r="S153" s="104"/>
      <c r="T153" s="104"/>
      <c r="U153" s="105" t="s">
        <v>510</v>
      </c>
      <c r="V153" s="100" t="s">
        <v>507</v>
      </c>
      <c r="W153" s="106" t="s">
        <v>107</v>
      </c>
      <c r="X153" s="106" t="s">
        <v>108</v>
      </c>
      <c r="Y153" s="106">
        <v>60</v>
      </c>
      <c r="Z153" s="107">
        <v>43423</v>
      </c>
      <c r="AA153" s="108">
        <v>43448</v>
      </c>
      <c r="AB153" s="109"/>
      <c r="AC153" s="109"/>
    </row>
    <row r="154" spans="1:29" hidden="1" x14ac:dyDescent="0.15">
      <c r="A154" s="98">
        <v>153</v>
      </c>
      <c r="B154" s="99">
        <v>112917</v>
      </c>
      <c r="C154" s="98" t="s">
        <v>6331</v>
      </c>
      <c r="D154" s="100" t="s">
        <v>109</v>
      </c>
      <c r="E154" s="100" t="s">
        <v>98</v>
      </c>
      <c r="F154" s="100" t="s">
        <v>110</v>
      </c>
      <c r="G154" s="98" t="s">
        <v>17</v>
      </c>
      <c r="H154" s="98" t="str">
        <f>VLOOKUP(G154,CGS[],2,FALSE)</f>
        <v>MSC</v>
      </c>
      <c r="I154" s="65">
        <v>2325</v>
      </c>
      <c r="J154" s="101">
        <f>IF(ISBLANK(Pricelist[[#This Row],[EBS]]),"",VALUE(LEFT(Pricelist[[#This Row],[EBS]],LEN(Pricelist[[#This Row],[EBS]])-LEN(Pricelist[[#This Row],[E2]])-1)))</f>
        <v>100</v>
      </c>
      <c r="K154" s="65">
        <v>4650</v>
      </c>
      <c r="L154" s="101">
        <f>IF(ISBLANK(Pricelist[[#This Row],[EBS]]),"",VALUE(RIGHT(Pricelist[[#This Row],[EBS]],3)))</f>
        <v>200</v>
      </c>
      <c r="M154" s="65">
        <v>4650</v>
      </c>
      <c r="N154" s="101">
        <f>IF(ISBLANK(Pricelist[[#This Row],[EBS]]),"",VALUE(RIGHT(Pricelist[[#This Row],[EBS]],3)))</f>
        <v>200</v>
      </c>
      <c r="O154" s="101" t="str">
        <f>IF(AND(Pricelist[[#This Row],[AE1]]&lt;&gt;"",OR(Pricelist[[#This Row],[区]]="南",Pricelist[[#This Row],[区]]="北")),MID(Pricelist[[#This Row],[AE1]],4,2),"")</f>
        <v/>
      </c>
      <c r="P154" s="102">
        <v>2350</v>
      </c>
      <c r="Q154" s="103">
        <v>4700</v>
      </c>
      <c r="R154" s="103">
        <v>4700</v>
      </c>
      <c r="S154" s="104" t="s">
        <v>6328</v>
      </c>
      <c r="T154" s="104"/>
      <c r="U154" s="105" t="s">
        <v>506</v>
      </c>
      <c r="V154" s="100" t="s">
        <v>504</v>
      </c>
      <c r="W154" s="106" t="s">
        <v>101</v>
      </c>
      <c r="X154" s="106" t="s">
        <v>102</v>
      </c>
      <c r="Y154" s="106">
        <v>49</v>
      </c>
      <c r="Z154" s="107">
        <v>43435</v>
      </c>
      <c r="AA154" s="108">
        <v>43448</v>
      </c>
      <c r="AB154" s="109"/>
      <c r="AC154" s="109"/>
    </row>
    <row r="155" spans="1:29" hidden="1" x14ac:dyDescent="0.15">
      <c r="A155" s="98">
        <v>154</v>
      </c>
      <c r="B155" s="99">
        <v>112917</v>
      </c>
      <c r="C155" s="98" t="s">
        <v>6331</v>
      </c>
      <c r="D155" s="100" t="s">
        <v>109</v>
      </c>
      <c r="E155" s="100" t="s">
        <v>98</v>
      </c>
      <c r="F155" s="100" t="s">
        <v>110</v>
      </c>
      <c r="G155" s="98" t="s">
        <v>8</v>
      </c>
      <c r="H155" s="98" t="str">
        <f>VLOOKUP(G155,CGS[],2,FALSE)</f>
        <v>CMA</v>
      </c>
      <c r="I155" s="65">
        <v>2213</v>
      </c>
      <c r="J155" s="101">
        <f>IF(ISBLANK(Pricelist[[#This Row],[EBS]]),"",VALUE(LEFT(Pricelist[[#This Row],[EBS]],LEN(Pricelist[[#This Row],[EBS]])-LEN(Pricelist[[#This Row],[E2]])-1)))</f>
        <v>55</v>
      </c>
      <c r="K155" s="65">
        <v>4113</v>
      </c>
      <c r="L155" s="101">
        <f>IF(ISBLANK(Pricelist[[#This Row],[EBS]]),"",VALUE(RIGHT(Pricelist[[#This Row],[EBS]],3)))</f>
        <v>110</v>
      </c>
      <c r="M155" s="65">
        <v>4113</v>
      </c>
      <c r="N155" s="101">
        <f>IF(ISBLANK(Pricelist[[#This Row],[EBS]]),"",VALUE(RIGHT(Pricelist[[#This Row],[EBS]],3)))</f>
        <v>110</v>
      </c>
      <c r="O155" s="101" t="str">
        <f>IF(AND(Pricelist[[#This Row],[AE1]]&lt;&gt;"",OR(Pricelist[[#This Row],[区]]="南",Pricelist[[#This Row],[区]]="北")),MID(Pricelist[[#This Row],[AE1]],4,2),"")</f>
        <v/>
      </c>
      <c r="P155" s="102">
        <v>2288</v>
      </c>
      <c r="Q155" s="103">
        <v>4263</v>
      </c>
      <c r="R155" s="103">
        <v>4263</v>
      </c>
      <c r="S155" s="104" t="s">
        <v>2204</v>
      </c>
      <c r="T155" s="104"/>
      <c r="U155" s="105" t="s">
        <v>505</v>
      </c>
      <c r="V155" s="100" t="s">
        <v>517</v>
      </c>
      <c r="W155" s="106" t="s">
        <v>101</v>
      </c>
      <c r="X155" s="106" t="s">
        <v>102</v>
      </c>
      <c r="Y155" s="106">
        <v>55</v>
      </c>
      <c r="Z155" s="107">
        <v>43430</v>
      </c>
      <c r="AA155" s="108">
        <v>43448</v>
      </c>
      <c r="AB155" s="109" t="s">
        <v>2219</v>
      </c>
      <c r="AC155" s="109"/>
    </row>
    <row r="156" spans="1:29" hidden="1" x14ac:dyDescent="0.15">
      <c r="A156" s="98">
        <v>155</v>
      </c>
      <c r="B156" s="99">
        <v>112917</v>
      </c>
      <c r="C156" s="98" t="s">
        <v>6331</v>
      </c>
      <c r="D156" s="100" t="s">
        <v>109</v>
      </c>
      <c r="E156" s="100" t="s">
        <v>98</v>
      </c>
      <c r="F156" s="100" t="s">
        <v>110</v>
      </c>
      <c r="G156" s="98" t="s">
        <v>21</v>
      </c>
      <c r="H156" s="98" t="str">
        <f>VLOOKUP(G156,CGS[],2,FALSE)</f>
        <v>MSK</v>
      </c>
      <c r="I156" s="65">
        <v>2547</v>
      </c>
      <c r="J156" s="101" t="str">
        <f>IF(ISBLANK(Pricelist[[#This Row],[EBS]]),"",VALUE(LEFT(Pricelist[[#This Row],[EBS]],LEN(Pricelist[[#This Row],[EBS]])-LEN(Pricelist[[#This Row],[E2]])-1)))</f>
        <v/>
      </c>
      <c r="K156" s="65">
        <v>4389</v>
      </c>
      <c r="L156" s="101" t="str">
        <f>IF(ISBLANK(Pricelist[[#This Row],[EBS]]),"",VALUE(RIGHT(Pricelist[[#This Row],[EBS]],3)))</f>
        <v/>
      </c>
      <c r="M156" s="65">
        <v>4389</v>
      </c>
      <c r="N156" s="101" t="str">
        <f>IF(ISBLANK(Pricelist[[#This Row],[EBS]]),"",VALUE(RIGHT(Pricelist[[#This Row],[EBS]],3)))</f>
        <v/>
      </c>
      <c r="O156" s="101" t="str">
        <f>IF(AND(Pricelist[[#This Row],[AE1]]&lt;&gt;"",OR(Pricelist[[#This Row],[区]]="南",Pricelist[[#This Row],[区]]="北")),MID(Pricelist[[#This Row],[AE1]],4,2),"")</f>
        <v/>
      </c>
      <c r="P156" s="102">
        <v>2547</v>
      </c>
      <c r="Q156" s="103">
        <v>4389</v>
      </c>
      <c r="R156" s="103">
        <v>4389</v>
      </c>
      <c r="S156" s="104"/>
      <c r="T156" s="104"/>
      <c r="U156" s="105" t="s">
        <v>506</v>
      </c>
      <c r="V156" s="100" t="s">
        <v>507</v>
      </c>
      <c r="W156" s="106" t="s">
        <v>103</v>
      </c>
      <c r="X156" s="106" t="s">
        <v>104</v>
      </c>
      <c r="Y156" s="106" t="s">
        <v>112</v>
      </c>
      <c r="Z156" s="107">
        <v>43437</v>
      </c>
      <c r="AA156" s="108">
        <v>43450</v>
      </c>
      <c r="AB156" s="109"/>
      <c r="AC156" s="109"/>
    </row>
    <row r="157" spans="1:29" hidden="1" x14ac:dyDescent="0.15">
      <c r="A157" s="98">
        <v>156</v>
      </c>
      <c r="B157" s="99">
        <v>112917</v>
      </c>
      <c r="C157" s="98" t="s">
        <v>6331</v>
      </c>
      <c r="D157" s="100" t="s">
        <v>109</v>
      </c>
      <c r="E157" s="100" t="s">
        <v>98</v>
      </c>
      <c r="F157" s="100" t="s">
        <v>110</v>
      </c>
      <c r="G157" s="98" t="s">
        <v>24</v>
      </c>
      <c r="H157" s="98" t="str">
        <f>VLOOKUP(G157,CGS[],2,FALSE)</f>
        <v>SAF</v>
      </c>
      <c r="I157" s="65">
        <v>2550</v>
      </c>
      <c r="J157" s="101">
        <f>IF(ISBLANK(Pricelist[[#This Row],[EBS]]),"",VALUE(LEFT(Pricelist[[#This Row],[EBS]],LEN(Pricelist[[#This Row],[EBS]])-LEN(Pricelist[[#This Row],[E2]])-1)))</f>
        <v>60</v>
      </c>
      <c r="K157" s="65">
        <v>4400</v>
      </c>
      <c r="L157" s="101">
        <f>IF(ISBLANK(Pricelist[[#This Row],[EBS]]),"",VALUE(RIGHT(Pricelist[[#This Row],[EBS]],3)))</f>
        <v>120</v>
      </c>
      <c r="M157" s="65">
        <v>4400</v>
      </c>
      <c r="N157" s="101">
        <f>IF(ISBLANK(Pricelist[[#This Row],[EBS]]),"",VALUE(RIGHT(Pricelist[[#This Row],[EBS]],3)))</f>
        <v>120</v>
      </c>
      <c r="O157" s="101" t="str">
        <f>IF(AND(Pricelist[[#This Row],[AE1]]&lt;&gt;"",OR(Pricelist[[#This Row],[区]]="南",Pricelist[[#This Row],[区]]="北")),MID(Pricelist[[#This Row],[AE1]],4,2),"")</f>
        <v/>
      </c>
      <c r="P157" s="102">
        <v>2550</v>
      </c>
      <c r="Q157" s="103">
        <v>4400</v>
      </c>
      <c r="R157" s="103">
        <v>4400</v>
      </c>
      <c r="S157" s="104" t="s">
        <v>2199</v>
      </c>
      <c r="T157" s="104"/>
      <c r="U157" s="105" t="s">
        <v>506</v>
      </c>
      <c r="V157" s="100" t="s">
        <v>507</v>
      </c>
      <c r="W157" s="106" t="s">
        <v>2238</v>
      </c>
      <c r="X157" s="106" t="s">
        <v>131</v>
      </c>
      <c r="Y157" s="106" t="s">
        <v>3685</v>
      </c>
      <c r="Z157" s="107">
        <v>43437</v>
      </c>
      <c r="AA157" s="108">
        <v>43450</v>
      </c>
      <c r="AB157" s="109" t="s">
        <v>3686</v>
      </c>
      <c r="AC157" s="109"/>
    </row>
    <row r="158" spans="1:29" hidden="1" x14ac:dyDescent="0.15">
      <c r="A158" s="98">
        <v>157</v>
      </c>
      <c r="B158" s="99">
        <v>112917</v>
      </c>
      <c r="C158" s="98" t="s">
        <v>6331</v>
      </c>
      <c r="D158" s="100" t="s">
        <v>113</v>
      </c>
      <c r="E158" s="100" t="s">
        <v>114</v>
      </c>
      <c r="F158" s="100" t="s">
        <v>115</v>
      </c>
      <c r="G158" s="98" t="s">
        <v>8</v>
      </c>
      <c r="H158" s="98" t="str">
        <f>VLOOKUP(G158,CGS[],2,FALSE)</f>
        <v>CMA</v>
      </c>
      <c r="I158" s="65">
        <v>1963</v>
      </c>
      <c r="J158" s="101">
        <f>IF(ISBLANK(Pricelist[[#This Row],[EBS]]),"",VALUE(LEFT(Pricelist[[#This Row],[EBS]],LEN(Pricelist[[#This Row],[EBS]])-LEN(Pricelist[[#This Row],[E2]])-1)))</f>
        <v>55</v>
      </c>
      <c r="K158" s="65">
        <v>3263</v>
      </c>
      <c r="L158" s="101">
        <f>IF(ISBLANK(Pricelist[[#This Row],[EBS]]),"",VALUE(RIGHT(Pricelist[[#This Row],[EBS]],3)))</f>
        <v>110</v>
      </c>
      <c r="M158" s="65">
        <v>3263</v>
      </c>
      <c r="N158" s="101">
        <f>IF(ISBLANK(Pricelist[[#This Row],[EBS]]),"",VALUE(RIGHT(Pricelist[[#This Row],[EBS]],3)))</f>
        <v>110</v>
      </c>
      <c r="O158" s="101" t="str">
        <f>IF(AND(Pricelist[[#This Row],[AE1]]&lt;&gt;"",OR(Pricelist[[#This Row],[区]]="南",Pricelist[[#This Row],[区]]="北")),MID(Pricelist[[#This Row],[AE1]],4,2),"")</f>
        <v/>
      </c>
      <c r="P158" s="102">
        <v>2038</v>
      </c>
      <c r="Q158" s="103">
        <v>3413</v>
      </c>
      <c r="R158" s="103">
        <v>3413</v>
      </c>
      <c r="S158" s="104" t="s">
        <v>2204</v>
      </c>
      <c r="T158" s="104"/>
      <c r="U158" s="105" t="s">
        <v>505</v>
      </c>
      <c r="V158" s="100" t="s">
        <v>517</v>
      </c>
      <c r="W158" s="106" t="s">
        <v>10</v>
      </c>
      <c r="X158" s="106" t="s">
        <v>11</v>
      </c>
      <c r="Y158" s="106">
        <v>48</v>
      </c>
      <c r="Z158" s="107">
        <v>43430</v>
      </c>
      <c r="AA158" s="108">
        <v>43448</v>
      </c>
      <c r="AB158" s="109" t="s">
        <v>2220</v>
      </c>
      <c r="AC158" s="109"/>
    </row>
    <row r="159" spans="1:29" hidden="1" x14ac:dyDescent="0.15">
      <c r="A159" s="98">
        <v>158</v>
      </c>
      <c r="B159" s="99">
        <v>112917</v>
      </c>
      <c r="C159" s="98" t="s">
        <v>6331</v>
      </c>
      <c r="D159" s="100" t="s">
        <v>113</v>
      </c>
      <c r="E159" s="100" t="s">
        <v>114</v>
      </c>
      <c r="F159" s="100" t="s">
        <v>115</v>
      </c>
      <c r="G159" s="98" t="s">
        <v>9</v>
      </c>
      <c r="H159" s="98" t="str">
        <f>VLOOKUP(G159,CGS[],2,FALSE)</f>
        <v>COSCO</v>
      </c>
      <c r="I159" s="65">
        <v>1685</v>
      </c>
      <c r="J159" s="101">
        <f>IF(ISBLANK(Pricelist[[#This Row],[EBS]]),"",VALUE(LEFT(Pricelist[[#This Row],[EBS]],LEN(Pricelist[[#This Row],[EBS]])-LEN(Pricelist[[#This Row],[E2]])-1)))</f>
        <v>60</v>
      </c>
      <c r="K159" s="65">
        <v>2760</v>
      </c>
      <c r="L159" s="101">
        <f>IF(ISBLANK(Pricelist[[#This Row],[EBS]]),"",VALUE(RIGHT(Pricelist[[#This Row],[EBS]],3)))</f>
        <v>120</v>
      </c>
      <c r="M159" s="65">
        <v>2760</v>
      </c>
      <c r="N159" s="101">
        <f>IF(ISBLANK(Pricelist[[#This Row],[EBS]]),"",VALUE(RIGHT(Pricelist[[#This Row],[EBS]],3)))</f>
        <v>120</v>
      </c>
      <c r="O159" s="101" t="str">
        <f>IF(AND(Pricelist[[#This Row],[AE1]]&lt;&gt;"",OR(Pricelist[[#This Row],[区]]="南",Pricelist[[#This Row],[区]]="北")),MID(Pricelist[[#This Row],[AE1]],4,2),"")</f>
        <v/>
      </c>
      <c r="P159" s="102">
        <v>1710</v>
      </c>
      <c r="Q159" s="103">
        <v>2810</v>
      </c>
      <c r="R159" s="103">
        <v>2810</v>
      </c>
      <c r="S159" s="104" t="s">
        <v>2199</v>
      </c>
      <c r="T159" s="104"/>
      <c r="U159" s="105" t="s">
        <v>508</v>
      </c>
      <c r="V159" s="100" t="s">
        <v>504</v>
      </c>
      <c r="W159" s="106" t="s">
        <v>10</v>
      </c>
      <c r="X159" s="106" t="s">
        <v>11</v>
      </c>
      <c r="Y159" s="106">
        <v>49</v>
      </c>
      <c r="Z159" s="107">
        <v>43437</v>
      </c>
      <c r="AA159" s="108">
        <v>43450</v>
      </c>
      <c r="AB159" s="109" t="s">
        <v>135</v>
      </c>
      <c r="AC159" s="109" t="s">
        <v>12</v>
      </c>
    </row>
    <row r="160" spans="1:29" hidden="1" x14ac:dyDescent="0.15">
      <c r="A160" s="98">
        <v>159</v>
      </c>
      <c r="B160" s="99">
        <v>112917</v>
      </c>
      <c r="C160" s="98" t="s">
        <v>6331</v>
      </c>
      <c r="D160" s="100" t="s">
        <v>113</v>
      </c>
      <c r="E160" s="100" t="s">
        <v>114</v>
      </c>
      <c r="F160" s="100" t="s">
        <v>115</v>
      </c>
      <c r="G160" s="98" t="s">
        <v>100</v>
      </c>
      <c r="H160" s="98" t="str">
        <f>VLOOKUP(G160,CGS[],2,FALSE)</f>
        <v>ONE</v>
      </c>
      <c r="I160" s="65">
        <v>1940</v>
      </c>
      <c r="J160" s="101" t="str">
        <f>IF(ISBLANK(Pricelist[[#This Row],[EBS]]),"",VALUE(LEFT(Pricelist[[#This Row],[EBS]],LEN(Pricelist[[#This Row],[EBS]])-LEN(Pricelist[[#This Row],[E2]])-1)))</f>
        <v/>
      </c>
      <c r="K160" s="65">
        <v>3265</v>
      </c>
      <c r="L160" s="101" t="str">
        <f>IF(ISBLANK(Pricelist[[#This Row],[EBS]]),"",VALUE(RIGHT(Pricelist[[#This Row],[EBS]],3)))</f>
        <v/>
      </c>
      <c r="M160" s="65">
        <v>3265</v>
      </c>
      <c r="N160" s="101" t="str">
        <f>IF(ISBLANK(Pricelist[[#This Row],[EBS]]),"",VALUE(RIGHT(Pricelist[[#This Row],[EBS]],3)))</f>
        <v/>
      </c>
      <c r="O160" s="101" t="str">
        <f>IF(AND(Pricelist[[#This Row],[AE1]]&lt;&gt;"",OR(Pricelist[[#This Row],[区]]="南",Pricelist[[#This Row],[区]]="北")),MID(Pricelist[[#This Row],[AE1]],4,2),"")</f>
        <v/>
      </c>
      <c r="P160" s="102">
        <v>1965</v>
      </c>
      <c r="Q160" s="103">
        <v>3315</v>
      </c>
      <c r="R160" s="103">
        <v>3315</v>
      </c>
      <c r="S160" s="104"/>
      <c r="T160" s="104"/>
      <c r="U160" s="105" t="s">
        <v>508</v>
      </c>
      <c r="V160" s="100" t="s">
        <v>504</v>
      </c>
      <c r="W160" s="106" t="s">
        <v>10</v>
      </c>
      <c r="X160" s="106" t="s">
        <v>11</v>
      </c>
      <c r="Y160" s="106">
        <v>45</v>
      </c>
      <c r="Z160" s="107">
        <v>43435</v>
      </c>
      <c r="AA160" s="108">
        <v>43443</v>
      </c>
      <c r="AB160" s="109"/>
      <c r="AC160" s="109"/>
    </row>
    <row r="161" spans="1:29" hidden="1" x14ac:dyDescent="0.15">
      <c r="A161" s="98">
        <v>160</v>
      </c>
      <c r="B161" s="99">
        <v>112917</v>
      </c>
      <c r="C161" s="98" t="s">
        <v>6331</v>
      </c>
      <c r="D161" s="100" t="s">
        <v>113</v>
      </c>
      <c r="E161" s="100" t="s">
        <v>114</v>
      </c>
      <c r="F161" s="100" t="s">
        <v>115</v>
      </c>
      <c r="G161" s="98" t="s">
        <v>95</v>
      </c>
      <c r="H161" s="98" t="str">
        <f>VLOOKUP(G161,CGS[],2,FALSE)</f>
        <v>ZIM</v>
      </c>
      <c r="I161" s="65">
        <v>1660</v>
      </c>
      <c r="J161" s="101">
        <f>IF(ISBLANK(Pricelist[[#This Row],[EBS]]),"",VALUE(LEFT(Pricelist[[#This Row],[EBS]],LEN(Pricelist[[#This Row],[EBS]])-LEN(Pricelist[[#This Row],[E2]])-1)))</f>
        <v>110</v>
      </c>
      <c r="K161" s="65">
        <v>2660</v>
      </c>
      <c r="L161" s="101">
        <f>IF(ISBLANK(Pricelist[[#This Row],[EBS]]),"",VALUE(RIGHT(Pricelist[[#This Row],[EBS]],3)))</f>
        <v>220</v>
      </c>
      <c r="M161" s="65">
        <v>2660</v>
      </c>
      <c r="N161" s="101">
        <f>IF(ISBLANK(Pricelist[[#This Row],[EBS]]),"",VALUE(RIGHT(Pricelist[[#This Row],[EBS]],3)))</f>
        <v>220</v>
      </c>
      <c r="O161" s="101" t="str">
        <f>IF(AND(Pricelist[[#This Row],[AE1]]&lt;&gt;"",OR(Pricelist[[#This Row],[区]]="南",Pricelist[[#This Row],[区]]="北")),MID(Pricelist[[#This Row],[AE1]],4,2),"")</f>
        <v/>
      </c>
      <c r="P161" s="102">
        <v>1860</v>
      </c>
      <c r="Q161" s="103">
        <v>3060</v>
      </c>
      <c r="R161" s="103">
        <v>3060</v>
      </c>
      <c r="S161" s="104" t="s">
        <v>3743</v>
      </c>
      <c r="T161" s="104"/>
      <c r="U161" s="105" t="s">
        <v>508</v>
      </c>
      <c r="V161" s="100" t="s">
        <v>504</v>
      </c>
      <c r="W161" s="106" t="s">
        <v>10</v>
      </c>
      <c r="X161" s="106" t="s">
        <v>11</v>
      </c>
      <c r="Y161" s="106">
        <v>40</v>
      </c>
      <c r="Z161" s="107">
        <v>43437</v>
      </c>
      <c r="AA161" s="108">
        <v>43445</v>
      </c>
      <c r="AB161" s="109"/>
      <c r="AC161" s="109"/>
    </row>
    <row r="162" spans="1:29" ht="38.25" hidden="1" x14ac:dyDescent="0.15">
      <c r="A162" s="98">
        <v>161</v>
      </c>
      <c r="B162" s="99">
        <v>112917</v>
      </c>
      <c r="C162" s="98" t="s">
        <v>6331</v>
      </c>
      <c r="D162" s="100" t="s">
        <v>113</v>
      </c>
      <c r="E162" s="100" t="s">
        <v>114</v>
      </c>
      <c r="F162" s="100" t="s">
        <v>115</v>
      </c>
      <c r="G162" s="98" t="s">
        <v>17</v>
      </c>
      <c r="H162" s="98" t="str">
        <f>VLOOKUP(G162,CGS[],2,FALSE)</f>
        <v>MSC</v>
      </c>
      <c r="I162" s="65">
        <v>1907</v>
      </c>
      <c r="J162" s="101">
        <f>IF(ISBLANK(Pricelist[[#This Row],[EBS]]),"",VALUE(LEFT(Pricelist[[#This Row],[EBS]],LEN(Pricelist[[#This Row],[EBS]])-LEN(Pricelist[[#This Row],[E2]])-1)))</f>
        <v>100</v>
      </c>
      <c r="K162" s="65">
        <v>3114</v>
      </c>
      <c r="L162" s="101">
        <f>IF(ISBLANK(Pricelist[[#This Row],[EBS]]),"",VALUE(RIGHT(Pricelist[[#This Row],[EBS]],3)))</f>
        <v>200</v>
      </c>
      <c r="M162" s="65">
        <v>3114</v>
      </c>
      <c r="N162" s="101">
        <f>IF(ISBLANK(Pricelist[[#This Row],[EBS]]),"",VALUE(RIGHT(Pricelist[[#This Row],[EBS]],3)))</f>
        <v>200</v>
      </c>
      <c r="O162" s="101" t="str">
        <f>IF(AND(Pricelist[[#This Row],[AE1]]&lt;&gt;"",OR(Pricelist[[#This Row],[区]]="南",Pricelist[[#This Row],[区]]="北")),MID(Pricelist[[#This Row],[AE1]],4,2),"")</f>
        <v/>
      </c>
      <c r="P162" s="102">
        <v>1932</v>
      </c>
      <c r="Q162" s="103">
        <v>3164</v>
      </c>
      <c r="R162" s="103">
        <v>3164</v>
      </c>
      <c r="S162" s="104" t="s">
        <v>6328</v>
      </c>
      <c r="T162" s="104"/>
      <c r="U162" s="105" t="s">
        <v>506</v>
      </c>
      <c r="V162" s="100" t="s">
        <v>504</v>
      </c>
      <c r="W162" s="106" t="s">
        <v>101</v>
      </c>
      <c r="X162" s="106" t="s">
        <v>102</v>
      </c>
      <c r="Y162" s="106">
        <v>44</v>
      </c>
      <c r="Z162" s="107">
        <v>43435</v>
      </c>
      <c r="AA162" s="108">
        <v>43448</v>
      </c>
      <c r="AB162" s="109" t="s">
        <v>2221</v>
      </c>
      <c r="AC162" s="109"/>
    </row>
    <row r="163" spans="1:29" hidden="1" x14ac:dyDescent="0.15">
      <c r="A163" s="98">
        <v>162</v>
      </c>
      <c r="B163" s="99">
        <v>112917</v>
      </c>
      <c r="C163" s="98" t="s">
        <v>6331</v>
      </c>
      <c r="D163" s="100" t="s">
        <v>113</v>
      </c>
      <c r="E163" s="100" t="s">
        <v>114</v>
      </c>
      <c r="F163" s="100" t="s">
        <v>115</v>
      </c>
      <c r="G163" s="98" t="s">
        <v>21</v>
      </c>
      <c r="H163" s="98" t="str">
        <f>VLOOKUP(G163,CGS[],2,FALSE)</f>
        <v>MSK</v>
      </c>
      <c r="I163" s="65">
        <v>2135</v>
      </c>
      <c r="J163" s="101" t="str">
        <f>IF(ISBLANK(Pricelist[[#This Row],[EBS]]),"",VALUE(LEFT(Pricelist[[#This Row],[EBS]],LEN(Pricelist[[#This Row],[EBS]])-LEN(Pricelist[[#This Row],[E2]])-1)))</f>
        <v/>
      </c>
      <c r="K163" s="65">
        <v>3570</v>
      </c>
      <c r="L163" s="101" t="str">
        <f>IF(ISBLANK(Pricelist[[#This Row],[EBS]]),"",VALUE(RIGHT(Pricelist[[#This Row],[EBS]],3)))</f>
        <v/>
      </c>
      <c r="M163" s="65">
        <v>3570</v>
      </c>
      <c r="N163" s="101" t="str">
        <f>IF(ISBLANK(Pricelist[[#This Row],[EBS]]),"",VALUE(RIGHT(Pricelist[[#This Row],[EBS]],3)))</f>
        <v/>
      </c>
      <c r="O163" s="101" t="str">
        <f>IF(AND(Pricelist[[#This Row],[AE1]]&lt;&gt;"",OR(Pricelist[[#This Row],[区]]="南",Pricelist[[#This Row],[区]]="北")),MID(Pricelist[[#This Row],[AE1]],4,2),"")</f>
        <v/>
      </c>
      <c r="P163" s="102">
        <v>2135</v>
      </c>
      <c r="Q163" s="103">
        <v>3570</v>
      </c>
      <c r="R163" s="103">
        <v>3570</v>
      </c>
      <c r="S163" s="104"/>
      <c r="T163" s="104"/>
      <c r="U163" s="105" t="s">
        <v>506</v>
      </c>
      <c r="V163" s="100" t="s">
        <v>504</v>
      </c>
      <c r="W163" s="106" t="s">
        <v>10</v>
      </c>
      <c r="X163" s="106" t="s">
        <v>11</v>
      </c>
      <c r="Y163" s="106">
        <v>38</v>
      </c>
      <c r="Z163" s="107">
        <v>43437</v>
      </c>
      <c r="AA163" s="108">
        <v>43450</v>
      </c>
      <c r="AB163" s="109"/>
      <c r="AC163" s="109"/>
    </row>
    <row r="164" spans="1:29" hidden="1" x14ac:dyDescent="0.15">
      <c r="A164" s="98">
        <v>163</v>
      </c>
      <c r="B164" s="99">
        <v>112917</v>
      </c>
      <c r="C164" s="98" t="s">
        <v>6331</v>
      </c>
      <c r="D164" s="100" t="s">
        <v>113</v>
      </c>
      <c r="E164" s="100" t="s">
        <v>114</v>
      </c>
      <c r="F164" s="100" t="s">
        <v>115</v>
      </c>
      <c r="G164" s="98" t="s">
        <v>24</v>
      </c>
      <c r="H164" s="98" t="str">
        <f>VLOOKUP(G164,CGS[],2,FALSE)</f>
        <v>SAF</v>
      </c>
      <c r="I164" s="65">
        <v>2125</v>
      </c>
      <c r="J164" s="101">
        <f>IF(ISBLANK(Pricelist[[#This Row],[EBS]]),"",VALUE(LEFT(Pricelist[[#This Row],[EBS]],LEN(Pricelist[[#This Row],[EBS]])-LEN(Pricelist[[#This Row],[E2]])-1)))</f>
        <v>60</v>
      </c>
      <c r="K164" s="65">
        <v>3550</v>
      </c>
      <c r="L164" s="101">
        <f>IF(ISBLANK(Pricelist[[#This Row],[EBS]]),"",VALUE(RIGHT(Pricelist[[#This Row],[EBS]],3)))</f>
        <v>120</v>
      </c>
      <c r="M164" s="65">
        <v>3550</v>
      </c>
      <c r="N164" s="101">
        <f>IF(ISBLANK(Pricelist[[#This Row],[EBS]]),"",VALUE(RIGHT(Pricelist[[#This Row],[EBS]],3)))</f>
        <v>120</v>
      </c>
      <c r="O164" s="101" t="str">
        <f>IF(AND(Pricelist[[#This Row],[AE1]]&lt;&gt;"",OR(Pricelist[[#This Row],[区]]="南",Pricelist[[#This Row],[区]]="北")),MID(Pricelist[[#This Row],[AE1]],4,2),"")</f>
        <v/>
      </c>
      <c r="P164" s="102">
        <v>2125</v>
      </c>
      <c r="Q164" s="103">
        <v>3550</v>
      </c>
      <c r="R164" s="103">
        <v>3550</v>
      </c>
      <c r="S164" s="104" t="s">
        <v>2199</v>
      </c>
      <c r="T164" s="104"/>
      <c r="U164" s="105" t="s">
        <v>506</v>
      </c>
      <c r="V164" s="100" t="s">
        <v>507</v>
      </c>
      <c r="W164" s="106" t="s">
        <v>10</v>
      </c>
      <c r="X164" s="106" t="s">
        <v>11</v>
      </c>
      <c r="Y164" s="106">
        <v>38</v>
      </c>
      <c r="Z164" s="107">
        <v>43437</v>
      </c>
      <c r="AA164" s="108">
        <v>43450</v>
      </c>
      <c r="AB164" s="109" t="s">
        <v>3687</v>
      </c>
      <c r="AC164" s="109"/>
    </row>
    <row r="165" spans="1:29" hidden="1" x14ac:dyDescent="0.15">
      <c r="A165" s="98">
        <v>164</v>
      </c>
      <c r="B165" s="99">
        <v>112917</v>
      </c>
      <c r="C165" s="98" t="s">
        <v>6331</v>
      </c>
      <c r="D165" s="100" t="s">
        <v>113</v>
      </c>
      <c r="E165" s="100" t="s">
        <v>114</v>
      </c>
      <c r="F165" s="100" t="s">
        <v>115</v>
      </c>
      <c r="G165" s="98" t="s">
        <v>106</v>
      </c>
      <c r="H165" s="98" t="str">
        <f>VLOOKUP(G165,CGS[],2,FALSE)</f>
        <v>NDS</v>
      </c>
      <c r="I165" s="65">
        <v>2710</v>
      </c>
      <c r="J165" s="101" t="str">
        <f>IF(ISBLANK(Pricelist[[#This Row],[EBS]]),"",VALUE(LEFT(Pricelist[[#This Row],[EBS]],LEN(Pricelist[[#This Row],[EBS]])-LEN(Pricelist[[#This Row],[E2]])-1)))</f>
        <v/>
      </c>
      <c r="K165" s="65">
        <v>4660</v>
      </c>
      <c r="L165" s="101" t="str">
        <f>IF(ISBLANK(Pricelist[[#This Row],[EBS]]),"",VALUE(RIGHT(Pricelist[[#This Row],[EBS]],3)))</f>
        <v/>
      </c>
      <c r="M165" s="65">
        <v>4660</v>
      </c>
      <c r="N165" s="101" t="str">
        <f>IF(ISBLANK(Pricelist[[#This Row],[EBS]]),"",VALUE(RIGHT(Pricelist[[#This Row],[EBS]],3)))</f>
        <v/>
      </c>
      <c r="O165" s="101" t="str">
        <f>IF(AND(Pricelist[[#This Row],[AE1]]&lt;&gt;"",OR(Pricelist[[#This Row],[区]]="南",Pricelist[[#This Row],[区]]="北")),MID(Pricelist[[#This Row],[AE1]],4,2),"")</f>
        <v/>
      </c>
      <c r="P165" s="102">
        <v>2710</v>
      </c>
      <c r="Q165" s="103">
        <v>4660</v>
      </c>
      <c r="R165" s="103">
        <v>4660</v>
      </c>
      <c r="S165" s="104"/>
      <c r="T165" s="104"/>
      <c r="U165" s="105" t="s">
        <v>510</v>
      </c>
      <c r="V165" s="100" t="s">
        <v>507</v>
      </c>
      <c r="W165" s="106" t="s">
        <v>107</v>
      </c>
      <c r="X165" s="106" t="s">
        <v>108</v>
      </c>
      <c r="Y165" s="106">
        <v>60</v>
      </c>
      <c r="Z165" s="107">
        <v>43423</v>
      </c>
      <c r="AA165" s="108">
        <v>43448</v>
      </c>
      <c r="AB165" s="109"/>
      <c r="AC165" s="109"/>
    </row>
    <row r="166" spans="1:29" hidden="1" x14ac:dyDescent="0.15">
      <c r="A166" s="98">
        <v>165</v>
      </c>
      <c r="B166" s="99">
        <v>112917</v>
      </c>
      <c r="C166" s="98" t="s">
        <v>6331</v>
      </c>
      <c r="D166" s="100" t="s">
        <v>113</v>
      </c>
      <c r="E166" s="100" t="s">
        <v>114</v>
      </c>
      <c r="F166" s="100" t="s">
        <v>115</v>
      </c>
      <c r="G166" s="98" t="s">
        <v>20</v>
      </c>
      <c r="H166" s="98" t="str">
        <f>VLOOKUP(G166,CGS[],2,FALSE)</f>
        <v>HPL</v>
      </c>
      <c r="I166" s="65">
        <v>1950</v>
      </c>
      <c r="J166" s="101">
        <f>IF(ISBLANK(Pricelist[[#This Row],[EBS]]),"",VALUE(LEFT(Pricelist[[#This Row],[EBS]],LEN(Pricelist[[#This Row],[EBS]])-LEN(Pricelist[[#This Row],[E2]])-1)))</f>
        <v>55</v>
      </c>
      <c r="K166" s="65">
        <v>3000</v>
      </c>
      <c r="L166" s="101">
        <f>IF(ISBLANK(Pricelist[[#This Row],[EBS]]),"",VALUE(RIGHT(Pricelist[[#This Row],[EBS]],3)))</f>
        <v>110</v>
      </c>
      <c r="M166" s="65">
        <v>3000</v>
      </c>
      <c r="N166" s="101">
        <f>IF(ISBLANK(Pricelist[[#This Row],[EBS]]),"",VALUE(RIGHT(Pricelist[[#This Row],[EBS]],3)))</f>
        <v>110</v>
      </c>
      <c r="O166" s="101" t="str">
        <f>IF(AND(Pricelist[[#This Row],[AE1]]&lt;&gt;"",OR(Pricelist[[#This Row],[区]]="南",Pricelist[[#This Row],[区]]="北")),MID(Pricelist[[#This Row],[AE1]],4,2),"")</f>
        <v/>
      </c>
      <c r="P166" s="102">
        <v>1975</v>
      </c>
      <c r="Q166" s="103">
        <v>3050</v>
      </c>
      <c r="R166" s="103">
        <v>3050</v>
      </c>
      <c r="S166" s="104" t="s">
        <v>2204</v>
      </c>
      <c r="T166" s="104"/>
      <c r="U166" s="105" t="s">
        <v>512</v>
      </c>
      <c r="V166" s="100" t="s">
        <v>507</v>
      </c>
      <c r="W166" s="106" t="s">
        <v>103</v>
      </c>
      <c r="X166" s="106" t="s">
        <v>104</v>
      </c>
      <c r="Y166" s="106">
        <v>53</v>
      </c>
      <c r="Z166" s="107">
        <v>43435</v>
      </c>
      <c r="AA166" s="108">
        <v>43448</v>
      </c>
      <c r="AB166" s="109" t="s">
        <v>2222</v>
      </c>
      <c r="AC166" s="109"/>
    </row>
    <row r="167" spans="1:29" hidden="1" x14ac:dyDescent="0.15">
      <c r="A167" s="98">
        <v>166</v>
      </c>
      <c r="B167" s="99">
        <v>112917</v>
      </c>
      <c r="C167" s="98" t="s">
        <v>6331</v>
      </c>
      <c r="D167" s="100" t="s">
        <v>113</v>
      </c>
      <c r="E167" s="100" t="s">
        <v>114</v>
      </c>
      <c r="F167" s="100" t="s">
        <v>115</v>
      </c>
      <c r="G167" s="98" t="s">
        <v>19</v>
      </c>
      <c r="H167" s="98" t="str">
        <f>VLOOKUP(G167,CGS[],2,FALSE)</f>
        <v>OOCL</v>
      </c>
      <c r="I167" s="65">
        <v>1725</v>
      </c>
      <c r="J167" s="101" t="str">
        <f>IF(ISBLANK(Pricelist[[#This Row],[EBS]]),"",VALUE(LEFT(Pricelist[[#This Row],[EBS]],LEN(Pricelist[[#This Row],[EBS]])-LEN(Pricelist[[#This Row],[E2]])-1)))</f>
        <v/>
      </c>
      <c r="K167" s="65">
        <v>2800</v>
      </c>
      <c r="L167" s="101" t="str">
        <f>IF(ISBLANK(Pricelist[[#This Row],[EBS]]),"",VALUE(RIGHT(Pricelist[[#This Row],[EBS]],3)))</f>
        <v/>
      </c>
      <c r="M167" s="65">
        <v>2800</v>
      </c>
      <c r="N167" s="101" t="str">
        <f>IF(ISBLANK(Pricelist[[#This Row],[EBS]]),"",VALUE(RIGHT(Pricelist[[#This Row],[EBS]],3)))</f>
        <v/>
      </c>
      <c r="O167" s="101" t="str">
        <f>IF(AND(Pricelist[[#This Row],[AE1]]&lt;&gt;"",OR(Pricelist[[#This Row],[区]]="南",Pricelist[[#This Row],[区]]="北")),MID(Pricelist[[#This Row],[AE1]],4,2),"")</f>
        <v/>
      </c>
      <c r="P167" s="102">
        <v>1750</v>
      </c>
      <c r="Q167" s="103">
        <v>2850</v>
      </c>
      <c r="R167" s="103">
        <v>2850</v>
      </c>
      <c r="S167" s="104"/>
      <c r="T167" s="104"/>
      <c r="U167" s="105" t="s">
        <v>508</v>
      </c>
      <c r="V167" s="100" t="s">
        <v>504</v>
      </c>
      <c r="W167" s="106" t="s">
        <v>10</v>
      </c>
      <c r="X167" s="106" t="s">
        <v>11</v>
      </c>
      <c r="Y167" s="106">
        <v>45</v>
      </c>
      <c r="Z167" s="107">
        <v>43437</v>
      </c>
      <c r="AA167" s="108">
        <v>43443</v>
      </c>
      <c r="AB167" s="109" t="s">
        <v>4485</v>
      </c>
      <c r="AC167" s="109"/>
    </row>
    <row r="168" spans="1:29" hidden="1" x14ac:dyDescent="0.15">
      <c r="A168" s="98">
        <v>167</v>
      </c>
      <c r="B168" s="99">
        <v>112917</v>
      </c>
      <c r="C168" s="98" t="s">
        <v>6331</v>
      </c>
      <c r="D168" s="100" t="s">
        <v>113</v>
      </c>
      <c r="E168" s="100" t="s">
        <v>114</v>
      </c>
      <c r="F168" s="100" t="s">
        <v>115</v>
      </c>
      <c r="G168" s="98" t="s">
        <v>18</v>
      </c>
      <c r="H168" s="98" t="str">
        <f>VLOOKUP(G168,CGS[],2,FALSE)</f>
        <v>PIL</v>
      </c>
      <c r="I168" s="65">
        <v>1810</v>
      </c>
      <c r="J168" s="101" t="str">
        <f>IF(ISBLANK(Pricelist[[#This Row],[EBS]]),"",VALUE(LEFT(Pricelist[[#This Row],[EBS]],LEN(Pricelist[[#This Row],[EBS]])-LEN(Pricelist[[#This Row],[E2]])-1)))</f>
        <v/>
      </c>
      <c r="K168" s="65">
        <v>3010</v>
      </c>
      <c r="L168" s="101" t="str">
        <f>IF(ISBLANK(Pricelist[[#This Row],[EBS]]),"",VALUE(RIGHT(Pricelist[[#This Row],[EBS]],3)))</f>
        <v/>
      </c>
      <c r="M168" s="65">
        <v>3010</v>
      </c>
      <c r="N168" s="101" t="str">
        <f>IF(ISBLANK(Pricelist[[#This Row],[EBS]]),"",VALUE(RIGHT(Pricelist[[#This Row],[EBS]],3)))</f>
        <v/>
      </c>
      <c r="O168" s="101" t="str">
        <f>IF(AND(Pricelist[[#This Row],[AE1]]&lt;&gt;"",OR(Pricelist[[#This Row],[区]]="南",Pricelist[[#This Row],[区]]="北")),MID(Pricelist[[#This Row],[AE1]],4,2),"")</f>
        <v/>
      </c>
      <c r="P168" s="102">
        <v>1910</v>
      </c>
      <c r="Q168" s="103">
        <v>3210</v>
      </c>
      <c r="R168" s="103">
        <v>3210</v>
      </c>
      <c r="S168" s="104"/>
      <c r="T168" s="104"/>
      <c r="U168" s="105" t="s">
        <v>508</v>
      </c>
      <c r="V168" s="100" t="s">
        <v>504</v>
      </c>
      <c r="W168" s="106" t="s">
        <v>10</v>
      </c>
      <c r="X168" s="106" t="s">
        <v>11</v>
      </c>
      <c r="Y168" s="106">
        <v>43</v>
      </c>
      <c r="Z168" s="107">
        <v>43444</v>
      </c>
      <c r="AA168" s="108">
        <v>43449</v>
      </c>
      <c r="AB168" s="109"/>
      <c r="AC168" s="109"/>
    </row>
    <row r="169" spans="1:29" hidden="1" x14ac:dyDescent="0.15">
      <c r="A169" s="98">
        <v>168</v>
      </c>
      <c r="B169" s="99">
        <v>112917</v>
      </c>
      <c r="C169" s="98" t="s">
        <v>6331</v>
      </c>
      <c r="D169" s="100" t="s">
        <v>116</v>
      </c>
      <c r="E169" s="100" t="s">
        <v>414</v>
      </c>
      <c r="F169" s="100" t="s">
        <v>117</v>
      </c>
      <c r="G169" s="98" t="s">
        <v>8</v>
      </c>
      <c r="H169" s="98" t="str">
        <f>VLOOKUP(G169,CGS[],2,FALSE)</f>
        <v>CMA</v>
      </c>
      <c r="I169" s="65">
        <v>2688</v>
      </c>
      <c r="J169" s="101">
        <f>IF(ISBLANK(Pricelist[[#This Row],[EBS]]),"",VALUE(LEFT(Pricelist[[#This Row],[EBS]],LEN(Pricelist[[#This Row],[EBS]])-LEN(Pricelist[[#This Row],[E2]])-1)))</f>
        <v>55</v>
      </c>
      <c r="K169" s="65">
        <v>4188</v>
      </c>
      <c r="L169" s="101">
        <f>IF(ISBLANK(Pricelist[[#This Row],[EBS]]),"",VALUE(RIGHT(Pricelist[[#This Row],[EBS]],3)))</f>
        <v>110</v>
      </c>
      <c r="M169" s="65">
        <v>4188</v>
      </c>
      <c r="N169" s="101">
        <f>IF(ISBLANK(Pricelist[[#This Row],[EBS]]),"",VALUE(RIGHT(Pricelist[[#This Row],[EBS]],3)))</f>
        <v>110</v>
      </c>
      <c r="O169" s="101" t="str">
        <f>IF(AND(Pricelist[[#This Row],[AE1]]&lt;&gt;"",OR(Pricelist[[#This Row],[区]]="南",Pricelist[[#This Row],[区]]="北")),MID(Pricelist[[#This Row],[AE1]],4,2),"")</f>
        <v/>
      </c>
      <c r="P169" s="102">
        <v>2763</v>
      </c>
      <c r="Q169" s="103">
        <v>4338</v>
      </c>
      <c r="R169" s="103">
        <v>4338</v>
      </c>
      <c r="S169" s="104" t="s">
        <v>2204</v>
      </c>
      <c r="T169" s="104"/>
      <c r="U169" s="105" t="s">
        <v>4956</v>
      </c>
      <c r="V169" s="100" t="s">
        <v>6252</v>
      </c>
      <c r="W169" s="106" t="s">
        <v>10</v>
      </c>
      <c r="X169" s="106" t="s">
        <v>11</v>
      </c>
      <c r="Y169" s="106" t="s">
        <v>6253</v>
      </c>
      <c r="Z169" s="107">
        <v>43430</v>
      </c>
      <c r="AA169" s="108">
        <v>43448</v>
      </c>
      <c r="AB169" s="109" t="s">
        <v>6254</v>
      </c>
      <c r="AC169" s="109"/>
    </row>
    <row r="170" spans="1:29" hidden="1" x14ac:dyDescent="0.15">
      <c r="A170" s="98">
        <v>169</v>
      </c>
      <c r="B170" s="99">
        <v>112917</v>
      </c>
      <c r="C170" s="98" t="s">
        <v>6331</v>
      </c>
      <c r="D170" s="100" t="s">
        <v>116</v>
      </c>
      <c r="E170" s="100" t="s">
        <v>414</v>
      </c>
      <c r="F170" s="100" t="s">
        <v>117</v>
      </c>
      <c r="G170" s="98" t="s">
        <v>9</v>
      </c>
      <c r="H170" s="98" t="str">
        <f>VLOOKUP(G170,CGS[],2,FALSE)</f>
        <v>COSCO</v>
      </c>
      <c r="I170" s="65">
        <v>2485</v>
      </c>
      <c r="J170" s="101">
        <f>IF(ISBLANK(Pricelist[[#This Row],[EBS]]),"",VALUE(LEFT(Pricelist[[#This Row],[EBS]],LEN(Pricelist[[#This Row],[EBS]])-LEN(Pricelist[[#This Row],[E2]])-1)))</f>
        <v>60</v>
      </c>
      <c r="K170" s="65">
        <v>3560</v>
      </c>
      <c r="L170" s="101">
        <f>IF(ISBLANK(Pricelist[[#This Row],[EBS]]),"",VALUE(RIGHT(Pricelist[[#This Row],[EBS]],3)))</f>
        <v>120</v>
      </c>
      <c r="M170" s="65">
        <v>3560</v>
      </c>
      <c r="N170" s="101">
        <f>IF(ISBLANK(Pricelist[[#This Row],[EBS]]),"",VALUE(RIGHT(Pricelist[[#This Row],[EBS]],3)))</f>
        <v>120</v>
      </c>
      <c r="O170" s="101" t="str">
        <f>IF(AND(Pricelist[[#This Row],[AE1]]&lt;&gt;"",OR(Pricelist[[#This Row],[区]]="南",Pricelist[[#This Row],[区]]="北")),MID(Pricelist[[#This Row],[AE1]],4,2),"")</f>
        <v/>
      </c>
      <c r="P170" s="102">
        <v>2510</v>
      </c>
      <c r="Q170" s="103">
        <v>3610</v>
      </c>
      <c r="R170" s="103">
        <v>3610</v>
      </c>
      <c r="S170" s="104" t="s">
        <v>2199</v>
      </c>
      <c r="T170" s="104"/>
      <c r="U170" s="105" t="s">
        <v>509</v>
      </c>
      <c r="V170" s="100" t="s">
        <v>504</v>
      </c>
      <c r="W170" s="106" t="s">
        <v>10</v>
      </c>
      <c r="X170" s="106" t="s">
        <v>11</v>
      </c>
      <c r="Y170" s="106">
        <v>34</v>
      </c>
      <c r="Z170" s="107">
        <v>43437</v>
      </c>
      <c r="AA170" s="108">
        <v>43450</v>
      </c>
      <c r="AB170" s="109" t="s">
        <v>2223</v>
      </c>
      <c r="AC170" s="109" t="s">
        <v>12</v>
      </c>
    </row>
    <row r="171" spans="1:29" ht="25.5" hidden="1" x14ac:dyDescent="0.15">
      <c r="A171" s="98">
        <v>170</v>
      </c>
      <c r="B171" s="99">
        <v>112917</v>
      </c>
      <c r="C171" s="98" t="s">
        <v>6331</v>
      </c>
      <c r="D171" s="100" t="s">
        <v>116</v>
      </c>
      <c r="E171" s="100" t="s">
        <v>414</v>
      </c>
      <c r="F171" s="100" t="s">
        <v>117</v>
      </c>
      <c r="G171" s="98" t="s">
        <v>95</v>
      </c>
      <c r="H171" s="98" t="str">
        <f>VLOOKUP(G171,CGS[],2,FALSE)</f>
        <v>ZIM</v>
      </c>
      <c r="I171" s="65">
        <v>2460</v>
      </c>
      <c r="J171" s="101">
        <f>IF(ISBLANK(Pricelist[[#This Row],[EBS]]),"",VALUE(LEFT(Pricelist[[#This Row],[EBS]],LEN(Pricelist[[#This Row],[EBS]])-LEN(Pricelist[[#This Row],[E2]])-1)))</f>
        <v>110</v>
      </c>
      <c r="K171" s="65">
        <v>3460</v>
      </c>
      <c r="L171" s="101">
        <f>IF(ISBLANK(Pricelist[[#This Row],[EBS]]),"",VALUE(RIGHT(Pricelist[[#This Row],[EBS]],3)))</f>
        <v>220</v>
      </c>
      <c r="M171" s="65">
        <v>3460</v>
      </c>
      <c r="N171" s="101">
        <f>IF(ISBLANK(Pricelist[[#This Row],[EBS]]),"",VALUE(RIGHT(Pricelist[[#This Row],[EBS]],3)))</f>
        <v>220</v>
      </c>
      <c r="O171" s="101" t="str">
        <f>IF(AND(Pricelist[[#This Row],[AE1]]&lt;&gt;"",OR(Pricelist[[#This Row],[区]]="南",Pricelist[[#This Row],[区]]="北")),MID(Pricelist[[#This Row],[AE1]],4,2),"")</f>
        <v/>
      </c>
      <c r="P171" s="102">
        <v>2660</v>
      </c>
      <c r="Q171" s="103">
        <v>3860</v>
      </c>
      <c r="R171" s="103">
        <v>3860</v>
      </c>
      <c r="S171" s="104" t="s">
        <v>3743</v>
      </c>
      <c r="T171" s="104"/>
      <c r="U171" s="105" t="s">
        <v>510</v>
      </c>
      <c r="V171" s="100" t="s">
        <v>504</v>
      </c>
      <c r="W171" s="106" t="s">
        <v>10</v>
      </c>
      <c r="X171" s="106" t="s">
        <v>11</v>
      </c>
      <c r="Y171" s="106">
        <v>34</v>
      </c>
      <c r="Z171" s="107">
        <v>43437</v>
      </c>
      <c r="AA171" s="108">
        <v>43445</v>
      </c>
      <c r="AB171" s="109" t="s">
        <v>2224</v>
      </c>
      <c r="AC171" s="109"/>
    </row>
    <row r="172" spans="1:29" hidden="1" x14ac:dyDescent="0.15">
      <c r="A172" s="98">
        <v>171</v>
      </c>
      <c r="B172" s="99">
        <v>112917</v>
      </c>
      <c r="C172" s="98" t="s">
        <v>6331</v>
      </c>
      <c r="D172" s="100" t="s">
        <v>116</v>
      </c>
      <c r="E172" s="100" t="s">
        <v>414</v>
      </c>
      <c r="F172" s="100" t="s">
        <v>117</v>
      </c>
      <c r="G172" s="98" t="s">
        <v>17</v>
      </c>
      <c r="H172" s="98" t="str">
        <f>VLOOKUP(G172,CGS[],2,FALSE)</f>
        <v>MSC</v>
      </c>
      <c r="I172" s="65">
        <v>2575</v>
      </c>
      <c r="J172" s="101">
        <f>IF(ISBLANK(Pricelist[[#This Row],[EBS]]),"",VALUE(LEFT(Pricelist[[#This Row],[EBS]],LEN(Pricelist[[#This Row],[EBS]])-LEN(Pricelist[[#This Row],[E2]])-1)))</f>
        <v>100</v>
      </c>
      <c r="K172" s="65">
        <v>3775</v>
      </c>
      <c r="L172" s="101">
        <f>IF(ISBLANK(Pricelist[[#This Row],[EBS]]),"",VALUE(RIGHT(Pricelist[[#This Row],[EBS]],3)))</f>
        <v>200</v>
      </c>
      <c r="M172" s="65">
        <v>3775</v>
      </c>
      <c r="N172" s="101">
        <f>IF(ISBLANK(Pricelist[[#This Row],[EBS]]),"",VALUE(RIGHT(Pricelist[[#This Row],[EBS]],3)))</f>
        <v>200</v>
      </c>
      <c r="O172" s="101" t="str">
        <f>IF(AND(Pricelist[[#This Row],[AE1]]&lt;&gt;"",OR(Pricelist[[#This Row],[区]]="南",Pricelist[[#This Row],[区]]="北")),MID(Pricelist[[#This Row],[AE1]],4,2),"")</f>
        <v/>
      </c>
      <c r="P172" s="102">
        <v>2600</v>
      </c>
      <c r="Q172" s="103">
        <v>3825</v>
      </c>
      <c r="R172" s="103">
        <v>3825</v>
      </c>
      <c r="S172" s="104" t="s">
        <v>6328</v>
      </c>
      <c r="T172" s="104"/>
      <c r="U172" s="105" t="s">
        <v>506</v>
      </c>
      <c r="V172" s="100" t="s">
        <v>504</v>
      </c>
      <c r="W172" s="106" t="s">
        <v>101</v>
      </c>
      <c r="X172" s="106" t="s">
        <v>102</v>
      </c>
      <c r="Y172" s="106">
        <v>50</v>
      </c>
      <c r="Z172" s="107">
        <v>43435</v>
      </c>
      <c r="AA172" s="108">
        <v>43448</v>
      </c>
      <c r="AB172" s="109"/>
      <c r="AC172" s="109"/>
    </row>
    <row r="173" spans="1:29" hidden="1" x14ac:dyDescent="0.15">
      <c r="A173" s="98">
        <v>172</v>
      </c>
      <c r="B173" s="99">
        <v>112917</v>
      </c>
      <c r="C173" s="98" t="s">
        <v>6331</v>
      </c>
      <c r="D173" s="100" t="s">
        <v>116</v>
      </c>
      <c r="E173" s="100" t="s">
        <v>414</v>
      </c>
      <c r="F173" s="100" t="s">
        <v>117</v>
      </c>
      <c r="G173" s="98" t="s">
        <v>100</v>
      </c>
      <c r="H173" s="98" t="str">
        <f>VLOOKUP(G173,CGS[],2,FALSE)</f>
        <v>ONE</v>
      </c>
      <c r="I173" s="65">
        <v>2690</v>
      </c>
      <c r="J173" s="101" t="str">
        <f>IF(ISBLANK(Pricelist[[#This Row],[EBS]]),"",VALUE(LEFT(Pricelist[[#This Row],[EBS]],LEN(Pricelist[[#This Row],[EBS]])-LEN(Pricelist[[#This Row],[E2]])-1)))</f>
        <v/>
      </c>
      <c r="K173" s="65">
        <v>4065</v>
      </c>
      <c r="L173" s="101" t="str">
        <f>IF(ISBLANK(Pricelist[[#This Row],[EBS]]),"",VALUE(RIGHT(Pricelist[[#This Row],[EBS]],3)))</f>
        <v/>
      </c>
      <c r="M173" s="65">
        <v>4065</v>
      </c>
      <c r="N173" s="101" t="str">
        <f>IF(ISBLANK(Pricelist[[#This Row],[EBS]]),"",VALUE(RIGHT(Pricelist[[#This Row],[EBS]],3)))</f>
        <v/>
      </c>
      <c r="O173" s="101" t="str">
        <f>IF(AND(Pricelist[[#This Row],[AE1]]&lt;&gt;"",OR(Pricelist[[#This Row],[区]]="南",Pricelist[[#This Row],[区]]="北")),MID(Pricelist[[#This Row],[AE1]],4,2),"")</f>
        <v/>
      </c>
      <c r="P173" s="102">
        <v>2715</v>
      </c>
      <c r="Q173" s="103">
        <v>4115</v>
      </c>
      <c r="R173" s="103">
        <v>4115</v>
      </c>
      <c r="S173" s="104"/>
      <c r="T173" s="104"/>
      <c r="U173" s="105" t="s">
        <v>509</v>
      </c>
      <c r="V173" s="100" t="s">
        <v>504</v>
      </c>
      <c r="W173" s="106" t="s">
        <v>10</v>
      </c>
      <c r="X173" s="106" t="s">
        <v>11</v>
      </c>
      <c r="Y173" s="106">
        <v>34</v>
      </c>
      <c r="Z173" s="107">
        <v>43435</v>
      </c>
      <c r="AA173" s="108">
        <v>43443</v>
      </c>
      <c r="AB173" s="109"/>
      <c r="AC173" s="109"/>
    </row>
    <row r="174" spans="1:29" hidden="1" x14ac:dyDescent="0.15">
      <c r="A174" s="98">
        <v>173</v>
      </c>
      <c r="B174" s="99">
        <v>112917</v>
      </c>
      <c r="C174" s="98" t="s">
        <v>6331</v>
      </c>
      <c r="D174" s="100" t="s">
        <v>116</v>
      </c>
      <c r="E174" s="100" t="s">
        <v>414</v>
      </c>
      <c r="F174" s="100" t="s">
        <v>117</v>
      </c>
      <c r="G174" s="98" t="s">
        <v>21</v>
      </c>
      <c r="H174" s="98" t="str">
        <f>VLOOKUP(G174,CGS[],2,FALSE)</f>
        <v>MSK</v>
      </c>
      <c r="I174" s="65">
        <v>3035</v>
      </c>
      <c r="J174" s="101" t="str">
        <f>IF(ISBLANK(Pricelist[[#This Row],[EBS]]),"",VALUE(LEFT(Pricelist[[#This Row],[EBS]],LEN(Pricelist[[#This Row],[EBS]])-LEN(Pricelist[[#This Row],[E2]])-1)))</f>
        <v/>
      </c>
      <c r="K174" s="65">
        <v>4620</v>
      </c>
      <c r="L174" s="101" t="str">
        <f>IF(ISBLANK(Pricelist[[#This Row],[EBS]]),"",VALUE(RIGHT(Pricelist[[#This Row],[EBS]],3)))</f>
        <v/>
      </c>
      <c r="M174" s="65">
        <v>4620</v>
      </c>
      <c r="N174" s="101" t="str">
        <f>IF(ISBLANK(Pricelist[[#This Row],[EBS]]),"",VALUE(RIGHT(Pricelist[[#This Row],[EBS]],3)))</f>
        <v/>
      </c>
      <c r="O174" s="101" t="str">
        <f>IF(AND(Pricelist[[#This Row],[AE1]]&lt;&gt;"",OR(Pricelist[[#This Row],[区]]="南",Pricelist[[#This Row],[区]]="北")),MID(Pricelist[[#This Row],[AE1]],4,2),"")</f>
        <v/>
      </c>
      <c r="P174" s="102">
        <v>3035</v>
      </c>
      <c r="Q174" s="103">
        <v>4620</v>
      </c>
      <c r="R174" s="103">
        <v>4620</v>
      </c>
      <c r="S174" s="104"/>
      <c r="T174" s="104"/>
      <c r="U174" s="105" t="s">
        <v>505</v>
      </c>
      <c r="V174" s="100" t="s">
        <v>504</v>
      </c>
      <c r="W174" s="106" t="s">
        <v>10</v>
      </c>
      <c r="X174" s="106" t="s">
        <v>11</v>
      </c>
      <c r="Y174" s="106">
        <v>36</v>
      </c>
      <c r="Z174" s="107">
        <v>43437</v>
      </c>
      <c r="AA174" s="108">
        <v>43450</v>
      </c>
      <c r="AB174" s="109" t="s">
        <v>2225</v>
      </c>
      <c r="AC174" s="109"/>
    </row>
    <row r="175" spans="1:29" hidden="1" x14ac:dyDescent="0.15">
      <c r="A175" s="98">
        <v>174</v>
      </c>
      <c r="B175" s="99">
        <v>112917</v>
      </c>
      <c r="C175" s="98" t="s">
        <v>6331</v>
      </c>
      <c r="D175" s="100" t="s">
        <v>116</v>
      </c>
      <c r="E175" s="100" t="s">
        <v>414</v>
      </c>
      <c r="F175" s="100" t="s">
        <v>117</v>
      </c>
      <c r="G175" s="98" t="s">
        <v>24</v>
      </c>
      <c r="H175" s="98" t="str">
        <f>VLOOKUP(G175,CGS[],2,FALSE)</f>
        <v>SAF</v>
      </c>
      <c r="I175" s="65">
        <v>3025</v>
      </c>
      <c r="J175" s="101">
        <f>IF(ISBLANK(Pricelist[[#This Row],[EBS]]),"",VALUE(LEFT(Pricelist[[#This Row],[EBS]],LEN(Pricelist[[#This Row],[EBS]])-LEN(Pricelist[[#This Row],[E2]])-1)))</f>
        <v>60</v>
      </c>
      <c r="K175" s="65">
        <v>4600</v>
      </c>
      <c r="L175" s="101">
        <f>IF(ISBLANK(Pricelist[[#This Row],[EBS]]),"",VALUE(RIGHT(Pricelist[[#This Row],[EBS]],3)))</f>
        <v>120</v>
      </c>
      <c r="M175" s="65">
        <v>4600</v>
      </c>
      <c r="N175" s="101">
        <f>IF(ISBLANK(Pricelist[[#This Row],[EBS]]),"",VALUE(RIGHT(Pricelist[[#This Row],[EBS]],3)))</f>
        <v>120</v>
      </c>
      <c r="O175" s="101" t="str">
        <f>IF(AND(Pricelist[[#This Row],[AE1]]&lt;&gt;"",OR(Pricelist[[#This Row],[区]]="南",Pricelist[[#This Row],[区]]="北")),MID(Pricelist[[#This Row],[AE1]],4,2),"")</f>
        <v/>
      </c>
      <c r="P175" s="102">
        <v>3025</v>
      </c>
      <c r="Q175" s="103">
        <v>4600</v>
      </c>
      <c r="R175" s="103">
        <v>4600</v>
      </c>
      <c r="S175" s="104" t="s">
        <v>2199</v>
      </c>
      <c r="T175" s="104"/>
      <c r="U175" s="105" t="s">
        <v>505</v>
      </c>
      <c r="V175" s="100" t="s">
        <v>504</v>
      </c>
      <c r="W175" s="106" t="s">
        <v>10</v>
      </c>
      <c r="X175" s="106" t="s">
        <v>11</v>
      </c>
      <c r="Y175" s="106">
        <v>36</v>
      </c>
      <c r="Z175" s="107">
        <v>43437</v>
      </c>
      <c r="AA175" s="108">
        <v>43450</v>
      </c>
      <c r="AB175" s="109" t="s">
        <v>119</v>
      </c>
      <c r="AC175" s="109"/>
    </row>
    <row r="176" spans="1:29" hidden="1" x14ac:dyDescent="0.15">
      <c r="A176" s="98">
        <v>175</v>
      </c>
      <c r="B176" s="99">
        <v>112917</v>
      </c>
      <c r="C176" s="98" t="s">
        <v>6331</v>
      </c>
      <c r="D176" s="100" t="s">
        <v>116</v>
      </c>
      <c r="E176" s="100" t="s">
        <v>414</v>
      </c>
      <c r="F176" s="100" t="s">
        <v>117</v>
      </c>
      <c r="G176" s="98" t="s">
        <v>20</v>
      </c>
      <c r="H176" s="98" t="str">
        <f>VLOOKUP(G176,CGS[],2,FALSE)</f>
        <v>HPL</v>
      </c>
      <c r="I176" s="65">
        <v>2605</v>
      </c>
      <c r="J176" s="101">
        <f>IF(ISBLANK(Pricelist[[#This Row],[EBS]]),"",VALUE(LEFT(Pricelist[[#This Row],[EBS]],LEN(Pricelist[[#This Row],[EBS]])-LEN(Pricelist[[#This Row],[E2]])-1)))</f>
        <v>55</v>
      </c>
      <c r="K176" s="65">
        <v>3710</v>
      </c>
      <c r="L176" s="101">
        <f>IF(ISBLANK(Pricelist[[#This Row],[EBS]]),"",VALUE(RIGHT(Pricelist[[#This Row],[EBS]],3)))</f>
        <v>110</v>
      </c>
      <c r="M176" s="65">
        <v>3710</v>
      </c>
      <c r="N176" s="101">
        <f>IF(ISBLANK(Pricelist[[#This Row],[EBS]]),"",VALUE(RIGHT(Pricelist[[#This Row],[EBS]],3)))</f>
        <v>110</v>
      </c>
      <c r="O176" s="101" t="str">
        <f>IF(AND(Pricelist[[#This Row],[AE1]]&lt;&gt;"",OR(Pricelist[[#This Row],[区]]="南",Pricelist[[#This Row],[区]]="北")),MID(Pricelist[[#This Row],[AE1]],4,2),"")</f>
        <v/>
      </c>
      <c r="P176" s="102">
        <v>2630</v>
      </c>
      <c r="Q176" s="103">
        <v>3760</v>
      </c>
      <c r="R176" s="103">
        <v>3760</v>
      </c>
      <c r="S176" s="104" t="s">
        <v>2204</v>
      </c>
      <c r="T176" s="104"/>
      <c r="U176" s="105" t="s">
        <v>512</v>
      </c>
      <c r="V176" s="100" t="s">
        <v>507</v>
      </c>
      <c r="W176" s="106" t="s">
        <v>103</v>
      </c>
      <c r="X176" s="106" t="s">
        <v>104</v>
      </c>
      <c r="Y176" s="106">
        <v>46</v>
      </c>
      <c r="Z176" s="107">
        <v>43435</v>
      </c>
      <c r="AA176" s="108">
        <v>43448</v>
      </c>
      <c r="AB176" s="109" t="s">
        <v>2226</v>
      </c>
      <c r="AC176" s="109"/>
    </row>
    <row r="177" spans="1:29" hidden="1" x14ac:dyDescent="0.15">
      <c r="A177" s="98">
        <v>176</v>
      </c>
      <c r="B177" s="99">
        <v>112917</v>
      </c>
      <c r="C177" s="98" t="s">
        <v>6331</v>
      </c>
      <c r="D177" s="100" t="s">
        <v>116</v>
      </c>
      <c r="E177" s="100" t="s">
        <v>414</v>
      </c>
      <c r="F177" s="100" t="s">
        <v>117</v>
      </c>
      <c r="G177" s="98" t="s">
        <v>19</v>
      </c>
      <c r="H177" s="98" t="str">
        <f>VLOOKUP(G177,CGS[],2,FALSE)</f>
        <v>OOCL</v>
      </c>
      <c r="I177" s="65">
        <v>2525</v>
      </c>
      <c r="J177" s="101" t="str">
        <f>IF(ISBLANK(Pricelist[[#This Row],[EBS]]),"",VALUE(LEFT(Pricelist[[#This Row],[EBS]],LEN(Pricelist[[#This Row],[EBS]])-LEN(Pricelist[[#This Row],[E2]])-1)))</f>
        <v/>
      </c>
      <c r="K177" s="65">
        <v>3600</v>
      </c>
      <c r="L177" s="101" t="str">
        <f>IF(ISBLANK(Pricelist[[#This Row],[EBS]]),"",VALUE(RIGHT(Pricelist[[#This Row],[EBS]],3)))</f>
        <v/>
      </c>
      <c r="M177" s="65">
        <v>3600</v>
      </c>
      <c r="N177" s="101" t="str">
        <f>IF(ISBLANK(Pricelist[[#This Row],[EBS]]),"",VALUE(RIGHT(Pricelist[[#This Row],[EBS]],3)))</f>
        <v/>
      </c>
      <c r="O177" s="101" t="str">
        <f>IF(AND(Pricelist[[#This Row],[AE1]]&lt;&gt;"",OR(Pricelist[[#This Row],[区]]="南",Pricelist[[#This Row],[区]]="北")),MID(Pricelist[[#This Row],[AE1]],4,2),"")</f>
        <v/>
      </c>
      <c r="P177" s="102">
        <v>2550</v>
      </c>
      <c r="Q177" s="103">
        <v>3650</v>
      </c>
      <c r="R177" s="103">
        <v>3650</v>
      </c>
      <c r="S177" s="104"/>
      <c r="T177" s="104"/>
      <c r="U177" s="105" t="s">
        <v>510</v>
      </c>
      <c r="V177" s="100" t="s">
        <v>504</v>
      </c>
      <c r="W177" s="106" t="s">
        <v>10</v>
      </c>
      <c r="X177" s="106" t="s">
        <v>11</v>
      </c>
      <c r="Y177" s="106">
        <v>34</v>
      </c>
      <c r="Z177" s="107">
        <v>43437</v>
      </c>
      <c r="AA177" s="108">
        <v>43443</v>
      </c>
      <c r="AB177" s="109" t="s">
        <v>4486</v>
      </c>
      <c r="AC177" s="109"/>
    </row>
    <row r="178" spans="1:29" ht="25.5" hidden="1" x14ac:dyDescent="0.15">
      <c r="A178" s="98">
        <v>177</v>
      </c>
      <c r="B178" s="99">
        <v>112917</v>
      </c>
      <c r="C178" s="98" t="s">
        <v>6331</v>
      </c>
      <c r="D178" s="100" t="s">
        <v>116</v>
      </c>
      <c r="E178" s="100" t="s">
        <v>414</v>
      </c>
      <c r="F178" s="100" t="s">
        <v>117</v>
      </c>
      <c r="G178" s="98" t="s">
        <v>18</v>
      </c>
      <c r="H178" s="98" t="str">
        <f>VLOOKUP(G178,CGS[],2,FALSE)</f>
        <v>PIL</v>
      </c>
      <c r="I178" s="65">
        <v>2510</v>
      </c>
      <c r="J178" s="101" t="str">
        <f>IF(ISBLANK(Pricelist[[#This Row],[EBS]]),"",VALUE(LEFT(Pricelist[[#This Row],[EBS]],LEN(Pricelist[[#This Row],[EBS]])-LEN(Pricelist[[#This Row],[E2]])-1)))</f>
        <v/>
      </c>
      <c r="K178" s="65">
        <v>3810</v>
      </c>
      <c r="L178" s="101" t="str">
        <f>IF(ISBLANK(Pricelist[[#This Row],[EBS]]),"",VALUE(RIGHT(Pricelist[[#This Row],[EBS]],3)))</f>
        <v/>
      </c>
      <c r="M178" s="65">
        <v>3810</v>
      </c>
      <c r="N178" s="101" t="str">
        <f>IF(ISBLANK(Pricelist[[#This Row],[EBS]]),"",VALUE(RIGHT(Pricelist[[#This Row],[EBS]],3)))</f>
        <v/>
      </c>
      <c r="O178" s="101" t="str">
        <f>IF(AND(Pricelist[[#This Row],[AE1]]&lt;&gt;"",OR(Pricelist[[#This Row],[区]]="南",Pricelist[[#This Row],[区]]="北")),MID(Pricelist[[#This Row],[AE1]],4,2),"")</f>
        <v/>
      </c>
      <c r="P178" s="102">
        <v>2610</v>
      </c>
      <c r="Q178" s="103">
        <v>4010</v>
      </c>
      <c r="R178" s="103">
        <v>4010</v>
      </c>
      <c r="S178" s="104"/>
      <c r="T178" s="104"/>
      <c r="U178" s="105" t="s">
        <v>510</v>
      </c>
      <c r="V178" s="100" t="s">
        <v>504</v>
      </c>
      <c r="W178" s="106" t="s">
        <v>10</v>
      </c>
      <c r="X178" s="106" t="s">
        <v>11</v>
      </c>
      <c r="Y178" s="106">
        <v>35</v>
      </c>
      <c r="Z178" s="107">
        <v>43444</v>
      </c>
      <c r="AA178" s="108">
        <v>43449</v>
      </c>
      <c r="AB178" s="109" t="s">
        <v>2224</v>
      </c>
      <c r="AC178" s="109"/>
    </row>
    <row r="179" spans="1:29" hidden="1" x14ac:dyDescent="0.15">
      <c r="A179" s="98">
        <v>180</v>
      </c>
      <c r="B179" s="99">
        <v>112917</v>
      </c>
      <c r="C179" s="98" t="s">
        <v>6331</v>
      </c>
      <c r="D179" s="100" t="s">
        <v>121</v>
      </c>
      <c r="E179" s="100" t="s">
        <v>414</v>
      </c>
      <c r="F179" s="100" t="s">
        <v>122</v>
      </c>
      <c r="G179" s="98" t="s">
        <v>95</v>
      </c>
      <c r="H179" s="98" t="str">
        <f>VLOOKUP(G179,CGS[],2,FALSE)</f>
        <v>ZIM</v>
      </c>
      <c r="I179" s="65">
        <v>2460</v>
      </c>
      <c r="J179" s="101">
        <f>IF(ISBLANK(Pricelist[[#This Row],[EBS]]),"",VALUE(LEFT(Pricelist[[#This Row],[EBS]],LEN(Pricelist[[#This Row],[EBS]])-LEN(Pricelist[[#This Row],[E2]])-1)))</f>
        <v>110</v>
      </c>
      <c r="K179" s="65">
        <v>3460</v>
      </c>
      <c r="L179" s="101">
        <f>IF(ISBLANK(Pricelist[[#This Row],[EBS]]),"",VALUE(RIGHT(Pricelist[[#This Row],[EBS]],3)))</f>
        <v>220</v>
      </c>
      <c r="M179" s="65">
        <v>3460</v>
      </c>
      <c r="N179" s="101">
        <f>IF(ISBLANK(Pricelist[[#This Row],[EBS]]),"",VALUE(RIGHT(Pricelist[[#This Row],[EBS]],3)))</f>
        <v>220</v>
      </c>
      <c r="O179" s="101" t="str">
        <f>IF(AND(Pricelist[[#This Row],[AE1]]&lt;&gt;"",OR(Pricelist[[#This Row],[区]]="南",Pricelist[[#This Row],[区]]="北")),MID(Pricelist[[#This Row],[AE1]],4,2),"")</f>
        <v/>
      </c>
      <c r="P179" s="102">
        <v>2660</v>
      </c>
      <c r="Q179" s="103">
        <v>3860</v>
      </c>
      <c r="R179" s="103">
        <v>3860</v>
      </c>
      <c r="S179" s="104" t="s">
        <v>3743</v>
      </c>
      <c r="T179" s="104"/>
      <c r="U179" s="105" t="s">
        <v>510</v>
      </c>
      <c r="V179" s="100" t="s">
        <v>504</v>
      </c>
      <c r="W179" s="106" t="s">
        <v>10</v>
      </c>
      <c r="X179" s="106" t="s">
        <v>11</v>
      </c>
      <c r="Y179" s="106">
        <v>36</v>
      </c>
      <c r="Z179" s="107">
        <v>43437</v>
      </c>
      <c r="AA179" s="108">
        <v>43445</v>
      </c>
      <c r="AB179" s="109"/>
      <c r="AC179" s="109"/>
    </row>
    <row r="180" spans="1:29" hidden="1" x14ac:dyDescent="0.15">
      <c r="A180" s="98">
        <v>179</v>
      </c>
      <c r="B180" s="99">
        <v>112917</v>
      </c>
      <c r="C180" s="98" t="s">
        <v>6331</v>
      </c>
      <c r="D180" s="100" t="s">
        <v>121</v>
      </c>
      <c r="E180" s="100" t="s">
        <v>414</v>
      </c>
      <c r="F180" s="100" t="s">
        <v>122</v>
      </c>
      <c r="G180" s="98" t="s">
        <v>9</v>
      </c>
      <c r="H180" s="98" t="str">
        <f>VLOOKUP(G180,CGS[],2,FALSE)</f>
        <v>COSCO</v>
      </c>
      <c r="I180" s="65">
        <v>2485</v>
      </c>
      <c r="J180" s="101">
        <f>IF(ISBLANK(Pricelist[[#This Row],[EBS]]),"",VALUE(LEFT(Pricelist[[#This Row],[EBS]],LEN(Pricelist[[#This Row],[EBS]])-LEN(Pricelist[[#This Row],[E2]])-1)))</f>
        <v>60</v>
      </c>
      <c r="K180" s="65">
        <v>3560</v>
      </c>
      <c r="L180" s="101">
        <f>IF(ISBLANK(Pricelist[[#This Row],[EBS]]),"",VALUE(RIGHT(Pricelist[[#This Row],[EBS]],3)))</f>
        <v>120</v>
      </c>
      <c r="M180" s="65">
        <v>3560</v>
      </c>
      <c r="N180" s="101">
        <f>IF(ISBLANK(Pricelist[[#This Row],[EBS]]),"",VALUE(RIGHT(Pricelist[[#This Row],[EBS]],3)))</f>
        <v>120</v>
      </c>
      <c r="O180" s="101" t="str">
        <f>IF(AND(Pricelist[[#This Row],[AE1]]&lt;&gt;"",OR(Pricelist[[#This Row],[区]]="南",Pricelist[[#This Row],[区]]="北")),MID(Pricelist[[#This Row],[AE1]],4,2),"")</f>
        <v/>
      </c>
      <c r="P180" s="102">
        <v>2510</v>
      </c>
      <c r="Q180" s="103">
        <v>3610</v>
      </c>
      <c r="R180" s="103">
        <v>3610</v>
      </c>
      <c r="S180" s="104" t="s">
        <v>2199</v>
      </c>
      <c r="T180" s="104"/>
      <c r="U180" s="105" t="s">
        <v>509</v>
      </c>
      <c r="V180" s="100" t="s">
        <v>504</v>
      </c>
      <c r="W180" s="106" t="s">
        <v>10</v>
      </c>
      <c r="X180" s="106" t="s">
        <v>11</v>
      </c>
      <c r="Y180" s="106">
        <v>36</v>
      </c>
      <c r="Z180" s="107">
        <v>43437</v>
      </c>
      <c r="AA180" s="108">
        <v>43450</v>
      </c>
      <c r="AB180" s="109" t="s">
        <v>2223</v>
      </c>
      <c r="AC180" s="109" t="s">
        <v>12</v>
      </c>
    </row>
    <row r="181" spans="1:29" hidden="1" x14ac:dyDescent="0.15">
      <c r="A181" s="98">
        <v>186</v>
      </c>
      <c r="B181" s="99">
        <v>112917</v>
      </c>
      <c r="C181" s="98" t="s">
        <v>6331</v>
      </c>
      <c r="D181" s="100" t="s">
        <v>121</v>
      </c>
      <c r="E181" s="100" t="s">
        <v>414</v>
      </c>
      <c r="F181" s="100" t="s">
        <v>122</v>
      </c>
      <c r="G181" s="98" t="s">
        <v>19</v>
      </c>
      <c r="H181" s="98" t="str">
        <f>VLOOKUP(G181,CGS[],2,FALSE)</f>
        <v>OOCL</v>
      </c>
      <c r="I181" s="65">
        <v>2525</v>
      </c>
      <c r="J181" s="101" t="str">
        <f>IF(ISBLANK(Pricelist[[#This Row],[EBS]]),"",VALUE(LEFT(Pricelist[[#This Row],[EBS]],LEN(Pricelist[[#This Row],[EBS]])-LEN(Pricelist[[#This Row],[E2]])-1)))</f>
        <v/>
      </c>
      <c r="K181" s="65">
        <v>3600</v>
      </c>
      <c r="L181" s="101" t="str">
        <f>IF(ISBLANK(Pricelist[[#This Row],[EBS]]),"",VALUE(RIGHT(Pricelist[[#This Row],[EBS]],3)))</f>
        <v/>
      </c>
      <c r="M181" s="65">
        <v>3600</v>
      </c>
      <c r="N181" s="101" t="str">
        <f>IF(ISBLANK(Pricelist[[#This Row],[EBS]]),"",VALUE(RIGHT(Pricelist[[#This Row],[EBS]],3)))</f>
        <v/>
      </c>
      <c r="O181" s="101" t="str">
        <f>IF(AND(Pricelist[[#This Row],[AE1]]&lt;&gt;"",OR(Pricelist[[#This Row],[区]]="南",Pricelist[[#This Row],[区]]="北")),MID(Pricelist[[#This Row],[AE1]],4,2),"")</f>
        <v/>
      </c>
      <c r="P181" s="102">
        <v>2550</v>
      </c>
      <c r="Q181" s="103">
        <v>3650</v>
      </c>
      <c r="R181" s="103">
        <v>3650</v>
      </c>
      <c r="S181" s="104"/>
      <c r="T181" s="104"/>
      <c r="U181" s="105" t="s">
        <v>510</v>
      </c>
      <c r="V181" s="100" t="s">
        <v>504</v>
      </c>
      <c r="W181" s="106" t="s">
        <v>10</v>
      </c>
      <c r="X181" s="106" t="s">
        <v>11</v>
      </c>
      <c r="Y181" s="106">
        <v>36</v>
      </c>
      <c r="Z181" s="107">
        <v>43437</v>
      </c>
      <c r="AA181" s="108">
        <v>43443</v>
      </c>
      <c r="AB181" s="109" t="s">
        <v>4961</v>
      </c>
      <c r="AC181" s="109"/>
    </row>
    <row r="182" spans="1:29" hidden="1" x14ac:dyDescent="0.15">
      <c r="A182" s="98">
        <v>185</v>
      </c>
      <c r="B182" s="99">
        <v>112917</v>
      </c>
      <c r="C182" s="98" t="s">
        <v>6331</v>
      </c>
      <c r="D182" s="100" t="s">
        <v>121</v>
      </c>
      <c r="E182" s="100" t="s">
        <v>414</v>
      </c>
      <c r="F182" s="100" t="s">
        <v>122</v>
      </c>
      <c r="G182" s="98" t="s">
        <v>20</v>
      </c>
      <c r="H182" s="98" t="str">
        <f>VLOOKUP(G182,CGS[],2,FALSE)</f>
        <v>HPL</v>
      </c>
      <c r="I182" s="65">
        <v>2605</v>
      </c>
      <c r="J182" s="101">
        <f>IF(ISBLANK(Pricelist[[#This Row],[EBS]]),"",VALUE(LEFT(Pricelist[[#This Row],[EBS]],LEN(Pricelist[[#This Row],[EBS]])-LEN(Pricelist[[#This Row],[E2]])-1)))</f>
        <v>55</v>
      </c>
      <c r="K182" s="65">
        <v>3710</v>
      </c>
      <c r="L182" s="101">
        <f>IF(ISBLANK(Pricelist[[#This Row],[EBS]]),"",VALUE(RIGHT(Pricelist[[#This Row],[EBS]],3)))</f>
        <v>110</v>
      </c>
      <c r="M182" s="65">
        <v>3710</v>
      </c>
      <c r="N182" s="101">
        <f>IF(ISBLANK(Pricelist[[#This Row],[EBS]]),"",VALUE(RIGHT(Pricelist[[#This Row],[EBS]],3)))</f>
        <v>110</v>
      </c>
      <c r="O182" s="101" t="str">
        <f>IF(AND(Pricelist[[#This Row],[AE1]]&lt;&gt;"",OR(Pricelist[[#This Row],[区]]="南",Pricelist[[#This Row],[区]]="北")),MID(Pricelist[[#This Row],[AE1]],4,2),"")</f>
        <v/>
      </c>
      <c r="P182" s="102">
        <v>2630</v>
      </c>
      <c r="Q182" s="103">
        <v>3760</v>
      </c>
      <c r="R182" s="103">
        <v>3760</v>
      </c>
      <c r="S182" s="104" t="s">
        <v>2204</v>
      </c>
      <c r="T182" s="104"/>
      <c r="U182" s="105" t="s">
        <v>512</v>
      </c>
      <c r="V182" s="100" t="s">
        <v>507</v>
      </c>
      <c r="W182" s="106" t="s">
        <v>103</v>
      </c>
      <c r="X182" s="106" t="s">
        <v>104</v>
      </c>
      <c r="Y182" s="106">
        <v>48</v>
      </c>
      <c r="Z182" s="107">
        <v>43435</v>
      </c>
      <c r="AA182" s="108">
        <v>43448</v>
      </c>
      <c r="AB182" s="109" t="s">
        <v>120</v>
      </c>
      <c r="AC182" s="109"/>
    </row>
    <row r="183" spans="1:29" hidden="1" x14ac:dyDescent="0.15">
      <c r="A183" s="98">
        <v>182</v>
      </c>
      <c r="B183" s="99">
        <v>112917</v>
      </c>
      <c r="C183" s="98" t="s">
        <v>6331</v>
      </c>
      <c r="D183" s="100" t="s">
        <v>121</v>
      </c>
      <c r="E183" s="100" t="s">
        <v>414</v>
      </c>
      <c r="F183" s="100" t="s">
        <v>122</v>
      </c>
      <c r="G183" s="98" t="s">
        <v>17</v>
      </c>
      <c r="H183" s="98" t="str">
        <f>VLOOKUP(G183,CGS[],2,FALSE)</f>
        <v>MSC</v>
      </c>
      <c r="I183" s="65">
        <v>2575</v>
      </c>
      <c r="J183" s="101">
        <f>IF(ISBLANK(Pricelist[[#This Row],[EBS]]),"",VALUE(LEFT(Pricelist[[#This Row],[EBS]],LEN(Pricelist[[#This Row],[EBS]])-LEN(Pricelist[[#This Row],[E2]])-1)))</f>
        <v>100</v>
      </c>
      <c r="K183" s="65">
        <v>3775</v>
      </c>
      <c r="L183" s="101">
        <f>IF(ISBLANK(Pricelist[[#This Row],[EBS]]),"",VALUE(RIGHT(Pricelist[[#This Row],[EBS]],3)))</f>
        <v>200</v>
      </c>
      <c r="M183" s="65">
        <v>3775</v>
      </c>
      <c r="N183" s="101">
        <f>IF(ISBLANK(Pricelist[[#This Row],[EBS]]),"",VALUE(RIGHT(Pricelist[[#This Row],[EBS]],3)))</f>
        <v>200</v>
      </c>
      <c r="O183" s="101" t="str">
        <f>IF(AND(Pricelist[[#This Row],[AE1]]&lt;&gt;"",OR(Pricelist[[#This Row],[区]]="南",Pricelist[[#This Row],[区]]="北")),MID(Pricelist[[#This Row],[AE1]],4,2),"")</f>
        <v/>
      </c>
      <c r="P183" s="102">
        <v>2600</v>
      </c>
      <c r="Q183" s="103">
        <v>3825</v>
      </c>
      <c r="R183" s="103">
        <v>3825</v>
      </c>
      <c r="S183" s="104" t="s">
        <v>6328</v>
      </c>
      <c r="T183" s="104"/>
      <c r="U183" s="105" t="s">
        <v>506</v>
      </c>
      <c r="V183" s="100" t="s">
        <v>504</v>
      </c>
      <c r="W183" s="106" t="s">
        <v>101</v>
      </c>
      <c r="X183" s="106" t="s">
        <v>102</v>
      </c>
      <c r="Y183" s="106">
        <v>44</v>
      </c>
      <c r="Z183" s="107">
        <v>43435</v>
      </c>
      <c r="AA183" s="108">
        <v>43448</v>
      </c>
      <c r="AB183" s="109"/>
      <c r="AC183" s="109"/>
    </row>
    <row r="184" spans="1:29" hidden="1" x14ac:dyDescent="0.15">
      <c r="A184" s="98">
        <v>187</v>
      </c>
      <c r="B184" s="99">
        <v>112917</v>
      </c>
      <c r="C184" s="98" t="s">
        <v>6331</v>
      </c>
      <c r="D184" s="100" t="s">
        <v>121</v>
      </c>
      <c r="E184" s="100" t="s">
        <v>414</v>
      </c>
      <c r="F184" s="100" t="s">
        <v>122</v>
      </c>
      <c r="G184" s="98" t="s">
        <v>18</v>
      </c>
      <c r="H184" s="98" t="str">
        <f>VLOOKUP(G184,CGS[],2,FALSE)</f>
        <v>PIL</v>
      </c>
      <c r="I184" s="65">
        <v>2510</v>
      </c>
      <c r="J184" s="101" t="str">
        <f>IF(ISBLANK(Pricelist[[#This Row],[EBS]]),"",VALUE(LEFT(Pricelist[[#This Row],[EBS]],LEN(Pricelist[[#This Row],[EBS]])-LEN(Pricelist[[#This Row],[E2]])-1)))</f>
        <v/>
      </c>
      <c r="K184" s="65">
        <v>3810</v>
      </c>
      <c r="L184" s="101" t="str">
        <f>IF(ISBLANK(Pricelist[[#This Row],[EBS]]),"",VALUE(RIGHT(Pricelist[[#This Row],[EBS]],3)))</f>
        <v/>
      </c>
      <c r="M184" s="65">
        <v>3810</v>
      </c>
      <c r="N184" s="101" t="str">
        <f>IF(ISBLANK(Pricelist[[#This Row],[EBS]]),"",VALUE(RIGHT(Pricelist[[#This Row],[EBS]],3)))</f>
        <v/>
      </c>
      <c r="O184" s="101" t="str">
        <f>IF(AND(Pricelist[[#This Row],[AE1]]&lt;&gt;"",OR(Pricelist[[#This Row],[区]]="南",Pricelist[[#This Row],[区]]="北")),MID(Pricelist[[#This Row],[AE1]],4,2),"")</f>
        <v/>
      </c>
      <c r="P184" s="102">
        <v>2610</v>
      </c>
      <c r="Q184" s="103">
        <v>4010</v>
      </c>
      <c r="R184" s="103">
        <v>4010</v>
      </c>
      <c r="S184" s="104"/>
      <c r="T184" s="104"/>
      <c r="U184" s="105" t="s">
        <v>510</v>
      </c>
      <c r="V184" s="100" t="s">
        <v>504</v>
      </c>
      <c r="W184" s="106" t="s">
        <v>10</v>
      </c>
      <c r="X184" s="106" t="s">
        <v>11</v>
      </c>
      <c r="Y184" s="106">
        <v>37</v>
      </c>
      <c r="Z184" s="107">
        <v>43444</v>
      </c>
      <c r="AA184" s="108">
        <v>43449</v>
      </c>
      <c r="AB184" s="109"/>
      <c r="AC184" s="109"/>
    </row>
    <row r="185" spans="1:29" hidden="1" x14ac:dyDescent="0.15">
      <c r="A185" s="98">
        <v>181</v>
      </c>
      <c r="B185" s="99">
        <v>112917</v>
      </c>
      <c r="C185" s="98" t="s">
        <v>6331</v>
      </c>
      <c r="D185" s="100" t="s">
        <v>121</v>
      </c>
      <c r="E185" s="100" t="s">
        <v>414</v>
      </c>
      <c r="F185" s="100" t="s">
        <v>122</v>
      </c>
      <c r="G185" s="98" t="s">
        <v>100</v>
      </c>
      <c r="H185" s="98" t="str">
        <f>VLOOKUP(G185,CGS[],2,FALSE)</f>
        <v>ONE</v>
      </c>
      <c r="I185" s="65">
        <v>2690</v>
      </c>
      <c r="J185" s="101" t="str">
        <f>IF(ISBLANK(Pricelist[[#This Row],[EBS]]),"",VALUE(LEFT(Pricelist[[#This Row],[EBS]],LEN(Pricelist[[#This Row],[EBS]])-LEN(Pricelist[[#This Row],[E2]])-1)))</f>
        <v/>
      </c>
      <c r="K185" s="65">
        <v>4065</v>
      </c>
      <c r="L185" s="101" t="str">
        <f>IF(ISBLANK(Pricelist[[#This Row],[EBS]]),"",VALUE(RIGHT(Pricelist[[#This Row],[EBS]],3)))</f>
        <v/>
      </c>
      <c r="M185" s="65">
        <v>4065</v>
      </c>
      <c r="N185" s="101" t="str">
        <f>IF(ISBLANK(Pricelist[[#This Row],[EBS]]),"",VALUE(RIGHT(Pricelist[[#This Row],[EBS]],3)))</f>
        <v/>
      </c>
      <c r="O185" s="101" t="str">
        <f>IF(AND(Pricelist[[#This Row],[AE1]]&lt;&gt;"",OR(Pricelist[[#This Row],[区]]="南",Pricelist[[#This Row],[区]]="北")),MID(Pricelist[[#This Row],[AE1]],4,2),"")</f>
        <v/>
      </c>
      <c r="P185" s="102">
        <v>2715</v>
      </c>
      <c r="Q185" s="103">
        <v>4115</v>
      </c>
      <c r="R185" s="103">
        <v>4115</v>
      </c>
      <c r="S185" s="104"/>
      <c r="T185" s="104"/>
      <c r="U185" s="105" t="s">
        <v>509</v>
      </c>
      <c r="V185" s="100" t="s">
        <v>504</v>
      </c>
      <c r="W185" s="106" t="s">
        <v>10</v>
      </c>
      <c r="X185" s="106" t="s">
        <v>11</v>
      </c>
      <c r="Y185" s="106">
        <v>36</v>
      </c>
      <c r="Z185" s="107">
        <v>43435</v>
      </c>
      <c r="AA185" s="108">
        <v>43443</v>
      </c>
      <c r="AB185" s="109"/>
      <c r="AC185" s="109"/>
    </row>
    <row r="186" spans="1:29" hidden="1" x14ac:dyDescent="0.15">
      <c r="A186" s="98">
        <v>178</v>
      </c>
      <c r="B186" s="99">
        <v>112917</v>
      </c>
      <c r="C186" s="98" t="s">
        <v>6331</v>
      </c>
      <c r="D186" s="100" t="s">
        <v>121</v>
      </c>
      <c r="E186" s="100" t="s">
        <v>414</v>
      </c>
      <c r="F186" s="100" t="s">
        <v>122</v>
      </c>
      <c r="G186" s="98" t="s">
        <v>8</v>
      </c>
      <c r="H186" s="98" t="str">
        <f>VLOOKUP(G186,CGS[],2,FALSE)</f>
        <v>CMA</v>
      </c>
      <c r="I186" s="65">
        <v>2688</v>
      </c>
      <c r="J186" s="101">
        <f>IF(ISBLANK(Pricelist[[#This Row],[EBS]]),"",VALUE(LEFT(Pricelist[[#This Row],[EBS]],LEN(Pricelist[[#This Row],[EBS]])-LEN(Pricelist[[#This Row],[E2]])-1)))</f>
        <v>55</v>
      </c>
      <c r="K186" s="65">
        <v>4188</v>
      </c>
      <c r="L186" s="101">
        <f>IF(ISBLANK(Pricelist[[#This Row],[EBS]]),"",VALUE(RIGHT(Pricelist[[#This Row],[EBS]],3)))</f>
        <v>110</v>
      </c>
      <c r="M186" s="65">
        <v>4188</v>
      </c>
      <c r="N186" s="101">
        <f>IF(ISBLANK(Pricelist[[#This Row],[EBS]]),"",VALUE(RIGHT(Pricelist[[#This Row],[EBS]],3)))</f>
        <v>110</v>
      </c>
      <c r="O186" s="101" t="str">
        <f>IF(AND(Pricelist[[#This Row],[AE1]]&lt;&gt;"",OR(Pricelist[[#This Row],[区]]="南",Pricelist[[#This Row],[区]]="北")),MID(Pricelist[[#This Row],[AE1]],4,2),"")</f>
        <v/>
      </c>
      <c r="P186" s="102">
        <v>2763</v>
      </c>
      <c r="Q186" s="103">
        <v>4338</v>
      </c>
      <c r="R186" s="103">
        <v>4338</v>
      </c>
      <c r="S186" s="104" t="s">
        <v>2204</v>
      </c>
      <c r="T186" s="104"/>
      <c r="U186" s="105" t="s">
        <v>505</v>
      </c>
      <c r="V186" s="100" t="s">
        <v>2217</v>
      </c>
      <c r="W186" s="106" t="s">
        <v>10</v>
      </c>
      <c r="X186" s="106" t="s">
        <v>11</v>
      </c>
      <c r="Y186" s="106">
        <v>36</v>
      </c>
      <c r="Z186" s="107">
        <v>43430</v>
      </c>
      <c r="AA186" s="108">
        <v>43448</v>
      </c>
      <c r="AB186" s="109" t="s">
        <v>118</v>
      </c>
      <c r="AC186" s="109"/>
    </row>
    <row r="187" spans="1:29" hidden="1" x14ac:dyDescent="0.15">
      <c r="A187" s="98">
        <v>184</v>
      </c>
      <c r="B187" s="99">
        <v>112917</v>
      </c>
      <c r="C187" s="98" t="s">
        <v>6331</v>
      </c>
      <c r="D187" s="100" t="s">
        <v>121</v>
      </c>
      <c r="E187" s="100" t="s">
        <v>414</v>
      </c>
      <c r="F187" s="100" t="s">
        <v>122</v>
      </c>
      <c r="G187" s="98" t="s">
        <v>24</v>
      </c>
      <c r="H187" s="98" t="str">
        <f>VLOOKUP(G187,CGS[],2,FALSE)</f>
        <v>SAF</v>
      </c>
      <c r="I187" s="65">
        <v>3025</v>
      </c>
      <c r="J187" s="101">
        <f>IF(ISBLANK(Pricelist[[#This Row],[EBS]]),"",VALUE(LEFT(Pricelist[[#This Row],[EBS]],LEN(Pricelist[[#This Row],[EBS]])-LEN(Pricelist[[#This Row],[E2]])-1)))</f>
        <v>60</v>
      </c>
      <c r="K187" s="65">
        <v>4600</v>
      </c>
      <c r="L187" s="101">
        <f>IF(ISBLANK(Pricelist[[#This Row],[EBS]]),"",VALUE(RIGHT(Pricelist[[#This Row],[EBS]],3)))</f>
        <v>120</v>
      </c>
      <c r="M187" s="65">
        <v>4600</v>
      </c>
      <c r="N187" s="101">
        <f>IF(ISBLANK(Pricelist[[#This Row],[EBS]]),"",VALUE(RIGHT(Pricelist[[#This Row],[EBS]],3)))</f>
        <v>120</v>
      </c>
      <c r="O187" s="101" t="str">
        <f>IF(AND(Pricelist[[#This Row],[AE1]]&lt;&gt;"",OR(Pricelist[[#This Row],[区]]="南",Pricelist[[#This Row],[区]]="北")),MID(Pricelist[[#This Row],[AE1]],4,2),"")</f>
        <v/>
      </c>
      <c r="P187" s="102">
        <v>3025</v>
      </c>
      <c r="Q187" s="103">
        <v>4600</v>
      </c>
      <c r="R187" s="103">
        <v>4600</v>
      </c>
      <c r="S187" s="104" t="s">
        <v>2199</v>
      </c>
      <c r="T187" s="104"/>
      <c r="U187" s="105" t="s">
        <v>505</v>
      </c>
      <c r="V187" s="100" t="s">
        <v>504</v>
      </c>
      <c r="W187" s="106" t="s">
        <v>10</v>
      </c>
      <c r="X187" s="106" t="s">
        <v>11</v>
      </c>
      <c r="Y187" s="106">
        <v>38</v>
      </c>
      <c r="Z187" s="107">
        <v>43437</v>
      </c>
      <c r="AA187" s="108">
        <v>43450</v>
      </c>
      <c r="AB187" s="109" t="s">
        <v>119</v>
      </c>
      <c r="AC187" s="109"/>
    </row>
    <row r="188" spans="1:29" ht="25.5" hidden="1" x14ac:dyDescent="0.15">
      <c r="A188" s="98">
        <v>183</v>
      </c>
      <c r="B188" s="99">
        <v>112917</v>
      </c>
      <c r="C188" s="98" t="s">
        <v>6331</v>
      </c>
      <c r="D188" s="100" t="s">
        <v>121</v>
      </c>
      <c r="E188" s="100" t="s">
        <v>414</v>
      </c>
      <c r="F188" s="100" t="s">
        <v>122</v>
      </c>
      <c r="G188" s="98" t="s">
        <v>21</v>
      </c>
      <c r="H188" s="98" t="str">
        <f>VLOOKUP(G188,CGS[],2,FALSE)</f>
        <v>MSK</v>
      </c>
      <c r="I188" s="65">
        <v>3035</v>
      </c>
      <c r="J188" s="101" t="str">
        <f>IF(ISBLANK(Pricelist[[#This Row],[EBS]]),"",VALUE(LEFT(Pricelist[[#This Row],[EBS]],LEN(Pricelist[[#This Row],[EBS]])-LEN(Pricelist[[#This Row],[E2]])-1)))</f>
        <v/>
      </c>
      <c r="K188" s="65">
        <v>4620</v>
      </c>
      <c r="L188" s="101" t="str">
        <f>IF(ISBLANK(Pricelist[[#This Row],[EBS]]),"",VALUE(RIGHT(Pricelist[[#This Row],[EBS]],3)))</f>
        <v/>
      </c>
      <c r="M188" s="65">
        <v>4620</v>
      </c>
      <c r="N188" s="101" t="str">
        <f>IF(ISBLANK(Pricelist[[#This Row],[EBS]]),"",VALUE(RIGHT(Pricelist[[#This Row],[EBS]],3)))</f>
        <v/>
      </c>
      <c r="O188" s="101" t="str">
        <f>IF(AND(Pricelist[[#This Row],[AE1]]&lt;&gt;"",OR(Pricelist[[#This Row],[区]]="南",Pricelist[[#This Row],[区]]="北")),MID(Pricelist[[#This Row],[AE1]],4,2),"")</f>
        <v/>
      </c>
      <c r="P188" s="102">
        <v>3035</v>
      </c>
      <c r="Q188" s="103">
        <v>4620</v>
      </c>
      <c r="R188" s="103">
        <v>4620</v>
      </c>
      <c r="S188" s="104"/>
      <c r="T188" s="104"/>
      <c r="U188" s="105" t="s">
        <v>505</v>
      </c>
      <c r="V188" s="100" t="s">
        <v>504</v>
      </c>
      <c r="W188" s="106" t="s">
        <v>10</v>
      </c>
      <c r="X188" s="106" t="s">
        <v>11</v>
      </c>
      <c r="Y188" s="106">
        <v>38</v>
      </c>
      <c r="Z188" s="107">
        <v>43437</v>
      </c>
      <c r="AA188" s="108">
        <v>43450</v>
      </c>
      <c r="AB188" s="109" t="s">
        <v>3688</v>
      </c>
      <c r="AC188" s="109"/>
    </row>
    <row r="189" spans="1:29" ht="25.5" hidden="1" x14ac:dyDescent="0.15">
      <c r="A189" s="98">
        <v>188</v>
      </c>
      <c r="B189" s="99">
        <v>112917</v>
      </c>
      <c r="C189" s="98" t="s">
        <v>6331</v>
      </c>
      <c r="D189" s="100" t="s">
        <v>123</v>
      </c>
      <c r="E189" s="100" t="s">
        <v>414</v>
      </c>
      <c r="F189" s="100" t="s">
        <v>124</v>
      </c>
      <c r="G189" s="98" t="s">
        <v>9</v>
      </c>
      <c r="H189" s="98" t="str">
        <f>VLOOKUP(G189,CGS[],2,FALSE)</f>
        <v>COSCO</v>
      </c>
      <c r="I189" s="65">
        <v>2335</v>
      </c>
      <c r="J189" s="101">
        <f>IF(ISBLANK(Pricelist[[#This Row],[EBS]]),"",VALUE(LEFT(Pricelist[[#This Row],[EBS]],LEN(Pricelist[[#This Row],[EBS]])-LEN(Pricelist[[#This Row],[E2]])-1)))</f>
        <v>60</v>
      </c>
      <c r="K189" s="65">
        <v>3410</v>
      </c>
      <c r="L189" s="101">
        <f>IF(ISBLANK(Pricelist[[#This Row],[EBS]]),"",VALUE(RIGHT(Pricelist[[#This Row],[EBS]],3)))</f>
        <v>120</v>
      </c>
      <c r="M189" s="65">
        <v>3410</v>
      </c>
      <c r="N189" s="101">
        <f>IF(ISBLANK(Pricelist[[#This Row],[EBS]]),"",VALUE(RIGHT(Pricelist[[#This Row],[EBS]],3)))</f>
        <v>120</v>
      </c>
      <c r="O189" s="101" t="str">
        <f>IF(AND(Pricelist[[#This Row],[AE1]]&lt;&gt;"",OR(Pricelist[[#This Row],[区]]="南",Pricelist[[#This Row],[区]]="北")),MID(Pricelist[[#This Row],[AE1]],4,2),"")</f>
        <v/>
      </c>
      <c r="P189" s="102">
        <v>2360</v>
      </c>
      <c r="Q189" s="103">
        <v>3460</v>
      </c>
      <c r="R189" s="103">
        <v>3460</v>
      </c>
      <c r="S189" s="104" t="s">
        <v>2199</v>
      </c>
      <c r="T189" s="104"/>
      <c r="U189" s="105" t="s">
        <v>508</v>
      </c>
      <c r="V189" s="100" t="s">
        <v>504</v>
      </c>
      <c r="W189" s="106" t="s">
        <v>91</v>
      </c>
      <c r="X189" s="106" t="s">
        <v>102</v>
      </c>
      <c r="Y189" s="106">
        <v>46</v>
      </c>
      <c r="Z189" s="107">
        <v>43437</v>
      </c>
      <c r="AA189" s="108">
        <v>43450</v>
      </c>
      <c r="AB189" s="109" t="s">
        <v>135</v>
      </c>
      <c r="AC189" s="109" t="s">
        <v>125</v>
      </c>
    </row>
    <row r="190" spans="1:29" hidden="1" x14ac:dyDescent="0.15">
      <c r="A190" s="98">
        <v>190</v>
      </c>
      <c r="B190" s="99">
        <v>112917</v>
      </c>
      <c r="C190" s="98" t="s">
        <v>6331</v>
      </c>
      <c r="D190" s="100" t="s">
        <v>123</v>
      </c>
      <c r="E190" s="100" t="s">
        <v>414</v>
      </c>
      <c r="F190" s="100" t="s">
        <v>124</v>
      </c>
      <c r="G190" s="98" t="s">
        <v>18</v>
      </c>
      <c r="H190" s="98" t="str">
        <f>VLOOKUP(G190,CGS[],2,FALSE)</f>
        <v>PIL</v>
      </c>
      <c r="I190" s="65">
        <v>2410</v>
      </c>
      <c r="J190" s="101" t="str">
        <f>IF(ISBLANK(Pricelist[[#This Row],[EBS]]),"",VALUE(LEFT(Pricelist[[#This Row],[EBS]],LEN(Pricelist[[#This Row],[EBS]])-LEN(Pricelist[[#This Row],[E2]])-1)))</f>
        <v/>
      </c>
      <c r="K190" s="65">
        <v>3610</v>
      </c>
      <c r="L190" s="101" t="str">
        <f>IF(ISBLANK(Pricelist[[#This Row],[EBS]]),"",VALUE(RIGHT(Pricelist[[#This Row],[EBS]],3)))</f>
        <v/>
      </c>
      <c r="M190" s="65">
        <v>3610</v>
      </c>
      <c r="N190" s="101" t="str">
        <f>IF(ISBLANK(Pricelist[[#This Row],[EBS]]),"",VALUE(RIGHT(Pricelist[[#This Row],[EBS]],3)))</f>
        <v/>
      </c>
      <c r="O190" s="101" t="str">
        <f>IF(AND(Pricelist[[#This Row],[AE1]]&lt;&gt;"",OR(Pricelist[[#This Row],[区]]="南",Pricelist[[#This Row],[区]]="北")),MID(Pricelist[[#This Row],[AE1]],4,2),"")</f>
        <v/>
      </c>
      <c r="P190" s="102">
        <v>2510</v>
      </c>
      <c r="Q190" s="103">
        <v>3810</v>
      </c>
      <c r="R190" s="103">
        <v>3810</v>
      </c>
      <c r="S190" s="104"/>
      <c r="T190" s="104"/>
      <c r="U190" s="105" t="s">
        <v>508</v>
      </c>
      <c r="V190" s="100" t="s">
        <v>504</v>
      </c>
      <c r="W190" s="106" t="s">
        <v>22</v>
      </c>
      <c r="X190" s="106" t="s">
        <v>23</v>
      </c>
      <c r="Y190" s="106">
        <v>41</v>
      </c>
      <c r="Z190" s="107">
        <v>43444</v>
      </c>
      <c r="AA190" s="108">
        <v>43449</v>
      </c>
      <c r="AB190" s="109"/>
      <c r="AC190" s="109"/>
    </row>
    <row r="191" spans="1:29" hidden="1" x14ac:dyDescent="0.15">
      <c r="A191" s="98">
        <v>189</v>
      </c>
      <c r="B191" s="99">
        <v>112917</v>
      </c>
      <c r="C191" s="98" t="s">
        <v>6331</v>
      </c>
      <c r="D191" s="100" t="s">
        <v>123</v>
      </c>
      <c r="E191" s="100" t="s">
        <v>414</v>
      </c>
      <c r="F191" s="100" t="s">
        <v>124</v>
      </c>
      <c r="G191" s="98" t="s">
        <v>8</v>
      </c>
      <c r="H191" s="98" t="str">
        <f>VLOOKUP(G191,CGS[],2,FALSE)</f>
        <v>CMA</v>
      </c>
      <c r="I191" s="65">
        <v>2588</v>
      </c>
      <c r="J191" s="101">
        <f>IF(ISBLANK(Pricelist[[#This Row],[EBS]]),"",VALUE(LEFT(Pricelist[[#This Row],[EBS]],LEN(Pricelist[[#This Row],[EBS]])-LEN(Pricelist[[#This Row],[E2]])-1)))</f>
        <v>55</v>
      </c>
      <c r="K191" s="65">
        <v>4188</v>
      </c>
      <c r="L191" s="101">
        <f>IF(ISBLANK(Pricelist[[#This Row],[EBS]]),"",VALUE(RIGHT(Pricelist[[#This Row],[EBS]],3)))</f>
        <v>110</v>
      </c>
      <c r="M191" s="65">
        <v>4188</v>
      </c>
      <c r="N191" s="101">
        <f>IF(ISBLANK(Pricelist[[#This Row],[EBS]]),"",VALUE(RIGHT(Pricelist[[#This Row],[EBS]],3)))</f>
        <v>110</v>
      </c>
      <c r="O191" s="101" t="str">
        <f>IF(AND(Pricelist[[#This Row],[AE1]]&lt;&gt;"",OR(Pricelist[[#This Row],[区]]="南",Pricelist[[#This Row],[区]]="北")),MID(Pricelist[[#This Row],[AE1]],4,2),"")</f>
        <v/>
      </c>
      <c r="P191" s="102">
        <v>2663</v>
      </c>
      <c r="Q191" s="103">
        <v>4338</v>
      </c>
      <c r="R191" s="103">
        <v>4338</v>
      </c>
      <c r="S191" s="104" t="s">
        <v>2204</v>
      </c>
      <c r="T191" s="104"/>
      <c r="U191" s="105" t="s">
        <v>505</v>
      </c>
      <c r="V191" s="100" t="s">
        <v>2217</v>
      </c>
      <c r="W191" s="106" t="s">
        <v>10</v>
      </c>
      <c r="X191" s="106" t="s">
        <v>11</v>
      </c>
      <c r="Y191" s="106">
        <v>39</v>
      </c>
      <c r="Z191" s="107">
        <v>43430</v>
      </c>
      <c r="AA191" s="108">
        <v>43448</v>
      </c>
      <c r="AB191" s="109" t="s">
        <v>118</v>
      </c>
      <c r="AC191" s="109"/>
    </row>
    <row r="192" spans="1:29" hidden="1" x14ac:dyDescent="0.15">
      <c r="A192" s="98">
        <v>192</v>
      </c>
      <c r="B192" s="99">
        <v>112917</v>
      </c>
      <c r="C192" s="98" t="s">
        <v>6331</v>
      </c>
      <c r="D192" s="100" t="s">
        <v>123</v>
      </c>
      <c r="E192" s="100" t="s">
        <v>414</v>
      </c>
      <c r="F192" s="100" t="s">
        <v>124</v>
      </c>
      <c r="G192" s="98" t="s">
        <v>24</v>
      </c>
      <c r="H192" s="98" t="str">
        <f>VLOOKUP(G192,CGS[],2,FALSE)</f>
        <v>SAF</v>
      </c>
      <c r="I192" s="65">
        <v>2625</v>
      </c>
      <c r="J192" s="101">
        <f>IF(ISBLANK(Pricelist[[#This Row],[EBS]]),"",VALUE(LEFT(Pricelist[[#This Row],[EBS]],LEN(Pricelist[[#This Row],[EBS]])-LEN(Pricelist[[#This Row],[E2]])-1)))</f>
        <v>60</v>
      </c>
      <c r="K192" s="65">
        <v>4300</v>
      </c>
      <c r="L192" s="101">
        <f>IF(ISBLANK(Pricelist[[#This Row],[EBS]]),"",VALUE(RIGHT(Pricelist[[#This Row],[EBS]],3)))</f>
        <v>120</v>
      </c>
      <c r="M192" s="65">
        <v>4300</v>
      </c>
      <c r="N192" s="101">
        <f>IF(ISBLANK(Pricelist[[#This Row],[EBS]]),"",VALUE(RIGHT(Pricelist[[#This Row],[EBS]],3)))</f>
        <v>120</v>
      </c>
      <c r="O192" s="101" t="str">
        <f>IF(AND(Pricelist[[#This Row],[AE1]]&lt;&gt;"",OR(Pricelist[[#This Row],[区]]="南",Pricelist[[#This Row],[区]]="北")),MID(Pricelist[[#This Row],[AE1]],4,2),"")</f>
        <v/>
      </c>
      <c r="P192" s="102">
        <v>2625</v>
      </c>
      <c r="Q192" s="103">
        <v>4300</v>
      </c>
      <c r="R192" s="103">
        <v>4300</v>
      </c>
      <c r="S192" s="104" t="s">
        <v>2199</v>
      </c>
      <c r="T192" s="104"/>
      <c r="U192" s="105" t="s">
        <v>505</v>
      </c>
      <c r="V192" s="100" t="s">
        <v>504</v>
      </c>
      <c r="W192" s="106" t="s">
        <v>10</v>
      </c>
      <c r="X192" s="106" t="s">
        <v>11</v>
      </c>
      <c r="Y192" s="106">
        <v>41</v>
      </c>
      <c r="Z192" s="107">
        <v>43437</v>
      </c>
      <c r="AA192" s="108">
        <v>43450</v>
      </c>
      <c r="AB192" s="109" t="s">
        <v>119</v>
      </c>
      <c r="AC192" s="109"/>
    </row>
    <row r="193" spans="1:29" hidden="1" x14ac:dyDescent="0.15">
      <c r="A193" s="98">
        <v>191</v>
      </c>
      <c r="B193" s="99">
        <v>112917</v>
      </c>
      <c r="C193" s="98" t="s">
        <v>6331</v>
      </c>
      <c r="D193" s="100" t="s">
        <v>123</v>
      </c>
      <c r="E193" s="100" t="s">
        <v>414</v>
      </c>
      <c r="F193" s="100" t="s">
        <v>124</v>
      </c>
      <c r="G193" s="98" t="s">
        <v>21</v>
      </c>
      <c r="H193" s="98" t="str">
        <f>VLOOKUP(G193,CGS[],2,FALSE)</f>
        <v>MSK</v>
      </c>
      <c r="I193" s="65">
        <v>2635</v>
      </c>
      <c r="J193" s="101" t="str">
        <f>IF(ISBLANK(Pricelist[[#This Row],[EBS]]),"",VALUE(LEFT(Pricelist[[#This Row],[EBS]],LEN(Pricelist[[#This Row],[EBS]])-LEN(Pricelist[[#This Row],[E2]])-1)))</f>
        <v/>
      </c>
      <c r="K193" s="65">
        <v>4320</v>
      </c>
      <c r="L193" s="101" t="str">
        <f>IF(ISBLANK(Pricelist[[#This Row],[EBS]]),"",VALUE(RIGHT(Pricelist[[#This Row],[EBS]],3)))</f>
        <v/>
      </c>
      <c r="M193" s="65">
        <v>4320</v>
      </c>
      <c r="N193" s="101" t="str">
        <f>IF(ISBLANK(Pricelist[[#This Row],[EBS]]),"",VALUE(RIGHT(Pricelist[[#This Row],[EBS]],3)))</f>
        <v/>
      </c>
      <c r="O193" s="101" t="str">
        <f>IF(AND(Pricelist[[#This Row],[AE1]]&lt;&gt;"",OR(Pricelist[[#This Row],[区]]="南",Pricelist[[#This Row],[区]]="北")),MID(Pricelist[[#This Row],[AE1]],4,2),"")</f>
        <v/>
      </c>
      <c r="P193" s="102">
        <v>2635</v>
      </c>
      <c r="Q193" s="103">
        <v>4320</v>
      </c>
      <c r="R193" s="103">
        <v>4320</v>
      </c>
      <c r="S193" s="104"/>
      <c r="T193" s="104"/>
      <c r="U193" s="105" t="s">
        <v>505</v>
      </c>
      <c r="V193" s="100" t="s">
        <v>504</v>
      </c>
      <c r="W193" s="106" t="s">
        <v>10</v>
      </c>
      <c r="X193" s="106" t="s">
        <v>11</v>
      </c>
      <c r="Y193" s="106">
        <v>41</v>
      </c>
      <c r="Z193" s="107">
        <v>43437</v>
      </c>
      <c r="AA193" s="108">
        <v>43450</v>
      </c>
      <c r="AB193" s="109" t="s">
        <v>3689</v>
      </c>
      <c r="AC193" s="109"/>
    </row>
    <row r="194" spans="1:29" hidden="1" x14ac:dyDescent="0.15">
      <c r="A194" s="98">
        <v>193</v>
      </c>
      <c r="B194" s="99">
        <v>112917</v>
      </c>
      <c r="C194" s="98" t="s">
        <v>6331</v>
      </c>
      <c r="D194" s="100" t="s">
        <v>126</v>
      </c>
      <c r="E194" s="100" t="s">
        <v>414</v>
      </c>
      <c r="F194" s="100" t="s">
        <v>124</v>
      </c>
      <c r="G194" s="98" t="s">
        <v>17</v>
      </c>
      <c r="H194" s="98" t="str">
        <f>VLOOKUP(G194,CGS[],2,FALSE)</f>
        <v>MSC</v>
      </c>
      <c r="I194" s="65">
        <v>2250</v>
      </c>
      <c r="J194" s="101">
        <f>IF(ISBLANK(Pricelist[[#This Row],[EBS]]),"",VALUE(LEFT(Pricelist[[#This Row],[EBS]],LEN(Pricelist[[#This Row],[EBS]])-LEN(Pricelist[[#This Row],[E2]])-1)))</f>
        <v>100</v>
      </c>
      <c r="K194" s="65">
        <v>3750</v>
      </c>
      <c r="L194" s="101">
        <f>IF(ISBLANK(Pricelist[[#This Row],[EBS]]),"",VALUE(RIGHT(Pricelist[[#This Row],[EBS]],3)))</f>
        <v>200</v>
      </c>
      <c r="M194" s="65">
        <v>3750</v>
      </c>
      <c r="N194" s="101">
        <f>IF(ISBLANK(Pricelist[[#This Row],[EBS]]),"",VALUE(RIGHT(Pricelist[[#This Row],[EBS]],3)))</f>
        <v>200</v>
      </c>
      <c r="O194" s="101" t="str">
        <f>IF(AND(Pricelist[[#This Row],[AE1]]&lt;&gt;"",OR(Pricelist[[#This Row],[区]]="南",Pricelist[[#This Row],[区]]="北")),MID(Pricelist[[#This Row],[AE1]],4,2),"")</f>
        <v/>
      </c>
      <c r="P194" s="102">
        <v>2275</v>
      </c>
      <c r="Q194" s="103">
        <v>3800</v>
      </c>
      <c r="R194" s="103">
        <v>3800</v>
      </c>
      <c r="S194" s="104" t="s">
        <v>6328</v>
      </c>
      <c r="T194" s="104"/>
      <c r="U194" s="105" t="s">
        <v>506</v>
      </c>
      <c r="V194" s="100" t="s">
        <v>504</v>
      </c>
      <c r="W194" s="106" t="s">
        <v>22</v>
      </c>
      <c r="X194" s="106" t="s">
        <v>23</v>
      </c>
      <c r="Y194" s="106">
        <v>35</v>
      </c>
      <c r="Z194" s="107">
        <v>43435</v>
      </c>
      <c r="AA194" s="108">
        <v>43448</v>
      </c>
      <c r="AB194" s="109"/>
      <c r="AC194" s="109"/>
    </row>
    <row r="195" spans="1:29" hidden="1" x14ac:dyDescent="0.15">
      <c r="A195" s="98">
        <v>194</v>
      </c>
      <c r="B195" s="99">
        <v>112917</v>
      </c>
      <c r="C195" s="98" t="s">
        <v>6331</v>
      </c>
      <c r="D195" s="100" t="s">
        <v>127</v>
      </c>
      <c r="E195" s="100" t="s">
        <v>128</v>
      </c>
      <c r="F195" s="100" t="s">
        <v>129</v>
      </c>
      <c r="G195" s="98" t="s">
        <v>8</v>
      </c>
      <c r="H195" s="98" t="str">
        <f>VLOOKUP(G195,CGS[],2,FALSE)</f>
        <v>CMA</v>
      </c>
      <c r="I195" s="65">
        <v>2263</v>
      </c>
      <c r="J195" s="101">
        <f>IF(ISBLANK(Pricelist[[#This Row],[EBS]]),"",VALUE(LEFT(Pricelist[[#This Row],[EBS]],LEN(Pricelist[[#This Row],[EBS]])-LEN(Pricelist[[#This Row],[E2]])-1)))</f>
        <v>55</v>
      </c>
      <c r="K195" s="65">
        <v>4013</v>
      </c>
      <c r="L195" s="101">
        <f>IF(ISBLANK(Pricelist[[#This Row],[EBS]]),"",VALUE(RIGHT(Pricelist[[#This Row],[EBS]],3)))</f>
        <v>110</v>
      </c>
      <c r="M195" s="65">
        <v>4013</v>
      </c>
      <c r="N195" s="101">
        <f>IF(ISBLANK(Pricelist[[#This Row],[EBS]]),"",VALUE(RIGHT(Pricelist[[#This Row],[EBS]],3)))</f>
        <v>110</v>
      </c>
      <c r="O195" s="101" t="str">
        <f>IF(AND(Pricelist[[#This Row],[AE1]]&lt;&gt;"",OR(Pricelist[[#This Row],[区]]="南",Pricelist[[#This Row],[区]]="北")),MID(Pricelist[[#This Row],[AE1]],4,2),"")</f>
        <v/>
      </c>
      <c r="P195" s="102">
        <v>2338</v>
      </c>
      <c r="Q195" s="103">
        <v>4163</v>
      </c>
      <c r="R195" s="103">
        <v>4163</v>
      </c>
      <c r="S195" s="104" t="s">
        <v>2204</v>
      </c>
      <c r="T195" s="104"/>
      <c r="U195" s="105" t="s">
        <v>511</v>
      </c>
      <c r="V195" s="100" t="s">
        <v>507</v>
      </c>
      <c r="W195" s="106" t="s">
        <v>130</v>
      </c>
      <c r="X195" s="106" t="s">
        <v>131</v>
      </c>
      <c r="Y195" s="106">
        <v>42</v>
      </c>
      <c r="Z195" s="107">
        <v>43430</v>
      </c>
      <c r="AA195" s="108">
        <v>43448</v>
      </c>
      <c r="AB195" s="109" t="s">
        <v>2227</v>
      </c>
      <c r="AC195" s="109"/>
    </row>
    <row r="196" spans="1:29" ht="51" hidden="1" x14ac:dyDescent="0.15">
      <c r="A196" s="98">
        <v>195</v>
      </c>
      <c r="B196" s="99">
        <v>112917</v>
      </c>
      <c r="C196" s="98" t="s">
        <v>6331</v>
      </c>
      <c r="D196" s="100" t="s">
        <v>127</v>
      </c>
      <c r="E196" s="100" t="s">
        <v>128</v>
      </c>
      <c r="F196" s="100" t="s">
        <v>129</v>
      </c>
      <c r="G196" s="98" t="s">
        <v>17</v>
      </c>
      <c r="H196" s="98" t="str">
        <f>VLOOKUP(G196,CGS[],2,FALSE)</f>
        <v>MSC</v>
      </c>
      <c r="I196" s="65">
        <v>2635</v>
      </c>
      <c r="J196" s="101">
        <f>IF(ISBLANK(Pricelist[[#This Row],[EBS]]),"",VALUE(LEFT(Pricelist[[#This Row],[EBS]],LEN(Pricelist[[#This Row],[EBS]])-LEN(Pricelist[[#This Row],[E2]])-1)))</f>
        <v>100</v>
      </c>
      <c r="K196" s="65">
        <v>5045</v>
      </c>
      <c r="L196" s="101">
        <f>IF(ISBLANK(Pricelist[[#This Row],[EBS]]),"",VALUE(RIGHT(Pricelist[[#This Row],[EBS]],3)))</f>
        <v>200</v>
      </c>
      <c r="M196" s="65">
        <v>5045</v>
      </c>
      <c r="N196" s="101">
        <f>IF(ISBLANK(Pricelist[[#This Row],[EBS]]),"",VALUE(RIGHT(Pricelist[[#This Row],[EBS]],3)))</f>
        <v>200</v>
      </c>
      <c r="O196" s="101" t="str">
        <f>IF(AND(Pricelist[[#This Row],[AE1]]&lt;&gt;"",OR(Pricelist[[#This Row],[区]]="南",Pricelist[[#This Row],[区]]="北")),MID(Pricelist[[#This Row],[AE1]],4,2),"")</f>
        <v/>
      </c>
      <c r="P196" s="102">
        <v>2660</v>
      </c>
      <c r="Q196" s="103">
        <v>5095</v>
      </c>
      <c r="R196" s="103">
        <v>5095</v>
      </c>
      <c r="S196" s="104" t="s">
        <v>6328</v>
      </c>
      <c r="T196" s="104"/>
      <c r="U196" s="105" t="s">
        <v>506</v>
      </c>
      <c r="V196" s="100" t="s">
        <v>504</v>
      </c>
      <c r="W196" s="106" t="s">
        <v>132</v>
      </c>
      <c r="X196" s="106" t="s">
        <v>133</v>
      </c>
      <c r="Y196" s="106" t="s">
        <v>134</v>
      </c>
      <c r="Z196" s="107">
        <v>43435</v>
      </c>
      <c r="AA196" s="108">
        <v>43448</v>
      </c>
      <c r="AB196" s="109" t="s">
        <v>2228</v>
      </c>
      <c r="AC196" s="109"/>
    </row>
    <row r="197" spans="1:29" hidden="1" x14ac:dyDescent="0.15">
      <c r="A197" s="98">
        <v>196</v>
      </c>
      <c r="B197" s="99">
        <v>112917</v>
      </c>
      <c r="C197" s="98" t="s">
        <v>6331</v>
      </c>
      <c r="D197" s="100" t="s">
        <v>127</v>
      </c>
      <c r="E197" s="100" t="s">
        <v>128</v>
      </c>
      <c r="F197" s="100" t="s">
        <v>129</v>
      </c>
      <c r="G197" s="98" t="s">
        <v>9</v>
      </c>
      <c r="H197" s="98" t="str">
        <f>VLOOKUP(G197,CGS[],2,FALSE)</f>
        <v>COSCO</v>
      </c>
      <c r="I197" s="65">
        <v>2035</v>
      </c>
      <c r="J197" s="101">
        <f>IF(ISBLANK(Pricelist[[#This Row],[EBS]]),"",VALUE(LEFT(Pricelist[[#This Row],[EBS]],LEN(Pricelist[[#This Row],[EBS]])-LEN(Pricelist[[#This Row],[E2]])-1)))</f>
        <v>60</v>
      </c>
      <c r="K197" s="65">
        <v>3460</v>
      </c>
      <c r="L197" s="101">
        <f>IF(ISBLANK(Pricelist[[#This Row],[EBS]]),"",VALUE(RIGHT(Pricelist[[#This Row],[EBS]],3)))</f>
        <v>120</v>
      </c>
      <c r="M197" s="65">
        <v>3460</v>
      </c>
      <c r="N197" s="101">
        <f>IF(ISBLANK(Pricelist[[#This Row],[EBS]]),"",VALUE(RIGHT(Pricelist[[#This Row],[EBS]],3)))</f>
        <v>120</v>
      </c>
      <c r="O197" s="101" t="str">
        <f>IF(AND(Pricelist[[#This Row],[AE1]]&lt;&gt;"",OR(Pricelist[[#This Row],[区]]="南",Pricelist[[#This Row],[区]]="北")),MID(Pricelist[[#This Row],[AE1]],4,2),"")</f>
        <v/>
      </c>
      <c r="P197" s="102">
        <v>2060</v>
      </c>
      <c r="Q197" s="103">
        <v>3510</v>
      </c>
      <c r="R197" s="103">
        <v>3510</v>
      </c>
      <c r="S197" s="104" t="s">
        <v>2199</v>
      </c>
      <c r="T197" s="104"/>
      <c r="U197" s="105" t="s">
        <v>508</v>
      </c>
      <c r="V197" s="100" t="s">
        <v>504</v>
      </c>
      <c r="W197" s="106" t="s">
        <v>91</v>
      </c>
      <c r="X197" s="106" t="s">
        <v>102</v>
      </c>
      <c r="Y197" s="106">
        <v>42</v>
      </c>
      <c r="Z197" s="107">
        <v>43437</v>
      </c>
      <c r="AA197" s="108">
        <v>43450</v>
      </c>
      <c r="AB197" s="109" t="s">
        <v>135</v>
      </c>
      <c r="AC197" s="109"/>
    </row>
    <row r="198" spans="1:29" hidden="1" x14ac:dyDescent="0.15">
      <c r="A198" s="98">
        <v>197</v>
      </c>
      <c r="B198" s="99">
        <v>112917</v>
      </c>
      <c r="C198" s="98" t="s">
        <v>6331</v>
      </c>
      <c r="D198" s="100" t="s">
        <v>127</v>
      </c>
      <c r="E198" s="100" t="s">
        <v>128</v>
      </c>
      <c r="F198" s="100" t="s">
        <v>129</v>
      </c>
      <c r="G198" s="98" t="s">
        <v>21</v>
      </c>
      <c r="H198" s="98" t="str">
        <f>VLOOKUP(G198,CGS[],2,FALSE)</f>
        <v>MSK</v>
      </c>
      <c r="I198" s="65">
        <v>2435</v>
      </c>
      <c r="J198" s="101" t="str">
        <f>IF(ISBLANK(Pricelist[[#This Row],[EBS]]),"",VALUE(LEFT(Pricelist[[#This Row],[EBS]],LEN(Pricelist[[#This Row],[EBS]])-LEN(Pricelist[[#This Row],[E2]])-1)))</f>
        <v/>
      </c>
      <c r="K198" s="65">
        <v>4270</v>
      </c>
      <c r="L198" s="101" t="str">
        <f>IF(ISBLANK(Pricelist[[#This Row],[EBS]]),"",VALUE(RIGHT(Pricelist[[#This Row],[EBS]],3)))</f>
        <v/>
      </c>
      <c r="M198" s="65">
        <v>4270</v>
      </c>
      <c r="N198" s="101" t="str">
        <f>IF(ISBLANK(Pricelist[[#This Row],[EBS]]),"",VALUE(RIGHT(Pricelist[[#This Row],[EBS]],3)))</f>
        <v/>
      </c>
      <c r="O198" s="101" t="str">
        <f>IF(AND(Pricelist[[#This Row],[AE1]]&lt;&gt;"",OR(Pricelist[[#This Row],[区]]="南",Pricelist[[#This Row],[区]]="北")),MID(Pricelist[[#This Row],[AE1]],4,2),"")</f>
        <v/>
      </c>
      <c r="P198" s="102">
        <v>2435</v>
      </c>
      <c r="Q198" s="103">
        <v>4270</v>
      </c>
      <c r="R198" s="103">
        <v>4270</v>
      </c>
      <c r="S198" s="104"/>
      <c r="T198" s="104"/>
      <c r="U198" s="105" t="s">
        <v>510</v>
      </c>
      <c r="V198" s="100" t="s">
        <v>507</v>
      </c>
      <c r="W198" s="106" t="s">
        <v>2229</v>
      </c>
      <c r="X198" s="106" t="s">
        <v>2230</v>
      </c>
      <c r="Y198" s="106">
        <v>40</v>
      </c>
      <c r="Z198" s="107">
        <v>43437</v>
      </c>
      <c r="AA198" s="108">
        <v>43450</v>
      </c>
      <c r="AB198" s="109" t="s">
        <v>136</v>
      </c>
      <c r="AC198" s="109"/>
    </row>
    <row r="199" spans="1:29" hidden="1" x14ac:dyDescent="0.15">
      <c r="A199" s="98">
        <v>198</v>
      </c>
      <c r="B199" s="99">
        <v>112917</v>
      </c>
      <c r="C199" s="98" t="s">
        <v>6331</v>
      </c>
      <c r="D199" s="100" t="s">
        <v>127</v>
      </c>
      <c r="E199" s="100" t="s">
        <v>128</v>
      </c>
      <c r="F199" s="100" t="s">
        <v>129</v>
      </c>
      <c r="G199" s="98" t="s">
        <v>24</v>
      </c>
      <c r="H199" s="98" t="str">
        <f>VLOOKUP(G199,CGS[],2,FALSE)</f>
        <v>SAF</v>
      </c>
      <c r="I199" s="65">
        <v>2450</v>
      </c>
      <c r="J199" s="101">
        <f>IF(ISBLANK(Pricelist[[#This Row],[EBS]]),"",VALUE(LEFT(Pricelist[[#This Row],[EBS]],LEN(Pricelist[[#This Row],[EBS]])-LEN(Pricelist[[#This Row],[E2]])-1)))</f>
        <v>60</v>
      </c>
      <c r="K199" s="65">
        <v>4300</v>
      </c>
      <c r="L199" s="101">
        <f>IF(ISBLANK(Pricelist[[#This Row],[EBS]]),"",VALUE(RIGHT(Pricelist[[#This Row],[EBS]],3)))</f>
        <v>120</v>
      </c>
      <c r="M199" s="65">
        <v>4300</v>
      </c>
      <c r="N199" s="101">
        <f>IF(ISBLANK(Pricelist[[#This Row],[EBS]]),"",VALUE(RIGHT(Pricelist[[#This Row],[EBS]],3)))</f>
        <v>120</v>
      </c>
      <c r="O199" s="101" t="str">
        <f>IF(AND(Pricelist[[#This Row],[AE1]]&lt;&gt;"",OR(Pricelist[[#This Row],[区]]="南",Pricelist[[#This Row],[区]]="北")),MID(Pricelist[[#This Row],[AE1]],4,2),"")</f>
        <v/>
      </c>
      <c r="P199" s="102">
        <v>2450</v>
      </c>
      <c r="Q199" s="103">
        <v>4300</v>
      </c>
      <c r="R199" s="103">
        <v>4300</v>
      </c>
      <c r="S199" s="104" t="s">
        <v>2199</v>
      </c>
      <c r="T199" s="104"/>
      <c r="U199" s="105" t="s">
        <v>3272</v>
      </c>
      <c r="V199" s="100" t="s">
        <v>507</v>
      </c>
      <c r="W199" s="106" t="s">
        <v>2252</v>
      </c>
      <c r="X199" s="106" t="s">
        <v>2231</v>
      </c>
      <c r="Y199" s="106">
        <v>43</v>
      </c>
      <c r="Z199" s="107">
        <v>43437</v>
      </c>
      <c r="AA199" s="108">
        <v>43450</v>
      </c>
      <c r="AB199" s="109" t="s">
        <v>2232</v>
      </c>
      <c r="AC199" s="109"/>
    </row>
    <row r="200" spans="1:29" hidden="1" x14ac:dyDescent="0.15">
      <c r="A200" s="98">
        <v>199</v>
      </c>
      <c r="B200" s="99">
        <v>112917</v>
      </c>
      <c r="C200" s="98" t="s">
        <v>6331</v>
      </c>
      <c r="D200" s="100" t="s">
        <v>127</v>
      </c>
      <c r="E200" s="100" t="s">
        <v>128</v>
      </c>
      <c r="F200" s="100" t="s">
        <v>129</v>
      </c>
      <c r="G200" s="98" t="s">
        <v>18</v>
      </c>
      <c r="H200" s="98" t="str">
        <f>VLOOKUP(G200,CGS[],2,FALSE)</f>
        <v>PIL</v>
      </c>
      <c r="I200" s="65">
        <v>1910</v>
      </c>
      <c r="J200" s="101" t="str">
        <f>IF(ISBLANK(Pricelist[[#This Row],[EBS]]),"",VALUE(LEFT(Pricelist[[#This Row],[EBS]],LEN(Pricelist[[#This Row],[EBS]])-LEN(Pricelist[[#This Row],[E2]])-1)))</f>
        <v/>
      </c>
      <c r="K200" s="65">
        <v>3210</v>
      </c>
      <c r="L200" s="101" t="str">
        <f>IF(ISBLANK(Pricelist[[#This Row],[EBS]]),"",VALUE(RIGHT(Pricelist[[#This Row],[EBS]],3)))</f>
        <v/>
      </c>
      <c r="M200" s="65">
        <v>3210</v>
      </c>
      <c r="N200" s="101" t="str">
        <f>IF(ISBLANK(Pricelist[[#This Row],[EBS]]),"",VALUE(RIGHT(Pricelist[[#This Row],[EBS]],3)))</f>
        <v/>
      </c>
      <c r="O200" s="101" t="str">
        <f>IF(AND(Pricelist[[#This Row],[AE1]]&lt;&gt;"",OR(Pricelist[[#This Row],[区]]="南",Pricelist[[#This Row],[区]]="北")),MID(Pricelist[[#This Row],[AE1]],4,2),"")</f>
        <v/>
      </c>
      <c r="P200" s="102">
        <v>2010</v>
      </c>
      <c r="Q200" s="103">
        <v>3410</v>
      </c>
      <c r="R200" s="103">
        <v>3410</v>
      </c>
      <c r="S200" s="104"/>
      <c r="T200" s="104"/>
      <c r="U200" s="105" t="s">
        <v>508</v>
      </c>
      <c r="V200" s="100" t="s">
        <v>504</v>
      </c>
      <c r="W200" s="106" t="s">
        <v>91</v>
      </c>
      <c r="X200" s="106" t="s">
        <v>102</v>
      </c>
      <c r="Y200" s="106">
        <v>45</v>
      </c>
      <c r="Z200" s="107">
        <v>43444</v>
      </c>
      <c r="AA200" s="108">
        <v>43449</v>
      </c>
      <c r="AB200" s="109"/>
      <c r="AC200" s="109"/>
    </row>
    <row r="201" spans="1:29" hidden="1" x14ac:dyDescent="0.15">
      <c r="A201" s="98">
        <v>200</v>
      </c>
      <c r="B201" s="99">
        <v>112917</v>
      </c>
      <c r="C201" s="98" t="s">
        <v>6331</v>
      </c>
      <c r="D201" s="100" t="s">
        <v>138</v>
      </c>
      <c r="E201" s="100" t="s">
        <v>128</v>
      </c>
      <c r="F201" s="100" t="s">
        <v>139</v>
      </c>
      <c r="G201" s="98" t="s">
        <v>8</v>
      </c>
      <c r="H201" s="98" t="str">
        <f>VLOOKUP(G201,CGS[],2,FALSE)</f>
        <v>CMA</v>
      </c>
      <c r="I201" s="65">
        <v>2463</v>
      </c>
      <c r="J201" s="101">
        <f>IF(ISBLANK(Pricelist[[#This Row],[EBS]]),"",VALUE(LEFT(Pricelist[[#This Row],[EBS]],LEN(Pricelist[[#This Row],[EBS]])-LEN(Pricelist[[#This Row],[E2]])-1)))</f>
        <v>55</v>
      </c>
      <c r="K201" s="65">
        <v>3813</v>
      </c>
      <c r="L201" s="101">
        <f>IF(ISBLANK(Pricelist[[#This Row],[EBS]]),"",VALUE(RIGHT(Pricelist[[#This Row],[EBS]],3)))</f>
        <v>110</v>
      </c>
      <c r="M201" s="65">
        <v>3813</v>
      </c>
      <c r="N201" s="101">
        <f>IF(ISBLANK(Pricelist[[#This Row],[EBS]]),"",VALUE(RIGHT(Pricelist[[#This Row],[EBS]],3)))</f>
        <v>110</v>
      </c>
      <c r="O201" s="101" t="str">
        <f>IF(AND(Pricelist[[#This Row],[AE1]]&lt;&gt;"",OR(Pricelist[[#This Row],[区]]="南",Pricelist[[#This Row],[区]]="北")),MID(Pricelist[[#This Row],[AE1]],4,2),"")</f>
        <v/>
      </c>
      <c r="P201" s="102">
        <v>2538</v>
      </c>
      <c r="Q201" s="103">
        <v>3963</v>
      </c>
      <c r="R201" s="103">
        <v>3963</v>
      </c>
      <c r="S201" s="104" t="s">
        <v>2204</v>
      </c>
      <c r="T201" s="104"/>
      <c r="U201" s="105" t="s">
        <v>506</v>
      </c>
      <c r="V201" s="100" t="s">
        <v>2217</v>
      </c>
      <c r="W201" s="106" t="s">
        <v>101</v>
      </c>
      <c r="X201" s="106" t="s">
        <v>102</v>
      </c>
      <c r="Y201" s="106">
        <v>48</v>
      </c>
      <c r="Z201" s="107">
        <v>43430</v>
      </c>
      <c r="AA201" s="108">
        <v>43448</v>
      </c>
      <c r="AB201" s="109" t="s">
        <v>94</v>
      </c>
      <c r="AC201" s="109"/>
    </row>
    <row r="202" spans="1:29" hidden="1" x14ac:dyDescent="0.15">
      <c r="A202" s="98">
        <v>201</v>
      </c>
      <c r="B202" s="99">
        <v>112917</v>
      </c>
      <c r="C202" s="98" t="s">
        <v>6331</v>
      </c>
      <c r="D202" s="100" t="s">
        <v>138</v>
      </c>
      <c r="E202" s="100" t="s">
        <v>128</v>
      </c>
      <c r="F202" s="100" t="s">
        <v>139</v>
      </c>
      <c r="G202" s="98" t="s">
        <v>24</v>
      </c>
      <c r="H202" s="98" t="str">
        <f>VLOOKUP(G202,CGS[],2,FALSE)</f>
        <v>SAF</v>
      </c>
      <c r="I202" s="65">
        <v>2600</v>
      </c>
      <c r="J202" s="101">
        <f>IF(ISBLANK(Pricelist[[#This Row],[EBS]]),"",VALUE(LEFT(Pricelist[[#This Row],[EBS]],LEN(Pricelist[[#This Row],[EBS]])-LEN(Pricelist[[#This Row],[E2]])-1)))</f>
        <v>60</v>
      </c>
      <c r="K202" s="65">
        <v>4100</v>
      </c>
      <c r="L202" s="101">
        <f>IF(ISBLANK(Pricelist[[#This Row],[EBS]]),"",VALUE(RIGHT(Pricelist[[#This Row],[EBS]],3)))</f>
        <v>120</v>
      </c>
      <c r="M202" s="65">
        <v>4100</v>
      </c>
      <c r="N202" s="101">
        <f>IF(ISBLANK(Pricelist[[#This Row],[EBS]]),"",VALUE(RIGHT(Pricelist[[#This Row],[EBS]],3)))</f>
        <v>120</v>
      </c>
      <c r="O202" s="101" t="str">
        <f>IF(AND(Pricelist[[#This Row],[AE1]]&lt;&gt;"",OR(Pricelist[[#This Row],[区]]="南",Pricelist[[#This Row],[区]]="北")),MID(Pricelist[[#This Row],[AE1]],4,2),"")</f>
        <v/>
      </c>
      <c r="P202" s="102">
        <v>2600</v>
      </c>
      <c r="Q202" s="103">
        <v>4100</v>
      </c>
      <c r="R202" s="103">
        <v>4100</v>
      </c>
      <c r="S202" s="104" t="s">
        <v>2199</v>
      </c>
      <c r="T202" s="104"/>
      <c r="U202" s="105" t="s">
        <v>3273</v>
      </c>
      <c r="V202" s="100" t="s">
        <v>507</v>
      </c>
      <c r="W202" s="106" t="s">
        <v>140</v>
      </c>
      <c r="X202" s="106" t="s">
        <v>141</v>
      </c>
      <c r="Y202" s="106">
        <v>46</v>
      </c>
      <c r="Z202" s="107">
        <v>43437</v>
      </c>
      <c r="AA202" s="108">
        <v>43450</v>
      </c>
      <c r="AB202" s="109" t="s">
        <v>2244</v>
      </c>
      <c r="AC202" s="109"/>
    </row>
    <row r="203" spans="1:29" hidden="1" x14ac:dyDescent="0.15">
      <c r="A203" s="98">
        <v>202</v>
      </c>
      <c r="B203" s="99">
        <v>112917</v>
      </c>
      <c r="C203" s="98" t="s">
        <v>6331</v>
      </c>
      <c r="D203" s="100" t="s">
        <v>138</v>
      </c>
      <c r="E203" s="100" t="s">
        <v>128</v>
      </c>
      <c r="F203" s="100" t="s">
        <v>139</v>
      </c>
      <c r="G203" s="98" t="s">
        <v>106</v>
      </c>
      <c r="H203" s="98" t="str">
        <f>VLOOKUP(G203,CGS[],2,FALSE)</f>
        <v>NDS</v>
      </c>
      <c r="I203" s="65">
        <v>2910</v>
      </c>
      <c r="J203" s="101" t="str">
        <f>IF(ISBLANK(Pricelist[[#This Row],[EBS]]),"",VALUE(LEFT(Pricelist[[#This Row],[EBS]],LEN(Pricelist[[#This Row],[EBS]])-LEN(Pricelist[[#This Row],[E2]])-1)))</f>
        <v/>
      </c>
      <c r="K203" s="65">
        <v>4960</v>
      </c>
      <c r="L203" s="101" t="str">
        <f>IF(ISBLANK(Pricelist[[#This Row],[EBS]]),"",VALUE(RIGHT(Pricelist[[#This Row],[EBS]],3)))</f>
        <v/>
      </c>
      <c r="M203" s="65">
        <v>4960</v>
      </c>
      <c r="N203" s="101" t="str">
        <f>IF(ISBLANK(Pricelist[[#This Row],[EBS]]),"",VALUE(RIGHT(Pricelist[[#This Row],[EBS]],3)))</f>
        <v/>
      </c>
      <c r="O203" s="101" t="str">
        <f>IF(AND(Pricelist[[#This Row],[AE1]]&lt;&gt;"",OR(Pricelist[[#This Row],[区]]="南",Pricelist[[#This Row],[区]]="北")),MID(Pricelist[[#This Row],[AE1]],4,2),"")</f>
        <v/>
      </c>
      <c r="P203" s="102">
        <v>2910</v>
      </c>
      <c r="Q203" s="103">
        <v>4960</v>
      </c>
      <c r="R203" s="103">
        <v>4960</v>
      </c>
      <c r="S203" s="104"/>
      <c r="T203" s="104"/>
      <c r="U203" s="105" t="s">
        <v>510</v>
      </c>
      <c r="V203" s="100" t="s">
        <v>507</v>
      </c>
      <c r="W203" s="106" t="s">
        <v>142</v>
      </c>
      <c r="X203" s="106" t="s">
        <v>141</v>
      </c>
      <c r="Y203" s="106">
        <v>56</v>
      </c>
      <c r="Z203" s="107">
        <v>43423</v>
      </c>
      <c r="AA203" s="108">
        <v>43448</v>
      </c>
      <c r="AB203" s="109"/>
      <c r="AC203" s="109"/>
    </row>
    <row r="204" spans="1:29" hidden="1" x14ac:dyDescent="0.15">
      <c r="A204" s="98">
        <v>203</v>
      </c>
      <c r="B204" s="99">
        <v>112917</v>
      </c>
      <c r="C204" s="98" t="s">
        <v>6331</v>
      </c>
      <c r="D204" s="100" t="s">
        <v>138</v>
      </c>
      <c r="E204" s="100" t="s">
        <v>128</v>
      </c>
      <c r="F204" s="100" t="s">
        <v>139</v>
      </c>
      <c r="G204" s="98" t="s">
        <v>21</v>
      </c>
      <c r="H204" s="98" t="str">
        <f>VLOOKUP(G204,CGS[],2,FALSE)</f>
        <v>MSK</v>
      </c>
      <c r="I204" s="65">
        <v>2585</v>
      </c>
      <c r="J204" s="101" t="str">
        <f>IF(ISBLANK(Pricelist[[#This Row],[EBS]]),"",VALUE(LEFT(Pricelist[[#This Row],[EBS]],LEN(Pricelist[[#This Row],[EBS]])-LEN(Pricelist[[#This Row],[E2]])-1)))</f>
        <v/>
      </c>
      <c r="K204" s="65">
        <v>4070</v>
      </c>
      <c r="L204" s="101" t="str">
        <f>IF(ISBLANK(Pricelist[[#This Row],[EBS]]),"",VALUE(RIGHT(Pricelist[[#This Row],[EBS]],3)))</f>
        <v/>
      </c>
      <c r="M204" s="65">
        <v>4070</v>
      </c>
      <c r="N204" s="101" t="str">
        <f>IF(ISBLANK(Pricelist[[#This Row],[EBS]]),"",VALUE(RIGHT(Pricelist[[#This Row],[EBS]],3)))</f>
        <v/>
      </c>
      <c r="O204" s="101" t="str">
        <f>IF(AND(Pricelist[[#This Row],[AE1]]&lt;&gt;"",OR(Pricelist[[#This Row],[区]]="南",Pricelist[[#This Row],[区]]="北")),MID(Pricelist[[#This Row],[AE1]],4,2),"")</f>
        <v/>
      </c>
      <c r="P204" s="102">
        <v>2585</v>
      </c>
      <c r="Q204" s="103">
        <v>4070</v>
      </c>
      <c r="R204" s="103">
        <v>4070</v>
      </c>
      <c r="S204" s="104"/>
      <c r="T204" s="104"/>
      <c r="U204" s="105" t="s">
        <v>509</v>
      </c>
      <c r="V204" s="100" t="s">
        <v>507</v>
      </c>
      <c r="W204" s="106" t="s">
        <v>140</v>
      </c>
      <c r="X204" s="106" t="s">
        <v>141</v>
      </c>
      <c r="Y204" s="106">
        <v>46</v>
      </c>
      <c r="Z204" s="107">
        <v>43437</v>
      </c>
      <c r="AA204" s="108">
        <v>43450</v>
      </c>
      <c r="AB204" s="109" t="s">
        <v>3690</v>
      </c>
      <c r="AC204" s="109"/>
    </row>
    <row r="205" spans="1:29" hidden="1" x14ac:dyDescent="0.15">
      <c r="A205" s="98">
        <v>204</v>
      </c>
      <c r="B205" s="99">
        <v>112917</v>
      </c>
      <c r="C205" s="98" t="s">
        <v>6331</v>
      </c>
      <c r="D205" s="100" t="s">
        <v>143</v>
      </c>
      <c r="E205" s="100" t="s">
        <v>144</v>
      </c>
      <c r="F205" s="100" t="s">
        <v>145</v>
      </c>
      <c r="G205" s="98" t="s">
        <v>8</v>
      </c>
      <c r="H205" s="98" t="str">
        <f>VLOOKUP(G205,CGS[],2,FALSE)</f>
        <v>CMA</v>
      </c>
      <c r="I205" s="65">
        <v>2113</v>
      </c>
      <c r="J205" s="101">
        <f>IF(ISBLANK(Pricelist[[#This Row],[EBS]]),"",VALUE(LEFT(Pricelist[[#This Row],[EBS]],LEN(Pricelist[[#This Row],[EBS]])-LEN(Pricelist[[#This Row],[E2]])-1)))</f>
        <v>55</v>
      </c>
      <c r="K205" s="65">
        <v>3513</v>
      </c>
      <c r="L205" s="101">
        <f>IF(ISBLANK(Pricelist[[#This Row],[EBS]]),"",VALUE(RIGHT(Pricelist[[#This Row],[EBS]],3)))</f>
        <v>110</v>
      </c>
      <c r="M205" s="65">
        <v>3513</v>
      </c>
      <c r="N205" s="101">
        <f>IF(ISBLANK(Pricelist[[#This Row],[EBS]]),"",VALUE(RIGHT(Pricelist[[#This Row],[EBS]],3)))</f>
        <v>110</v>
      </c>
      <c r="O205" s="101" t="str">
        <f>IF(AND(Pricelist[[#This Row],[AE1]]&lt;&gt;"",OR(Pricelist[[#This Row],[区]]="南",Pricelist[[#This Row],[区]]="北")),MID(Pricelist[[#This Row],[AE1]],4,2),"")</f>
        <v/>
      </c>
      <c r="P205" s="102">
        <v>2188</v>
      </c>
      <c r="Q205" s="103">
        <v>3663</v>
      </c>
      <c r="R205" s="103">
        <v>3663</v>
      </c>
      <c r="S205" s="104" t="s">
        <v>2204</v>
      </c>
      <c r="T205" s="104"/>
      <c r="U205" s="105" t="s">
        <v>509</v>
      </c>
      <c r="V205" s="100" t="s">
        <v>507</v>
      </c>
      <c r="W205" s="106" t="s">
        <v>146</v>
      </c>
      <c r="X205" s="106" t="s">
        <v>147</v>
      </c>
      <c r="Y205" s="106">
        <v>41</v>
      </c>
      <c r="Z205" s="107">
        <v>43430</v>
      </c>
      <c r="AA205" s="108">
        <v>43448</v>
      </c>
      <c r="AB205" s="109" t="s">
        <v>148</v>
      </c>
      <c r="AC205" s="109"/>
    </row>
    <row r="206" spans="1:29" hidden="1" x14ac:dyDescent="0.15">
      <c r="A206" s="98">
        <v>205</v>
      </c>
      <c r="B206" s="99">
        <v>112917</v>
      </c>
      <c r="C206" s="98" t="s">
        <v>6331</v>
      </c>
      <c r="D206" s="100" t="s">
        <v>143</v>
      </c>
      <c r="E206" s="100" t="s">
        <v>144</v>
      </c>
      <c r="F206" s="100" t="s">
        <v>145</v>
      </c>
      <c r="G206" s="98" t="s">
        <v>21</v>
      </c>
      <c r="H206" s="98" t="str">
        <f>VLOOKUP(G206,CGS[],2,FALSE)</f>
        <v>MSK</v>
      </c>
      <c r="I206" s="65">
        <v>2185</v>
      </c>
      <c r="J206" s="101" t="str">
        <f>IF(ISBLANK(Pricelist[[#This Row],[EBS]]),"",VALUE(LEFT(Pricelist[[#This Row],[EBS]],LEN(Pricelist[[#This Row],[EBS]])-LEN(Pricelist[[#This Row],[E2]])-1)))</f>
        <v/>
      </c>
      <c r="K206" s="65">
        <v>3670</v>
      </c>
      <c r="L206" s="101" t="str">
        <f>IF(ISBLANK(Pricelist[[#This Row],[EBS]]),"",VALUE(RIGHT(Pricelist[[#This Row],[EBS]],3)))</f>
        <v/>
      </c>
      <c r="M206" s="65">
        <v>3670</v>
      </c>
      <c r="N206" s="101" t="str">
        <f>IF(ISBLANK(Pricelist[[#This Row],[EBS]]),"",VALUE(RIGHT(Pricelist[[#This Row],[EBS]],3)))</f>
        <v/>
      </c>
      <c r="O206" s="101" t="str">
        <f>IF(AND(Pricelist[[#This Row],[AE1]]&lt;&gt;"",OR(Pricelist[[#This Row],[区]]="南",Pricelist[[#This Row],[区]]="北")),MID(Pricelist[[#This Row],[AE1]],4,2),"")</f>
        <v/>
      </c>
      <c r="P206" s="102">
        <v>2185</v>
      </c>
      <c r="Q206" s="103">
        <v>3670</v>
      </c>
      <c r="R206" s="103">
        <v>3670</v>
      </c>
      <c r="S206" s="104"/>
      <c r="T206" s="104"/>
      <c r="U206" s="105" t="s">
        <v>509</v>
      </c>
      <c r="V206" s="100" t="s">
        <v>507</v>
      </c>
      <c r="W206" s="106" t="s">
        <v>140</v>
      </c>
      <c r="X206" s="106" t="s">
        <v>141</v>
      </c>
      <c r="Y206" s="106">
        <v>45</v>
      </c>
      <c r="Z206" s="107">
        <v>43437</v>
      </c>
      <c r="AA206" s="108">
        <v>43450</v>
      </c>
      <c r="AB206" s="109" t="s">
        <v>3690</v>
      </c>
      <c r="AC206" s="109"/>
    </row>
    <row r="207" spans="1:29" hidden="1" x14ac:dyDescent="0.15">
      <c r="A207" s="98">
        <v>206</v>
      </c>
      <c r="B207" s="99">
        <v>112917</v>
      </c>
      <c r="C207" s="98" t="s">
        <v>6331</v>
      </c>
      <c r="D207" s="100" t="s">
        <v>143</v>
      </c>
      <c r="E207" s="100" t="s">
        <v>144</v>
      </c>
      <c r="F207" s="100" t="s">
        <v>145</v>
      </c>
      <c r="G207" s="98" t="s">
        <v>24</v>
      </c>
      <c r="H207" s="98" t="str">
        <f>VLOOKUP(G207,CGS[],2,FALSE)</f>
        <v>SAF</v>
      </c>
      <c r="I207" s="65">
        <v>2200</v>
      </c>
      <c r="J207" s="101">
        <f>IF(ISBLANK(Pricelist[[#This Row],[EBS]]),"",VALUE(LEFT(Pricelist[[#This Row],[EBS]],LEN(Pricelist[[#This Row],[EBS]])-LEN(Pricelist[[#This Row],[E2]])-1)))</f>
        <v>60</v>
      </c>
      <c r="K207" s="65">
        <v>3700</v>
      </c>
      <c r="L207" s="101">
        <f>IF(ISBLANK(Pricelist[[#This Row],[EBS]]),"",VALUE(RIGHT(Pricelist[[#This Row],[EBS]],3)))</f>
        <v>120</v>
      </c>
      <c r="M207" s="65">
        <v>3700</v>
      </c>
      <c r="N207" s="101">
        <f>IF(ISBLANK(Pricelist[[#This Row],[EBS]]),"",VALUE(RIGHT(Pricelist[[#This Row],[EBS]],3)))</f>
        <v>120</v>
      </c>
      <c r="O207" s="101" t="str">
        <f>IF(AND(Pricelist[[#This Row],[AE1]]&lt;&gt;"",OR(Pricelist[[#This Row],[区]]="南",Pricelist[[#This Row],[区]]="北")),MID(Pricelist[[#This Row],[AE1]],4,2),"")</f>
        <v/>
      </c>
      <c r="P207" s="102">
        <v>2200</v>
      </c>
      <c r="Q207" s="103">
        <v>3700</v>
      </c>
      <c r="R207" s="103">
        <v>3700</v>
      </c>
      <c r="S207" s="104" t="s">
        <v>2199</v>
      </c>
      <c r="T207" s="104"/>
      <c r="U207" s="105" t="s">
        <v>509</v>
      </c>
      <c r="V207" s="100" t="s">
        <v>507</v>
      </c>
      <c r="W207" s="106" t="s">
        <v>140</v>
      </c>
      <c r="X207" s="106" t="s">
        <v>141</v>
      </c>
      <c r="Y207" s="106">
        <v>45</v>
      </c>
      <c r="Z207" s="107">
        <v>43437</v>
      </c>
      <c r="AA207" s="108">
        <v>43450</v>
      </c>
      <c r="AB207" s="109" t="s">
        <v>149</v>
      </c>
      <c r="AC207" s="109"/>
    </row>
    <row r="208" spans="1:29" hidden="1" x14ac:dyDescent="0.15">
      <c r="A208" s="98">
        <v>207</v>
      </c>
      <c r="B208" s="99">
        <v>112917</v>
      </c>
      <c r="C208" s="98" t="s">
        <v>6331</v>
      </c>
      <c r="D208" s="100" t="s">
        <v>143</v>
      </c>
      <c r="E208" s="100" t="s">
        <v>144</v>
      </c>
      <c r="F208" s="100" t="s">
        <v>145</v>
      </c>
      <c r="G208" s="98" t="s">
        <v>17</v>
      </c>
      <c r="H208" s="98" t="str">
        <f>VLOOKUP(G208,CGS[],2,FALSE)</f>
        <v>MSC</v>
      </c>
      <c r="I208" s="65">
        <v>2050</v>
      </c>
      <c r="J208" s="101">
        <f>IF(ISBLANK(Pricelist[[#This Row],[EBS]]),"",VALUE(LEFT(Pricelist[[#This Row],[EBS]],LEN(Pricelist[[#This Row],[EBS]])-LEN(Pricelist[[#This Row],[E2]])-1)))</f>
        <v>100</v>
      </c>
      <c r="K208" s="65">
        <v>3500</v>
      </c>
      <c r="L208" s="101">
        <f>IF(ISBLANK(Pricelist[[#This Row],[EBS]]),"",VALUE(RIGHT(Pricelist[[#This Row],[EBS]],3)))</f>
        <v>200</v>
      </c>
      <c r="M208" s="65">
        <v>3500</v>
      </c>
      <c r="N208" s="101">
        <f>IF(ISBLANK(Pricelist[[#This Row],[EBS]]),"",VALUE(RIGHT(Pricelist[[#This Row],[EBS]],3)))</f>
        <v>200</v>
      </c>
      <c r="O208" s="101" t="str">
        <f>IF(AND(Pricelist[[#This Row],[AE1]]&lt;&gt;"",OR(Pricelist[[#This Row],[区]]="南",Pricelist[[#This Row],[区]]="北")),MID(Pricelist[[#This Row],[AE1]],4,2),"")</f>
        <v/>
      </c>
      <c r="P208" s="102">
        <v>2075</v>
      </c>
      <c r="Q208" s="103">
        <v>3550</v>
      </c>
      <c r="R208" s="103">
        <v>3550</v>
      </c>
      <c r="S208" s="104" t="s">
        <v>6328</v>
      </c>
      <c r="T208" s="104"/>
      <c r="U208" s="105" t="s">
        <v>506</v>
      </c>
      <c r="V208" s="100" t="s">
        <v>504</v>
      </c>
      <c r="W208" s="106" t="s">
        <v>101</v>
      </c>
      <c r="X208" s="106" t="s">
        <v>102</v>
      </c>
      <c r="Y208" s="106">
        <v>50</v>
      </c>
      <c r="Z208" s="107">
        <v>43435</v>
      </c>
      <c r="AA208" s="108">
        <v>43448</v>
      </c>
      <c r="AB208" s="109"/>
      <c r="AC208" s="109"/>
    </row>
    <row r="209" spans="1:29" hidden="1" x14ac:dyDescent="0.15">
      <c r="A209" s="98">
        <v>208</v>
      </c>
      <c r="B209" s="99">
        <v>112917</v>
      </c>
      <c r="C209" s="98" t="s">
        <v>6331</v>
      </c>
      <c r="D209" s="100" t="s">
        <v>143</v>
      </c>
      <c r="E209" s="100" t="s">
        <v>144</v>
      </c>
      <c r="F209" s="100" t="s">
        <v>145</v>
      </c>
      <c r="G209" s="98" t="s">
        <v>18</v>
      </c>
      <c r="H209" s="98" t="str">
        <f>VLOOKUP(G209,CGS[],2,FALSE)</f>
        <v>PIL</v>
      </c>
      <c r="I209" s="65">
        <v>1920</v>
      </c>
      <c r="J209" s="101" t="str">
        <f>IF(ISBLANK(Pricelist[[#This Row],[EBS]]),"",VALUE(LEFT(Pricelist[[#This Row],[EBS]],LEN(Pricelist[[#This Row],[EBS]])-LEN(Pricelist[[#This Row],[E2]])-1)))</f>
        <v/>
      </c>
      <c r="K209" s="65">
        <v>3220</v>
      </c>
      <c r="L209" s="101" t="str">
        <f>IF(ISBLANK(Pricelist[[#This Row],[EBS]]),"",VALUE(RIGHT(Pricelist[[#This Row],[EBS]],3)))</f>
        <v/>
      </c>
      <c r="M209" s="65">
        <v>3220</v>
      </c>
      <c r="N209" s="101" t="str">
        <f>IF(ISBLANK(Pricelist[[#This Row],[EBS]]),"",VALUE(RIGHT(Pricelist[[#This Row],[EBS]],3)))</f>
        <v/>
      </c>
      <c r="O209" s="101" t="str">
        <f>IF(AND(Pricelist[[#This Row],[AE1]]&lt;&gt;"",OR(Pricelist[[#This Row],[区]]="南",Pricelist[[#This Row],[区]]="北")),MID(Pricelist[[#This Row],[AE1]],4,2),"")</f>
        <v/>
      </c>
      <c r="P209" s="102">
        <v>2020</v>
      </c>
      <c r="Q209" s="103">
        <v>3420</v>
      </c>
      <c r="R209" s="103">
        <v>3420</v>
      </c>
      <c r="S209" s="104"/>
      <c r="T209" s="104"/>
      <c r="U209" s="105" t="s">
        <v>510</v>
      </c>
      <c r="V209" s="100" t="s">
        <v>507</v>
      </c>
      <c r="W209" s="106" t="s">
        <v>142</v>
      </c>
      <c r="X209" s="106" t="s">
        <v>141</v>
      </c>
      <c r="Y209" s="106">
        <v>62</v>
      </c>
      <c r="Z209" s="107">
        <v>43444</v>
      </c>
      <c r="AA209" s="108">
        <v>43449</v>
      </c>
      <c r="AB209" s="109"/>
      <c r="AC209" s="109"/>
    </row>
    <row r="210" spans="1:29" hidden="1" x14ac:dyDescent="0.15">
      <c r="A210" s="98">
        <v>209</v>
      </c>
      <c r="B210" s="99">
        <v>112917</v>
      </c>
      <c r="C210" s="98" t="s">
        <v>6331</v>
      </c>
      <c r="D210" s="100" t="s">
        <v>143</v>
      </c>
      <c r="E210" s="100" t="s">
        <v>144</v>
      </c>
      <c r="F210" s="100" t="s">
        <v>145</v>
      </c>
      <c r="G210" s="98" t="s">
        <v>106</v>
      </c>
      <c r="H210" s="98" t="str">
        <f>VLOOKUP(G210,CGS[],2,FALSE)</f>
        <v>NDS</v>
      </c>
      <c r="I210" s="65">
        <v>2510</v>
      </c>
      <c r="J210" s="101" t="str">
        <f>IF(ISBLANK(Pricelist[[#This Row],[EBS]]),"",VALUE(LEFT(Pricelist[[#This Row],[EBS]],LEN(Pricelist[[#This Row],[EBS]])-LEN(Pricelist[[#This Row],[E2]])-1)))</f>
        <v/>
      </c>
      <c r="K210" s="65">
        <v>4360</v>
      </c>
      <c r="L210" s="101" t="str">
        <f>IF(ISBLANK(Pricelist[[#This Row],[EBS]]),"",VALUE(RIGHT(Pricelist[[#This Row],[EBS]],3)))</f>
        <v/>
      </c>
      <c r="M210" s="65">
        <v>4360</v>
      </c>
      <c r="N210" s="101" t="str">
        <f>IF(ISBLANK(Pricelist[[#This Row],[EBS]]),"",VALUE(RIGHT(Pricelist[[#This Row],[EBS]],3)))</f>
        <v/>
      </c>
      <c r="O210" s="101" t="str">
        <f>IF(AND(Pricelist[[#This Row],[AE1]]&lt;&gt;"",OR(Pricelist[[#This Row],[区]]="南",Pricelist[[#This Row],[区]]="北")),MID(Pricelist[[#This Row],[AE1]],4,2),"")</f>
        <v/>
      </c>
      <c r="P210" s="102">
        <v>2510</v>
      </c>
      <c r="Q210" s="103">
        <v>4360</v>
      </c>
      <c r="R210" s="103">
        <v>4360</v>
      </c>
      <c r="S210" s="104"/>
      <c r="T210" s="104"/>
      <c r="U210" s="105" t="s">
        <v>510</v>
      </c>
      <c r="V210" s="100" t="s">
        <v>507</v>
      </c>
      <c r="W210" s="106" t="s">
        <v>142</v>
      </c>
      <c r="X210" s="106" t="s">
        <v>141</v>
      </c>
      <c r="Y210" s="106">
        <v>58</v>
      </c>
      <c r="Z210" s="107">
        <v>43423</v>
      </c>
      <c r="AA210" s="108">
        <v>43448</v>
      </c>
      <c r="AB210" s="109"/>
      <c r="AC210" s="109"/>
    </row>
    <row r="211" spans="1:29" hidden="1" x14ac:dyDescent="0.15">
      <c r="A211" s="98">
        <v>210</v>
      </c>
      <c r="B211" s="99">
        <v>112917</v>
      </c>
      <c r="C211" s="98" t="s">
        <v>6331</v>
      </c>
      <c r="D211" s="100" t="s">
        <v>150</v>
      </c>
      <c r="E211" s="100" t="s">
        <v>144</v>
      </c>
      <c r="F211" s="100" t="s">
        <v>151</v>
      </c>
      <c r="G211" s="98" t="s">
        <v>8</v>
      </c>
      <c r="H211" s="98" t="str">
        <f>VLOOKUP(G211,CGS[],2,FALSE)</f>
        <v>CMA</v>
      </c>
      <c r="I211" s="65">
        <v>2363</v>
      </c>
      <c r="J211" s="101">
        <f>IF(ISBLANK(Pricelist[[#This Row],[EBS]]),"",VALUE(LEFT(Pricelist[[#This Row],[EBS]],LEN(Pricelist[[#This Row],[EBS]])-LEN(Pricelist[[#This Row],[E2]])-1)))</f>
        <v>55</v>
      </c>
      <c r="K211" s="65">
        <v>4063</v>
      </c>
      <c r="L211" s="101">
        <f>IF(ISBLANK(Pricelist[[#This Row],[EBS]]),"",VALUE(RIGHT(Pricelist[[#This Row],[EBS]],3)))</f>
        <v>110</v>
      </c>
      <c r="M211" s="65">
        <v>4063</v>
      </c>
      <c r="N211" s="101">
        <f>IF(ISBLANK(Pricelist[[#This Row],[EBS]]),"",VALUE(RIGHT(Pricelist[[#This Row],[EBS]],3)))</f>
        <v>110</v>
      </c>
      <c r="O211" s="101" t="str">
        <f>IF(AND(Pricelist[[#This Row],[AE1]]&lt;&gt;"",OR(Pricelist[[#This Row],[区]]="南",Pricelist[[#This Row],[区]]="北")),MID(Pricelist[[#This Row],[AE1]],4,2),"")</f>
        <v/>
      </c>
      <c r="P211" s="102">
        <v>2438</v>
      </c>
      <c r="Q211" s="103">
        <v>4213</v>
      </c>
      <c r="R211" s="103">
        <v>4213</v>
      </c>
      <c r="S211" s="104" t="s">
        <v>2204</v>
      </c>
      <c r="T211" s="104"/>
      <c r="U211" s="105" t="s">
        <v>509</v>
      </c>
      <c r="V211" s="100" t="s">
        <v>507</v>
      </c>
      <c r="W211" s="106" t="s">
        <v>146</v>
      </c>
      <c r="X211" s="106" t="s">
        <v>147</v>
      </c>
      <c r="Y211" s="106">
        <v>45</v>
      </c>
      <c r="Z211" s="107">
        <v>43430</v>
      </c>
      <c r="AA211" s="108">
        <v>43448</v>
      </c>
      <c r="AB211" s="109" t="s">
        <v>148</v>
      </c>
      <c r="AC211" s="109"/>
    </row>
    <row r="212" spans="1:29" hidden="1" x14ac:dyDescent="0.15">
      <c r="A212" s="98">
        <v>211</v>
      </c>
      <c r="B212" s="99">
        <v>112917</v>
      </c>
      <c r="C212" s="98" t="s">
        <v>6331</v>
      </c>
      <c r="D212" s="100" t="s">
        <v>152</v>
      </c>
      <c r="E212" s="100" t="s">
        <v>153</v>
      </c>
      <c r="F212" s="100" t="s">
        <v>154</v>
      </c>
      <c r="G212" s="98" t="s">
        <v>106</v>
      </c>
      <c r="H212" s="98" t="str">
        <f>VLOOKUP(G212,CGS[],2,FALSE)</f>
        <v>NDS</v>
      </c>
      <c r="I212" s="65">
        <v>3160</v>
      </c>
      <c r="J212" s="101" t="str">
        <f>IF(ISBLANK(Pricelist[[#This Row],[EBS]]),"",VALUE(LEFT(Pricelist[[#This Row],[EBS]],LEN(Pricelist[[#This Row],[EBS]])-LEN(Pricelist[[#This Row],[E2]])-1)))</f>
        <v/>
      </c>
      <c r="K212" s="65">
        <v>5460</v>
      </c>
      <c r="L212" s="101" t="str">
        <f>IF(ISBLANK(Pricelist[[#This Row],[EBS]]),"",VALUE(RIGHT(Pricelist[[#This Row],[EBS]],3)))</f>
        <v/>
      </c>
      <c r="M212" s="65">
        <v>5460</v>
      </c>
      <c r="N212" s="101" t="str">
        <f>IF(ISBLANK(Pricelist[[#This Row],[EBS]]),"",VALUE(RIGHT(Pricelist[[#This Row],[EBS]],3)))</f>
        <v/>
      </c>
      <c r="O212" s="101" t="str">
        <f>IF(AND(Pricelist[[#This Row],[AE1]]&lt;&gt;"",OR(Pricelist[[#This Row],[区]]="南",Pricelist[[#This Row],[区]]="北")),MID(Pricelist[[#This Row],[AE1]],4,2),"")</f>
        <v/>
      </c>
      <c r="P212" s="102">
        <v>3160</v>
      </c>
      <c r="Q212" s="103">
        <v>5460</v>
      </c>
      <c r="R212" s="103">
        <v>5460</v>
      </c>
      <c r="S212" s="104"/>
      <c r="T212" s="104"/>
      <c r="U212" s="105" t="s">
        <v>510</v>
      </c>
      <c r="V212" s="100" t="s">
        <v>507</v>
      </c>
      <c r="W212" s="106" t="s">
        <v>142</v>
      </c>
      <c r="X212" s="106" t="s">
        <v>141</v>
      </c>
      <c r="Y212" s="106">
        <v>56</v>
      </c>
      <c r="Z212" s="107">
        <v>43423</v>
      </c>
      <c r="AA212" s="108">
        <v>43448</v>
      </c>
      <c r="AB212" s="109"/>
      <c r="AC212" s="109"/>
    </row>
    <row r="213" spans="1:29" hidden="1" x14ac:dyDescent="0.15">
      <c r="A213" s="98">
        <v>212</v>
      </c>
      <c r="B213" s="99">
        <v>112917</v>
      </c>
      <c r="C213" s="98" t="s">
        <v>6331</v>
      </c>
      <c r="D213" s="100" t="s">
        <v>152</v>
      </c>
      <c r="E213" s="100" t="s">
        <v>153</v>
      </c>
      <c r="F213" s="100" t="s">
        <v>154</v>
      </c>
      <c r="G213" s="98" t="s">
        <v>18</v>
      </c>
      <c r="H213" s="98" t="str">
        <f>VLOOKUP(G213,CGS[],2,FALSE)</f>
        <v>PIL</v>
      </c>
      <c r="I213" s="65">
        <v>2270</v>
      </c>
      <c r="J213" s="101" t="str">
        <f>IF(ISBLANK(Pricelist[[#This Row],[EBS]]),"",VALUE(LEFT(Pricelist[[#This Row],[EBS]],LEN(Pricelist[[#This Row],[EBS]])-LEN(Pricelist[[#This Row],[E2]])-1)))</f>
        <v/>
      </c>
      <c r="K213" s="65">
        <v>3920</v>
      </c>
      <c r="L213" s="101" t="str">
        <f>IF(ISBLANK(Pricelist[[#This Row],[EBS]]),"",VALUE(RIGHT(Pricelist[[#This Row],[EBS]],3)))</f>
        <v/>
      </c>
      <c r="M213" s="65">
        <v>3920</v>
      </c>
      <c r="N213" s="101" t="str">
        <f>IF(ISBLANK(Pricelist[[#This Row],[EBS]]),"",VALUE(RIGHT(Pricelist[[#This Row],[EBS]],3)))</f>
        <v/>
      </c>
      <c r="O213" s="101" t="str">
        <f>IF(AND(Pricelist[[#This Row],[AE1]]&lt;&gt;"",OR(Pricelist[[#This Row],[区]]="南",Pricelist[[#This Row],[区]]="北")),MID(Pricelist[[#This Row],[AE1]],4,2),"")</f>
        <v/>
      </c>
      <c r="P213" s="102">
        <v>2370</v>
      </c>
      <c r="Q213" s="103">
        <v>4120</v>
      </c>
      <c r="R213" s="103">
        <v>4120</v>
      </c>
      <c r="S213" s="104"/>
      <c r="T213" s="104"/>
      <c r="U213" s="105" t="s">
        <v>510</v>
      </c>
      <c r="V213" s="100" t="s">
        <v>507</v>
      </c>
      <c r="W213" s="106" t="s">
        <v>142</v>
      </c>
      <c r="X213" s="106" t="s">
        <v>141</v>
      </c>
      <c r="Y213" s="106">
        <v>56</v>
      </c>
      <c r="Z213" s="107">
        <v>43444</v>
      </c>
      <c r="AA213" s="108">
        <v>43449</v>
      </c>
      <c r="AB213" s="109"/>
      <c r="AC213" s="109"/>
    </row>
    <row r="214" spans="1:29" ht="25.5" hidden="1" x14ac:dyDescent="0.15">
      <c r="A214" s="98">
        <v>213</v>
      </c>
      <c r="B214" s="99">
        <v>112917</v>
      </c>
      <c r="C214" s="98" t="s">
        <v>6331</v>
      </c>
      <c r="D214" s="100" t="s">
        <v>152</v>
      </c>
      <c r="E214" s="100" t="s">
        <v>153</v>
      </c>
      <c r="F214" s="100" t="s">
        <v>154</v>
      </c>
      <c r="G214" s="98" t="s">
        <v>21</v>
      </c>
      <c r="H214" s="98" t="str">
        <f>VLOOKUP(G214,CGS[],2,FALSE)</f>
        <v>MSK</v>
      </c>
      <c r="I214" s="65">
        <v>2935</v>
      </c>
      <c r="J214" s="101" t="str">
        <f>IF(ISBLANK(Pricelist[[#This Row],[EBS]]),"",VALUE(LEFT(Pricelist[[#This Row],[EBS]],LEN(Pricelist[[#This Row],[EBS]])-LEN(Pricelist[[#This Row],[E2]])-1)))</f>
        <v/>
      </c>
      <c r="K214" s="65">
        <v>4970</v>
      </c>
      <c r="L214" s="101" t="str">
        <f>IF(ISBLANK(Pricelist[[#This Row],[EBS]]),"",VALUE(RIGHT(Pricelist[[#This Row],[EBS]],3)))</f>
        <v/>
      </c>
      <c r="M214" s="65">
        <v>4970</v>
      </c>
      <c r="N214" s="101" t="str">
        <f>IF(ISBLANK(Pricelist[[#This Row],[EBS]]),"",VALUE(RIGHT(Pricelist[[#This Row],[EBS]],3)))</f>
        <v/>
      </c>
      <c r="O214" s="101" t="str">
        <f>IF(AND(Pricelist[[#This Row],[AE1]]&lt;&gt;"",OR(Pricelist[[#This Row],[区]]="南",Pricelist[[#This Row],[区]]="北")),MID(Pricelist[[#This Row],[AE1]],4,2),"")</f>
        <v/>
      </c>
      <c r="P214" s="102">
        <v>2935</v>
      </c>
      <c r="Q214" s="103">
        <v>4970</v>
      </c>
      <c r="R214" s="103">
        <v>4970</v>
      </c>
      <c r="S214" s="104"/>
      <c r="T214" s="104"/>
      <c r="U214" s="105" t="s">
        <v>509</v>
      </c>
      <c r="V214" s="100" t="s">
        <v>507</v>
      </c>
      <c r="W214" s="106" t="s">
        <v>155</v>
      </c>
      <c r="X214" s="106" t="s">
        <v>141</v>
      </c>
      <c r="Y214" s="106">
        <v>43</v>
      </c>
      <c r="Z214" s="107">
        <v>43437</v>
      </c>
      <c r="AA214" s="108">
        <v>43450</v>
      </c>
      <c r="AB214" s="109" t="s">
        <v>3691</v>
      </c>
      <c r="AC214" s="109"/>
    </row>
    <row r="215" spans="1:29" hidden="1" x14ac:dyDescent="0.15">
      <c r="A215" s="98">
        <v>214</v>
      </c>
      <c r="B215" s="99">
        <v>112917</v>
      </c>
      <c r="C215" s="98" t="s">
        <v>6331</v>
      </c>
      <c r="D215" s="100" t="s">
        <v>152</v>
      </c>
      <c r="E215" s="100" t="s">
        <v>153</v>
      </c>
      <c r="F215" s="100" t="s">
        <v>154</v>
      </c>
      <c r="G215" s="98" t="s">
        <v>24</v>
      </c>
      <c r="H215" s="98" t="str">
        <f>VLOOKUP(G215,CGS[],2,FALSE)</f>
        <v>SAF</v>
      </c>
      <c r="I215" s="65">
        <v>2950</v>
      </c>
      <c r="J215" s="101">
        <f>IF(ISBLANK(Pricelist[[#This Row],[EBS]]),"",VALUE(LEFT(Pricelist[[#This Row],[EBS]],LEN(Pricelist[[#This Row],[EBS]])-LEN(Pricelist[[#This Row],[E2]])-1)))</f>
        <v>60</v>
      </c>
      <c r="K215" s="65">
        <v>5000</v>
      </c>
      <c r="L215" s="101">
        <f>IF(ISBLANK(Pricelist[[#This Row],[EBS]]),"",VALUE(RIGHT(Pricelist[[#This Row],[EBS]],3)))</f>
        <v>120</v>
      </c>
      <c r="M215" s="65">
        <v>5000</v>
      </c>
      <c r="N215" s="101">
        <f>IF(ISBLANK(Pricelist[[#This Row],[EBS]]),"",VALUE(RIGHT(Pricelist[[#This Row],[EBS]],3)))</f>
        <v>120</v>
      </c>
      <c r="O215" s="101" t="str">
        <f>IF(AND(Pricelist[[#This Row],[AE1]]&lt;&gt;"",OR(Pricelist[[#This Row],[区]]="南",Pricelist[[#This Row],[区]]="北")),MID(Pricelist[[#This Row],[AE1]],4,2),"")</f>
        <v/>
      </c>
      <c r="P215" s="102">
        <v>2950</v>
      </c>
      <c r="Q215" s="103">
        <v>5000</v>
      </c>
      <c r="R215" s="103">
        <v>5000</v>
      </c>
      <c r="S215" s="104" t="s">
        <v>2199</v>
      </c>
      <c r="T215" s="104"/>
      <c r="U215" s="105" t="s">
        <v>509</v>
      </c>
      <c r="V215" s="100" t="s">
        <v>507</v>
      </c>
      <c r="W215" s="106" t="s">
        <v>155</v>
      </c>
      <c r="X215" s="106" t="s">
        <v>141</v>
      </c>
      <c r="Y215" s="106">
        <v>39</v>
      </c>
      <c r="Z215" s="107">
        <v>43437</v>
      </c>
      <c r="AA215" s="108">
        <v>43450</v>
      </c>
      <c r="AB215" s="109" t="s">
        <v>288</v>
      </c>
      <c r="AC215" s="109"/>
    </row>
    <row r="216" spans="1:29" hidden="1" x14ac:dyDescent="0.15">
      <c r="A216" s="98">
        <v>215</v>
      </c>
      <c r="B216" s="99">
        <v>112917</v>
      </c>
      <c r="C216" s="98" t="s">
        <v>6331</v>
      </c>
      <c r="D216" s="100" t="s">
        <v>152</v>
      </c>
      <c r="E216" s="100" t="s">
        <v>153</v>
      </c>
      <c r="F216" s="100" t="s">
        <v>154</v>
      </c>
      <c r="G216" s="98" t="s">
        <v>8</v>
      </c>
      <c r="H216" s="98" t="str">
        <f>VLOOKUP(G216,CGS[],2,FALSE)</f>
        <v>CMA</v>
      </c>
      <c r="I216" s="65">
        <v>2863</v>
      </c>
      <c r="J216" s="101">
        <f>IF(ISBLANK(Pricelist[[#This Row],[EBS]]),"",VALUE(LEFT(Pricelist[[#This Row],[EBS]],LEN(Pricelist[[#This Row],[EBS]])-LEN(Pricelist[[#This Row],[E2]])-1)))</f>
        <v>55</v>
      </c>
      <c r="K216" s="65">
        <v>4813</v>
      </c>
      <c r="L216" s="101">
        <f>IF(ISBLANK(Pricelist[[#This Row],[EBS]]),"",VALUE(RIGHT(Pricelist[[#This Row],[EBS]],3)))</f>
        <v>110</v>
      </c>
      <c r="M216" s="65">
        <v>4813</v>
      </c>
      <c r="N216" s="101">
        <f>IF(ISBLANK(Pricelist[[#This Row],[EBS]]),"",VALUE(RIGHT(Pricelist[[#This Row],[EBS]],3)))</f>
        <v>110</v>
      </c>
      <c r="O216" s="101" t="str">
        <f>IF(AND(Pricelist[[#This Row],[AE1]]&lt;&gt;"",OR(Pricelist[[#This Row],[区]]="南",Pricelist[[#This Row],[区]]="北")),MID(Pricelist[[#This Row],[AE1]],4,2),"")</f>
        <v/>
      </c>
      <c r="P216" s="102">
        <v>2938</v>
      </c>
      <c r="Q216" s="103">
        <v>4963</v>
      </c>
      <c r="R216" s="103">
        <v>4963</v>
      </c>
      <c r="S216" s="104" t="s">
        <v>2204</v>
      </c>
      <c r="T216" s="104"/>
      <c r="U216" s="105" t="s">
        <v>509</v>
      </c>
      <c r="V216" s="100" t="s">
        <v>507</v>
      </c>
      <c r="W216" s="106" t="s">
        <v>146</v>
      </c>
      <c r="X216" s="106" t="s">
        <v>147</v>
      </c>
      <c r="Y216" s="106">
        <v>48</v>
      </c>
      <c r="Z216" s="107">
        <v>43430</v>
      </c>
      <c r="AA216" s="108">
        <v>43448</v>
      </c>
      <c r="AB216" s="109" t="s">
        <v>156</v>
      </c>
      <c r="AC216" s="109"/>
    </row>
    <row r="217" spans="1:29" hidden="1" x14ac:dyDescent="0.15">
      <c r="A217" s="98">
        <v>216</v>
      </c>
      <c r="B217" s="99">
        <v>112917</v>
      </c>
      <c r="C217" s="98" t="s">
        <v>6331</v>
      </c>
      <c r="D217" s="100" t="s">
        <v>107</v>
      </c>
      <c r="E217" s="100" t="s">
        <v>415</v>
      </c>
      <c r="F217" s="100" t="s">
        <v>416</v>
      </c>
      <c r="G217" s="98" t="s">
        <v>9</v>
      </c>
      <c r="H217" s="98" t="str">
        <f>VLOOKUP(G217,CGS[],2,FALSE)</f>
        <v>COSCO</v>
      </c>
      <c r="I217" s="65">
        <v>1985</v>
      </c>
      <c r="J217" s="101">
        <f>IF(ISBLANK(Pricelist[[#This Row],[EBS]]),"",VALUE(LEFT(Pricelist[[#This Row],[EBS]],LEN(Pricelist[[#This Row],[EBS]])-LEN(Pricelist[[#This Row],[E2]])-1)))</f>
        <v>60</v>
      </c>
      <c r="K217" s="65">
        <v>3260</v>
      </c>
      <c r="L217" s="101">
        <f>IF(ISBLANK(Pricelist[[#This Row],[EBS]]),"",VALUE(RIGHT(Pricelist[[#This Row],[EBS]],3)))</f>
        <v>120</v>
      </c>
      <c r="M217" s="65">
        <v>3260</v>
      </c>
      <c r="N217" s="101">
        <f>IF(ISBLANK(Pricelist[[#This Row],[EBS]]),"",VALUE(RIGHT(Pricelist[[#This Row],[EBS]],3)))</f>
        <v>120</v>
      </c>
      <c r="O217" s="101" t="str">
        <f>IF(AND(Pricelist[[#This Row],[AE1]]&lt;&gt;"",OR(Pricelist[[#This Row],[区]]="南",Pricelist[[#This Row],[区]]="北")),MID(Pricelist[[#This Row],[AE1]],4,2),"")</f>
        <v/>
      </c>
      <c r="P217" s="102">
        <v>2010</v>
      </c>
      <c r="Q217" s="103">
        <v>3310</v>
      </c>
      <c r="R217" s="103">
        <v>3310</v>
      </c>
      <c r="S217" s="104" t="s">
        <v>2199</v>
      </c>
      <c r="T217" s="104"/>
      <c r="U217" s="105" t="s">
        <v>509</v>
      </c>
      <c r="V217" s="100" t="s">
        <v>507</v>
      </c>
      <c r="W217" s="106" t="s">
        <v>10</v>
      </c>
      <c r="X217" s="106" t="s">
        <v>11</v>
      </c>
      <c r="Y217" s="106">
        <v>41</v>
      </c>
      <c r="Z217" s="107">
        <v>43437</v>
      </c>
      <c r="AA217" s="108">
        <v>43450</v>
      </c>
      <c r="AB217" s="109" t="s">
        <v>157</v>
      </c>
      <c r="AC217" s="109"/>
    </row>
    <row r="218" spans="1:29" hidden="1" x14ac:dyDescent="0.15">
      <c r="A218" s="98">
        <v>217</v>
      </c>
      <c r="B218" s="99">
        <v>112917</v>
      </c>
      <c r="C218" s="98" t="s">
        <v>6331</v>
      </c>
      <c r="D218" s="100" t="s">
        <v>107</v>
      </c>
      <c r="E218" s="100" t="s">
        <v>415</v>
      </c>
      <c r="F218" s="100" t="s">
        <v>416</v>
      </c>
      <c r="G218" s="98" t="s">
        <v>21</v>
      </c>
      <c r="H218" s="98" t="str">
        <f>VLOOKUP(G218,CGS[],2,FALSE)</f>
        <v>MSK</v>
      </c>
      <c r="I218" s="65">
        <v>2135</v>
      </c>
      <c r="J218" s="101" t="str">
        <f>IF(ISBLANK(Pricelist[[#This Row],[EBS]]),"",VALUE(LEFT(Pricelist[[#This Row],[EBS]],LEN(Pricelist[[#This Row],[EBS]])-LEN(Pricelist[[#This Row],[E2]])-1)))</f>
        <v/>
      </c>
      <c r="K218" s="65">
        <v>3770</v>
      </c>
      <c r="L218" s="101" t="str">
        <f>IF(ISBLANK(Pricelist[[#This Row],[EBS]]),"",VALUE(RIGHT(Pricelist[[#This Row],[EBS]],3)))</f>
        <v/>
      </c>
      <c r="M218" s="65">
        <v>3770</v>
      </c>
      <c r="N218" s="101" t="str">
        <f>IF(ISBLANK(Pricelist[[#This Row],[EBS]]),"",VALUE(RIGHT(Pricelist[[#This Row],[EBS]],3)))</f>
        <v/>
      </c>
      <c r="O218" s="101" t="str">
        <f>IF(AND(Pricelist[[#This Row],[AE1]]&lt;&gt;"",OR(Pricelist[[#This Row],[区]]="南",Pricelist[[#This Row],[区]]="北")),MID(Pricelist[[#This Row],[AE1]],4,2),"")</f>
        <v/>
      </c>
      <c r="P218" s="102">
        <v>2135</v>
      </c>
      <c r="Q218" s="103">
        <v>3770</v>
      </c>
      <c r="R218" s="103">
        <v>3770</v>
      </c>
      <c r="S218" s="104"/>
      <c r="T218" s="104"/>
      <c r="U218" s="105" t="s">
        <v>509</v>
      </c>
      <c r="V218" s="100" t="s">
        <v>507</v>
      </c>
      <c r="W218" s="106" t="s">
        <v>10</v>
      </c>
      <c r="X218" s="106" t="s">
        <v>11</v>
      </c>
      <c r="Y218" s="106" t="s">
        <v>2233</v>
      </c>
      <c r="Z218" s="107">
        <v>43437</v>
      </c>
      <c r="AA218" s="108">
        <v>43450</v>
      </c>
      <c r="AB218" s="109" t="s">
        <v>3692</v>
      </c>
      <c r="AC218" s="109"/>
    </row>
    <row r="219" spans="1:29" hidden="1" x14ac:dyDescent="0.15">
      <c r="A219" s="98">
        <v>218</v>
      </c>
      <c r="B219" s="99">
        <v>112917</v>
      </c>
      <c r="C219" s="98" t="s">
        <v>6331</v>
      </c>
      <c r="D219" s="100" t="s">
        <v>107</v>
      </c>
      <c r="E219" s="100" t="s">
        <v>415</v>
      </c>
      <c r="F219" s="100" t="s">
        <v>416</v>
      </c>
      <c r="G219" s="98" t="s">
        <v>24</v>
      </c>
      <c r="H219" s="98" t="str">
        <f>VLOOKUP(G219,CGS[],2,FALSE)</f>
        <v>SAF</v>
      </c>
      <c r="I219" s="65">
        <v>2150</v>
      </c>
      <c r="J219" s="101">
        <f>IF(ISBLANK(Pricelist[[#This Row],[EBS]]),"",VALUE(LEFT(Pricelist[[#This Row],[EBS]],LEN(Pricelist[[#This Row],[EBS]])-LEN(Pricelist[[#This Row],[E2]])-1)))</f>
        <v>60</v>
      </c>
      <c r="K219" s="65">
        <v>3800</v>
      </c>
      <c r="L219" s="101">
        <f>IF(ISBLANK(Pricelist[[#This Row],[EBS]]),"",VALUE(RIGHT(Pricelist[[#This Row],[EBS]],3)))</f>
        <v>120</v>
      </c>
      <c r="M219" s="65">
        <v>3800</v>
      </c>
      <c r="N219" s="101">
        <f>IF(ISBLANK(Pricelist[[#This Row],[EBS]]),"",VALUE(RIGHT(Pricelist[[#This Row],[EBS]],3)))</f>
        <v>120</v>
      </c>
      <c r="O219" s="101" t="str">
        <f>IF(AND(Pricelist[[#This Row],[AE1]]&lt;&gt;"",OR(Pricelist[[#This Row],[区]]="南",Pricelist[[#This Row],[区]]="北")),MID(Pricelist[[#This Row],[AE1]],4,2),"")</f>
        <v/>
      </c>
      <c r="P219" s="102">
        <v>2150</v>
      </c>
      <c r="Q219" s="103">
        <v>3800</v>
      </c>
      <c r="R219" s="103">
        <v>3800</v>
      </c>
      <c r="S219" s="104" t="s">
        <v>2199</v>
      </c>
      <c r="T219" s="104"/>
      <c r="U219" s="105" t="s">
        <v>509</v>
      </c>
      <c r="V219" s="100" t="s">
        <v>507</v>
      </c>
      <c r="W219" s="106" t="s">
        <v>10</v>
      </c>
      <c r="X219" s="106" t="s">
        <v>11</v>
      </c>
      <c r="Y219" s="106">
        <v>41</v>
      </c>
      <c r="Z219" s="107">
        <v>43437</v>
      </c>
      <c r="AA219" s="108">
        <v>43450</v>
      </c>
      <c r="AB219" s="109" t="s">
        <v>288</v>
      </c>
      <c r="AC219" s="109"/>
    </row>
    <row r="220" spans="1:29" hidden="1" x14ac:dyDescent="0.15">
      <c r="A220" s="98">
        <v>219</v>
      </c>
      <c r="B220" s="99">
        <v>112917</v>
      </c>
      <c r="C220" s="98" t="s">
        <v>6331</v>
      </c>
      <c r="D220" s="100" t="s">
        <v>107</v>
      </c>
      <c r="E220" s="100" t="s">
        <v>415</v>
      </c>
      <c r="F220" s="100" t="s">
        <v>416</v>
      </c>
      <c r="G220" s="98" t="s">
        <v>18</v>
      </c>
      <c r="H220" s="98" t="str">
        <f>VLOOKUP(G220,CGS[],2,FALSE)</f>
        <v>PIL</v>
      </c>
      <c r="I220" s="65">
        <v>1810</v>
      </c>
      <c r="J220" s="101" t="str">
        <f>IF(ISBLANK(Pricelist[[#This Row],[EBS]]),"",VALUE(LEFT(Pricelist[[#This Row],[EBS]],LEN(Pricelist[[#This Row],[EBS]])-LEN(Pricelist[[#This Row],[E2]])-1)))</f>
        <v/>
      </c>
      <c r="K220" s="65">
        <v>3010</v>
      </c>
      <c r="L220" s="101" t="str">
        <f>IF(ISBLANK(Pricelist[[#This Row],[EBS]]),"",VALUE(RIGHT(Pricelist[[#This Row],[EBS]],3)))</f>
        <v/>
      </c>
      <c r="M220" s="65">
        <v>3010</v>
      </c>
      <c r="N220" s="101" t="str">
        <f>IF(ISBLANK(Pricelist[[#This Row],[EBS]]),"",VALUE(RIGHT(Pricelist[[#This Row],[EBS]],3)))</f>
        <v/>
      </c>
      <c r="O220" s="101" t="str">
        <f>IF(AND(Pricelist[[#This Row],[AE1]]&lt;&gt;"",OR(Pricelist[[#This Row],[区]]="南",Pricelist[[#This Row],[区]]="北")),MID(Pricelist[[#This Row],[AE1]],4,2),"")</f>
        <v/>
      </c>
      <c r="P220" s="102">
        <v>1910</v>
      </c>
      <c r="Q220" s="103">
        <v>3210</v>
      </c>
      <c r="R220" s="103">
        <v>3210</v>
      </c>
      <c r="S220" s="104"/>
      <c r="T220" s="104"/>
      <c r="U220" s="105" t="s">
        <v>510</v>
      </c>
      <c r="V220" s="100" t="s">
        <v>507</v>
      </c>
      <c r="W220" s="106" t="s">
        <v>10</v>
      </c>
      <c r="X220" s="106" t="s">
        <v>11</v>
      </c>
      <c r="Y220" s="106">
        <v>41</v>
      </c>
      <c r="Z220" s="107">
        <v>43444</v>
      </c>
      <c r="AA220" s="108">
        <v>43449</v>
      </c>
      <c r="AB220" s="109"/>
      <c r="AC220" s="109"/>
    </row>
    <row r="221" spans="1:29" hidden="1" x14ac:dyDescent="0.15">
      <c r="A221" s="98">
        <v>220</v>
      </c>
      <c r="B221" s="99">
        <v>112917</v>
      </c>
      <c r="C221" s="98" t="s">
        <v>6331</v>
      </c>
      <c r="D221" s="100" t="s">
        <v>107</v>
      </c>
      <c r="E221" s="100" t="s">
        <v>415</v>
      </c>
      <c r="F221" s="100" t="s">
        <v>416</v>
      </c>
      <c r="G221" s="98" t="s">
        <v>106</v>
      </c>
      <c r="H221" s="98" t="str">
        <f>VLOOKUP(G221,CGS[],2,FALSE)</f>
        <v>NDS</v>
      </c>
      <c r="I221" s="65">
        <v>2510</v>
      </c>
      <c r="J221" s="101" t="str">
        <f>IF(ISBLANK(Pricelist[[#This Row],[EBS]]),"",VALUE(LEFT(Pricelist[[#This Row],[EBS]],LEN(Pricelist[[#This Row],[EBS]])-LEN(Pricelist[[#This Row],[E2]])-1)))</f>
        <v/>
      </c>
      <c r="K221" s="65">
        <v>4360</v>
      </c>
      <c r="L221" s="101" t="str">
        <f>IF(ISBLANK(Pricelist[[#This Row],[EBS]]),"",VALUE(RIGHT(Pricelist[[#This Row],[EBS]],3)))</f>
        <v/>
      </c>
      <c r="M221" s="65">
        <v>4360</v>
      </c>
      <c r="N221" s="101" t="str">
        <f>IF(ISBLANK(Pricelist[[#This Row],[EBS]]),"",VALUE(RIGHT(Pricelist[[#This Row],[EBS]],3)))</f>
        <v/>
      </c>
      <c r="O221" s="101" t="str">
        <f>IF(AND(Pricelist[[#This Row],[AE1]]&lt;&gt;"",OR(Pricelist[[#This Row],[区]]="南",Pricelist[[#This Row],[区]]="北")),MID(Pricelist[[#This Row],[AE1]],4,2),"")</f>
        <v/>
      </c>
      <c r="P221" s="102">
        <v>2510</v>
      </c>
      <c r="Q221" s="103">
        <v>4360</v>
      </c>
      <c r="R221" s="103">
        <v>4360</v>
      </c>
      <c r="S221" s="104"/>
      <c r="T221" s="104"/>
      <c r="U221" s="105" t="s">
        <v>510</v>
      </c>
      <c r="V221" s="100" t="s">
        <v>507</v>
      </c>
      <c r="W221" s="106" t="s">
        <v>10</v>
      </c>
      <c r="X221" s="106" t="s">
        <v>11</v>
      </c>
      <c r="Y221" s="106">
        <v>41</v>
      </c>
      <c r="Z221" s="107">
        <v>43423</v>
      </c>
      <c r="AA221" s="108">
        <v>43448</v>
      </c>
      <c r="AB221" s="109"/>
      <c r="AC221" s="109"/>
    </row>
    <row r="222" spans="1:29" hidden="1" x14ac:dyDescent="0.15">
      <c r="A222" s="98">
        <v>221</v>
      </c>
      <c r="B222" s="99">
        <v>112917</v>
      </c>
      <c r="C222" s="98" t="s">
        <v>6331</v>
      </c>
      <c r="D222" s="100" t="s">
        <v>107</v>
      </c>
      <c r="E222" s="100" t="s">
        <v>415</v>
      </c>
      <c r="F222" s="100" t="s">
        <v>416</v>
      </c>
      <c r="G222" s="98" t="s">
        <v>8</v>
      </c>
      <c r="H222" s="98" t="str">
        <f>VLOOKUP(G222,CGS[],2,FALSE)</f>
        <v>CMA</v>
      </c>
      <c r="I222" s="65">
        <v>2063</v>
      </c>
      <c r="J222" s="101">
        <f>IF(ISBLANK(Pricelist[[#This Row],[EBS]]),"",VALUE(LEFT(Pricelist[[#This Row],[EBS]],LEN(Pricelist[[#This Row],[EBS]])-LEN(Pricelist[[#This Row],[E2]])-1)))</f>
        <v>55</v>
      </c>
      <c r="K222" s="65">
        <v>3613</v>
      </c>
      <c r="L222" s="101">
        <f>IF(ISBLANK(Pricelist[[#This Row],[EBS]]),"",VALUE(RIGHT(Pricelist[[#This Row],[EBS]],3)))</f>
        <v>110</v>
      </c>
      <c r="M222" s="65">
        <v>3613</v>
      </c>
      <c r="N222" s="101">
        <f>IF(ISBLANK(Pricelist[[#This Row],[EBS]]),"",VALUE(RIGHT(Pricelist[[#This Row],[EBS]],3)))</f>
        <v>110</v>
      </c>
      <c r="O222" s="101" t="str">
        <f>IF(AND(Pricelist[[#This Row],[AE1]]&lt;&gt;"",OR(Pricelist[[#This Row],[区]]="南",Pricelist[[#This Row],[区]]="北")),MID(Pricelist[[#This Row],[AE1]],4,2),"")</f>
        <v/>
      </c>
      <c r="P222" s="102">
        <v>2138</v>
      </c>
      <c r="Q222" s="103">
        <v>3763</v>
      </c>
      <c r="R222" s="103">
        <v>3763</v>
      </c>
      <c r="S222" s="104" t="s">
        <v>2204</v>
      </c>
      <c r="T222" s="104"/>
      <c r="U222" s="105" t="s">
        <v>509</v>
      </c>
      <c r="V222" s="100" t="s">
        <v>507</v>
      </c>
      <c r="W222" s="106" t="s">
        <v>10</v>
      </c>
      <c r="X222" s="106" t="s">
        <v>11</v>
      </c>
      <c r="Y222" s="106">
        <v>41</v>
      </c>
      <c r="Z222" s="107">
        <v>43430</v>
      </c>
      <c r="AA222" s="108">
        <v>43448</v>
      </c>
      <c r="AB222" s="109" t="s">
        <v>159</v>
      </c>
      <c r="AC222" s="109"/>
    </row>
    <row r="223" spans="1:29" hidden="1" x14ac:dyDescent="0.15">
      <c r="A223" s="98">
        <v>222</v>
      </c>
      <c r="B223" s="99">
        <v>112917</v>
      </c>
      <c r="C223" s="98" t="s">
        <v>6331</v>
      </c>
      <c r="D223" s="100" t="s">
        <v>107</v>
      </c>
      <c r="E223" s="100" t="s">
        <v>415</v>
      </c>
      <c r="F223" s="100" t="s">
        <v>416</v>
      </c>
      <c r="G223" s="98" t="s">
        <v>17</v>
      </c>
      <c r="H223" s="98" t="str">
        <f>VLOOKUP(G223,CGS[],2,FALSE)</f>
        <v>MSC</v>
      </c>
      <c r="I223" s="65">
        <v>1950</v>
      </c>
      <c r="J223" s="101">
        <f>IF(ISBLANK(Pricelist[[#This Row],[EBS]]),"",VALUE(LEFT(Pricelist[[#This Row],[EBS]],LEN(Pricelist[[#This Row],[EBS]])-LEN(Pricelist[[#This Row],[E2]])-1)))</f>
        <v>100</v>
      </c>
      <c r="K223" s="65">
        <v>3200</v>
      </c>
      <c r="L223" s="101">
        <f>IF(ISBLANK(Pricelist[[#This Row],[EBS]]),"",VALUE(RIGHT(Pricelist[[#This Row],[EBS]],3)))</f>
        <v>200</v>
      </c>
      <c r="M223" s="65">
        <v>3200</v>
      </c>
      <c r="N223" s="101">
        <f>IF(ISBLANK(Pricelist[[#This Row],[EBS]]),"",VALUE(RIGHT(Pricelist[[#This Row],[EBS]],3)))</f>
        <v>200</v>
      </c>
      <c r="O223" s="101" t="str">
        <f>IF(AND(Pricelist[[#This Row],[AE1]]&lt;&gt;"",OR(Pricelist[[#This Row],[区]]="南",Pricelist[[#This Row],[区]]="北")),MID(Pricelist[[#This Row],[AE1]],4,2),"")</f>
        <v/>
      </c>
      <c r="P223" s="102">
        <v>1975</v>
      </c>
      <c r="Q223" s="103">
        <v>3250</v>
      </c>
      <c r="R223" s="103">
        <v>3250</v>
      </c>
      <c r="S223" s="104" t="s">
        <v>6328</v>
      </c>
      <c r="T223" s="104"/>
      <c r="U223" s="105" t="s">
        <v>506</v>
      </c>
      <c r="V223" s="100" t="s">
        <v>504</v>
      </c>
      <c r="W223" s="106" t="s">
        <v>160</v>
      </c>
      <c r="X223" s="106" t="s">
        <v>161</v>
      </c>
      <c r="Y223" s="106">
        <v>46</v>
      </c>
      <c r="Z223" s="107">
        <v>43435</v>
      </c>
      <c r="AA223" s="108">
        <v>43448</v>
      </c>
      <c r="AB223" s="109"/>
      <c r="AC223" s="109"/>
    </row>
    <row r="224" spans="1:29" hidden="1" x14ac:dyDescent="0.15">
      <c r="A224" s="98">
        <v>223</v>
      </c>
      <c r="B224" s="99">
        <v>112917</v>
      </c>
      <c r="C224" s="98" t="s">
        <v>6331</v>
      </c>
      <c r="D224" s="100" t="s">
        <v>162</v>
      </c>
      <c r="E224" s="100" t="s">
        <v>415</v>
      </c>
      <c r="F224" s="100" t="s">
        <v>163</v>
      </c>
      <c r="G224" s="98" t="s">
        <v>106</v>
      </c>
      <c r="H224" s="98" t="str">
        <f>VLOOKUP(G224,CGS[],2,FALSE)</f>
        <v>NDS</v>
      </c>
      <c r="I224" s="65">
        <v>2660</v>
      </c>
      <c r="J224" s="101" t="str">
        <f>IF(ISBLANK(Pricelist[[#This Row],[EBS]]),"",VALUE(LEFT(Pricelist[[#This Row],[EBS]],LEN(Pricelist[[#This Row],[EBS]])-LEN(Pricelist[[#This Row],[E2]])-1)))</f>
        <v/>
      </c>
      <c r="K224" s="65">
        <v>4660</v>
      </c>
      <c r="L224" s="101" t="str">
        <f>IF(ISBLANK(Pricelist[[#This Row],[EBS]]),"",VALUE(RIGHT(Pricelist[[#This Row],[EBS]],3)))</f>
        <v/>
      </c>
      <c r="M224" s="65">
        <v>4660</v>
      </c>
      <c r="N224" s="101" t="str">
        <f>IF(ISBLANK(Pricelist[[#This Row],[EBS]]),"",VALUE(RIGHT(Pricelist[[#This Row],[EBS]],3)))</f>
        <v/>
      </c>
      <c r="O224" s="101" t="str">
        <f>IF(AND(Pricelist[[#This Row],[AE1]]&lt;&gt;"",OR(Pricelist[[#This Row],[区]]="南",Pricelist[[#This Row],[区]]="北")),MID(Pricelist[[#This Row],[AE1]],4,2),"")</f>
        <v/>
      </c>
      <c r="P224" s="102">
        <v>2660</v>
      </c>
      <c r="Q224" s="103">
        <v>4660</v>
      </c>
      <c r="R224" s="103">
        <v>4660</v>
      </c>
      <c r="S224" s="104"/>
      <c r="T224" s="104"/>
      <c r="U224" s="105" t="s">
        <v>510</v>
      </c>
      <c r="V224" s="100" t="s">
        <v>507</v>
      </c>
      <c r="W224" s="106" t="s">
        <v>142</v>
      </c>
      <c r="X224" s="106" t="s">
        <v>141</v>
      </c>
      <c r="Y224" s="106">
        <v>48</v>
      </c>
      <c r="Z224" s="107">
        <v>43423</v>
      </c>
      <c r="AA224" s="108">
        <v>43448</v>
      </c>
      <c r="AB224" s="109"/>
      <c r="AC224" s="109"/>
    </row>
    <row r="225" spans="1:29" hidden="1" x14ac:dyDescent="0.15">
      <c r="A225" s="98">
        <v>224</v>
      </c>
      <c r="B225" s="99">
        <v>112917</v>
      </c>
      <c r="C225" s="98" t="s">
        <v>6331</v>
      </c>
      <c r="D225" s="100" t="s">
        <v>162</v>
      </c>
      <c r="E225" s="100" t="s">
        <v>415</v>
      </c>
      <c r="F225" s="100" t="s">
        <v>163</v>
      </c>
      <c r="G225" s="98" t="s">
        <v>8</v>
      </c>
      <c r="H225" s="98" t="str">
        <f>VLOOKUP(G225,CGS[],2,FALSE)</f>
        <v>CMA</v>
      </c>
      <c r="I225" s="65">
        <v>2213</v>
      </c>
      <c r="J225" s="101">
        <f>IF(ISBLANK(Pricelist[[#This Row],[EBS]]),"",VALUE(LEFT(Pricelist[[#This Row],[EBS]],LEN(Pricelist[[#This Row],[EBS]])-LEN(Pricelist[[#This Row],[E2]])-1)))</f>
        <v>55</v>
      </c>
      <c r="K225" s="65">
        <v>3913</v>
      </c>
      <c r="L225" s="101">
        <f>IF(ISBLANK(Pricelist[[#This Row],[EBS]]),"",VALUE(RIGHT(Pricelist[[#This Row],[EBS]],3)))</f>
        <v>110</v>
      </c>
      <c r="M225" s="65">
        <v>3913</v>
      </c>
      <c r="N225" s="101">
        <f>IF(ISBLANK(Pricelist[[#This Row],[EBS]]),"",VALUE(RIGHT(Pricelist[[#This Row],[EBS]],3)))</f>
        <v>110</v>
      </c>
      <c r="O225" s="101" t="str">
        <f>IF(AND(Pricelist[[#This Row],[AE1]]&lt;&gt;"",OR(Pricelist[[#This Row],[区]]="南",Pricelist[[#This Row],[区]]="北")),MID(Pricelist[[#This Row],[AE1]],4,2),"")</f>
        <v/>
      </c>
      <c r="P225" s="102">
        <v>2288</v>
      </c>
      <c r="Q225" s="103">
        <v>4063</v>
      </c>
      <c r="R225" s="103">
        <v>4063</v>
      </c>
      <c r="S225" s="104" t="s">
        <v>2204</v>
      </c>
      <c r="T225" s="104"/>
      <c r="U225" s="105" t="s">
        <v>509</v>
      </c>
      <c r="V225" s="100" t="s">
        <v>507</v>
      </c>
      <c r="W225" s="106" t="s">
        <v>107</v>
      </c>
      <c r="X225" s="106" t="s">
        <v>108</v>
      </c>
      <c r="Y225" s="106">
        <v>52</v>
      </c>
      <c r="Z225" s="107">
        <v>43430</v>
      </c>
      <c r="AA225" s="108">
        <v>43448</v>
      </c>
      <c r="AB225" s="109" t="s">
        <v>159</v>
      </c>
      <c r="AC225" s="109"/>
    </row>
    <row r="226" spans="1:29" hidden="1" x14ac:dyDescent="0.15">
      <c r="A226" s="98">
        <v>225</v>
      </c>
      <c r="B226" s="99">
        <v>112917</v>
      </c>
      <c r="C226" s="98" t="s">
        <v>6331</v>
      </c>
      <c r="D226" s="100" t="s">
        <v>162</v>
      </c>
      <c r="E226" s="100" t="s">
        <v>415</v>
      </c>
      <c r="F226" s="100" t="s">
        <v>163</v>
      </c>
      <c r="G226" s="98" t="s">
        <v>17</v>
      </c>
      <c r="H226" s="98" t="str">
        <f>VLOOKUP(G226,CGS[],2,FALSE)</f>
        <v>MSC</v>
      </c>
      <c r="I226" s="65">
        <v>2050</v>
      </c>
      <c r="J226" s="101">
        <f>IF(ISBLANK(Pricelist[[#This Row],[EBS]]),"",VALUE(LEFT(Pricelist[[#This Row],[EBS]],LEN(Pricelist[[#This Row],[EBS]])-LEN(Pricelist[[#This Row],[E2]])-1)))</f>
        <v>100</v>
      </c>
      <c r="K226" s="65">
        <v>3400</v>
      </c>
      <c r="L226" s="101">
        <f>IF(ISBLANK(Pricelist[[#This Row],[EBS]]),"",VALUE(RIGHT(Pricelist[[#This Row],[EBS]],3)))</f>
        <v>200</v>
      </c>
      <c r="M226" s="65">
        <v>3400</v>
      </c>
      <c r="N226" s="101">
        <f>IF(ISBLANK(Pricelist[[#This Row],[EBS]]),"",VALUE(RIGHT(Pricelist[[#This Row],[EBS]],3)))</f>
        <v>200</v>
      </c>
      <c r="O226" s="101" t="str">
        <f>IF(AND(Pricelist[[#This Row],[AE1]]&lt;&gt;"",OR(Pricelist[[#This Row],[区]]="南",Pricelist[[#This Row],[区]]="北")),MID(Pricelist[[#This Row],[AE1]],4,2),"")</f>
        <v/>
      </c>
      <c r="P226" s="102">
        <v>2075</v>
      </c>
      <c r="Q226" s="103">
        <v>3450</v>
      </c>
      <c r="R226" s="103">
        <v>3450</v>
      </c>
      <c r="S226" s="104" t="s">
        <v>6328</v>
      </c>
      <c r="T226" s="104"/>
      <c r="U226" s="105" t="s">
        <v>506</v>
      </c>
      <c r="V226" s="100" t="s">
        <v>504</v>
      </c>
      <c r="W226" s="106" t="s">
        <v>164</v>
      </c>
      <c r="X226" s="106" t="s">
        <v>165</v>
      </c>
      <c r="Y226" s="106">
        <v>43</v>
      </c>
      <c r="Z226" s="107">
        <v>43435</v>
      </c>
      <c r="AA226" s="108">
        <v>43448</v>
      </c>
      <c r="AB226" s="109"/>
      <c r="AC226" s="109"/>
    </row>
    <row r="227" spans="1:29" hidden="1" x14ac:dyDescent="0.15">
      <c r="A227" s="98">
        <v>226</v>
      </c>
      <c r="B227" s="99">
        <v>112917</v>
      </c>
      <c r="C227" s="98" t="s">
        <v>6331</v>
      </c>
      <c r="D227" s="100" t="s">
        <v>162</v>
      </c>
      <c r="E227" s="100" t="s">
        <v>415</v>
      </c>
      <c r="F227" s="100" t="s">
        <v>163</v>
      </c>
      <c r="G227" s="98" t="s">
        <v>21</v>
      </c>
      <c r="H227" s="98" t="str">
        <f>VLOOKUP(G227,CGS[],2,FALSE)</f>
        <v>MSK</v>
      </c>
      <c r="I227" s="65">
        <v>2285</v>
      </c>
      <c r="J227" s="101" t="str">
        <f>IF(ISBLANK(Pricelist[[#This Row],[EBS]]),"",VALUE(LEFT(Pricelist[[#This Row],[EBS]],LEN(Pricelist[[#This Row],[EBS]])-LEN(Pricelist[[#This Row],[E2]])-1)))</f>
        <v/>
      </c>
      <c r="K227" s="65">
        <v>4070</v>
      </c>
      <c r="L227" s="101" t="str">
        <f>IF(ISBLANK(Pricelist[[#This Row],[EBS]]),"",VALUE(RIGHT(Pricelist[[#This Row],[EBS]],3)))</f>
        <v/>
      </c>
      <c r="M227" s="65">
        <v>4070</v>
      </c>
      <c r="N227" s="101" t="str">
        <f>IF(ISBLANK(Pricelist[[#This Row],[EBS]]),"",VALUE(RIGHT(Pricelist[[#This Row],[EBS]],3)))</f>
        <v/>
      </c>
      <c r="O227" s="101" t="str">
        <f>IF(AND(Pricelist[[#This Row],[AE1]]&lt;&gt;"",OR(Pricelist[[#This Row],[区]]="南",Pricelist[[#This Row],[区]]="北")),MID(Pricelist[[#This Row],[AE1]],4,2),"")</f>
        <v/>
      </c>
      <c r="P227" s="102">
        <v>2285</v>
      </c>
      <c r="Q227" s="103">
        <v>4070</v>
      </c>
      <c r="R227" s="103">
        <v>4070</v>
      </c>
      <c r="S227" s="104"/>
      <c r="T227" s="104"/>
      <c r="U227" s="105" t="s">
        <v>509</v>
      </c>
      <c r="V227" s="100" t="s">
        <v>504</v>
      </c>
      <c r="W227" s="106" t="s">
        <v>166</v>
      </c>
      <c r="X227" s="106" t="s">
        <v>167</v>
      </c>
      <c r="Y227" s="106">
        <v>36</v>
      </c>
      <c r="Z227" s="107">
        <v>43437</v>
      </c>
      <c r="AA227" s="108">
        <v>43450</v>
      </c>
      <c r="AB227" s="109"/>
      <c r="AC227" s="109"/>
    </row>
    <row r="228" spans="1:29" hidden="1" x14ac:dyDescent="0.15">
      <c r="A228" s="98">
        <v>227</v>
      </c>
      <c r="B228" s="99">
        <v>112917</v>
      </c>
      <c r="C228" s="98" t="s">
        <v>6331</v>
      </c>
      <c r="D228" s="100" t="s">
        <v>162</v>
      </c>
      <c r="E228" s="100" t="s">
        <v>415</v>
      </c>
      <c r="F228" s="100" t="s">
        <v>163</v>
      </c>
      <c r="G228" s="98" t="s">
        <v>24</v>
      </c>
      <c r="H228" s="98" t="str">
        <f>VLOOKUP(G228,CGS[],2,FALSE)</f>
        <v>SAF</v>
      </c>
      <c r="I228" s="65">
        <v>2300</v>
      </c>
      <c r="J228" s="101">
        <f>IF(ISBLANK(Pricelist[[#This Row],[EBS]]),"",VALUE(LEFT(Pricelist[[#This Row],[EBS]],LEN(Pricelist[[#This Row],[EBS]])-LEN(Pricelist[[#This Row],[E2]])-1)))</f>
        <v>60</v>
      </c>
      <c r="K228" s="65">
        <v>4100</v>
      </c>
      <c r="L228" s="101">
        <f>IF(ISBLANK(Pricelist[[#This Row],[EBS]]),"",VALUE(RIGHT(Pricelist[[#This Row],[EBS]],3)))</f>
        <v>120</v>
      </c>
      <c r="M228" s="65">
        <v>4100</v>
      </c>
      <c r="N228" s="101">
        <f>IF(ISBLANK(Pricelist[[#This Row],[EBS]]),"",VALUE(RIGHT(Pricelist[[#This Row],[EBS]],3)))</f>
        <v>120</v>
      </c>
      <c r="O228" s="101" t="str">
        <f>IF(AND(Pricelist[[#This Row],[AE1]]&lt;&gt;"",OR(Pricelist[[#This Row],[区]]="南",Pricelist[[#This Row],[区]]="北")),MID(Pricelist[[#This Row],[AE1]],4,2),"")</f>
        <v/>
      </c>
      <c r="P228" s="102">
        <v>2300</v>
      </c>
      <c r="Q228" s="103">
        <v>4100</v>
      </c>
      <c r="R228" s="103">
        <v>4100</v>
      </c>
      <c r="S228" s="104" t="s">
        <v>2199</v>
      </c>
      <c r="T228" s="104"/>
      <c r="U228" s="105" t="s">
        <v>505</v>
      </c>
      <c r="V228" s="100" t="s">
        <v>507</v>
      </c>
      <c r="W228" s="106" t="s">
        <v>166</v>
      </c>
      <c r="X228" s="106" t="s">
        <v>167</v>
      </c>
      <c r="Y228" s="106">
        <v>36</v>
      </c>
      <c r="Z228" s="107">
        <v>43437</v>
      </c>
      <c r="AA228" s="108">
        <v>43450</v>
      </c>
      <c r="AB228" s="109" t="s">
        <v>119</v>
      </c>
      <c r="AC228" s="109"/>
    </row>
    <row r="229" spans="1:29" hidden="1" x14ac:dyDescent="0.15">
      <c r="A229" s="98">
        <v>228</v>
      </c>
      <c r="B229" s="99">
        <v>112917</v>
      </c>
      <c r="C229" s="98" t="s">
        <v>6331</v>
      </c>
      <c r="D229" s="100" t="s">
        <v>162</v>
      </c>
      <c r="E229" s="100" t="s">
        <v>415</v>
      </c>
      <c r="F229" s="100" t="s">
        <v>163</v>
      </c>
      <c r="G229" s="98" t="s">
        <v>18</v>
      </c>
      <c r="H229" s="98" t="str">
        <f>VLOOKUP(G229,CGS[],2,FALSE)</f>
        <v>PIL</v>
      </c>
      <c r="I229" s="65">
        <v>3610</v>
      </c>
      <c r="J229" s="101" t="str">
        <f>IF(ISBLANK(Pricelist[[#This Row],[EBS]]),"",VALUE(LEFT(Pricelist[[#This Row],[EBS]],LEN(Pricelist[[#This Row],[EBS]])-LEN(Pricelist[[#This Row],[E2]])-1)))</f>
        <v/>
      </c>
      <c r="K229" s="65">
        <v>6310</v>
      </c>
      <c r="L229" s="101" t="str">
        <f>IF(ISBLANK(Pricelist[[#This Row],[EBS]]),"",VALUE(RIGHT(Pricelist[[#This Row],[EBS]],3)))</f>
        <v/>
      </c>
      <c r="M229" s="65">
        <v>6310</v>
      </c>
      <c r="N229" s="101" t="str">
        <f>IF(ISBLANK(Pricelist[[#This Row],[EBS]]),"",VALUE(RIGHT(Pricelist[[#This Row],[EBS]],3)))</f>
        <v/>
      </c>
      <c r="O229" s="101" t="str">
        <f>IF(AND(Pricelist[[#This Row],[AE1]]&lt;&gt;"",OR(Pricelist[[#This Row],[区]]="南",Pricelist[[#This Row],[区]]="北")),MID(Pricelist[[#This Row],[AE1]],4,2),"")</f>
        <v/>
      </c>
      <c r="P229" s="102">
        <v>3710</v>
      </c>
      <c r="Q229" s="103">
        <v>6510</v>
      </c>
      <c r="R229" s="103">
        <v>6510</v>
      </c>
      <c r="S229" s="104"/>
      <c r="T229" s="104"/>
      <c r="U229" s="105" t="s">
        <v>510</v>
      </c>
      <c r="V229" s="100" t="s">
        <v>507</v>
      </c>
      <c r="W229" s="106" t="s">
        <v>142</v>
      </c>
      <c r="X229" s="106" t="s">
        <v>141</v>
      </c>
      <c r="Y229" s="106">
        <v>48</v>
      </c>
      <c r="Z229" s="107">
        <v>43444</v>
      </c>
      <c r="AA229" s="108">
        <v>43449</v>
      </c>
      <c r="AB229" s="109"/>
      <c r="AC229" s="109"/>
    </row>
    <row r="230" spans="1:29" hidden="1" x14ac:dyDescent="0.15">
      <c r="A230" s="98">
        <v>229</v>
      </c>
      <c r="B230" s="99">
        <v>112917</v>
      </c>
      <c r="C230" s="98" t="s">
        <v>6331</v>
      </c>
      <c r="D230" s="100" t="s">
        <v>168</v>
      </c>
      <c r="E230" s="100" t="s">
        <v>415</v>
      </c>
      <c r="F230" s="100" t="s">
        <v>169</v>
      </c>
      <c r="G230" s="98" t="s">
        <v>106</v>
      </c>
      <c r="H230" s="98" t="str">
        <f>VLOOKUP(G230,CGS[],2,FALSE)</f>
        <v>NDS</v>
      </c>
      <c r="I230" s="65">
        <v>2660</v>
      </c>
      <c r="J230" s="101" t="str">
        <f>IF(ISBLANK(Pricelist[[#This Row],[EBS]]),"",VALUE(LEFT(Pricelist[[#This Row],[EBS]],LEN(Pricelist[[#This Row],[EBS]])-LEN(Pricelist[[#This Row],[E2]])-1)))</f>
        <v/>
      </c>
      <c r="K230" s="65">
        <v>4660</v>
      </c>
      <c r="L230" s="101" t="str">
        <f>IF(ISBLANK(Pricelist[[#This Row],[EBS]]),"",VALUE(RIGHT(Pricelist[[#This Row],[EBS]],3)))</f>
        <v/>
      </c>
      <c r="M230" s="65">
        <v>4660</v>
      </c>
      <c r="N230" s="101" t="str">
        <f>IF(ISBLANK(Pricelist[[#This Row],[EBS]]),"",VALUE(RIGHT(Pricelist[[#This Row],[EBS]],3)))</f>
        <v/>
      </c>
      <c r="O230" s="101" t="str">
        <f>IF(AND(Pricelist[[#This Row],[AE1]]&lt;&gt;"",OR(Pricelist[[#This Row],[区]]="南",Pricelist[[#This Row],[区]]="北")),MID(Pricelist[[#This Row],[AE1]],4,2),"")</f>
        <v/>
      </c>
      <c r="P230" s="102">
        <v>2660</v>
      </c>
      <c r="Q230" s="103">
        <v>4660</v>
      </c>
      <c r="R230" s="103">
        <v>4660</v>
      </c>
      <c r="S230" s="104"/>
      <c r="T230" s="104"/>
      <c r="U230" s="105" t="s">
        <v>510</v>
      </c>
      <c r="V230" s="100" t="s">
        <v>507</v>
      </c>
      <c r="W230" s="106" t="s">
        <v>142</v>
      </c>
      <c r="X230" s="106" t="s">
        <v>141</v>
      </c>
      <c r="Y230" s="106">
        <v>51</v>
      </c>
      <c r="Z230" s="107">
        <v>43423</v>
      </c>
      <c r="AA230" s="108">
        <v>43448</v>
      </c>
      <c r="AB230" s="109"/>
      <c r="AC230" s="109"/>
    </row>
    <row r="231" spans="1:29" hidden="1" x14ac:dyDescent="0.15">
      <c r="A231" s="98">
        <v>230</v>
      </c>
      <c r="B231" s="99">
        <v>112917</v>
      </c>
      <c r="C231" s="98" t="s">
        <v>6331</v>
      </c>
      <c r="D231" s="100" t="s">
        <v>168</v>
      </c>
      <c r="E231" s="100" t="s">
        <v>415</v>
      </c>
      <c r="F231" s="100" t="s">
        <v>169</v>
      </c>
      <c r="G231" s="98" t="s">
        <v>21</v>
      </c>
      <c r="H231" s="98" t="str">
        <f>VLOOKUP(G231,CGS[],2,FALSE)</f>
        <v>MSK</v>
      </c>
      <c r="I231" s="65">
        <v>2285</v>
      </c>
      <c r="J231" s="101" t="str">
        <f>IF(ISBLANK(Pricelist[[#This Row],[EBS]]),"",VALUE(LEFT(Pricelist[[#This Row],[EBS]],LEN(Pricelist[[#This Row],[EBS]])-LEN(Pricelist[[#This Row],[E2]])-1)))</f>
        <v/>
      </c>
      <c r="K231" s="65">
        <v>4070</v>
      </c>
      <c r="L231" s="101" t="str">
        <f>IF(ISBLANK(Pricelist[[#This Row],[EBS]]),"",VALUE(RIGHT(Pricelist[[#This Row],[EBS]],3)))</f>
        <v/>
      </c>
      <c r="M231" s="65">
        <v>4070</v>
      </c>
      <c r="N231" s="101" t="str">
        <f>IF(ISBLANK(Pricelist[[#This Row],[EBS]]),"",VALUE(RIGHT(Pricelist[[#This Row],[EBS]],3)))</f>
        <v/>
      </c>
      <c r="O231" s="101" t="str">
        <f>IF(AND(Pricelist[[#This Row],[AE1]]&lt;&gt;"",OR(Pricelist[[#This Row],[区]]="南",Pricelist[[#This Row],[区]]="北")),MID(Pricelist[[#This Row],[AE1]],4,2),"")</f>
        <v/>
      </c>
      <c r="P231" s="102">
        <v>2285</v>
      </c>
      <c r="Q231" s="103">
        <v>4070</v>
      </c>
      <c r="R231" s="103">
        <v>4070</v>
      </c>
      <c r="S231" s="104"/>
      <c r="T231" s="104"/>
      <c r="U231" s="105" t="s">
        <v>506</v>
      </c>
      <c r="V231" s="100" t="s">
        <v>504</v>
      </c>
      <c r="W231" s="106" t="s">
        <v>2234</v>
      </c>
      <c r="X231" s="106" t="s">
        <v>167</v>
      </c>
      <c r="Y231" s="106">
        <v>47</v>
      </c>
      <c r="Z231" s="107">
        <v>43437</v>
      </c>
      <c r="AA231" s="108">
        <v>43450</v>
      </c>
      <c r="AB231" s="109"/>
      <c r="AC231" s="109"/>
    </row>
    <row r="232" spans="1:29" hidden="1" x14ac:dyDescent="0.15">
      <c r="A232" s="98">
        <v>231</v>
      </c>
      <c r="B232" s="99">
        <v>112917</v>
      </c>
      <c r="C232" s="98" t="s">
        <v>6331</v>
      </c>
      <c r="D232" s="100" t="s">
        <v>168</v>
      </c>
      <c r="E232" s="100" t="s">
        <v>415</v>
      </c>
      <c r="F232" s="100" t="s">
        <v>169</v>
      </c>
      <c r="G232" s="98" t="s">
        <v>24</v>
      </c>
      <c r="H232" s="98" t="str">
        <f>VLOOKUP(G232,CGS[],2,FALSE)</f>
        <v>SAF</v>
      </c>
      <c r="I232" s="65">
        <v>2300</v>
      </c>
      <c r="J232" s="101">
        <f>IF(ISBLANK(Pricelist[[#This Row],[EBS]]),"",VALUE(LEFT(Pricelist[[#This Row],[EBS]],LEN(Pricelist[[#This Row],[EBS]])-LEN(Pricelist[[#This Row],[E2]])-1)))</f>
        <v>60</v>
      </c>
      <c r="K232" s="65">
        <v>4100</v>
      </c>
      <c r="L232" s="101">
        <f>IF(ISBLANK(Pricelist[[#This Row],[EBS]]),"",VALUE(RIGHT(Pricelist[[#This Row],[EBS]],3)))</f>
        <v>120</v>
      </c>
      <c r="M232" s="65">
        <v>4100</v>
      </c>
      <c r="N232" s="101">
        <f>IF(ISBLANK(Pricelist[[#This Row],[EBS]]),"",VALUE(RIGHT(Pricelist[[#This Row],[EBS]],3)))</f>
        <v>120</v>
      </c>
      <c r="O232" s="101" t="str">
        <f>IF(AND(Pricelist[[#This Row],[AE1]]&lt;&gt;"",OR(Pricelist[[#This Row],[区]]="南",Pricelist[[#This Row],[区]]="北")),MID(Pricelist[[#This Row],[AE1]],4,2),"")</f>
        <v/>
      </c>
      <c r="P232" s="102">
        <v>2300</v>
      </c>
      <c r="Q232" s="103">
        <v>4100</v>
      </c>
      <c r="R232" s="103">
        <v>4100</v>
      </c>
      <c r="S232" s="104" t="s">
        <v>2199</v>
      </c>
      <c r="T232" s="104"/>
      <c r="U232" s="105" t="s">
        <v>505</v>
      </c>
      <c r="V232" s="100" t="s">
        <v>507</v>
      </c>
      <c r="W232" s="106" t="s">
        <v>166</v>
      </c>
      <c r="X232" s="106" t="s">
        <v>167</v>
      </c>
      <c r="Y232" s="106">
        <v>47</v>
      </c>
      <c r="Z232" s="107">
        <v>43437</v>
      </c>
      <c r="AA232" s="108">
        <v>43450</v>
      </c>
      <c r="AB232" s="109" t="s">
        <v>119</v>
      </c>
      <c r="AC232" s="109"/>
    </row>
    <row r="233" spans="1:29" hidden="1" x14ac:dyDescent="0.15">
      <c r="A233" s="98">
        <v>232</v>
      </c>
      <c r="B233" s="99">
        <v>112917</v>
      </c>
      <c r="C233" s="98" t="s">
        <v>6331</v>
      </c>
      <c r="D233" s="100" t="s">
        <v>168</v>
      </c>
      <c r="E233" s="100" t="s">
        <v>415</v>
      </c>
      <c r="F233" s="100" t="s">
        <v>169</v>
      </c>
      <c r="G233" s="98" t="s">
        <v>8</v>
      </c>
      <c r="H233" s="98" t="str">
        <f>VLOOKUP(G233,CGS[],2,FALSE)</f>
        <v>CMA</v>
      </c>
      <c r="I233" s="65">
        <v>2213</v>
      </c>
      <c r="J233" s="101">
        <f>IF(ISBLANK(Pricelist[[#This Row],[EBS]]),"",VALUE(LEFT(Pricelist[[#This Row],[EBS]],LEN(Pricelist[[#This Row],[EBS]])-LEN(Pricelist[[#This Row],[E2]])-1)))</f>
        <v>55</v>
      </c>
      <c r="K233" s="65">
        <v>3913</v>
      </c>
      <c r="L233" s="101">
        <f>IF(ISBLANK(Pricelist[[#This Row],[EBS]]),"",VALUE(RIGHT(Pricelist[[#This Row],[EBS]],3)))</f>
        <v>110</v>
      </c>
      <c r="M233" s="65">
        <v>3913</v>
      </c>
      <c r="N233" s="101">
        <f>IF(ISBLANK(Pricelist[[#This Row],[EBS]]),"",VALUE(RIGHT(Pricelist[[#This Row],[EBS]],3)))</f>
        <v>110</v>
      </c>
      <c r="O233" s="101" t="str">
        <f>IF(AND(Pricelist[[#This Row],[AE1]]&lt;&gt;"",OR(Pricelist[[#This Row],[区]]="南",Pricelist[[#This Row],[区]]="北")),MID(Pricelist[[#This Row],[AE1]],4,2),"")</f>
        <v/>
      </c>
      <c r="P233" s="102">
        <v>2288</v>
      </c>
      <c r="Q233" s="103">
        <v>4063</v>
      </c>
      <c r="R233" s="103">
        <v>4063</v>
      </c>
      <c r="S233" s="104" t="s">
        <v>2204</v>
      </c>
      <c r="T233" s="104"/>
      <c r="U233" s="105" t="s">
        <v>509</v>
      </c>
      <c r="V233" s="100" t="s">
        <v>507</v>
      </c>
      <c r="W233" s="106" t="s">
        <v>107</v>
      </c>
      <c r="X233" s="106" t="s">
        <v>108</v>
      </c>
      <c r="Y233" s="106">
        <v>56</v>
      </c>
      <c r="Z233" s="107">
        <v>43430</v>
      </c>
      <c r="AA233" s="108">
        <v>43448</v>
      </c>
      <c r="AB233" s="109" t="s">
        <v>159</v>
      </c>
      <c r="AC233" s="109"/>
    </row>
    <row r="234" spans="1:29" ht="25.5" hidden="1" x14ac:dyDescent="0.15">
      <c r="A234" s="98">
        <v>233</v>
      </c>
      <c r="B234" s="99">
        <v>112917</v>
      </c>
      <c r="C234" s="98" t="s">
        <v>6331</v>
      </c>
      <c r="D234" s="100" t="s">
        <v>168</v>
      </c>
      <c r="E234" s="100" t="s">
        <v>415</v>
      </c>
      <c r="F234" s="100" t="s">
        <v>169</v>
      </c>
      <c r="G234" s="98" t="s">
        <v>17</v>
      </c>
      <c r="H234" s="98" t="str">
        <f>VLOOKUP(G234,CGS[],2,FALSE)</f>
        <v>MSC</v>
      </c>
      <c r="I234" s="65">
        <v>2050</v>
      </c>
      <c r="J234" s="101">
        <f>IF(ISBLANK(Pricelist[[#This Row],[EBS]]),"",VALUE(LEFT(Pricelist[[#This Row],[EBS]],LEN(Pricelist[[#This Row],[EBS]])-LEN(Pricelist[[#This Row],[E2]])-1)))</f>
        <v>100</v>
      </c>
      <c r="K234" s="65">
        <v>3400</v>
      </c>
      <c r="L234" s="101">
        <f>IF(ISBLANK(Pricelist[[#This Row],[EBS]]),"",VALUE(RIGHT(Pricelist[[#This Row],[EBS]],3)))</f>
        <v>200</v>
      </c>
      <c r="M234" s="65">
        <v>3400</v>
      </c>
      <c r="N234" s="101">
        <f>IF(ISBLANK(Pricelist[[#This Row],[EBS]]),"",VALUE(RIGHT(Pricelist[[#This Row],[EBS]],3)))</f>
        <v>200</v>
      </c>
      <c r="O234" s="101" t="str">
        <f>IF(AND(Pricelist[[#This Row],[AE1]]&lt;&gt;"",OR(Pricelist[[#This Row],[区]]="南",Pricelist[[#This Row],[区]]="北")),MID(Pricelist[[#This Row],[AE1]],4,2),"")</f>
        <v/>
      </c>
      <c r="P234" s="102">
        <v>2075</v>
      </c>
      <c r="Q234" s="103">
        <v>3450</v>
      </c>
      <c r="R234" s="103">
        <v>3450</v>
      </c>
      <c r="S234" s="104" t="s">
        <v>6328</v>
      </c>
      <c r="T234" s="104"/>
      <c r="U234" s="105" t="s">
        <v>506</v>
      </c>
      <c r="V234" s="100" t="s">
        <v>504</v>
      </c>
      <c r="W234" s="106" t="s">
        <v>164</v>
      </c>
      <c r="X234" s="106" t="s">
        <v>165</v>
      </c>
      <c r="Y234" s="106">
        <v>47</v>
      </c>
      <c r="Z234" s="107">
        <v>43435</v>
      </c>
      <c r="AA234" s="108">
        <v>43448</v>
      </c>
      <c r="AB234" s="109" t="s">
        <v>170</v>
      </c>
      <c r="AC234" s="109"/>
    </row>
    <row r="235" spans="1:29" hidden="1" x14ac:dyDescent="0.15">
      <c r="A235" s="98">
        <v>234</v>
      </c>
      <c r="B235" s="99">
        <v>112917</v>
      </c>
      <c r="C235" s="98" t="s">
        <v>6331</v>
      </c>
      <c r="D235" s="100" t="s">
        <v>171</v>
      </c>
      <c r="E235" s="100" t="s">
        <v>415</v>
      </c>
      <c r="F235" s="100" t="s">
        <v>172</v>
      </c>
      <c r="G235" s="98" t="s">
        <v>106</v>
      </c>
      <c r="H235" s="98" t="str">
        <f>VLOOKUP(G235,CGS[],2,FALSE)</f>
        <v>NDS</v>
      </c>
      <c r="I235" s="65">
        <v>3810</v>
      </c>
      <c r="J235" s="101" t="str">
        <f>IF(ISBLANK(Pricelist[[#This Row],[EBS]]),"",VALUE(LEFT(Pricelist[[#This Row],[EBS]],LEN(Pricelist[[#This Row],[EBS]])-LEN(Pricelist[[#This Row],[E2]])-1)))</f>
        <v/>
      </c>
      <c r="K235" s="65">
        <v>6310</v>
      </c>
      <c r="L235" s="101" t="str">
        <f>IF(ISBLANK(Pricelist[[#This Row],[EBS]]),"",VALUE(RIGHT(Pricelist[[#This Row],[EBS]],3)))</f>
        <v/>
      </c>
      <c r="M235" s="65">
        <v>6310</v>
      </c>
      <c r="N235" s="101" t="str">
        <f>IF(ISBLANK(Pricelist[[#This Row],[EBS]]),"",VALUE(RIGHT(Pricelist[[#This Row],[EBS]],3)))</f>
        <v/>
      </c>
      <c r="O235" s="101" t="str">
        <f>IF(AND(Pricelist[[#This Row],[AE1]]&lt;&gt;"",OR(Pricelist[[#This Row],[区]]="南",Pricelist[[#This Row],[区]]="北")),MID(Pricelist[[#This Row],[AE1]],4,2),"")</f>
        <v/>
      </c>
      <c r="P235" s="102">
        <v>3810</v>
      </c>
      <c r="Q235" s="103">
        <v>6310</v>
      </c>
      <c r="R235" s="103">
        <v>6310</v>
      </c>
      <c r="S235" s="104"/>
      <c r="T235" s="104"/>
      <c r="U235" s="105" t="s">
        <v>510</v>
      </c>
      <c r="V235" s="100" t="s">
        <v>507</v>
      </c>
      <c r="W235" s="106" t="s">
        <v>142</v>
      </c>
      <c r="X235" s="106" t="s">
        <v>141</v>
      </c>
      <c r="Y235" s="106">
        <v>53</v>
      </c>
      <c r="Z235" s="107">
        <v>43423</v>
      </c>
      <c r="AA235" s="108">
        <v>43448</v>
      </c>
      <c r="AB235" s="109"/>
      <c r="AC235" s="109"/>
    </row>
    <row r="236" spans="1:29" hidden="1" x14ac:dyDescent="0.15">
      <c r="A236" s="98">
        <v>235</v>
      </c>
      <c r="B236" s="99">
        <v>112917</v>
      </c>
      <c r="C236" s="98" t="s">
        <v>6331</v>
      </c>
      <c r="D236" s="100" t="s">
        <v>171</v>
      </c>
      <c r="E236" s="100" t="s">
        <v>415</v>
      </c>
      <c r="F236" s="100" t="s">
        <v>172</v>
      </c>
      <c r="G236" s="98" t="s">
        <v>21</v>
      </c>
      <c r="H236" s="98" t="str">
        <f>VLOOKUP(G236,CGS[],2,FALSE)</f>
        <v>MSK</v>
      </c>
      <c r="I236" s="65">
        <v>3335</v>
      </c>
      <c r="J236" s="101" t="str">
        <f>IF(ISBLANK(Pricelist[[#This Row],[EBS]]),"",VALUE(LEFT(Pricelist[[#This Row],[EBS]],LEN(Pricelist[[#This Row],[EBS]])-LEN(Pricelist[[#This Row],[E2]])-1)))</f>
        <v/>
      </c>
      <c r="K236" s="65">
        <v>5770</v>
      </c>
      <c r="L236" s="101" t="str">
        <f>IF(ISBLANK(Pricelist[[#This Row],[EBS]]),"",VALUE(RIGHT(Pricelist[[#This Row],[EBS]],3)))</f>
        <v/>
      </c>
      <c r="M236" s="65">
        <v>5770</v>
      </c>
      <c r="N236" s="101" t="str">
        <f>IF(ISBLANK(Pricelist[[#This Row],[EBS]]),"",VALUE(RIGHT(Pricelist[[#This Row],[EBS]],3)))</f>
        <v/>
      </c>
      <c r="O236" s="101" t="str">
        <f>IF(AND(Pricelist[[#This Row],[AE1]]&lt;&gt;"",OR(Pricelist[[#This Row],[区]]="南",Pricelist[[#This Row],[区]]="北")),MID(Pricelist[[#This Row],[AE1]],4,2),"")</f>
        <v/>
      </c>
      <c r="P236" s="102">
        <v>3335</v>
      </c>
      <c r="Q236" s="103">
        <v>5770</v>
      </c>
      <c r="R236" s="103">
        <v>5770</v>
      </c>
      <c r="S236" s="104"/>
      <c r="T236" s="104"/>
      <c r="U236" s="105" t="s">
        <v>509</v>
      </c>
      <c r="V236" s="100" t="s">
        <v>507</v>
      </c>
      <c r="W236" s="106" t="s">
        <v>173</v>
      </c>
      <c r="X236" s="106" t="s">
        <v>141</v>
      </c>
      <c r="Y236" s="106" t="s">
        <v>174</v>
      </c>
      <c r="Z236" s="107">
        <v>43437</v>
      </c>
      <c r="AA236" s="108">
        <v>43450</v>
      </c>
      <c r="AB236" s="109"/>
      <c r="AC236" s="109"/>
    </row>
    <row r="237" spans="1:29" hidden="1" x14ac:dyDescent="0.15">
      <c r="A237" s="98">
        <v>236</v>
      </c>
      <c r="B237" s="99">
        <v>112917</v>
      </c>
      <c r="C237" s="98" t="s">
        <v>6331</v>
      </c>
      <c r="D237" s="100" t="s">
        <v>171</v>
      </c>
      <c r="E237" s="100" t="s">
        <v>415</v>
      </c>
      <c r="F237" s="100" t="s">
        <v>172</v>
      </c>
      <c r="G237" s="98" t="s">
        <v>24</v>
      </c>
      <c r="H237" s="98" t="str">
        <f>VLOOKUP(G237,CGS[],2,FALSE)</f>
        <v>SAF</v>
      </c>
      <c r="I237" s="65">
        <v>3350</v>
      </c>
      <c r="J237" s="101">
        <f>IF(ISBLANK(Pricelist[[#This Row],[EBS]]),"",VALUE(LEFT(Pricelist[[#This Row],[EBS]],LEN(Pricelist[[#This Row],[EBS]])-LEN(Pricelist[[#This Row],[E2]])-1)))</f>
        <v>60</v>
      </c>
      <c r="K237" s="65">
        <v>5800</v>
      </c>
      <c r="L237" s="101">
        <f>IF(ISBLANK(Pricelist[[#This Row],[EBS]]),"",VALUE(RIGHT(Pricelist[[#This Row],[EBS]],3)))</f>
        <v>120</v>
      </c>
      <c r="M237" s="65">
        <v>5800</v>
      </c>
      <c r="N237" s="101">
        <f>IF(ISBLANK(Pricelist[[#This Row],[EBS]]),"",VALUE(RIGHT(Pricelist[[#This Row],[EBS]],3)))</f>
        <v>120</v>
      </c>
      <c r="O237" s="101" t="str">
        <f>IF(AND(Pricelist[[#This Row],[AE1]]&lt;&gt;"",OR(Pricelist[[#This Row],[区]]="南",Pricelist[[#This Row],[区]]="北")),MID(Pricelist[[#This Row],[AE1]],4,2),"")</f>
        <v/>
      </c>
      <c r="P237" s="102">
        <v>3350</v>
      </c>
      <c r="Q237" s="103">
        <v>5800</v>
      </c>
      <c r="R237" s="103">
        <v>5800</v>
      </c>
      <c r="S237" s="104" t="s">
        <v>2199</v>
      </c>
      <c r="T237" s="104"/>
      <c r="U237" s="105" t="s">
        <v>509</v>
      </c>
      <c r="V237" s="100" t="s">
        <v>507</v>
      </c>
      <c r="W237" s="106" t="s">
        <v>173</v>
      </c>
      <c r="X237" s="106" t="s">
        <v>141</v>
      </c>
      <c r="Y237" s="106" t="s">
        <v>174</v>
      </c>
      <c r="Z237" s="107">
        <v>43437</v>
      </c>
      <c r="AA237" s="108">
        <v>43450</v>
      </c>
      <c r="AB237" s="109" t="s">
        <v>137</v>
      </c>
      <c r="AC237" s="109"/>
    </row>
    <row r="238" spans="1:29" hidden="1" x14ac:dyDescent="0.15">
      <c r="A238" s="98">
        <v>237</v>
      </c>
      <c r="B238" s="99">
        <v>112917</v>
      </c>
      <c r="C238" s="98" t="s">
        <v>6331</v>
      </c>
      <c r="D238" s="100" t="s">
        <v>171</v>
      </c>
      <c r="E238" s="100" t="s">
        <v>415</v>
      </c>
      <c r="F238" s="100" t="s">
        <v>172</v>
      </c>
      <c r="G238" s="98" t="s">
        <v>8</v>
      </c>
      <c r="H238" s="98" t="str">
        <f>VLOOKUP(G238,CGS[],2,FALSE)</f>
        <v>CMA</v>
      </c>
      <c r="I238" s="65">
        <v>3813</v>
      </c>
      <c r="J238" s="101">
        <f>IF(ISBLANK(Pricelist[[#This Row],[EBS]]),"",VALUE(LEFT(Pricelist[[#This Row],[EBS]],LEN(Pricelist[[#This Row],[EBS]])-LEN(Pricelist[[#This Row],[E2]])-1)))</f>
        <v>55</v>
      </c>
      <c r="K238" s="65">
        <v>7013</v>
      </c>
      <c r="L238" s="101">
        <f>IF(ISBLANK(Pricelist[[#This Row],[EBS]]),"",VALUE(RIGHT(Pricelist[[#This Row],[EBS]],3)))</f>
        <v>110</v>
      </c>
      <c r="M238" s="65">
        <v>7013</v>
      </c>
      <c r="N238" s="101">
        <f>IF(ISBLANK(Pricelist[[#This Row],[EBS]]),"",VALUE(RIGHT(Pricelist[[#This Row],[EBS]],3)))</f>
        <v>110</v>
      </c>
      <c r="O238" s="101" t="str">
        <f>IF(AND(Pricelist[[#This Row],[AE1]]&lt;&gt;"",OR(Pricelist[[#This Row],[区]]="南",Pricelist[[#This Row],[区]]="北")),MID(Pricelist[[#This Row],[AE1]],4,2),"")</f>
        <v/>
      </c>
      <c r="P238" s="102">
        <v>3888</v>
      </c>
      <c r="Q238" s="103">
        <v>7163</v>
      </c>
      <c r="R238" s="103">
        <v>7163</v>
      </c>
      <c r="S238" s="104" t="s">
        <v>2204</v>
      </c>
      <c r="T238" s="104"/>
      <c r="U238" s="105" t="s">
        <v>509</v>
      </c>
      <c r="V238" s="100" t="s">
        <v>507</v>
      </c>
      <c r="W238" s="106" t="s">
        <v>155</v>
      </c>
      <c r="X238" s="106" t="s">
        <v>141</v>
      </c>
      <c r="Y238" s="106">
        <v>48</v>
      </c>
      <c r="Z238" s="107">
        <v>43430</v>
      </c>
      <c r="AA238" s="108">
        <v>43448</v>
      </c>
      <c r="AB238" s="109" t="s">
        <v>159</v>
      </c>
      <c r="AC238" s="109"/>
    </row>
    <row r="239" spans="1:29" hidden="1" x14ac:dyDescent="0.15">
      <c r="A239" s="98">
        <v>238</v>
      </c>
      <c r="B239" s="99">
        <v>112917</v>
      </c>
      <c r="C239" s="98" t="s">
        <v>6331</v>
      </c>
      <c r="D239" s="100" t="s">
        <v>175</v>
      </c>
      <c r="E239" s="100" t="s">
        <v>415</v>
      </c>
      <c r="F239" s="100" t="s">
        <v>176</v>
      </c>
      <c r="G239" s="98" t="s">
        <v>106</v>
      </c>
      <c r="H239" s="98" t="str">
        <f>VLOOKUP(G239,CGS[],2,FALSE)</f>
        <v>NDS</v>
      </c>
      <c r="I239" s="65">
        <v>4060</v>
      </c>
      <c r="J239" s="101" t="str">
        <f>IF(ISBLANK(Pricelist[[#This Row],[EBS]]),"",VALUE(LEFT(Pricelist[[#This Row],[EBS]],LEN(Pricelist[[#This Row],[EBS]])-LEN(Pricelist[[#This Row],[E2]])-1)))</f>
        <v/>
      </c>
      <c r="K239" s="65">
        <v>7310</v>
      </c>
      <c r="L239" s="101" t="str">
        <f>IF(ISBLANK(Pricelist[[#This Row],[EBS]]),"",VALUE(RIGHT(Pricelist[[#This Row],[EBS]],3)))</f>
        <v/>
      </c>
      <c r="M239" s="65">
        <v>7310</v>
      </c>
      <c r="N239" s="101" t="str">
        <f>IF(ISBLANK(Pricelist[[#This Row],[EBS]]),"",VALUE(RIGHT(Pricelist[[#This Row],[EBS]],3)))</f>
        <v/>
      </c>
      <c r="O239" s="101" t="str">
        <f>IF(AND(Pricelist[[#This Row],[AE1]]&lt;&gt;"",OR(Pricelist[[#This Row],[区]]="南",Pricelist[[#This Row],[区]]="北")),MID(Pricelist[[#This Row],[AE1]],4,2),"")</f>
        <v/>
      </c>
      <c r="P239" s="102">
        <v>4060</v>
      </c>
      <c r="Q239" s="103">
        <v>7310</v>
      </c>
      <c r="R239" s="103">
        <v>7310</v>
      </c>
      <c r="S239" s="104"/>
      <c r="T239" s="104"/>
      <c r="U239" s="105" t="s">
        <v>510</v>
      </c>
      <c r="V239" s="100" t="s">
        <v>507</v>
      </c>
      <c r="W239" s="106" t="s">
        <v>142</v>
      </c>
      <c r="X239" s="106" t="s">
        <v>141</v>
      </c>
      <c r="Y239" s="106">
        <v>56</v>
      </c>
      <c r="Z239" s="107">
        <v>43423</v>
      </c>
      <c r="AA239" s="108">
        <v>43448</v>
      </c>
      <c r="AB239" s="109"/>
      <c r="AC239" s="109"/>
    </row>
    <row r="240" spans="1:29" hidden="1" x14ac:dyDescent="0.15">
      <c r="A240" s="98">
        <v>239</v>
      </c>
      <c r="B240" s="99">
        <v>112917</v>
      </c>
      <c r="C240" s="98" t="s">
        <v>6331</v>
      </c>
      <c r="D240" s="100" t="s">
        <v>177</v>
      </c>
      <c r="E240" s="100" t="s">
        <v>178</v>
      </c>
      <c r="F240" s="100" t="s">
        <v>179</v>
      </c>
      <c r="G240" s="98" t="s">
        <v>8</v>
      </c>
      <c r="H240" s="98" t="str">
        <f>VLOOKUP(G240,CGS[],2,FALSE)</f>
        <v>CMA</v>
      </c>
      <c r="I240" s="65">
        <v>2463</v>
      </c>
      <c r="J240" s="101">
        <f>IF(ISBLANK(Pricelist[[#This Row],[EBS]]),"",VALUE(LEFT(Pricelist[[#This Row],[EBS]],LEN(Pricelist[[#This Row],[EBS]])-LEN(Pricelist[[#This Row],[E2]])-1)))</f>
        <v>55</v>
      </c>
      <c r="K240" s="65">
        <v>3813</v>
      </c>
      <c r="L240" s="101">
        <f>IF(ISBLANK(Pricelist[[#This Row],[EBS]]),"",VALUE(RIGHT(Pricelist[[#This Row],[EBS]],3)))</f>
        <v>110</v>
      </c>
      <c r="M240" s="65">
        <v>3813</v>
      </c>
      <c r="N240" s="101">
        <f>IF(ISBLANK(Pricelist[[#This Row],[EBS]]),"",VALUE(RIGHT(Pricelist[[#This Row],[EBS]],3)))</f>
        <v>110</v>
      </c>
      <c r="O240" s="101" t="str">
        <f>IF(AND(Pricelist[[#This Row],[AE1]]&lt;&gt;"",OR(Pricelist[[#This Row],[区]]="南",Pricelist[[#This Row],[区]]="北")),MID(Pricelist[[#This Row],[AE1]],4,2),"")</f>
        <v/>
      </c>
      <c r="P240" s="102">
        <v>2538</v>
      </c>
      <c r="Q240" s="103">
        <v>3963</v>
      </c>
      <c r="R240" s="103">
        <v>3963</v>
      </c>
      <c r="S240" s="104" t="s">
        <v>2204</v>
      </c>
      <c r="T240" s="104"/>
      <c r="U240" s="105" t="s">
        <v>506</v>
      </c>
      <c r="V240" s="100" t="s">
        <v>2217</v>
      </c>
      <c r="W240" s="106" t="s">
        <v>101</v>
      </c>
      <c r="X240" s="106" t="s">
        <v>102</v>
      </c>
      <c r="Y240" s="106">
        <v>45</v>
      </c>
      <c r="Z240" s="107">
        <v>43430</v>
      </c>
      <c r="AA240" s="108">
        <v>43448</v>
      </c>
      <c r="AB240" s="109" t="s">
        <v>94</v>
      </c>
      <c r="AC240" s="109"/>
    </row>
    <row r="241" spans="1:29" hidden="1" x14ac:dyDescent="0.15">
      <c r="A241" s="98">
        <v>240</v>
      </c>
      <c r="B241" s="99">
        <v>112917</v>
      </c>
      <c r="C241" s="98" t="s">
        <v>6331</v>
      </c>
      <c r="D241" s="100" t="s">
        <v>177</v>
      </c>
      <c r="E241" s="100" t="s">
        <v>178</v>
      </c>
      <c r="F241" s="100" t="s">
        <v>179</v>
      </c>
      <c r="G241" s="98" t="s">
        <v>18</v>
      </c>
      <c r="H241" s="98" t="str">
        <f>VLOOKUP(G241,CGS[],2,FALSE)</f>
        <v>PIL</v>
      </c>
      <c r="I241" s="65">
        <v>3610</v>
      </c>
      <c r="J241" s="101" t="str">
        <f>IF(ISBLANK(Pricelist[[#This Row],[EBS]]),"",VALUE(LEFT(Pricelist[[#This Row],[EBS]],LEN(Pricelist[[#This Row],[EBS]])-LEN(Pricelist[[#This Row],[E2]])-1)))</f>
        <v/>
      </c>
      <c r="K241" s="65">
        <v>6310</v>
      </c>
      <c r="L241" s="101" t="str">
        <f>IF(ISBLANK(Pricelist[[#This Row],[EBS]]),"",VALUE(RIGHT(Pricelist[[#This Row],[EBS]],3)))</f>
        <v/>
      </c>
      <c r="M241" s="65">
        <v>6310</v>
      </c>
      <c r="N241" s="101" t="str">
        <f>IF(ISBLANK(Pricelist[[#This Row],[EBS]]),"",VALUE(RIGHT(Pricelist[[#This Row],[EBS]],3)))</f>
        <v/>
      </c>
      <c r="O241" s="101" t="str">
        <f>IF(AND(Pricelist[[#This Row],[AE1]]&lt;&gt;"",OR(Pricelist[[#This Row],[区]]="南",Pricelist[[#This Row],[区]]="北")),MID(Pricelist[[#This Row],[AE1]],4,2),"")</f>
        <v/>
      </c>
      <c r="P241" s="102">
        <v>3710</v>
      </c>
      <c r="Q241" s="103">
        <v>6510</v>
      </c>
      <c r="R241" s="103">
        <v>6510</v>
      </c>
      <c r="S241" s="104"/>
      <c r="T241" s="104"/>
      <c r="U241" s="105" t="s">
        <v>510</v>
      </c>
      <c r="V241" s="100" t="s">
        <v>507</v>
      </c>
      <c r="W241" s="106" t="s">
        <v>91</v>
      </c>
      <c r="X241" s="106" t="s">
        <v>102</v>
      </c>
      <c r="Y241" s="106">
        <v>60</v>
      </c>
      <c r="Z241" s="107">
        <v>43444</v>
      </c>
      <c r="AA241" s="108">
        <v>43449</v>
      </c>
      <c r="AB241" s="109"/>
      <c r="AC241" s="109"/>
    </row>
    <row r="242" spans="1:29" hidden="1" x14ac:dyDescent="0.15">
      <c r="A242" s="98">
        <v>241</v>
      </c>
      <c r="B242" s="99">
        <v>112917</v>
      </c>
      <c r="C242" s="98" t="s">
        <v>6331</v>
      </c>
      <c r="D242" s="100" t="s">
        <v>177</v>
      </c>
      <c r="E242" s="100" t="s">
        <v>178</v>
      </c>
      <c r="F242" s="100" t="s">
        <v>179</v>
      </c>
      <c r="G242" s="98" t="s">
        <v>106</v>
      </c>
      <c r="H242" s="98" t="str">
        <f>VLOOKUP(G242,CGS[],2,FALSE)</f>
        <v>NDS</v>
      </c>
      <c r="I242" s="65">
        <v>2910</v>
      </c>
      <c r="J242" s="101" t="str">
        <f>IF(ISBLANK(Pricelist[[#This Row],[EBS]]),"",VALUE(LEFT(Pricelist[[#This Row],[EBS]],LEN(Pricelist[[#This Row],[EBS]])-LEN(Pricelist[[#This Row],[E2]])-1)))</f>
        <v/>
      </c>
      <c r="K242" s="65">
        <v>4960</v>
      </c>
      <c r="L242" s="101" t="str">
        <f>IF(ISBLANK(Pricelist[[#This Row],[EBS]]),"",VALUE(RIGHT(Pricelist[[#This Row],[EBS]],3)))</f>
        <v/>
      </c>
      <c r="M242" s="65">
        <v>4960</v>
      </c>
      <c r="N242" s="101" t="str">
        <f>IF(ISBLANK(Pricelist[[#This Row],[EBS]]),"",VALUE(RIGHT(Pricelist[[#This Row],[EBS]],3)))</f>
        <v/>
      </c>
      <c r="O242" s="101" t="str">
        <f>IF(AND(Pricelist[[#This Row],[AE1]]&lt;&gt;"",OR(Pricelist[[#This Row],[区]]="南",Pricelist[[#This Row],[区]]="北")),MID(Pricelist[[#This Row],[AE1]],4,2),"")</f>
        <v/>
      </c>
      <c r="P242" s="102">
        <v>2910</v>
      </c>
      <c r="Q242" s="103">
        <v>4960</v>
      </c>
      <c r="R242" s="103">
        <v>4960</v>
      </c>
      <c r="S242" s="104"/>
      <c r="T242" s="104"/>
      <c r="U242" s="105" t="s">
        <v>510</v>
      </c>
      <c r="V242" s="100" t="s">
        <v>507</v>
      </c>
      <c r="W242" s="106" t="s">
        <v>142</v>
      </c>
      <c r="X242" s="106" t="s">
        <v>141</v>
      </c>
      <c r="Y242" s="106">
        <v>55</v>
      </c>
      <c r="Z242" s="107">
        <v>43423</v>
      </c>
      <c r="AA242" s="108">
        <v>43448</v>
      </c>
      <c r="AB242" s="109"/>
      <c r="AC242" s="109"/>
    </row>
    <row r="243" spans="1:29" hidden="1" x14ac:dyDescent="0.15">
      <c r="A243" s="98">
        <v>242</v>
      </c>
      <c r="B243" s="99">
        <v>112917</v>
      </c>
      <c r="C243" s="98" t="s">
        <v>6331</v>
      </c>
      <c r="D243" s="100" t="s">
        <v>177</v>
      </c>
      <c r="E243" s="100" t="s">
        <v>178</v>
      </c>
      <c r="F243" s="100" t="s">
        <v>179</v>
      </c>
      <c r="G243" s="98" t="s">
        <v>21</v>
      </c>
      <c r="H243" s="98" t="str">
        <f>VLOOKUP(G243,CGS[],2,FALSE)</f>
        <v>MSK</v>
      </c>
      <c r="I243" s="65">
        <v>2585</v>
      </c>
      <c r="J243" s="101" t="str">
        <f>IF(ISBLANK(Pricelist[[#This Row],[EBS]]),"",VALUE(LEFT(Pricelist[[#This Row],[EBS]],LEN(Pricelist[[#This Row],[EBS]])-LEN(Pricelist[[#This Row],[E2]])-1)))</f>
        <v/>
      </c>
      <c r="K243" s="65">
        <v>4070</v>
      </c>
      <c r="L243" s="101" t="str">
        <f>IF(ISBLANK(Pricelist[[#This Row],[EBS]]),"",VALUE(RIGHT(Pricelist[[#This Row],[EBS]],3)))</f>
        <v/>
      </c>
      <c r="M243" s="65">
        <v>4070</v>
      </c>
      <c r="N243" s="101" t="str">
        <f>IF(ISBLANK(Pricelist[[#This Row],[EBS]]),"",VALUE(RIGHT(Pricelist[[#This Row],[EBS]],3)))</f>
        <v/>
      </c>
      <c r="O243" s="101" t="str">
        <f>IF(AND(Pricelist[[#This Row],[AE1]]&lt;&gt;"",OR(Pricelist[[#This Row],[区]]="南",Pricelist[[#This Row],[区]]="北")),MID(Pricelist[[#This Row],[AE1]],4,2),"")</f>
        <v/>
      </c>
      <c r="P243" s="102">
        <v>2585</v>
      </c>
      <c r="Q243" s="103">
        <v>4070</v>
      </c>
      <c r="R243" s="103">
        <v>4070</v>
      </c>
      <c r="S243" s="104"/>
      <c r="T243" s="104"/>
      <c r="U243" s="105" t="s">
        <v>509</v>
      </c>
      <c r="V243" s="100" t="s">
        <v>507</v>
      </c>
      <c r="W243" s="106" t="s">
        <v>173</v>
      </c>
      <c r="X243" s="106" t="s">
        <v>141</v>
      </c>
      <c r="Y243" s="106" t="s">
        <v>180</v>
      </c>
      <c r="Z243" s="107">
        <v>43437</v>
      </c>
      <c r="AA243" s="108">
        <v>43450</v>
      </c>
      <c r="AB243" s="109"/>
      <c r="AC243" s="109"/>
    </row>
    <row r="244" spans="1:29" hidden="1" x14ac:dyDescent="0.15">
      <c r="A244" s="98">
        <v>243</v>
      </c>
      <c r="B244" s="99">
        <v>112917</v>
      </c>
      <c r="C244" s="98" t="s">
        <v>6331</v>
      </c>
      <c r="D244" s="100" t="s">
        <v>177</v>
      </c>
      <c r="E244" s="100" t="s">
        <v>178</v>
      </c>
      <c r="F244" s="100" t="s">
        <v>179</v>
      </c>
      <c r="G244" s="98" t="s">
        <v>24</v>
      </c>
      <c r="H244" s="98" t="str">
        <f>VLOOKUP(G244,CGS[],2,FALSE)</f>
        <v>SAF</v>
      </c>
      <c r="I244" s="65">
        <v>2600</v>
      </c>
      <c r="J244" s="101">
        <f>IF(ISBLANK(Pricelist[[#This Row],[EBS]]),"",VALUE(LEFT(Pricelist[[#This Row],[EBS]],LEN(Pricelist[[#This Row],[EBS]])-LEN(Pricelist[[#This Row],[E2]])-1)))</f>
        <v>60</v>
      </c>
      <c r="K244" s="65">
        <v>4100</v>
      </c>
      <c r="L244" s="101">
        <f>IF(ISBLANK(Pricelist[[#This Row],[EBS]]),"",VALUE(RIGHT(Pricelist[[#This Row],[EBS]],3)))</f>
        <v>120</v>
      </c>
      <c r="M244" s="65">
        <v>4100</v>
      </c>
      <c r="N244" s="101">
        <f>IF(ISBLANK(Pricelist[[#This Row],[EBS]]),"",VALUE(RIGHT(Pricelist[[#This Row],[EBS]],3)))</f>
        <v>120</v>
      </c>
      <c r="O244" s="101" t="str">
        <f>IF(AND(Pricelist[[#This Row],[AE1]]&lt;&gt;"",OR(Pricelist[[#This Row],[区]]="南",Pricelist[[#This Row],[区]]="北")),MID(Pricelist[[#This Row],[AE1]],4,2),"")</f>
        <v/>
      </c>
      <c r="P244" s="102">
        <v>2600</v>
      </c>
      <c r="Q244" s="103">
        <v>4100</v>
      </c>
      <c r="R244" s="103">
        <v>4100</v>
      </c>
      <c r="S244" s="104" t="s">
        <v>2199</v>
      </c>
      <c r="T244" s="104"/>
      <c r="U244" s="105" t="s">
        <v>3273</v>
      </c>
      <c r="V244" s="100" t="s">
        <v>507</v>
      </c>
      <c r="W244" s="106" t="s">
        <v>3693</v>
      </c>
      <c r="X244" s="106" t="s">
        <v>141</v>
      </c>
      <c r="Y244" s="106" t="s">
        <v>180</v>
      </c>
      <c r="Z244" s="107">
        <v>43437</v>
      </c>
      <c r="AA244" s="108">
        <v>43450</v>
      </c>
      <c r="AB244" s="109" t="s">
        <v>2244</v>
      </c>
      <c r="AC244" s="109"/>
    </row>
    <row r="245" spans="1:29" hidden="1" x14ac:dyDescent="0.15">
      <c r="A245" s="98">
        <v>244</v>
      </c>
      <c r="B245" s="99">
        <v>112917</v>
      </c>
      <c r="C245" s="98" t="s">
        <v>6331</v>
      </c>
      <c r="D245" s="100" t="s">
        <v>181</v>
      </c>
      <c r="E245" s="100" t="s">
        <v>182</v>
      </c>
      <c r="F245" s="100" t="s">
        <v>183</v>
      </c>
      <c r="G245" s="98" t="s">
        <v>9</v>
      </c>
      <c r="H245" s="98" t="str">
        <f>VLOOKUP(G245,CGS[],2,FALSE)</f>
        <v>COSCO</v>
      </c>
      <c r="I245" s="65">
        <v>1685</v>
      </c>
      <c r="J245" s="101">
        <f>IF(ISBLANK(Pricelist[[#This Row],[EBS]]),"",VALUE(LEFT(Pricelist[[#This Row],[EBS]],LEN(Pricelist[[#This Row],[EBS]])-LEN(Pricelist[[#This Row],[E2]])-1)))</f>
        <v>60</v>
      </c>
      <c r="K245" s="65">
        <v>2760</v>
      </c>
      <c r="L245" s="101">
        <f>IF(ISBLANK(Pricelist[[#This Row],[EBS]]),"",VALUE(RIGHT(Pricelist[[#This Row],[EBS]],3)))</f>
        <v>120</v>
      </c>
      <c r="M245" s="65">
        <v>2760</v>
      </c>
      <c r="N245" s="101">
        <f>IF(ISBLANK(Pricelist[[#This Row],[EBS]]),"",VALUE(RIGHT(Pricelist[[#This Row],[EBS]],3)))</f>
        <v>120</v>
      </c>
      <c r="O245" s="101" t="str">
        <f>IF(AND(Pricelist[[#This Row],[AE1]]&lt;&gt;"",OR(Pricelist[[#This Row],[区]]="南",Pricelist[[#This Row],[区]]="北")),MID(Pricelist[[#This Row],[AE1]],4,2),"")</f>
        <v/>
      </c>
      <c r="P245" s="102">
        <v>1710</v>
      </c>
      <c r="Q245" s="103">
        <v>2810</v>
      </c>
      <c r="R245" s="103">
        <v>2810</v>
      </c>
      <c r="S245" s="104" t="s">
        <v>2199</v>
      </c>
      <c r="T245" s="104"/>
      <c r="U245" s="105" t="s">
        <v>508</v>
      </c>
      <c r="V245" s="100" t="s">
        <v>504</v>
      </c>
      <c r="W245" s="106" t="s">
        <v>10</v>
      </c>
      <c r="X245" s="106" t="s">
        <v>11</v>
      </c>
      <c r="Y245" s="106">
        <v>38</v>
      </c>
      <c r="Z245" s="107">
        <v>43437</v>
      </c>
      <c r="AA245" s="108">
        <v>43450</v>
      </c>
      <c r="AB245" s="109" t="s">
        <v>135</v>
      </c>
      <c r="AC245" s="109" t="s">
        <v>12</v>
      </c>
    </row>
    <row r="246" spans="1:29" hidden="1" x14ac:dyDescent="0.15">
      <c r="A246" s="98">
        <v>245</v>
      </c>
      <c r="B246" s="99">
        <v>112917</v>
      </c>
      <c r="C246" s="98" t="s">
        <v>6331</v>
      </c>
      <c r="D246" s="100" t="s">
        <v>181</v>
      </c>
      <c r="E246" s="100" t="s">
        <v>182</v>
      </c>
      <c r="F246" s="100" t="s">
        <v>183</v>
      </c>
      <c r="G246" s="98" t="s">
        <v>95</v>
      </c>
      <c r="H246" s="98" t="str">
        <f>VLOOKUP(G246,CGS[],2,FALSE)</f>
        <v>ZIM</v>
      </c>
      <c r="I246" s="65">
        <v>1660</v>
      </c>
      <c r="J246" s="101">
        <f>IF(ISBLANK(Pricelist[[#This Row],[EBS]]),"",VALUE(LEFT(Pricelist[[#This Row],[EBS]],LEN(Pricelist[[#This Row],[EBS]])-LEN(Pricelist[[#This Row],[E2]])-1)))</f>
        <v>110</v>
      </c>
      <c r="K246" s="65">
        <v>2660</v>
      </c>
      <c r="L246" s="101">
        <f>IF(ISBLANK(Pricelist[[#This Row],[EBS]]),"",VALUE(RIGHT(Pricelist[[#This Row],[EBS]],3)))</f>
        <v>220</v>
      </c>
      <c r="M246" s="65">
        <v>2660</v>
      </c>
      <c r="N246" s="101">
        <f>IF(ISBLANK(Pricelist[[#This Row],[EBS]]),"",VALUE(RIGHT(Pricelist[[#This Row],[EBS]],3)))</f>
        <v>220</v>
      </c>
      <c r="O246" s="101" t="str">
        <f>IF(AND(Pricelist[[#This Row],[AE1]]&lt;&gt;"",OR(Pricelist[[#This Row],[区]]="南",Pricelist[[#This Row],[区]]="北")),MID(Pricelist[[#This Row],[AE1]],4,2),"")</f>
        <v/>
      </c>
      <c r="P246" s="102">
        <v>1860</v>
      </c>
      <c r="Q246" s="103">
        <v>3060</v>
      </c>
      <c r="R246" s="103">
        <v>3060</v>
      </c>
      <c r="S246" s="104" t="s">
        <v>3743</v>
      </c>
      <c r="T246" s="104"/>
      <c r="U246" s="105" t="s">
        <v>508</v>
      </c>
      <c r="V246" s="100" t="s">
        <v>504</v>
      </c>
      <c r="W246" s="106" t="s">
        <v>10</v>
      </c>
      <c r="X246" s="106" t="s">
        <v>11</v>
      </c>
      <c r="Y246" s="106">
        <v>47</v>
      </c>
      <c r="Z246" s="107">
        <v>43437</v>
      </c>
      <c r="AA246" s="108">
        <v>43445</v>
      </c>
      <c r="AB246" s="109"/>
      <c r="AC246" s="109"/>
    </row>
    <row r="247" spans="1:29" hidden="1" x14ac:dyDescent="0.15">
      <c r="A247" s="98">
        <v>246</v>
      </c>
      <c r="B247" s="99">
        <v>112917</v>
      </c>
      <c r="C247" s="98" t="s">
        <v>6331</v>
      </c>
      <c r="D247" s="100" t="s">
        <v>181</v>
      </c>
      <c r="E247" s="100" t="s">
        <v>182</v>
      </c>
      <c r="F247" s="100" t="s">
        <v>183</v>
      </c>
      <c r="G247" s="98" t="s">
        <v>8</v>
      </c>
      <c r="H247" s="98" t="str">
        <f>VLOOKUP(G247,CGS[],2,FALSE)</f>
        <v>CMA</v>
      </c>
      <c r="I247" s="65">
        <v>1963</v>
      </c>
      <c r="J247" s="101">
        <f>IF(ISBLANK(Pricelist[[#This Row],[EBS]]),"",VALUE(LEFT(Pricelist[[#This Row],[EBS]],LEN(Pricelist[[#This Row],[EBS]])-LEN(Pricelist[[#This Row],[E2]])-1)))</f>
        <v>55</v>
      </c>
      <c r="K247" s="65">
        <v>3413</v>
      </c>
      <c r="L247" s="101">
        <f>IF(ISBLANK(Pricelist[[#This Row],[EBS]]),"",VALUE(RIGHT(Pricelist[[#This Row],[EBS]],3)))</f>
        <v>110</v>
      </c>
      <c r="M247" s="65">
        <v>3413</v>
      </c>
      <c r="N247" s="101">
        <f>IF(ISBLANK(Pricelist[[#This Row],[EBS]]),"",VALUE(RIGHT(Pricelist[[#This Row],[EBS]],3)))</f>
        <v>110</v>
      </c>
      <c r="O247" s="101" t="str">
        <f>IF(AND(Pricelist[[#This Row],[AE1]]&lt;&gt;"",OR(Pricelist[[#This Row],[区]]="南",Pricelist[[#This Row],[区]]="北")),MID(Pricelist[[#This Row],[AE1]],4,2),"")</f>
        <v/>
      </c>
      <c r="P247" s="102">
        <v>2038</v>
      </c>
      <c r="Q247" s="103">
        <v>3563</v>
      </c>
      <c r="R247" s="103">
        <v>3563</v>
      </c>
      <c r="S247" s="104" t="s">
        <v>2204</v>
      </c>
      <c r="T247" s="104"/>
      <c r="U247" s="105" t="s">
        <v>6255</v>
      </c>
      <c r="V247" s="100" t="s">
        <v>6256</v>
      </c>
      <c r="W247" s="106" t="s">
        <v>10</v>
      </c>
      <c r="X247" s="106" t="s">
        <v>11</v>
      </c>
      <c r="Y247" s="106" t="s">
        <v>6257</v>
      </c>
      <c r="Z247" s="107">
        <v>43430</v>
      </c>
      <c r="AA247" s="108">
        <v>43448</v>
      </c>
      <c r="AB247" s="109" t="s">
        <v>6258</v>
      </c>
      <c r="AC247" s="109"/>
    </row>
    <row r="248" spans="1:29" hidden="1" x14ac:dyDescent="0.15">
      <c r="A248" s="98">
        <v>247</v>
      </c>
      <c r="B248" s="99">
        <v>112917</v>
      </c>
      <c r="C248" s="98" t="s">
        <v>6331</v>
      </c>
      <c r="D248" s="100" t="s">
        <v>181</v>
      </c>
      <c r="E248" s="100" t="s">
        <v>182</v>
      </c>
      <c r="F248" s="100" t="s">
        <v>183</v>
      </c>
      <c r="G248" s="98" t="s">
        <v>100</v>
      </c>
      <c r="H248" s="98" t="str">
        <f>VLOOKUP(G248,CGS[],2,FALSE)</f>
        <v>ONE</v>
      </c>
      <c r="I248" s="65">
        <v>1940</v>
      </c>
      <c r="J248" s="101" t="str">
        <f>IF(ISBLANK(Pricelist[[#This Row],[EBS]]),"",VALUE(LEFT(Pricelist[[#This Row],[EBS]],LEN(Pricelist[[#This Row],[EBS]])-LEN(Pricelist[[#This Row],[E2]])-1)))</f>
        <v/>
      </c>
      <c r="K248" s="65">
        <v>3265</v>
      </c>
      <c r="L248" s="101" t="str">
        <f>IF(ISBLANK(Pricelist[[#This Row],[EBS]]),"",VALUE(RIGHT(Pricelist[[#This Row],[EBS]],3)))</f>
        <v/>
      </c>
      <c r="M248" s="65">
        <v>3265</v>
      </c>
      <c r="N248" s="101" t="str">
        <f>IF(ISBLANK(Pricelist[[#This Row],[EBS]]),"",VALUE(RIGHT(Pricelist[[#This Row],[EBS]],3)))</f>
        <v/>
      </c>
      <c r="O248" s="101" t="str">
        <f>IF(AND(Pricelist[[#This Row],[AE1]]&lt;&gt;"",OR(Pricelist[[#This Row],[区]]="南",Pricelist[[#This Row],[区]]="北")),MID(Pricelist[[#This Row],[AE1]],4,2),"")</f>
        <v/>
      </c>
      <c r="P248" s="102">
        <v>1965</v>
      </c>
      <c r="Q248" s="103">
        <v>3315</v>
      </c>
      <c r="R248" s="103">
        <v>3315</v>
      </c>
      <c r="S248" s="104"/>
      <c r="T248" s="104"/>
      <c r="U248" s="105" t="s">
        <v>508</v>
      </c>
      <c r="V248" s="100" t="s">
        <v>504</v>
      </c>
      <c r="W248" s="106" t="s">
        <v>10</v>
      </c>
      <c r="X248" s="106" t="s">
        <v>11</v>
      </c>
      <c r="Y248" s="106">
        <v>47</v>
      </c>
      <c r="Z248" s="107">
        <v>43435</v>
      </c>
      <c r="AA248" s="108">
        <v>43443</v>
      </c>
      <c r="AB248" s="109"/>
      <c r="AC248" s="109"/>
    </row>
    <row r="249" spans="1:29" hidden="1" x14ac:dyDescent="0.15">
      <c r="A249" s="98">
        <v>248</v>
      </c>
      <c r="B249" s="99">
        <v>112917</v>
      </c>
      <c r="C249" s="98" t="s">
        <v>6331</v>
      </c>
      <c r="D249" s="100" t="s">
        <v>181</v>
      </c>
      <c r="E249" s="100" t="s">
        <v>182</v>
      </c>
      <c r="F249" s="100" t="s">
        <v>183</v>
      </c>
      <c r="G249" s="98" t="s">
        <v>17</v>
      </c>
      <c r="H249" s="98" t="str">
        <f>VLOOKUP(G249,CGS[],2,FALSE)</f>
        <v>MSC</v>
      </c>
      <c r="I249" s="65">
        <v>1900</v>
      </c>
      <c r="J249" s="101">
        <f>IF(ISBLANK(Pricelist[[#This Row],[EBS]]),"",VALUE(LEFT(Pricelist[[#This Row],[EBS]],LEN(Pricelist[[#This Row],[EBS]])-LEN(Pricelist[[#This Row],[E2]])-1)))</f>
        <v>100</v>
      </c>
      <c r="K249" s="65">
        <v>3100</v>
      </c>
      <c r="L249" s="101">
        <f>IF(ISBLANK(Pricelist[[#This Row],[EBS]]),"",VALUE(RIGHT(Pricelist[[#This Row],[EBS]],3)))</f>
        <v>200</v>
      </c>
      <c r="M249" s="65">
        <v>3100</v>
      </c>
      <c r="N249" s="101">
        <f>IF(ISBLANK(Pricelist[[#This Row],[EBS]]),"",VALUE(RIGHT(Pricelist[[#This Row],[EBS]],3)))</f>
        <v>200</v>
      </c>
      <c r="O249" s="101" t="str">
        <f>IF(AND(Pricelist[[#This Row],[AE1]]&lt;&gt;"",OR(Pricelist[[#This Row],[区]]="南",Pricelist[[#This Row],[区]]="北")),MID(Pricelist[[#This Row],[AE1]],4,2),"")</f>
        <v/>
      </c>
      <c r="P249" s="102">
        <v>1925</v>
      </c>
      <c r="Q249" s="103">
        <v>3150</v>
      </c>
      <c r="R249" s="103">
        <v>3150</v>
      </c>
      <c r="S249" s="104" t="s">
        <v>6328</v>
      </c>
      <c r="T249" s="104"/>
      <c r="U249" s="105" t="s">
        <v>506</v>
      </c>
      <c r="V249" s="100" t="s">
        <v>504</v>
      </c>
      <c r="W249" s="106" t="s">
        <v>101</v>
      </c>
      <c r="X249" s="106" t="s">
        <v>102</v>
      </c>
      <c r="Y249" s="106">
        <v>43</v>
      </c>
      <c r="Z249" s="107">
        <v>43435</v>
      </c>
      <c r="AA249" s="108">
        <v>43448</v>
      </c>
      <c r="AB249" s="109"/>
      <c r="AC249" s="109"/>
    </row>
    <row r="250" spans="1:29" hidden="1" x14ac:dyDescent="0.15">
      <c r="A250" s="98">
        <v>249</v>
      </c>
      <c r="B250" s="99">
        <v>112917</v>
      </c>
      <c r="C250" s="98" t="s">
        <v>6331</v>
      </c>
      <c r="D250" s="100" t="s">
        <v>181</v>
      </c>
      <c r="E250" s="100" t="s">
        <v>182</v>
      </c>
      <c r="F250" s="100" t="s">
        <v>183</v>
      </c>
      <c r="G250" s="98" t="s">
        <v>21</v>
      </c>
      <c r="H250" s="98" t="str">
        <f>VLOOKUP(G250,CGS[],2,FALSE)</f>
        <v>MSK</v>
      </c>
      <c r="I250" s="65">
        <v>2085</v>
      </c>
      <c r="J250" s="101" t="str">
        <f>IF(ISBLANK(Pricelist[[#This Row],[EBS]]),"",VALUE(LEFT(Pricelist[[#This Row],[EBS]],LEN(Pricelist[[#This Row],[EBS]])-LEN(Pricelist[[#This Row],[E2]])-1)))</f>
        <v/>
      </c>
      <c r="K250" s="65">
        <v>3520</v>
      </c>
      <c r="L250" s="101" t="str">
        <f>IF(ISBLANK(Pricelist[[#This Row],[EBS]]),"",VALUE(RIGHT(Pricelist[[#This Row],[EBS]],3)))</f>
        <v/>
      </c>
      <c r="M250" s="65">
        <v>3520</v>
      </c>
      <c r="N250" s="101" t="str">
        <f>IF(ISBLANK(Pricelist[[#This Row],[EBS]]),"",VALUE(RIGHT(Pricelist[[#This Row],[EBS]],3)))</f>
        <v/>
      </c>
      <c r="O250" s="101" t="str">
        <f>IF(AND(Pricelist[[#This Row],[AE1]]&lt;&gt;"",OR(Pricelist[[#This Row],[区]]="南",Pricelist[[#This Row],[区]]="北")),MID(Pricelist[[#This Row],[AE1]],4,2),"")</f>
        <v/>
      </c>
      <c r="P250" s="102">
        <v>2085</v>
      </c>
      <c r="Q250" s="103">
        <v>3520</v>
      </c>
      <c r="R250" s="103">
        <v>3520</v>
      </c>
      <c r="S250" s="104"/>
      <c r="T250" s="104"/>
      <c r="U250" s="105" t="s">
        <v>506</v>
      </c>
      <c r="V250" s="100" t="s">
        <v>507</v>
      </c>
      <c r="W250" s="106" t="s">
        <v>10</v>
      </c>
      <c r="X250" s="106" t="s">
        <v>11</v>
      </c>
      <c r="Y250" s="106" t="s">
        <v>2235</v>
      </c>
      <c r="Z250" s="107">
        <v>43437</v>
      </c>
      <c r="AA250" s="108">
        <v>43450</v>
      </c>
      <c r="AB250" s="109" t="s">
        <v>2236</v>
      </c>
      <c r="AC250" s="109"/>
    </row>
    <row r="251" spans="1:29" hidden="1" x14ac:dyDescent="0.15">
      <c r="A251" s="98">
        <v>250</v>
      </c>
      <c r="B251" s="99">
        <v>112917</v>
      </c>
      <c r="C251" s="98" t="s">
        <v>6331</v>
      </c>
      <c r="D251" s="100" t="s">
        <v>181</v>
      </c>
      <c r="E251" s="100" t="s">
        <v>182</v>
      </c>
      <c r="F251" s="100" t="s">
        <v>183</v>
      </c>
      <c r="G251" s="98" t="s">
        <v>24</v>
      </c>
      <c r="H251" s="98" t="str">
        <f>VLOOKUP(G251,CGS[],2,FALSE)</f>
        <v>SAF</v>
      </c>
      <c r="I251" s="65">
        <v>2100</v>
      </c>
      <c r="J251" s="101">
        <f>IF(ISBLANK(Pricelist[[#This Row],[EBS]]),"",VALUE(LEFT(Pricelist[[#This Row],[EBS]],LEN(Pricelist[[#This Row],[EBS]])-LEN(Pricelist[[#This Row],[E2]])-1)))</f>
        <v>60</v>
      </c>
      <c r="K251" s="65">
        <v>3500</v>
      </c>
      <c r="L251" s="101">
        <f>IF(ISBLANK(Pricelist[[#This Row],[EBS]]),"",VALUE(RIGHT(Pricelist[[#This Row],[EBS]],3)))</f>
        <v>120</v>
      </c>
      <c r="M251" s="65">
        <v>3500</v>
      </c>
      <c r="N251" s="101">
        <f>IF(ISBLANK(Pricelist[[#This Row],[EBS]]),"",VALUE(RIGHT(Pricelist[[#This Row],[EBS]],3)))</f>
        <v>120</v>
      </c>
      <c r="O251" s="101" t="str">
        <f>IF(AND(Pricelist[[#This Row],[AE1]]&lt;&gt;"",OR(Pricelist[[#This Row],[区]]="南",Pricelist[[#This Row],[区]]="北")),MID(Pricelist[[#This Row],[AE1]],4,2),"")</f>
        <v/>
      </c>
      <c r="P251" s="102">
        <v>2100</v>
      </c>
      <c r="Q251" s="103">
        <v>3500</v>
      </c>
      <c r="R251" s="103">
        <v>3500</v>
      </c>
      <c r="S251" s="104" t="s">
        <v>2199</v>
      </c>
      <c r="T251" s="104"/>
      <c r="U251" s="105" t="s">
        <v>506</v>
      </c>
      <c r="V251" s="100" t="s">
        <v>504</v>
      </c>
      <c r="W251" s="106" t="s">
        <v>10</v>
      </c>
      <c r="X251" s="106" t="s">
        <v>11</v>
      </c>
      <c r="Y251" s="106">
        <v>46</v>
      </c>
      <c r="Z251" s="107">
        <v>43437</v>
      </c>
      <c r="AA251" s="108">
        <v>43450</v>
      </c>
      <c r="AB251" s="109" t="s">
        <v>261</v>
      </c>
      <c r="AC251" s="109"/>
    </row>
    <row r="252" spans="1:29" hidden="1" x14ac:dyDescent="0.15">
      <c r="A252" s="98">
        <v>251</v>
      </c>
      <c r="B252" s="99">
        <v>112917</v>
      </c>
      <c r="C252" s="98" t="s">
        <v>6331</v>
      </c>
      <c r="D252" s="100" t="s">
        <v>181</v>
      </c>
      <c r="E252" s="100" t="s">
        <v>182</v>
      </c>
      <c r="F252" s="100" t="s">
        <v>183</v>
      </c>
      <c r="G252" s="98" t="s">
        <v>20</v>
      </c>
      <c r="H252" s="98" t="str">
        <f>VLOOKUP(G252,CGS[],2,FALSE)</f>
        <v>HPL</v>
      </c>
      <c r="I252" s="65">
        <v>1950</v>
      </c>
      <c r="J252" s="101">
        <f>IF(ISBLANK(Pricelist[[#This Row],[EBS]]),"",VALUE(LEFT(Pricelist[[#This Row],[EBS]],LEN(Pricelist[[#This Row],[EBS]])-LEN(Pricelist[[#This Row],[E2]])-1)))</f>
        <v>55</v>
      </c>
      <c r="K252" s="65">
        <v>3000</v>
      </c>
      <c r="L252" s="101">
        <f>IF(ISBLANK(Pricelist[[#This Row],[EBS]]),"",VALUE(RIGHT(Pricelist[[#This Row],[EBS]],3)))</f>
        <v>110</v>
      </c>
      <c r="M252" s="65">
        <v>3000</v>
      </c>
      <c r="N252" s="101">
        <f>IF(ISBLANK(Pricelist[[#This Row],[EBS]]),"",VALUE(RIGHT(Pricelist[[#This Row],[EBS]],3)))</f>
        <v>110</v>
      </c>
      <c r="O252" s="101" t="str">
        <f>IF(AND(Pricelist[[#This Row],[AE1]]&lt;&gt;"",OR(Pricelist[[#This Row],[区]]="南",Pricelist[[#This Row],[区]]="北")),MID(Pricelist[[#This Row],[AE1]],4,2),"")</f>
        <v/>
      </c>
      <c r="P252" s="102">
        <v>1975</v>
      </c>
      <c r="Q252" s="103">
        <v>3050</v>
      </c>
      <c r="R252" s="103">
        <v>3050</v>
      </c>
      <c r="S252" s="104" t="s">
        <v>2204</v>
      </c>
      <c r="T252" s="104"/>
      <c r="U252" s="105" t="s">
        <v>512</v>
      </c>
      <c r="V252" s="100" t="s">
        <v>507</v>
      </c>
      <c r="W252" s="106" t="s">
        <v>103</v>
      </c>
      <c r="X252" s="106" t="s">
        <v>104</v>
      </c>
      <c r="Y252" s="106">
        <v>44</v>
      </c>
      <c r="Z252" s="107">
        <v>43435</v>
      </c>
      <c r="AA252" s="108">
        <v>43448</v>
      </c>
      <c r="AB252" s="109" t="s">
        <v>120</v>
      </c>
      <c r="AC252" s="109"/>
    </row>
    <row r="253" spans="1:29" hidden="1" x14ac:dyDescent="0.15">
      <c r="A253" s="98">
        <v>252</v>
      </c>
      <c r="B253" s="99">
        <v>112917</v>
      </c>
      <c r="C253" s="98" t="s">
        <v>6331</v>
      </c>
      <c r="D253" s="100" t="s">
        <v>181</v>
      </c>
      <c r="E253" s="100" t="s">
        <v>182</v>
      </c>
      <c r="F253" s="100" t="s">
        <v>183</v>
      </c>
      <c r="G253" s="98" t="s">
        <v>18</v>
      </c>
      <c r="H253" s="98" t="str">
        <f>VLOOKUP(G253,CGS[],2,FALSE)</f>
        <v>PIL</v>
      </c>
      <c r="I253" s="65">
        <v>1810</v>
      </c>
      <c r="J253" s="101" t="str">
        <f>IF(ISBLANK(Pricelist[[#This Row],[EBS]]),"",VALUE(LEFT(Pricelist[[#This Row],[EBS]],LEN(Pricelist[[#This Row],[EBS]])-LEN(Pricelist[[#This Row],[E2]])-1)))</f>
        <v/>
      </c>
      <c r="K253" s="65">
        <v>3010</v>
      </c>
      <c r="L253" s="101" t="str">
        <f>IF(ISBLANK(Pricelist[[#This Row],[EBS]]),"",VALUE(RIGHT(Pricelist[[#This Row],[EBS]],3)))</f>
        <v/>
      </c>
      <c r="M253" s="65">
        <v>3010</v>
      </c>
      <c r="N253" s="101" t="str">
        <f>IF(ISBLANK(Pricelist[[#This Row],[EBS]]),"",VALUE(RIGHT(Pricelist[[#This Row],[EBS]],3)))</f>
        <v/>
      </c>
      <c r="O253" s="101" t="str">
        <f>IF(AND(Pricelist[[#This Row],[AE1]]&lt;&gt;"",OR(Pricelist[[#This Row],[区]]="南",Pricelist[[#This Row],[区]]="北")),MID(Pricelist[[#This Row],[AE1]],4,2),"")</f>
        <v/>
      </c>
      <c r="P253" s="102">
        <v>1910</v>
      </c>
      <c r="Q253" s="103">
        <v>3210</v>
      </c>
      <c r="R253" s="103">
        <v>3210</v>
      </c>
      <c r="S253" s="104"/>
      <c r="T253" s="104"/>
      <c r="U253" s="105" t="s">
        <v>508</v>
      </c>
      <c r="V253" s="100" t="s">
        <v>504</v>
      </c>
      <c r="W253" s="106" t="s">
        <v>10</v>
      </c>
      <c r="X253" s="106" t="s">
        <v>11</v>
      </c>
      <c r="Y253" s="106">
        <v>38</v>
      </c>
      <c r="Z253" s="107">
        <v>43444</v>
      </c>
      <c r="AA253" s="108">
        <v>43449</v>
      </c>
      <c r="AB253" s="109"/>
      <c r="AC253" s="109"/>
    </row>
    <row r="254" spans="1:29" ht="38.25" hidden="1" x14ac:dyDescent="0.15">
      <c r="A254" s="98">
        <v>253</v>
      </c>
      <c r="B254" s="99">
        <v>112917</v>
      </c>
      <c r="C254" s="98" t="s">
        <v>6331</v>
      </c>
      <c r="D254" s="100" t="s">
        <v>184</v>
      </c>
      <c r="E254" s="100" t="s">
        <v>185</v>
      </c>
      <c r="F254" s="100" t="s">
        <v>186</v>
      </c>
      <c r="G254" s="98" t="s">
        <v>17</v>
      </c>
      <c r="H254" s="98" t="str">
        <f>VLOOKUP(G254,CGS[],2,FALSE)</f>
        <v>MSC</v>
      </c>
      <c r="I254" s="65">
        <v>2575</v>
      </c>
      <c r="J254" s="101">
        <f>IF(ISBLANK(Pricelist[[#This Row],[EBS]]),"",VALUE(LEFT(Pricelist[[#This Row],[EBS]],LEN(Pricelist[[#This Row],[EBS]])-LEN(Pricelist[[#This Row],[E2]])-1)))</f>
        <v>100</v>
      </c>
      <c r="K254" s="65">
        <v>5150</v>
      </c>
      <c r="L254" s="101">
        <f>IF(ISBLANK(Pricelist[[#This Row],[EBS]]),"",VALUE(RIGHT(Pricelist[[#This Row],[EBS]],3)))</f>
        <v>200</v>
      </c>
      <c r="M254" s="65">
        <v>5150</v>
      </c>
      <c r="N254" s="101">
        <f>IF(ISBLANK(Pricelist[[#This Row],[EBS]]),"",VALUE(RIGHT(Pricelist[[#This Row],[EBS]],3)))</f>
        <v>200</v>
      </c>
      <c r="O254" s="101" t="str">
        <f>IF(AND(Pricelist[[#This Row],[AE1]]&lt;&gt;"",OR(Pricelist[[#This Row],[区]]="南",Pricelist[[#This Row],[区]]="北")),MID(Pricelist[[#This Row],[AE1]],4,2),"")</f>
        <v/>
      </c>
      <c r="P254" s="102">
        <v>2600</v>
      </c>
      <c r="Q254" s="103">
        <v>5200</v>
      </c>
      <c r="R254" s="103">
        <v>5200</v>
      </c>
      <c r="S254" s="104" t="s">
        <v>6328</v>
      </c>
      <c r="T254" s="104"/>
      <c r="U254" s="105" t="s">
        <v>506</v>
      </c>
      <c r="V254" s="100" t="s">
        <v>504</v>
      </c>
      <c r="W254" s="106" t="s">
        <v>132</v>
      </c>
      <c r="X254" s="106" t="s">
        <v>133</v>
      </c>
      <c r="Y254" s="106" t="s">
        <v>518</v>
      </c>
      <c r="Z254" s="107">
        <v>43435</v>
      </c>
      <c r="AA254" s="108">
        <v>43448</v>
      </c>
      <c r="AB254" s="109" t="s">
        <v>2237</v>
      </c>
      <c r="AC254" s="109"/>
    </row>
    <row r="255" spans="1:29" hidden="1" x14ac:dyDescent="0.15">
      <c r="A255" s="98">
        <v>254</v>
      </c>
      <c r="B255" s="99">
        <v>112917</v>
      </c>
      <c r="C255" s="98" t="s">
        <v>6331</v>
      </c>
      <c r="D255" s="100" t="s">
        <v>184</v>
      </c>
      <c r="E255" s="100" t="s">
        <v>185</v>
      </c>
      <c r="F255" s="100" t="s">
        <v>186</v>
      </c>
      <c r="G255" s="98" t="s">
        <v>8</v>
      </c>
      <c r="H255" s="98" t="str">
        <f>VLOOKUP(G255,CGS[],2,FALSE)</f>
        <v>CMA</v>
      </c>
      <c r="I255" s="65">
        <v>2413</v>
      </c>
      <c r="J255" s="101">
        <f>IF(ISBLANK(Pricelist[[#This Row],[EBS]]),"",VALUE(LEFT(Pricelist[[#This Row],[EBS]],LEN(Pricelist[[#This Row],[EBS]])-LEN(Pricelist[[#This Row],[E2]])-1)))</f>
        <v>55</v>
      </c>
      <c r="K255" s="65">
        <v>4263</v>
      </c>
      <c r="L255" s="101">
        <f>IF(ISBLANK(Pricelist[[#This Row],[EBS]]),"",VALUE(RIGHT(Pricelist[[#This Row],[EBS]],3)))</f>
        <v>110</v>
      </c>
      <c r="M255" s="65">
        <v>4263</v>
      </c>
      <c r="N255" s="101">
        <f>IF(ISBLANK(Pricelist[[#This Row],[EBS]]),"",VALUE(RIGHT(Pricelist[[#This Row],[EBS]],3)))</f>
        <v>110</v>
      </c>
      <c r="O255" s="101" t="str">
        <f>IF(AND(Pricelist[[#This Row],[AE1]]&lt;&gt;"",OR(Pricelist[[#This Row],[区]]="南",Pricelist[[#This Row],[区]]="北")),MID(Pricelist[[#This Row],[AE1]],4,2),"")</f>
        <v/>
      </c>
      <c r="P255" s="102">
        <v>2488</v>
      </c>
      <c r="Q255" s="103">
        <v>4413</v>
      </c>
      <c r="R255" s="103">
        <v>4413</v>
      </c>
      <c r="S255" s="104" t="s">
        <v>2204</v>
      </c>
      <c r="T255" s="104"/>
      <c r="U255" s="105" t="s">
        <v>511</v>
      </c>
      <c r="V255" s="100" t="s">
        <v>507</v>
      </c>
      <c r="W255" s="106" t="s">
        <v>130</v>
      </c>
      <c r="X255" s="106" t="s">
        <v>131</v>
      </c>
      <c r="Y255" s="106">
        <v>39</v>
      </c>
      <c r="Z255" s="107">
        <v>43430</v>
      </c>
      <c r="AA255" s="108">
        <v>43448</v>
      </c>
      <c r="AB255" s="109" t="s">
        <v>187</v>
      </c>
      <c r="AC255" s="109"/>
    </row>
    <row r="256" spans="1:29" hidden="1" x14ac:dyDescent="0.15">
      <c r="A256" s="98">
        <v>255</v>
      </c>
      <c r="B256" s="99">
        <v>112917</v>
      </c>
      <c r="C256" s="98" t="s">
        <v>6331</v>
      </c>
      <c r="D256" s="100" t="s">
        <v>184</v>
      </c>
      <c r="E256" s="100" t="s">
        <v>185</v>
      </c>
      <c r="F256" s="100" t="s">
        <v>186</v>
      </c>
      <c r="G256" s="98" t="s">
        <v>21</v>
      </c>
      <c r="H256" s="98" t="str">
        <f>VLOOKUP(G256,CGS[],2,FALSE)</f>
        <v>MSK</v>
      </c>
      <c r="I256" s="65">
        <v>2535</v>
      </c>
      <c r="J256" s="101" t="str">
        <f>IF(ISBLANK(Pricelist[[#This Row],[EBS]]),"",VALUE(LEFT(Pricelist[[#This Row],[EBS]],LEN(Pricelist[[#This Row],[EBS]])-LEN(Pricelist[[#This Row],[E2]])-1)))</f>
        <v/>
      </c>
      <c r="K256" s="65">
        <v>4520</v>
      </c>
      <c r="L256" s="101" t="str">
        <f>IF(ISBLANK(Pricelist[[#This Row],[EBS]]),"",VALUE(RIGHT(Pricelist[[#This Row],[EBS]],3)))</f>
        <v/>
      </c>
      <c r="M256" s="65">
        <v>4520</v>
      </c>
      <c r="N256" s="101" t="str">
        <f>IF(ISBLANK(Pricelist[[#This Row],[EBS]]),"",VALUE(RIGHT(Pricelist[[#This Row],[EBS]],3)))</f>
        <v/>
      </c>
      <c r="O256" s="101" t="str">
        <f>IF(AND(Pricelist[[#This Row],[AE1]]&lt;&gt;"",OR(Pricelist[[#This Row],[区]]="南",Pricelist[[#This Row],[区]]="北")),MID(Pricelist[[#This Row],[AE1]],4,2),"")</f>
        <v/>
      </c>
      <c r="P256" s="102">
        <v>2535</v>
      </c>
      <c r="Q256" s="103">
        <v>4520</v>
      </c>
      <c r="R256" s="103">
        <v>4520</v>
      </c>
      <c r="S256" s="104"/>
      <c r="T256" s="104"/>
      <c r="U256" s="105" t="s">
        <v>506</v>
      </c>
      <c r="V256" s="100" t="s">
        <v>507</v>
      </c>
      <c r="W256" s="106" t="s">
        <v>2238</v>
      </c>
      <c r="X256" s="106" t="s">
        <v>131</v>
      </c>
      <c r="Y256" s="106">
        <v>42</v>
      </c>
      <c r="Z256" s="107">
        <v>43437</v>
      </c>
      <c r="AA256" s="108">
        <v>43450</v>
      </c>
      <c r="AB256" s="109"/>
      <c r="AC256" s="109"/>
    </row>
    <row r="257" spans="1:29" hidden="1" x14ac:dyDescent="0.15">
      <c r="A257" s="98">
        <v>256</v>
      </c>
      <c r="B257" s="99">
        <v>112917</v>
      </c>
      <c r="C257" s="98" t="s">
        <v>6331</v>
      </c>
      <c r="D257" s="100" t="s">
        <v>184</v>
      </c>
      <c r="E257" s="100" t="s">
        <v>185</v>
      </c>
      <c r="F257" s="100" t="s">
        <v>186</v>
      </c>
      <c r="G257" s="98" t="s">
        <v>24</v>
      </c>
      <c r="H257" s="98" t="str">
        <f>VLOOKUP(G257,CGS[],2,FALSE)</f>
        <v>SAF</v>
      </c>
      <c r="I257" s="65">
        <v>2550</v>
      </c>
      <c r="J257" s="101">
        <f>IF(ISBLANK(Pricelist[[#This Row],[EBS]]),"",VALUE(LEFT(Pricelist[[#This Row],[EBS]],LEN(Pricelist[[#This Row],[EBS]])-LEN(Pricelist[[#This Row],[E2]])-1)))</f>
        <v>60</v>
      </c>
      <c r="K257" s="65">
        <v>4550</v>
      </c>
      <c r="L257" s="101">
        <f>IF(ISBLANK(Pricelist[[#This Row],[EBS]]),"",VALUE(RIGHT(Pricelist[[#This Row],[EBS]],3)))</f>
        <v>120</v>
      </c>
      <c r="M257" s="65">
        <v>4550</v>
      </c>
      <c r="N257" s="101">
        <f>IF(ISBLANK(Pricelist[[#This Row],[EBS]]),"",VALUE(RIGHT(Pricelist[[#This Row],[EBS]],3)))</f>
        <v>120</v>
      </c>
      <c r="O257" s="101" t="str">
        <f>IF(AND(Pricelist[[#This Row],[AE1]]&lt;&gt;"",OR(Pricelist[[#This Row],[区]]="南",Pricelist[[#This Row],[区]]="北")),MID(Pricelist[[#This Row],[AE1]],4,2),"")</f>
        <v/>
      </c>
      <c r="P257" s="102">
        <v>2550</v>
      </c>
      <c r="Q257" s="103">
        <v>4550</v>
      </c>
      <c r="R257" s="103">
        <v>4550</v>
      </c>
      <c r="S257" s="104" t="s">
        <v>2199</v>
      </c>
      <c r="T257" s="104"/>
      <c r="U257" s="105" t="s">
        <v>506</v>
      </c>
      <c r="V257" s="100" t="s">
        <v>507</v>
      </c>
      <c r="W257" s="106" t="s">
        <v>2238</v>
      </c>
      <c r="X257" s="106" t="s">
        <v>131</v>
      </c>
      <c r="Y257" s="106">
        <v>42</v>
      </c>
      <c r="Z257" s="107">
        <v>43437</v>
      </c>
      <c r="AA257" s="108">
        <v>43450</v>
      </c>
      <c r="AB257" s="109" t="s">
        <v>3694</v>
      </c>
      <c r="AC257" s="109"/>
    </row>
    <row r="258" spans="1:29" hidden="1" x14ac:dyDescent="0.15">
      <c r="A258" s="98">
        <v>257</v>
      </c>
      <c r="B258" s="99">
        <v>112917</v>
      </c>
      <c r="C258" s="98" t="s">
        <v>6331</v>
      </c>
      <c r="D258" s="100" t="s">
        <v>188</v>
      </c>
      <c r="E258" s="100" t="s">
        <v>189</v>
      </c>
      <c r="F258" s="100" t="s">
        <v>190</v>
      </c>
      <c r="G258" s="98" t="s">
        <v>17</v>
      </c>
      <c r="H258" s="98" t="str">
        <f>VLOOKUP(G258,CGS[],2,FALSE)</f>
        <v>MSC</v>
      </c>
      <c r="I258" s="65">
        <v>2100</v>
      </c>
      <c r="J258" s="101">
        <f>IF(ISBLANK(Pricelist[[#This Row],[EBS]]),"",VALUE(LEFT(Pricelist[[#This Row],[EBS]],LEN(Pricelist[[#This Row],[EBS]])-LEN(Pricelist[[#This Row],[E2]])-1)))</f>
        <v>100</v>
      </c>
      <c r="K258" s="65">
        <v>3600</v>
      </c>
      <c r="L258" s="101">
        <f>IF(ISBLANK(Pricelist[[#This Row],[EBS]]),"",VALUE(RIGHT(Pricelist[[#This Row],[EBS]],3)))</f>
        <v>200</v>
      </c>
      <c r="M258" s="65">
        <v>3600</v>
      </c>
      <c r="N258" s="101">
        <f>IF(ISBLANK(Pricelist[[#This Row],[EBS]]),"",VALUE(RIGHT(Pricelist[[#This Row],[EBS]],3)))</f>
        <v>200</v>
      </c>
      <c r="O258" s="101" t="str">
        <f>IF(AND(Pricelist[[#This Row],[AE1]]&lt;&gt;"",OR(Pricelist[[#This Row],[区]]="南",Pricelist[[#This Row],[区]]="北")),MID(Pricelist[[#This Row],[AE1]],4,2),"")</f>
        <v/>
      </c>
      <c r="P258" s="102">
        <v>2125</v>
      </c>
      <c r="Q258" s="103">
        <v>3650</v>
      </c>
      <c r="R258" s="103">
        <v>3650</v>
      </c>
      <c r="S258" s="104" t="s">
        <v>6328</v>
      </c>
      <c r="T258" s="104"/>
      <c r="U258" s="105" t="s">
        <v>506</v>
      </c>
      <c r="V258" s="100" t="s">
        <v>504</v>
      </c>
      <c r="W258" s="106" t="s">
        <v>101</v>
      </c>
      <c r="X258" s="106" t="s">
        <v>102</v>
      </c>
      <c r="Y258" s="106">
        <v>52</v>
      </c>
      <c r="Z258" s="107">
        <v>43435</v>
      </c>
      <c r="AA258" s="108">
        <v>43448</v>
      </c>
      <c r="AB258" s="109"/>
      <c r="AC258" s="109"/>
    </row>
    <row r="259" spans="1:29" hidden="1" x14ac:dyDescent="0.15">
      <c r="A259" s="98">
        <v>258</v>
      </c>
      <c r="B259" s="99">
        <v>112917</v>
      </c>
      <c r="C259" s="98" t="s">
        <v>6331</v>
      </c>
      <c r="D259" s="100" t="s">
        <v>188</v>
      </c>
      <c r="E259" s="100" t="s">
        <v>189</v>
      </c>
      <c r="F259" s="100" t="s">
        <v>190</v>
      </c>
      <c r="G259" s="98" t="s">
        <v>21</v>
      </c>
      <c r="H259" s="98" t="str">
        <f>VLOOKUP(G259,CGS[],2,FALSE)</f>
        <v>MSK</v>
      </c>
      <c r="I259" s="65">
        <v>2035</v>
      </c>
      <c r="J259" s="101" t="str">
        <f>IF(ISBLANK(Pricelist[[#This Row],[EBS]]),"",VALUE(LEFT(Pricelist[[#This Row],[EBS]],LEN(Pricelist[[#This Row],[EBS]])-LEN(Pricelist[[#This Row],[E2]])-1)))</f>
        <v/>
      </c>
      <c r="K259" s="65">
        <v>3570</v>
      </c>
      <c r="L259" s="101" t="str">
        <f>IF(ISBLANK(Pricelist[[#This Row],[EBS]]),"",VALUE(RIGHT(Pricelist[[#This Row],[EBS]],3)))</f>
        <v/>
      </c>
      <c r="M259" s="65">
        <v>3570</v>
      </c>
      <c r="N259" s="101" t="str">
        <f>IF(ISBLANK(Pricelist[[#This Row],[EBS]]),"",VALUE(RIGHT(Pricelist[[#This Row],[EBS]],3)))</f>
        <v/>
      </c>
      <c r="O259" s="101" t="str">
        <f>IF(AND(Pricelist[[#This Row],[AE1]]&lt;&gt;"",OR(Pricelist[[#This Row],[区]]="南",Pricelist[[#This Row],[区]]="北")),MID(Pricelist[[#This Row],[AE1]],4,2),"")</f>
        <v/>
      </c>
      <c r="P259" s="102">
        <v>2035</v>
      </c>
      <c r="Q259" s="103">
        <v>3570</v>
      </c>
      <c r="R259" s="103">
        <v>3570</v>
      </c>
      <c r="S259" s="104"/>
      <c r="T259" s="104"/>
      <c r="U259" s="105" t="s">
        <v>510</v>
      </c>
      <c r="V259" s="100" t="s">
        <v>504</v>
      </c>
      <c r="W259" s="106" t="s">
        <v>191</v>
      </c>
      <c r="X259" s="106" t="s">
        <v>104</v>
      </c>
      <c r="Y259" s="106">
        <v>45</v>
      </c>
      <c r="Z259" s="107">
        <v>43437</v>
      </c>
      <c r="AA259" s="108">
        <v>43450</v>
      </c>
      <c r="AB259" s="109"/>
      <c r="AC259" s="109"/>
    </row>
    <row r="260" spans="1:29" hidden="1" x14ac:dyDescent="0.15">
      <c r="A260" s="98">
        <v>259</v>
      </c>
      <c r="B260" s="99">
        <v>112917</v>
      </c>
      <c r="C260" s="98" t="s">
        <v>6331</v>
      </c>
      <c r="D260" s="100" t="s">
        <v>188</v>
      </c>
      <c r="E260" s="100" t="s">
        <v>189</v>
      </c>
      <c r="F260" s="100" t="s">
        <v>190</v>
      </c>
      <c r="G260" s="98" t="s">
        <v>24</v>
      </c>
      <c r="H260" s="98" t="str">
        <f>VLOOKUP(G260,CGS[],2,FALSE)</f>
        <v>SAF</v>
      </c>
      <c r="I260" s="65">
        <v>2050</v>
      </c>
      <c r="J260" s="101">
        <f>IF(ISBLANK(Pricelist[[#This Row],[EBS]]),"",VALUE(LEFT(Pricelist[[#This Row],[EBS]],LEN(Pricelist[[#This Row],[EBS]])-LEN(Pricelist[[#This Row],[E2]])-1)))</f>
        <v>60</v>
      </c>
      <c r="K260" s="65">
        <v>3600</v>
      </c>
      <c r="L260" s="101">
        <f>IF(ISBLANK(Pricelist[[#This Row],[EBS]]),"",VALUE(RIGHT(Pricelist[[#This Row],[EBS]],3)))</f>
        <v>120</v>
      </c>
      <c r="M260" s="65">
        <v>3600</v>
      </c>
      <c r="N260" s="101">
        <f>IF(ISBLANK(Pricelist[[#This Row],[EBS]]),"",VALUE(RIGHT(Pricelist[[#This Row],[EBS]],3)))</f>
        <v>120</v>
      </c>
      <c r="O260" s="101" t="str">
        <f>IF(AND(Pricelist[[#This Row],[AE1]]&lt;&gt;"",OR(Pricelist[[#This Row],[区]]="南",Pricelist[[#This Row],[区]]="北")),MID(Pricelist[[#This Row],[AE1]],4,2),"")</f>
        <v/>
      </c>
      <c r="P260" s="102">
        <v>2050</v>
      </c>
      <c r="Q260" s="103">
        <v>3600</v>
      </c>
      <c r="R260" s="103">
        <v>3600</v>
      </c>
      <c r="S260" s="104" t="s">
        <v>2199</v>
      </c>
      <c r="T260" s="104"/>
      <c r="U260" s="105" t="s">
        <v>3272</v>
      </c>
      <c r="V260" s="100" t="s">
        <v>507</v>
      </c>
      <c r="W260" s="106" t="s">
        <v>2252</v>
      </c>
      <c r="X260" s="106" t="s">
        <v>2231</v>
      </c>
      <c r="Y260" s="106">
        <v>45</v>
      </c>
      <c r="Z260" s="107">
        <v>43437</v>
      </c>
      <c r="AA260" s="108">
        <v>43450</v>
      </c>
      <c r="AB260" s="109" t="s">
        <v>2232</v>
      </c>
      <c r="AC260" s="109"/>
    </row>
    <row r="261" spans="1:29" hidden="1" x14ac:dyDescent="0.15">
      <c r="A261" s="98">
        <v>260</v>
      </c>
      <c r="B261" s="99">
        <v>112917</v>
      </c>
      <c r="C261" s="98" t="s">
        <v>6331</v>
      </c>
      <c r="D261" s="100" t="s">
        <v>188</v>
      </c>
      <c r="E261" s="100" t="s">
        <v>189</v>
      </c>
      <c r="F261" s="100" t="s">
        <v>190</v>
      </c>
      <c r="G261" s="98" t="s">
        <v>9</v>
      </c>
      <c r="H261" s="98" t="str">
        <f>VLOOKUP(G261,CGS[],2,FALSE)</f>
        <v>COSCO</v>
      </c>
      <c r="I261" s="65">
        <v>1935</v>
      </c>
      <c r="J261" s="101">
        <f>IF(ISBLANK(Pricelist[[#This Row],[EBS]]),"",VALUE(LEFT(Pricelist[[#This Row],[EBS]],LEN(Pricelist[[#This Row],[EBS]])-LEN(Pricelist[[#This Row],[E2]])-1)))</f>
        <v>60</v>
      </c>
      <c r="K261" s="65">
        <v>3260</v>
      </c>
      <c r="L261" s="101">
        <f>IF(ISBLANK(Pricelist[[#This Row],[EBS]]),"",VALUE(RIGHT(Pricelist[[#This Row],[EBS]],3)))</f>
        <v>120</v>
      </c>
      <c r="M261" s="65">
        <v>3260</v>
      </c>
      <c r="N261" s="101">
        <f>IF(ISBLANK(Pricelist[[#This Row],[EBS]]),"",VALUE(RIGHT(Pricelist[[#This Row],[EBS]],3)))</f>
        <v>120</v>
      </c>
      <c r="O261" s="101" t="str">
        <f>IF(AND(Pricelist[[#This Row],[AE1]]&lt;&gt;"",OR(Pricelist[[#This Row],[区]]="南",Pricelist[[#This Row],[区]]="北")),MID(Pricelist[[#This Row],[AE1]],4,2),"")</f>
        <v/>
      </c>
      <c r="P261" s="102">
        <v>1960</v>
      </c>
      <c r="Q261" s="103">
        <v>3310</v>
      </c>
      <c r="R261" s="103">
        <v>3310</v>
      </c>
      <c r="S261" s="104" t="s">
        <v>2199</v>
      </c>
      <c r="T261" s="104"/>
      <c r="U261" s="105" t="s">
        <v>508</v>
      </c>
      <c r="V261" s="100" t="s">
        <v>504</v>
      </c>
      <c r="W261" s="106" t="s">
        <v>91</v>
      </c>
      <c r="X261" s="106" t="s">
        <v>102</v>
      </c>
      <c r="Y261" s="106">
        <v>45</v>
      </c>
      <c r="Z261" s="107">
        <v>43437</v>
      </c>
      <c r="AA261" s="108">
        <v>43450</v>
      </c>
      <c r="AB261" s="109" t="s">
        <v>135</v>
      </c>
      <c r="AC261" s="109"/>
    </row>
    <row r="262" spans="1:29" hidden="1" x14ac:dyDescent="0.15">
      <c r="A262" s="98">
        <v>261</v>
      </c>
      <c r="B262" s="99">
        <v>112917</v>
      </c>
      <c r="C262" s="98" t="s">
        <v>6331</v>
      </c>
      <c r="D262" s="100" t="s">
        <v>188</v>
      </c>
      <c r="E262" s="100" t="s">
        <v>189</v>
      </c>
      <c r="F262" s="100" t="s">
        <v>190</v>
      </c>
      <c r="G262" s="98" t="s">
        <v>18</v>
      </c>
      <c r="H262" s="98" t="str">
        <f>VLOOKUP(G262,CGS[],2,FALSE)</f>
        <v>PIL</v>
      </c>
      <c r="I262" s="65">
        <v>1910</v>
      </c>
      <c r="J262" s="101" t="str">
        <f>IF(ISBLANK(Pricelist[[#This Row],[EBS]]),"",VALUE(LEFT(Pricelist[[#This Row],[EBS]],LEN(Pricelist[[#This Row],[EBS]])-LEN(Pricelist[[#This Row],[E2]])-1)))</f>
        <v/>
      </c>
      <c r="K262" s="65">
        <v>3210</v>
      </c>
      <c r="L262" s="101" t="str">
        <f>IF(ISBLANK(Pricelist[[#This Row],[EBS]]),"",VALUE(RIGHT(Pricelist[[#This Row],[EBS]],3)))</f>
        <v/>
      </c>
      <c r="M262" s="65">
        <v>3210</v>
      </c>
      <c r="N262" s="101" t="str">
        <f>IF(ISBLANK(Pricelist[[#This Row],[EBS]]),"",VALUE(RIGHT(Pricelist[[#This Row],[EBS]],3)))</f>
        <v/>
      </c>
      <c r="O262" s="101" t="str">
        <f>IF(AND(Pricelist[[#This Row],[AE1]]&lt;&gt;"",OR(Pricelist[[#This Row],[区]]="南",Pricelist[[#This Row],[区]]="北")),MID(Pricelist[[#This Row],[AE1]],4,2),"")</f>
        <v/>
      </c>
      <c r="P262" s="102">
        <v>2010</v>
      </c>
      <c r="Q262" s="103">
        <v>3410</v>
      </c>
      <c r="R262" s="103">
        <v>3410</v>
      </c>
      <c r="S262" s="104"/>
      <c r="T262" s="104"/>
      <c r="U262" s="105" t="s">
        <v>508</v>
      </c>
      <c r="V262" s="100" t="s">
        <v>504</v>
      </c>
      <c r="W262" s="106" t="s">
        <v>91</v>
      </c>
      <c r="X262" s="106" t="s">
        <v>102</v>
      </c>
      <c r="Y262" s="106">
        <v>49</v>
      </c>
      <c r="Z262" s="107">
        <v>43444</v>
      </c>
      <c r="AA262" s="108">
        <v>43449</v>
      </c>
      <c r="AB262" s="109"/>
      <c r="AC262" s="109"/>
    </row>
    <row r="263" spans="1:29" hidden="1" x14ac:dyDescent="0.15">
      <c r="A263" s="98">
        <v>262</v>
      </c>
      <c r="B263" s="99">
        <v>112917</v>
      </c>
      <c r="C263" s="98" t="s">
        <v>6331</v>
      </c>
      <c r="D263" s="100" t="s">
        <v>188</v>
      </c>
      <c r="E263" s="100" t="s">
        <v>189</v>
      </c>
      <c r="F263" s="100" t="s">
        <v>190</v>
      </c>
      <c r="G263" s="98" t="s">
        <v>8</v>
      </c>
      <c r="H263" s="98" t="str">
        <f>VLOOKUP(G263,CGS[],2,FALSE)</f>
        <v>CMA</v>
      </c>
      <c r="I263" s="65">
        <v>2163</v>
      </c>
      <c r="J263" s="101">
        <f>IF(ISBLANK(Pricelist[[#This Row],[EBS]]),"",VALUE(LEFT(Pricelist[[#This Row],[EBS]],LEN(Pricelist[[#This Row],[EBS]])-LEN(Pricelist[[#This Row],[E2]])-1)))</f>
        <v>55</v>
      </c>
      <c r="K263" s="65">
        <v>3813</v>
      </c>
      <c r="L263" s="101">
        <f>IF(ISBLANK(Pricelist[[#This Row],[EBS]]),"",VALUE(RIGHT(Pricelist[[#This Row],[EBS]],3)))</f>
        <v>110</v>
      </c>
      <c r="M263" s="65">
        <v>3813</v>
      </c>
      <c r="N263" s="101">
        <f>IF(ISBLANK(Pricelist[[#This Row],[EBS]]),"",VALUE(RIGHT(Pricelist[[#This Row],[EBS]],3)))</f>
        <v>110</v>
      </c>
      <c r="O263" s="101" t="str">
        <f>IF(AND(Pricelist[[#This Row],[AE1]]&lt;&gt;"",OR(Pricelist[[#This Row],[区]]="南",Pricelist[[#This Row],[区]]="北")),MID(Pricelist[[#This Row],[AE1]],4,2),"")</f>
        <v/>
      </c>
      <c r="P263" s="102">
        <v>2238</v>
      </c>
      <c r="Q263" s="103">
        <v>3963</v>
      </c>
      <c r="R263" s="103">
        <v>3963</v>
      </c>
      <c r="S263" s="104" t="s">
        <v>2204</v>
      </c>
      <c r="T263" s="104"/>
      <c r="U263" s="105" t="s">
        <v>511</v>
      </c>
      <c r="V263" s="100" t="s">
        <v>507</v>
      </c>
      <c r="W263" s="106" t="s">
        <v>130</v>
      </c>
      <c r="X263" s="106" t="s">
        <v>131</v>
      </c>
      <c r="Y263" s="106">
        <v>45</v>
      </c>
      <c r="Z263" s="107">
        <v>43430</v>
      </c>
      <c r="AA263" s="108">
        <v>43448</v>
      </c>
      <c r="AB263" s="109" t="s">
        <v>192</v>
      </c>
      <c r="AC263" s="109"/>
    </row>
    <row r="264" spans="1:29" hidden="1" x14ac:dyDescent="0.15">
      <c r="A264" s="98">
        <v>263</v>
      </c>
      <c r="B264" s="99">
        <v>112917</v>
      </c>
      <c r="C264" s="98" t="s">
        <v>6331</v>
      </c>
      <c r="D264" s="100" t="s">
        <v>193</v>
      </c>
      <c r="E264" s="100" t="s">
        <v>194</v>
      </c>
      <c r="F264" s="100" t="s">
        <v>195</v>
      </c>
      <c r="G264" s="98" t="s">
        <v>21</v>
      </c>
      <c r="H264" s="98" t="str">
        <f>VLOOKUP(G264,CGS[],2,FALSE)</f>
        <v>MSK</v>
      </c>
      <c r="I264" s="65">
        <v>2935</v>
      </c>
      <c r="J264" s="101" t="str">
        <f>IF(ISBLANK(Pricelist[[#This Row],[EBS]]),"",VALUE(LEFT(Pricelist[[#This Row],[EBS]],LEN(Pricelist[[#This Row],[EBS]])-LEN(Pricelist[[#This Row],[E2]])-1)))</f>
        <v/>
      </c>
      <c r="K264" s="65">
        <v>5370</v>
      </c>
      <c r="L264" s="101" t="str">
        <f>IF(ISBLANK(Pricelist[[#This Row],[EBS]]),"",VALUE(RIGHT(Pricelist[[#This Row],[EBS]],3)))</f>
        <v/>
      </c>
      <c r="M264" s="65">
        <v>5370</v>
      </c>
      <c r="N264" s="101" t="str">
        <f>IF(ISBLANK(Pricelist[[#This Row],[EBS]]),"",VALUE(RIGHT(Pricelist[[#This Row],[EBS]],3)))</f>
        <v/>
      </c>
      <c r="O264" s="101" t="str">
        <f>IF(AND(Pricelist[[#This Row],[AE1]]&lt;&gt;"",OR(Pricelist[[#This Row],[区]]="南",Pricelist[[#This Row],[区]]="北")),MID(Pricelist[[#This Row],[AE1]],4,2),"")</f>
        <v/>
      </c>
      <c r="P264" s="102">
        <v>2935</v>
      </c>
      <c r="Q264" s="103">
        <v>5370</v>
      </c>
      <c r="R264" s="103">
        <v>5370</v>
      </c>
      <c r="S264" s="104"/>
      <c r="T264" s="104"/>
      <c r="U264" s="105" t="s">
        <v>506</v>
      </c>
      <c r="V264" s="100" t="s">
        <v>507</v>
      </c>
      <c r="W264" s="106" t="s">
        <v>2238</v>
      </c>
      <c r="X264" s="106" t="s">
        <v>131</v>
      </c>
      <c r="Y264" s="106" t="s">
        <v>2239</v>
      </c>
      <c r="Z264" s="107">
        <v>43437</v>
      </c>
      <c r="AA264" s="108">
        <v>43450</v>
      </c>
      <c r="AB264" s="109"/>
      <c r="AC264" s="109"/>
    </row>
    <row r="265" spans="1:29" hidden="1" x14ac:dyDescent="0.15">
      <c r="A265" s="98">
        <v>264</v>
      </c>
      <c r="B265" s="99">
        <v>112917</v>
      </c>
      <c r="C265" s="98" t="s">
        <v>6331</v>
      </c>
      <c r="D265" s="100" t="s">
        <v>193</v>
      </c>
      <c r="E265" s="100" t="s">
        <v>194</v>
      </c>
      <c r="F265" s="100" t="s">
        <v>195</v>
      </c>
      <c r="G265" s="98" t="s">
        <v>24</v>
      </c>
      <c r="H265" s="98" t="str">
        <f>VLOOKUP(G265,CGS[],2,FALSE)</f>
        <v>SAF</v>
      </c>
      <c r="I265" s="65">
        <v>2950</v>
      </c>
      <c r="J265" s="101">
        <f>IF(ISBLANK(Pricelist[[#This Row],[EBS]]),"",VALUE(LEFT(Pricelist[[#This Row],[EBS]],LEN(Pricelist[[#This Row],[EBS]])-LEN(Pricelist[[#This Row],[E2]])-1)))</f>
        <v>60</v>
      </c>
      <c r="K265" s="65">
        <v>5400</v>
      </c>
      <c r="L265" s="101">
        <f>IF(ISBLANK(Pricelist[[#This Row],[EBS]]),"",VALUE(RIGHT(Pricelist[[#This Row],[EBS]],3)))</f>
        <v>120</v>
      </c>
      <c r="M265" s="65">
        <v>5400</v>
      </c>
      <c r="N265" s="101">
        <f>IF(ISBLANK(Pricelist[[#This Row],[EBS]]),"",VALUE(RIGHT(Pricelist[[#This Row],[EBS]],3)))</f>
        <v>120</v>
      </c>
      <c r="O265" s="101" t="str">
        <f>IF(AND(Pricelist[[#This Row],[AE1]]&lt;&gt;"",OR(Pricelist[[#This Row],[区]]="南",Pricelist[[#This Row],[区]]="北")),MID(Pricelist[[#This Row],[AE1]],4,2),"")</f>
        <v/>
      </c>
      <c r="P265" s="102">
        <v>2950</v>
      </c>
      <c r="Q265" s="103">
        <v>5400</v>
      </c>
      <c r="R265" s="103">
        <v>5400</v>
      </c>
      <c r="S265" s="104" t="s">
        <v>2199</v>
      </c>
      <c r="T265" s="104"/>
      <c r="U265" s="105" t="s">
        <v>506</v>
      </c>
      <c r="V265" s="100" t="s">
        <v>507</v>
      </c>
      <c r="W265" s="106" t="s">
        <v>2238</v>
      </c>
      <c r="X265" s="106" t="s">
        <v>131</v>
      </c>
      <c r="Y265" s="106" t="s">
        <v>196</v>
      </c>
      <c r="Z265" s="107">
        <v>43437</v>
      </c>
      <c r="AA265" s="108">
        <v>43450</v>
      </c>
      <c r="AB265" s="109" t="s">
        <v>3694</v>
      </c>
      <c r="AC265" s="109"/>
    </row>
    <row r="266" spans="1:29" ht="38.25" hidden="1" x14ac:dyDescent="0.15">
      <c r="A266" s="98">
        <v>265</v>
      </c>
      <c r="B266" s="99">
        <v>112917</v>
      </c>
      <c r="C266" s="98" t="s">
        <v>6331</v>
      </c>
      <c r="D266" s="100" t="s">
        <v>193</v>
      </c>
      <c r="E266" s="100" t="s">
        <v>194</v>
      </c>
      <c r="F266" s="100" t="s">
        <v>195</v>
      </c>
      <c r="G266" s="98" t="s">
        <v>17</v>
      </c>
      <c r="H266" s="98" t="str">
        <f>VLOOKUP(G266,CGS[],2,FALSE)</f>
        <v>MSC</v>
      </c>
      <c r="I266" s="65">
        <v>3120</v>
      </c>
      <c r="J266" s="101">
        <f>IF(ISBLANK(Pricelist[[#This Row],[EBS]]),"",VALUE(LEFT(Pricelist[[#This Row],[EBS]],LEN(Pricelist[[#This Row],[EBS]])-LEN(Pricelist[[#This Row],[E2]])-1)))</f>
        <v>100</v>
      </c>
      <c r="K266" s="65">
        <v>5560</v>
      </c>
      <c r="L266" s="101">
        <f>IF(ISBLANK(Pricelist[[#This Row],[EBS]]),"",VALUE(RIGHT(Pricelist[[#This Row],[EBS]],3)))</f>
        <v>200</v>
      </c>
      <c r="M266" s="65">
        <v>5560</v>
      </c>
      <c r="N266" s="101">
        <f>IF(ISBLANK(Pricelist[[#This Row],[EBS]]),"",VALUE(RIGHT(Pricelist[[#This Row],[EBS]],3)))</f>
        <v>200</v>
      </c>
      <c r="O266" s="101" t="str">
        <f>IF(AND(Pricelist[[#This Row],[AE1]]&lt;&gt;"",OR(Pricelist[[#This Row],[区]]="南",Pricelist[[#This Row],[区]]="北")),MID(Pricelist[[#This Row],[AE1]],4,2),"")</f>
        <v/>
      </c>
      <c r="P266" s="102">
        <v>3145</v>
      </c>
      <c r="Q266" s="103">
        <v>5610</v>
      </c>
      <c r="R266" s="103">
        <v>5610</v>
      </c>
      <c r="S266" s="104" t="s">
        <v>6328</v>
      </c>
      <c r="T266" s="104"/>
      <c r="U266" s="105" t="s">
        <v>506</v>
      </c>
      <c r="V266" s="100" t="s">
        <v>504</v>
      </c>
      <c r="W266" s="106" t="s">
        <v>132</v>
      </c>
      <c r="X266" s="106" t="s">
        <v>133</v>
      </c>
      <c r="Y266" s="106" t="s">
        <v>519</v>
      </c>
      <c r="Z266" s="107">
        <v>43435</v>
      </c>
      <c r="AA266" s="108">
        <v>43448</v>
      </c>
      <c r="AB266" s="109" t="s">
        <v>2240</v>
      </c>
      <c r="AC266" s="109"/>
    </row>
    <row r="267" spans="1:29" hidden="1" x14ac:dyDescent="0.15">
      <c r="A267" s="98">
        <v>266</v>
      </c>
      <c r="B267" s="99">
        <v>112917</v>
      </c>
      <c r="C267" s="98" t="s">
        <v>6331</v>
      </c>
      <c r="D267" s="100" t="s">
        <v>193</v>
      </c>
      <c r="E267" s="100" t="s">
        <v>194</v>
      </c>
      <c r="F267" s="100" t="s">
        <v>195</v>
      </c>
      <c r="G267" s="98" t="s">
        <v>36</v>
      </c>
      <c r="H267" s="98" t="str">
        <f>VLOOKUP(G267,CGS[],2,FALSE)</f>
        <v>BLINE</v>
      </c>
      <c r="I267" s="65">
        <v>3850</v>
      </c>
      <c r="J267" s="101">
        <f>IF(ISBLANK(Pricelist[[#This Row],[EBS]]),"",VALUE(LEFT(Pricelist[[#This Row],[EBS]],LEN(Pricelist[[#This Row],[EBS]])-LEN(Pricelist[[#This Row],[E2]])-1)))</f>
        <v>50</v>
      </c>
      <c r="K267" s="65">
        <v>6300</v>
      </c>
      <c r="L267" s="101">
        <f>IF(ISBLANK(Pricelist[[#This Row],[EBS]]),"",VALUE(RIGHT(Pricelist[[#This Row],[EBS]],3)))</f>
        <v>100</v>
      </c>
      <c r="M267" s="65">
        <v>6300</v>
      </c>
      <c r="N267" s="101">
        <f>IF(ISBLANK(Pricelist[[#This Row],[EBS]]),"",VALUE(RIGHT(Pricelist[[#This Row],[EBS]],3)))</f>
        <v>100</v>
      </c>
      <c r="O267" s="101" t="str">
        <f>IF(AND(Pricelist[[#This Row],[AE1]]&lt;&gt;"",OR(Pricelist[[#This Row],[区]]="南",Pricelist[[#This Row],[区]]="北")),MID(Pricelist[[#This Row],[AE1]],4,2),"")</f>
        <v/>
      </c>
      <c r="P267" s="102">
        <v>3850</v>
      </c>
      <c r="Q267" s="103">
        <v>6300</v>
      </c>
      <c r="R267" s="103">
        <v>6300</v>
      </c>
      <c r="S267" s="104" t="s">
        <v>2205</v>
      </c>
      <c r="T267" s="104"/>
      <c r="U267" s="105" t="s">
        <v>3274</v>
      </c>
      <c r="V267" s="100" t="s">
        <v>504</v>
      </c>
      <c r="W267" s="106" t="s">
        <v>197</v>
      </c>
      <c r="X267" s="106" t="s">
        <v>198</v>
      </c>
      <c r="Y267" s="106">
        <v>45</v>
      </c>
      <c r="Z267" s="107">
        <v>43416</v>
      </c>
      <c r="AA267" s="108">
        <v>43422</v>
      </c>
      <c r="AB267" s="109" t="s">
        <v>199</v>
      </c>
      <c r="AC267" s="109"/>
    </row>
    <row r="268" spans="1:29" ht="25.5" hidden="1" x14ac:dyDescent="0.15">
      <c r="A268" s="98">
        <v>267</v>
      </c>
      <c r="B268" s="99">
        <v>112917</v>
      </c>
      <c r="C268" s="98" t="s">
        <v>6331</v>
      </c>
      <c r="D268" s="100" t="s">
        <v>200</v>
      </c>
      <c r="E268" s="100" t="s">
        <v>201</v>
      </c>
      <c r="F268" s="100" t="s">
        <v>202</v>
      </c>
      <c r="G268" s="98" t="s">
        <v>21</v>
      </c>
      <c r="H268" s="98" t="str">
        <f>VLOOKUP(G268,CGS[],2,FALSE)</f>
        <v>MSK</v>
      </c>
      <c r="I268" s="65">
        <v>2385</v>
      </c>
      <c r="J268" s="101" t="str">
        <f>IF(ISBLANK(Pricelist[[#This Row],[EBS]]),"",VALUE(LEFT(Pricelist[[#This Row],[EBS]],LEN(Pricelist[[#This Row],[EBS]])-LEN(Pricelist[[#This Row],[E2]])-1)))</f>
        <v/>
      </c>
      <c r="K268" s="65">
        <v>3870</v>
      </c>
      <c r="L268" s="101" t="str">
        <f>IF(ISBLANK(Pricelist[[#This Row],[EBS]]),"",VALUE(RIGHT(Pricelist[[#This Row],[EBS]],3)))</f>
        <v/>
      </c>
      <c r="M268" s="65">
        <v>3870</v>
      </c>
      <c r="N268" s="101" t="str">
        <f>IF(ISBLANK(Pricelist[[#This Row],[EBS]]),"",VALUE(RIGHT(Pricelist[[#This Row],[EBS]],3)))</f>
        <v/>
      </c>
      <c r="O268" s="101" t="str">
        <f>IF(AND(Pricelist[[#This Row],[AE1]]&lt;&gt;"",OR(Pricelist[[#This Row],[区]]="南",Pricelist[[#This Row],[区]]="北")),MID(Pricelist[[#This Row],[AE1]],4,2),"")</f>
        <v/>
      </c>
      <c r="P268" s="102">
        <v>2385</v>
      </c>
      <c r="Q268" s="103">
        <v>3870</v>
      </c>
      <c r="R268" s="103">
        <v>3870</v>
      </c>
      <c r="S268" s="104"/>
      <c r="T268" s="104"/>
      <c r="U268" s="105" t="s">
        <v>509</v>
      </c>
      <c r="V268" s="100" t="s">
        <v>507</v>
      </c>
      <c r="W268" s="106" t="s">
        <v>2241</v>
      </c>
      <c r="X268" s="106" t="s">
        <v>141</v>
      </c>
      <c r="Y268" s="106">
        <v>45</v>
      </c>
      <c r="Z268" s="107">
        <v>43437</v>
      </c>
      <c r="AA268" s="108">
        <v>43450</v>
      </c>
      <c r="AB268" s="109" t="s">
        <v>3695</v>
      </c>
      <c r="AC268" s="109"/>
    </row>
    <row r="269" spans="1:29" hidden="1" x14ac:dyDescent="0.15">
      <c r="A269" s="98">
        <v>268</v>
      </c>
      <c r="B269" s="99">
        <v>112917</v>
      </c>
      <c r="C269" s="98" t="s">
        <v>6331</v>
      </c>
      <c r="D269" s="100" t="s">
        <v>200</v>
      </c>
      <c r="E269" s="100" t="s">
        <v>201</v>
      </c>
      <c r="F269" s="100" t="s">
        <v>202</v>
      </c>
      <c r="G269" s="98" t="s">
        <v>9</v>
      </c>
      <c r="H269" s="98" t="str">
        <f>VLOOKUP(G269,CGS[],2,FALSE)</f>
        <v>COSCO</v>
      </c>
      <c r="I269" s="65">
        <v>1935</v>
      </c>
      <c r="J269" s="101">
        <f>IF(ISBLANK(Pricelist[[#This Row],[EBS]]),"",VALUE(LEFT(Pricelist[[#This Row],[EBS]],LEN(Pricelist[[#This Row],[EBS]])-LEN(Pricelist[[#This Row],[E2]])-1)))</f>
        <v>60</v>
      </c>
      <c r="K269" s="65">
        <v>3260</v>
      </c>
      <c r="L269" s="101">
        <f>IF(ISBLANK(Pricelist[[#This Row],[EBS]]),"",VALUE(RIGHT(Pricelist[[#This Row],[EBS]],3)))</f>
        <v>120</v>
      </c>
      <c r="M269" s="65">
        <v>3260</v>
      </c>
      <c r="N269" s="101">
        <f>IF(ISBLANK(Pricelist[[#This Row],[EBS]]),"",VALUE(RIGHT(Pricelist[[#This Row],[EBS]],3)))</f>
        <v>120</v>
      </c>
      <c r="O269" s="101" t="str">
        <f>IF(AND(Pricelist[[#This Row],[AE1]]&lt;&gt;"",OR(Pricelist[[#This Row],[区]]="南",Pricelist[[#This Row],[区]]="北")),MID(Pricelist[[#This Row],[AE1]],4,2),"")</f>
        <v/>
      </c>
      <c r="P269" s="102">
        <v>1960</v>
      </c>
      <c r="Q269" s="103">
        <v>3310</v>
      </c>
      <c r="R269" s="103">
        <v>3310</v>
      </c>
      <c r="S269" s="104" t="s">
        <v>2199</v>
      </c>
      <c r="T269" s="104"/>
      <c r="U269" s="105" t="s">
        <v>508</v>
      </c>
      <c r="V269" s="100" t="s">
        <v>504</v>
      </c>
      <c r="W269" s="106" t="s">
        <v>91</v>
      </c>
      <c r="X269" s="106" t="s">
        <v>102</v>
      </c>
      <c r="Y269" s="106">
        <v>42</v>
      </c>
      <c r="Z269" s="107">
        <v>43437</v>
      </c>
      <c r="AA269" s="108">
        <v>43450</v>
      </c>
      <c r="AB269" s="109" t="s">
        <v>135</v>
      </c>
      <c r="AC269" s="109"/>
    </row>
    <row r="270" spans="1:29" hidden="1" x14ac:dyDescent="0.15">
      <c r="A270" s="98">
        <v>269</v>
      </c>
      <c r="B270" s="99">
        <v>112917</v>
      </c>
      <c r="C270" s="98" t="s">
        <v>6331</v>
      </c>
      <c r="D270" s="100" t="s">
        <v>200</v>
      </c>
      <c r="E270" s="100" t="s">
        <v>201</v>
      </c>
      <c r="F270" s="100" t="s">
        <v>202</v>
      </c>
      <c r="G270" s="98" t="s">
        <v>24</v>
      </c>
      <c r="H270" s="98" t="str">
        <f>VLOOKUP(G270,CGS[],2,FALSE)</f>
        <v>SAF</v>
      </c>
      <c r="I270" s="65">
        <v>2400</v>
      </c>
      <c r="J270" s="101">
        <f>IF(ISBLANK(Pricelist[[#This Row],[EBS]]),"",VALUE(LEFT(Pricelist[[#This Row],[EBS]],LEN(Pricelist[[#This Row],[EBS]])-LEN(Pricelist[[#This Row],[E2]])-1)))</f>
        <v>60</v>
      </c>
      <c r="K270" s="65">
        <v>3900</v>
      </c>
      <c r="L270" s="101">
        <f>IF(ISBLANK(Pricelist[[#This Row],[EBS]]),"",VALUE(RIGHT(Pricelist[[#This Row],[EBS]],3)))</f>
        <v>120</v>
      </c>
      <c r="M270" s="65">
        <v>3900</v>
      </c>
      <c r="N270" s="101">
        <f>IF(ISBLANK(Pricelist[[#This Row],[EBS]]),"",VALUE(RIGHT(Pricelist[[#This Row],[EBS]],3)))</f>
        <v>120</v>
      </c>
      <c r="O270" s="101" t="str">
        <f>IF(AND(Pricelist[[#This Row],[AE1]]&lt;&gt;"",OR(Pricelist[[#This Row],[区]]="南",Pricelist[[#This Row],[区]]="北")),MID(Pricelist[[#This Row],[AE1]],4,2),"")</f>
        <v/>
      </c>
      <c r="P270" s="102">
        <v>2400</v>
      </c>
      <c r="Q270" s="103">
        <v>3900</v>
      </c>
      <c r="R270" s="103">
        <v>3900</v>
      </c>
      <c r="S270" s="104" t="s">
        <v>2199</v>
      </c>
      <c r="T270" s="104"/>
      <c r="U270" s="105" t="s">
        <v>509</v>
      </c>
      <c r="V270" s="100" t="s">
        <v>507</v>
      </c>
      <c r="W270" s="106" t="s">
        <v>2242</v>
      </c>
      <c r="X270" s="106" t="s">
        <v>2243</v>
      </c>
      <c r="Y270" s="106">
        <v>45</v>
      </c>
      <c r="Z270" s="107">
        <v>43437</v>
      </c>
      <c r="AA270" s="108">
        <v>43450</v>
      </c>
      <c r="AB270" s="109" t="s">
        <v>2244</v>
      </c>
      <c r="AC270" s="109"/>
    </row>
    <row r="271" spans="1:29" hidden="1" x14ac:dyDescent="0.15">
      <c r="A271" s="98">
        <v>270</v>
      </c>
      <c r="B271" s="99">
        <v>112917</v>
      </c>
      <c r="C271" s="98" t="s">
        <v>6331</v>
      </c>
      <c r="D271" s="100" t="s">
        <v>200</v>
      </c>
      <c r="E271" s="100" t="s">
        <v>201</v>
      </c>
      <c r="F271" s="100" t="s">
        <v>202</v>
      </c>
      <c r="G271" s="98" t="s">
        <v>106</v>
      </c>
      <c r="H271" s="98" t="str">
        <f>VLOOKUP(G271,CGS[],2,FALSE)</f>
        <v>NDS</v>
      </c>
      <c r="I271" s="65">
        <v>2610</v>
      </c>
      <c r="J271" s="101" t="str">
        <f>IF(ISBLANK(Pricelist[[#This Row],[EBS]]),"",VALUE(LEFT(Pricelist[[#This Row],[EBS]],LEN(Pricelist[[#This Row],[EBS]])-LEN(Pricelist[[#This Row],[E2]])-1)))</f>
        <v/>
      </c>
      <c r="K271" s="65">
        <v>4360</v>
      </c>
      <c r="L271" s="101" t="str">
        <f>IF(ISBLANK(Pricelist[[#This Row],[EBS]]),"",VALUE(RIGHT(Pricelist[[#This Row],[EBS]],3)))</f>
        <v/>
      </c>
      <c r="M271" s="65">
        <v>4360</v>
      </c>
      <c r="N271" s="101" t="str">
        <f>IF(ISBLANK(Pricelist[[#This Row],[EBS]]),"",VALUE(RIGHT(Pricelist[[#This Row],[EBS]],3)))</f>
        <v/>
      </c>
      <c r="O271" s="101" t="str">
        <f>IF(AND(Pricelist[[#This Row],[AE1]]&lt;&gt;"",OR(Pricelist[[#This Row],[区]]="南",Pricelist[[#This Row],[区]]="北")),MID(Pricelist[[#This Row],[AE1]],4,2),"")</f>
        <v/>
      </c>
      <c r="P271" s="102">
        <v>2610</v>
      </c>
      <c r="Q271" s="103">
        <v>4360</v>
      </c>
      <c r="R271" s="103">
        <v>4360</v>
      </c>
      <c r="S271" s="104"/>
      <c r="T271" s="104"/>
      <c r="U271" s="105" t="s">
        <v>510</v>
      </c>
      <c r="V271" s="100" t="s">
        <v>507</v>
      </c>
      <c r="W271" s="106" t="s">
        <v>142</v>
      </c>
      <c r="X271" s="106" t="s">
        <v>141</v>
      </c>
      <c r="Y271" s="106">
        <v>56</v>
      </c>
      <c r="Z271" s="107">
        <v>43423</v>
      </c>
      <c r="AA271" s="108">
        <v>43448</v>
      </c>
      <c r="AB271" s="109"/>
      <c r="AC271" s="109"/>
    </row>
    <row r="272" spans="1:29" hidden="1" x14ac:dyDescent="0.15">
      <c r="A272" s="98">
        <v>271</v>
      </c>
      <c r="B272" s="99">
        <v>112917</v>
      </c>
      <c r="C272" s="98" t="s">
        <v>6331</v>
      </c>
      <c r="D272" s="100" t="s">
        <v>200</v>
      </c>
      <c r="E272" s="100" t="s">
        <v>201</v>
      </c>
      <c r="F272" s="100" t="s">
        <v>202</v>
      </c>
      <c r="G272" s="98" t="s">
        <v>18</v>
      </c>
      <c r="H272" s="98" t="str">
        <f>VLOOKUP(G272,CGS[],2,FALSE)</f>
        <v>PIL</v>
      </c>
      <c r="I272" s="65">
        <v>1860</v>
      </c>
      <c r="J272" s="101" t="str">
        <f>IF(ISBLANK(Pricelist[[#This Row],[EBS]]),"",VALUE(LEFT(Pricelist[[#This Row],[EBS]],LEN(Pricelist[[#This Row],[EBS]])-LEN(Pricelist[[#This Row],[E2]])-1)))</f>
        <v/>
      </c>
      <c r="K272" s="65">
        <v>3110</v>
      </c>
      <c r="L272" s="101" t="str">
        <f>IF(ISBLANK(Pricelist[[#This Row],[EBS]]),"",VALUE(RIGHT(Pricelist[[#This Row],[EBS]],3)))</f>
        <v/>
      </c>
      <c r="M272" s="65">
        <v>3110</v>
      </c>
      <c r="N272" s="101" t="str">
        <f>IF(ISBLANK(Pricelist[[#This Row],[EBS]]),"",VALUE(RIGHT(Pricelist[[#This Row],[EBS]],3)))</f>
        <v/>
      </c>
      <c r="O272" s="101" t="str">
        <f>IF(AND(Pricelist[[#This Row],[AE1]]&lt;&gt;"",OR(Pricelist[[#This Row],[区]]="南",Pricelist[[#This Row],[区]]="北")),MID(Pricelist[[#This Row],[AE1]],4,2),"")</f>
        <v/>
      </c>
      <c r="P272" s="102">
        <v>1960</v>
      </c>
      <c r="Q272" s="103">
        <v>3310</v>
      </c>
      <c r="R272" s="103">
        <v>3310</v>
      </c>
      <c r="S272" s="104"/>
      <c r="T272" s="104"/>
      <c r="U272" s="105" t="s">
        <v>508</v>
      </c>
      <c r="V272" s="100" t="s">
        <v>504</v>
      </c>
      <c r="W272" s="106" t="s">
        <v>91</v>
      </c>
      <c r="X272" s="106" t="s">
        <v>102</v>
      </c>
      <c r="Y272" s="106">
        <v>46</v>
      </c>
      <c r="Z272" s="107">
        <v>43444</v>
      </c>
      <c r="AA272" s="108">
        <v>43449</v>
      </c>
      <c r="AB272" s="109"/>
      <c r="AC272" s="109"/>
    </row>
    <row r="273" spans="1:29" hidden="1" x14ac:dyDescent="0.15">
      <c r="A273" s="98">
        <v>272</v>
      </c>
      <c r="B273" s="99">
        <v>112917</v>
      </c>
      <c r="C273" s="98" t="s">
        <v>6331</v>
      </c>
      <c r="D273" s="100" t="s">
        <v>200</v>
      </c>
      <c r="E273" s="100" t="s">
        <v>201</v>
      </c>
      <c r="F273" s="100" t="s">
        <v>202</v>
      </c>
      <c r="G273" s="98" t="s">
        <v>17</v>
      </c>
      <c r="H273" s="98" t="str">
        <f>VLOOKUP(G273,CGS[],2,FALSE)</f>
        <v>MSC</v>
      </c>
      <c r="I273" s="65">
        <v>2000</v>
      </c>
      <c r="J273" s="101">
        <f>IF(ISBLANK(Pricelist[[#This Row],[EBS]]),"",VALUE(LEFT(Pricelist[[#This Row],[EBS]],LEN(Pricelist[[#This Row],[EBS]])-LEN(Pricelist[[#This Row],[E2]])-1)))</f>
        <v>100</v>
      </c>
      <c r="K273" s="65">
        <v>3200</v>
      </c>
      <c r="L273" s="101">
        <f>IF(ISBLANK(Pricelist[[#This Row],[EBS]]),"",VALUE(RIGHT(Pricelist[[#This Row],[EBS]],3)))</f>
        <v>200</v>
      </c>
      <c r="M273" s="65">
        <v>3200</v>
      </c>
      <c r="N273" s="101">
        <f>IF(ISBLANK(Pricelist[[#This Row],[EBS]]),"",VALUE(RIGHT(Pricelist[[#This Row],[EBS]],3)))</f>
        <v>200</v>
      </c>
      <c r="O273" s="101" t="str">
        <f>IF(AND(Pricelist[[#This Row],[AE1]]&lt;&gt;"",OR(Pricelist[[#This Row],[区]]="南",Pricelist[[#This Row],[区]]="北")),MID(Pricelist[[#This Row],[AE1]],4,2),"")</f>
        <v/>
      </c>
      <c r="P273" s="102">
        <v>2025</v>
      </c>
      <c r="Q273" s="103">
        <v>3250</v>
      </c>
      <c r="R273" s="103">
        <v>3250</v>
      </c>
      <c r="S273" s="104" t="s">
        <v>6328</v>
      </c>
      <c r="T273" s="104"/>
      <c r="U273" s="105" t="s">
        <v>506</v>
      </c>
      <c r="V273" s="100" t="s">
        <v>504</v>
      </c>
      <c r="W273" s="106" t="s">
        <v>101</v>
      </c>
      <c r="X273" s="106" t="s">
        <v>102</v>
      </c>
      <c r="Y273" s="106">
        <v>44</v>
      </c>
      <c r="Z273" s="107">
        <v>43435</v>
      </c>
      <c r="AA273" s="108">
        <v>43448</v>
      </c>
      <c r="AB273" s="109"/>
      <c r="AC273" s="109"/>
    </row>
    <row r="274" spans="1:29" hidden="1" x14ac:dyDescent="0.15">
      <c r="A274" s="98">
        <v>273</v>
      </c>
      <c r="B274" s="99">
        <v>112917</v>
      </c>
      <c r="C274" s="98" t="s">
        <v>6331</v>
      </c>
      <c r="D274" s="100" t="s">
        <v>200</v>
      </c>
      <c r="E274" s="100" t="s">
        <v>201</v>
      </c>
      <c r="F274" s="100" t="s">
        <v>202</v>
      </c>
      <c r="G274" s="98" t="s">
        <v>8</v>
      </c>
      <c r="H274" s="98" t="str">
        <f>VLOOKUP(G274,CGS[],2,FALSE)</f>
        <v>CMA</v>
      </c>
      <c r="I274" s="65">
        <v>2313</v>
      </c>
      <c r="J274" s="101">
        <f>IF(ISBLANK(Pricelist[[#This Row],[EBS]]),"",VALUE(LEFT(Pricelist[[#This Row],[EBS]],LEN(Pricelist[[#This Row],[EBS]])-LEN(Pricelist[[#This Row],[E2]])-1)))</f>
        <v>55</v>
      </c>
      <c r="K274" s="65">
        <v>3713</v>
      </c>
      <c r="L274" s="101">
        <f>IF(ISBLANK(Pricelist[[#This Row],[EBS]]),"",VALUE(RIGHT(Pricelist[[#This Row],[EBS]],3)))</f>
        <v>110</v>
      </c>
      <c r="M274" s="65">
        <v>3713</v>
      </c>
      <c r="N274" s="101">
        <f>IF(ISBLANK(Pricelist[[#This Row],[EBS]]),"",VALUE(RIGHT(Pricelist[[#This Row],[EBS]],3)))</f>
        <v>110</v>
      </c>
      <c r="O274" s="101" t="str">
        <f>IF(AND(Pricelist[[#This Row],[AE1]]&lt;&gt;"",OR(Pricelist[[#This Row],[区]]="南",Pricelist[[#This Row],[区]]="北")),MID(Pricelist[[#This Row],[AE1]],4,2),"")</f>
        <v/>
      </c>
      <c r="P274" s="102">
        <v>2388</v>
      </c>
      <c r="Q274" s="103">
        <v>3863</v>
      </c>
      <c r="R274" s="103">
        <v>3863</v>
      </c>
      <c r="S274" s="104" t="s">
        <v>2204</v>
      </c>
      <c r="T274" s="104"/>
      <c r="U274" s="105" t="s">
        <v>509</v>
      </c>
      <c r="V274" s="100" t="s">
        <v>507</v>
      </c>
      <c r="W274" s="106" t="s">
        <v>155</v>
      </c>
      <c r="X274" s="106" t="s">
        <v>141</v>
      </c>
      <c r="Y274" s="106">
        <v>45</v>
      </c>
      <c r="Z274" s="107">
        <v>43430</v>
      </c>
      <c r="AA274" s="108">
        <v>43448</v>
      </c>
      <c r="AB274" s="109" t="s">
        <v>148</v>
      </c>
      <c r="AC274" s="109"/>
    </row>
    <row r="275" spans="1:29" hidden="1" x14ac:dyDescent="0.15">
      <c r="A275" s="98">
        <v>274</v>
      </c>
      <c r="B275" s="99">
        <v>112917</v>
      </c>
      <c r="C275" s="98" t="s">
        <v>6331</v>
      </c>
      <c r="D275" s="100" t="s">
        <v>203</v>
      </c>
      <c r="E275" s="100" t="s">
        <v>201</v>
      </c>
      <c r="F275" s="100" t="s">
        <v>204</v>
      </c>
      <c r="G275" s="98" t="s">
        <v>106</v>
      </c>
      <c r="H275" s="98" t="str">
        <f>VLOOKUP(G275,CGS[],2,FALSE)</f>
        <v>NDS</v>
      </c>
      <c r="I275" s="65">
        <v>2610</v>
      </c>
      <c r="J275" s="101" t="str">
        <f>IF(ISBLANK(Pricelist[[#This Row],[EBS]]),"",VALUE(LEFT(Pricelist[[#This Row],[EBS]],LEN(Pricelist[[#This Row],[EBS]])-LEN(Pricelist[[#This Row],[E2]])-1)))</f>
        <v/>
      </c>
      <c r="K275" s="65">
        <v>4360</v>
      </c>
      <c r="L275" s="101" t="str">
        <f>IF(ISBLANK(Pricelist[[#This Row],[EBS]]),"",VALUE(RIGHT(Pricelist[[#This Row],[EBS]],3)))</f>
        <v/>
      </c>
      <c r="M275" s="65">
        <v>4360</v>
      </c>
      <c r="N275" s="101" t="str">
        <f>IF(ISBLANK(Pricelist[[#This Row],[EBS]]),"",VALUE(RIGHT(Pricelist[[#This Row],[EBS]],3)))</f>
        <v/>
      </c>
      <c r="O275" s="101" t="str">
        <f>IF(AND(Pricelist[[#This Row],[AE1]]&lt;&gt;"",OR(Pricelist[[#This Row],[区]]="南",Pricelist[[#This Row],[区]]="北")),MID(Pricelist[[#This Row],[AE1]],4,2),"")</f>
        <v/>
      </c>
      <c r="P275" s="102">
        <v>2610</v>
      </c>
      <c r="Q275" s="103">
        <v>4360</v>
      </c>
      <c r="R275" s="103">
        <v>4360</v>
      </c>
      <c r="S275" s="104"/>
      <c r="T275" s="104"/>
      <c r="U275" s="105" t="s">
        <v>510</v>
      </c>
      <c r="V275" s="100" t="s">
        <v>507</v>
      </c>
      <c r="W275" s="106" t="s">
        <v>155</v>
      </c>
      <c r="X275" s="106" t="s">
        <v>141</v>
      </c>
      <c r="Y275" s="106">
        <v>55</v>
      </c>
      <c r="Z275" s="107">
        <v>43423</v>
      </c>
      <c r="AA275" s="108">
        <v>43448</v>
      </c>
      <c r="AB275" s="109"/>
      <c r="AC275" s="109"/>
    </row>
    <row r="276" spans="1:29" hidden="1" x14ac:dyDescent="0.15">
      <c r="A276" s="98">
        <v>275</v>
      </c>
      <c r="B276" s="99">
        <v>112917</v>
      </c>
      <c r="C276" s="98" t="s">
        <v>6331</v>
      </c>
      <c r="D276" s="100" t="s">
        <v>203</v>
      </c>
      <c r="E276" s="100" t="s">
        <v>201</v>
      </c>
      <c r="F276" s="100" t="s">
        <v>204</v>
      </c>
      <c r="G276" s="98" t="s">
        <v>8</v>
      </c>
      <c r="H276" s="98" t="str">
        <f>VLOOKUP(G276,CGS[],2,FALSE)</f>
        <v>CMA</v>
      </c>
      <c r="I276" s="65">
        <v>2138</v>
      </c>
      <c r="J276" s="101">
        <f>IF(ISBLANK(Pricelist[[#This Row],[EBS]]),"",VALUE(LEFT(Pricelist[[#This Row],[EBS]],LEN(Pricelist[[#This Row],[EBS]])-LEN(Pricelist[[#This Row],[E2]])-1)))</f>
        <v>55</v>
      </c>
      <c r="K276" s="65">
        <v>3363</v>
      </c>
      <c r="L276" s="101">
        <f>IF(ISBLANK(Pricelist[[#This Row],[EBS]]),"",VALUE(RIGHT(Pricelist[[#This Row],[EBS]],3)))</f>
        <v>110</v>
      </c>
      <c r="M276" s="65">
        <v>3363</v>
      </c>
      <c r="N276" s="101">
        <f>IF(ISBLANK(Pricelist[[#This Row],[EBS]]),"",VALUE(RIGHT(Pricelist[[#This Row],[EBS]],3)))</f>
        <v>110</v>
      </c>
      <c r="O276" s="101" t="str">
        <f>IF(AND(Pricelist[[#This Row],[AE1]]&lt;&gt;"",OR(Pricelist[[#This Row],[区]]="南",Pricelist[[#This Row],[区]]="北")),MID(Pricelist[[#This Row],[AE1]],4,2),"")</f>
        <v/>
      </c>
      <c r="P276" s="102">
        <v>2213</v>
      </c>
      <c r="Q276" s="103">
        <v>3513</v>
      </c>
      <c r="R276" s="103">
        <v>3513</v>
      </c>
      <c r="S276" s="104" t="s">
        <v>2204</v>
      </c>
      <c r="T276" s="104"/>
      <c r="U276" s="105" t="s">
        <v>509</v>
      </c>
      <c r="V276" s="100" t="s">
        <v>507</v>
      </c>
      <c r="W276" s="106" t="s">
        <v>10</v>
      </c>
      <c r="X276" s="106" t="s">
        <v>11</v>
      </c>
      <c r="Y276" s="106">
        <v>38</v>
      </c>
      <c r="Z276" s="107">
        <v>43430</v>
      </c>
      <c r="AA276" s="108">
        <v>43448</v>
      </c>
      <c r="AB276" s="109" t="s">
        <v>148</v>
      </c>
      <c r="AC276" s="109"/>
    </row>
    <row r="277" spans="1:29" hidden="1" x14ac:dyDescent="0.15">
      <c r="A277" s="98">
        <v>276</v>
      </c>
      <c r="B277" s="99">
        <v>112917</v>
      </c>
      <c r="C277" s="98" t="s">
        <v>6331</v>
      </c>
      <c r="D277" s="100" t="s">
        <v>205</v>
      </c>
      <c r="E277" s="100" t="s">
        <v>206</v>
      </c>
      <c r="F277" s="100" t="s">
        <v>207</v>
      </c>
      <c r="G277" s="98" t="s">
        <v>21</v>
      </c>
      <c r="H277" s="98" t="str">
        <f>VLOOKUP(G277,CGS[],2,FALSE)</f>
        <v>MSK</v>
      </c>
      <c r="I277" s="65">
        <v>2140</v>
      </c>
      <c r="J277" s="101" t="str">
        <f>IF(ISBLANK(Pricelist[[#This Row],[EBS]]),"",VALUE(LEFT(Pricelist[[#This Row],[EBS]],LEN(Pricelist[[#This Row],[EBS]])-LEN(Pricelist[[#This Row],[E2]])-1)))</f>
        <v/>
      </c>
      <c r="K277" s="65">
        <v>3780</v>
      </c>
      <c r="L277" s="101" t="str">
        <f>IF(ISBLANK(Pricelist[[#This Row],[EBS]]),"",VALUE(RIGHT(Pricelist[[#This Row],[EBS]],3)))</f>
        <v/>
      </c>
      <c r="M277" s="65">
        <v>3780</v>
      </c>
      <c r="N277" s="101" t="str">
        <f>IF(ISBLANK(Pricelist[[#This Row],[EBS]]),"",VALUE(RIGHT(Pricelist[[#This Row],[EBS]],3)))</f>
        <v/>
      </c>
      <c r="O277" s="101" t="str">
        <f>IF(AND(Pricelist[[#This Row],[AE1]]&lt;&gt;"",OR(Pricelist[[#This Row],[区]]="南",Pricelist[[#This Row],[区]]="北")),MID(Pricelist[[#This Row],[AE1]],4,2),"")</f>
        <v/>
      </c>
      <c r="P277" s="102">
        <v>2140</v>
      </c>
      <c r="Q277" s="103">
        <v>3780</v>
      </c>
      <c r="R277" s="103">
        <v>3780</v>
      </c>
      <c r="S277" s="104"/>
      <c r="T277" s="104"/>
      <c r="U277" s="105" t="s">
        <v>510</v>
      </c>
      <c r="V277" s="100" t="s">
        <v>507</v>
      </c>
      <c r="W277" s="106" t="s">
        <v>2229</v>
      </c>
      <c r="X277" s="106" t="s">
        <v>2230</v>
      </c>
      <c r="Y277" s="106">
        <v>44</v>
      </c>
      <c r="Z277" s="107">
        <v>43437</v>
      </c>
      <c r="AA277" s="108">
        <v>43450</v>
      </c>
      <c r="AB277" s="109"/>
      <c r="AC277" s="109"/>
    </row>
    <row r="278" spans="1:29" hidden="1" x14ac:dyDescent="0.15">
      <c r="A278" s="98">
        <v>277</v>
      </c>
      <c r="B278" s="99">
        <v>112917</v>
      </c>
      <c r="C278" s="98" t="s">
        <v>6331</v>
      </c>
      <c r="D278" s="100" t="s">
        <v>205</v>
      </c>
      <c r="E278" s="100" t="s">
        <v>206</v>
      </c>
      <c r="F278" s="100" t="s">
        <v>207</v>
      </c>
      <c r="G278" s="98" t="s">
        <v>24</v>
      </c>
      <c r="H278" s="98" t="str">
        <f>VLOOKUP(G278,CGS[],2,FALSE)</f>
        <v>SAF</v>
      </c>
      <c r="I278" s="65">
        <v>2155</v>
      </c>
      <c r="J278" s="101">
        <f>IF(ISBLANK(Pricelist[[#This Row],[EBS]]),"",VALUE(LEFT(Pricelist[[#This Row],[EBS]],LEN(Pricelist[[#This Row],[EBS]])-LEN(Pricelist[[#This Row],[E2]])-1)))</f>
        <v>60</v>
      </c>
      <c r="K278" s="65">
        <v>3810</v>
      </c>
      <c r="L278" s="101">
        <f>IF(ISBLANK(Pricelist[[#This Row],[EBS]]),"",VALUE(RIGHT(Pricelist[[#This Row],[EBS]],3)))</f>
        <v>120</v>
      </c>
      <c r="M278" s="65">
        <v>3810</v>
      </c>
      <c r="N278" s="101">
        <f>IF(ISBLANK(Pricelist[[#This Row],[EBS]]),"",VALUE(RIGHT(Pricelist[[#This Row],[EBS]],3)))</f>
        <v>120</v>
      </c>
      <c r="O278" s="101" t="str">
        <f>IF(AND(Pricelist[[#This Row],[AE1]]&lt;&gt;"",OR(Pricelist[[#This Row],[区]]="南",Pricelist[[#This Row],[区]]="北")),MID(Pricelist[[#This Row],[AE1]],4,2),"")</f>
        <v/>
      </c>
      <c r="P278" s="102">
        <v>2155</v>
      </c>
      <c r="Q278" s="103">
        <v>3810</v>
      </c>
      <c r="R278" s="103">
        <v>3810</v>
      </c>
      <c r="S278" s="104" t="s">
        <v>2199</v>
      </c>
      <c r="T278" s="104"/>
      <c r="U278" s="105" t="s">
        <v>3272</v>
      </c>
      <c r="V278" s="100" t="s">
        <v>507</v>
      </c>
      <c r="W278" s="106" t="s">
        <v>2252</v>
      </c>
      <c r="X278" s="106" t="s">
        <v>2230</v>
      </c>
      <c r="Y278" s="106">
        <v>50</v>
      </c>
      <c r="Z278" s="107">
        <v>43437</v>
      </c>
      <c r="AA278" s="108">
        <v>43450</v>
      </c>
      <c r="AB278" s="109" t="s">
        <v>2232</v>
      </c>
      <c r="AC278" s="109"/>
    </row>
    <row r="279" spans="1:29" hidden="1" x14ac:dyDescent="0.15">
      <c r="A279" s="98">
        <v>278</v>
      </c>
      <c r="B279" s="99">
        <v>112917</v>
      </c>
      <c r="C279" s="98" t="s">
        <v>6331</v>
      </c>
      <c r="D279" s="100" t="s">
        <v>205</v>
      </c>
      <c r="E279" s="100" t="s">
        <v>206</v>
      </c>
      <c r="F279" s="100" t="s">
        <v>207</v>
      </c>
      <c r="G279" s="98" t="s">
        <v>9</v>
      </c>
      <c r="H279" s="98" t="str">
        <f>VLOOKUP(G279,CGS[],2,FALSE)</f>
        <v>COSCO</v>
      </c>
      <c r="I279" s="65">
        <v>1935</v>
      </c>
      <c r="J279" s="101">
        <f>IF(ISBLANK(Pricelist[[#This Row],[EBS]]),"",VALUE(LEFT(Pricelist[[#This Row],[EBS]],LEN(Pricelist[[#This Row],[EBS]])-LEN(Pricelist[[#This Row],[E2]])-1)))</f>
        <v>60</v>
      </c>
      <c r="K279" s="65">
        <v>3260</v>
      </c>
      <c r="L279" s="101">
        <f>IF(ISBLANK(Pricelist[[#This Row],[EBS]]),"",VALUE(RIGHT(Pricelist[[#This Row],[EBS]],3)))</f>
        <v>120</v>
      </c>
      <c r="M279" s="65">
        <v>3260</v>
      </c>
      <c r="N279" s="101">
        <f>IF(ISBLANK(Pricelist[[#This Row],[EBS]]),"",VALUE(RIGHT(Pricelist[[#This Row],[EBS]],3)))</f>
        <v>120</v>
      </c>
      <c r="O279" s="101" t="str">
        <f>IF(AND(Pricelist[[#This Row],[AE1]]&lt;&gt;"",OR(Pricelist[[#This Row],[区]]="南",Pricelist[[#This Row],[区]]="北")),MID(Pricelist[[#This Row],[AE1]],4,2),"")</f>
        <v/>
      </c>
      <c r="P279" s="102">
        <v>1960</v>
      </c>
      <c r="Q279" s="103">
        <v>3310</v>
      </c>
      <c r="R279" s="103">
        <v>3310</v>
      </c>
      <c r="S279" s="104" t="s">
        <v>2199</v>
      </c>
      <c r="T279" s="104"/>
      <c r="U279" s="105" t="s">
        <v>508</v>
      </c>
      <c r="V279" s="100" t="s">
        <v>504</v>
      </c>
      <c r="W279" s="106" t="s">
        <v>91</v>
      </c>
      <c r="X279" s="106" t="s">
        <v>102</v>
      </c>
      <c r="Y279" s="106">
        <v>46</v>
      </c>
      <c r="Z279" s="107">
        <v>43437</v>
      </c>
      <c r="AA279" s="108">
        <v>43450</v>
      </c>
      <c r="AB279" s="109" t="s">
        <v>135</v>
      </c>
      <c r="AC279" s="109"/>
    </row>
    <row r="280" spans="1:29" hidden="1" x14ac:dyDescent="0.15">
      <c r="A280" s="98">
        <v>279</v>
      </c>
      <c r="B280" s="99">
        <v>112917</v>
      </c>
      <c r="C280" s="98" t="s">
        <v>6331</v>
      </c>
      <c r="D280" s="100" t="s">
        <v>205</v>
      </c>
      <c r="E280" s="100" t="s">
        <v>206</v>
      </c>
      <c r="F280" s="100" t="s">
        <v>207</v>
      </c>
      <c r="G280" s="98" t="s">
        <v>18</v>
      </c>
      <c r="H280" s="98" t="str">
        <f>VLOOKUP(G280,CGS[],2,FALSE)</f>
        <v>PIL</v>
      </c>
      <c r="I280" s="65">
        <v>1910</v>
      </c>
      <c r="J280" s="101" t="str">
        <f>IF(ISBLANK(Pricelist[[#This Row],[EBS]]),"",VALUE(LEFT(Pricelist[[#This Row],[EBS]],LEN(Pricelist[[#This Row],[EBS]])-LEN(Pricelist[[#This Row],[E2]])-1)))</f>
        <v/>
      </c>
      <c r="K280" s="65">
        <v>3210</v>
      </c>
      <c r="L280" s="101" t="str">
        <f>IF(ISBLANK(Pricelist[[#This Row],[EBS]]),"",VALUE(RIGHT(Pricelist[[#This Row],[EBS]],3)))</f>
        <v/>
      </c>
      <c r="M280" s="65">
        <v>3210</v>
      </c>
      <c r="N280" s="101" t="str">
        <f>IF(ISBLANK(Pricelist[[#This Row],[EBS]]),"",VALUE(RIGHT(Pricelist[[#This Row],[EBS]],3)))</f>
        <v/>
      </c>
      <c r="O280" s="101" t="str">
        <f>IF(AND(Pricelist[[#This Row],[AE1]]&lt;&gt;"",OR(Pricelist[[#This Row],[区]]="南",Pricelist[[#This Row],[区]]="北")),MID(Pricelist[[#This Row],[AE1]],4,2),"")</f>
        <v/>
      </c>
      <c r="P280" s="102">
        <v>2010</v>
      </c>
      <c r="Q280" s="103">
        <v>3410</v>
      </c>
      <c r="R280" s="103">
        <v>3410</v>
      </c>
      <c r="S280" s="104"/>
      <c r="T280" s="104"/>
      <c r="U280" s="105" t="s">
        <v>508</v>
      </c>
      <c r="V280" s="100" t="s">
        <v>504</v>
      </c>
      <c r="W280" s="106" t="s">
        <v>91</v>
      </c>
      <c r="X280" s="106" t="s">
        <v>102</v>
      </c>
      <c r="Y280" s="106">
        <v>47</v>
      </c>
      <c r="Z280" s="107">
        <v>43444</v>
      </c>
      <c r="AA280" s="108">
        <v>43449</v>
      </c>
      <c r="AB280" s="109"/>
      <c r="AC280" s="109"/>
    </row>
    <row r="281" spans="1:29" ht="38.25" hidden="1" x14ac:dyDescent="0.15">
      <c r="A281" s="98">
        <v>280</v>
      </c>
      <c r="B281" s="99">
        <v>112917</v>
      </c>
      <c r="C281" s="98" t="s">
        <v>6331</v>
      </c>
      <c r="D281" s="100" t="s">
        <v>205</v>
      </c>
      <c r="E281" s="100" t="s">
        <v>206</v>
      </c>
      <c r="F281" s="100" t="s">
        <v>207</v>
      </c>
      <c r="G281" s="98" t="s">
        <v>17</v>
      </c>
      <c r="H281" s="98" t="str">
        <f>VLOOKUP(G281,CGS[],2,FALSE)</f>
        <v>MSC</v>
      </c>
      <c r="I281" s="65">
        <v>2220</v>
      </c>
      <c r="J281" s="101">
        <f>IF(ISBLANK(Pricelist[[#This Row],[EBS]]),"",VALUE(LEFT(Pricelist[[#This Row],[EBS]],LEN(Pricelist[[#This Row],[EBS]])-LEN(Pricelist[[#This Row],[E2]])-1)))</f>
        <v>100</v>
      </c>
      <c r="K281" s="65">
        <v>3825</v>
      </c>
      <c r="L281" s="101">
        <f>IF(ISBLANK(Pricelist[[#This Row],[EBS]]),"",VALUE(RIGHT(Pricelist[[#This Row],[EBS]],3)))</f>
        <v>200</v>
      </c>
      <c r="M281" s="65">
        <v>3825</v>
      </c>
      <c r="N281" s="101">
        <f>IF(ISBLANK(Pricelist[[#This Row],[EBS]]),"",VALUE(RIGHT(Pricelist[[#This Row],[EBS]],3)))</f>
        <v>200</v>
      </c>
      <c r="O281" s="101" t="str">
        <f>IF(AND(Pricelist[[#This Row],[AE1]]&lt;&gt;"",OR(Pricelist[[#This Row],[区]]="南",Pricelist[[#This Row],[区]]="北")),MID(Pricelist[[#This Row],[AE1]],4,2),"")</f>
        <v/>
      </c>
      <c r="P281" s="102">
        <v>2245</v>
      </c>
      <c r="Q281" s="103">
        <v>3875</v>
      </c>
      <c r="R281" s="103">
        <v>3875</v>
      </c>
      <c r="S281" s="104" t="s">
        <v>6328</v>
      </c>
      <c r="T281" s="104"/>
      <c r="U281" s="105" t="s">
        <v>506</v>
      </c>
      <c r="V281" s="100" t="s">
        <v>504</v>
      </c>
      <c r="W281" s="106" t="s">
        <v>101</v>
      </c>
      <c r="X281" s="106" t="s">
        <v>102</v>
      </c>
      <c r="Y281" s="106">
        <v>49</v>
      </c>
      <c r="Z281" s="107">
        <v>43435</v>
      </c>
      <c r="AA281" s="108">
        <v>43448</v>
      </c>
      <c r="AB281" s="109" t="s">
        <v>3252</v>
      </c>
      <c r="AC281" s="109"/>
    </row>
    <row r="282" spans="1:29" hidden="1" x14ac:dyDescent="0.15">
      <c r="A282" s="98">
        <v>281</v>
      </c>
      <c r="B282" s="99">
        <v>112917</v>
      </c>
      <c r="C282" s="98" t="s">
        <v>6331</v>
      </c>
      <c r="D282" s="100" t="s">
        <v>205</v>
      </c>
      <c r="E282" s="100" t="s">
        <v>206</v>
      </c>
      <c r="F282" s="100" t="s">
        <v>207</v>
      </c>
      <c r="G282" s="98" t="s">
        <v>8</v>
      </c>
      <c r="H282" s="98" t="str">
        <f>VLOOKUP(G282,CGS[],2,FALSE)</f>
        <v>CMA</v>
      </c>
      <c r="I282" s="65">
        <v>2263</v>
      </c>
      <c r="J282" s="101">
        <f>IF(ISBLANK(Pricelist[[#This Row],[EBS]]),"",VALUE(LEFT(Pricelist[[#This Row],[EBS]],LEN(Pricelist[[#This Row],[EBS]])-LEN(Pricelist[[#This Row],[E2]])-1)))</f>
        <v>55</v>
      </c>
      <c r="K282" s="65">
        <v>3813</v>
      </c>
      <c r="L282" s="101">
        <f>IF(ISBLANK(Pricelist[[#This Row],[EBS]]),"",VALUE(RIGHT(Pricelist[[#This Row],[EBS]],3)))</f>
        <v>110</v>
      </c>
      <c r="M282" s="65">
        <v>3813</v>
      </c>
      <c r="N282" s="101">
        <f>IF(ISBLANK(Pricelist[[#This Row],[EBS]]),"",VALUE(RIGHT(Pricelist[[#This Row],[EBS]],3)))</f>
        <v>110</v>
      </c>
      <c r="O282" s="101" t="str">
        <f>IF(AND(Pricelist[[#This Row],[AE1]]&lt;&gt;"",OR(Pricelist[[#This Row],[区]]="南",Pricelist[[#This Row],[区]]="北")),MID(Pricelist[[#This Row],[AE1]],4,2),"")</f>
        <v/>
      </c>
      <c r="P282" s="102">
        <v>2338</v>
      </c>
      <c r="Q282" s="103">
        <v>3963</v>
      </c>
      <c r="R282" s="103">
        <v>3963</v>
      </c>
      <c r="S282" s="104" t="s">
        <v>2204</v>
      </c>
      <c r="T282" s="104"/>
      <c r="U282" s="105" t="s">
        <v>511</v>
      </c>
      <c r="V282" s="100" t="s">
        <v>507</v>
      </c>
      <c r="W282" s="106" t="s">
        <v>130</v>
      </c>
      <c r="X282" s="106" t="s">
        <v>131</v>
      </c>
      <c r="Y282" s="106">
        <v>42</v>
      </c>
      <c r="Z282" s="107">
        <v>43430</v>
      </c>
      <c r="AA282" s="108">
        <v>43448</v>
      </c>
      <c r="AB282" s="109" t="s">
        <v>187</v>
      </c>
      <c r="AC282" s="109"/>
    </row>
    <row r="283" spans="1:29" hidden="1" x14ac:dyDescent="0.15">
      <c r="A283" s="98">
        <v>282</v>
      </c>
      <c r="B283" s="99">
        <v>112917</v>
      </c>
      <c r="C283" s="98" t="s">
        <v>6331</v>
      </c>
      <c r="D283" s="100" t="s">
        <v>208</v>
      </c>
      <c r="E283" s="100" t="s">
        <v>209</v>
      </c>
      <c r="F283" s="100" t="s">
        <v>210</v>
      </c>
      <c r="G283" s="98" t="s">
        <v>21</v>
      </c>
      <c r="H283" s="98" t="str">
        <f>VLOOKUP(G283,CGS[],2,FALSE)</f>
        <v>MSK</v>
      </c>
      <c r="I283" s="65">
        <v>2935</v>
      </c>
      <c r="J283" s="101" t="str">
        <f>IF(ISBLANK(Pricelist[[#This Row],[EBS]]),"",VALUE(LEFT(Pricelist[[#This Row],[EBS]],LEN(Pricelist[[#This Row],[EBS]])-LEN(Pricelist[[#This Row],[E2]])-1)))</f>
        <v/>
      </c>
      <c r="K283" s="65">
        <v>5370</v>
      </c>
      <c r="L283" s="101" t="str">
        <f>IF(ISBLANK(Pricelist[[#This Row],[EBS]]),"",VALUE(RIGHT(Pricelist[[#This Row],[EBS]],3)))</f>
        <v/>
      </c>
      <c r="M283" s="65">
        <v>5370</v>
      </c>
      <c r="N283" s="101" t="str">
        <f>IF(ISBLANK(Pricelist[[#This Row],[EBS]]),"",VALUE(RIGHT(Pricelist[[#This Row],[EBS]],3)))</f>
        <v/>
      </c>
      <c r="O283" s="101" t="str">
        <f>IF(AND(Pricelist[[#This Row],[AE1]]&lt;&gt;"",OR(Pricelist[[#This Row],[区]]="南",Pricelist[[#This Row],[区]]="北")),MID(Pricelist[[#This Row],[AE1]],4,2),"")</f>
        <v/>
      </c>
      <c r="P283" s="102">
        <v>2935</v>
      </c>
      <c r="Q283" s="103">
        <v>5370</v>
      </c>
      <c r="R283" s="103">
        <v>5370</v>
      </c>
      <c r="S283" s="104"/>
      <c r="T283" s="104"/>
      <c r="U283" s="105" t="s">
        <v>506</v>
      </c>
      <c r="V283" s="100" t="s">
        <v>507</v>
      </c>
      <c r="W283" s="106" t="s">
        <v>2238</v>
      </c>
      <c r="X283" s="106" t="s">
        <v>131</v>
      </c>
      <c r="Y283" s="106">
        <v>52</v>
      </c>
      <c r="Z283" s="107">
        <v>43437</v>
      </c>
      <c r="AA283" s="108">
        <v>43450</v>
      </c>
      <c r="AB283" s="109"/>
      <c r="AC283" s="109"/>
    </row>
    <row r="284" spans="1:29" hidden="1" x14ac:dyDescent="0.15">
      <c r="A284" s="98">
        <v>283</v>
      </c>
      <c r="B284" s="99">
        <v>112917</v>
      </c>
      <c r="C284" s="98" t="s">
        <v>6331</v>
      </c>
      <c r="D284" s="100" t="s">
        <v>208</v>
      </c>
      <c r="E284" s="100" t="s">
        <v>209</v>
      </c>
      <c r="F284" s="100" t="s">
        <v>210</v>
      </c>
      <c r="G284" s="98" t="s">
        <v>24</v>
      </c>
      <c r="H284" s="98" t="str">
        <f>VLOOKUP(G284,CGS[],2,FALSE)</f>
        <v>SAF</v>
      </c>
      <c r="I284" s="65">
        <v>2950</v>
      </c>
      <c r="J284" s="101">
        <f>IF(ISBLANK(Pricelist[[#This Row],[EBS]]),"",VALUE(LEFT(Pricelist[[#This Row],[EBS]],LEN(Pricelist[[#This Row],[EBS]])-LEN(Pricelist[[#This Row],[E2]])-1)))</f>
        <v>60</v>
      </c>
      <c r="K284" s="65">
        <v>5400</v>
      </c>
      <c r="L284" s="101">
        <f>IF(ISBLANK(Pricelist[[#This Row],[EBS]]),"",VALUE(RIGHT(Pricelist[[#This Row],[EBS]],3)))</f>
        <v>120</v>
      </c>
      <c r="M284" s="65">
        <v>5400</v>
      </c>
      <c r="N284" s="101">
        <f>IF(ISBLANK(Pricelist[[#This Row],[EBS]]),"",VALUE(RIGHT(Pricelist[[#This Row],[EBS]],3)))</f>
        <v>120</v>
      </c>
      <c r="O284" s="101" t="str">
        <f>IF(AND(Pricelist[[#This Row],[AE1]]&lt;&gt;"",OR(Pricelist[[#This Row],[区]]="南",Pricelist[[#This Row],[区]]="北")),MID(Pricelist[[#This Row],[AE1]],4,2),"")</f>
        <v/>
      </c>
      <c r="P284" s="102">
        <v>2950</v>
      </c>
      <c r="Q284" s="103">
        <v>5400</v>
      </c>
      <c r="R284" s="103">
        <v>5400</v>
      </c>
      <c r="S284" s="104" t="s">
        <v>2199</v>
      </c>
      <c r="T284" s="104"/>
      <c r="U284" s="105" t="s">
        <v>506</v>
      </c>
      <c r="V284" s="100" t="s">
        <v>507</v>
      </c>
      <c r="W284" s="106" t="s">
        <v>2238</v>
      </c>
      <c r="X284" s="106" t="s">
        <v>131</v>
      </c>
      <c r="Y284" s="106">
        <v>47</v>
      </c>
      <c r="Z284" s="107">
        <v>43437</v>
      </c>
      <c r="AA284" s="108">
        <v>43450</v>
      </c>
      <c r="AB284" s="109" t="s">
        <v>3694</v>
      </c>
      <c r="AC284" s="109"/>
    </row>
    <row r="285" spans="1:29" hidden="1" x14ac:dyDescent="0.15">
      <c r="A285" s="98">
        <v>284</v>
      </c>
      <c r="B285" s="99">
        <v>112917</v>
      </c>
      <c r="C285" s="98" t="s">
        <v>6331</v>
      </c>
      <c r="D285" s="100" t="s">
        <v>208</v>
      </c>
      <c r="E285" s="100" t="s">
        <v>209</v>
      </c>
      <c r="F285" s="100" t="s">
        <v>210</v>
      </c>
      <c r="G285" s="98" t="s">
        <v>17</v>
      </c>
      <c r="H285" s="98" t="str">
        <f>VLOOKUP(G285,CGS[],2,FALSE)</f>
        <v>MSC</v>
      </c>
      <c r="I285" s="65">
        <v>2625</v>
      </c>
      <c r="J285" s="101">
        <f>IF(ISBLANK(Pricelist[[#This Row],[EBS]]),"",VALUE(LEFT(Pricelist[[#This Row],[EBS]],LEN(Pricelist[[#This Row],[EBS]])-LEN(Pricelist[[#This Row],[E2]])-1)))</f>
        <v>100</v>
      </c>
      <c r="K285" s="65">
        <v>5050</v>
      </c>
      <c r="L285" s="101">
        <f>IF(ISBLANK(Pricelist[[#This Row],[EBS]]),"",VALUE(RIGHT(Pricelist[[#This Row],[EBS]],3)))</f>
        <v>200</v>
      </c>
      <c r="M285" s="65">
        <v>5050</v>
      </c>
      <c r="N285" s="101">
        <f>IF(ISBLANK(Pricelist[[#This Row],[EBS]]),"",VALUE(RIGHT(Pricelist[[#This Row],[EBS]],3)))</f>
        <v>200</v>
      </c>
      <c r="O285" s="101" t="str">
        <f>IF(AND(Pricelist[[#This Row],[AE1]]&lt;&gt;"",OR(Pricelist[[#This Row],[区]]="南",Pricelist[[#This Row],[区]]="北")),MID(Pricelist[[#This Row],[AE1]],4,2),"")</f>
        <v/>
      </c>
      <c r="P285" s="102">
        <v>2650</v>
      </c>
      <c r="Q285" s="103">
        <v>5100</v>
      </c>
      <c r="R285" s="103">
        <v>5100</v>
      </c>
      <c r="S285" s="104" t="s">
        <v>6328</v>
      </c>
      <c r="T285" s="104"/>
      <c r="U285" s="105" t="s">
        <v>506</v>
      </c>
      <c r="V285" s="100" t="s">
        <v>504</v>
      </c>
      <c r="W285" s="106" t="s">
        <v>132</v>
      </c>
      <c r="X285" s="106" t="s">
        <v>133</v>
      </c>
      <c r="Y285" s="106">
        <v>55</v>
      </c>
      <c r="Z285" s="107">
        <v>43435</v>
      </c>
      <c r="AA285" s="108">
        <v>43448</v>
      </c>
      <c r="AB285" s="109"/>
      <c r="AC285" s="109"/>
    </row>
    <row r="286" spans="1:29" hidden="1" x14ac:dyDescent="0.15">
      <c r="A286" s="98">
        <v>285</v>
      </c>
      <c r="B286" s="99">
        <v>112917</v>
      </c>
      <c r="C286" s="98" t="s">
        <v>6331</v>
      </c>
      <c r="D286" s="100" t="s">
        <v>208</v>
      </c>
      <c r="E286" s="100" t="s">
        <v>209</v>
      </c>
      <c r="F286" s="100" t="s">
        <v>210</v>
      </c>
      <c r="G286" s="98" t="s">
        <v>8</v>
      </c>
      <c r="H286" s="98" t="str">
        <f>VLOOKUP(G286,CGS[],2,FALSE)</f>
        <v>CMA</v>
      </c>
      <c r="I286" s="65">
        <v>2863</v>
      </c>
      <c r="J286" s="101">
        <f>IF(ISBLANK(Pricelist[[#This Row],[EBS]]),"",VALUE(LEFT(Pricelist[[#This Row],[EBS]],LEN(Pricelist[[#This Row],[EBS]])-LEN(Pricelist[[#This Row],[E2]])-1)))</f>
        <v>55</v>
      </c>
      <c r="K286" s="65">
        <v>5213</v>
      </c>
      <c r="L286" s="101">
        <f>IF(ISBLANK(Pricelist[[#This Row],[EBS]]),"",VALUE(RIGHT(Pricelist[[#This Row],[EBS]],3)))</f>
        <v>110</v>
      </c>
      <c r="M286" s="65">
        <v>5213</v>
      </c>
      <c r="N286" s="101">
        <f>IF(ISBLANK(Pricelist[[#This Row],[EBS]]),"",VALUE(RIGHT(Pricelist[[#This Row],[EBS]],3)))</f>
        <v>110</v>
      </c>
      <c r="O286" s="101" t="str">
        <f>IF(AND(Pricelist[[#This Row],[AE1]]&lt;&gt;"",OR(Pricelist[[#This Row],[区]]="南",Pricelist[[#This Row],[区]]="北")),MID(Pricelist[[#This Row],[AE1]],4,2),"")</f>
        <v/>
      </c>
      <c r="P286" s="102">
        <v>2938</v>
      </c>
      <c r="Q286" s="103">
        <v>5363</v>
      </c>
      <c r="R286" s="103">
        <v>5363</v>
      </c>
      <c r="S286" s="104" t="s">
        <v>2204</v>
      </c>
      <c r="T286" s="104"/>
      <c r="U286" s="105" t="s">
        <v>511</v>
      </c>
      <c r="V286" s="100" t="s">
        <v>507</v>
      </c>
      <c r="W286" s="106" t="s">
        <v>130</v>
      </c>
      <c r="X286" s="106" t="s">
        <v>131</v>
      </c>
      <c r="Y286" s="106">
        <v>44</v>
      </c>
      <c r="Z286" s="107">
        <v>43430</v>
      </c>
      <c r="AA286" s="108">
        <v>43448</v>
      </c>
      <c r="AB286" s="109" t="s">
        <v>192</v>
      </c>
      <c r="AC286" s="109"/>
    </row>
    <row r="287" spans="1:29" hidden="1" x14ac:dyDescent="0.15">
      <c r="A287" s="98">
        <v>289</v>
      </c>
      <c r="B287" s="99">
        <v>112917</v>
      </c>
      <c r="C287" s="98" t="s">
        <v>6331</v>
      </c>
      <c r="D287" s="100" t="s">
        <v>211</v>
      </c>
      <c r="E287" s="100" t="s">
        <v>209</v>
      </c>
      <c r="F287" s="100" t="s">
        <v>212</v>
      </c>
      <c r="G287" s="98" t="s">
        <v>20</v>
      </c>
      <c r="H287" s="98" t="str">
        <f>VLOOKUP(G287,CGS[],2,FALSE)</f>
        <v>HPL</v>
      </c>
      <c r="I287" s="65">
        <v>2050</v>
      </c>
      <c r="J287" s="101">
        <f>IF(ISBLANK(Pricelist[[#This Row],[EBS]]),"",VALUE(LEFT(Pricelist[[#This Row],[EBS]],LEN(Pricelist[[#This Row],[EBS]])-LEN(Pricelist[[#This Row],[E2]])-1)))</f>
        <v>55</v>
      </c>
      <c r="K287" s="65">
        <v>3450</v>
      </c>
      <c r="L287" s="101">
        <f>IF(ISBLANK(Pricelist[[#This Row],[EBS]]),"",VALUE(RIGHT(Pricelist[[#This Row],[EBS]],3)))</f>
        <v>110</v>
      </c>
      <c r="M287" s="65">
        <v>3450</v>
      </c>
      <c r="N287" s="101">
        <f>IF(ISBLANK(Pricelist[[#This Row],[EBS]]),"",VALUE(RIGHT(Pricelist[[#This Row],[EBS]],3)))</f>
        <v>110</v>
      </c>
      <c r="O287" s="101" t="str">
        <f>IF(AND(Pricelist[[#This Row],[AE1]]&lt;&gt;"",OR(Pricelist[[#This Row],[区]]="南",Pricelist[[#This Row],[区]]="北")),MID(Pricelist[[#This Row],[AE1]],4,2),"")</f>
        <v/>
      </c>
      <c r="P287" s="102">
        <v>2075</v>
      </c>
      <c r="Q287" s="103">
        <v>3500</v>
      </c>
      <c r="R287" s="103">
        <v>3500</v>
      </c>
      <c r="S287" s="104" t="s">
        <v>2204</v>
      </c>
      <c r="T287" s="104"/>
      <c r="U287" s="105" t="s">
        <v>512</v>
      </c>
      <c r="V287" s="100" t="s">
        <v>507</v>
      </c>
      <c r="W287" s="106" t="s">
        <v>103</v>
      </c>
      <c r="X287" s="106" t="s">
        <v>104</v>
      </c>
      <c r="Y287" s="106">
        <v>46</v>
      </c>
      <c r="Z287" s="107">
        <v>43435</v>
      </c>
      <c r="AA287" s="108">
        <v>43448</v>
      </c>
      <c r="AB287" s="109" t="s">
        <v>2255</v>
      </c>
      <c r="AC287" s="109"/>
    </row>
    <row r="288" spans="1:29" hidden="1" x14ac:dyDescent="0.15">
      <c r="A288" s="98">
        <v>290</v>
      </c>
      <c r="B288" s="99">
        <v>112917</v>
      </c>
      <c r="C288" s="98" t="s">
        <v>6331</v>
      </c>
      <c r="D288" s="100" t="s">
        <v>211</v>
      </c>
      <c r="E288" s="100" t="s">
        <v>209</v>
      </c>
      <c r="F288" s="100" t="s">
        <v>212</v>
      </c>
      <c r="G288" s="98" t="s">
        <v>8</v>
      </c>
      <c r="H288" s="98" t="str">
        <f>VLOOKUP(G288,CGS[],2,FALSE)</f>
        <v>CMA</v>
      </c>
      <c r="I288" s="65">
        <v>2363</v>
      </c>
      <c r="J288" s="101">
        <f>IF(ISBLANK(Pricelist[[#This Row],[EBS]]),"",VALUE(LEFT(Pricelist[[#This Row],[EBS]],LEN(Pricelist[[#This Row],[EBS]])-LEN(Pricelist[[#This Row],[E2]])-1)))</f>
        <v>55</v>
      </c>
      <c r="K288" s="65">
        <v>4213</v>
      </c>
      <c r="L288" s="101">
        <f>IF(ISBLANK(Pricelist[[#This Row],[EBS]]),"",VALUE(RIGHT(Pricelist[[#This Row],[EBS]],3)))</f>
        <v>110</v>
      </c>
      <c r="M288" s="65">
        <v>4213</v>
      </c>
      <c r="N288" s="101">
        <f>IF(ISBLANK(Pricelist[[#This Row],[EBS]]),"",VALUE(RIGHT(Pricelist[[#This Row],[EBS]],3)))</f>
        <v>110</v>
      </c>
      <c r="O288" s="101" t="str">
        <f>IF(AND(Pricelist[[#This Row],[AE1]]&lt;&gt;"",OR(Pricelist[[#This Row],[区]]="南",Pricelist[[#This Row],[区]]="北")),MID(Pricelist[[#This Row],[AE1]],4,2),"")</f>
        <v/>
      </c>
      <c r="P288" s="102">
        <v>2438</v>
      </c>
      <c r="Q288" s="103">
        <v>4363</v>
      </c>
      <c r="R288" s="103">
        <v>4363</v>
      </c>
      <c r="S288" s="104" t="s">
        <v>2204</v>
      </c>
      <c r="T288" s="104"/>
      <c r="U288" s="105" t="s">
        <v>511</v>
      </c>
      <c r="V288" s="100" t="s">
        <v>507</v>
      </c>
      <c r="W288" s="106" t="s">
        <v>130</v>
      </c>
      <c r="X288" s="106" t="s">
        <v>131</v>
      </c>
      <c r="Y288" s="106">
        <v>36</v>
      </c>
      <c r="Z288" s="107">
        <v>43430</v>
      </c>
      <c r="AA288" s="108">
        <v>43448</v>
      </c>
      <c r="AB288" s="109" t="s">
        <v>192</v>
      </c>
      <c r="AC288" s="109"/>
    </row>
    <row r="289" spans="1:29" hidden="1" x14ac:dyDescent="0.15">
      <c r="A289" s="98">
        <v>286</v>
      </c>
      <c r="B289" s="99">
        <v>112917</v>
      </c>
      <c r="C289" s="98" t="s">
        <v>6331</v>
      </c>
      <c r="D289" s="100" t="s">
        <v>211</v>
      </c>
      <c r="E289" s="100" t="s">
        <v>209</v>
      </c>
      <c r="F289" s="100" t="s">
        <v>212</v>
      </c>
      <c r="G289" s="98" t="s">
        <v>21</v>
      </c>
      <c r="H289" s="98" t="str">
        <f>VLOOKUP(G289,CGS[],2,FALSE)</f>
        <v>MSK</v>
      </c>
      <c r="I289" s="65">
        <v>2435</v>
      </c>
      <c r="J289" s="101" t="str">
        <f>IF(ISBLANK(Pricelist[[#This Row],[EBS]]),"",VALUE(LEFT(Pricelist[[#This Row],[EBS]],LEN(Pricelist[[#This Row],[EBS]])-LEN(Pricelist[[#This Row],[E2]])-1)))</f>
        <v/>
      </c>
      <c r="K289" s="65">
        <v>4370</v>
      </c>
      <c r="L289" s="101" t="str">
        <f>IF(ISBLANK(Pricelist[[#This Row],[EBS]]),"",VALUE(RIGHT(Pricelist[[#This Row],[EBS]],3)))</f>
        <v/>
      </c>
      <c r="M289" s="65">
        <v>4370</v>
      </c>
      <c r="N289" s="101" t="str">
        <f>IF(ISBLANK(Pricelist[[#This Row],[EBS]]),"",VALUE(RIGHT(Pricelist[[#This Row],[EBS]],3)))</f>
        <v/>
      </c>
      <c r="O289" s="101" t="str">
        <f>IF(AND(Pricelist[[#This Row],[AE1]]&lt;&gt;"",OR(Pricelist[[#This Row],[区]]="南",Pricelist[[#This Row],[区]]="北")),MID(Pricelist[[#This Row],[AE1]],4,2),"")</f>
        <v/>
      </c>
      <c r="P289" s="102">
        <v>2435</v>
      </c>
      <c r="Q289" s="103">
        <v>4370</v>
      </c>
      <c r="R289" s="103">
        <v>4370</v>
      </c>
      <c r="S289" s="104"/>
      <c r="T289" s="104"/>
      <c r="U289" s="105" t="s">
        <v>510</v>
      </c>
      <c r="V289" s="100" t="s">
        <v>507</v>
      </c>
      <c r="W289" s="106" t="s">
        <v>361</v>
      </c>
      <c r="X289" s="106" t="s">
        <v>2230</v>
      </c>
      <c r="Y289" s="106">
        <v>44</v>
      </c>
      <c r="Z289" s="107">
        <v>43437</v>
      </c>
      <c r="AA289" s="108">
        <v>43450</v>
      </c>
      <c r="AB289" s="109"/>
      <c r="AC289" s="109"/>
    </row>
    <row r="290" spans="1:29" hidden="1" x14ac:dyDescent="0.15">
      <c r="A290" s="98">
        <v>287</v>
      </c>
      <c r="B290" s="99">
        <v>112917</v>
      </c>
      <c r="C290" s="98" t="s">
        <v>6331</v>
      </c>
      <c r="D290" s="100" t="s">
        <v>211</v>
      </c>
      <c r="E290" s="100" t="s">
        <v>209</v>
      </c>
      <c r="F290" s="100" t="s">
        <v>212</v>
      </c>
      <c r="G290" s="98" t="s">
        <v>24</v>
      </c>
      <c r="H290" s="98" t="str">
        <f>VLOOKUP(G290,CGS[],2,FALSE)</f>
        <v>SAF</v>
      </c>
      <c r="I290" s="65">
        <v>2450</v>
      </c>
      <c r="J290" s="101">
        <f>IF(ISBLANK(Pricelist[[#This Row],[EBS]]),"",VALUE(LEFT(Pricelist[[#This Row],[EBS]],LEN(Pricelist[[#This Row],[EBS]])-LEN(Pricelist[[#This Row],[E2]])-1)))</f>
        <v>60</v>
      </c>
      <c r="K290" s="65">
        <v>4400</v>
      </c>
      <c r="L290" s="101">
        <f>IF(ISBLANK(Pricelist[[#This Row],[EBS]]),"",VALUE(RIGHT(Pricelist[[#This Row],[EBS]],3)))</f>
        <v>120</v>
      </c>
      <c r="M290" s="65">
        <v>4400</v>
      </c>
      <c r="N290" s="101">
        <f>IF(ISBLANK(Pricelist[[#This Row],[EBS]]),"",VALUE(RIGHT(Pricelist[[#This Row],[EBS]],3)))</f>
        <v>120</v>
      </c>
      <c r="O290" s="101" t="str">
        <f>IF(AND(Pricelist[[#This Row],[AE1]]&lt;&gt;"",OR(Pricelist[[#This Row],[区]]="南",Pricelist[[#This Row],[区]]="北")),MID(Pricelist[[#This Row],[AE1]],4,2),"")</f>
        <v/>
      </c>
      <c r="P290" s="102">
        <v>2450</v>
      </c>
      <c r="Q290" s="103">
        <v>4400</v>
      </c>
      <c r="R290" s="103">
        <v>4400</v>
      </c>
      <c r="S290" s="104" t="s">
        <v>2199</v>
      </c>
      <c r="T290" s="104"/>
      <c r="U290" s="105" t="s">
        <v>510</v>
      </c>
      <c r="V290" s="100" t="s">
        <v>507</v>
      </c>
      <c r="W290" s="106" t="s">
        <v>2238</v>
      </c>
      <c r="X290" s="106" t="s">
        <v>131</v>
      </c>
      <c r="Y290" s="106">
        <v>44</v>
      </c>
      <c r="Z290" s="107">
        <v>43437</v>
      </c>
      <c r="AA290" s="108">
        <v>43450</v>
      </c>
      <c r="AB290" s="109" t="s">
        <v>3694</v>
      </c>
      <c r="AC290" s="109"/>
    </row>
    <row r="291" spans="1:29" hidden="1" x14ac:dyDescent="0.15">
      <c r="A291" s="98">
        <v>288</v>
      </c>
      <c r="B291" s="99">
        <v>112917</v>
      </c>
      <c r="C291" s="98" t="s">
        <v>6331</v>
      </c>
      <c r="D291" s="100" t="s">
        <v>211</v>
      </c>
      <c r="E291" s="100" t="s">
        <v>209</v>
      </c>
      <c r="F291" s="100" t="s">
        <v>212</v>
      </c>
      <c r="G291" s="98" t="s">
        <v>17</v>
      </c>
      <c r="H291" s="98" t="str">
        <f>VLOOKUP(G291,CGS[],2,FALSE)</f>
        <v>MSC</v>
      </c>
      <c r="I291" s="65">
        <v>2325</v>
      </c>
      <c r="J291" s="101">
        <f>IF(ISBLANK(Pricelist[[#This Row],[EBS]]),"",VALUE(LEFT(Pricelist[[#This Row],[EBS]],LEN(Pricelist[[#This Row],[EBS]])-LEN(Pricelist[[#This Row],[E2]])-1)))</f>
        <v>100</v>
      </c>
      <c r="K291" s="65">
        <v>4650</v>
      </c>
      <c r="L291" s="101">
        <f>IF(ISBLANK(Pricelist[[#This Row],[EBS]]),"",VALUE(RIGHT(Pricelist[[#This Row],[EBS]],3)))</f>
        <v>200</v>
      </c>
      <c r="M291" s="65">
        <v>4650</v>
      </c>
      <c r="N291" s="101">
        <f>IF(ISBLANK(Pricelist[[#This Row],[EBS]]),"",VALUE(RIGHT(Pricelist[[#This Row],[EBS]],3)))</f>
        <v>200</v>
      </c>
      <c r="O291" s="101" t="str">
        <f>IF(AND(Pricelist[[#This Row],[AE1]]&lt;&gt;"",OR(Pricelist[[#This Row],[区]]="南",Pricelist[[#This Row],[区]]="北")),MID(Pricelist[[#This Row],[AE1]],4,2),"")</f>
        <v/>
      </c>
      <c r="P291" s="102">
        <v>2350</v>
      </c>
      <c r="Q291" s="103">
        <v>4700</v>
      </c>
      <c r="R291" s="103">
        <v>4700</v>
      </c>
      <c r="S291" s="104" t="s">
        <v>6328</v>
      </c>
      <c r="T291" s="104"/>
      <c r="U291" s="105" t="s">
        <v>506</v>
      </c>
      <c r="V291" s="100" t="s">
        <v>504</v>
      </c>
      <c r="W291" s="106" t="s">
        <v>132</v>
      </c>
      <c r="X291" s="106" t="s">
        <v>133</v>
      </c>
      <c r="Y291" s="106" t="s">
        <v>520</v>
      </c>
      <c r="Z291" s="107">
        <v>43435</v>
      </c>
      <c r="AA291" s="108">
        <v>43448</v>
      </c>
      <c r="AB291" s="109"/>
      <c r="AC291" s="109"/>
    </row>
    <row r="292" spans="1:29" hidden="1" x14ac:dyDescent="0.15">
      <c r="A292" s="98">
        <v>291</v>
      </c>
      <c r="B292" s="99">
        <v>112917</v>
      </c>
      <c r="C292" s="98" t="s">
        <v>6331</v>
      </c>
      <c r="D292" s="100" t="s">
        <v>5313</v>
      </c>
      <c r="E292" s="100" t="s">
        <v>213</v>
      </c>
      <c r="F292" s="100" t="s">
        <v>214</v>
      </c>
      <c r="G292" s="98" t="s">
        <v>106</v>
      </c>
      <c r="H292" s="98" t="str">
        <f>VLOOKUP(G292,CGS[],2,FALSE)</f>
        <v>NDS</v>
      </c>
      <c r="I292" s="65">
        <v>3160</v>
      </c>
      <c r="J292" s="101" t="str">
        <f>IF(ISBLANK(Pricelist[[#This Row],[EBS]]),"",VALUE(LEFT(Pricelist[[#This Row],[EBS]],LEN(Pricelist[[#This Row],[EBS]])-LEN(Pricelist[[#This Row],[E2]])-1)))</f>
        <v/>
      </c>
      <c r="K292" s="65">
        <v>5460</v>
      </c>
      <c r="L292" s="101" t="str">
        <f>IF(ISBLANK(Pricelist[[#This Row],[EBS]]),"",VALUE(RIGHT(Pricelist[[#This Row],[EBS]],3)))</f>
        <v/>
      </c>
      <c r="M292" s="65">
        <v>5460</v>
      </c>
      <c r="N292" s="101" t="str">
        <f>IF(ISBLANK(Pricelist[[#This Row],[EBS]]),"",VALUE(RIGHT(Pricelist[[#This Row],[EBS]],3)))</f>
        <v/>
      </c>
      <c r="O292" s="101" t="str">
        <f>IF(AND(Pricelist[[#This Row],[AE1]]&lt;&gt;"",OR(Pricelist[[#This Row],[区]]="南",Pricelist[[#This Row],[区]]="北")),MID(Pricelist[[#This Row],[AE1]],4,2),"")</f>
        <v/>
      </c>
      <c r="P292" s="102">
        <v>3160</v>
      </c>
      <c r="Q292" s="103">
        <v>5460</v>
      </c>
      <c r="R292" s="103">
        <v>5460</v>
      </c>
      <c r="S292" s="104"/>
      <c r="T292" s="104"/>
      <c r="U292" s="105" t="s">
        <v>510</v>
      </c>
      <c r="V292" s="100" t="s">
        <v>507</v>
      </c>
      <c r="W292" s="106" t="s">
        <v>142</v>
      </c>
      <c r="X292" s="106" t="s">
        <v>141</v>
      </c>
      <c r="Y292" s="106">
        <v>56</v>
      </c>
      <c r="Z292" s="107">
        <v>43423</v>
      </c>
      <c r="AA292" s="108">
        <v>43448</v>
      </c>
      <c r="AB292" s="109"/>
      <c r="AC292" s="109"/>
    </row>
    <row r="293" spans="1:29" hidden="1" x14ac:dyDescent="0.15">
      <c r="A293" s="98">
        <v>292</v>
      </c>
      <c r="B293" s="99">
        <v>112917</v>
      </c>
      <c r="C293" s="98" t="s">
        <v>6331</v>
      </c>
      <c r="D293" s="100" t="s">
        <v>5313</v>
      </c>
      <c r="E293" s="100" t="s">
        <v>213</v>
      </c>
      <c r="F293" s="100" t="s">
        <v>214</v>
      </c>
      <c r="G293" s="98" t="s">
        <v>8</v>
      </c>
      <c r="H293" s="98" t="str">
        <f>VLOOKUP(G293,CGS[],2,FALSE)</f>
        <v>CMA</v>
      </c>
      <c r="I293" s="65">
        <v>2863</v>
      </c>
      <c r="J293" s="101">
        <f>IF(ISBLANK(Pricelist[[#This Row],[EBS]]),"",VALUE(LEFT(Pricelist[[#This Row],[EBS]],LEN(Pricelist[[#This Row],[EBS]])-LEN(Pricelist[[#This Row],[E2]])-1)))</f>
        <v>55</v>
      </c>
      <c r="K293" s="65">
        <v>4813</v>
      </c>
      <c r="L293" s="101">
        <f>IF(ISBLANK(Pricelist[[#This Row],[EBS]]),"",VALUE(RIGHT(Pricelist[[#This Row],[EBS]],3)))</f>
        <v>110</v>
      </c>
      <c r="M293" s="65">
        <v>4813</v>
      </c>
      <c r="N293" s="101">
        <f>IF(ISBLANK(Pricelist[[#This Row],[EBS]]),"",VALUE(RIGHT(Pricelist[[#This Row],[EBS]],3)))</f>
        <v>110</v>
      </c>
      <c r="O293" s="101" t="str">
        <f>IF(AND(Pricelist[[#This Row],[AE1]]&lt;&gt;"",OR(Pricelist[[#This Row],[区]]="南",Pricelist[[#This Row],[区]]="北")),MID(Pricelist[[#This Row],[AE1]],4,2),"")</f>
        <v/>
      </c>
      <c r="P293" s="102">
        <v>2938</v>
      </c>
      <c r="Q293" s="103">
        <v>4963</v>
      </c>
      <c r="R293" s="103">
        <v>4963</v>
      </c>
      <c r="S293" s="104" t="s">
        <v>2204</v>
      </c>
      <c r="T293" s="104"/>
      <c r="U293" s="105" t="s">
        <v>509</v>
      </c>
      <c r="V293" s="100" t="s">
        <v>507</v>
      </c>
      <c r="W293" s="106" t="s">
        <v>146</v>
      </c>
      <c r="X293" s="106" t="s">
        <v>147</v>
      </c>
      <c r="Y293" s="106">
        <v>46</v>
      </c>
      <c r="Z293" s="107">
        <v>43430</v>
      </c>
      <c r="AA293" s="108">
        <v>43448</v>
      </c>
      <c r="AB293" s="109" t="s">
        <v>156</v>
      </c>
      <c r="AC293" s="109"/>
    </row>
    <row r="294" spans="1:29" hidden="1" x14ac:dyDescent="0.15">
      <c r="A294" s="98">
        <v>293</v>
      </c>
      <c r="B294" s="99">
        <v>112917</v>
      </c>
      <c r="C294" s="98" t="s">
        <v>6331</v>
      </c>
      <c r="D294" s="100" t="s">
        <v>215</v>
      </c>
      <c r="E294" s="100" t="s">
        <v>213</v>
      </c>
      <c r="F294" s="100" t="s">
        <v>216</v>
      </c>
      <c r="G294" s="98" t="s">
        <v>9</v>
      </c>
      <c r="H294" s="98" t="str">
        <f>VLOOKUP(G294,CGS[],2,FALSE)</f>
        <v>COSCO</v>
      </c>
      <c r="I294" s="65">
        <v>1935</v>
      </c>
      <c r="J294" s="101">
        <f>IF(ISBLANK(Pricelist[[#This Row],[EBS]]),"",VALUE(LEFT(Pricelist[[#This Row],[EBS]],LEN(Pricelist[[#This Row],[EBS]])-LEN(Pricelist[[#This Row],[E2]])-1)))</f>
        <v>60</v>
      </c>
      <c r="K294" s="65">
        <v>3160</v>
      </c>
      <c r="L294" s="101">
        <f>IF(ISBLANK(Pricelist[[#This Row],[EBS]]),"",VALUE(RIGHT(Pricelist[[#This Row],[EBS]],3)))</f>
        <v>120</v>
      </c>
      <c r="M294" s="65">
        <v>3160</v>
      </c>
      <c r="N294" s="101">
        <f>IF(ISBLANK(Pricelist[[#This Row],[EBS]]),"",VALUE(RIGHT(Pricelist[[#This Row],[EBS]],3)))</f>
        <v>120</v>
      </c>
      <c r="O294" s="101" t="str">
        <f>IF(AND(Pricelist[[#This Row],[AE1]]&lt;&gt;"",OR(Pricelist[[#This Row],[区]]="南",Pricelist[[#This Row],[区]]="北")),MID(Pricelist[[#This Row],[AE1]],4,2),"")</f>
        <v/>
      </c>
      <c r="P294" s="102">
        <v>1960</v>
      </c>
      <c r="Q294" s="103">
        <v>3210</v>
      </c>
      <c r="R294" s="103">
        <v>3210</v>
      </c>
      <c r="S294" s="104" t="s">
        <v>2199</v>
      </c>
      <c r="T294" s="104"/>
      <c r="U294" s="105" t="s">
        <v>509</v>
      </c>
      <c r="V294" s="100" t="s">
        <v>507</v>
      </c>
      <c r="W294" s="106" t="s">
        <v>10</v>
      </c>
      <c r="X294" s="106" t="s">
        <v>11</v>
      </c>
      <c r="Y294" s="106">
        <v>45</v>
      </c>
      <c r="Z294" s="107">
        <v>43437</v>
      </c>
      <c r="AA294" s="108">
        <v>43450</v>
      </c>
      <c r="AB294" s="109" t="s">
        <v>157</v>
      </c>
      <c r="AC294" s="109"/>
    </row>
    <row r="295" spans="1:29" hidden="1" x14ac:dyDescent="0.15">
      <c r="A295" s="98">
        <v>294</v>
      </c>
      <c r="B295" s="99">
        <v>112917</v>
      </c>
      <c r="C295" s="98" t="s">
        <v>6331</v>
      </c>
      <c r="D295" s="100" t="s">
        <v>215</v>
      </c>
      <c r="E295" s="100" t="s">
        <v>213</v>
      </c>
      <c r="F295" s="100" t="s">
        <v>216</v>
      </c>
      <c r="G295" s="98" t="s">
        <v>8</v>
      </c>
      <c r="H295" s="98" t="str">
        <f>VLOOKUP(G295,CGS[],2,FALSE)</f>
        <v>CMA</v>
      </c>
      <c r="I295" s="65">
        <v>2113</v>
      </c>
      <c r="J295" s="101">
        <f>IF(ISBLANK(Pricelist[[#This Row],[EBS]]),"",VALUE(LEFT(Pricelist[[#This Row],[EBS]],LEN(Pricelist[[#This Row],[EBS]])-LEN(Pricelist[[#This Row],[E2]])-1)))</f>
        <v>55</v>
      </c>
      <c r="K295" s="65">
        <v>3513</v>
      </c>
      <c r="L295" s="101">
        <f>IF(ISBLANK(Pricelist[[#This Row],[EBS]]),"",VALUE(RIGHT(Pricelist[[#This Row],[EBS]],3)))</f>
        <v>110</v>
      </c>
      <c r="M295" s="65">
        <v>3513</v>
      </c>
      <c r="N295" s="101">
        <f>IF(ISBLANK(Pricelist[[#This Row],[EBS]]),"",VALUE(RIGHT(Pricelist[[#This Row],[EBS]],3)))</f>
        <v>110</v>
      </c>
      <c r="O295" s="101" t="str">
        <f>IF(AND(Pricelist[[#This Row],[AE1]]&lt;&gt;"",OR(Pricelist[[#This Row],[区]]="南",Pricelist[[#This Row],[区]]="北")),MID(Pricelist[[#This Row],[AE1]],4,2),"")</f>
        <v/>
      </c>
      <c r="P295" s="102">
        <v>2188</v>
      </c>
      <c r="Q295" s="103">
        <v>3663</v>
      </c>
      <c r="R295" s="103">
        <v>3663</v>
      </c>
      <c r="S295" s="104" t="s">
        <v>2204</v>
      </c>
      <c r="T295" s="104"/>
      <c r="U295" s="105" t="s">
        <v>509</v>
      </c>
      <c r="V295" s="100" t="s">
        <v>507</v>
      </c>
      <c r="W295" s="106" t="s">
        <v>10</v>
      </c>
      <c r="X295" s="106" t="s">
        <v>405</v>
      </c>
      <c r="Y295" s="106">
        <v>35</v>
      </c>
      <c r="Z295" s="107">
        <v>43430</v>
      </c>
      <c r="AA295" s="108">
        <v>43448</v>
      </c>
      <c r="AB295" s="109" t="s">
        <v>148</v>
      </c>
      <c r="AC295" s="109"/>
    </row>
    <row r="296" spans="1:29" hidden="1" x14ac:dyDescent="0.15">
      <c r="A296" s="98">
        <v>295</v>
      </c>
      <c r="B296" s="99">
        <v>112917</v>
      </c>
      <c r="C296" s="98" t="s">
        <v>6331</v>
      </c>
      <c r="D296" s="100" t="s">
        <v>215</v>
      </c>
      <c r="E296" s="100" t="s">
        <v>213</v>
      </c>
      <c r="F296" s="100" t="s">
        <v>216</v>
      </c>
      <c r="G296" s="98" t="s">
        <v>18</v>
      </c>
      <c r="H296" s="98" t="str">
        <f>VLOOKUP(G296,CGS[],2,FALSE)</f>
        <v>PIL</v>
      </c>
      <c r="I296" s="65">
        <v>1820</v>
      </c>
      <c r="J296" s="101" t="str">
        <f>IF(ISBLANK(Pricelist[[#This Row],[EBS]]),"",VALUE(LEFT(Pricelist[[#This Row],[EBS]],LEN(Pricelist[[#This Row],[EBS]])-LEN(Pricelist[[#This Row],[E2]])-1)))</f>
        <v/>
      </c>
      <c r="K296" s="65">
        <v>3020</v>
      </c>
      <c r="L296" s="101" t="str">
        <f>IF(ISBLANK(Pricelist[[#This Row],[EBS]]),"",VALUE(RIGHT(Pricelist[[#This Row],[EBS]],3)))</f>
        <v/>
      </c>
      <c r="M296" s="65">
        <v>3020</v>
      </c>
      <c r="N296" s="101" t="str">
        <f>IF(ISBLANK(Pricelist[[#This Row],[EBS]]),"",VALUE(RIGHT(Pricelist[[#This Row],[EBS]],3)))</f>
        <v/>
      </c>
      <c r="O296" s="101" t="str">
        <f>IF(AND(Pricelist[[#This Row],[AE1]]&lt;&gt;"",OR(Pricelist[[#This Row],[区]]="南",Pricelist[[#This Row],[区]]="北")),MID(Pricelist[[#This Row],[AE1]],4,2),"")</f>
        <v/>
      </c>
      <c r="P296" s="102">
        <v>1920</v>
      </c>
      <c r="Q296" s="103">
        <v>3220</v>
      </c>
      <c r="R296" s="103">
        <v>3220</v>
      </c>
      <c r="S296" s="104"/>
      <c r="T296" s="104"/>
      <c r="U296" s="105" t="s">
        <v>510</v>
      </c>
      <c r="V296" s="100" t="s">
        <v>507</v>
      </c>
      <c r="W296" s="106" t="s">
        <v>10</v>
      </c>
      <c r="X296" s="106" t="s">
        <v>11</v>
      </c>
      <c r="Y296" s="106">
        <v>37</v>
      </c>
      <c r="Z296" s="107">
        <v>43444</v>
      </c>
      <c r="AA296" s="108">
        <v>43449</v>
      </c>
      <c r="AB296" s="109"/>
      <c r="AC296" s="109"/>
    </row>
    <row r="297" spans="1:29" hidden="1" x14ac:dyDescent="0.15">
      <c r="A297" s="98">
        <v>296</v>
      </c>
      <c r="B297" s="99">
        <v>112917</v>
      </c>
      <c r="C297" s="98" t="s">
        <v>6331</v>
      </c>
      <c r="D297" s="100" t="s">
        <v>215</v>
      </c>
      <c r="E297" s="100" t="s">
        <v>213</v>
      </c>
      <c r="F297" s="100" t="s">
        <v>216</v>
      </c>
      <c r="G297" s="98" t="s">
        <v>21</v>
      </c>
      <c r="H297" s="98" t="str">
        <f>VLOOKUP(G297,CGS[],2,FALSE)</f>
        <v>MSK</v>
      </c>
      <c r="I297" s="65">
        <v>2185</v>
      </c>
      <c r="J297" s="101" t="str">
        <f>IF(ISBLANK(Pricelist[[#This Row],[EBS]]),"",VALUE(LEFT(Pricelist[[#This Row],[EBS]],LEN(Pricelist[[#This Row],[EBS]])-LEN(Pricelist[[#This Row],[E2]])-1)))</f>
        <v/>
      </c>
      <c r="K297" s="65">
        <v>3670</v>
      </c>
      <c r="L297" s="101" t="str">
        <f>IF(ISBLANK(Pricelist[[#This Row],[EBS]]),"",VALUE(RIGHT(Pricelist[[#This Row],[EBS]],3)))</f>
        <v/>
      </c>
      <c r="M297" s="65">
        <v>3670</v>
      </c>
      <c r="N297" s="101" t="str">
        <f>IF(ISBLANK(Pricelist[[#This Row],[EBS]]),"",VALUE(RIGHT(Pricelist[[#This Row],[EBS]],3)))</f>
        <v/>
      </c>
      <c r="O297" s="101" t="str">
        <f>IF(AND(Pricelist[[#This Row],[AE1]]&lt;&gt;"",OR(Pricelist[[#This Row],[区]]="南",Pricelist[[#This Row],[区]]="北")),MID(Pricelist[[#This Row],[AE1]],4,2),"")</f>
        <v/>
      </c>
      <c r="P297" s="102">
        <v>2185</v>
      </c>
      <c r="Q297" s="103">
        <v>3670</v>
      </c>
      <c r="R297" s="103">
        <v>3670</v>
      </c>
      <c r="S297" s="104"/>
      <c r="T297" s="104"/>
      <c r="U297" s="105" t="s">
        <v>509</v>
      </c>
      <c r="V297" s="100" t="s">
        <v>507</v>
      </c>
      <c r="W297" s="106" t="s">
        <v>10</v>
      </c>
      <c r="X297" s="106" t="s">
        <v>11</v>
      </c>
      <c r="Y297" s="106">
        <v>36</v>
      </c>
      <c r="Z297" s="107">
        <v>43437</v>
      </c>
      <c r="AA297" s="108">
        <v>43450</v>
      </c>
      <c r="AB297" s="109" t="s">
        <v>3690</v>
      </c>
      <c r="AC297" s="109"/>
    </row>
    <row r="298" spans="1:29" hidden="1" x14ac:dyDescent="0.15">
      <c r="A298" s="98">
        <v>297</v>
      </c>
      <c r="B298" s="99">
        <v>112917</v>
      </c>
      <c r="C298" s="98" t="s">
        <v>6331</v>
      </c>
      <c r="D298" s="100" t="s">
        <v>215</v>
      </c>
      <c r="E298" s="100" t="s">
        <v>213</v>
      </c>
      <c r="F298" s="100" t="s">
        <v>216</v>
      </c>
      <c r="G298" s="98" t="s">
        <v>24</v>
      </c>
      <c r="H298" s="98" t="str">
        <f>VLOOKUP(G298,CGS[],2,FALSE)</f>
        <v>SAF</v>
      </c>
      <c r="I298" s="65">
        <v>2200</v>
      </c>
      <c r="J298" s="101">
        <f>IF(ISBLANK(Pricelist[[#This Row],[EBS]]),"",VALUE(LEFT(Pricelist[[#This Row],[EBS]],LEN(Pricelist[[#This Row],[EBS]])-LEN(Pricelist[[#This Row],[E2]])-1)))</f>
        <v>60</v>
      </c>
      <c r="K298" s="65">
        <v>3700</v>
      </c>
      <c r="L298" s="101">
        <f>IF(ISBLANK(Pricelist[[#This Row],[EBS]]),"",VALUE(RIGHT(Pricelist[[#This Row],[EBS]],3)))</f>
        <v>120</v>
      </c>
      <c r="M298" s="65">
        <v>3700</v>
      </c>
      <c r="N298" s="101">
        <f>IF(ISBLANK(Pricelist[[#This Row],[EBS]]),"",VALUE(RIGHT(Pricelist[[#This Row],[EBS]],3)))</f>
        <v>120</v>
      </c>
      <c r="O298" s="101" t="str">
        <f>IF(AND(Pricelist[[#This Row],[AE1]]&lt;&gt;"",OR(Pricelist[[#This Row],[区]]="南",Pricelist[[#This Row],[区]]="北")),MID(Pricelist[[#This Row],[AE1]],4,2),"")</f>
        <v/>
      </c>
      <c r="P298" s="102">
        <v>2200</v>
      </c>
      <c r="Q298" s="103">
        <v>3700</v>
      </c>
      <c r="R298" s="103">
        <v>3700</v>
      </c>
      <c r="S298" s="104" t="s">
        <v>2199</v>
      </c>
      <c r="T298" s="104"/>
      <c r="U298" s="105" t="s">
        <v>509</v>
      </c>
      <c r="V298" s="100" t="s">
        <v>507</v>
      </c>
      <c r="W298" s="106" t="s">
        <v>10</v>
      </c>
      <c r="X298" s="106" t="s">
        <v>11</v>
      </c>
      <c r="Y298" s="106">
        <v>36</v>
      </c>
      <c r="Z298" s="107">
        <v>43437</v>
      </c>
      <c r="AA298" s="108">
        <v>43450</v>
      </c>
      <c r="AB298" s="109" t="s">
        <v>158</v>
      </c>
      <c r="AC298" s="109"/>
    </row>
    <row r="299" spans="1:29" hidden="1" x14ac:dyDescent="0.15">
      <c r="A299" s="98">
        <v>298</v>
      </c>
      <c r="B299" s="99">
        <v>112917</v>
      </c>
      <c r="C299" s="98" t="s">
        <v>6331</v>
      </c>
      <c r="D299" s="100" t="s">
        <v>215</v>
      </c>
      <c r="E299" s="100" t="s">
        <v>213</v>
      </c>
      <c r="F299" s="100" t="s">
        <v>216</v>
      </c>
      <c r="G299" s="98" t="s">
        <v>106</v>
      </c>
      <c r="H299" s="98" t="str">
        <f>VLOOKUP(G299,CGS[],2,FALSE)</f>
        <v>NDS</v>
      </c>
      <c r="I299" s="65">
        <v>2510</v>
      </c>
      <c r="J299" s="101" t="str">
        <f>IF(ISBLANK(Pricelist[[#This Row],[EBS]]),"",VALUE(LEFT(Pricelist[[#This Row],[EBS]],LEN(Pricelist[[#This Row],[EBS]])-LEN(Pricelist[[#This Row],[E2]])-1)))</f>
        <v/>
      </c>
      <c r="K299" s="65">
        <v>4360</v>
      </c>
      <c r="L299" s="101" t="str">
        <f>IF(ISBLANK(Pricelist[[#This Row],[EBS]]),"",VALUE(RIGHT(Pricelist[[#This Row],[EBS]],3)))</f>
        <v/>
      </c>
      <c r="M299" s="65">
        <v>4360</v>
      </c>
      <c r="N299" s="101" t="str">
        <f>IF(ISBLANK(Pricelist[[#This Row],[EBS]]),"",VALUE(RIGHT(Pricelist[[#This Row],[EBS]],3)))</f>
        <v/>
      </c>
      <c r="O299" s="101" t="str">
        <f>IF(AND(Pricelist[[#This Row],[AE1]]&lt;&gt;"",OR(Pricelist[[#This Row],[区]]="南",Pricelist[[#This Row],[区]]="北")),MID(Pricelist[[#This Row],[AE1]],4,2),"")</f>
        <v/>
      </c>
      <c r="P299" s="102">
        <v>2510</v>
      </c>
      <c r="Q299" s="103">
        <v>4360</v>
      </c>
      <c r="R299" s="103">
        <v>4360</v>
      </c>
      <c r="S299" s="104"/>
      <c r="T299" s="104"/>
      <c r="U299" s="105" t="s">
        <v>510</v>
      </c>
      <c r="V299" s="100" t="s">
        <v>507</v>
      </c>
      <c r="W299" s="106" t="s">
        <v>10</v>
      </c>
      <c r="X299" s="106" t="s">
        <v>11</v>
      </c>
      <c r="Y299" s="106">
        <v>37</v>
      </c>
      <c r="Z299" s="107">
        <v>43423</v>
      </c>
      <c r="AA299" s="108">
        <v>43448</v>
      </c>
      <c r="AB299" s="109"/>
      <c r="AC299" s="109"/>
    </row>
    <row r="300" spans="1:29" hidden="1" x14ac:dyDescent="0.15">
      <c r="A300" s="98">
        <v>299</v>
      </c>
      <c r="B300" s="99">
        <v>112917</v>
      </c>
      <c r="C300" s="98" t="s">
        <v>6331</v>
      </c>
      <c r="D300" s="100" t="s">
        <v>217</v>
      </c>
      <c r="E300" s="100" t="s">
        <v>218</v>
      </c>
      <c r="F300" s="100" t="s">
        <v>219</v>
      </c>
      <c r="G300" s="98" t="s">
        <v>21</v>
      </c>
      <c r="H300" s="98" t="str">
        <f>VLOOKUP(G300,CGS[],2,FALSE)</f>
        <v>MSK</v>
      </c>
      <c r="I300" s="65">
        <v>2435</v>
      </c>
      <c r="J300" s="101" t="str">
        <f>IF(ISBLANK(Pricelist[[#This Row],[EBS]]),"",VALUE(LEFT(Pricelist[[#This Row],[EBS]],LEN(Pricelist[[#This Row],[EBS]])-LEN(Pricelist[[#This Row],[E2]])-1)))</f>
        <v/>
      </c>
      <c r="K300" s="65">
        <v>4370</v>
      </c>
      <c r="L300" s="101" t="str">
        <f>IF(ISBLANK(Pricelist[[#This Row],[EBS]]),"",VALUE(RIGHT(Pricelist[[#This Row],[EBS]],3)))</f>
        <v/>
      </c>
      <c r="M300" s="65">
        <v>4370</v>
      </c>
      <c r="N300" s="101" t="str">
        <f>IF(ISBLANK(Pricelist[[#This Row],[EBS]]),"",VALUE(RIGHT(Pricelist[[#This Row],[EBS]],3)))</f>
        <v/>
      </c>
      <c r="O300" s="101" t="str">
        <f>IF(AND(Pricelist[[#This Row],[AE1]]&lt;&gt;"",OR(Pricelist[[#This Row],[区]]="南",Pricelist[[#This Row],[区]]="北")),MID(Pricelist[[#This Row],[AE1]],4,2),"")</f>
        <v/>
      </c>
      <c r="P300" s="102">
        <v>2435</v>
      </c>
      <c r="Q300" s="103">
        <v>4370</v>
      </c>
      <c r="R300" s="103">
        <v>4370</v>
      </c>
      <c r="S300" s="104"/>
      <c r="T300" s="104"/>
      <c r="U300" s="105" t="s">
        <v>510</v>
      </c>
      <c r="V300" s="100" t="s">
        <v>507</v>
      </c>
      <c r="W300" s="106" t="s">
        <v>2229</v>
      </c>
      <c r="X300" s="106" t="s">
        <v>2230</v>
      </c>
      <c r="Y300" s="106">
        <v>36</v>
      </c>
      <c r="Z300" s="107">
        <v>43437</v>
      </c>
      <c r="AA300" s="108">
        <v>43450</v>
      </c>
      <c r="AB300" s="109"/>
      <c r="AC300" s="109"/>
    </row>
    <row r="301" spans="1:29" hidden="1" x14ac:dyDescent="0.15">
      <c r="A301" s="98">
        <v>300</v>
      </c>
      <c r="B301" s="99">
        <v>112917</v>
      </c>
      <c r="C301" s="98" t="s">
        <v>6331</v>
      </c>
      <c r="D301" s="100" t="s">
        <v>217</v>
      </c>
      <c r="E301" s="100" t="s">
        <v>218</v>
      </c>
      <c r="F301" s="100" t="s">
        <v>219</v>
      </c>
      <c r="G301" s="98" t="s">
        <v>24</v>
      </c>
      <c r="H301" s="98" t="str">
        <f>VLOOKUP(G301,CGS[],2,FALSE)</f>
        <v>SAF</v>
      </c>
      <c r="I301" s="65">
        <v>2450</v>
      </c>
      <c r="J301" s="101">
        <f>IF(ISBLANK(Pricelist[[#This Row],[EBS]]),"",VALUE(LEFT(Pricelist[[#This Row],[EBS]],LEN(Pricelist[[#This Row],[EBS]])-LEN(Pricelist[[#This Row],[E2]])-1)))</f>
        <v>60</v>
      </c>
      <c r="K301" s="65">
        <v>4400</v>
      </c>
      <c r="L301" s="101">
        <f>IF(ISBLANK(Pricelist[[#This Row],[EBS]]),"",VALUE(RIGHT(Pricelist[[#This Row],[EBS]],3)))</f>
        <v>120</v>
      </c>
      <c r="M301" s="65">
        <v>4400</v>
      </c>
      <c r="N301" s="101">
        <f>IF(ISBLANK(Pricelist[[#This Row],[EBS]]),"",VALUE(RIGHT(Pricelist[[#This Row],[EBS]],3)))</f>
        <v>120</v>
      </c>
      <c r="O301" s="101" t="str">
        <f>IF(AND(Pricelist[[#This Row],[AE1]]&lt;&gt;"",OR(Pricelist[[#This Row],[区]]="南",Pricelist[[#This Row],[区]]="北")),MID(Pricelist[[#This Row],[AE1]],4,2),"")</f>
        <v/>
      </c>
      <c r="P301" s="102">
        <v>2450</v>
      </c>
      <c r="Q301" s="103">
        <v>4400</v>
      </c>
      <c r="R301" s="103">
        <v>4400</v>
      </c>
      <c r="S301" s="104" t="s">
        <v>2199</v>
      </c>
      <c r="T301" s="104"/>
      <c r="U301" s="105" t="s">
        <v>3272</v>
      </c>
      <c r="V301" s="100" t="s">
        <v>507</v>
      </c>
      <c r="W301" s="106" t="s">
        <v>2245</v>
      </c>
      <c r="X301" s="106" t="s">
        <v>2246</v>
      </c>
      <c r="Y301" s="106" t="s">
        <v>3696</v>
      </c>
      <c r="Z301" s="107">
        <v>43437</v>
      </c>
      <c r="AA301" s="108">
        <v>43450</v>
      </c>
      <c r="AB301" s="109" t="s">
        <v>2232</v>
      </c>
      <c r="AC301" s="109"/>
    </row>
    <row r="302" spans="1:29" ht="51" hidden="1" x14ac:dyDescent="0.15">
      <c r="A302" s="98">
        <v>301</v>
      </c>
      <c r="B302" s="99">
        <v>112917</v>
      </c>
      <c r="C302" s="98" t="s">
        <v>6331</v>
      </c>
      <c r="D302" s="100" t="s">
        <v>217</v>
      </c>
      <c r="E302" s="100" t="s">
        <v>218</v>
      </c>
      <c r="F302" s="100" t="s">
        <v>219</v>
      </c>
      <c r="G302" s="98" t="s">
        <v>17</v>
      </c>
      <c r="H302" s="98" t="str">
        <f>VLOOKUP(G302,CGS[],2,FALSE)</f>
        <v>MSC</v>
      </c>
      <c r="I302" s="65">
        <v>2325</v>
      </c>
      <c r="J302" s="101">
        <f>IF(ISBLANK(Pricelist[[#This Row],[EBS]]),"",VALUE(LEFT(Pricelist[[#This Row],[EBS]],LEN(Pricelist[[#This Row],[EBS]])-LEN(Pricelist[[#This Row],[E2]])-1)))</f>
        <v>100</v>
      </c>
      <c r="K302" s="65">
        <v>4650</v>
      </c>
      <c r="L302" s="101">
        <f>IF(ISBLANK(Pricelist[[#This Row],[EBS]]),"",VALUE(RIGHT(Pricelist[[#This Row],[EBS]],3)))</f>
        <v>200</v>
      </c>
      <c r="M302" s="65">
        <v>4650</v>
      </c>
      <c r="N302" s="101">
        <f>IF(ISBLANK(Pricelist[[#This Row],[EBS]]),"",VALUE(RIGHT(Pricelist[[#This Row],[EBS]],3)))</f>
        <v>200</v>
      </c>
      <c r="O302" s="101" t="str">
        <f>IF(AND(Pricelist[[#This Row],[AE1]]&lt;&gt;"",OR(Pricelist[[#This Row],[区]]="南",Pricelist[[#This Row],[区]]="北")),MID(Pricelist[[#This Row],[AE1]],4,2),"")</f>
        <v/>
      </c>
      <c r="P302" s="102">
        <v>2350</v>
      </c>
      <c r="Q302" s="103">
        <v>4700</v>
      </c>
      <c r="R302" s="103">
        <v>4700</v>
      </c>
      <c r="S302" s="104" t="s">
        <v>6328</v>
      </c>
      <c r="T302" s="104"/>
      <c r="U302" s="105" t="s">
        <v>506</v>
      </c>
      <c r="V302" s="100" t="s">
        <v>504</v>
      </c>
      <c r="W302" s="106" t="s">
        <v>132</v>
      </c>
      <c r="X302" s="106" t="s">
        <v>133</v>
      </c>
      <c r="Y302" s="106" t="s">
        <v>518</v>
      </c>
      <c r="Z302" s="107">
        <v>43435</v>
      </c>
      <c r="AA302" s="108">
        <v>43448</v>
      </c>
      <c r="AB302" s="109" t="s">
        <v>2247</v>
      </c>
      <c r="AC302" s="109"/>
    </row>
    <row r="303" spans="1:29" hidden="1" x14ac:dyDescent="0.15">
      <c r="A303" s="98">
        <v>302</v>
      </c>
      <c r="B303" s="99">
        <v>112917</v>
      </c>
      <c r="C303" s="98" t="s">
        <v>6331</v>
      </c>
      <c r="D303" s="100" t="s">
        <v>217</v>
      </c>
      <c r="E303" s="100" t="s">
        <v>218</v>
      </c>
      <c r="F303" s="100" t="s">
        <v>219</v>
      </c>
      <c r="G303" s="98" t="s">
        <v>8</v>
      </c>
      <c r="H303" s="98" t="str">
        <f>VLOOKUP(G303,CGS[],2,FALSE)</f>
        <v>CMA</v>
      </c>
      <c r="I303" s="65">
        <v>3813</v>
      </c>
      <c r="J303" s="101">
        <f>IF(ISBLANK(Pricelist[[#This Row],[EBS]]),"",VALUE(LEFT(Pricelist[[#This Row],[EBS]],LEN(Pricelist[[#This Row],[EBS]])-LEN(Pricelist[[#This Row],[E2]])-1)))</f>
        <v>55</v>
      </c>
      <c r="K303" s="65">
        <v>6713</v>
      </c>
      <c r="L303" s="101">
        <f>IF(ISBLANK(Pricelist[[#This Row],[EBS]]),"",VALUE(RIGHT(Pricelist[[#This Row],[EBS]],3)))</f>
        <v>110</v>
      </c>
      <c r="M303" s="65">
        <v>6713</v>
      </c>
      <c r="N303" s="101">
        <f>IF(ISBLANK(Pricelist[[#This Row],[EBS]]),"",VALUE(RIGHT(Pricelist[[#This Row],[EBS]],3)))</f>
        <v>110</v>
      </c>
      <c r="O303" s="101" t="str">
        <f>IF(AND(Pricelist[[#This Row],[AE1]]&lt;&gt;"",OR(Pricelist[[#This Row],[区]]="南",Pricelist[[#This Row],[区]]="北")),MID(Pricelist[[#This Row],[AE1]],4,2),"")</f>
        <v/>
      </c>
      <c r="P303" s="102">
        <v>3888</v>
      </c>
      <c r="Q303" s="103">
        <v>6863</v>
      </c>
      <c r="R303" s="103">
        <v>6863</v>
      </c>
      <c r="S303" s="104" t="s">
        <v>2204</v>
      </c>
      <c r="T303" s="104"/>
      <c r="U303" s="105" t="s">
        <v>511</v>
      </c>
      <c r="V303" s="100" t="s">
        <v>507</v>
      </c>
      <c r="W303" s="106" t="s">
        <v>130</v>
      </c>
      <c r="X303" s="106" t="s">
        <v>131</v>
      </c>
      <c r="Y303" s="106">
        <v>65</v>
      </c>
      <c r="Z303" s="107">
        <v>43430</v>
      </c>
      <c r="AA303" s="108">
        <v>43448</v>
      </c>
      <c r="AB303" s="109" t="s">
        <v>111</v>
      </c>
      <c r="AC303" s="109"/>
    </row>
    <row r="304" spans="1:29" hidden="1" x14ac:dyDescent="0.15">
      <c r="A304" s="98">
        <v>303</v>
      </c>
      <c r="B304" s="99">
        <v>112917</v>
      </c>
      <c r="C304" s="98" t="s">
        <v>6331</v>
      </c>
      <c r="D304" s="100" t="s">
        <v>217</v>
      </c>
      <c r="E304" s="100" t="s">
        <v>218</v>
      </c>
      <c r="F304" s="100" t="s">
        <v>219</v>
      </c>
      <c r="G304" s="98" t="s">
        <v>36</v>
      </c>
      <c r="H304" s="98" t="str">
        <f>VLOOKUP(G304,CGS[],2,FALSE)</f>
        <v>BLINE</v>
      </c>
      <c r="I304" s="65">
        <v>3050</v>
      </c>
      <c r="J304" s="101">
        <f>IF(ISBLANK(Pricelist[[#This Row],[EBS]]),"",VALUE(LEFT(Pricelist[[#This Row],[EBS]],LEN(Pricelist[[#This Row],[EBS]])-LEN(Pricelist[[#This Row],[E2]])-1)))</f>
        <v>50</v>
      </c>
      <c r="K304" s="65">
        <v>5400</v>
      </c>
      <c r="L304" s="101">
        <f>IF(ISBLANK(Pricelist[[#This Row],[EBS]]),"",VALUE(RIGHT(Pricelist[[#This Row],[EBS]],3)))</f>
        <v>100</v>
      </c>
      <c r="M304" s="65">
        <v>5400</v>
      </c>
      <c r="N304" s="101">
        <f>IF(ISBLANK(Pricelist[[#This Row],[EBS]]),"",VALUE(RIGHT(Pricelist[[#This Row],[EBS]],3)))</f>
        <v>100</v>
      </c>
      <c r="O304" s="101" t="str">
        <f>IF(AND(Pricelist[[#This Row],[AE1]]&lt;&gt;"",OR(Pricelist[[#This Row],[区]]="南",Pricelist[[#This Row],[区]]="北")),MID(Pricelist[[#This Row],[AE1]],4,2),"")</f>
        <v/>
      </c>
      <c r="P304" s="102">
        <v>3050</v>
      </c>
      <c r="Q304" s="103">
        <v>5400</v>
      </c>
      <c r="R304" s="103">
        <v>5400</v>
      </c>
      <c r="S304" s="104" t="s">
        <v>2205</v>
      </c>
      <c r="T304" s="104"/>
      <c r="U304" s="105" t="s">
        <v>3274</v>
      </c>
      <c r="V304" s="100" t="s">
        <v>504</v>
      </c>
      <c r="W304" s="106" t="s">
        <v>197</v>
      </c>
      <c r="X304" s="106" t="s">
        <v>198</v>
      </c>
      <c r="Y304" s="106">
        <v>45</v>
      </c>
      <c r="Z304" s="107">
        <v>43416</v>
      </c>
      <c r="AA304" s="108">
        <v>43422</v>
      </c>
      <c r="AB304" s="109" t="s">
        <v>199</v>
      </c>
      <c r="AC304" s="109"/>
    </row>
    <row r="305" spans="1:29" hidden="1" x14ac:dyDescent="0.15">
      <c r="A305" s="98">
        <v>304</v>
      </c>
      <c r="B305" s="99">
        <v>112917</v>
      </c>
      <c r="C305" s="98" t="s">
        <v>6331</v>
      </c>
      <c r="D305" s="100" t="s">
        <v>221</v>
      </c>
      <c r="E305" s="100" t="s">
        <v>218</v>
      </c>
      <c r="F305" s="100" t="s">
        <v>222</v>
      </c>
      <c r="G305" s="98" t="s">
        <v>21</v>
      </c>
      <c r="H305" s="98" t="str">
        <f>VLOOKUP(G305,CGS[],2,FALSE)</f>
        <v>MSK</v>
      </c>
      <c r="I305" s="65">
        <v>2435</v>
      </c>
      <c r="J305" s="101" t="str">
        <f>IF(ISBLANK(Pricelist[[#This Row],[EBS]]),"",VALUE(LEFT(Pricelist[[#This Row],[EBS]],LEN(Pricelist[[#This Row],[EBS]])-LEN(Pricelist[[#This Row],[E2]])-1)))</f>
        <v/>
      </c>
      <c r="K305" s="65">
        <v>4370</v>
      </c>
      <c r="L305" s="101" t="str">
        <f>IF(ISBLANK(Pricelist[[#This Row],[EBS]]),"",VALUE(RIGHT(Pricelist[[#This Row],[EBS]],3)))</f>
        <v/>
      </c>
      <c r="M305" s="65">
        <v>4370</v>
      </c>
      <c r="N305" s="101" t="str">
        <f>IF(ISBLANK(Pricelist[[#This Row],[EBS]]),"",VALUE(RIGHT(Pricelist[[#This Row],[EBS]],3)))</f>
        <v/>
      </c>
      <c r="O305" s="101" t="str">
        <f>IF(AND(Pricelist[[#This Row],[AE1]]&lt;&gt;"",OR(Pricelist[[#This Row],[区]]="南",Pricelist[[#This Row],[区]]="北")),MID(Pricelist[[#This Row],[AE1]],4,2),"")</f>
        <v/>
      </c>
      <c r="P305" s="102">
        <v>2435</v>
      </c>
      <c r="Q305" s="103">
        <v>4370</v>
      </c>
      <c r="R305" s="103">
        <v>4370</v>
      </c>
      <c r="S305" s="104"/>
      <c r="T305" s="104"/>
      <c r="U305" s="105" t="s">
        <v>506</v>
      </c>
      <c r="V305" s="100" t="s">
        <v>507</v>
      </c>
      <c r="W305" s="106" t="s">
        <v>2238</v>
      </c>
      <c r="X305" s="106" t="s">
        <v>131</v>
      </c>
      <c r="Y305" s="106">
        <v>36</v>
      </c>
      <c r="Z305" s="107">
        <v>43437</v>
      </c>
      <c r="AA305" s="108">
        <v>43450</v>
      </c>
      <c r="AB305" s="109"/>
      <c r="AC305" s="109"/>
    </row>
    <row r="306" spans="1:29" hidden="1" x14ac:dyDescent="0.15">
      <c r="A306" s="98">
        <v>305</v>
      </c>
      <c r="B306" s="99">
        <v>112917</v>
      </c>
      <c r="C306" s="98" t="s">
        <v>6331</v>
      </c>
      <c r="D306" s="100" t="s">
        <v>221</v>
      </c>
      <c r="E306" s="100" t="s">
        <v>218</v>
      </c>
      <c r="F306" s="100" t="s">
        <v>222</v>
      </c>
      <c r="G306" s="98" t="s">
        <v>24</v>
      </c>
      <c r="H306" s="98" t="str">
        <f>VLOOKUP(G306,CGS[],2,FALSE)</f>
        <v>SAF</v>
      </c>
      <c r="I306" s="65">
        <v>2450</v>
      </c>
      <c r="J306" s="101">
        <f>IF(ISBLANK(Pricelist[[#This Row],[EBS]]),"",VALUE(LEFT(Pricelist[[#This Row],[EBS]],LEN(Pricelist[[#This Row],[EBS]])-LEN(Pricelist[[#This Row],[E2]])-1)))</f>
        <v>60</v>
      </c>
      <c r="K306" s="65">
        <v>4400</v>
      </c>
      <c r="L306" s="101">
        <f>IF(ISBLANK(Pricelist[[#This Row],[EBS]]),"",VALUE(RIGHT(Pricelist[[#This Row],[EBS]],3)))</f>
        <v>120</v>
      </c>
      <c r="M306" s="65">
        <v>4400</v>
      </c>
      <c r="N306" s="101">
        <f>IF(ISBLANK(Pricelist[[#This Row],[EBS]]),"",VALUE(RIGHT(Pricelist[[#This Row],[EBS]],3)))</f>
        <v>120</v>
      </c>
      <c r="O306" s="101" t="str">
        <f>IF(AND(Pricelist[[#This Row],[AE1]]&lt;&gt;"",OR(Pricelist[[#This Row],[区]]="南",Pricelist[[#This Row],[区]]="北")),MID(Pricelist[[#This Row],[AE1]],4,2),"")</f>
        <v/>
      </c>
      <c r="P306" s="102">
        <v>2450</v>
      </c>
      <c r="Q306" s="103">
        <v>4400</v>
      </c>
      <c r="R306" s="103">
        <v>4400</v>
      </c>
      <c r="S306" s="104" t="s">
        <v>2199</v>
      </c>
      <c r="T306" s="104"/>
      <c r="U306" s="105" t="s">
        <v>509</v>
      </c>
      <c r="V306" s="100" t="s">
        <v>507</v>
      </c>
      <c r="W306" s="106" t="s">
        <v>2238</v>
      </c>
      <c r="X306" s="106" t="s">
        <v>131</v>
      </c>
      <c r="Y306" s="106">
        <v>35</v>
      </c>
      <c r="Z306" s="107">
        <v>43437</v>
      </c>
      <c r="AA306" s="108">
        <v>43450</v>
      </c>
      <c r="AB306" s="109" t="s">
        <v>3694</v>
      </c>
      <c r="AC306" s="109"/>
    </row>
    <row r="307" spans="1:29" ht="25.5" hidden="1" x14ac:dyDescent="0.15">
      <c r="A307" s="98">
        <v>306</v>
      </c>
      <c r="B307" s="99">
        <v>112917</v>
      </c>
      <c r="C307" s="98" t="s">
        <v>6331</v>
      </c>
      <c r="D307" s="100" t="s">
        <v>221</v>
      </c>
      <c r="E307" s="100" t="s">
        <v>218</v>
      </c>
      <c r="F307" s="100" t="s">
        <v>222</v>
      </c>
      <c r="G307" s="98" t="s">
        <v>17</v>
      </c>
      <c r="H307" s="98" t="str">
        <f>VLOOKUP(G307,CGS[],2,FALSE)</f>
        <v>MSC</v>
      </c>
      <c r="I307" s="65">
        <v>2325</v>
      </c>
      <c r="J307" s="101">
        <f>IF(ISBLANK(Pricelist[[#This Row],[EBS]]),"",VALUE(LEFT(Pricelist[[#This Row],[EBS]],LEN(Pricelist[[#This Row],[EBS]])-LEN(Pricelist[[#This Row],[E2]])-1)))</f>
        <v>100</v>
      </c>
      <c r="K307" s="65">
        <v>4650</v>
      </c>
      <c r="L307" s="101">
        <f>IF(ISBLANK(Pricelist[[#This Row],[EBS]]),"",VALUE(RIGHT(Pricelist[[#This Row],[EBS]],3)))</f>
        <v>200</v>
      </c>
      <c r="M307" s="65">
        <v>4650</v>
      </c>
      <c r="N307" s="101">
        <f>IF(ISBLANK(Pricelist[[#This Row],[EBS]]),"",VALUE(RIGHT(Pricelist[[#This Row],[EBS]],3)))</f>
        <v>200</v>
      </c>
      <c r="O307" s="101" t="str">
        <f>IF(AND(Pricelist[[#This Row],[AE1]]&lt;&gt;"",OR(Pricelist[[#This Row],[区]]="南",Pricelist[[#This Row],[区]]="北")),MID(Pricelist[[#This Row],[AE1]],4,2),"")</f>
        <v/>
      </c>
      <c r="P307" s="102">
        <v>2350</v>
      </c>
      <c r="Q307" s="103">
        <v>4700</v>
      </c>
      <c r="R307" s="103">
        <v>4700</v>
      </c>
      <c r="S307" s="104" t="s">
        <v>6328</v>
      </c>
      <c r="T307" s="104"/>
      <c r="U307" s="105" t="s">
        <v>506</v>
      </c>
      <c r="V307" s="100" t="s">
        <v>504</v>
      </c>
      <c r="W307" s="106" t="s">
        <v>132</v>
      </c>
      <c r="X307" s="106" t="s">
        <v>133</v>
      </c>
      <c r="Y307" s="106" t="s">
        <v>521</v>
      </c>
      <c r="Z307" s="107">
        <v>43435</v>
      </c>
      <c r="AA307" s="108">
        <v>43448</v>
      </c>
      <c r="AB307" s="109" t="s">
        <v>2248</v>
      </c>
      <c r="AC307" s="109"/>
    </row>
    <row r="308" spans="1:29" hidden="1" x14ac:dyDescent="0.15">
      <c r="A308" s="98">
        <v>307</v>
      </c>
      <c r="B308" s="99">
        <v>112917</v>
      </c>
      <c r="C308" s="98" t="s">
        <v>6331</v>
      </c>
      <c r="D308" s="100" t="s">
        <v>221</v>
      </c>
      <c r="E308" s="100" t="s">
        <v>218</v>
      </c>
      <c r="F308" s="100" t="s">
        <v>222</v>
      </c>
      <c r="G308" s="98" t="s">
        <v>8</v>
      </c>
      <c r="H308" s="98" t="str">
        <f>VLOOKUP(G308,CGS[],2,FALSE)</f>
        <v>CMA</v>
      </c>
      <c r="I308" s="65">
        <v>3813</v>
      </c>
      <c r="J308" s="101">
        <f>IF(ISBLANK(Pricelist[[#This Row],[EBS]]),"",VALUE(LEFT(Pricelist[[#This Row],[EBS]],LEN(Pricelist[[#This Row],[EBS]])-LEN(Pricelist[[#This Row],[E2]])-1)))</f>
        <v>55</v>
      </c>
      <c r="K308" s="65">
        <v>6713</v>
      </c>
      <c r="L308" s="101">
        <f>IF(ISBLANK(Pricelist[[#This Row],[EBS]]),"",VALUE(RIGHT(Pricelist[[#This Row],[EBS]],3)))</f>
        <v>110</v>
      </c>
      <c r="M308" s="65">
        <v>6713</v>
      </c>
      <c r="N308" s="101">
        <f>IF(ISBLANK(Pricelist[[#This Row],[EBS]]),"",VALUE(RIGHT(Pricelist[[#This Row],[EBS]],3)))</f>
        <v>110</v>
      </c>
      <c r="O308" s="101" t="str">
        <f>IF(AND(Pricelist[[#This Row],[AE1]]&lt;&gt;"",OR(Pricelist[[#This Row],[区]]="南",Pricelist[[#This Row],[区]]="北")),MID(Pricelist[[#This Row],[AE1]],4,2),"")</f>
        <v/>
      </c>
      <c r="P308" s="102">
        <v>3888</v>
      </c>
      <c r="Q308" s="103">
        <v>6863</v>
      </c>
      <c r="R308" s="103">
        <v>6863</v>
      </c>
      <c r="S308" s="104" t="s">
        <v>2204</v>
      </c>
      <c r="T308" s="104"/>
      <c r="U308" s="105" t="s">
        <v>511</v>
      </c>
      <c r="V308" s="100" t="s">
        <v>507</v>
      </c>
      <c r="W308" s="106" t="s">
        <v>130</v>
      </c>
      <c r="X308" s="106" t="s">
        <v>131</v>
      </c>
      <c r="Y308" s="106">
        <v>63</v>
      </c>
      <c r="Z308" s="107">
        <v>43430</v>
      </c>
      <c r="AA308" s="108">
        <v>43448</v>
      </c>
      <c r="AB308" s="109" t="s">
        <v>111</v>
      </c>
      <c r="AC308" s="109"/>
    </row>
    <row r="309" spans="1:29" hidden="1" x14ac:dyDescent="0.15">
      <c r="A309" s="98">
        <v>308</v>
      </c>
      <c r="B309" s="99">
        <v>112917</v>
      </c>
      <c r="C309" s="98" t="s">
        <v>6331</v>
      </c>
      <c r="D309" s="100" t="s">
        <v>221</v>
      </c>
      <c r="E309" s="100" t="s">
        <v>218</v>
      </c>
      <c r="F309" s="100" t="s">
        <v>222</v>
      </c>
      <c r="G309" s="98" t="s">
        <v>36</v>
      </c>
      <c r="H309" s="98" t="str">
        <f>VLOOKUP(G309,CGS[],2,FALSE)</f>
        <v>BLINE</v>
      </c>
      <c r="I309" s="65">
        <v>3050</v>
      </c>
      <c r="J309" s="101">
        <f>IF(ISBLANK(Pricelist[[#This Row],[EBS]]),"",VALUE(LEFT(Pricelist[[#This Row],[EBS]],LEN(Pricelist[[#This Row],[EBS]])-LEN(Pricelist[[#This Row],[E2]])-1)))</f>
        <v>50</v>
      </c>
      <c r="K309" s="65">
        <v>5400</v>
      </c>
      <c r="L309" s="101">
        <f>IF(ISBLANK(Pricelist[[#This Row],[EBS]]),"",VALUE(RIGHT(Pricelist[[#This Row],[EBS]],3)))</f>
        <v>100</v>
      </c>
      <c r="M309" s="65">
        <v>5400</v>
      </c>
      <c r="N309" s="101">
        <f>IF(ISBLANK(Pricelist[[#This Row],[EBS]]),"",VALUE(RIGHT(Pricelist[[#This Row],[EBS]],3)))</f>
        <v>100</v>
      </c>
      <c r="O309" s="101" t="str">
        <f>IF(AND(Pricelist[[#This Row],[AE1]]&lt;&gt;"",OR(Pricelist[[#This Row],[区]]="南",Pricelist[[#This Row],[区]]="北")),MID(Pricelist[[#This Row],[AE1]],4,2),"")</f>
        <v/>
      </c>
      <c r="P309" s="102">
        <v>3050</v>
      </c>
      <c r="Q309" s="103">
        <v>5400</v>
      </c>
      <c r="R309" s="103">
        <v>5400</v>
      </c>
      <c r="S309" s="104" t="s">
        <v>2205</v>
      </c>
      <c r="T309" s="104"/>
      <c r="U309" s="105" t="s">
        <v>3274</v>
      </c>
      <c r="V309" s="100" t="s">
        <v>504</v>
      </c>
      <c r="W309" s="106" t="s">
        <v>197</v>
      </c>
      <c r="X309" s="106" t="s">
        <v>198</v>
      </c>
      <c r="Y309" s="106">
        <v>45</v>
      </c>
      <c r="Z309" s="107">
        <v>43416</v>
      </c>
      <c r="AA309" s="108">
        <v>43422</v>
      </c>
      <c r="AB309" s="109" t="s">
        <v>199</v>
      </c>
      <c r="AC309" s="109"/>
    </row>
    <row r="310" spans="1:29" hidden="1" x14ac:dyDescent="0.15">
      <c r="A310" s="98">
        <v>309</v>
      </c>
      <c r="B310" s="99">
        <v>112917</v>
      </c>
      <c r="C310" s="98" t="s">
        <v>6331</v>
      </c>
      <c r="D310" s="100" t="s">
        <v>223</v>
      </c>
      <c r="E310" s="100" t="s">
        <v>114</v>
      </c>
      <c r="F310" s="100" t="s">
        <v>224</v>
      </c>
      <c r="G310" s="98" t="s">
        <v>21</v>
      </c>
      <c r="H310" s="98" t="str">
        <f>VLOOKUP(G310,CGS[],2,FALSE)</f>
        <v>MSK</v>
      </c>
      <c r="I310" s="65">
        <v>2285</v>
      </c>
      <c r="J310" s="101" t="str">
        <f>IF(ISBLANK(Pricelist[[#This Row],[EBS]]),"",VALUE(LEFT(Pricelist[[#This Row],[EBS]],LEN(Pricelist[[#This Row],[EBS]])-LEN(Pricelist[[#This Row],[E2]])-1)))</f>
        <v/>
      </c>
      <c r="K310" s="65">
        <v>3870</v>
      </c>
      <c r="L310" s="101" t="str">
        <f>IF(ISBLANK(Pricelist[[#This Row],[EBS]]),"",VALUE(RIGHT(Pricelist[[#This Row],[EBS]],3)))</f>
        <v/>
      </c>
      <c r="M310" s="65">
        <v>3870</v>
      </c>
      <c r="N310" s="101" t="str">
        <f>IF(ISBLANK(Pricelist[[#This Row],[EBS]]),"",VALUE(RIGHT(Pricelist[[#This Row],[EBS]],3)))</f>
        <v/>
      </c>
      <c r="O310" s="101" t="str">
        <f>IF(AND(Pricelist[[#This Row],[AE1]]&lt;&gt;"",OR(Pricelist[[#This Row],[区]]="南",Pricelist[[#This Row],[区]]="北")),MID(Pricelist[[#This Row],[AE1]],4,2),"")</f>
        <v/>
      </c>
      <c r="P310" s="102">
        <v>2285</v>
      </c>
      <c r="Q310" s="103">
        <v>3870</v>
      </c>
      <c r="R310" s="103">
        <v>3870</v>
      </c>
      <c r="S310" s="104"/>
      <c r="T310" s="104"/>
      <c r="U310" s="105" t="s">
        <v>506</v>
      </c>
      <c r="V310" s="100" t="s">
        <v>507</v>
      </c>
      <c r="W310" s="106" t="s">
        <v>191</v>
      </c>
      <c r="X310" s="106" t="s">
        <v>104</v>
      </c>
      <c r="Y310" s="106">
        <v>51</v>
      </c>
      <c r="Z310" s="107">
        <v>43437</v>
      </c>
      <c r="AA310" s="108">
        <v>43450</v>
      </c>
      <c r="AB310" s="109"/>
      <c r="AC310" s="109"/>
    </row>
    <row r="311" spans="1:29" hidden="1" x14ac:dyDescent="0.15">
      <c r="A311" s="98">
        <v>310</v>
      </c>
      <c r="B311" s="99">
        <v>112917</v>
      </c>
      <c r="C311" s="98" t="s">
        <v>6331</v>
      </c>
      <c r="D311" s="100" t="s">
        <v>223</v>
      </c>
      <c r="E311" s="100" t="s">
        <v>114</v>
      </c>
      <c r="F311" s="100" t="s">
        <v>224</v>
      </c>
      <c r="G311" s="98" t="s">
        <v>24</v>
      </c>
      <c r="H311" s="98" t="str">
        <f>VLOOKUP(G311,CGS[],2,FALSE)</f>
        <v>SAF</v>
      </c>
      <c r="I311" s="65">
        <v>2300</v>
      </c>
      <c r="J311" s="101">
        <f>IF(ISBLANK(Pricelist[[#This Row],[EBS]]),"",VALUE(LEFT(Pricelist[[#This Row],[EBS]],LEN(Pricelist[[#This Row],[EBS]])-LEN(Pricelist[[#This Row],[E2]])-1)))</f>
        <v>60</v>
      </c>
      <c r="K311" s="65">
        <v>3900</v>
      </c>
      <c r="L311" s="101">
        <f>IF(ISBLANK(Pricelist[[#This Row],[EBS]]),"",VALUE(RIGHT(Pricelist[[#This Row],[EBS]],3)))</f>
        <v>120</v>
      </c>
      <c r="M311" s="65">
        <v>3900</v>
      </c>
      <c r="N311" s="101">
        <f>IF(ISBLANK(Pricelist[[#This Row],[EBS]]),"",VALUE(RIGHT(Pricelist[[#This Row],[EBS]],3)))</f>
        <v>120</v>
      </c>
      <c r="O311" s="101" t="str">
        <f>IF(AND(Pricelist[[#This Row],[AE1]]&lt;&gt;"",OR(Pricelist[[#This Row],[区]]="南",Pricelist[[#This Row],[区]]="北")),MID(Pricelist[[#This Row],[AE1]],4,2),"")</f>
        <v/>
      </c>
      <c r="P311" s="102">
        <v>2300</v>
      </c>
      <c r="Q311" s="103">
        <v>3900</v>
      </c>
      <c r="R311" s="103">
        <v>3900</v>
      </c>
      <c r="S311" s="104" t="s">
        <v>2199</v>
      </c>
      <c r="T311" s="104"/>
      <c r="U311" s="105" t="s">
        <v>508</v>
      </c>
      <c r="V311" s="100" t="s">
        <v>507</v>
      </c>
      <c r="W311" s="106" t="s">
        <v>2238</v>
      </c>
      <c r="X311" s="106" t="s">
        <v>131</v>
      </c>
      <c r="Y311" s="106">
        <v>56</v>
      </c>
      <c r="Z311" s="107">
        <v>43437</v>
      </c>
      <c r="AA311" s="108">
        <v>43450</v>
      </c>
      <c r="AB311" s="109" t="s">
        <v>3694</v>
      </c>
      <c r="AC311" s="109"/>
    </row>
    <row r="312" spans="1:29" hidden="1" x14ac:dyDescent="0.15">
      <c r="A312" s="98">
        <v>311</v>
      </c>
      <c r="B312" s="99">
        <v>112917</v>
      </c>
      <c r="C312" s="98" t="s">
        <v>6331</v>
      </c>
      <c r="D312" s="100" t="s">
        <v>223</v>
      </c>
      <c r="E312" s="100" t="s">
        <v>114</v>
      </c>
      <c r="F312" s="100" t="s">
        <v>224</v>
      </c>
      <c r="G312" s="98" t="s">
        <v>17</v>
      </c>
      <c r="H312" s="98" t="str">
        <f>VLOOKUP(G312,CGS[],2,FALSE)</f>
        <v>MSC</v>
      </c>
      <c r="I312" s="65">
        <v>1907</v>
      </c>
      <c r="J312" s="101">
        <f>IF(ISBLANK(Pricelist[[#This Row],[EBS]]),"",VALUE(LEFT(Pricelist[[#This Row],[EBS]],LEN(Pricelist[[#This Row],[EBS]])-LEN(Pricelist[[#This Row],[E2]])-1)))</f>
        <v>100</v>
      </c>
      <c r="K312" s="65">
        <v>3114</v>
      </c>
      <c r="L312" s="101">
        <f>IF(ISBLANK(Pricelist[[#This Row],[EBS]]),"",VALUE(RIGHT(Pricelist[[#This Row],[EBS]],3)))</f>
        <v>200</v>
      </c>
      <c r="M312" s="65">
        <v>3114</v>
      </c>
      <c r="N312" s="101">
        <f>IF(ISBLANK(Pricelist[[#This Row],[EBS]]),"",VALUE(RIGHT(Pricelist[[#This Row],[EBS]],3)))</f>
        <v>200</v>
      </c>
      <c r="O312" s="101" t="str">
        <f>IF(AND(Pricelist[[#This Row],[AE1]]&lt;&gt;"",OR(Pricelist[[#This Row],[区]]="南",Pricelist[[#This Row],[区]]="北")),MID(Pricelist[[#This Row],[AE1]],4,2),"")</f>
        <v/>
      </c>
      <c r="P312" s="102">
        <v>1932</v>
      </c>
      <c r="Q312" s="103">
        <v>3164</v>
      </c>
      <c r="R312" s="103">
        <v>3164</v>
      </c>
      <c r="S312" s="104" t="s">
        <v>6328</v>
      </c>
      <c r="T312" s="104"/>
      <c r="U312" s="105" t="s">
        <v>506</v>
      </c>
      <c r="V312" s="100" t="s">
        <v>504</v>
      </c>
      <c r="W312" s="106" t="s">
        <v>101</v>
      </c>
      <c r="X312" s="106" t="s">
        <v>102</v>
      </c>
      <c r="Y312" s="106">
        <v>45</v>
      </c>
      <c r="Z312" s="107">
        <v>43435</v>
      </c>
      <c r="AA312" s="108">
        <v>43448</v>
      </c>
      <c r="AB312" s="109" t="s">
        <v>2249</v>
      </c>
      <c r="AC312" s="109"/>
    </row>
    <row r="313" spans="1:29" hidden="1" x14ac:dyDescent="0.15">
      <c r="A313" s="98">
        <v>312</v>
      </c>
      <c r="B313" s="99">
        <v>112917</v>
      </c>
      <c r="C313" s="98" t="s">
        <v>6331</v>
      </c>
      <c r="D313" s="100" t="s">
        <v>225</v>
      </c>
      <c r="E313" s="100" t="s">
        <v>226</v>
      </c>
      <c r="F313" s="100" t="s">
        <v>227</v>
      </c>
      <c r="G313" s="98" t="s">
        <v>21</v>
      </c>
      <c r="H313" s="98" t="str">
        <f>VLOOKUP(G313,CGS[],2,FALSE)</f>
        <v>MSK</v>
      </c>
      <c r="I313" s="65">
        <v>1885</v>
      </c>
      <c r="J313" s="101" t="str">
        <f>IF(ISBLANK(Pricelist[[#This Row],[EBS]]),"",VALUE(LEFT(Pricelist[[#This Row],[EBS]],LEN(Pricelist[[#This Row],[EBS]])-LEN(Pricelist[[#This Row],[E2]])-1)))</f>
        <v/>
      </c>
      <c r="K313" s="65">
        <v>3270</v>
      </c>
      <c r="L313" s="101" t="str">
        <f>IF(ISBLANK(Pricelist[[#This Row],[EBS]]),"",VALUE(RIGHT(Pricelist[[#This Row],[EBS]],3)))</f>
        <v/>
      </c>
      <c r="M313" s="65">
        <v>3270</v>
      </c>
      <c r="N313" s="101" t="str">
        <f>IF(ISBLANK(Pricelist[[#This Row],[EBS]]),"",VALUE(RIGHT(Pricelist[[#This Row],[EBS]],3)))</f>
        <v/>
      </c>
      <c r="O313" s="101" t="str">
        <f>IF(AND(Pricelist[[#This Row],[AE1]]&lt;&gt;"",OR(Pricelist[[#This Row],[区]]="南",Pricelist[[#This Row],[区]]="北")),MID(Pricelist[[#This Row],[AE1]],4,2),"")</f>
        <v/>
      </c>
      <c r="P313" s="102">
        <v>1885</v>
      </c>
      <c r="Q313" s="103">
        <v>3270</v>
      </c>
      <c r="R313" s="103">
        <v>3270</v>
      </c>
      <c r="S313" s="104"/>
      <c r="T313" s="104"/>
      <c r="U313" s="105" t="s">
        <v>505</v>
      </c>
      <c r="V313" s="100" t="s">
        <v>504</v>
      </c>
      <c r="W313" s="106" t="s">
        <v>10</v>
      </c>
      <c r="X313" s="106" t="s">
        <v>11</v>
      </c>
      <c r="Y313" s="106">
        <v>31</v>
      </c>
      <c r="Z313" s="107">
        <v>43437</v>
      </c>
      <c r="AA313" s="108">
        <v>43450</v>
      </c>
      <c r="AB313" s="109" t="s">
        <v>3689</v>
      </c>
      <c r="AC313" s="109"/>
    </row>
    <row r="314" spans="1:29" hidden="1" x14ac:dyDescent="0.15">
      <c r="A314" s="98">
        <v>313</v>
      </c>
      <c r="B314" s="99">
        <v>112917</v>
      </c>
      <c r="C314" s="98" t="s">
        <v>6331</v>
      </c>
      <c r="D314" s="100" t="s">
        <v>225</v>
      </c>
      <c r="E314" s="100" t="s">
        <v>226</v>
      </c>
      <c r="F314" s="100" t="s">
        <v>227</v>
      </c>
      <c r="G314" s="98" t="s">
        <v>9</v>
      </c>
      <c r="H314" s="98" t="str">
        <f>VLOOKUP(G314,CGS[],2,FALSE)</f>
        <v>COSCO</v>
      </c>
      <c r="I314" s="65">
        <v>1635</v>
      </c>
      <c r="J314" s="101">
        <f>IF(ISBLANK(Pricelist[[#This Row],[EBS]]),"",VALUE(LEFT(Pricelist[[#This Row],[EBS]],LEN(Pricelist[[#This Row],[EBS]])-LEN(Pricelist[[#This Row],[E2]])-1)))</f>
        <v>60</v>
      </c>
      <c r="K314" s="65">
        <v>2760</v>
      </c>
      <c r="L314" s="101">
        <f>IF(ISBLANK(Pricelist[[#This Row],[EBS]]),"",VALUE(RIGHT(Pricelist[[#This Row],[EBS]],3)))</f>
        <v>120</v>
      </c>
      <c r="M314" s="65">
        <v>2760</v>
      </c>
      <c r="N314" s="101">
        <f>IF(ISBLANK(Pricelist[[#This Row],[EBS]]),"",VALUE(RIGHT(Pricelist[[#This Row],[EBS]],3)))</f>
        <v>120</v>
      </c>
      <c r="O314" s="101" t="str">
        <f>IF(AND(Pricelist[[#This Row],[AE1]]&lt;&gt;"",OR(Pricelist[[#This Row],[区]]="南",Pricelist[[#This Row],[区]]="北")),MID(Pricelist[[#This Row],[AE1]],4,2),"")</f>
        <v/>
      </c>
      <c r="P314" s="102">
        <v>1660</v>
      </c>
      <c r="Q314" s="103">
        <v>2810</v>
      </c>
      <c r="R314" s="103">
        <v>2810</v>
      </c>
      <c r="S314" s="104" t="s">
        <v>2199</v>
      </c>
      <c r="T314" s="104"/>
      <c r="U314" s="105" t="s">
        <v>508</v>
      </c>
      <c r="V314" s="100" t="s">
        <v>504</v>
      </c>
      <c r="W314" s="106" t="s">
        <v>10</v>
      </c>
      <c r="X314" s="106" t="s">
        <v>11</v>
      </c>
      <c r="Y314" s="106">
        <v>30</v>
      </c>
      <c r="Z314" s="107">
        <v>43437</v>
      </c>
      <c r="AA314" s="108">
        <v>43450</v>
      </c>
      <c r="AB314" s="109" t="s">
        <v>135</v>
      </c>
      <c r="AC314" s="109"/>
    </row>
    <row r="315" spans="1:29" hidden="1" x14ac:dyDescent="0.15">
      <c r="A315" s="98">
        <v>314</v>
      </c>
      <c r="B315" s="99">
        <v>112917</v>
      </c>
      <c r="C315" s="98" t="s">
        <v>6331</v>
      </c>
      <c r="D315" s="100" t="s">
        <v>225</v>
      </c>
      <c r="E315" s="100" t="s">
        <v>226</v>
      </c>
      <c r="F315" s="100" t="s">
        <v>227</v>
      </c>
      <c r="G315" s="98" t="s">
        <v>24</v>
      </c>
      <c r="H315" s="98" t="str">
        <f>VLOOKUP(G315,CGS[],2,FALSE)</f>
        <v>SAF</v>
      </c>
      <c r="I315" s="65">
        <v>1900</v>
      </c>
      <c r="J315" s="101">
        <f>IF(ISBLANK(Pricelist[[#This Row],[EBS]]),"",VALUE(LEFT(Pricelist[[#This Row],[EBS]],LEN(Pricelist[[#This Row],[EBS]])-LEN(Pricelist[[#This Row],[E2]])-1)))</f>
        <v>60</v>
      </c>
      <c r="K315" s="65">
        <v>3300</v>
      </c>
      <c r="L315" s="101">
        <f>IF(ISBLANK(Pricelist[[#This Row],[EBS]]),"",VALUE(RIGHT(Pricelist[[#This Row],[EBS]],3)))</f>
        <v>120</v>
      </c>
      <c r="M315" s="65">
        <v>3300</v>
      </c>
      <c r="N315" s="101">
        <f>IF(ISBLANK(Pricelist[[#This Row],[EBS]]),"",VALUE(RIGHT(Pricelist[[#This Row],[EBS]],3)))</f>
        <v>120</v>
      </c>
      <c r="O315" s="101" t="str">
        <f>IF(AND(Pricelist[[#This Row],[AE1]]&lt;&gt;"",OR(Pricelist[[#This Row],[区]]="南",Pricelist[[#This Row],[区]]="北")),MID(Pricelist[[#This Row],[AE1]],4,2),"")</f>
        <v/>
      </c>
      <c r="P315" s="102">
        <v>1900</v>
      </c>
      <c r="Q315" s="103">
        <v>3300</v>
      </c>
      <c r="R315" s="103">
        <v>3300</v>
      </c>
      <c r="S315" s="104" t="s">
        <v>2199</v>
      </c>
      <c r="T315" s="104"/>
      <c r="U315" s="105" t="s">
        <v>505</v>
      </c>
      <c r="V315" s="100" t="s">
        <v>504</v>
      </c>
      <c r="W315" s="106" t="s">
        <v>10</v>
      </c>
      <c r="X315" s="106" t="s">
        <v>11</v>
      </c>
      <c r="Y315" s="106">
        <v>31</v>
      </c>
      <c r="Z315" s="107">
        <v>43437</v>
      </c>
      <c r="AA315" s="108">
        <v>43450</v>
      </c>
      <c r="AB315" s="109" t="s">
        <v>119</v>
      </c>
      <c r="AC315" s="109"/>
    </row>
    <row r="316" spans="1:29" ht="25.5" hidden="1" x14ac:dyDescent="0.15">
      <c r="A316" s="98">
        <v>315</v>
      </c>
      <c r="B316" s="99">
        <v>112917</v>
      </c>
      <c r="C316" s="98" t="s">
        <v>6331</v>
      </c>
      <c r="D316" s="100" t="s">
        <v>225</v>
      </c>
      <c r="E316" s="100" t="s">
        <v>226</v>
      </c>
      <c r="F316" s="100" t="s">
        <v>227</v>
      </c>
      <c r="G316" s="98" t="s">
        <v>17</v>
      </c>
      <c r="H316" s="98" t="str">
        <f>VLOOKUP(G316,CGS[],2,FALSE)</f>
        <v>MSC</v>
      </c>
      <c r="I316" s="65">
        <v>1475</v>
      </c>
      <c r="J316" s="101">
        <f>IF(ISBLANK(Pricelist[[#This Row],[EBS]]),"",VALUE(LEFT(Pricelist[[#This Row],[EBS]],LEN(Pricelist[[#This Row],[EBS]])-LEN(Pricelist[[#This Row],[E2]])-1)))</f>
        <v>100</v>
      </c>
      <c r="K316" s="65">
        <v>2950</v>
      </c>
      <c r="L316" s="101">
        <f>IF(ISBLANK(Pricelist[[#This Row],[EBS]]),"",VALUE(RIGHT(Pricelist[[#This Row],[EBS]],3)))</f>
        <v>200</v>
      </c>
      <c r="M316" s="65">
        <v>2950</v>
      </c>
      <c r="N316" s="101">
        <f>IF(ISBLANK(Pricelist[[#This Row],[EBS]]),"",VALUE(RIGHT(Pricelist[[#This Row],[EBS]],3)))</f>
        <v>200</v>
      </c>
      <c r="O316" s="101" t="str">
        <f>IF(AND(Pricelist[[#This Row],[AE1]]&lt;&gt;"",OR(Pricelist[[#This Row],[区]]="南",Pricelist[[#This Row],[区]]="北")),MID(Pricelist[[#This Row],[AE1]],4,2),"")</f>
        <v/>
      </c>
      <c r="P316" s="102">
        <v>1500</v>
      </c>
      <c r="Q316" s="103">
        <v>3000</v>
      </c>
      <c r="R316" s="103">
        <v>3000</v>
      </c>
      <c r="S316" s="104" t="s">
        <v>6328</v>
      </c>
      <c r="T316" s="104"/>
      <c r="U316" s="105" t="s">
        <v>506</v>
      </c>
      <c r="V316" s="100" t="s">
        <v>504</v>
      </c>
      <c r="W316" s="106" t="s">
        <v>76</v>
      </c>
      <c r="X316" s="106" t="s">
        <v>77</v>
      </c>
      <c r="Y316" s="106">
        <v>34</v>
      </c>
      <c r="Z316" s="107">
        <v>43435</v>
      </c>
      <c r="AA316" s="108">
        <v>43448</v>
      </c>
      <c r="AB316" s="109" t="s">
        <v>170</v>
      </c>
      <c r="AC316" s="109" t="s">
        <v>56</v>
      </c>
    </row>
    <row r="317" spans="1:29" hidden="1" x14ac:dyDescent="0.15">
      <c r="A317" s="98">
        <v>316</v>
      </c>
      <c r="B317" s="99">
        <v>112917</v>
      </c>
      <c r="C317" s="98" t="s">
        <v>6331</v>
      </c>
      <c r="D317" s="100" t="s">
        <v>225</v>
      </c>
      <c r="E317" s="100" t="s">
        <v>226</v>
      </c>
      <c r="F317" s="100" t="s">
        <v>227</v>
      </c>
      <c r="G317" s="98" t="s">
        <v>8</v>
      </c>
      <c r="H317" s="98" t="str">
        <f>VLOOKUP(G317,CGS[],2,FALSE)</f>
        <v>CMA</v>
      </c>
      <c r="I317" s="65">
        <v>1813</v>
      </c>
      <c r="J317" s="101">
        <f>IF(ISBLANK(Pricelist[[#This Row],[EBS]]),"",VALUE(LEFT(Pricelist[[#This Row],[EBS]],LEN(Pricelist[[#This Row],[EBS]])-LEN(Pricelist[[#This Row],[E2]])-1)))</f>
        <v>55</v>
      </c>
      <c r="K317" s="65">
        <v>3113</v>
      </c>
      <c r="L317" s="101">
        <f>IF(ISBLANK(Pricelist[[#This Row],[EBS]]),"",VALUE(RIGHT(Pricelist[[#This Row],[EBS]],3)))</f>
        <v>110</v>
      </c>
      <c r="M317" s="65">
        <v>3113</v>
      </c>
      <c r="N317" s="101">
        <f>IF(ISBLANK(Pricelist[[#This Row],[EBS]]),"",VALUE(RIGHT(Pricelist[[#This Row],[EBS]],3)))</f>
        <v>110</v>
      </c>
      <c r="O317" s="101" t="str">
        <f>IF(AND(Pricelist[[#This Row],[AE1]]&lt;&gt;"",OR(Pricelist[[#This Row],[区]]="南",Pricelist[[#This Row],[区]]="北")),MID(Pricelist[[#This Row],[AE1]],4,2),"")</f>
        <v/>
      </c>
      <c r="P317" s="102">
        <v>1888</v>
      </c>
      <c r="Q317" s="103">
        <v>3263</v>
      </c>
      <c r="R317" s="103">
        <v>3263</v>
      </c>
      <c r="S317" s="104" t="s">
        <v>2204</v>
      </c>
      <c r="T317" s="104"/>
      <c r="U317" s="105" t="s">
        <v>505</v>
      </c>
      <c r="V317" s="100" t="s">
        <v>2217</v>
      </c>
      <c r="W317" s="106" t="s">
        <v>10</v>
      </c>
      <c r="X317" s="106" t="s">
        <v>11</v>
      </c>
      <c r="Y317" s="106">
        <v>32</v>
      </c>
      <c r="Z317" s="107">
        <v>43430</v>
      </c>
      <c r="AA317" s="108">
        <v>43448</v>
      </c>
      <c r="AB317" s="109" t="s">
        <v>2250</v>
      </c>
      <c r="AC317" s="109"/>
    </row>
    <row r="318" spans="1:29" hidden="1" x14ac:dyDescent="0.15">
      <c r="A318" s="98">
        <v>317</v>
      </c>
      <c r="B318" s="99">
        <v>112917</v>
      </c>
      <c r="C318" s="98" t="s">
        <v>6331</v>
      </c>
      <c r="D318" s="100" t="s">
        <v>225</v>
      </c>
      <c r="E318" s="100" t="s">
        <v>226</v>
      </c>
      <c r="F318" s="100" t="s">
        <v>227</v>
      </c>
      <c r="G318" s="98" t="s">
        <v>18</v>
      </c>
      <c r="H318" s="98" t="str">
        <f>VLOOKUP(G318,CGS[],2,FALSE)</f>
        <v>PIL</v>
      </c>
      <c r="I318" s="65">
        <v>1812</v>
      </c>
      <c r="J318" s="101" t="str">
        <f>IF(ISBLANK(Pricelist[[#This Row],[EBS]]),"",VALUE(LEFT(Pricelist[[#This Row],[EBS]],LEN(Pricelist[[#This Row],[EBS]])-LEN(Pricelist[[#This Row],[E2]])-1)))</f>
        <v/>
      </c>
      <c r="K318" s="65">
        <v>3012</v>
      </c>
      <c r="L318" s="101" t="str">
        <f>IF(ISBLANK(Pricelist[[#This Row],[EBS]]),"",VALUE(RIGHT(Pricelist[[#This Row],[EBS]],3)))</f>
        <v/>
      </c>
      <c r="M318" s="65">
        <v>3012</v>
      </c>
      <c r="N318" s="101" t="str">
        <f>IF(ISBLANK(Pricelist[[#This Row],[EBS]]),"",VALUE(RIGHT(Pricelist[[#This Row],[EBS]],3)))</f>
        <v/>
      </c>
      <c r="O318" s="101" t="str">
        <f>IF(AND(Pricelist[[#This Row],[AE1]]&lt;&gt;"",OR(Pricelist[[#This Row],[区]]="南",Pricelist[[#This Row],[区]]="北")),MID(Pricelist[[#This Row],[AE1]],4,2),"")</f>
        <v/>
      </c>
      <c r="P318" s="102">
        <v>1912</v>
      </c>
      <c r="Q318" s="103">
        <v>3212</v>
      </c>
      <c r="R318" s="103">
        <v>3212</v>
      </c>
      <c r="S318" s="104"/>
      <c r="T318" s="104"/>
      <c r="U318" s="105" t="s">
        <v>508</v>
      </c>
      <c r="V318" s="100" t="s">
        <v>504</v>
      </c>
      <c r="W318" s="106" t="s">
        <v>10</v>
      </c>
      <c r="X318" s="106" t="s">
        <v>11</v>
      </c>
      <c r="Y318" s="106">
        <v>28</v>
      </c>
      <c r="Z318" s="107">
        <v>43444</v>
      </c>
      <c r="AA318" s="108">
        <v>43449</v>
      </c>
      <c r="AB318" s="109"/>
      <c r="AC318" s="109"/>
    </row>
    <row r="319" spans="1:29" hidden="1" x14ac:dyDescent="0.15">
      <c r="A319" s="98">
        <v>318</v>
      </c>
      <c r="B319" s="99">
        <v>112917</v>
      </c>
      <c r="C319" s="98" t="s">
        <v>6331</v>
      </c>
      <c r="D319" s="100" t="s">
        <v>228</v>
      </c>
      <c r="E319" s="100" t="s">
        <v>226</v>
      </c>
      <c r="F319" s="100" t="s">
        <v>229</v>
      </c>
      <c r="G319" s="98" t="s">
        <v>21</v>
      </c>
      <c r="H319" s="98" t="str">
        <f>VLOOKUP(G319,CGS[],2,FALSE)</f>
        <v>MSK</v>
      </c>
      <c r="I319" s="65">
        <v>2385</v>
      </c>
      <c r="J319" s="101" t="str">
        <f>IF(ISBLANK(Pricelist[[#This Row],[EBS]]),"",VALUE(LEFT(Pricelist[[#This Row],[EBS]],LEN(Pricelist[[#This Row],[EBS]])-LEN(Pricelist[[#This Row],[E2]])-1)))</f>
        <v/>
      </c>
      <c r="K319" s="65">
        <v>3970</v>
      </c>
      <c r="L319" s="101" t="str">
        <f>IF(ISBLANK(Pricelist[[#This Row],[EBS]]),"",VALUE(RIGHT(Pricelist[[#This Row],[EBS]],3)))</f>
        <v/>
      </c>
      <c r="M319" s="65">
        <v>3970</v>
      </c>
      <c r="N319" s="101" t="str">
        <f>IF(ISBLANK(Pricelist[[#This Row],[EBS]]),"",VALUE(RIGHT(Pricelist[[#This Row],[EBS]],3)))</f>
        <v/>
      </c>
      <c r="O319" s="101" t="str">
        <f>IF(AND(Pricelist[[#This Row],[AE1]]&lt;&gt;"",OR(Pricelist[[#This Row],[区]]="南",Pricelist[[#This Row],[区]]="北")),MID(Pricelist[[#This Row],[AE1]],4,2),"")</f>
        <v/>
      </c>
      <c r="P319" s="102">
        <v>2385</v>
      </c>
      <c r="Q319" s="103">
        <v>3970</v>
      </c>
      <c r="R319" s="103">
        <v>3970</v>
      </c>
      <c r="S319" s="104"/>
      <c r="T319" s="104"/>
      <c r="U319" s="105" t="s">
        <v>509</v>
      </c>
      <c r="V319" s="100" t="s">
        <v>507</v>
      </c>
      <c r="W319" s="106" t="s">
        <v>230</v>
      </c>
      <c r="X319" s="106" t="s">
        <v>165</v>
      </c>
      <c r="Y319" s="106">
        <v>44</v>
      </c>
      <c r="Z319" s="107">
        <v>43437</v>
      </c>
      <c r="AA319" s="108">
        <v>43450</v>
      </c>
      <c r="AB319" s="109" t="s">
        <v>3690</v>
      </c>
      <c r="AC319" s="109"/>
    </row>
    <row r="320" spans="1:29" hidden="1" x14ac:dyDescent="0.15">
      <c r="A320" s="98">
        <v>319</v>
      </c>
      <c r="B320" s="99">
        <v>112917</v>
      </c>
      <c r="C320" s="98" t="s">
        <v>6331</v>
      </c>
      <c r="D320" s="100" t="s">
        <v>228</v>
      </c>
      <c r="E320" s="100" t="s">
        <v>226</v>
      </c>
      <c r="F320" s="100" t="s">
        <v>229</v>
      </c>
      <c r="G320" s="98" t="s">
        <v>24</v>
      </c>
      <c r="H320" s="98" t="str">
        <f>VLOOKUP(G320,CGS[],2,FALSE)</f>
        <v>SAF</v>
      </c>
      <c r="I320" s="65">
        <v>2400</v>
      </c>
      <c r="J320" s="101">
        <f>IF(ISBLANK(Pricelist[[#This Row],[EBS]]),"",VALUE(LEFT(Pricelist[[#This Row],[EBS]],LEN(Pricelist[[#This Row],[EBS]])-LEN(Pricelist[[#This Row],[E2]])-1)))</f>
        <v>60</v>
      </c>
      <c r="K320" s="65">
        <v>4000</v>
      </c>
      <c r="L320" s="101">
        <f>IF(ISBLANK(Pricelist[[#This Row],[EBS]]),"",VALUE(RIGHT(Pricelist[[#This Row],[EBS]],3)))</f>
        <v>120</v>
      </c>
      <c r="M320" s="65">
        <v>4000</v>
      </c>
      <c r="N320" s="101">
        <f>IF(ISBLANK(Pricelist[[#This Row],[EBS]]),"",VALUE(RIGHT(Pricelist[[#This Row],[EBS]],3)))</f>
        <v>120</v>
      </c>
      <c r="O320" s="101" t="str">
        <f>IF(AND(Pricelist[[#This Row],[AE1]]&lt;&gt;"",OR(Pricelist[[#This Row],[区]]="南",Pricelist[[#This Row],[区]]="北")),MID(Pricelist[[#This Row],[AE1]],4,2),"")</f>
        <v/>
      </c>
      <c r="P320" s="102">
        <v>2400</v>
      </c>
      <c r="Q320" s="103">
        <v>4000</v>
      </c>
      <c r="R320" s="103">
        <v>4000</v>
      </c>
      <c r="S320" s="104" t="s">
        <v>2199</v>
      </c>
      <c r="T320" s="104"/>
      <c r="U320" s="105" t="s">
        <v>509</v>
      </c>
      <c r="V320" s="100" t="s">
        <v>507</v>
      </c>
      <c r="W320" s="106" t="s">
        <v>230</v>
      </c>
      <c r="X320" s="106" t="s">
        <v>165</v>
      </c>
      <c r="Y320" s="106">
        <v>44</v>
      </c>
      <c r="Z320" s="107">
        <v>43437</v>
      </c>
      <c r="AA320" s="108">
        <v>43450</v>
      </c>
      <c r="AB320" s="109" t="s">
        <v>3690</v>
      </c>
      <c r="AC320" s="109"/>
    </row>
    <row r="321" spans="1:29" hidden="1" x14ac:dyDescent="0.15">
      <c r="A321" s="98">
        <v>320</v>
      </c>
      <c r="B321" s="99">
        <v>112917</v>
      </c>
      <c r="C321" s="98" t="s">
        <v>6331</v>
      </c>
      <c r="D321" s="100" t="s">
        <v>231</v>
      </c>
      <c r="E321" s="100" t="s">
        <v>232</v>
      </c>
      <c r="F321" s="100" t="s">
        <v>233</v>
      </c>
      <c r="G321" s="98" t="s">
        <v>17</v>
      </c>
      <c r="H321" s="98" t="str">
        <f>VLOOKUP(G321,CGS[],2,FALSE)</f>
        <v>MSC</v>
      </c>
      <c r="I321" s="65">
        <v>2345</v>
      </c>
      <c r="J321" s="101">
        <f>IF(ISBLANK(Pricelist[[#This Row],[EBS]]),"",VALUE(LEFT(Pricelist[[#This Row],[EBS]],LEN(Pricelist[[#This Row],[EBS]])-LEN(Pricelist[[#This Row],[E2]])-1)))</f>
        <v>100</v>
      </c>
      <c r="K321" s="65">
        <v>3870</v>
      </c>
      <c r="L321" s="101">
        <f>IF(ISBLANK(Pricelist[[#This Row],[EBS]]),"",VALUE(RIGHT(Pricelist[[#This Row],[EBS]],3)))</f>
        <v>200</v>
      </c>
      <c r="M321" s="65">
        <v>3870</v>
      </c>
      <c r="N321" s="101">
        <f>IF(ISBLANK(Pricelist[[#This Row],[EBS]]),"",VALUE(RIGHT(Pricelist[[#This Row],[EBS]],3)))</f>
        <v>200</v>
      </c>
      <c r="O321" s="101" t="str">
        <f>IF(AND(Pricelist[[#This Row],[AE1]]&lt;&gt;"",OR(Pricelist[[#This Row],[区]]="南",Pricelist[[#This Row],[区]]="北")),MID(Pricelist[[#This Row],[AE1]],4,2),"")</f>
        <v/>
      </c>
      <c r="P321" s="102">
        <v>2370</v>
      </c>
      <c r="Q321" s="103">
        <v>3920</v>
      </c>
      <c r="R321" s="103">
        <v>3920</v>
      </c>
      <c r="S321" s="104" t="s">
        <v>6328</v>
      </c>
      <c r="T321" s="104"/>
      <c r="U321" s="105" t="s">
        <v>506</v>
      </c>
      <c r="V321" s="100" t="s">
        <v>504</v>
      </c>
      <c r="W321" s="106" t="s">
        <v>132</v>
      </c>
      <c r="X321" s="106" t="s">
        <v>133</v>
      </c>
      <c r="Y321" s="106" t="s">
        <v>522</v>
      </c>
      <c r="Z321" s="107">
        <v>43435</v>
      </c>
      <c r="AA321" s="108">
        <v>43448</v>
      </c>
      <c r="AB321" s="109" t="s">
        <v>2251</v>
      </c>
      <c r="AC321" s="109"/>
    </row>
    <row r="322" spans="1:29" ht="25.5" hidden="1" x14ac:dyDescent="0.15">
      <c r="A322" s="98">
        <v>321</v>
      </c>
      <c r="B322" s="99">
        <v>112917</v>
      </c>
      <c r="C322" s="98" t="s">
        <v>6331</v>
      </c>
      <c r="D322" s="100" t="s">
        <v>231</v>
      </c>
      <c r="E322" s="100" t="s">
        <v>232</v>
      </c>
      <c r="F322" s="100" t="s">
        <v>233</v>
      </c>
      <c r="G322" s="98" t="s">
        <v>20</v>
      </c>
      <c r="H322" s="98" t="str">
        <f>VLOOKUP(G322,CGS[],2,FALSE)</f>
        <v>HPL</v>
      </c>
      <c r="I322" s="65">
        <v>2050</v>
      </c>
      <c r="J322" s="101">
        <f>IF(ISBLANK(Pricelist[[#This Row],[EBS]]),"",VALUE(LEFT(Pricelist[[#This Row],[EBS]],LEN(Pricelist[[#This Row],[EBS]])-LEN(Pricelist[[#This Row],[E2]])-1)))</f>
        <v>55</v>
      </c>
      <c r="K322" s="65">
        <v>3450</v>
      </c>
      <c r="L322" s="101">
        <f>IF(ISBLANK(Pricelist[[#This Row],[EBS]]),"",VALUE(RIGHT(Pricelist[[#This Row],[EBS]],3)))</f>
        <v>110</v>
      </c>
      <c r="M322" s="65">
        <v>3450</v>
      </c>
      <c r="N322" s="101">
        <f>IF(ISBLANK(Pricelist[[#This Row],[EBS]]),"",VALUE(RIGHT(Pricelist[[#This Row],[EBS]],3)))</f>
        <v>110</v>
      </c>
      <c r="O322" s="101" t="str">
        <f>IF(AND(Pricelist[[#This Row],[AE1]]&lt;&gt;"",OR(Pricelist[[#This Row],[区]]="南",Pricelist[[#This Row],[区]]="北")),MID(Pricelist[[#This Row],[AE1]],4,2),"")</f>
        <v/>
      </c>
      <c r="P322" s="102">
        <v>2075</v>
      </c>
      <c r="Q322" s="103">
        <v>3500</v>
      </c>
      <c r="R322" s="103">
        <v>3500</v>
      </c>
      <c r="S322" s="104" t="s">
        <v>2204</v>
      </c>
      <c r="T322" s="104"/>
      <c r="U322" s="105" t="s">
        <v>512</v>
      </c>
      <c r="V322" s="100" t="s">
        <v>507</v>
      </c>
      <c r="W322" s="106" t="s">
        <v>103</v>
      </c>
      <c r="X322" s="106" t="s">
        <v>104</v>
      </c>
      <c r="Y322" s="106">
        <v>44</v>
      </c>
      <c r="Z322" s="107">
        <v>43435</v>
      </c>
      <c r="AA322" s="108">
        <v>43448</v>
      </c>
      <c r="AB322" s="109" t="s">
        <v>4962</v>
      </c>
      <c r="AC322" s="109"/>
    </row>
    <row r="323" spans="1:29" hidden="1" x14ac:dyDescent="0.15">
      <c r="A323" s="98">
        <v>322</v>
      </c>
      <c r="B323" s="99">
        <v>112917</v>
      </c>
      <c r="C323" s="98" t="s">
        <v>6331</v>
      </c>
      <c r="D323" s="100" t="s">
        <v>231</v>
      </c>
      <c r="E323" s="100" t="s">
        <v>232</v>
      </c>
      <c r="F323" s="100" t="s">
        <v>233</v>
      </c>
      <c r="G323" s="98" t="s">
        <v>9</v>
      </c>
      <c r="H323" s="98" t="str">
        <f>VLOOKUP(G323,CGS[],2,FALSE)</f>
        <v>COSCO</v>
      </c>
      <c r="I323" s="65">
        <v>1835</v>
      </c>
      <c r="J323" s="101">
        <f>IF(ISBLANK(Pricelist[[#This Row],[EBS]]),"",VALUE(LEFT(Pricelist[[#This Row],[EBS]],LEN(Pricelist[[#This Row],[EBS]])-LEN(Pricelist[[#This Row],[E2]])-1)))</f>
        <v>60</v>
      </c>
      <c r="K323" s="65">
        <v>3460</v>
      </c>
      <c r="L323" s="101">
        <f>IF(ISBLANK(Pricelist[[#This Row],[EBS]]),"",VALUE(RIGHT(Pricelist[[#This Row],[EBS]],3)))</f>
        <v>120</v>
      </c>
      <c r="M323" s="65">
        <v>3460</v>
      </c>
      <c r="N323" s="101">
        <f>IF(ISBLANK(Pricelist[[#This Row],[EBS]]),"",VALUE(RIGHT(Pricelist[[#This Row],[EBS]],3)))</f>
        <v>120</v>
      </c>
      <c r="O323" s="101" t="str">
        <f>IF(AND(Pricelist[[#This Row],[AE1]]&lt;&gt;"",OR(Pricelist[[#This Row],[区]]="南",Pricelist[[#This Row],[区]]="北")),MID(Pricelist[[#This Row],[AE1]],4,2),"")</f>
        <v/>
      </c>
      <c r="P323" s="102">
        <v>1860</v>
      </c>
      <c r="Q323" s="103">
        <v>3510</v>
      </c>
      <c r="R323" s="103">
        <v>3510</v>
      </c>
      <c r="S323" s="104" t="s">
        <v>2199</v>
      </c>
      <c r="T323" s="104"/>
      <c r="U323" s="105" t="s">
        <v>511</v>
      </c>
      <c r="V323" s="100" t="s">
        <v>507</v>
      </c>
      <c r="W323" s="106" t="s">
        <v>234</v>
      </c>
      <c r="X323" s="106" t="s">
        <v>131</v>
      </c>
      <c r="Y323" s="106">
        <v>36</v>
      </c>
      <c r="Z323" s="107">
        <v>43437</v>
      </c>
      <c r="AA323" s="108">
        <v>43450</v>
      </c>
      <c r="AB323" s="109" t="s">
        <v>235</v>
      </c>
      <c r="AC323" s="109"/>
    </row>
    <row r="324" spans="1:29" hidden="1" x14ac:dyDescent="0.15">
      <c r="A324" s="98">
        <v>323</v>
      </c>
      <c r="B324" s="99">
        <v>112917</v>
      </c>
      <c r="C324" s="98" t="s">
        <v>6331</v>
      </c>
      <c r="D324" s="100" t="s">
        <v>231</v>
      </c>
      <c r="E324" s="100" t="s">
        <v>232</v>
      </c>
      <c r="F324" s="100" t="s">
        <v>233</v>
      </c>
      <c r="G324" s="98" t="s">
        <v>100</v>
      </c>
      <c r="H324" s="98" t="str">
        <f>VLOOKUP(G324,CGS[],2,FALSE)</f>
        <v>ONE</v>
      </c>
      <c r="I324" s="65">
        <v>1940</v>
      </c>
      <c r="J324" s="101" t="str">
        <f>IF(ISBLANK(Pricelist[[#This Row],[EBS]]),"",VALUE(LEFT(Pricelist[[#This Row],[EBS]],LEN(Pricelist[[#This Row],[EBS]])-LEN(Pricelist[[#This Row],[E2]])-1)))</f>
        <v/>
      </c>
      <c r="K324" s="65">
        <v>3265</v>
      </c>
      <c r="L324" s="101" t="str">
        <f>IF(ISBLANK(Pricelist[[#This Row],[EBS]]),"",VALUE(RIGHT(Pricelist[[#This Row],[EBS]],3)))</f>
        <v/>
      </c>
      <c r="M324" s="65">
        <v>3265</v>
      </c>
      <c r="N324" s="101" t="str">
        <f>IF(ISBLANK(Pricelist[[#This Row],[EBS]]),"",VALUE(RIGHT(Pricelist[[#This Row],[EBS]],3)))</f>
        <v/>
      </c>
      <c r="O324" s="101" t="str">
        <f>IF(AND(Pricelist[[#This Row],[AE1]]&lt;&gt;"",OR(Pricelist[[#This Row],[区]]="南",Pricelist[[#This Row],[区]]="北")),MID(Pricelist[[#This Row],[AE1]],4,2),"")</f>
        <v/>
      </c>
      <c r="P324" s="102">
        <v>1965</v>
      </c>
      <c r="Q324" s="103">
        <v>3315</v>
      </c>
      <c r="R324" s="103">
        <v>3315</v>
      </c>
      <c r="S324" s="104"/>
      <c r="T324" s="104"/>
      <c r="U324" s="105" t="s">
        <v>512</v>
      </c>
      <c r="V324" s="100" t="s">
        <v>507</v>
      </c>
      <c r="W324" s="106" t="s">
        <v>236</v>
      </c>
      <c r="X324" s="106" t="s">
        <v>237</v>
      </c>
      <c r="Y324" s="106">
        <v>35</v>
      </c>
      <c r="Z324" s="107">
        <v>43435</v>
      </c>
      <c r="AA324" s="108">
        <v>43443</v>
      </c>
      <c r="AB324" s="109" t="s">
        <v>3697</v>
      </c>
      <c r="AC324" s="109"/>
    </row>
    <row r="325" spans="1:29" hidden="1" x14ac:dyDescent="0.15">
      <c r="A325" s="98">
        <v>324</v>
      </c>
      <c r="B325" s="99">
        <v>112917</v>
      </c>
      <c r="C325" s="98" t="s">
        <v>6331</v>
      </c>
      <c r="D325" s="100" t="s">
        <v>231</v>
      </c>
      <c r="E325" s="100" t="s">
        <v>232</v>
      </c>
      <c r="F325" s="100" t="s">
        <v>233</v>
      </c>
      <c r="G325" s="98" t="s">
        <v>8</v>
      </c>
      <c r="H325" s="98" t="str">
        <f>VLOOKUP(G325,CGS[],2,FALSE)</f>
        <v>CMA</v>
      </c>
      <c r="I325" s="65">
        <v>2363</v>
      </c>
      <c r="J325" s="101">
        <f>IF(ISBLANK(Pricelist[[#This Row],[EBS]]),"",VALUE(LEFT(Pricelist[[#This Row],[EBS]],LEN(Pricelist[[#This Row],[EBS]])-LEN(Pricelist[[#This Row],[E2]])-1)))</f>
        <v>55</v>
      </c>
      <c r="K325" s="65">
        <v>4213</v>
      </c>
      <c r="L325" s="101">
        <f>IF(ISBLANK(Pricelist[[#This Row],[EBS]]),"",VALUE(RIGHT(Pricelist[[#This Row],[EBS]],3)))</f>
        <v>110</v>
      </c>
      <c r="M325" s="65">
        <v>4213</v>
      </c>
      <c r="N325" s="101">
        <f>IF(ISBLANK(Pricelist[[#This Row],[EBS]]),"",VALUE(RIGHT(Pricelist[[#This Row],[EBS]],3)))</f>
        <v>110</v>
      </c>
      <c r="O325" s="101" t="str">
        <f>IF(AND(Pricelist[[#This Row],[AE1]]&lt;&gt;"",OR(Pricelist[[#This Row],[区]]="南",Pricelist[[#This Row],[区]]="北")),MID(Pricelist[[#This Row],[AE1]],4,2),"")</f>
        <v/>
      </c>
      <c r="P325" s="102">
        <v>2438</v>
      </c>
      <c r="Q325" s="103">
        <v>4363</v>
      </c>
      <c r="R325" s="103">
        <v>4363</v>
      </c>
      <c r="S325" s="104" t="s">
        <v>2204</v>
      </c>
      <c r="T325" s="104"/>
      <c r="U325" s="105" t="s">
        <v>511</v>
      </c>
      <c r="V325" s="100" t="s">
        <v>507</v>
      </c>
      <c r="W325" s="106" t="s">
        <v>130</v>
      </c>
      <c r="X325" s="106" t="s">
        <v>131</v>
      </c>
      <c r="Y325" s="106">
        <v>34</v>
      </c>
      <c r="Z325" s="107">
        <v>43430</v>
      </c>
      <c r="AA325" s="108">
        <v>43448</v>
      </c>
      <c r="AB325" s="109" t="s">
        <v>192</v>
      </c>
      <c r="AC325" s="109"/>
    </row>
    <row r="326" spans="1:29" hidden="1" x14ac:dyDescent="0.15">
      <c r="A326" s="98">
        <v>325</v>
      </c>
      <c r="B326" s="99">
        <v>112917</v>
      </c>
      <c r="C326" s="98" t="s">
        <v>6331</v>
      </c>
      <c r="D326" s="100" t="s">
        <v>231</v>
      </c>
      <c r="E326" s="100" t="s">
        <v>232</v>
      </c>
      <c r="F326" s="100" t="s">
        <v>233</v>
      </c>
      <c r="G326" s="98" t="s">
        <v>21</v>
      </c>
      <c r="H326" s="98" t="str">
        <f>VLOOKUP(G326,CGS[],2,FALSE)</f>
        <v>MSK</v>
      </c>
      <c r="I326" s="65">
        <v>2435</v>
      </c>
      <c r="J326" s="101" t="str">
        <f>IF(ISBLANK(Pricelist[[#This Row],[EBS]]),"",VALUE(LEFT(Pricelist[[#This Row],[EBS]],LEN(Pricelist[[#This Row],[EBS]])-LEN(Pricelist[[#This Row],[E2]])-1)))</f>
        <v/>
      </c>
      <c r="K326" s="65">
        <v>4370</v>
      </c>
      <c r="L326" s="101" t="str">
        <f>IF(ISBLANK(Pricelist[[#This Row],[EBS]]),"",VALUE(RIGHT(Pricelist[[#This Row],[EBS]],3)))</f>
        <v/>
      </c>
      <c r="M326" s="65">
        <v>4370</v>
      </c>
      <c r="N326" s="101" t="str">
        <f>IF(ISBLANK(Pricelist[[#This Row],[EBS]]),"",VALUE(RIGHT(Pricelist[[#This Row],[EBS]],3)))</f>
        <v/>
      </c>
      <c r="O326" s="101" t="str">
        <f>IF(AND(Pricelist[[#This Row],[AE1]]&lt;&gt;"",OR(Pricelist[[#This Row],[区]]="南",Pricelist[[#This Row],[区]]="北")),MID(Pricelist[[#This Row],[AE1]],4,2),"")</f>
        <v/>
      </c>
      <c r="P326" s="102">
        <v>2435</v>
      </c>
      <c r="Q326" s="103">
        <v>4370</v>
      </c>
      <c r="R326" s="103">
        <v>4370</v>
      </c>
      <c r="S326" s="104"/>
      <c r="T326" s="104"/>
      <c r="U326" s="105" t="s">
        <v>510</v>
      </c>
      <c r="V326" s="100" t="s">
        <v>504</v>
      </c>
      <c r="W326" s="106" t="s">
        <v>361</v>
      </c>
      <c r="X326" s="106" t="s">
        <v>2230</v>
      </c>
      <c r="Y326" s="106">
        <v>40</v>
      </c>
      <c r="Z326" s="107">
        <v>43437</v>
      </c>
      <c r="AA326" s="108">
        <v>43450</v>
      </c>
      <c r="AB326" s="109"/>
      <c r="AC326" s="109"/>
    </row>
    <row r="327" spans="1:29" hidden="1" x14ac:dyDescent="0.15">
      <c r="A327" s="98">
        <v>326</v>
      </c>
      <c r="B327" s="99">
        <v>112917</v>
      </c>
      <c r="C327" s="98" t="s">
        <v>6331</v>
      </c>
      <c r="D327" s="100" t="s">
        <v>231</v>
      </c>
      <c r="E327" s="100" t="s">
        <v>232</v>
      </c>
      <c r="F327" s="100" t="s">
        <v>233</v>
      </c>
      <c r="G327" s="98" t="s">
        <v>24</v>
      </c>
      <c r="H327" s="98" t="str">
        <f>VLOOKUP(G327,CGS[],2,FALSE)</f>
        <v>SAF</v>
      </c>
      <c r="I327" s="65">
        <v>2469</v>
      </c>
      <c r="J327" s="101">
        <f>IF(ISBLANK(Pricelist[[#This Row],[EBS]]),"",VALUE(LEFT(Pricelist[[#This Row],[EBS]],LEN(Pricelist[[#This Row],[EBS]])-LEN(Pricelist[[#This Row],[E2]])-1)))</f>
        <v>60</v>
      </c>
      <c r="K327" s="65">
        <v>4419</v>
      </c>
      <c r="L327" s="101">
        <f>IF(ISBLANK(Pricelist[[#This Row],[EBS]]),"",VALUE(RIGHT(Pricelist[[#This Row],[EBS]],3)))</f>
        <v>120</v>
      </c>
      <c r="M327" s="65">
        <v>4419</v>
      </c>
      <c r="N327" s="101">
        <f>IF(ISBLANK(Pricelist[[#This Row],[EBS]]),"",VALUE(RIGHT(Pricelist[[#This Row],[EBS]],3)))</f>
        <v>120</v>
      </c>
      <c r="O327" s="101" t="str">
        <f>IF(AND(Pricelist[[#This Row],[AE1]]&lt;&gt;"",OR(Pricelist[[#This Row],[区]]="南",Pricelist[[#This Row],[区]]="北")),MID(Pricelist[[#This Row],[AE1]],4,2),"")</f>
        <v/>
      </c>
      <c r="P327" s="102">
        <v>2469</v>
      </c>
      <c r="Q327" s="103">
        <v>4419</v>
      </c>
      <c r="R327" s="103">
        <v>4419</v>
      </c>
      <c r="S327" s="104" t="s">
        <v>2199</v>
      </c>
      <c r="T327" s="104"/>
      <c r="U327" s="105" t="s">
        <v>3272</v>
      </c>
      <c r="V327" s="100" t="s">
        <v>507</v>
      </c>
      <c r="W327" s="106" t="s">
        <v>2252</v>
      </c>
      <c r="X327" s="106" t="s">
        <v>2253</v>
      </c>
      <c r="Y327" s="106" t="s">
        <v>3698</v>
      </c>
      <c r="Z327" s="107">
        <v>43437</v>
      </c>
      <c r="AA327" s="108">
        <v>43450</v>
      </c>
      <c r="AB327" s="109" t="s">
        <v>2232</v>
      </c>
      <c r="AC327" s="109"/>
    </row>
    <row r="328" spans="1:29" ht="14.25" hidden="1" x14ac:dyDescent="0.15">
      <c r="A328" s="98">
        <v>327</v>
      </c>
      <c r="B328" s="99">
        <v>112917</v>
      </c>
      <c r="C328" s="98" t="s">
        <v>6331</v>
      </c>
      <c r="D328" s="100" t="s">
        <v>238</v>
      </c>
      <c r="E328" s="100" t="s">
        <v>239</v>
      </c>
      <c r="F328" s="100" t="s">
        <v>212</v>
      </c>
      <c r="G328" s="98" t="s">
        <v>106</v>
      </c>
      <c r="H328" s="98" t="str">
        <f>VLOOKUP(G328,CGS[],2,FALSE)</f>
        <v>NDS</v>
      </c>
      <c r="I328" s="65" t="s">
        <v>2214</v>
      </c>
      <c r="J328" s="101" t="str">
        <f>IF(ISBLANK(Pricelist[[#This Row],[EBS]]),"",VALUE(LEFT(Pricelist[[#This Row],[EBS]],LEN(Pricelist[[#This Row],[EBS]])-LEN(Pricelist[[#This Row],[E2]])-1)))</f>
        <v/>
      </c>
      <c r="L328" s="101" t="str">
        <f>IF(ISBLANK(Pricelist[[#This Row],[EBS]]),"",VALUE(RIGHT(Pricelist[[#This Row],[EBS]],3)))</f>
        <v/>
      </c>
      <c r="N328" s="101" t="str">
        <f>IF(ISBLANK(Pricelist[[#This Row],[EBS]]),"",VALUE(RIGHT(Pricelist[[#This Row],[EBS]],3)))</f>
        <v/>
      </c>
      <c r="O328" s="101" t="str">
        <f>IF(AND(Pricelist[[#This Row],[AE1]]&lt;&gt;"",OR(Pricelist[[#This Row],[区]]="南",Pricelist[[#This Row],[区]]="北")),MID(Pricelist[[#This Row],[AE1]],4,2),"")</f>
        <v/>
      </c>
      <c r="P328" s="102" t="s">
        <v>4769</v>
      </c>
      <c r="Q328" s="103"/>
      <c r="R328" s="103"/>
      <c r="S328" s="104"/>
      <c r="T328" s="104"/>
      <c r="U328" s="105" t="s">
        <v>510</v>
      </c>
      <c r="V328" s="100" t="s">
        <v>507</v>
      </c>
      <c r="W328" s="106" t="s">
        <v>107</v>
      </c>
      <c r="X328" s="106" t="s">
        <v>108</v>
      </c>
      <c r="Y328" s="106">
        <v>62</v>
      </c>
      <c r="Z328" s="107">
        <v>43423</v>
      </c>
      <c r="AA328" s="108">
        <v>43448</v>
      </c>
      <c r="AB328" s="109"/>
      <c r="AC328" s="109"/>
    </row>
    <row r="329" spans="1:29" hidden="1" x14ac:dyDescent="0.15">
      <c r="A329" s="98">
        <v>328</v>
      </c>
      <c r="B329" s="99">
        <v>112917</v>
      </c>
      <c r="C329" s="98" t="s">
        <v>6331</v>
      </c>
      <c r="D329" s="100" t="s">
        <v>240</v>
      </c>
      <c r="E329" s="100" t="s">
        <v>241</v>
      </c>
      <c r="F329" s="100" t="s">
        <v>377</v>
      </c>
      <c r="G329" s="98" t="s">
        <v>106</v>
      </c>
      <c r="H329" s="98" t="str">
        <f>VLOOKUP(G329,CGS[],2,FALSE)</f>
        <v>NDS</v>
      </c>
      <c r="I329" s="65">
        <v>4610</v>
      </c>
      <c r="J329" s="101" t="str">
        <f>IF(ISBLANK(Pricelist[[#This Row],[EBS]]),"",VALUE(LEFT(Pricelist[[#This Row],[EBS]],LEN(Pricelist[[#This Row],[EBS]])-LEN(Pricelist[[#This Row],[E2]])-1)))</f>
        <v/>
      </c>
      <c r="K329" s="65">
        <v>8010</v>
      </c>
      <c r="L329" s="101" t="str">
        <f>IF(ISBLANK(Pricelist[[#This Row],[EBS]]),"",VALUE(RIGHT(Pricelist[[#This Row],[EBS]],3)))</f>
        <v/>
      </c>
      <c r="M329" s="65">
        <v>8010</v>
      </c>
      <c r="N329" s="101" t="str">
        <f>IF(ISBLANK(Pricelist[[#This Row],[EBS]]),"",VALUE(RIGHT(Pricelist[[#This Row],[EBS]],3)))</f>
        <v/>
      </c>
      <c r="O329" s="101" t="str">
        <f>IF(AND(Pricelist[[#This Row],[AE1]]&lt;&gt;"",OR(Pricelist[[#This Row],[区]]="南",Pricelist[[#This Row],[区]]="北")),MID(Pricelist[[#This Row],[AE1]],4,2),"")</f>
        <v/>
      </c>
      <c r="P329" s="102">
        <v>4610</v>
      </c>
      <c r="Q329" s="103">
        <v>8010</v>
      </c>
      <c r="R329" s="103">
        <v>8010</v>
      </c>
      <c r="S329" s="104"/>
      <c r="T329" s="104"/>
      <c r="U329" s="105" t="s">
        <v>510</v>
      </c>
      <c r="V329" s="100" t="s">
        <v>507</v>
      </c>
      <c r="W329" s="106" t="s">
        <v>142</v>
      </c>
      <c r="X329" s="106" t="s">
        <v>141</v>
      </c>
      <c r="Y329" s="106">
        <v>51</v>
      </c>
      <c r="Z329" s="107">
        <v>43423</v>
      </c>
      <c r="AA329" s="108">
        <v>43448</v>
      </c>
      <c r="AB329" s="109"/>
      <c r="AC329" s="109"/>
    </row>
    <row r="330" spans="1:29" hidden="1" x14ac:dyDescent="0.15">
      <c r="A330" s="98">
        <v>329</v>
      </c>
      <c r="B330" s="99">
        <v>112917</v>
      </c>
      <c r="C330" s="98" t="s">
        <v>6331</v>
      </c>
      <c r="D330" s="100" t="s">
        <v>240</v>
      </c>
      <c r="E330" s="100" t="s">
        <v>241</v>
      </c>
      <c r="F330" s="100" t="s">
        <v>377</v>
      </c>
      <c r="G330" s="98" t="s">
        <v>8</v>
      </c>
      <c r="H330" s="98" t="str">
        <f>VLOOKUP(G330,CGS[],2,FALSE)</f>
        <v>CMA</v>
      </c>
      <c r="I330" s="65">
        <v>5863</v>
      </c>
      <c r="J330" s="101">
        <f>IF(ISBLANK(Pricelist[[#This Row],[EBS]]),"",VALUE(LEFT(Pricelist[[#This Row],[EBS]],LEN(Pricelist[[#This Row],[EBS]])-LEN(Pricelist[[#This Row],[E2]])-1)))</f>
        <v>55</v>
      </c>
      <c r="K330" s="65">
        <v>11213</v>
      </c>
      <c r="L330" s="101">
        <f>IF(ISBLANK(Pricelist[[#This Row],[EBS]]),"",VALUE(RIGHT(Pricelist[[#This Row],[EBS]],3)))</f>
        <v>110</v>
      </c>
      <c r="M330" s="65">
        <v>11213</v>
      </c>
      <c r="N330" s="101">
        <f>IF(ISBLANK(Pricelist[[#This Row],[EBS]]),"",VALUE(RIGHT(Pricelist[[#This Row],[EBS]],3)))</f>
        <v>110</v>
      </c>
      <c r="O330" s="101" t="str">
        <f>IF(AND(Pricelist[[#This Row],[AE1]]&lt;&gt;"",OR(Pricelist[[#This Row],[区]]="南",Pricelist[[#This Row],[区]]="北")),MID(Pricelist[[#This Row],[AE1]],4,2),"")</f>
        <v/>
      </c>
      <c r="P330" s="102">
        <v>5938</v>
      </c>
      <c r="Q330" s="103">
        <v>11363</v>
      </c>
      <c r="R330" s="103">
        <v>11363</v>
      </c>
      <c r="S330" s="104" t="s">
        <v>2204</v>
      </c>
      <c r="T330" s="104"/>
      <c r="U330" s="105" t="s">
        <v>511</v>
      </c>
      <c r="V330" s="100" t="s">
        <v>507</v>
      </c>
      <c r="W330" s="106" t="s">
        <v>130</v>
      </c>
      <c r="X330" s="106" t="s">
        <v>131</v>
      </c>
      <c r="Y330" s="106">
        <v>87</v>
      </c>
      <c r="Z330" s="107">
        <v>43430</v>
      </c>
      <c r="AA330" s="108">
        <v>43448</v>
      </c>
      <c r="AB330" s="109" t="s">
        <v>242</v>
      </c>
      <c r="AC330" s="109"/>
    </row>
    <row r="331" spans="1:29" hidden="1" x14ac:dyDescent="0.15">
      <c r="A331" s="98">
        <v>330</v>
      </c>
      <c r="B331" s="99">
        <v>112917</v>
      </c>
      <c r="C331" s="98" t="s">
        <v>6332</v>
      </c>
      <c r="D331" s="100" t="s">
        <v>300</v>
      </c>
      <c r="E331" s="100" t="s">
        <v>301</v>
      </c>
      <c r="F331" s="100" t="s">
        <v>302</v>
      </c>
      <c r="G331" s="98" t="s">
        <v>21</v>
      </c>
      <c r="H331" s="98" t="str">
        <f>VLOOKUP(G331,CGS[],2,FALSE)</f>
        <v>MSK</v>
      </c>
      <c r="I331" s="65">
        <v>1260</v>
      </c>
      <c r="J331" s="101" t="str">
        <f>IF(ISBLANK(Pricelist[[#This Row],[EBS]]),"",VALUE(LEFT(Pricelist[[#This Row],[EBS]],LEN(Pricelist[[#This Row],[EBS]])-LEN(Pricelist[[#This Row],[E2]])-1)))</f>
        <v/>
      </c>
      <c r="K331" s="65">
        <v>2320</v>
      </c>
      <c r="L331" s="101" t="str">
        <f>IF(ISBLANK(Pricelist[[#This Row],[EBS]]),"",VALUE(RIGHT(Pricelist[[#This Row],[EBS]],3)))</f>
        <v/>
      </c>
      <c r="M331" s="65">
        <v>2345</v>
      </c>
      <c r="N331" s="101" t="str">
        <f>IF(ISBLANK(Pricelist[[#This Row],[EBS]]),"",VALUE(RIGHT(Pricelist[[#This Row],[EBS]],3)))</f>
        <v/>
      </c>
      <c r="O331" s="101" t="str">
        <f>IF(AND(Pricelist[[#This Row],[AE1]]&lt;&gt;"",OR(Pricelist[[#This Row],[区]]="南",Pricelist[[#This Row],[区]]="北")),MID(Pricelist[[#This Row],[AE1]],4,2),"")</f>
        <v/>
      </c>
      <c r="P331" s="102">
        <v>1260</v>
      </c>
      <c r="Q331" s="103">
        <v>2320</v>
      </c>
      <c r="R331" s="103">
        <v>2345</v>
      </c>
      <c r="S331" s="104"/>
      <c r="T331" s="104"/>
      <c r="U331" s="105" t="s">
        <v>506</v>
      </c>
      <c r="V331" s="100" t="s">
        <v>507</v>
      </c>
      <c r="W331" s="106" t="s">
        <v>234</v>
      </c>
      <c r="X331" s="106" t="s">
        <v>131</v>
      </c>
      <c r="Y331" s="106">
        <v>35</v>
      </c>
      <c r="Z331" s="107">
        <v>43435</v>
      </c>
      <c r="AA331" s="108">
        <v>43449</v>
      </c>
      <c r="AB331" s="109"/>
      <c r="AC331" s="109"/>
    </row>
    <row r="332" spans="1:29" hidden="1" x14ac:dyDescent="0.15">
      <c r="A332" s="98">
        <v>331</v>
      </c>
      <c r="B332" s="99">
        <v>112917</v>
      </c>
      <c r="C332" s="98" t="s">
        <v>6332</v>
      </c>
      <c r="D332" s="100" t="s">
        <v>300</v>
      </c>
      <c r="E332" s="100" t="s">
        <v>301</v>
      </c>
      <c r="F332" s="100" t="s">
        <v>302</v>
      </c>
      <c r="G332" s="98" t="s">
        <v>24</v>
      </c>
      <c r="H332" s="98" t="str">
        <f>VLOOKUP(G332,CGS[],2,FALSE)</f>
        <v>SAF</v>
      </c>
      <c r="I332" s="65">
        <v>1225</v>
      </c>
      <c r="J332" s="101">
        <f>IF(ISBLANK(Pricelist[[#This Row],[EBS]]),"",VALUE(LEFT(Pricelist[[#This Row],[EBS]],LEN(Pricelist[[#This Row],[EBS]])-LEN(Pricelist[[#This Row],[E2]])-1)))</f>
        <v>60</v>
      </c>
      <c r="K332" s="65">
        <v>2250</v>
      </c>
      <c r="L332" s="101">
        <f>IF(ISBLANK(Pricelist[[#This Row],[EBS]]),"",VALUE(RIGHT(Pricelist[[#This Row],[EBS]],3)))</f>
        <v>120</v>
      </c>
      <c r="M332" s="65">
        <v>2300</v>
      </c>
      <c r="N332" s="101">
        <f>IF(ISBLANK(Pricelist[[#This Row],[EBS]]),"",VALUE(RIGHT(Pricelist[[#This Row],[EBS]],3)))</f>
        <v>120</v>
      </c>
      <c r="O332" s="101" t="str">
        <f>IF(AND(Pricelist[[#This Row],[AE1]]&lt;&gt;"",OR(Pricelist[[#This Row],[区]]="南",Pricelist[[#This Row],[区]]="北")),MID(Pricelist[[#This Row],[AE1]],4,2),"")</f>
        <v/>
      </c>
      <c r="P332" s="102">
        <v>1225</v>
      </c>
      <c r="Q332" s="103">
        <v>2250</v>
      </c>
      <c r="R332" s="103">
        <v>2300</v>
      </c>
      <c r="S332" s="104" t="s">
        <v>2199</v>
      </c>
      <c r="T332" s="104"/>
      <c r="U332" s="105" t="s">
        <v>506</v>
      </c>
      <c r="V332" s="100" t="s">
        <v>507</v>
      </c>
      <c r="W332" s="106" t="s">
        <v>234</v>
      </c>
      <c r="X332" s="106" t="s">
        <v>131</v>
      </c>
      <c r="Y332" s="106">
        <v>37</v>
      </c>
      <c r="Z332" s="107">
        <v>43405</v>
      </c>
      <c r="AA332" s="108">
        <v>43419</v>
      </c>
      <c r="AB332" s="109" t="s">
        <v>303</v>
      </c>
      <c r="AC332" s="109"/>
    </row>
    <row r="333" spans="1:29" hidden="1" x14ac:dyDescent="0.15">
      <c r="A333" s="98">
        <v>332</v>
      </c>
      <c r="B333" s="99">
        <v>112917</v>
      </c>
      <c r="C333" s="98" t="s">
        <v>6332</v>
      </c>
      <c r="D333" s="100" t="s">
        <v>300</v>
      </c>
      <c r="E333" s="100" t="s">
        <v>301</v>
      </c>
      <c r="F333" s="100" t="s">
        <v>302</v>
      </c>
      <c r="G333" s="98" t="s">
        <v>8</v>
      </c>
      <c r="H333" s="98" t="str">
        <f>VLOOKUP(G333,CGS[],2,FALSE)</f>
        <v>CMA</v>
      </c>
      <c r="I333" s="65">
        <v>1400</v>
      </c>
      <c r="J333" s="101">
        <f>IF(ISBLANK(Pricelist[[#This Row],[EBS]]),"",VALUE(LEFT(Pricelist[[#This Row],[EBS]],LEN(Pricelist[[#This Row],[EBS]])-LEN(Pricelist[[#This Row],[E2]])-1)))</f>
        <v>100</v>
      </c>
      <c r="K333" s="65">
        <v>2600</v>
      </c>
      <c r="L333" s="101">
        <f>IF(ISBLANK(Pricelist[[#This Row],[EBS]]),"",VALUE(RIGHT(Pricelist[[#This Row],[EBS]],3)))</f>
        <v>200</v>
      </c>
      <c r="M333" s="65">
        <v>2675</v>
      </c>
      <c r="N333" s="101">
        <f>IF(ISBLANK(Pricelist[[#This Row],[EBS]]),"",VALUE(RIGHT(Pricelist[[#This Row],[EBS]],3)))</f>
        <v>200</v>
      </c>
      <c r="O333" s="101" t="str">
        <f>IF(AND(Pricelist[[#This Row],[AE1]]&lt;&gt;"",OR(Pricelist[[#This Row],[区]]="南",Pricelist[[#This Row],[区]]="北")),MID(Pricelist[[#This Row],[AE1]],4,2),"")</f>
        <v/>
      </c>
      <c r="P333" s="102">
        <v>1450</v>
      </c>
      <c r="Q333" s="103">
        <v>2700</v>
      </c>
      <c r="R333" s="103">
        <v>2775</v>
      </c>
      <c r="S333" s="104" t="s">
        <v>6328</v>
      </c>
      <c r="T333" s="104"/>
      <c r="U333" s="105" t="s">
        <v>511</v>
      </c>
      <c r="V333" s="100" t="s">
        <v>507</v>
      </c>
      <c r="W333" s="106" t="s">
        <v>234</v>
      </c>
      <c r="X333" s="106" t="s">
        <v>131</v>
      </c>
      <c r="Y333" s="106">
        <v>34</v>
      </c>
      <c r="Z333" s="107">
        <v>43435</v>
      </c>
      <c r="AA333" s="108">
        <v>43449</v>
      </c>
      <c r="AB333" s="109" t="s">
        <v>242</v>
      </c>
      <c r="AC333" s="109"/>
    </row>
    <row r="334" spans="1:29" hidden="1" x14ac:dyDescent="0.15">
      <c r="A334" s="98">
        <v>333</v>
      </c>
      <c r="B334" s="99">
        <v>112917</v>
      </c>
      <c r="C334" s="98" t="s">
        <v>6332</v>
      </c>
      <c r="D334" s="100" t="s">
        <v>300</v>
      </c>
      <c r="E334" s="100" t="s">
        <v>301</v>
      </c>
      <c r="F334" s="100" t="s">
        <v>302</v>
      </c>
      <c r="G334" s="98" t="s">
        <v>17</v>
      </c>
      <c r="H334" s="98" t="str">
        <f>VLOOKUP(G334,CGS[],2,FALSE)</f>
        <v>MSC</v>
      </c>
      <c r="I334" s="65">
        <v>1900</v>
      </c>
      <c r="J334" s="101">
        <f>IF(ISBLANK(Pricelist[[#This Row],[EBS]]),"",VALUE(LEFT(Pricelist[[#This Row],[EBS]],LEN(Pricelist[[#This Row],[EBS]])-LEN(Pricelist[[#This Row],[E2]])-1)))</f>
        <v>65</v>
      </c>
      <c r="K334" s="65">
        <v>3700</v>
      </c>
      <c r="L334" s="101">
        <f>IF(ISBLANK(Pricelist[[#This Row],[EBS]]),"",VALUE(RIGHT(Pricelist[[#This Row],[EBS]],3)))</f>
        <v>130</v>
      </c>
      <c r="M334" s="65">
        <v>3750</v>
      </c>
      <c r="N334" s="101">
        <f>IF(ISBLANK(Pricelist[[#This Row],[EBS]]),"",VALUE(RIGHT(Pricelist[[#This Row],[EBS]],3)))</f>
        <v>130</v>
      </c>
      <c r="O334" s="101" t="str">
        <f>IF(AND(Pricelist[[#This Row],[AE1]]&lt;&gt;"",OR(Pricelist[[#This Row],[区]]="南",Pricelist[[#This Row],[区]]="北")),MID(Pricelist[[#This Row],[AE1]],4,2),"")</f>
        <v/>
      </c>
      <c r="P334" s="102">
        <v>1900</v>
      </c>
      <c r="Q334" s="103">
        <v>3700</v>
      </c>
      <c r="R334" s="103">
        <v>3750</v>
      </c>
      <c r="S334" s="104" t="s">
        <v>3678</v>
      </c>
      <c r="T334" s="104"/>
      <c r="U334" s="105" t="s">
        <v>511</v>
      </c>
      <c r="V334" s="100" t="s">
        <v>507</v>
      </c>
      <c r="W334" s="106" t="s">
        <v>304</v>
      </c>
      <c r="X334" s="106" t="s">
        <v>305</v>
      </c>
      <c r="Y334" s="106">
        <v>48</v>
      </c>
      <c r="Z334" s="107">
        <v>43423</v>
      </c>
      <c r="AA334" s="108">
        <v>43429</v>
      </c>
      <c r="AB334" s="109"/>
      <c r="AC334" s="109"/>
    </row>
    <row r="335" spans="1:29" hidden="1" x14ac:dyDescent="0.15">
      <c r="A335" s="98">
        <v>334</v>
      </c>
      <c r="B335" s="99">
        <v>112917</v>
      </c>
      <c r="C335" s="98" t="s">
        <v>6332</v>
      </c>
      <c r="D335" s="100" t="s">
        <v>417</v>
      </c>
      <c r="E335" s="100" t="s">
        <v>301</v>
      </c>
      <c r="F335" s="100" t="s">
        <v>306</v>
      </c>
      <c r="G335" s="98" t="s">
        <v>21</v>
      </c>
      <c r="H335" s="98" t="str">
        <f>VLOOKUP(G335,CGS[],2,FALSE)</f>
        <v>MSK</v>
      </c>
      <c r="I335" s="65">
        <v>1160</v>
      </c>
      <c r="J335" s="101" t="str">
        <f>IF(ISBLANK(Pricelist[[#This Row],[EBS]]),"",VALUE(LEFT(Pricelist[[#This Row],[EBS]],LEN(Pricelist[[#This Row],[EBS]])-LEN(Pricelist[[#This Row],[E2]])-1)))</f>
        <v/>
      </c>
      <c r="K335" s="65">
        <v>2220</v>
      </c>
      <c r="L335" s="101" t="str">
        <f>IF(ISBLANK(Pricelist[[#This Row],[EBS]]),"",VALUE(RIGHT(Pricelist[[#This Row],[EBS]],3)))</f>
        <v/>
      </c>
      <c r="M335" s="65">
        <v>2245</v>
      </c>
      <c r="N335" s="101" t="str">
        <f>IF(ISBLANK(Pricelist[[#This Row],[EBS]]),"",VALUE(RIGHT(Pricelist[[#This Row],[EBS]],3)))</f>
        <v/>
      </c>
      <c r="O335" s="101" t="str">
        <f>IF(AND(Pricelist[[#This Row],[AE1]]&lt;&gt;"",OR(Pricelist[[#This Row],[区]]="南",Pricelist[[#This Row],[区]]="北")),MID(Pricelist[[#This Row],[AE1]],4,2),"")</f>
        <v/>
      </c>
      <c r="P335" s="102">
        <v>1160</v>
      </c>
      <c r="Q335" s="103">
        <v>2220</v>
      </c>
      <c r="R335" s="103">
        <v>2245</v>
      </c>
      <c r="S335" s="104"/>
      <c r="T335" s="104"/>
      <c r="U335" s="105" t="s">
        <v>506</v>
      </c>
      <c r="V335" s="100" t="s">
        <v>507</v>
      </c>
      <c r="W335" s="106" t="s">
        <v>307</v>
      </c>
      <c r="X335" s="106" t="s">
        <v>104</v>
      </c>
      <c r="Y335" s="106">
        <v>31</v>
      </c>
      <c r="Z335" s="107">
        <v>43435</v>
      </c>
      <c r="AA335" s="108">
        <v>43449</v>
      </c>
      <c r="AB335" s="109"/>
      <c r="AC335" s="109"/>
    </row>
    <row r="336" spans="1:29" hidden="1" x14ac:dyDescent="0.15">
      <c r="A336" s="98">
        <v>335</v>
      </c>
      <c r="B336" s="99">
        <v>112917</v>
      </c>
      <c r="C336" s="98" t="s">
        <v>6332</v>
      </c>
      <c r="D336" s="100" t="s">
        <v>417</v>
      </c>
      <c r="E336" s="100" t="s">
        <v>301</v>
      </c>
      <c r="F336" s="100" t="s">
        <v>306</v>
      </c>
      <c r="G336" s="98" t="s">
        <v>24</v>
      </c>
      <c r="H336" s="98" t="str">
        <f>VLOOKUP(G336,CGS[],2,FALSE)</f>
        <v>SAF</v>
      </c>
      <c r="I336" s="65">
        <v>1125</v>
      </c>
      <c r="J336" s="101">
        <f>IF(ISBLANK(Pricelist[[#This Row],[EBS]]),"",VALUE(LEFT(Pricelist[[#This Row],[EBS]],LEN(Pricelist[[#This Row],[EBS]])-LEN(Pricelist[[#This Row],[E2]])-1)))</f>
        <v>60</v>
      </c>
      <c r="K336" s="65">
        <v>2150</v>
      </c>
      <c r="L336" s="101">
        <f>IF(ISBLANK(Pricelist[[#This Row],[EBS]]),"",VALUE(RIGHT(Pricelist[[#This Row],[EBS]],3)))</f>
        <v>120</v>
      </c>
      <c r="M336" s="65">
        <v>2200</v>
      </c>
      <c r="N336" s="101">
        <f>IF(ISBLANK(Pricelist[[#This Row],[EBS]]),"",VALUE(RIGHT(Pricelist[[#This Row],[EBS]],3)))</f>
        <v>120</v>
      </c>
      <c r="O336" s="101" t="str">
        <f>IF(AND(Pricelist[[#This Row],[AE1]]&lt;&gt;"",OR(Pricelist[[#This Row],[区]]="南",Pricelist[[#This Row],[区]]="北")),MID(Pricelist[[#This Row],[AE1]],4,2),"")</f>
        <v/>
      </c>
      <c r="P336" s="102">
        <v>1125</v>
      </c>
      <c r="Q336" s="103">
        <v>2150</v>
      </c>
      <c r="R336" s="103">
        <v>2200</v>
      </c>
      <c r="S336" s="104" t="s">
        <v>2199</v>
      </c>
      <c r="T336" s="104"/>
      <c r="U336" s="105" t="s">
        <v>508</v>
      </c>
      <c r="V336" s="100" t="s">
        <v>507</v>
      </c>
      <c r="W336" s="106" t="s">
        <v>307</v>
      </c>
      <c r="X336" s="106" t="s">
        <v>104</v>
      </c>
      <c r="Y336" s="106">
        <v>30</v>
      </c>
      <c r="Z336" s="107">
        <v>43405</v>
      </c>
      <c r="AA336" s="108">
        <v>43419</v>
      </c>
      <c r="AB336" s="109" t="s">
        <v>308</v>
      </c>
      <c r="AC336" s="109"/>
    </row>
    <row r="337" spans="1:29" hidden="1" x14ac:dyDescent="0.15">
      <c r="A337" s="98">
        <v>336</v>
      </c>
      <c r="B337" s="99">
        <v>112917</v>
      </c>
      <c r="C337" s="98" t="s">
        <v>6332</v>
      </c>
      <c r="D337" s="100" t="s">
        <v>417</v>
      </c>
      <c r="E337" s="100" t="s">
        <v>301</v>
      </c>
      <c r="F337" s="100" t="s">
        <v>306</v>
      </c>
      <c r="G337" s="98" t="s">
        <v>8</v>
      </c>
      <c r="H337" s="98" t="str">
        <f>VLOOKUP(G337,CGS[],2,FALSE)</f>
        <v>CMA</v>
      </c>
      <c r="I337" s="65">
        <v>1350</v>
      </c>
      <c r="J337" s="101">
        <f>IF(ISBLANK(Pricelist[[#This Row],[EBS]]),"",VALUE(LEFT(Pricelist[[#This Row],[EBS]],LEN(Pricelist[[#This Row],[EBS]])-LEN(Pricelist[[#This Row],[E2]])-1)))</f>
        <v>100</v>
      </c>
      <c r="K337" s="65">
        <v>2500</v>
      </c>
      <c r="L337" s="101">
        <f>IF(ISBLANK(Pricelist[[#This Row],[EBS]]),"",VALUE(RIGHT(Pricelist[[#This Row],[EBS]],3)))</f>
        <v>200</v>
      </c>
      <c r="M337" s="65">
        <v>2575</v>
      </c>
      <c r="N337" s="101">
        <f>IF(ISBLANK(Pricelist[[#This Row],[EBS]]),"",VALUE(RIGHT(Pricelist[[#This Row],[EBS]],3)))</f>
        <v>200</v>
      </c>
      <c r="O337" s="101" t="str">
        <f>IF(AND(Pricelist[[#This Row],[AE1]]&lt;&gt;"",OR(Pricelist[[#This Row],[区]]="南",Pricelist[[#This Row],[区]]="北")),MID(Pricelist[[#This Row],[AE1]],4,2),"")</f>
        <v/>
      </c>
      <c r="P337" s="102">
        <v>1400</v>
      </c>
      <c r="Q337" s="103">
        <v>2600</v>
      </c>
      <c r="R337" s="103">
        <v>2675</v>
      </c>
      <c r="S337" s="104" t="s">
        <v>6328</v>
      </c>
      <c r="T337" s="104"/>
      <c r="U337" s="105" t="s">
        <v>511</v>
      </c>
      <c r="V337" s="100" t="s">
        <v>507</v>
      </c>
      <c r="W337" s="106" t="s">
        <v>234</v>
      </c>
      <c r="X337" s="106" t="s">
        <v>131</v>
      </c>
      <c r="Y337" s="106">
        <v>27</v>
      </c>
      <c r="Z337" s="107">
        <v>43435</v>
      </c>
      <c r="AA337" s="108">
        <v>43449</v>
      </c>
      <c r="AB337" s="109" t="s">
        <v>242</v>
      </c>
      <c r="AC337" s="109"/>
    </row>
    <row r="338" spans="1:29" ht="38.25" hidden="1" x14ac:dyDescent="0.15">
      <c r="A338" s="98">
        <v>337</v>
      </c>
      <c r="B338" s="99">
        <v>112917</v>
      </c>
      <c r="C338" s="98" t="s">
        <v>6332</v>
      </c>
      <c r="D338" s="100" t="s">
        <v>417</v>
      </c>
      <c r="E338" s="100" t="s">
        <v>301</v>
      </c>
      <c r="F338" s="100" t="s">
        <v>306</v>
      </c>
      <c r="G338" s="98" t="s">
        <v>9</v>
      </c>
      <c r="H338" s="98" t="str">
        <f>VLOOKUP(G338,CGS[],2,FALSE)</f>
        <v>COSCO</v>
      </c>
      <c r="I338" s="65">
        <v>1125</v>
      </c>
      <c r="J338" s="101" t="str">
        <f>IF(ISBLANK(Pricelist[[#This Row],[EBS]]),"",VALUE(LEFT(Pricelist[[#This Row],[EBS]],LEN(Pricelist[[#This Row],[EBS]])-LEN(Pricelist[[#This Row],[E2]])-1)))</f>
        <v/>
      </c>
      <c r="K338" s="65">
        <v>2050</v>
      </c>
      <c r="L338" s="101" t="str">
        <f>IF(ISBLANK(Pricelist[[#This Row],[EBS]]),"",VALUE(RIGHT(Pricelist[[#This Row],[EBS]],3)))</f>
        <v/>
      </c>
      <c r="M338" s="65">
        <v>2100</v>
      </c>
      <c r="N338" s="101" t="str">
        <f>IF(ISBLANK(Pricelist[[#This Row],[EBS]]),"",VALUE(RIGHT(Pricelist[[#This Row],[EBS]],3)))</f>
        <v/>
      </c>
      <c r="O338" s="101" t="str">
        <f>IF(AND(Pricelist[[#This Row],[AE1]]&lt;&gt;"",OR(Pricelist[[#This Row],[区]]="南",Pricelist[[#This Row],[区]]="北")),MID(Pricelist[[#This Row],[AE1]],4,2),"")</f>
        <v>25</v>
      </c>
      <c r="P338" s="102">
        <v>1150</v>
      </c>
      <c r="Q338" s="103">
        <v>2100</v>
      </c>
      <c r="R338" s="103">
        <v>2150</v>
      </c>
      <c r="S338" s="104"/>
      <c r="T338" s="104" t="s">
        <v>2206</v>
      </c>
      <c r="U338" s="105" t="s">
        <v>511</v>
      </c>
      <c r="V338" s="100" t="s">
        <v>507</v>
      </c>
      <c r="W338" s="106" t="s">
        <v>2262</v>
      </c>
      <c r="X338" s="106" t="s">
        <v>320</v>
      </c>
      <c r="Y338" s="106" t="s">
        <v>311</v>
      </c>
      <c r="Z338" s="107">
        <v>43435</v>
      </c>
      <c r="AA338" s="108">
        <v>43448</v>
      </c>
      <c r="AB338" s="109" t="s">
        <v>2254</v>
      </c>
      <c r="AC338" s="109" t="s">
        <v>312</v>
      </c>
    </row>
    <row r="339" spans="1:29" ht="25.5" hidden="1" x14ac:dyDescent="0.15">
      <c r="A339" s="98">
        <v>338</v>
      </c>
      <c r="B339" s="99">
        <v>112917</v>
      </c>
      <c r="C339" s="98" t="s">
        <v>6332</v>
      </c>
      <c r="D339" s="100" t="s">
        <v>417</v>
      </c>
      <c r="E339" s="100" t="s">
        <v>301</v>
      </c>
      <c r="F339" s="100" t="s">
        <v>306</v>
      </c>
      <c r="G339" s="98" t="s">
        <v>13</v>
      </c>
      <c r="H339" s="98" t="str">
        <f>VLOOKUP(G339,CGS[],2,FALSE)</f>
        <v>EMC</v>
      </c>
      <c r="I339" s="65">
        <v>1375</v>
      </c>
      <c r="J339" s="101" t="str">
        <f>IF(ISBLANK(Pricelist[[#This Row],[EBS]]),"",VALUE(LEFT(Pricelist[[#This Row],[EBS]],LEN(Pricelist[[#This Row],[EBS]])-LEN(Pricelist[[#This Row],[E2]])-1)))</f>
        <v/>
      </c>
      <c r="K339" s="65">
        <v>2350</v>
      </c>
      <c r="L339" s="101" t="str">
        <f>IF(ISBLANK(Pricelist[[#This Row],[EBS]]),"",VALUE(RIGHT(Pricelist[[#This Row],[EBS]],3)))</f>
        <v/>
      </c>
      <c r="M339" s="65">
        <v>2350</v>
      </c>
      <c r="N339" s="101" t="str">
        <f>IF(ISBLANK(Pricelist[[#This Row],[EBS]]),"",VALUE(RIGHT(Pricelist[[#This Row],[EBS]],3)))</f>
        <v/>
      </c>
      <c r="O339" s="101" t="str">
        <f>IF(AND(Pricelist[[#This Row],[AE1]]&lt;&gt;"",OR(Pricelist[[#This Row],[区]]="南",Pricelist[[#This Row],[区]]="北")),MID(Pricelist[[#This Row],[AE1]],4,2),"")</f>
        <v>30</v>
      </c>
      <c r="P339" s="102">
        <v>1375</v>
      </c>
      <c r="Q339" s="103">
        <v>2350</v>
      </c>
      <c r="R339" s="103">
        <v>2350</v>
      </c>
      <c r="S339" s="104"/>
      <c r="T339" s="104" t="s">
        <v>2201</v>
      </c>
      <c r="U339" s="105" t="s">
        <v>523</v>
      </c>
      <c r="V339" s="100" t="s">
        <v>507</v>
      </c>
      <c r="W339" s="106" t="s">
        <v>132</v>
      </c>
      <c r="X339" s="106" t="s">
        <v>133</v>
      </c>
      <c r="Y339" s="106" t="s">
        <v>524</v>
      </c>
      <c r="Z339" s="107">
        <v>43344</v>
      </c>
      <c r="AA339" s="108">
        <v>43357</v>
      </c>
      <c r="AB339" s="109"/>
      <c r="AC339" s="109" t="s">
        <v>313</v>
      </c>
    </row>
    <row r="340" spans="1:29" hidden="1" x14ac:dyDescent="0.15">
      <c r="A340" s="98">
        <v>339</v>
      </c>
      <c r="B340" s="99">
        <v>112917</v>
      </c>
      <c r="C340" s="98" t="s">
        <v>6332</v>
      </c>
      <c r="D340" s="100" t="s">
        <v>417</v>
      </c>
      <c r="E340" s="100" t="s">
        <v>301</v>
      </c>
      <c r="F340" s="100" t="s">
        <v>306</v>
      </c>
      <c r="G340" s="98" t="s">
        <v>19</v>
      </c>
      <c r="H340" s="98" t="str">
        <f>VLOOKUP(G340,CGS[],2,FALSE)</f>
        <v>OOCL</v>
      </c>
      <c r="I340" s="65">
        <v>1350</v>
      </c>
      <c r="J340" s="101" t="str">
        <f>IF(ISBLANK(Pricelist[[#This Row],[EBS]]),"",VALUE(LEFT(Pricelist[[#This Row],[EBS]],LEN(Pricelist[[#This Row],[EBS]])-LEN(Pricelist[[#This Row],[E2]])-1)))</f>
        <v/>
      </c>
      <c r="K340" s="65">
        <v>2300</v>
      </c>
      <c r="L340" s="101" t="str">
        <f>IF(ISBLANK(Pricelist[[#This Row],[EBS]]),"",VALUE(RIGHT(Pricelist[[#This Row],[EBS]],3)))</f>
        <v/>
      </c>
      <c r="M340" s="65">
        <v>2350</v>
      </c>
      <c r="N340" s="101" t="str">
        <f>IF(ISBLANK(Pricelist[[#This Row],[EBS]]),"",VALUE(RIGHT(Pricelist[[#This Row],[EBS]],3)))</f>
        <v/>
      </c>
      <c r="O340" s="101" t="str">
        <f>IF(AND(Pricelist[[#This Row],[AE1]]&lt;&gt;"",OR(Pricelist[[#This Row],[区]]="南",Pricelist[[#This Row],[区]]="北")),MID(Pricelist[[#This Row],[AE1]],4,2),"")</f>
        <v>30</v>
      </c>
      <c r="P340" s="102">
        <v>1350</v>
      </c>
      <c r="Q340" s="103">
        <v>2300</v>
      </c>
      <c r="R340" s="103">
        <v>2350</v>
      </c>
      <c r="S340" s="104"/>
      <c r="T340" s="104" t="s">
        <v>2201</v>
      </c>
      <c r="U340" s="105" t="s">
        <v>510</v>
      </c>
      <c r="V340" s="100" t="s">
        <v>507</v>
      </c>
      <c r="W340" s="106" t="s">
        <v>132</v>
      </c>
      <c r="X340" s="106" t="s">
        <v>133</v>
      </c>
      <c r="Y340" s="106">
        <v>36</v>
      </c>
      <c r="Z340" s="107">
        <v>43435</v>
      </c>
      <c r="AA340" s="108">
        <v>43448</v>
      </c>
      <c r="AB340" s="109"/>
      <c r="AC340" s="109"/>
    </row>
    <row r="341" spans="1:29" ht="25.5" hidden="1" x14ac:dyDescent="0.15">
      <c r="A341" s="98">
        <v>340</v>
      </c>
      <c r="B341" s="99">
        <v>112917</v>
      </c>
      <c r="C341" s="98" t="s">
        <v>6332</v>
      </c>
      <c r="D341" s="100" t="s">
        <v>417</v>
      </c>
      <c r="E341" s="100" t="s">
        <v>301</v>
      </c>
      <c r="F341" s="100" t="s">
        <v>306</v>
      </c>
      <c r="G341" s="98" t="s">
        <v>20</v>
      </c>
      <c r="H341" s="98" t="str">
        <f>VLOOKUP(G341,CGS[],2,FALSE)</f>
        <v>HPL</v>
      </c>
      <c r="I341" s="65">
        <v>1150</v>
      </c>
      <c r="J341" s="101">
        <f>IF(ISBLANK(Pricelist[[#This Row],[EBS]]),"",VALUE(LEFT(Pricelist[[#This Row],[EBS]],LEN(Pricelist[[#This Row],[EBS]])-LEN(Pricelist[[#This Row],[E2]])-1)))</f>
        <v>55</v>
      </c>
      <c r="K341" s="65">
        <v>2200</v>
      </c>
      <c r="L341" s="101">
        <f>IF(ISBLANK(Pricelist[[#This Row],[EBS]]),"",VALUE(RIGHT(Pricelist[[#This Row],[EBS]],3)))</f>
        <v>110</v>
      </c>
      <c r="M341" s="65">
        <v>2200</v>
      </c>
      <c r="N341" s="101">
        <f>IF(ISBLANK(Pricelist[[#This Row],[EBS]]),"",VALUE(RIGHT(Pricelist[[#This Row],[EBS]],3)))</f>
        <v>110</v>
      </c>
      <c r="O341" s="101" t="str">
        <f>IF(AND(Pricelist[[#This Row],[AE1]]&lt;&gt;"",OR(Pricelist[[#This Row],[区]]="南",Pricelist[[#This Row],[区]]="北")),MID(Pricelist[[#This Row],[AE1]],4,2),"")</f>
        <v>35</v>
      </c>
      <c r="P341" s="102">
        <v>1150</v>
      </c>
      <c r="Q341" s="103">
        <v>2200</v>
      </c>
      <c r="R341" s="103">
        <v>2200</v>
      </c>
      <c r="S341" s="104" t="s">
        <v>2204</v>
      </c>
      <c r="T341" s="104" t="s">
        <v>2200</v>
      </c>
      <c r="U341" s="105" t="s">
        <v>512</v>
      </c>
      <c r="V341" s="100" t="s">
        <v>507</v>
      </c>
      <c r="W341" s="106" t="s">
        <v>103</v>
      </c>
      <c r="X341" s="106" t="s">
        <v>104</v>
      </c>
      <c r="Y341" s="106">
        <v>37</v>
      </c>
      <c r="Z341" s="107">
        <v>43296</v>
      </c>
      <c r="AA341" s="108">
        <v>43312</v>
      </c>
      <c r="AB341" s="109" t="s">
        <v>2255</v>
      </c>
      <c r="AC341" s="109" t="s">
        <v>3699</v>
      </c>
    </row>
    <row r="342" spans="1:29" hidden="1" x14ac:dyDescent="0.15">
      <c r="A342" s="98">
        <v>341</v>
      </c>
      <c r="B342" s="99">
        <v>112917</v>
      </c>
      <c r="C342" s="98" t="s">
        <v>6332</v>
      </c>
      <c r="D342" s="100" t="s">
        <v>417</v>
      </c>
      <c r="E342" s="100" t="s">
        <v>301</v>
      </c>
      <c r="F342" s="100" t="s">
        <v>306</v>
      </c>
      <c r="G342" s="98" t="s">
        <v>17</v>
      </c>
      <c r="H342" s="98" t="str">
        <f>VLOOKUP(G342,CGS[],2,FALSE)</f>
        <v>MSC</v>
      </c>
      <c r="I342" s="65">
        <v>1225</v>
      </c>
      <c r="J342" s="101">
        <f>IF(ISBLANK(Pricelist[[#This Row],[EBS]]),"",VALUE(LEFT(Pricelist[[#This Row],[EBS]],LEN(Pricelist[[#This Row],[EBS]])-LEN(Pricelist[[#This Row],[E2]])-1)))</f>
        <v>65</v>
      </c>
      <c r="K342" s="65">
        <v>2350</v>
      </c>
      <c r="L342" s="101">
        <f>IF(ISBLANK(Pricelist[[#This Row],[EBS]]),"",VALUE(RIGHT(Pricelist[[#This Row],[EBS]],3)))</f>
        <v>130</v>
      </c>
      <c r="M342" s="65">
        <v>2400</v>
      </c>
      <c r="N342" s="101">
        <f>IF(ISBLANK(Pricelist[[#This Row],[EBS]]),"",VALUE(RIGHT(Pricelist[[#This Row],[EBS]],3)))</f>
        <v>130</v>
      </c>
      <c r="O342" s="101" t="str">
        <f>IF(AND(Pricelist[[#This Row],[AE1]]&lt;&gt;"",OR(Pricelist[[#This Row],[区]]="南",Pricelist[[#This Row],[区]]="北")),MID(Pricelist[[#This Row],[AE1]],4,2),"")</f>
        <v/>
      </c>
      <c r="P342" s="102">
        <v>1225</v>
      </c>
      <c r="Q342" s="103">
        <v>2350</v>
      </c>
      <c r="R342" s="103">
        <v>2400</v>
      </c>
      <c r="S342" s="104" t="s">
        <v>3678</v>
      </c>
      <c r="T342" s="104"/>
      <c r="U342" s="105" t="s">
        <v>511</v>
      </c>
      <c r="V342" s="100" t="s">
        <v>507</v>
      </c>
      <c r="W342" s="106" t="s">
        <v>304</v>
      </c>
      <c r="X342" s="106" t="s">
        <v>305</v>
      </c>
      <c r="Y342" s="106">
        <v>35</v>
      </c>
      <c r="Z342" s="107">
        <v>43423</v>
      </c>
      <c r="AA342" s="108">
        <v>43429</v>
      </c>
      <c r="AB342" s="109"/>
      <c r="AC342" s="109"/>
    </row>
    <row r="343" spans="1:29" hidden="1" x14ac:dyDescent="0.15">
      <c r="A343" s="98">
        <v>342</v>
      </c>
      <c r="B343" s="99">
        <v>112917</v>
      </c>
      <c r="C343" s="98" t="s">
        <v>6332</v>
      </c>
      <c r="D343" s="100" t="s">
        <v>103</v>
      </c>
      <c r="E343" s="100" t="s">
        <v>301</v>
      </c>
      <c r="F343" s="100" t="s">
        <v>418</v>
      </c>
      <c r="G343" s="98" t="s">
        <v>21</v>
      </c>
      <c r="H343" s="98" t="str">
        <f>VLOOKUP(G343,CGS[],2,FALSE)</f>
        <v>MSK</v>
      </c>
      <c r="I343" s="65">
        <v>1160</v>
      </c>
      <c r="J343" s="101" t="str">
        <f>IF(ISBLANK(Pricelist[[#This Row],[EBS]]),"",VALUE(LEFT(Pricelist[[#This Row],[EBS]],LEN(Pricelist[[#This Row],[EBS]])-LEN(Pricelist[[#This Row],[E2]])-1)))</f>
        <v/>
      </c>
      <c r="K343" s="65">
        <v>2220</v>
      </c>
      <c r="L343" s="101" t="str">
        <f>IF(ISBLANK(Pricelist[[#This Row],[EBS]]),"",VALUE(RIGHT(Pricelist[[#This Row],[EBS]],3)))</f>
        <v/>
      </c>
      <c r="M343" s="65">
        <v>2245</v>
      </c>
      <c r="N343" s="101" t="str">
        <f>IF(ISBLANK(Pricelist[[#This Row],[EBS]]),"",VALUE(RIGHT(Pricelist[[#This Row],[EBS]],3)))</f>
        <v/>
      </c>
      <c r="O343" s="101" t="str">
        <f>IF(AND(Pricelist[[#This Row],[AE1]]&lt;&gt;"",OR(Pricelist[[#This Row],[区]]="南",Pricelist[[#This Row],[区]]="北")),MID(Pricelist[[#This Row],[AE1]],4,2),"")</f>
        <v/>
      </c>
      <c r="P343" s="102">
        <v>1160</v>
      </c>
      <c r="Q343" s="103">
        <v>2220</v>
      </c>
      <c r="R343" s="103">
        <v>2245</v>
      </c>
      <c r="S343" s="104"/>
      <c r="T343" s="104"/>
      <c r="U343" s="105" t="s">
        <v>506</v>
      </c>
      <c r="V343" s="100" t="s">
        <v>507</v>
      </c>
      <c r="W343" s="106" t="s">
        <v>10</v>
      </c>
      <c r="X343" s="106" t="s">
        <v>11</v>
      </c>
      <c r="Y343" s="106">
        <v>24</v>
      </c>
      <c r="Z343" s="107">
        <v>43435</v>
      </c>
      <c r="AA343" s="108">
        <v>43449</v>
      </c>
      <c r="AB343" s="109"/>
      <c r="AC343" s="109"/>
    </row>
    <row r="344" spans="1:29" hidden="1" x14ac:dyDescent="0.15">
      <c r="A344" s="98">
        <v>343</v>
      </c>
      <c r="B344" s="99">
        <v>112917</v>
      </c>
      <c r="C344" s="98" t="s">
        <v>6332</v>
      </c>
      <c r="D344" s="100" t="s">
        <v>103</v>
      </c>
      <c r="E344" s="100" t="s">
        <v>301</v>
      </c>
      <c r="F344" s="100" t="s">
        <v>418</v>
      </c>
      <c r="G344" s="98" t="s">
        <v>24</v>
      </c>
      <c r="H344" s="98" t="str">
        <f>VLOOKUP(G344,CGS[],2,FALSE)</f>
        <v>SAF</v>
      </c>
      <c r="I344" s="65">
        <v>1125</v>
      </c>
      <c r="J344" s="101">
        <f>IF(ISBLANK(Pricelist[[#This Row],[EBS]]),"",VALUE(LEFT(Pricelist[[#This Row],[EBS]],LEN(Pricelist[[#This Row],[EBS]])-LEN(Pricelist[[#This Row],[E2]])-1)))</f>
        <v>60</v>
      </c>
      <c r="K344" s="65">
        <v>2150</v>
      </c>
      <c r="L344" s="101">
        <f>IF(ISBLANK(Pricelist[[#This Row],[EBS]]),"",VALUE(RIGHT(Pricelist[[#This Row],[EBS]],3)))</f>
        <v>120</v>
      </c>
      <c r="M344" s="65">
        <v>2200</v>
      </c>
      <c r="N344" s="101">
        <f>IF(ISBLANK(Pricelist[[#This Row],[EBS]]),"",VALUE(RIGHT(Pricelist[[#This Row],[EBS]],3)))</f>
        <v>120</v>
      </c>
      <c r="O344" s="101" t="str">
        <f>IF(AND(Pricelist[[#This Row],[AE1]]&lt;&gt;"",OR(Pricelist[[#This Row],[区]]="南",Pricelist[[#This Row],[区]]="北")),MID(Pricelist[[#This Row],[AE1]],4,2),"")</f>
        <v/>
      </c>
      <c r="P344" s="102">
        <v>1125</v>
      </c>
      <c r="Q344" s="103">
        <v>2150</v>
      </c>
      <c r="R344" s="103">
        <v>2200</v>
      </c>
      <c r="S344" s="104" t="s">
        <v>2199</v>
      </c>
      <c r="T344" s="104"/>
      <c r="U344" s="105" t="s">
        <v>506</v>
      </c>
      <c r="V344" s="100" t="s">
        <v>507</v>
      </c>
      <c r="W344" s="106" t="s">
        <v>10</v>
      </c>
      <c r="X344" s="106" t="s">
        <v>11</v>
      </c>
      <c r="Y344" s="106">
        <v>23</v>
      </c>
      <c r="Z344" s="107">
        <v>43405</v>
      </c>
      <c r="AA344" s="108">
        <v>43419</v>
      </c>
      <c r="AB344" s="109" t="s">
        <v>308</v>
      </c>
      <c r="AC344" s="109"/>
    </row>
    <row r="345" spans="1:29" hidden="1" x14ac:dyDescent="0.15">
      <c r="A345" s="98">
        <v>344</v>
      </c>
      <c r="B345" s="99">
        <v>112917</v>
      </c>
      <c r="C345" s="98" t="s">
        <v>6332</v>
      </c>
      <c r="D345" s="100" t="s">
        <v>103</v>
      </c>
      <c r="E345" s="100" t="s">
        <v>301</v>
      </c>
      <c r="F345" s="100" t="s">
        <v>418</v>
      </c>
      <c r="G345" s="98" t="s">
        <v>19</v>
      </c>
      <c r="H345" s="98" t="str">
        <f>VLOOKUP(G345,CGS[],2,FALSE)</f>
        <v>OOCL</v>
      </c>
      <c r="I345" s="65">
        <v>1350</v>
      </c>
      <c r="J345" s="101" t="str">
        <f>IF(ISBLANK(Pricelist[[#This Row],[EBS]]),"",VALUE(LEFT(Pricelist[[#This Row],[EBS]],LEN(Pricelist[[#This Row],[EBS]])-LEN(Pricelist[[#This Row],[E2]])-1)))</f>
        <v/>
      </c>
      <c r="K345" s="65">
        <v>2300</v>
      </c>
      <c r="L345" s="101" t="str">
        <f>IF(ISBLANK(Pricelist[[#This Row],[EBS]]),"",VALUE(RIGHT(Pricelist[[#This Row],[EBS]],3)))</f>
        <v/>
      </c>
      <c r="M345" s="65">
        <v>2350</v>
      </c>
      <c r="N345" s="101" t="str">
        <f>IF(ISBLANK(Pricelist[[#This Row],[EBS]]),"",VALUE(RIGHT(Pricelist[[#This Row],[EBS]],3)))</f>
        <v/>
      </c>
      <c r="O345" s="101" t="str">
        <f>IF(AND(Pricelist[[#This Row],[AE1]]&lt;&gt;"",OR(Pricelist[[#This Row],[区]]="南",Pricelist[[#This Row],[区]]="北")),MID(Pricelist[[#This Row],[AE1]],4,2),"")</f>
        <v>30</v>
      </c>
      <c r="P345" s="102">
        <v>1350</v>
      </c>
      <c r="Q345" s="103">
        <v>2300</v>
      </c>
      <c r="R345" s="103">
        <v>2350</v>
      </c>
      <c r="S345" s="104"/>
      <c r="T345" s="104" t="s">
        <v>2201</v>
      </c>
      <c r="U345" s="105" t="s">
        <v>510</v>
      </c>
      <c r="V345" s="100" t="s">
        <v>507</v>
      </c>
      <c r="W345" s="106" t="s">
        <v>132</v>
      </c>
      <c r="X345" s="106" t="s">
        <v>133</v>
      </c>
      <c r="Y345" s="106">
        <v>38</v>
      </c>
      <c r="Z345" s="107">
        <v>43435</v>
      </c>
      <c r="AA345" s="108">
        <v>43448</v>
      </c>
      <c r="AB345" s="109"/>
      <c r="AC345" s="109"/>
    </row>
    <row r="346" spans="1:29" ht="25.5" hidden="1" x14ac:dyDescent="0.15">
      <c r="A346" s="98">
        <v>345</v>
      </c>
      <c r="B346" s="99">
        <v>112917</v>
      </c>
      <c r="C346" s="98" t="s">
        <v>6332</v>
      </c>
      <c r="D346" s="100" t="s">
        <v>103</v>
      </c>
      <c r="E346" s="100" t="s">
        <v>301</v>
      </c>
      <c r="F346" s="100" t="s">
        <v>418</v>
      </c>
      <c r="G346" s="98" t="s">
        <v>20</v>
      </c>
      <c r="H346" s="98" t="str">
        <f>VLOOKUP(G346,CGS[],2,FALSE)</f>
        <v>HPL</v>
      </c>
      <c r="I346" s="65">
        <v>1150</v>
      </c>
      <c r="J346" s="101">
        <f>IF(ISBLANK(Pricelist[[#This Row],[EBS]]),"",VALUE(LEFT(Pricelist[[#This Row],[EBS]],LEN(Pricelist[[#This Row],[EBS]])-LEN(Pricelist[[#This Row],[E2]])-1)))</f>
        <v>55</v>
      </c>
      <c r="K346" s="65">
        <v>2200</v>
      </c>
      <c r="L346" s="101">
        <f>IF(ISBLANK(Pricelist[[#This Row],[EBS]]),"",VALUE(RIGHT(Pricelist[[#This Row],[EBS]],3)))</f>
        <v>110</v>
      </c>
      <c r="M346" s="65">
        <v>2200</v>
      </c>
      <c r="N346" s="101">
        <f>IF(ISBLANK(Pricelist[[#This Row],[EBS]]),"",VALUE(RIGHT(Pricelist[[#This Row],[EBS]],3)))</f>
        <v>110</v>
      </c>
      <c r="O346" s="101" t="str">
        <f>IF(AND(Pricelist[[#This Row],[AE1]]&lt;&gt;"",OR(Pricelist[[#This Row],[区]]="南",Pricelist[[#This Row],[区]]="北")),MID(Pricelist[[#This Row],[AE1]],4,2),"")</f>
        <v>35</v>
      </c>
      <c r="P346" s="102">
        <v>1150</v>
      </c>
      <c r="Q346" s="103">
        <v>2200</v>
      </c>
      <c r="R346" s="103">
        <v>2200</v>
      </c>
      <c r="S346" s="104" t="s">
        <v>2204</v>
      </c>
      <c r="T346" s="104" t="s">
        <v>2200</v>
      </c>
      <c r="U346" s="105" t="s">
        <v>512</v>
      </c>
      <c r="V346" s="100" t="s">
        <v>507</v>
      </c>
      <c r="W346" s="106" t="s">
        <v>10</v>
      </c>
      <c r="X346" s="106" t="s">
        <v>11</v>
      </c>
      <c r="Y346" s="106">
        <v>31</v>
      </c>
      <c r="Z346" s="107">
        <v>43296</v>
      </c>
      <c r="AA346" s="108">
        <v>43312</v>
      </c>
      <c r="AB346" s="109" t="s">
        <v>2256</v>
      </c>
      <c r="AC346" s="109" t="s">
        <v>3699</v>
      </c>
    </row>
    <row r="347" spans="1:29" hidden="1" x14ac:dyDescent="0.15">
      <c r="A347" s="98">
        <v>346</v>
      </c>
      <c r="B347" s="99">
        <v>112917</v>
      </c>
      <c r="C347" s="98" t="s">
        <v>6332</v>
      </c>
      <c r="D347" s="100" t="s">
        <v>103</v>
      </c>
      <c r="E347" s="100" t="s">
        <v>301</v>
      </c>
      <c r="F347" s="100" t="s">
        <v>418</v>
      </c>
      <c r="G347" s="98" t="s">
        <v>8</v>
      </c>
      <c r="H347" s="98" t="str">
        <f>VLOOKUP(G347,CGS[],2,FALSE)</f>
        <v>CMA</v>
      </c>
      <c r="I347" s="65">
        <v>1350</v>
      </c>
      <c r="J347" s="101">
        <f>IF(ISBLANK(Pricelist[[#This Row],[EBS]]),"",VALUE(LEFT(Pricelist[[#This Row],[EBS]],LEN(Pricelist[[#This Row],[EBS]])-LEN(Pricelist[[#This Row],[E2]])-1)))</f>
        <v>100</v>
      </c>
      <c r="K347" s="65">
        <v>2500</v>
      </c>
      <c r="L347" s="101">
        <f>IF(ISBLANK(Pricelist[[#This Row],[EBS]]),"",VALUE(RIGHT(Pricelist[[#This Row],[EBS]],3)))</f>
        <v>200</v>
      </c>
      <c r="M347" s="65">
        <v>2575</v>
      </c>
      <c r="N347" s="101">
        <f>IF(ISBLANK(Pricelist[[#This Row],[EBS]]),"",VALUE(RIGHT(Pricelist[[#This Row],[EBS]],3)))</f>
        <v>200</v>
      </c>
      <c r="O347" s="101" t="str">
        <f>IF(AND(Pricelist[[#This Row],[AE1]]&lt;&gt;"",OR(Pricelist[[#This Row],[区]]="南",Pricelist[[#This Row],[区]]="北")),MID(Pricelist[[#This Row],[AE1]],4,2),"")</f>
        <v/>
      </c>
      <c r="P347" s="102">
        <v>1400</v>
      </c>
      <c r="Q347" s="103">
        <v>2600</v>
      </c>
      <c r="R347" s="103">
        <v>2675</v>
      </c>
      <c r="S347" s="104" t="s">
        <v>6328</v>
      </c>
      <c r="T347" s="104"/>
      <c r="U347" s="105" t="s">
        <v>511</v>
      </c>
      <c r="V347" s="100" t="s">
        <v>507</v>
      </c>
      <c r="W347" s="106" t="s">
        <v>234</v>
      </c>
      <c r="X347" s="106" t="s">
        <v>131</v>
      </c>
      <c r="Y347" s="106">
        <v>30</v>
      </c>
      <c r="Z347" s="107">
        <v>43435</v>
      </c>
      <c r="AA347" s="108">
        <v>43449</v>
      </c>
      <c r="AB347" s="109" t="s">
        <v>242</v>
      </c>
      <c r="AC347" s="109"/>
    </row>
    <row r="348" spans="1:29" ht="51" hidden="1" x14ac:dyDescent="0.15">
      <c r="A348" s="98">
        <v>348</v>
      </c>
      <c r="B348" s="99">
        <v>112917</v>
      </c>
      <c r="C348" s="98" t="s">
        <v>6332</v>
      </c>
      <c r="D348" s="100" t="s">
        <v>419</v>
      </c>
      <c r="E348" s="100" t="s">
        <v>314</v>
      </c>
      <c r="F348" s="100" t="s">
        <v>315</v>
      </c>
      <c r="G348" s="98" t="s">
        <v>9</v>
      </c>
      <c r="H348" s="98" t="str">
        <f>VLOOKUP(G348,CGS[],2,FALSE)</f>
        <v>COSCO</v>
      </c>
      <c r="I348" s="65">
        <v>1175</v>
      </c>
      <c r="J348" s="101" t="str">
        <f>IF(ISBLANK(Pricelist[[#This Row],[EBS]]),"",VALUE(LEFT(Pricelist[[#This Row],[EBS]],LEN(Pricelist[[#This Row],[EBS]])-LEN(Pricelist[[#This Row],[E2]])-1)))</f>
        <v/>
      </c>
      <c r="K348" s="65">
        <v>2200</v>
      </c>
      <c r="L348" s="101" t="str">
        <f>IF(ISBLANK(Pricelist[[#This Row],[EBS]]),"",VALUE(RIGHT(Pricelist[[#This Row],[EBS]],3)))</f>
        <v/>
      </c>
      <c r="M348" s="65">
        <v>2250</v>
      </c>
      <c r="N348" s="101" t="str">
        <f>IF(ISBLANK(Pricelist[[#This Row],[EBS]]),"",VALUE(RIGHT(Pricelist[[#This Row],[EBS]],3)))</f>
        <v/>
      </c>
      <c r="O348" s="101" t="str">
        <f>IF(AND(Pricelist[[#This Row],[AE1]]&lt;&gt;"",OR(Pricelist[[#This Row],[区]]="南",Pricelist[[#This Row],[区]]="北")),MID(Pricelist[[#This Row],[AE1]],4,2),"")</f>
        <v>25</v>
      </c>
      <c r="P348" s="102">
        <v>1200</v>
      </c>
      <c r="Q348" s="103">
        <v>2250</v>
      </c>
      <c r="R348" s="103">
        <v>2300</v>
      </c>
      <c r="S348" s="104"/>
      <c r="T348" s="104" t="s">
        <v>2206</v>
      </c>
      <c r="U348" s="105" t="s">
        <v>511</v>
      </c>
      <c r="V348" s="100" t="s">
        <v>507</v>
      </c>
      <c r="W348" s="106" t="s">
        <v>2262</v>
      </c>
      <c r="X348" s="106" t="s">
        <v>320</v>
      </c>
      <c r="Y348" s="106" t="s">
        <v>318</v>
      </c>
      <c r="Z348" s="107">
        <v>43435</v>
      </c>
      <c r="AA348" s="108">
        <v>43448</v>
      </c>
      <c r="AB348" s="109" t="s">
        <v>2258</v>
      </c>
      <c r="AC348" s="109" t="s">
        <v>312</v>
      </c>
    </row>
    <row r="349" spans="1:29" hidden="1" x14ac:dyDescent="0.15">
      <c r="A349" s="98">
        <v>352</v>
      </c>
      <c r="B349" s="99">
        <v>112917</v>
      </c>
      <c r="C349" s="98" t="s">
        <v>6332</v>
      </c>
      <c r="D349" s="100" t="s">
        <v>419</v>
      </c>
      <c r="E349" s="100" t="s">
        <v>314</v>
      </c>
      <c r="F349" s="100" t="s">
        <v>315</v>
      </c>
      <c r="G349" s="98" t="s">
        <v>17</v>
      </c>
      <c r="H349" s="98" t="str">
        <f>VLOOKUP(G349,CGS[],2,FALSE)</f>
        <v>MSC</v>
      </c>
      <c r="I349" s="65">
        <v>1300</v>
      </c>
      <c r="J349" s="101">
        <f>IF(ISBLANK(Pricelist[[#This Row],[EBS]]),"",VALUE(LEFT(Pricelist[[#This Row],[EBS]],LEN(Pricelist[[#This Row],[EBS]])-LEN(Pricelist[[#This Row],[E2]])-1)))</f>
        <v>65</v>
      </c>
      <c r="K349" s="65">
        <v>2550</v>
      </c>
      <c r="L349" s="101">
        <f>IF(ISBLANK(Pricelist[[#This Row],[EBS]]),"",VALUE(RIGHT(Pricelist[[#This Row],[EBS]],3)))</f>
        <v>130</v>
      </c>
      <c r="M349" s="65">
        <v>2600</v>
      </c>
      <c r="N349" s="101">
        <f>IF(ISBLANK(Pricelist[[#This Row],[EBS]]),"",VALUE(RIGHT(Pricelist[[#This Row],[EBS]],3)))</f>
        <v>130</v>
      </c>
      <c r="O349" s="101" t="str">
        <f>IF(AND(Pricelist[[#This Row],[AE1]]&lt;&gt;"",OR(Pricelist[[#This Row],[区]]="南",Pricelist[[#This Row],[区]]="北")),MID(Pricelist[[#This Row],[AE1]],4,2),"")</f>
        <v/>
      </c>
      <c r="P349" s="102">
        <v>1300</v>
      </c>
      <c r="Q349" s="103">
        <v>2550</v>
      </c>
      <c r="R349" s="103">
        <v>2600</v>
      </c>
      <c r="S349" s="104" t="s">
        <v>3678</v>
      </c>
      <c r="T349" s="104"/>
      <c r="U349" s="105" t="s">
        <v>511</v>
      </c>
      <c r="V349" s="100" t="s">
        <v>507</v>
      </c>
      <c r="W349" s="106" t="s">
        <v>304</v>
      </c>
      <c r="X349" s="106" t="s">
        <v>305</v>
      </c>
      <c r="Y349" s="106">
        <v>29</v>
      </c>
      <c r="Z349" s="107">
        <v>43423</v>
      </c>
      <c r="AA349" s="108">
        <v>43429</v>
      </c>
      <c r="AB349" s="109"/>
      <c r="AC349" s="109"/>
    </row>
    <row r="350" spans="1:29" hidden="1" x14ac:dyDescent="0.15">
      <c r="A350" s="98">
        <v>347</v>
      </c>
      <c r="B350" s="99">
        <v>112917</v>
      </c>
      <c r="C350" s="98" t="s">
        <v>6332</v>
      </c>
      <c r="D350" s="100" t="s">
        <v>419</v>
      </c>
      <c r="E350" s="100" t="s">
        <v>314</v>
      </c>
      <c r="F350" s="100" t="s">
        <v>315</v>
      </c>
      <c r="G350" s="98" t="s">
        <v>21</v>
      </c>
      <c r="H350" s="98" t="str">
        <f>VLOOKUP(G350,CGS[],2,FALSE)</f>
        <v>MSK</v>
      </c>
      <c r="I350" s="65">
        <v>1385</v>
      </c>
      <c r="J350" s="101" t="str">
        <f>IF(ISBLANK(Pricelist[[#This Row],[EBS]]),"",VALUE(LEFT(Pricelist[[#This Row],[EBS]],LEN(Pricelist[[#This Row],[EBS]])-LEN(Pricelist[[#This Row],[E2]])-1)))</f>
        <v/>
      </c>
      <c r="K350" s="65">
        <v>2670</v>
      </c>
      <c r="L350" s="101" t="str">
        <f>IF(ISBLANK(Pricelist[[#This Row],[EBS]]),"",VALUE(RIGHT(Pricelist[[#This Row],[EBS]],3)))</f>
        <v/>
      </c>
      <c r="M350" s="65">
        <v>2720</v>
      </c>
      <c r="N350" s="101" t="str">
        <f>IF(ISBLANK(Pricelist[[#This Row],[EBS]]),"",VALUE(RIGHT(Pricelist[[#This Row],[EBS]],3)))</f>
        <v/>
      </c>
      <c r="O350" s="101" t="str">
        <f>IF(AND(Pricelist[[#This Row],[AE1]]&lt;&gt;"",OR(Pricelist[[#This Row],[区]]="南",Pricelist[[#This Row],[区]]="北")),MID(Pricelist[[#This Row],[AE1]],4,2),"")</f>
        <v/>
      </c>
      <c r="P350" s="102">
        <v>1385</v>
      </c>
      <c r="Q350" s="103">
        <v>2670</v>
      </c>
      <c r="R350" s="103">
        <v>2720</v>
      </c>
      <c r="S350" s="104"/>
      <c r="T350" s="104"/>
      <c r="U350" s="105" t="s">
        <v>2257</v>
      </c>
      <c r="V350" s="100" t="s">
        <v>507</v>
      </c>
      <c r="W350" s="106" t="s">
        <v>316</v>
      </c>
      <c r="X350" s="106" t="s">
        <v>317</v>
      </c>
      <c r="Y350" s="106">
        <v>37</v>
      </c>
      <c r="Z350" s="107">
        <v>43435</v>
      </c>
      <c r="AA350" s="108">
        <v>43449</v>
      </c>
      <c r="AB350" s="109"/>
      <c r="AC350" s="109"/>
    </row>
    <row r="351" spans="1:29" ht="25.5" hidden="1" x14ac:dyDescent="0.15">
      <c r="A351" s="98">
        <v>351</v>
      </c>
      <c r="B351" s="99">
        <v>112917</v>
      </c>
      <c r="C351" s="98" t="s">
        <v>6332</v>
      </c>
      <c r="D351" s="100" t="s">
        <v>419</v>
      </c>
      <c r="E351" s="100" t="s">
        <v>314</v>
      </c>
      <c r="F351" s="100" t="s">
        <v>315</v>
      </c>
      <c r="G351" s="98" t="s">
        <v>20</v>
      </c>
      <c r="H351" s="98" t="str">
        <f>VLOOKUP(G351,CGS[],2,FALSE)</f>
        <v>HPL</v>
      </c>
      <c r="I351" s="65">
        <v>1500</v>
      </c>
      <c r="J351" s="101">
        <f>IF(ISBLANK(Pricelist[[#This Row],[EBS]]),"",VALUE(LEFT(Pricelist[[#This Row],[EBS]],LEN(Pricelist[[#This Row],[EBS]])-LEN(Pricelist[[#This Row],[E2]])-1)))</f>
        <v>55</v>
      </c>
      <c r="K351" s="65">
        <v>2900</v>
      </c>
      <c r="L351" s="101">
        <f>IF(ISBLANK(Pricelist[[#This Row],[EBS]]),"",VALUE(RIGHT(Pricelist[[#This Row],[EBS]],3)))</f>
        <v>110</v>
      </c>
      <c r="M351" s="65">
        <v>2900</v>
      </c>
      <c r="N351" s="101">
        <f>IF(ISBLANK(Pricelist[[#This Row],[EBS]]),"",VALUE(RIGHT(Pricelist[[#This Row],[EBS]],3)))</f>
        <v>110</v>
      </c>
      <c r="O351" s="101" t="str">
        <f>IF(AND(Pricelist[[#This Row],[AE1]]&lt;&gt;"",OR(Pricelist[[#This Row],[区]]="南",Pricelist[[#This Row],[区]]="北")),MID(Pricelist[[#This Row],[AE1]],4,2),"")</f>
        <v>35</v>
      </c>
      <c r="P351" s="102">
        <v>1500</v>
      </c>
      <c r="Q351" s="103">
        <v>2900</v>
      </c>
      <c r="R351" s="103">
        <v>2900</v>
      </c>
      <c r="S351" s="104" t="s">
        <v>2204</v>
      </c>
      <c r="T351" s="104" t="s">
        <v>2200</v>
      </c>
      <c r="U351" s="105" t="s">
        <v>512</v>
      </c>
      <c r="V351" s="100" t="s">
        <v>507</v>
      </c>
      <c r="W351" s="106" t="s">
        <v>103</v>
      </c>
      <c r="X351" s="106" t="s">
        <v>104</v>
      </c>
      <c r="Y351" s="106">
        <v>35</v>
      </c>
      <c r="Z351" s="107">
        <v>43296</v>
      </c>
      <c r="AA351" s="108">
        <v>43312</v>
      </c>
      <c r="AB351" s="109" t="s">
        <v>2260</v>
      </c>
      <c r="AC351" s="109" t="s">
        <v>3699</v>
      </c>
    </row>
    <row r="352" spans="1:29" ht="25.5" hidden="1" x14ac:dyDescent="0.15">
      <c r="A352" s="98">
        <v>350</v>
      </c>
      <c r="B352" s="99">
        <v>112917</v>
      </c>
      <c r="C352" s="98" t="s">
        <v>6332</v>
      </c>
      <c r="D352" s="100" t="s">
        <v>419</v>
      </c>
      <c r="E352" s="100" t="s">
        <v>314</v>
      </c>
      <c r="F352" s="100" t="s">
        <v>315</v>
      </c>
      <c r="G352" s="98" t="s">
        <v>13</v>
      </c>
      <c r="H352" s="98" t="str">
        <f>VLOOKUP(G352,CGS[],2,FALSE)</f>
        <v>EMC</v>
      </c>
      <c r="I352" s="65">
        <v>1785</v>
      </c>
      <c r="J352" s="101" t="str">
        <f>IF(ISBLANK(Pricelist[[#This Row],[EBS]]),"",VALUE(LEFT(Pricelist[[#This Row],[EBS]],LEN(Pricelist[[#This Row],[EBS]])-LEN(Pricelist[[#This Row],[E2]])-1)))</f>
        <v/>
      </c>
      <c r="K352" s="65">
        <v>3170</v>
      </c>
      <c r="L352" s="101" t="str">
        <f>IF(ISBLANK(Pricelist[[#This Row],[EBS]]),"",VALUE(RIGHT(Pricelist[[#This Row],[EBS]],3)))</f>
        <v/>
      </c>
      <c r="M352" s="65">
        <v>3170</v>
      </c>
      <c r="N352" s="101" t="str">
        <f>IF(ISBLANK(Pricelist[[#This Row],[EBS]]),"",VALUE(RIGHT(Pricelist[[#This Row],[EBS]],3)))</f>
        <v/>
      </c>
      <c r="O352" s="101" t="str">
        <f>IF(AND(Pricelist[[#This Row],[AE1]]&lt;&gt;"",OR(Pricelist[[#This Row],[区]]="南",Pricelist[[#This Row],[区]]="北")),MID(Pricelist[[#This Row],[AE1]],4,2),"")</f>
        <v>30</v>
      </c>
      <c r="P352" s="102">
        <v>1785</v>
      </c>
      <c r="Q352" s="103">
        <v>3170</v>
      </c>
      <c r="R352" s="103">
        <v>3170</v>
      </c>
      <c r="S352" s="104"/>
      <c r="T352" s="104" t="s">
        <v>2201</v>
      </c>
      <c r="U352" s="105" t="s">
        <v>525</v>
      </c>
      <c r="V352" s="100" t="s">
        <v>507</v>
      </c>
      <c r="W352" s="106" t="s">
        <v>319</v>
      </c>
      <c r="X352" s="106" t="s">
        <v>320</v>
      </c>
      <c r="Y352" s="106" t="s">
        <v>526</v>
      </c>
      <c r="Z352" s="107">
        <v>43344</v>
      </c>
      <c r="AA352" s="108">
        <v>43357</v>
      </c>
      <c r="AB352" s="109" t="s">
        <v>2259</v>
      </c>
      <c r="AC352" s="109" t="s">
        <v>313</v>
      </c>
    </row>
    <row r="353" spans="1:29" ht="25.5" hidden="1" x14ac:dyDescent="0.15">
      <c r="A353" s="98">
        <v>349</v>
      </c>
      <c r="B353" s="99">
        <v>112917</v>
      </c>
      <c r="C353" s="98" t="s">
        <v>6332</v>
      </c>
      <c r="D353" s="100" t="s">
        <v>419</v>
      </c>
      <c r="E353" s="100" t="s">
        <v>314</v>
      </c>
      <c r="F353" s="100" t="s">
        <v>315</v>
      </c>
      <c r="G353" s="98" t="s">
        <v>8</v>
      </c>
      <c r="H353" s="98" t="str">
        <f>VLOOKUP(G353,CGS[],2,FALSE)</f>
        <v>CMA</v>
      </c>
      <c r="I353" s="65">
        <v>1675</v>
      </c>
      <c r="J353" s="101">
        <f>IF(ISBLANK(Pricelist[[#This Row],[EBS]]),"",VALUE(LEFT(Pricelist[[#This Row],[EBS]],LEN(Pricelist[[#This Row],[EBS]])-LEN(Pricelist[[#This Row],[E2]])-1)))</f>
        <v>100</v>
      </c>
      <c r="K353" s="65">
        <v>3150</v>
      </c>
      <c r="L353" s="101">
        <f>IF(ISBLANK(Pricelist[[#This Row],[EBS]]),"",VALUE(RIGHT(Pricelist[[#This Row],[EBS]],3)))</f>
        <v>200</v>
      </c>
      <c r="M353" s="65">
        <v>3225</v>
      </c>
      <c r="N353" s="101">
        <f>IF(ISBLANK(Pricelist[[#This Row],[EBS]]),"",VALUE(RIGHT(Pricelist[[#This Row],[EBS]],3)))</f>
        <v>200</v>
      </c>
      <c r="O353" s="101" t="str">
        <f>IF(AND(Pricelist[[#This Row],[AE1]]&lt;&gt;"",OR(Pricelist[[#This Row],[区]]="南",Pricelist[[#This Row],[区]]="北")),MID(Pricelist[[#This Row],[AE1]],4,2),"")</f>
        <v/>
      </c>
      <c r="P353" s="102">
        <v>1750</v>
      </c>
      <c r="Q353" s="103">
        <v>3300</v>
      </c>
      <c r="R353" s="103">
        <v>3375</v>
      </c>
      <c r="S353" s="104" t="s">
        <v>6328</v>
      </c>
      <c r="T353" s="104"/>
      <c r="U353" s="105" t="s">
        <v>505</v>
      </c>
      <c r="V353" s="100" t="s">
        <v>507</v>
      </c>
      <c r="W353" s="106" t="s">
        <v>316</v>
      </c>
      <c r="X353" s="106" t="s">
        <v>317</v>
      </c>
      <c r="Y353" s="106">
        <v>36</v>
      </c>
      <c r="Z353" s="107">
        <v>43435</v>
      </c>
      <c r="AA353" s="108">
        <v>43449</v>
      </c>
      <c r="AB353" s="109" t="s">
        <v>3700</v>
      </c>
      <c r="AC353" s="109"/>
    </row>
    <row r="354" spans="1:29" hidden="1" x14ac:dyDescent="0.15">
      <c r="A354" s="98">
        <v>353</v>
      </c>
      <c r="B354" s="99">
        <v>112917</v>
      </c>
      <c r="C354" s="98" t="s">
        <v>6332</v>
      </c>
      <c r="D354" s="100" t="s">
        <v>420</v>
      </c>
      <c r="E354" s="100" t="s">
        <v>314</v>
      </c>
      <c r="F354" s="100" t="s">
        <v>321</v>
      </c>
      <c r="G354" s="98" t="s">
        <v>17</v>
      </c>
      <c r="H354" s="98" t="str">
        <f>VLOOKUP(G354,CGS[],2,FALSE)</f>
        <v>MSC</v>
      </c>
      <c r="I354" s="65">
        <v>1300</v>
      </c>
      <c r="J354" s="101">
        <f>IF(ISBLANK(Pricelist[[#This Row],[EBS]]),"",VALUE(LEFT(Pricelist[[#This Row],[EBS]],LEN(Pricelist[[#This Row],[EBS]])-LEN(Pricelist[[#This Row],[E2]])-1)))</f>
        <v>65</v>
      </c>
      <c r="K354" s="65">
        <v>2550</v>
      </c>
      <c r="L354" s="101">
        <f>IF(ISBLANK(Pricelist[[#This Row],[EBS]]),"",VALUE(RIGHT(Pricelist[[#This Row],[EBS]],3)))</f>
        <v>130</v>
      </c>
      <c r="M354" s="65">
        <v>2600</v>
      </c>
      <c r="N354" s="101">
        <f>IF(ISBLANK(Pricelist[[#This Row],[EBS]]),"",VALUE(RIGHT(Pricelist[[#This Row],[EBS]],3)))</f>
        <v>130</v>
      </c>
      <c r="O354" s="101" t="str">
        <f>IF(AND(Pricelist[[#This Row],[AE1]]&lt;&gt;"",OR(Pricelist[[#This Row],[区]]="南",Pricelist[[#This Row],[区]]="北")),MID(Pricelist[[#This Row],[AE1]],4,2),"")</f>
        <v/>
      </c>
      <c r="P354" s="102">
        <v>1300</v>
      </c>
      <c r="Q354" s="103">
        <v>2550</v>
      </c>
      <c r="R354" s="103">
        <v>2600</v>
      </c>
      <c r="S354" s="104" t="s">
        <v>3678</v>
      </c>
      <c r="T354" s="104"/>
      <c r="U354" s="105" t="s">
        <v>511</v>
      </c>
      <c r="V354" s="100" t="s">
        <v>507</v>
      </c>
      <c r="W354" s="106" t="s">
        <v>304</v>
      </c>
      <c r="X354" s="106" t="s">
        <v>305</v>
      </c>
      <c r="Y354" s="106">
        <v>48</v>
      </c>
      <c r="Z354" s="107">
        <v>43423</v>
      </c>
      <c r="AA354" s="108">
        <v>43429</v>
      </c>
      <c r="AB354" s="109"/>
      <c r="AC354" s="109"/>
    </row>
    <row r="355" spans="1:29" hidden="1" x14ac:dyDescent="0.15">
      <c r="A355" s="98">
        <v>354</v>
      </c>
      <c r="B355" s="99">
        <v>112917</v>
      </c>
      <c r="C355" s="98" t="s">
        <v>6332</v>
      </c>
      <c r="D355" s="100" t="s">
        <v>420</v>
      </c>
      <c r="E355" s="100" t="s">
        <v>314</v>
      </c>
      <c r="F355" s="100" t="s">
        <v>321</v>
      </c>
      <c r="G355" s="98" t="s">
        <v>21</v>
      </c>
      <c r="H355" s="98" t="str">
        <f>VLOOKUP(G355,CGS[],2,FALSE)</f>
        <v>MSK</v>
      </c>
      <c r="I355" s="65">
        <v>1360</v>
      </c>
      <c r="J355" s="101" t="str">
        <f>IF(ISBLANK(Pricelist[[#This Row],[EBS]]),"",VALUE(LEFT(Pricelist[[#This Row],[EBS]],LEN(Pricelist[[#This Row],[EBS]])-LEN(Pricelist[[#This Row],[E2]])-1)))</f>
        <v/>
      </c>
      <c r="K355" s="65">
        <v>2620</v>
      </c>
      <c r="L355" s="101" t="str">
        <f>IF(ISBLANK(Pricelist[[#This Row],[EBS]]),"",VALUE(RIGHT(Pricelist[[#This Row],[EBS]],3)))</f>
        <v/>
      </c>
      <c r="M355" s="65">
        <v>2670</v>
      </c>
      <c r="N355" s="101" t="str">
        <f>IF(ISBLANK(Pricelist[[#This Row],[EBS]]),"",VALUE(RIGHT(Pricelist[[#This Row],[EBS]],3)))</f>
        <v/>
      </c>
      <c r="O355" s="101" t="str">
        <f>IF(AND(Pricelist[[#This Row],[AE1]]&lt;&gt;"",OR(Pricelist[[#This Row],[区]]="南",Pricelist[[#This Row],[区]]="北")),MID(Pricelist[[#This Row],[AE1]],4,2),"")</f>
        <v/>
      </c>
      <c r="P355" s="102">
        <v>1360</v>
      </c>
      <c r="Q355" s="103">
        <v>2620</v>
      </c>
      <c r="R355" s="103">
        <v>2670</v>
      </c>
      <c r="S355" s="104"/>
      <c r="T355" s="104"/>
      <c r="U355" s="105" t="s">
        <v>2257</v>
      </c>
      <c r="V355" s="100" t="s">
        <v>507</v>
      </c>
      <c r="W355" s="106" t="s">
        <v>304</v>
      </c>
      <c r="X355" s="106" t="s">
        <v>317</v>
      </c>
      <c r="Y355" s="106">
        <v>31</v>
      </c>
      <c r="Z355" s="107">
        <v>43435</v>
      </c>
      <c r="AA355" s="108">
        <v>43449</v>
      </c>
      <c r="AB355" s="109"/>
      <c r="AC355" s="109"/>
    </row>
    <row r="356" spans="1:29" ht="38.25" hidden="1" x14ac:dyDescent="0.15">
      <c r="A356" s="98">
        <v>355</v>
      </c>
      <c r="B356" s="99">
        <v>112917</v>
      </c>
      <c r="C356" s="98" t="s">
        <v>6332</v>
      </c>
      <c r="D356" s="100" t="s">
        <v>420</v>
      </c>
      <c r="E356" s="100" t="s">
        <v>314</v>
      </c>
      <c r="F356" s="100" t="s">
        <v>321</v>
      </c>
      <c r="G356" s="98" t="s">
        <v>9</v>
      </c>
      <c r="H356" s="98" t="str">
        <f>VLOOKUP(G356,CGS[],2,FALSE)</f>
        <v>COSCO</v>
      </c>
      <c r="I356" s="65">
        <v>1325</v>
      </c>
      <c r="J356" s="101" t="str">
        <f>IF(ISBLANK(Pricelist[[#This Row],[EBS]]),"",VALUE(LEFT(Pricelist[[#This Row],[EBS]],LEN(Pricelist[[#This Row],[EBS]])-LEN(Pricelist[[#This Row],[E2]])-1)))</f>
        <v/>
      </c>
      <c r="K356" s="65">
        <v>2500</v>
      </c>
      <c r="L356" s="101" t="str">
        <f>IF(ISBLANK(Pricelist[[#This Row],[EBS]]),"",VALUE(RIGHT(Pricelist[[#This Row],[EBS]],3)))</f>
        <v/>
      </c>
      <c r="M356" s="65">
        <v>2550</v>
      </c>
      <c r="N356" s="101" t="str">
        <f>IF(ISBLANK(Pricelist[[#This Row],[EBS]]),"",VALUE(RIGHT(Pricelist[[#This Row],[EBS]],3)))</f>
        <v/>
      </c>
      <c r="O356" s="101" t="str">
        <f>IF(AND(Pricelist[[#This Row],[AE1]]&lt;&gt;"",OR(Pricelist[[#This Row],[区]]="南",Pricelist[[#This Row],[区]]="北")),MID(Pricelist[[#This Row],[AE1]],4,2),"")</f>
        <v>25</v>
      </c>
      <c r="P356" s="102">
        <v>1350</v>
      </c>
      <c r="Q356" s="103">
        <v>2550</v>
      </c>
      <c r="R356" s="103">
        <v>2600</v>
      </c>
      <c r="S356" s="104"/>
      <c r="T356" s="104" t="s">
        <v>2206</v>
      </c>
      <c r="U356" s="105" t="s">
        <v>510</v>
      </c>
      <c r="V356" s="100" t="s">
        <v>507</v>
      </c>
      <c r="W356" s="106" t="s">
        <v>322</v>
      </c>
      <c r="X356" s="106" t="s">
        <v>133</v>
      </c>
      <c r="Y356" s="106">
        <v>37</v>
      </c>
      <c r="Z356" s="107">
        <v>43435</v>
      </c>
      <c r="AA356" s="108">
        <v>43448</v>
      </c>
      <c r="AB356" s="109" t="s">
        <v>2261</v>
      </c>
      <c r="AC356" s="109" t="s">
        <v>312</v>
      </c>
    </row>
    <row r="357" spans="1:29" ht="25.5" hidden="1" x14ac:dyDescent="0.15">
      <c r="A357" s="98">
        <v>356</v>
      </c>
      <c r="B357" s="99">
        <v>112917</v>
      </c>
      <c r="C357" s="98" t="s">
        <v>6332</v>
      </c>
      <c r="D357" s="100" t="s">
        <v>420</v>
      </c>
      <c r="E357" s="100" t="s">
        <v>314</v>
      </c>
      <c r="F357" s="100" t="s">
        <v>321</v>
      </c>
      <c r="G357" s="98" t="s">
        <v>20</v>
      </c>
      <c r="H357" s="98" t="str">
        <f>VLOOKUP(G357,CGS[],2,FALSE)</f>
        <v>HPL</v>
      </c>
      <c r="I357" s="65">
        <v>1500</v>
      </c>
      <c r="J357" s="101">
        <f>IF(ISBLANK(Pricelist[[#This Row],[EBS]]),"",VALUE(LEFT(Pricelist[[#This Row],[EBS]],LEN(Pricelist[[#This Row],[EBS]])-LEN(Pricelist[[#This Row],[E2]])-1)))</f>
        <v>55</v>
      </c>
      <c r="K357" s="65">
        <v>2900</v>
      </c>
      <c r="L357" s="101">
        <f>IF(ISBLANK(Pricelist[[#This Row],[EBS]]),"",VALUE(RIGHT(Pricelist[[#This Row],[EBS]],3)))</f>
        <v>110</v>
      </c>
      <c r="M357" s="65">
        <v>2900</v>
      </c>
      <c r="N357" s="101">
        <f>IF(ISBLANK(Pricelist[[#This Row],[EBS]]),"",VALUE(RIGHT(Pricelist[[#This Row],[EBS]],3)))</f>
        <v>110</v>
      </c>
      <c r="O357" s="101" t="str">
        <f>IF(AND(Pricelist[[#This Row],[AE1]]&lt;&gt;"",OR(Pricelist[[#This Row],[区]]="南",Pricelist[[#This Row],[区]]="北")),MID(Pricelist[[#This Row],[AE1]],4,2),"")</f>
        <v>35</v>
      </c>
      <c r="P357" s="102">
        <v>1500</v>
      </c>
      <c r="Q357" s="103">
        <v>2900</v>
      </c>
      <c r="R357" s="103">
        <v>2900</v>
      </c>
      <c r="S357" s="104" t="s">
        <v>2204</v>
      </c>
      <c r="T357" s="104" t="s">
        <v>2200</v>
      </c>
      <c r="U357" s="105" t="s">
        <v>511</v>
      </c>
      <c r="V357" s="100" t="s">
        <v>507</v>
      </c>
      <c r="W357" s="106" t="s">
        <v>2262</v>
      </c>
      <c r="X357" s="106" t="s">
        <v>320</v>
      </c>
      <c r="Y357" s="106">
        <v>25</v>
      </c>
      <c r="Z357" s="107">
        <v>43296</v>
      </c>
      <c r="AA357" s="108">
        <v>43312</v>
      </c>
      <c r="AB357" s="109" t="s">
        <v>2263</v>
      </c>
      <c r="AC357" s="109" t="s">
        <v>3699</v>
      </c>
    </row>
    <row r="358" spans="1:29" hidden="1" x14ac:dyDescent="0.15">
      <c r="A358" s="98">
        <v>357</v>
      </c>
      <c r="B358" s="99">
        <v>112917</v>
      </c>
      <c r="C358" s="98" t="s">
        <v>6332</v>
      </c>
      <c r="D358" s="100" t="s">
        <v>420</v>
      </c>
      <c r="E358" s="100" t="s">
        <v>314</v>
      </c>
      <c r="F358" s="100" t="s">
        <v>321</v>
      </c>
      <c r="G358" s="98" t="s">
        <v>8</v>
      </c>
      <c r="H358" s="98" t="str">
        <f>VLOOKUP(G358,CGS[],2,FALSE)</f>
        <v>CMA</v>
      </c>
      <c r="I358" s="65">
        <v>1675</v>
      </c>
      <c r="J358" s="101">
        <f>IF(ISBLANK(Pricelist[[#This Row],[EBS]]),"",VALUE(LEFT(Pricelist[[#This Row],[EBS]],LEN(Pricelist[[#This Row],[EBS]])-LEN(Pricelist[[#This Row],[E2]])-1)))</f>
        <v>100</v>
      </c>
      <c r="K358" s="65">
        <v>3150</v>
      </c>
      <c r="L358" s="101">
        <f>IF(ISBLANK(Pricelist[[#This Row],[EBS]]),"",VALUE(RIGHT(Pricelist[[#This Row],[EBS]],3)))</f>
        <v>200</v>
      </c>
      <c r="M358" s="65">
        <v>3225</v>
      </c>
      <c r="N358" s="101">
        <f>IF(ISBLANK(Pricelist[[#This Row],[EBS]]),"",VALUE(RIGHT(Pricelist[[#This Row],[EBS]],3)))</f>
        <v>200</v>
      </c>
      <c r="O358" s="101" t="str">
        <f>IF(AND(Pricelist[[#This Row],[AE1]]&lt;&gt;"",OR(Pricelist[[#This Row],[区]]="南",Pricelist[[#This Row],[区]]="北")),MID(Pricelist[[#This Row],[AE1]],4,2),"")</f>
        <v/>
      </c>
      <c r="P358" s="102">
        <v>1750</v>
      </c>
      <c r="Q358" s="103">
        <v>3300</v>
      </c>
      <c r="R358" s="103">
        <v>3375</v>
      </c>
      <c r="S358" s="104" t="s">
        <v>6328</v>
      </c>
      <c r="T358" s="104"/>
      <c r="U358" s="105" t="s">
        <v>510</v>
      </c>
      <c r="V358" s="100" t="s">
        <v>507</v>
      </c>
      <c r="W358" s="106" t="s">
        <v>323</v>
      </c>
      <c r="X358" s="106" t="s">
        <v>310</v>
      </c>
      <c r="Y358" s="106">
        <v>35</v>
      </c>
      <c r="Z358" s="107">
        <v>43435</v>
      </c>
      <c r="AA358" s="108">
        <v>43449</v>
      </c>
      <c r="AB358" s="109"/>
      <c r="AC358" s="109"/>
    </row>
    <row r="359" spans="1:29" hidden="1" x14ac:dyDescent="0.15">
      <c r="A359" s="98">
        <v>358</v>
      </c>
      <c r="B359" s="99">
        <v>112917</v>
      </c>
      <c r="C359" s="98" t="s">
        <v>6332</v>
      </c>
      <c r="D359" s="100" t="s">
        <v>324</v>
      </c>
      <c r="E359" s="100" t="s">
        <v>314</v>
      </c>
      <c r="F359" s="100" t="s">
        <v>325</v>
      </c>
      <c r="G359" s="98" t="s">
        <v>21</v>
      </c>
      <c r="H359" s="98" t="str">
        <f>VLOOKUP(G359,CGS[],2,FALSE)</f>
        <v>MSK</v>
      </c>
      <c r="I359" s="65">
        <v>1460</v>
      </c>
      <c r="J359" s="101" t="str">
        <f>IF(ISBLANK(Pricelist[[#This Row],[EBS]]),"",VALUE(LEFT(Pricelist[[#This Row],[EBS]],LEN(Pricelist[[#This Row],[EBS]])-LEN(Pricelist[[#This Row],[E2]])-1)))</f>
        <v/>
      </c>
      <c r="K359" s="65">
        <v>2820</v>
      </c>
      <c r="L359" s="101" t="str">
        <f>IF(ISBLANK(Pricelist[[#This Row],[EBS]]),"",VALUE(RIGHT(Pricelist[[#This Row],[EBS]],3)))</f>
        <v/>
      </c>
      <c r="M359" s="65">
        <v>2870</v>
      </c>
      <c r="N359" s="101" t="str">
        <f>IF(ISBLANK(Pricelist[[#This Row],[EBS]]),"",VALUE(RIGHT(Pricelist[[#This Row],[EBS]],3)))</f>
        <v/>
      </c>
      <c r="O359" s="101" t="str">
        <f>IF(AND(Pricelist[[#This Row],[AE1]]&lt;&gt;"",OR(Pricelist[[#This Row],[区]]="南",Pricelist[[#This Row],[区]]="北")),MID(Pricelist[[#This Row],[AE1]],4,2),"")</f>
        <v/>
      </c>
      <c r="P359" s="102">
        <v>1460</v>
      </c>
      <c r="Q359" s="103">
        <v>2820</v>
      </c>
      <c r="R359" s="103">
        <v>2870</v>
      </c>
      <c r="S359" s="104"/>
      <c r="T359" s="104"/>
      <c r="U359" s="105" t="s">
        <v>506</v>
      </c>
      <c r="V359" s="100" t="s">
        <v>507</v>
      </c>
      <c r="W359" s="106" t="s">
        <v>234</v>
      </c>
      <c r="X359" s="106" t="s">
        <v>131</v>
      </c>
      <c r="Y359" s="106">
        <v>33</v>
      </c>
      <c r="Z359" s="107">
        <v>43435</v>
      </c>
      <c r="AA359" s="108">
        <v>43449</v>
      </c>
      <c r="AB359" s="109"/>
      <c r="AC359" s="109"/>
    </row>
    <row r="360" spans="1:29" ht="38.25" hidden="1" x14ac:dyDescent="0.15">
      <c r="A360" s="98">
        <v>359</v>
      </c>
      <c r="B360" s="99">
        <v>112917</v>
      </c>
      <c r="C360" s="98" t="s">
        <v>6332</v>
      </c>
      <c r="D360" s="100" t="s">
        <v>324</v>
      </c>
      <c r="E360" s="100" t="s">
        <v>314</v>
      </c>
      <c r="F360" s="100" t="s">
        <v>325</v>
      </c>
      <c r="G360" s="98" t="s">
        <v>9</v>
      </c>
      <c r="H360" s="98" t="str">
        <f>VLOOKUP(G360,CGS[],2,FALSE)</f>
        <v>COSCO</v>
      </c>
      <c r="I360" s="65">
        <v>1325</v>
      </c>
      <c r="J360" s="101" t="str">
        <f>IF(ISBLANK(Pricelist[[#This Row],[EBS]]),"",VALUE(LEFT(Pricelist[[#This Row],[EBS]],LEN(Pricelist[[#This Row],[EBS]])-LEN(Pricelist[[#This Row],[E2]])-1)))</f>
        <v/>
      </c>
      <c r="K360" s="65">
        <v>2500</v>
      </c>
      <c r="L360" s="101" t="str">
        <f>IF(ISBLANK(Pricelist[[#This Row],[EBS]]),"",VALUE(RIGHT(Pricelist[[#This Row],[EBS]],3)))</f>
        <v/>
      </c>
      <c r="M360" s="65">
        <v>2550</v>
      </c>
      <c r="N360" s="101" t="str">
        <f>IF(ISBLANK(Pricelist[[#This Row],[EBS]]),"",VALUE(RIGHT(Pricelist[[#This Row],[EBS]],3)))</f>
        <v/>
      </c>
      <c r="O360" s="101" t="str">
        <f>IF(AND(Pricelist[[#This Row],[AE1]]&lt;&gt;"",OR(Pricelist[[#This Row],[区]]="南",Pricelist[[#This Row],[区]]="北")),MID(Pricelist[[#This Row],[AE1]],4,2),"")</f>
        <v>25</v>
      </c>
      <c r="P360" s="102">
        <v>1350</v>
      </c>
      <c r="Q360" s="103">
        <v>2550</v>
      </c>
      <c r="R360" s="103">
        <v>2600</v>
      </c>
      <c r="S360" s="104"/>
      <c r="T360" s="104" t="s">
        <v>2206</v>
      </c>
      <c r="U360" s="105" t="s">
        <v>510</v>
      </c>
      <c r="V360" s="100" t="s">
        <v>507</v>
      </c>
      <c r="W360" s="106" t="s">
        <v>322</v>
      </c>
      <c r="X360" s="106" t="s">
        <v>133</v>
      </c>
      <c r="Y360" s="106">
        <v>36</v>
      </c>
      <c r="Z360" s="107">
        <v>43435</v>
      </c>
      <c r="AA360" s="108">
        <v>43448</v>
      </c>
      <c r="AB360" s="109" t="s">
        <v>2261</v>
      </c>
      <c r="AC360" s="109" t="s">
        <v>312</v>
      </c>
    </row>
    <row r="361" spans="1:29" hidden="1" x14ac:dyDescent="0.15">
      <c r="A361" s="98">
        <v>360</v>
      </c>
      <c r="B361" s="99">
        <v>112917</v>
      </c>
      <c r="C361" s="98" t="s">
        <v>6332</v>
      </c>
      <c r="D361" s="100" t="s">
        <v>324</v>
      </c>
      <c r="E361" s="100" t="s">
        <v>314</v>
      </c>
      <c r="F361" s="100" t="s">
        <v>325</v>
      </c>
      <c r="G361" s="98" t="s">
        <v>8</v>
      </c>
      <c r="H361" s="98" t="str">
        <f>VLOOKUP(G361,CGS[],2,FALSE)</f>
        <v>CMA</v>
      </c>
      <c r="I361" s="65">
        <v>1675</v>
      </c>
      <c r="J361" s="101">
        <f>IF(ISBLANK(Pricelist[[#This Row],[EBS]]),"",VALUE(LEFT(Pricelist[[#This Row],[EBS]],LEN(Pricelist[[#This Row],[EBS]])-LEN(Pricelist[[#This Row],[E2]])-1)))</f>
        <v>100</v>
      </c>
      <c r="K361" s="65">
        <v>3150</v>
      </c>
      <c r="L361" s="101">
        <f>IF(ISBLANK(Pricelist[[#This Row],[EBS]]),"",VALUE(RIGHT(Pricelist[[#This Row],[EBS]],3)))</f>
        <v>200</v>
      </c>
      <c r="M361" s="65">
        <v>3225</v>
      </c>
      <c r="N361" s="101">
        <f>IF(ISBLANK(Pricelist[[#This Row],[EBS]]),"",VALUE(RIGHT(Pricelist[[#This Row],[EBS]],3)))</f>
        <v>200</v>
      </c>
      <c r="O361" s="101" t="str">
        <f>IF(AND(Pricelist[[#This Row],[AE1]]&lt;&gt;"",OR(Pricelist[[#This Row],[区]]="南",Pricelist[[#This Row],[区]]="北")),MID(Pricelist[[#This Row],[AE1]],4,2),"")</f>
        <v/>
      </c>
      <c r="P361" s="102">
        <v>1750</v>
      </c>
      <c r="Q361" s="103">
        <v>3300</v>
      </c>
      <c r="R361" s="103">
        <v>3375</v>
      </c>
      <c r="S361" s="104" t="s">
        <v>6328</v>
      </c>
      <c r="T361" s="104"/>
      <c r="U361" s="105" t="s">
        <v>510</v>
      </c>
      <c r="V361" s="100" t="s">
        <v>507</v>
      </c>
      <c r="W361" s="106" t="s">
        <v>323</v>
      </c>
      <c r="X361" s="106" t="s">
        <v>310</v>
      </c>
      <c r="Y361" s="106">
        <v>35</v>
      </c>
      <c r="Z361" s="107">
        <v>43435</v>
      </c>
      <c r="AA361" s="108">
        <v>43449</v>
      </c>
      <c r="AB361" s="109" t="s">
        <v>326</v>
      </c>
      <c r="AC361" s="109"/>
    </row>
    <row r="362" spans="1:29" ht="25.5" hidden="1" x14ac:dyDescent="0.15">
      <c r="A362" s="98">
        <v>361</v>
      </c>
      <c r="B362" s="99">
        <v>112917</v>
      </c>
      <c r="C362" s="98" t="s">
        <v>6332</v>
      </c>
      <c r="D362" s="100" t="s">
        <v>324</v>
      </c>
      <c r="E362" s="100" t="s">
        <v>314</v>
      </c>
      <c r="F362" s="100" t="s">
        <v>325</v>
      </c>
      <c r="G362" s="98" t="s">
        <v>20</v>
      </c>
      <c r="H362" s="98" t="str">
        <f>VLOOKUP(G362,CGS[],2,FALSE)</f>
        <v>HPL</v>
      </c>
      <c r="I362" s="65">
        <v>1600</v>
      </c>
      <c r="J362" s="101">
        <f>IF(ISBLANK(Pricelist[[#This Row],[EBS]]),"",VALUE(LEFT(Pricelist[[#This Row],[EBS]],LEN(Pricelist[[#This Row],[EBS]])-LEN(Pricelist[[#This Row],[E2]])-1)))</f>
        <v>55</v>
      </c>
      <c r="K362" s="65">
        <v>3040</v>
      </c>
      <c r="L362" s="101">
        <f>IF(ISBLANK(Pricelist[[#This Row],[EBS]]),"",VALUE(RIGHT(Pricelist[[#This Row],[EBS]],3)))</f>
        <v>110</v>
      </c>
      <c r="M362" s="65">
        <v>3040</v>
      </c>
      <c r="N362" s="101">
        <f>IF(ISBLANK(Pricelist[[#This Row],[EBS]]),"",VALUE(RIGHT(Pricelist[[#This Row],[EBS]],3)))</f>
        <v>110</v>
      </c>
      <c r="O362" s="101" t="str">
        <f>IF(AND(Pricelist[[#This Row],[AE1]]&lt;&gt;"",OR(Pricelist[[#This Row],[区]]="南",Pricelist[[#This Row],[区]]="北")),MID(Pricelist[[#This Row],[AE1]],4,2),"")</f>
        <v>35</v>
      </c>
      <c r="P362" s="102">
        <v>1600</v>
      </c>
      <c r="Q362" s="103">
        <v>3040</v>
      </c>
      <c r="R362" s="103">
        <v>3040</v>
      </c>
      <c r="S362" s="104" t="s">
        <v>2204</v>
      </c>
      <c r="T362" s="104" t="s">
        <v>2200</v>
      </c>
      <c r="U362" s="105" t="s">
        <v>512</v>
      </c>
      <c r="V362" s="100" t="s">
        <v>507</v>
      </c>
      <c r="W362" s="106" t="s">
        <v>322</v>
      </c>
      <c r="X362" s="106" t="s">
        <v>133</v>
      </c>
      <c r="Y362" s="106">
        <v>36</v>
      </c>
      <c r="Z362" s="107">
        <v>43296</v>
      </c>
      <c r="AA362" s="108">
        <v>43312</v>
      </c>
      <c r="AB362" s="109" t="s">
        <v>2260</v>
      </c>
      <c r="AC362" s="109" t="s">
        <v>3699</v>
      </c>
    </row>
    <row r="363" spans="1:29" hidden="1" x14ac:dyDescent="0.15">
      <c r="A363" s="98">
        <v>362</v>
      </c>
      <c r="B363" s="99">
        <v>112917</v>
      </c>
      <c r="C363" s="98" t="s">
        <v>6332</v>
      </c>
      <c r="D363" s="100" t="s">
        <v>324</v>
      </c>
      <c r="E363" s="100" t="s">
        <v>314</v>
      </c>
      <c r="F363" s="100" t="s">
        <v>325</v>
      </c>
      <c r="G363" s="98" t="s">
        <v>17</v>
      </c>
      <c r="H363" s="98" t="str">
        <f>VLOOKUP(G363,CGS[],2,FALSE)</f>
        <v>MSC</v>
      </c>
      <c r="I363" s="65">
        <v>1300</v>
      </c>
      <c r="J363" s="101">
        <f>IF(ISBLANK(Pricelist[[#This Row],[EBS]]),"",VALUE(LEFT(Pricelist[[#This Row],[EBS]],LEN(Pricelist[[#This Row],[EBS]])-LEN(Pricelist[[#This Row],[E2]])-1)))</f>
        <v>65</v>
      </c>
      <c r="K363" s="65">
        <v>2550</v>
      </c>
      <c r="L363" s="101">
        <f>IF(ISBLANK(Pricelist[[#This Row],[EBS]]),"",VALUE(RIGHT(Pricelist[[#This Row],[EBS]],3)))</f>
        <v>130</v>
      </c>
      <c r="M363" s="65">
        <v>2600</v>
      </c>
      <c r="N363" s="101">
        <f>IF(ISBLANK(Pricelist[[#This Row],[EBS]]),"",VALUE(RIGHT(Pricelist[[#This Row],[EBS]],3)))</f>
        <v>130</v>
      </c>
      <c r="O363" s="101" t="str">
        <f>IF(AND(Pricelist[[#This Row],[AE1]]&lt;&gt;"",OR(Pricelist[[#This Row],[区]]="南",Pricelist[[#This Row],[区]]="北")),MID(Pricelist[[#This Row],[AE1]],4,2),"")</f>
        <v/>
      </c>
      <c r="P363" s="102">
        <v>1300</v>
      </c>
      <c r="Q363" s="103">
        <v>2550</v>
      </c>
      <c r="R363" s="103">
        <v>2600</v>
      </c>
      <c r="S363" s="104" t="s">
        <v>3678</v>
      </c>
      <c r="T363" s="104"/>
      <c r="U363" s="105" t="s">
        <v>511</v>
      </c>
      <c r="V363" s="100" t="s">
        <v>507</v>
      </c>
      <c r="W363" s="106" t="s">
        <v>304</v>
      </c>
      <c r="X363" s="106" t="s">
        <v>305</v>
      </c>
      <c r="Y363" s="106">
        <v>36</v>
      </c>
      <c r="Z363" s="107">
        <v>43423</v>
      </c>
      <c r="AA363" s="108">
        <v>43429</v>
      </c>
      <c r="AB363" s="109"/>
      <c r="AC363" s="109"/>
    </row>
    <row r="364" spans="1:29" hidden="1" x14ac:dyDescent="0.15">
      <c r="A364" s="98">
        <v>363</v>
      </c>
      <c r="B364" s="99">
        <v>112917</v>
      </c>
      <c r="C364" s="98" t="s">
        <v>6332</v>
      </c>
      <c r="D364" s="100" t="s">
        <v>421</v>
      </c>
      <c r="E364" s="100" t="s">
        <v>314</v>
      </c>
      <c r="F364" s="100" t="s">
        <v>327</v>
      </c>
      <c r="G364" s="98" t="s">
        <v>21</v>
      </c>
      <c r="H364" s="98" t="str">
        <f>VLOOKUP(G364,CGS[],2,FALSE)</f>
        <v>MSK</v>
      </c>
      <c r="I364" s="65">
        <v>1385</v>
      </c>
      <c r="J364" s="101" t="str">
        <f>IF(ISBLANK(Pricelist[[#This Row],[EBS]]),"",VALUE(LEFT(Pricelist[[#This Row],[EBS]],LEN(Pricelist[[#This Row],[EBS]])-LEN(Pricelist[[#This Row],[E2]])-1)))</f>
        <v/>
      </c>
      <c r="K364" s="65">
        <v>2670</v>
      </c>
      <c r="L364" s="101" t="str">
        <f>IF(ISBLANK(Pricelist[[#This Row],[EBS]]),"",VALUE(RIGHT(Pricelist[[#This Row],[EBS]],3)))</f>
        <v/>
      </c>
      <c r="M364" s="65">
        <v>2670</v>
      </c>
      <c r="N364" s="101" t="str">
        <f>IF(ISBLANK(Pricelist[[#This Row],[EBS]]),"",VALUE(RIGHT(Pricelist[[#This Row],[EBS]],3)))</f>
        <v/>
      </c>
      <c r="O364" s="101" t="str">
        <f>IF(AND(Pricelist[[#This Row],[AE1]]&lt;&gt;"",OR(Pricelist[[#This Row],[区]]="南",Pricelist[[#This Row],[区]]="北")),MID(Pricelist[[#This Row],[AE1]],4,2),"")</f>
        <v/>
      </c>
      <c r="P364" s="102">
        <v>1385</v>
      </c>
      <c r="Q364" s="103">
        <v>2670</v>
      </c>
      <c r="R364" s="103">
        <v>2670</v>
      </c>
      <c r="S364" s="104"/>
      <c r="T364" s="104"/>
      <c r="U364" s="105" t="s">
        <v>2257</v>
      </c>
      <c r="V364" s="100" t="s">
        <v>507</v>
      </c>
      <c r="W364" s="106" t="s">
        <v>304</v>
      </c>
      <c r="X364" s="106" t="s">
        <v>328</v>
      </c>
      <c r="Y364" s="106" t="s">
        <v>220</v>
      </c>
      <c r="Z364" s="107">
        <v>43435</v>
      </c>
      <c r="AA364" s="108">
        <v>43449</v>
      </c>
      <c r="AB364" s="109"/>
      <c r="AC364" s="109"/>
    </row>
    <row r="365" spans="1:29" hidden="1" x14ac:dyDescent="0.15">
      <c r="A365" s="98">
        <v>364</v>
      </c>
      <c r="B365" s="99">
        <v>112917</v>
      </c>
      <c r="C365" s="98" t="s">
        <v>6332</v>
      </c>
      <c r="D365" s="100" t="s">
        <v>421</v>
      </c>
      <c r="E365" s="100" t="s">
        <v>314</v>
      </c>
      <c r="F365" s="100" t="s">
        <v>327</v>
      </c>
      <c r="G365" s="98" t="s">
        <v>8</v>
      </c>
      <c r="H365" s="98" t="str">
        <f>VLOOKUP(G365,CGS[],2,FALSE)</f>
        <v>CMA</v>
      </c>
      <c r="I365" s="65">
        <v>1675</v>
      </c>
      <c r="J365" s="101">
        <f>IF(ISBLANK(Pricelist[[#This Row],[EBS]]),"",VALUE(LEFT(Pricelist[[#This Row],[EBS]],LEN(Pricelist[[#This Row],[EBS]])-LEN(Pricelist[[#This Row],[E2]])-1)))</f>
        <v>100</v>
      </c>
      <c r="K365" s="65">
        <v>3150</v>
      </c>
      <c r="L365" s="101">
        <f>IF(ISBLANK(Pricelist[[#This Row],[EBS]]),"",VALUE(RIGHT(Pricelist[[#This Row],[EBS]],3)))</f>
        <v>200</v>
      </c>
      <c r="M365" s="65">
        <v>3225</v>
      </c>
      <c r="N365" s="101">
        <f>IF(ISBLANK(Pricelist[[#This Row],[EBS]]),"",VALUE(RIGHT(Pricelist[[#This Row],[EBS]],3)))</f>
        <v>200</v>
      </c>
      <c r="O365" s="101" t="str">
        <f>IF(AND(Pricelist[[#This Row],[AE1]]&lt;&gt;"",OR(Pricelist[[#This Row],[区]]="南",Pricelist[[#This Row],[区]]="北")),MID(Pricelist[[#This Row],[AE1]],4,2),"")</f>
        <v/>
      </c>
      <c r="P365" s="102">
        <v>1750</v>
      </c>
      <c r="Q365" s="103">
        <v>3300</v>
      </c>
      <c r="R365" s="103">
        <v>3375</v>
      </c>
      <c r="S365" s="104" t="s">
        <v>6328</v>
      </c>
      <c r="T365" s="104"/>
      <c r="U365" s="105" t="s">
        <v>505</v>
      </c>
      <c r="V365" s="100" t="s">
        <v>507</v>
      </c>
      <c r="W365" s="106" t="s">
        <v>316</v>
      </c>
      <c r="X365" s="106" t="s">
        <v>317</v>
      </c>
      <c r="Y365" s="106">
        <v>35</v>
      </c>
      <c r="Z365" s="107">
        <v>43435</v>
      </c>
      <c r="AA365" s="108">
        <v>43449</v>
      </c>
      <c r="AB365" s="109" t="s">
        <v>2381</v>
      </c>
      <c r="AC365" s="109"/>
    </row>
    <row r="366" spans="1:29" ht="38.25" hidden="1" x14ac:dyDescent="0.15">
      <c r="A366" s="98">
        <v>365</v>
      </c>
      <c r="B366" s="99">
        <v>112917</v>
      </c>
      <c r="C366" s="98" t="s">
        <v>6332</v>
      </c>
      <c r="D366" s="100" t="s">
        <v>421</v>
      </c>
      <c r="E366" s="100" t="s">
        <v>314</v>
      </c>
      <c r="F366" s="100" t="s">
        <v>327</v>
      </c>
      <c r="G366" s="98" t="s">
        <v>9</v>
      </c>
      <c r="H366" s="98" t="str">
        <f>VLOOKUP(G366,CGS[],2,FALSE)</f>
        <v>COSCO</v>
      </c>
      <c r="I366" s="65">
        <v>1325</v>
      </c>
      <c r="J366" s="101" t="str">
        <f>IF(ISBLANK(Pricelist[[#This Row],[EBS]]),"",VALUE(LEFT(Pricelist[[#This Row],[EBS]],LEN(Pricelist[[#This Row],[EBS]])-LEN(Pricelist[[#This Row],[E2]])-1)))</f>
        <v/>
      </c>
      <c r="K366" s="65">
        <v>2500</v>
      </c>
      <c r="L366" s="101" t="str">
        <f>IF(ISBLANK(Pricelist[[#This Row],[EBS]]),"",VALUE(RIGHT(Pricelist[[#This Row],[EBS]],3)))</f>
        <v/>
      </c>
      <c r="M366" s="65">
        <v>2550</v>
      </c>
      <c r="N366" s="101" t="str">
        <f>IF(ISBLANK(Pricelist[[#This Row],[EBS]]),"",VALUE(RIGHT(Pricelist[[#This Row],[EBS]],3)))</f>
        <v/>
      </c>
      <c r="O366" s="101" t="str">
        <f>IF(AND(Pricelist[[#This Row],[AE1]]&lt;&gt;"",OR(Pricelist[[#This Row],[区]]="南",Pricelist[[#This Row],[区]]="北")),MID(Pricelist[[#This Row],[AE1]],4,2),"")</f>
        <v>25</v>
      </c>
      <c r="P366" s="102">
        <v>1350</v>
      </c>
      <c r="Q366" s="103">
        <v>2550</v>
      </c>
      <c r="R366" s="103">
        <v>2600</v>
      </c>
      <c r="S366" s="104"/>
      <c r="T366" s="104" t="s">
        <v>2206</v>
      </c>
      <c r="U366" s="105" t="s">
        <v>510</v>
      </c>
      <c r="V366" s="100" t="s">
        <v>507</v>
      </c>
      <c r="W366" s="106" t="s">
        <v>322</v>
      </c>
      <c r="X366" s="106" t="s">
        <v>133</v>
      </c>
      <c r="Y366" s="106">
        <v>35</v>
      </c>
      <c r="Z366" s="107">
        <v>43435</v>
      </c>
      <c r="AA366" s="108">
        <v>43448</v>
      </c>
      <c r="AB366" s="109" t="s">
        <v>2261</v>
      </c>
      <c r="AC366" s="109" t="s">
        <v>312</v>
      </c>
    </row>
    <row r="367" spans="1:29" hidden="1" x14ac:dyDescent="0.15">
      <c r="A367" s="98">
        <v>366</v>
      </c>
      <c r="B367" s="99">
        <v>112917</v>
      </c>
      <c r="C367" s="98" t="s">
        <v>6332</v>
      </c>
      <c r="D367" s="100" t="s">
        <v>421</v>
      </c>
      <c r="E367" s="100" t="s">
        <v>314</v>
      </c>
      <c r="F367" s="100" t="s">
        <v>327</v>
      </c>
      <c r="G367" s="98" t="s">
        <v>17</v>
      </c>
      <c r="H367" s="98" t="str">
        <f>VLOOKUP(G367,CGS[],2,FALSE)</f>
        <v>MSC</v>
      </c>
      <c r="I367" s="65">
        <v>1300</v>
      </c>
      <c r="J367" s="101">
        <f>IF(ISBLANK(Pricelist[[#This Row],[EBS]]),"",VALUE(LEFT(Pricelist[[#This Row],[EBS]],LEN(Pricelist[[#This Row],[EBS]])-LEN(Pricelist[[#This Row],[E2]])-1)))</f>
        <v>65</v>
      </c>
      <c r="K367" s="65">
        <v>2550</v>
      </c>
      <c r="L367" s="101">
        <f>IF(ISBLANK(Pricelist[[#This Row],[EBS]]),"",VALUE(RIGHT(Pricelist[[#This Row],[EBS]],3)))</f>
        <v>130</v>
      </c>
      <c r="M367" s="65">
        <v>2600</v>
      </c>
      <c r="N367" s="101">
        <f>IF(ISBLANK(Pricelist[[#This Row],[EBS]]),"",VALUE(RIGHT(Pricelist[[#This Row],[EBS]],3)))</f>
        <v>130</v>
      </c>
      <c r="O367" s="101" t="str">
        <f>IF(AND(Pricelist[[#This Row],[AE1]]&lt;&gt;"",OR(Pricelist[[#This Row],[区]]="南",Pricelist[[#This Row],[区]]="北")),MID(Pricelist[[#This Row],[AE1]],4,2),"")</f>
        <v/>
      </c>
      <c r="P367" s="102">
        <v>1300</v>
      </c>
      <c r="Q367" s="103">
        <v>2550</v>
      </c>
      <c r="R367" s="103">
        <v>2600</v>
      </c>
      <c r="S367" s="104" t="s">
        <v>3678</v>
      </c>
      <c r="T367" s="104"/>
      <c r="U367" s="105" t="s">
        <v>511</v>
      </c>
      <c r="V367" s="100" t="s">
        <v>507</v>
      </c>
      <c r="W367" s="106" t="s">
        <v>304</v>
      </c>
      <c r="X367" s="106" t="s">
        <v>305</v>
      </c>
      <c r="Y367" s="106">
        <v>44</v>
      </c>
      <c r="Z367" s="107">
        <v>43423</v>
      </c>
      <c r="AA367" s="108">
        <v>43429</v>
      </c>
      <c r="AB367" s="109"/>
      <c r="AC367" s="109"/>
    </row>
    <row r="368" spans="1:29" hidden="1" x14ac:dyDescent="0.15">
      <c r="A368" s="98">
        <v>367</v>
      </c>
      <c r="B368" s="99">
        <v>112917</v>
      </c>
      <c r="C368" s="98" t="s">
        <v>6332</v>
      </c>
      <c r="D368" s="100" t="s">
        <v>422</v>
      </c>
      <c r="E368" s="100" t="s">
        <v>314</v>
      </c>
      <c r="F368" s="100" t="s">
        <v>329</v>
      </c>
      <c r="G368" s="98" t="s">
        <v>21</v>
      </c>
      <c r="H368" s="98" t="str">
        <f>VLOOKUP(G368,CGS[],2,FALSE)</f>
        <v>MSK</v>
      </c>
      <c r="I368" s="65">
        <v>1460</v>
      </c>
      <c r="J368" s="101" t="str">
        <f>IF(ISBLANK(Pricelist[[#This Row],[EBS]]),"",VALUE(LEFT(Pricelist[[#This Row],[EBS]],LEN(Pricelist[[#This Row],[EBS]])-LEN(Pricelist[[#This Row],[E2]])-1)))</f>
        <v/>
      </c>
      <c r="K368" s="65">
        <v>2820</v>
      </c>
      <c r="L368" s="101" t="str">
        <f>IF(ISBLANK(Pricelist[[#This Row],[EBS]]),"",VALUE(RIGHT(Pricelist[[#This Row],[EBS]],3)))</f>
        <v/>
      </c>
      <c r="M368" s="65">
        <v>2870</v>
      </c>
      <c r="N368" s="101" t="str">
        <f>IF(ISBLANK(Pricelist[[#This Row],[EBS]]),"",VALUE(RIGHT(Pricelist[[#This Row],[EBS]],3)))</f>
        <v/>
      </c>
      <c r="O368" s="101" t="str">
        <f>IF(AND(Pricelist[[#This Row],[AE1]]&lt;&gt;"",OR(Pricelist[[#This Row],[区]]="南",Pricelist[[#This Row],[区]]="北")),MID(Pricelist[[#This Row],[AE1]],4,2),"")</f>
        <v/>
      </c>
      <c r="P368" s="102">
        <v>1460</v>
      </c>
      <c r="Q368" s="103">
        <v>2820</v>
      </c>
      <c r="R368" s="103">
        <v>2870</v>
      </c>
      <c r="S368" s="104"/>
      <c r="T368" s="104"/>
      <c r="U368" s="105" t="s">
        <v>2257</v>
      </c>
      <c r="V368" s="100" t="s">
        <v>507</v>
      </c>
      <c r="W368" s="106" t="s">
        <v>304</v>
      </c>
      <c r="X368" s="106" t="s">
        <v>328</v>
      </c>
      <c r="Y368" s="106">
        <v>36</v>
      </c>
      <c r="Z368" s="107">
        <v>43435</v>
      </c>
      <c r="AA368" s="108">
        <v>43449</v>
      </c>
      <c r="AB368" s="109"/>
      <c r="AC368" s="109"/>
    </row>
    <row r="369" spans="1:29" hidden="1" x14ac:dyDescent="0.15">
      <c r="A369" s="98">
        <v>368</v>
      </c>
      <c r="B369" s="99">
        <v>112917</v>
      </c>
      <c r="C369" s="98" t="s">
        <v>6332</v>
      </c>
      <c r="D369" s="100" t="s">
        <v>422</v>
      </c>
      <c r="E369" s="100" t="s">
        <v>314</v>
      </c>
      <c r="F369" s="100" t="s">
        <v>329</v>
      </c>
      <c r="G369" s="98" t="s">
        <v>8</v>
      </c>
      <c r="H369" s="98" t="str">
        <f>VLOOKUP(G369,CGS[],2,FALSE)</f>
        <v>CMA</v>
      </c>
      <c r="I369" s="65">
        <v>1675</v>
      </c>
      <c r="J369" s="101">
        <f>IF(ISBLANK(Pricelist[[#This Row],[EBS]]),"",VALUE(LEFT(Pricelist[[#This Row],[EBS]],LEN(Pricelist[[#This Row],[EBS]])-LEN(Pricelist[[#This Row],[E2]])-1)))</f>
        <v>100</v>
      </c>
      <c r="K369" s="65">
        <v>3150</v>
      </c>
      <c r="L369" s="101">
        <f>IF(ISBLANK(Pricelist[[#This Row],[EBS]]),"",VALUE(RIGHT(Pricelist[[#This Row],[EBS]],3)))</f>
        <v>200</v>
      </c>
      <c r="M369" s="65">
        <v>3225</v>
      </c>
      <c r="N369" s="101">
        <f>IF(ISBLANK(Pricelist[[#This Row],[EBS]]),"",VALUE(RIGHT(Pricelist[[#This Row],[EBS]],3)))</f>
        <v>200</v>
      </c>
      <c r="O369" s="101" t="str">
        <f>IF(AND(Pricelist[[#This Row],[AE1]]&lt;&gt;"",OR(Pricelist[[#This Row],[区]]="南",Pricelist[[#This Row],[区]]="北")),MID(Pricelist[[#This Row],[AE1]],4,2),"")</f>
        <v/>
      </c>
      <c r="P369" s="102">
        <v>1750</v>
      </c>
      <c r="Q369" s="103">
        <v>3300</v>
      </c>
      <c r="R369" s="103">
        <v>3375</v>
      </c>
      <c r="S369" s="104" t="s">
        <v>6328</v>
      </c>
      <c r="T369" s="104"/>
      <c r="U369" s="105" t="s">
        <v>510</v>
      </c>
      <c r="V369" s="100" t="s">
        <v>507</v>
      </c>
      <c r="W369" s="106" t="s">
        <v>316</v>
      </c>
      <c r="X369" s="106" t="s">
        <v>317</v>
      </c>
      <c r="Y369" s="106">
        <v>33</v>
      </c>
      <c r="Z369" s="107">
        <v>43435</v>
      </c>
      <c r="AA369" s="108">
        <v>43449</v>
      </c>
      <c r="AB369" s="109"/>
      <c r="AC369" s="109"/>
    </row>
    <row r="370" spans="1:29" ht="25.5" hidden="1" x14ac:dyDescent="0.15">
      <c r="A370" s="98">
        <v>369</v>
      </c>
      <c r="B370" s="99">
        <v>112917</v>
      </c>
      <c r="C370" s="98" t="s">
        <v>6332</v>
      </c>
      <c r="D370" s="100" t="s">
        <v>422</v>
      </c>
      <c r="E370" s="100" t="s">
        <v>314</v>
      </c>
      <c r="F370" s="100" t="s">
        <v>329</v>
      </c>
      <c r="G370" s="98" t="s">
        <v>20</v>
      </c>
      <c r="H370" s="98" t="str">
        <f>VLOOKUP(G370,CGS[],2,FALSE)</f>
        <v>HPL</v>
      </c>
      <c r="I370" s="65">
        <v>1500</v>
      </c>
      <c r="J370" s="101">
        <f>IF(ISBLANK(Pricelist[[#This Row],[EBS]]),"",VALUE(LEFT(Pricelist[[#This Row],[EBS]],LEN(Pricelist[[#This Row],[EBS]])-LEN(Pricelist[[#This Row],[E2]])-1)))</f>
        <v>55</v>
      </c>
      <c r="K370" s="65">
        <v>2900</v>
      </c>
      <c r="L370" s="101">
        <f>IF(ISBLANK(Pricelist[[#This Row],[EBS]]),"",VALUE(RIGHT(Pricelist[[#This Row],[EBS]],3)))</f>
        <v>110</v>
      </c>
      <c r="M370" s="65">
        <v>2900</v>
      </c>
      <c r="N370" s="101">
        <f>IF(ISBLANK(Pricelist[[#This Row],[EBS]]),"",VALUE(RIGHT(Pricelist[[#This Row],[EBS]],3)))</f>
        <v>110</v>
      </c>
      <c r="O370" s="101" t="str">
        <f>IF(AND(Pricelist[[#This Row],[AE1]]&lt;&gt;"",OR(Pricelist[[#This Row],[区]]="南",Pricelist[[#This Row],[区]]="北")),MID(Pricelist[[#This Row],[AE1]],4,2),"")</f>
        <v>35</v>
      </c>
      <c r="P370" s="102">
        <v>1500</v>
      </c>
      <c r="Q370" s="103">
        <v>2900</v>
      </c>
      <c r="R370" s="103">
        <v>2900</v>
      </c>
      <c r="S370" s="104" t="s">
        <v>2204</v>
      </c>
      <c r="T370" s="104" t="s">
        <v>2200</v>
      </c>
      <c r="U370" s="105" t="s">
        <v>511</v>
      </c>
      <c r="V370" s="100" t="s">
        <v>507</v>
      </c>
      <c r="W370" s="106" t="s">
        <v>2262</v>
      </c>
      <c r="X370" s="106" t="s">
        <v>320</v>
      </c>
      <c r="Y370" s="106">
        <v>28</v>
      </c>
      <c r="Z370" s="107">
        <v>43296</v>
      </c>
      <c r="AA370" s="108">
        <v>43312</v>
      </c>
      <c r="AB370" s="109" t="s">
        <v>2263</v>
      </c>
      <c r="AC370" s="109" t="s">
        <v>3699</v>
      </c>
    </row>
    <row r="371" spans="1:29" hidden="1" x14ac:dyDescent="0.15">
      <c r="A371" s="98">
        <v>370</v>
      </c>
      <c r="B371" s="99">
        <v>112917</v>
      </c>
      <c r="C371" s="98" t="s">
        <v>6332</v>
      </c>
      <c r="D371" s="100" t="s">
        <v>422</v>
      </c>
      <c r="E371" s="100" t="s">
        <v>314</v>
      </c>
      <c r="F371" s="100" t="s">
        <v>329</v>
      </c>
      <c r="G371" s="98" t="s">
        <v>17</v>
      </c>
      <c r="H371" s="98" t="str">
        <f>VLOOKUP(G371,CGS[],2,FALSE)</f>
        <v>MSC</v>
      </c>
      <c r="I371" s="65">
        <v>1300</v>
      </c>
      <c r="J371" s="101">
        <f>IF(ISBLANK(Pricelist[[#This Row],[EBS]]),"",VALUE(LEFT(Pricelist[[#This Row],[EBS]],LEN(Pricelist[[#This Row],[EBS]])-LEN(Pricelist[[#This Row],[E2]])-1)))</f>
        <v>65</v>
      </c>
      <c r="K371" s="65">
        <v>2550</v>
      </c>
      <c r="L371" s="101">
        <f>IF(ISBLANK(Pricelist[[#This Row],[EBS]]),"",VALUE(RIGHT(Pricelist[[#This Row],[EBS]],3)))</f>
        <v>130</v>
      </c>
      <c r="M371" s="65">
        <v>2600</v>
      </c>
      <c r="N371" s="101">
        <f>IF(ISBLANK(Pricelist[[#This Row],[EBS]]),"",VALUE(RIGHT(Pricelist[[#This Row],[EBS]],3)))</f>
        <v>130</v>
      </c>
      <c r="O371" s="101" t="str">
        <f>IF(AND(Pricelist[[#This Row],[AE1]]&lt;&gt;"",OR(Pricelist[[#This Row],[区]]="南",Pricelist[[#This Row],[区]]="北")),MID(Pricelist[[#This Row],[AE1]],4,2),"")</f>
        <v/>
      </c>
      <c r="P371" s="102">
        <v>1300</v>
      </c>
      <c r="Q371" s="103">
        <v>2550</v>
      </c>
      <c r="R371" s="103">
        <v>2600</v>
      </c>
      <c r="S371" s="104" t="s">
        <v>3678</v>
      </c>
      <c r="T371" s="104"/>
      <c r="U371" s="105" t="s">
        <v>511</v>
      </c>
      <c r="V371" s="100" t="s">
        <v>507</v>
      </c>
      <c r="W371" s="106" t="s">
        <v>304</v>
      </c>
      <c r="X371" s="106" t="s">
        <v>305</v>
      </c>
      <c r="Y371" s="106">
        <v>41</v>
      </c>
      <c r="Z371" s="107">
        <v>43423</v>
      </c>
      <c r="AA371" s="108">
        <v>43429</v>
      </c>
      <c r="AB371" s="109"/>
      <c r="AC371" s="109"/>
    </row>
    <row r="372" spans="1:29" hidden="1" x14ac:dyDescent="0.15">
      <c r="A372" s="98">
        <v>371</v>
      </c>
      <c r="B372" s="99">
        <v>112917</v>
      </c>
      <c r="C372" s="98" t="s">
        <v>6332</v>
      </c>
      <c r="D372" s="100" t="s">
        <v>330</v>
      </c>
      <c r="E372" s="100" t="s">
        <v>314</v>
      </c>
      <c r="F372" s="100" t="s">
        <v>331</v>
      </c>
      <c r="G372" s="98" t="s">
        <v>8</v>
      </c>
      <c r="H372" s="98" t="str">
        <f>VLOOKUP(G372,CGS[],2,FALSE)</f>
        <v>CMA</v>
      </c>
      <c r="I372" s="65">
        <v>1775</v>
      </c>
      <c r="J372" s="101">
        <f>IF(ISBLANK(Pricelist[[#This Row],[EBS]]),"",VALUE(LEFT(Pricelist[[#This Row],[EBS]],LEN(Pricelist[[#This Row],[EBS]])-LEN(Pricelist[[#This Row],[E2]])-1)))</f>
        <v>100</v>
      </c>
      <c r="K372" s="65">
        <v>3350</v>
      </c>
      <c r="L372" s="101">
        <f>IF(ISBLANK(Pricelist[[#This Row],[EBS]]),"",VALUE(RIGHT(Pricelist[[#This Row],[EBS]],3)))</f>
        <v>200</v>
      </c>
      <c r="M372" s="65">
        <v>3425</v>
      </c>
      <c r="N372" s="101">
        <f>IF(ISBLANK(Pricelist[[#This Row],[EBS]]),"",VALUE(RIGHT(Pricelist[[#This Row],[EBS]],3)))</f>
        <v>200</v>
      </c>
      <c r="O372" s="101" t="str">
        <f>IF(AND(Pricelist[[#This Row],[AE1]]&lt;&gt;"",OR(Pricelist[[#This Row],[区]]="南",Pricelist[[#This Row],[区]]="北")),MID(Pricelist[[#This Row],[AE1]],4,2),"")</f>
        <v/>
      </c>
      <c r="P372" s="102">
        <v>1850</v>
      </c>
      <c r="Q372" s="103">
        <v>3500</v>
      </c>
      <c r="R372" s="103">
        <v>3575</v>
      </c>
      <c r="S372" s="104" t="s">
        <v>6328</v>
      </c>
      <c r="T372" s="104"/>
      <c r="U372" s="105" t="s">
        <v>510</v>
      </c>
      <c r="V372" s="100" t="s">
        <v>507</v>
      </c>
      <c r="W372" s="106" t="s">
        <v>309</v>
      </c>
      <c r="X372" s="106" t="s">
        <v>310</v>
      </c>
      <c r="Y372" s="106">
        <v>36</v>
      </c>
      <c r="Z372" s="107">
        <v>43435</v>
      </c>
      <c r="AA372" s="108">
        <v>43449</v>
      </c>
      <c r="AB372" s="109"/>
      <c r="AC372" s="109"/>
    </row>
    <row r="373" spans="1:29" hidden="1" x14ac:dyDescent="0.15">
      <c r="A373" s="98">
        <v>372</v>
      </c>
      <c r="B373" s="99">
        <v>112917</v>
      </c>
      <c r="C373" s="98" t="s">
        <v>6332</v>
      </c>
      <c r="D373" s="100" t="s">
        <v>332</v>
      </c>
      <c r="E373" s="100" t="s">
        <v>314</v>
      </c>
      <c r="F373" s="100" t="s">
        <v>333</v>
      </c>
      <c r="G373" s="98" t="s">
        <v>8</v>
      </c>
      <c r="H373" s="98" t="str">
        <f>VLOOKUP(G373,CGS[],2,FALSE)</f>
        <v>CMA</v>
      </c>
      <c r="I373" s="65">
        <v>1675</v>
      </c>
      <c r="J373" s="101">
        <f>IF(ISBLANK(Pricelist[[#This Row],[EBS]]),"",VALUE(LEFT(Pricelist[[#This Row],[EBS]],LEN(Pricelist[[#This Row],[EBS]])-LEN(Pricelist[[#This Row],[E2]])-1)))</f>
        <v>100</v>
      </c>
      <c r="K373" s="65">
        <v>3150</v>
      </c>
      <c r="L373" s="101">
        <f>IF(ISBLANK(Pricelist[[#This Row],[EBS]]),"",VALUE(RIGHT(Pricelist[[#This Row],[EBS]],3)))</f>
        <v>200</v>
      </c>
      <c r="M373" s="65">
        <v>3225</v>
      </c>
      <c r="N373" s="101">
        <f>IF(ISBLANK(Pricelist[[#This Row],[EBS]]),"",VALUE(RIGHT(Pricelist[[#This Row],[EBS]],3)))</f>
        <v>200</v>
      </c>
      <c r="O373" s="101" t="str">
        <f>IF(AND(Pricelist[[#This Row],[AE1]]&lt;&gt;"",OR(Pricelist[[#This Row],[区]]="南",Pricelist[[#This Row],[区]]="北")),MID(Pricelist[[#This Row],[AE1]],4,2),"")</f>
        <v/>
      </c>
      <c r="P373" s="102">
        <v>1750</v>
      </c>
      <c r="Q373" s="103">
        <v>3300</v>
      </c>
      <c r="R373" s="103">
        <v>3375</v>
      </c>
      <c r="S373" s="104" t="s">
        <v>6328</v>
      </c>
      <c r="T373" s="104"/>
      <c r="U373" s="105" t="s">
        <v>510</v>
      </c>
      <c r="V373" s="100" t="s">
        <v>507</v>
      </c>
      <c r="W373" s="106" t="s">
        <v>316</v>
      </c>
      <c r="X373" s="106" t="s">
        <v>310</v>
      </c>
      <c r="Y373" s="106">
        <v>35</v>
      </c>
      <c r="Z373" s="107">
        <v>43435</v>
      </c>
      <c r="AA373" s="108">
        <v>43449</v>
      </c>
      <c r="AB373" s="109"/>
      <c r="AC373" s="109"/>
    </row>
    <row r="374" spans="1:29" hidden="1" x14ac:dyDescent="0.15">
      <c r="A374" s="98">
        <v>373</v>
      </c>
      <c r="B374" s="99">
        <v>112917</v>
      </c>
      <c r="C374" s="98" t="s">
        <v>6332</v>
      </c>
      <c r="D374" s="100" t="s">
        <v>423</v>
      </c>
      <c r="E374" s="100" t="s">
        <v>334</v>
      </c>
      <c r="F374" s="100" t="s">
        <v>335</v>
      </c>
      <c r="G374" s="98" t="s">
        <v>8</v>
      </c>
      <c r="H374" s="98" t="str">
        <f>VLOOKUP(G374,CGS[],2,FALSE)</f>
        <v>CMA</v>
      </c>
      <c r="I374" s="65">
        <v>1665</v>
      </c>
      <c r="J374" s="101">
        <f>IF(ISBLANK(Pricelist[[#This Row],[EBS]]),"",VALUE(LEFT(Pricelist[[#This Row],[EBS]],LEN(Pricelist[[#This Row],[EBS]])-LEN(Pricelist[[#This Row],[E2]])-1)))</f>
        <v>100</v>
      </c>
      <c r="K374" s="65">
        <v>3130</v>
      </c>
      <c r="L374" s="101">
        <f>IF(ISBLANK(Pricelist[[#This Row],[EBS]]),"",VALUE(RIGHT(Pricelist[[#This Row],[EBS]],3)))</f>
        <v>200</v>
      </c>
      <c r="M374" s="65">
        <v>3205</v>
      </c>
      <c r="N374" s="101">
        <f>IF(ISBLANK(Pricelist[[#This Row],[EBS]]),"",VALUE(RIGHT(Pricelist[[#This Row],[EBS]],3)))</f>
        <v>200</v>
      </c>
      <c r="O374" s="101" t="str">
        <f>IF(AND(Pricelist[[#This Row],[AE1]]&lt;&gt;"",OR(Pricelist[[#This Row],[区]]="南",Pricelist[[#This Row],[区]]="北")),MID(Pricelist[[#This Row],[AE1]],4,2),"")</f>
        <v/>
      </c>
      <c r="P374" s="102">
        <v>1715</v>
      </c>
      <c r="Q374" s="103">
        <v>3230</v>
      </c>
      <c r="R374" s="103">
        <v>3305</v>
      </c>
      <c r="S374" s="104" t="s">
        <v>6328</v>
      </c>
      <c r="T374" s="104"/>
      <c r="U374" s="105" t="s">
        <v>510</v>
      </c>
      <c r="V374" s="100" t="s">
        <v>507</v>
      </c>
      <c r="W374" s="106" t="s">
        <v>316</v>
      </c>
      <c r="X374" s="106" t="s">
        <v>317</v>
      </c>
      <c r="Y374" s="106">
        <v>34</v>
      </c>
      <c r="Z374" s="107">
        <v>43435</v>
      </c>
      <c r="AA374" s="108">
        <v>43449</v>
      </c>
      <c r="AB374" s="109"/>
      <c r="AC374" s="109"/>
    </row>
    <row r="375" spans="1:29" ht="25.5" hidden="1" x14ac:dyDescent="0.15">
      <c r="A375" s="98">
        <v>374</v>
      </c>
      <c r="B375" s="99">
        <v>112917</v>
      </c>
      <c r="C375" s="98" t="s">
        <v>6332</v>
      </c>
      <c r="D375" s="100" t="s">
        <v>423</v>
      </c>
      <c r="E375" s="100" t="s">
        <v>334</v>
      </c>
      <c r="F375" s="100" t="s">
        <v>335</v>
      </c>
      <c r="G375" s="98" t="s">
        <v>20</v>
      </c>
      <c r="H375" s="98" t="str">
        <f>VLOOKUP(G375,CGS[],2,FALSE)</f>
        <v>HPL</v>
      </c>
      <c r="I375" s="65">
        <v>1440</v>
      </c>
      <c r="J375" s="101">
        <f>IF(ISBLANK(Pricelist[[#This Row],[EBS]]),"",VALUE(LEFT(Pricelist[[#This Row],[EBS]],LEN(Pricelist[[#This Row],[EBS]])-LEN(Pricelist[[#This Row],[E2]])-1)))</f>
        <v>55</v>
      </c>
      <c r="K375" s="65">
        <v>2580</v>
      </c>
      <c r="L375" s="101">
        <f>IF(ISBLANK(Pricelist[[#This Row],[EBS]]),"",VALUE(RIGHT(Pricelist[[#This Row],[EBS]],3)))</f>
        <v>110</v>
      </c>
      <c r="M375" s="65">
        <v>2580</v>
      </c>
      <c r="N375" s="101">
        <f>IF(ISBLANK(Pricelist[[#This Row],[EBS]]),"",VALUE(RIGHT(Pricelist[[#This Row],[EBS]],3)))</f>
        <v>110</v>
      </c>
      <c r="O375" s="101" t="str">
        <f>IF(AND(Pricelist[[#This Row],[AE1]]&lt;&gt;"",OR(Pricelist[[#This Row],[区]]="南",Pricelist[[#This Row],[区]]="北")),MID(Pricelist[[#This Row],[AE1]],4,2),"")</f>
        <v>35</v>
      </c>
      <c r="P375" s="102">
        <v>1440</v>
      </c>
      <c r="Q375" s="103">
        <v>2580</v>
      </c>
      <c r="R375" s="103">
        <v>2580</v>
      </c>
      <c r="S375" s="104" t="s">
        <v>2204</v>
      </c>
      <c r="T375" s="104" t="s">
        <v>2200</v>
      </c>
      <c r="U375" s="105" t="s">
        <v>511</v>
      </c>
      <c r="V375" s="100" t="s">
        <v>507</v>
      </c>
      <c r="W375" s="106" t="s">
        <v>2262</v>
      </c>
      <c r="X375" s="106" t="s">
        <v>320</v>
      </c>
      <c r="Y375" s="106">
        <v>30</v>
      </c>
      <c r="Z375" s="107">
        <v>43296</v>
      </c>
      <c r="AA375" s="108">
        <v>43312</v>
      </c>
      <c r="AB375" s="109" t="s">
        <v>2263</v>
      </c>
      <c r="AC375" s="109" t="s">
        <v>3699</v>
      </c>
    </row>
    <row r="376" spans="1:29" ht="25.5" hidden="1" x14ac:dyDescent="0.15">
      <c r="A376" s="98">
        <v>375</v>
      </c>
      <c r="B376" s="99">
        <v>112917</v>
      </c>
      <c r="C376" s="98" t="s">
        <v>6332</v>
      </c>
      <c r="D376" s="100" t="s">
        <v>423</v>
      </c>
      <c r="E376" s="100" t="s">
        <v>334</v>
      </c>
      <c r="F376" s="100" t="s">
        <v>335</v>
      </c>
      <c r="G376" s="98" t="s">
        <v>13</v>
      </c>
      <c r="H376" s="98" t="str">
        <f>VLOOKUP(G376,CGS[],2,FALSE)</f>
        <v>EMC</v>
      </c>
      <c r="I376" s="65">
        <v>1825</v>
      </c>
      <c r="J376" s="101" t="str">
        <f>IF(ISBLANK(Pricelist[[#This Row],[EBS]]),"",VALUE(LEFT(Pricelist[[#This Row],[EBS]],LEN(Pricelist[[#This Row],[EBS]])-LEN(Pricelist[[#This Row],[E2]])-1)))</f>
        <v/>
      </c>
      <c r="K376" s="65">
        <v>3250</v>
      </c>
      <c r="L376" s="101" t="str">
        <f>IF(ISBLANK(Pricelist[[#This Row],[EBS]]),"",VALUE(RIGHT(Pricelist[[#This Row],[EBS]],3)))</f>
        <v/>
      </c>
      <c r="M376" s="65">
        <v>3250</v>
      </c>
      <c r="N376" s="101" t="str">
        <f>IF(ISBLANK(Pricelist[[#This Row],[EBS]]),"",VALUE(RIGHT(Pricelist[[#This Row],[EBS]],3)))</f>
        <v/>
      </c>
      <c r="O376" s="101" t="str">
        <f>IF(AND(Pricelist[[#This Row],[AE1]]&lt;&gt;"",OR(Pricelist[[#This Row],[区]]="南",Pricelist[[#This Row],[区]]="北")),MID(Pricelist[[#This Row],[AE1]],4,2),"")</f>
        <v>30</v>
      </c>
      <c r="P376" s="102">
        <v>1825</v>
      </c>
      <c r="Q376" s="103">
        <v>3250</v>
      </c>
      <c r="R376" s="103">
        <v>3250</v>
      </c>
      <c r="S376" s="104"/>
      <c r="T376" s="104" t="s">
        <v>2201</v>
      </c>
      <c r="U376" s="105" t="s">
        <v>525</v>
      </c>
      <c r="V376" s="100" t="s">
        <v>507</v>
      </c>
      <c r="W376" s="106" t="s">
        <v>319</v>
      </c>
      <c r="X376" s="106" t="s">
        <v>320</v>
      </c>
      <c r="Y376" s="106" t="s">
        <v>527</v>
      </c>
      <c r="Z376" s="107">
        <v>43344</v>
      </c>
      <c r="AA376" s="108">
        <v>43357</v>
      </c>
      <c r="AB376" s="109" t="s">
        <v>2264</v>
      </c>
      <c r="AC376" s="109" t="s">
        <v>313</v>
      </c>
    </row>
    <row r="377" spans="1:29" ht="25.5" hidden="1" x14ac:dyDescent="0.15">
      <c r="A377" s="98">
        <v>376</v>
      </c>
      <c r="B377" s="99">
        <v>112917</v>
      </c>
      <c r="C377" s="98" t="s">
        <v>6332</v>
      </c>
      <c r="D377" s="100" t="s">
        <v>424</v>
      </c>
      <c r="E377" s="100" t="s">
        <v>334</v>
      </c>
      <c r="F377" s="100" t="s">
        <v>336</v>
      </c>
      <c r="G377" s="98" t="s">
        <v>20</v>
      </c>
      <c r="H377" s="98" t="str">
        <f>VLOOKUP(G377,CGS[],2,FALSE)</f>
        <v>HPL</v>
      </c>
      <c r="I377" s="65">
        <v>1440</v>
      </c>
      <c r="J377" s="101">
        <f>IF(ISBLANK(Pricelist[[#This Row],[EBS]]),"",VALUE(LEFT(Pricelist[[#This Row],[EBS]],LEN(Pricelist[[#This Row],[EBS]])-LEN(Pricelist[[#This Row],[E2]])-1)))</f>
        <v>55</v>
      </c>
      <c r="K377" s="65">
        <v>2580</v>
      </c>
      <c r="L377" s="101">
        <f>IF(ISBLANK(Pricelist[[#This Row],[EBS]]),"",VALUE(RIGHT(Pricelist[[#This Row],[EBS]],3)))</f>
        <v>110</v>
      </c>
      <c r="M377" s="65">
        <v>2580</v>
      </c>
      <c r="N377" s="101">
        <f>IF(ISBLANK(Pricelist[[#This Row],[EBS]]),"",VALUE(RIGHT(Pricelist[[#This Row],[EBS]],3)))</f>
        <v>110</v>
      </c>
      <c r="O377" s="101" t="str">
        <f>IF(AND(Pricelist[[#This Row],[AE1]]&lt;&gt;"",OR(Pricelist[[#This Row],[区]]="南",Pricelist[[#This Row],[区]]="北")),MID(Pricelist[[#This Row],[AE1]],4,2),"")</f>
        <v>35</v>
      </c>
      <c r="P377" s="102">
        <v>1440</v>
      </c>
      <c r="Q377" s="103">
        <v>2580</v>
      </c>
      <c r="R377" s="103">
        <v>2580</v>
      </c>
      <c r="S377" s="104" t="s">
        <v>2204</v>
      </c>
      <c r="T377" s="104" t="s">
        <v>2200</v>
      </c>
      <c r="U377" s="105" t="s">
        <v>509</v>
      </c>
      <c r="V377" s="100" t="s">
        <v>507</v>
      </c>
      <c r="W377" s="106" t="s">
        <v>2262</v>
      </c>
      <c r="X377" s="106" t="s">
        <v>320</v>
      </c>
      <c r="Y377" s="106">
        <v>31</v>
      </c>
      <c r="Z377" s="107">
        <v>43296</v>
      </c>
      <c r="AA377" s="108">
        <v>43312</v>
      </c>
      <c r="AB377" s="109" t="s">
        <v>2265</v>
      </c>
      <c r="AC377" s="109" t="s">
        <v>3699</v>
      </c>
    </row>
    <row r="378" spans="1:29" hidden="1" x14ac:dyDescent="0.15">
      <c r="A378" s="98">
        <v>377</v>
      </c>
      <c r="B378" s="99">
        <v>112917</v>
      </c>
      <c r="C378" s="98" t="s">
        <v>6332</v>
      </c>
      <c r="D378" s="100" t="s">
        <v>424</v>
      </c>
      <c r="E378" s="100" t="s">
        <v>334</v>
      </c>
      <c r="F378" s="100" t="s">
        <v>336</v>
      </c>
      <c r="G378" s="98" t="s">
        <v>8</v>
      </c>
      <c r="H378" s="98" t="str">
        <f>VLOOKUP(G378,CGS[],2,FALSE)</f>
        <v>CMA</v>
      </c>
      <c r="I378" s="65">
        <v>1665</v>
      </c>
      <c r="J378" s="101">
        <f>IF(ISBLANK(Pricelist[[#This Row],[EBS]]),"",VALUE(LEFT(Pricelist[[#This Row],[EBS]],LEN(Pricelist[[#This Row],[EBS]])-LEN(Pricelist[[#This Row],[E2]])-1)))</f>
        <v>100</v>
      </c>
      <c r="K378" s="65">
        <v>3130</v>
      </c>
      <c r="L378" s="101">
        <f>IF(ISBLANK(Pricelist[[#This Row],[EBS]]),"",VALUE(RIGHT(Pricelist[[#This Row],[EBS]],3)))</f>
        <v>200</v>
      </c>
      <c r="M378" s="65">
        <v>3205</v>
      </c>
      <c r="N378" s="101">
        <f>IF(ISBLANK(Pricelist[[#This Row],[EBS]]),"",VALUE(RIGHT(Pricelist[[#This Row],[EBS]],3)))</f>
        <v>200</v>
      </c>
      <c r="O378" s="101" t="str">
        <f>IF(AND(Pricelist[[#This Row],[AE1]]&lt;&gt;"",OR(Pricelist[[#This Row],[区]]="南",Pricelist[[#This Row],[区]]="北")),MID(Pricelist[[#This Row],[AE1]],4,2),"")</f>
        <v/>
      </c>
      <c r="P378" s="102">
        <v>1715</v>
      </c>
      <c r="Q378" s="103">
        <v>3230</v>
      </c>
      <c r="R378" s="103">
        <v>3305</v>
      </c>
      <c r="S378" s="104" t="s">
        <v>6328</v>
      </c>
      <c r="T378" s="104"/>
      <c r="U378" s="105" t="s">
        <v>505</v>
      </c>
      <c r="V378" s="100" t="s">
        <v>507</v>
      </c>
      <c r="W378" s="106" t="s">
        <v>337</v>
      </c>
      <c r="X378" s="106" t="s">
        <v>317</v>
      </c>
      <c r="Y378" s="106">
        <v>35</v>
      </c>
      <c r="Z378" s="107">
        <v>43435</v>
      </c>
      <c r="AA378" s="108">
        <v>43449</v>
      </c>
      <c r="AB378" s="109" t="s">
        <v>2381</v>
      </c>
      <c r="AC378" s="109"/>
    </row>
    <row r="379" spans="1:29" hidden="1" x14ac:dyDescent="0.15">
      <c r="A379" s="98">
        <v>378</v>
      </c>
      <c r="B379" s="99">
        <v>112917</v>
      </c>
      <c r="C379" s="98" t="s">
        <v>6332</v>
      </c>
      <c r="D379" s="100" t="s">
        <v>425</v>
      </c>
      <c r="E379" s="100" t="s">
        <v>334</v>
      </c>
      <c r="F379" s="100" t="s">
        <v>338</v>
      </c>
      <c r="G379" s="98" t="s">
        <v>21</v>
      </c>
      <c r="H379" s="98" t="str">
        <f>VLOOKUP(G379,CGS[],2,FALSE)</f>
        <v>MSK</v>
      </c>
      <c r="I379" s="65">
        <v>1560</v>
      </c>
      <c r="J379" s="101" t="str">
        <f>IF(ISBLANK(Pricelist[[#This Row],[EBS]]),"",VALUE(LEFT(Pricelist[[#This Row],[EBS]],LEN(Pricelist[[#This Row],[EBS]])-LEN(Pricelist[[#This Row],[E2]])-1)))</f>
        <v/>
      </c>
      <c r="K379" s="65">
        <v>2920</v>
      </c>
      <c r="L379" s="101" t="str">
        <f>IF(ISBLANK(Pricelist[[#This Row],[EBS]]),"",VALUE(RIGHT(Pricelist[[#This Row],[EBS]],3)))</f>
        <v/>
      </c>
      <c r="M379" s="65">
        <v>2920</v>
      </c>
      <c r="N379" s="101" t="str">
        <f>IF(ISBLANK(Pricelist[[#This Row],[EBS]]),"",VALUE(RIGHT(Pricelist[[#This Row],[EBS]],3)))</f>
        <v/>
      </c>
      <c r="O379" s="101" t="str">
        <f>IF(AND(Pricelist[[#This Row],[AE1]]&lt;&gt;"",OR(Pricelist[[#This Row],[区]]="南",Pricelist[[#This Row],[区]]="北")),MID(Pricelist[[#This Row],[AE1]],4,2),"")</f>
        <v/>
      </c>
      <c r="P379" s="102">
        <v>1560</v>
      </c>
      <c r="Q379" s="103">
        <v>2920</v>
      </c>
      <c r="R379" s="103">
        <v>2920</v>
      </c>
      <c r="S379" s="104"/>
      <c r="T379" s="104"/>
      <c r="U379" s="105" t="s">
        <v>511</v>
      </c>
      <c r="V379" s="100" t="s">
        <v>507</v>
      </c>
      <c r="W379" s="106" t="s">
        <v>339</v>
      </c>
      <c r="X379" s="106" t="s">
        <v>328</v>
      </c>
      <c r="Y379" s="106">
        <v>30</v>
      </c>
      <c r="Z379" s="107">
        <v>43435</v>
      </c>
      <c r="AA379" s="108">
        <v>43449</v>
      </c>
      <c r="AB379" s="109"/>
      <c r="AC379" s="109"/>
    </row>
    <row r="380" spans="1:29" hidden="1" x14ac:dyDescent="0.15">
      <c r="A380" s="98">
        <v>379</v>
      </c>
      <c r="B380" s="99">
        <v>112917</v>
      </c>
      <c r="C380" s="98" t="s">
        <v>6332</v>
      </c>
      <c r="D380" s="100" t="s">
        <v>425</v>
      </c>
      <c r="E380" s="100" t="s">
        <v>334</v>
      </c>
      <c r="F380" s="100" t="s">
        <v>338</v>
      </c>
      <c r="G380" s="98" t="s">
        <v>8</v>
      </c>
      <c r="H380" s="98" t="str">
        <f>VLOOKUP(G380,CGS[],2,FALSE)</f>
        <v>CMA</v>
      </c>
      <c r="I380" s="65">
        <v>1785</v>
      </c>
      <c r="J380" s="101">
        <f>IF(ISBLANK(Pricelist[[#This Row],[EBS]]),"",VALUE(LEFT(Pricelist[[#This Row],[EBS]],LEN(Pricelist[[#This Row],[EBS]])-LEN(Pricelist[[#This Row],[E2]])-1)))</f>
        <v>100</v>
      </c>
      <c r="K380" s="65">
        <v>3370</v>
      </c>
      <c r="L380" s="101">
        <f>IF(ISBLANK(Pricelist[[#This Row],[EBS]]),"",VALUE(RIGHT(Pricelist[[#This Row],[EBS]],3)))</f>
        <v>200</v>
      </c>
      <c r="M380" s="65">
        <v>3445</v>
      </c>
      <c r="N380" s="101">
        <f>IF(ISBLANK(Pricelist[[#This Row],[EBS]]),"",VALUE(RIGHT(Pricelist[[#This Row],[EBS]],3)))</f>
        <v>200</v>
      </c>
      <c r="O380" s="101" t="str">
        <f>IF(AND(Pricelist[[#This Row],[AE1]]&lt;&gt;"",OR(Pricelist[[#This Row],[区]]="南",Pricelist[[#This Row],[区]]="北")),MID(Pricelist[[#This Row],[AE1]],4,2),"")</f>
        <v/>
      </c>
      <c r="P380" s="102">
        <v>1835</v>
      </c>
      <c r="Q380" s="103">
        <v>3470</v>
      </c>
      <c r="R380" s="103">
        <v>3545</v>
      </c>
      <c r="S380" s="104" t="s">
        <v>6328</v>
      </c>
      <c r="T380" s="104"/>
      <c r="U380" s="105" t="s">
        <v>505</v>
      </c>
      <c r="V380" s="100" t="s">
        <v>507</v>
      </c>
      <c r="W380" s="106" t="s">
        <v>316</v>
      </c>
      <c r="X380" s="106" t="s">
        <v>317</v>
      </c>
      <c r="Y380" s="106">
        <v>35</v>
      </c>
      <c r="Z380" s="107">
        <v>43435</v>
      </c>
      <c r="AA380" s="108">
        <v>43449</v>
      </c>
      <c r="AB380" s="109" t="s">
        <v>2381</v>
      </c>
      <c r="AC380" s="109"/>
    </row>
    <row r="381" spans="1:29" ht="25.5" hidden="1" x14ac:dyDescent="0.15">
      <c r="A381" s="98">
        <v>380</v>
      </c>
      <c r="B381" s="99">
        <v>112917</v>
      </c>
      <c r="C381" s="98" t="s">
        <v>6332</v>
      </c>
      <c r="D381" s="100" t="s">
        <v>425</v>
      </c>
      <c r="E381" s="100" t="s">
        <v>334</v>
      </c>
      <c r="F381" s="100" t="s">
        <v>338</v>
      </c>
      <c r="G381" s="98" t="s">
        <v>20</v>
      </c>
      <c r="H381" s="98" t="str">
        <f>VLOOKUP(G381,CGS[],2,FALSE)</f>
        <v>HPL</v>
      </c>
      <c r="I381" s="65">
        <v>1575</v>
      </c>
      <c r="J381" s="101">
        <f>IF(ISBLANK(Pricelist[[#This Row],[EBS]]),"",VALUE(LEFT(Pricelist[[#This Row],[EBS]],LEN(Pricelist[[#This Row],[EBS]])-LEN(Pricelist[[#This Row],[E2]])-1)))</f>
        <v>55</v>
      </c>
      <c r="K381" s="65">
        <v>2850</v>
      </c>
      <c r="L381" s="101">
        <f>IF(ISBLANK(Pricelist[[#This Row],[EBS]]),"",VALUE(RIGHT(Pricelist[[#This Row],[EBS]],3)))</f>
        <v>110</v>
      </c>
      <c r="M381" s="65">
        <v>2850</v>
      </c>
      <c r="N381" s="101">
        <f>IF(ISBLANK(Pricelist[[#This Row],[EBS]]),"",VALUE(RIGHT(Pricelist[[#This Row],[EBS]],3)))</f>
        <v>110</v>
      </c>
      <c r="O381" s="101" t="str">
        <f>IF(AND(Pricelist[[#This Row],[AE1]]&lt;&gt;"",OR(Pricelist[[#This Row],[区]]="南",Pricelist[[#This Row],[区]]="北")),MID(Pricelist[[#This Row],[AE1]],4,2),"")</f>
        <v>35</v>
      </c>
      <c r="P381" s="102">
        <v>1575</v>
      </c>
      <c r="Q381" s="103">
        <v>2850</v>
      </c>
      <c r="R381" s="103">
        <v>2850</v>
      </c>
      <c r="S381" s="104" t="s">
        <v>2204</v>
      </c>
      <c r="T381" s="104" t="s">
        <v>2200</v>
      </c>
      <c r="U381" s="105" t="s">
        <v>512</v>
      </c>
      <c r="V381" s="100" t="s">
        <v>507</v>
      </c>
      <c r="W381" s="106" t="s">
        <v>103</v>
      </c>
      <c r="X381" s="106" t="s">
        <v>104</v>
      </c>
      <c r="Y381" s="106">
        <v>37</v>
      </c>
      <c r="Z381" s="107">
        <v>43296</v>
      </c>
      <c r="AA381" s="108">
        <v>43312</v>
      </c>
      <c r="AB381" s="109" t="s">
        <v>2255</v>
      </c>
      <c r="AC381" s="109" t="s">
        <v>3699</v>
      </c>
    </row>
    <row r="382" spans="1:29" hidden="1" x14ac:dyDescent="0.15">
      <c r="A382" s="98">
        <v>381</v>
      </c>
      <c r="B382" s="99">
        <v>112917</v>
      </c>
      <c r="C382" s="98" t="s">
        <v>6332</v>
      </c>
      <c r="D382" s="100" t="s">
        <v>425</v>
      </c>
      <c r="E382" s="100" t="s">
        <v>334</v>
      </c>
      <c r="F382" s="100" t="s">
        <v>338</v>
      </c>
      <c r="G382" s="98" t="s">
        <v>17</v>
      </c>
      <c r="H382" s="98" t="str">
        <f>VLOOKUP(G382,CGS[],2,FALSE)</f>
        <v>MSC</v>
      </c>
      <c r="I382" s="65">
        <v>1300</v>
      </c>
      <c r="J382" s="101">
        <f>IF(ISBLANK(Pricelist[[#This Row],[EBS]]),"",VALUE(LEFT(Pricelist[[#This Row],[EBS]],LEN(Pricelist[[#This Row],[EBS]])-LEN(Pricelist[[#This Row],[E2]])-1)))</f>
        <v>65</v>
      </c>
      <c r="K382" s="65">
        <v>2550</v>
      </c>
      <c r="L382" s="101">
        <f>IF(ISBLANK(Pricelist[[#This Row],[EBS]]),"",VALUE(RIGHT(Pricelist[[#This Row],[EBS]],3)))</f>
        <v>130</v>
      </c>
      <c r="M382" s="65">
        <v>2600</v>
      </c>
      <c r="N382" s="101">
        <f>IF(ISBLANK(Pricelist[[#This Row],[EBS]]),"",VALUE(RIGHT(Pricelist[[#This Row],[EBS]],3)))</f>
        <v>130</v>
      </c>
      <c r="O382" s="101" t="str">
        <f>IF(AND(Pricelist[[#This Row],[AE1]]&lt;&gt;"",OR(Pricelist[[#This Row],[区]]="南",Pricelist[[#This Row],[区]]="北")),MID(Pricelist[[#This Row],[AE1]],4,2),"")</f>
        <v/>
      </c>
      <c r="P382" s="102">
        <v>1300</v>
      </c>
      <c r="Q382" s="103">
        <v>2550</v>
      </c>
      <c r="R382" s="103">
        <v>2600</v>
      </c>
      <c r="S382" s="104" t="s">
        <v>3678</v>
      </c>
      <c r="T382" s="104"/>
      <c r="U382" s="105" t="s">
        <v>511</v>
      </c>
      <c r="V382" s="100" t="s">
        <v>507</v>
      </c>
      <c r="W382" s="106" t="s">
        <v>304</v>
      </c>
      <c r="X382" s="106" t="s">
        <v>305</v>
      </c>
      <c r="Y382" s="106">
        <v>34</v>
      </c>
      <c r="Z382" s="107">
        <v>43423</v>
      </c>
      <c r="AA382" s="108">
        <v>43429</v>
      </c>
      <c r="AB382" s="109"/>
      <c r="AC382" s="109"/>
    </row>
    <row r="383" spans="1:29" hidden="1" x14ac:dyDescent="0.15">
      <c r="A383" s="98">
        <v>382</v>
      </c>
      <c r="B383" s="99">
        <v>112917</v>
      </c>
      <c r="C383" s="98" t="s">
        <v>6332</v>
      </c>
      <c r="D383" s="100" t="s">
        <v>340</v>
      </c>
      <c r="E383" s="100" t="s">
        <v>334</v>
      </c>
      <c r="F383" s="100" t="s">
        <v>341</v>
      </c>
      <c r="G383" s="98" t="s">
        <v>21</v>
      </c>
      <c r="H383" s="98" t="str">
        <f>VLOOKUP(G383,CGS[],2,FALSE)</f>
        <v>MSK</v>
      </c>
      <c r="I383" s="65">
        <v>1560</v>
      </c>
      <c r="J383" s="101" t="str">
        <f>IF(ISBLANK(Pricelist[[#This Row],[EBS]]),"",VALUE(LEFT(Pricelist[[#This Row],[EBS]],LEN(Pricelist[[#This Row],[EBS]])-LEN(Pricelist[[#This Row],[E2]])-1)))</f>
        <v/>
      </c>
      <c r="K383" s="65">
        <v>2920</v>
      </c>
      <c r="L383" s="101" t="str">
        <f>IF(ISBLANK(Pricelist[[#This Row],[EBS]]),"",VALUE(RIGHT(Pricelist[[#This Row],[EBS]],3)))</f>
        <v/>
      </c>
      <c r="M383" s="65">
        <v>2920</v>
      </c>
      <c r="N383" s="101" t="str">
        <f>IF(ISBLANK(Pricelist[[#This Row],[EBS]]),"",VALUE(RIGHT(Pricelist[[#This Row],[EBS]],3)))</f>
        <v/>
      </c>
      <c r="O383" s="101" t="str">
        <f>IF(AND(Pricelist[[#This Row],[AE1]]&lt;&gt;"",OR(Pricelist[[#This Row],[区]]="南",Pricelist[[#This Row],[区]]="北")),MID(Pricelist[[#This Row],[AE1]],4,2),"")</f>
        <v/>
      </c>
      <c r="P383" s="102">
        <v>1560</v>
      </c>
      <c r="Q383" s="103">
        <v>2920</v>
      </c>
      <c r="R383" s="103">
        <v>2920</v>
      </c>
      <c r="S383" s="104"/>
      <c r="T383" s="104"/>
      <c r="U383" s="105" t="s">
        <v>511</v>
      </c>
      <c r="V383" s="100" t="s">
        <v>507</v>
      </c>
      <c r="W383" s="106" t="s">
        <v>339</v>
      </c>
      <c r="X383" s="106" t="s">
        <v>328</v>
      </c>
      <c r="Y383" s="106">
        <v>40</v>
      </c>
      <c r="Z383" s="107">
        <v>43435</v>
      </c>
      <c r="AA383" s="108">
        <v>43449</v>
      </c>
      <c r="AB383" s="109"/>
      <c r="AC383" s="109"/>
    </row>
    <row r="384" spans="1:29" hidden="1" x14ac:dyDescent="0.15">
      <c r="A384" s="98">
        <v>383</v>
      </c>
      <c r="B384" s="99">
        <v>112917</v>
      </c>
      <c r="C384" s="98" t="s">
        <v>6332</v>
      </c>
      <c r="D384" s="100" t="s">
        <v>340</v>
      </c>
      <c r="E384" s="100" t="s">
        <v>334</v>
      </c>
      <c r="F384" s="100" t="s">
        <v>341</v>
      </c>
      <c r="G384" s="98" t="s">
        <v>8</v>
      </c>
      <c r="H384" s="98" t="str">
        <f>VLOOKUP(G384,CGS[],2,FALSE)</f>
        <v>CMA</v>
      </c>
      <c r="I384" s="65">
        <v>1665</v>
      </c>
      <c r="J384" s="101">
        <f>IF(ISBLANK(Pricelist[[#This Row],[EBS]]),"",VALUE(LEFT(Pricelist[[#This Row],[EBS]],LEN(Pricelist[[#This Row],[EBS]])-LEN(Pricelist[[#This Row],[E2]])-1)))</f>
        <v>100</v>
      </c>
      <c r="K384" s="65">
        <v>3130</v>
      </c>
      <c r="L384" s="101">
        <f>IF(ISBLANK(Pricelist[[#This Row],[EBS]]),"",VALUE(RIGHT(Pricelist[[#This Row],[EBS]],3)))</f>
        <v>200</v>
      </c>
      <c r="M384" s="65">
        <v>3205</v>
      </c>
      <c r="N384" s="101">
        <f>IF(ISBLANK(Pricelist[[#This Row],[EBS]]),"",VALUE(RIGHT(Pricelist[[#This Row],[EBS]],3)))</f>
        <v>200</v>
      </c>
      <c r="O384" s="101" t="str">
        <f>IF(AND(Pricelist[[#This Row],[AE1]]&lt;&gt;"",OR(Pricelist[[#This Row],[区]]="南",Pricelist[[#This Row],[区]]="北")),MID(Pricelist[[#This Row],[AE1]],4,2),"")</f>
        <v/>
      </c>
      <c r="P384" s="102">
        <v>1715</v>
      </c>
      <c r="Q384" s="103">
        <v>3230</v>
      </c>
      <c r="R384" s="103">
        <v>3305</v>
      </c>
      <c r="S384" s="104" t="s">
        <v>6328</v>
      </c>
      <c r="T384" s="104"/>
      <c r="U384" s="105" t="s">
        <v>505</v>
      </c>
      <c r="V384" s="100" t="s">
        <v>507</v>
      </c>
      <c r="W384" s="106" t="s">
        <v>316</v>
      </c>
      <c r="X384" s="106" t="s">
        <v>317</v>
      </c>
      <c r="Y384" s="106">
        <v>34</v>
      </c>
      <c r="Z384" s="107">
        <v>43435</v>
      </c>
      <c r="AA384" s="108">
        <v>43449</v>
      </c>
      <c r="AB384" s="109" t="s">
        <v>2381</v>
      </c>
      <c r="AC384" s="109"/>
    </row>
    <row r="385" spans="1:29" hidden="1" x14ac:dyDescent="0.15">
      <c r="A385" s="98">
        <v>384</v>
      </c>
      <c r="B385" s="99">
        <v>112917</v>
      </c>
      <c r="C385" s="98" t="s">
        <v>6332</v>
      </c>
      <c r="D385" s="100" t="s">
        <v>426</v>
      </c>
      <c r="E385" s="100" t="s">
        <v>342</v>
      </c>
      <c r="F385" s="100" t="s">
        <v>343</v>
      </c>
      <c r="G385" s="98" t="s">
        <v>17</v>
      </c>
      <c r="H385" s="98" t="str">
        <f>VLOOKUP(G385,CGS[],2,FALSE)</f>
        <v>MSC</v>
      </c>
      <c r="I385" s="65">
        <v>1300</v>
      </c>
      <c r="J385" s="101">
        <f>IF(ISBLANK(Pricelist[[#This Row],[EBS]]),"",VALUE(LEFT(Pricelist[[#This Row],[EBS]],LEN(Pricelist[[#This Row],[EBS]])-LEN(Pricelist[[#This Row],[E2]])-1)))</f>
        <v>65</v>
      </c>
      <c r="K385" s="65">
        <v>2550</v>
      </c>
      <c r="L385" s="101">
        <f>IF(ISBLANK(Pricelist[[#This Row],[EBS]]),"",VALUE(RIGHT(Pricelist[[#This Row],[EBS]],3)))</f>
        <v>130</v>
      </c>
      <c r="M385" s="65">
        <v>2600</v>
      </c>
      <c r="N385" s="101">
        <f>IF(ISBLANK(Pricelist[[#This Row],[EBS]]),"",VALUE(RIGHT(Pricelist[[#This Row],[EBS]],3)))</f>
        <v>130</v>
      </c>
      <c r="O385" s="101" t="str">
        <f>IF(AND(Pricelist[[#This Row],[AE1]]&lt;&gt;"",OR(Pricelist[[#This Row],[区]]="南",Pricelist[[#This Row],[区]]="北")),MID(Pricelist[[#This Row],[AE1]],4,2),"")</f>
        <v/>
      </c>
      <c r="P385" s="102">
        <v>1300</v>
      </c>
      <c r="Q385" s="103">
        <v>2550</v>
      </c>
      <c r="R385" s="103">
        <v>2600</v>
      </c>
      <c r="S385" s="104" t="s">
        <v>3678</v>
      </c>
      <c r="T385" s="104"/>
      <c r="U385" s="105" t="s">
        <v>511</v>
      </c>
      <c r="V385" s="100" t="s">
        <v>507</v>
      </c>
      <c r="W385" s="106" t="s">
        <v>304</v>
      </c>
      <c r="X385" s="106" t="s">
        <v>305</v>
      </c>
      <c r="Y385" s="106">
        <v>31</v>
      </c>
      <c r="Z385" s="107">
        <v>43423</v>
      </c>
      <c r="AA385" s="108">
        <v>43429</v>
      </c>
      <c r="AB385" s="109"/>
      <c r="AC385" s="109"/>
    </row>
    <row r="386" spans="1:29" hidden="1" x14ac:dyDescent="0.15">
      <c r="A386" s="98">
        <v>385</v>
      </c>
      <c r="B386" s="99">
        <v>112917</v>
      </c>
      <c r="C386" s="98" t="s">
        <v>6332</v>
      </c>
      <c r="D386" s="100" t="s">
        <v>426</v>
      </c>
      <c r="E386" s="100" t="s">
        <v>342</v>
      </c>
      <c r="F386" s="100" t="s">
        <v>343</v>
      </c>
      <c r="G386" s="98" t="s">
        <v>21</v>
      </c>
      <c r="H386" s="98" t="str">
        <f>VLOOKUP(G386,CGS[],2,FALSE)</f>
        <v>MSK</v>
      </c>
      <c r="I386" s="65">
        <v>1485</v>
      </c>
      <c r="J386" s="101" t="str">
        <f>IF(ISBLANK(Pricelist[[#This Row],[EBS]]),"",VALUE(LEFT(Pricelist[[#This Row],[EBS]],LEN(Pricelist[[#This Row],[EBS]])-LEN(Pricelist[[#This Row],[E2]])-1)))</f>
        <v/>
      </c>
      <c r="K386" s="65">
        <v>2695</v>
      </c>
      <c r="L386" s="101" t="str">
        <f>IF(ISBLANK(Pricelist[[#This Row],[EBS]]),"",VALUE(RIGHT(Pricelist[[#This Row],[EBS]],3)))</f>
        <v/>
      </c>
      <c r="M386" s="65">
        <v>2695</v>
      </c>
      <c r="N386" s="101" t="str">
        <f>IF(ISBLANK(Pricelist[[#This Row],[EBS]]),"",VALUE(RIGHT(Pricelist[[#This Row],[EBS]],3)))</f>
        <v/>
      </c>
      <c r="O386" s="101" t="str">
        <f>IF(AND(Pricelist[[#This Row],[AE1]]&lt;&gt;"",OR(Pricelist[[#This Row],[区]]="南",Pricelist[[#This Row],[区]]="北")),MID(Pricelist[[#This Row],[AE1]],4,2),"")</f>
        <v/>
      </c>
      <c r="P386" s="102">
        <v>1485</v>
      </c>
      <c r="Q386" s="103">
        <v>2695</v>
      </c>
      <c r="R386" s="103">
        <v>2695</v>
      </c>
      <c r="S386" s="104"/>
      <c r="T386" s="104"/>
      <c r="U386" s="105" t="s">
        <v>511</v>
      </c>
      <c r="V386" s="100" t="s">
        <v>507</v>
      </c>
      <c r="W386" s="106" t="s">
        <v>339</v>
      </c>
      <c r="X386" s="106" t="s">
        <v>328</v>
      </c>
      <c r="Y386" s="106">
        <v>37</v>
      </c>
      <c r="Z386" s="107">
        <v>43435</v>
      </c>
      <c r="AA386" s="108">
        <v>43449</v>
      </c>
      <c r="AB386" s="109"/>
      <c r="AC386" s="109"/>
    </row>
    <row r="387" spans="1:29" hidden="1" x14ac:dyDescent="0.15">
      <c r="A387" s="98">
        <v>386</v>
      </c>
      <c r="B387" s="99">
        <v>112917</v>
      </c>
      <c r="C387" s="98" t="s">
        <v>6332</v>
      </c>
      <c r="D387" s="100" t="s">
        <v>426</v>
      </c>
      <c r="E387" s="100" t="s">
        <v>342</v>
      </c>
      <c r="F387" s="100" t="s">
        <v>343</v>
      </c>
      <c r="G387" s="98" t="s">
        <v>8</v>
      </c>
      <c r="H387" s="98" t="str">
        <f>VLOOKUP(G387,CGS[],2,FALSE)</f>
        <v>CMA</v>
      </c>
      <c r="I387" s="65">
        <v>1550</v>
      </c>
      <c r="J387" s="101">
        <f>IF(ISBLANK(Pricelist[[#This Row],[EBS]]),"",VALUE(LEFT(Pricelist[[#This Row],[EBS]],LEN(Pricelist[[#This Row],[EBS]])-LEN(Pricelist[[#This Row],[E2]])-1)))</f>
        <v>100</v>
      </c>
      <c r="K387" s="65">
        <v>2900</v>
      </c>
      <c r="L387" s="101">
        <f>IF(ISBLANK(Pricelist[[#This Row],[EBS]]),"",VALUE(RIGHT(Pricelist[[#This Row],[EBS]],3)))</f>
        <v>200</v>
      </c>
      <c r="M387" s="65">
        <v>2975</v>
      </c>
      <c r="N387" s="101">
        <f>IF(ISBLANK(Pricelist[[#This Row],[EBS]]),"",VALUE(RIGHT(Pricelist[[#This Row],[EBS]],3)))</f>
        <v>200</v>
      </c>
      <c r="O387" s="101" t="str">
        <f>IF(AND(Pricelist[[#This Row],[AE1]]&lt;&gt;"",OR(Pricelist[[#This Row],[区]]="南",Pricelist[[#This Row],[区]]="北")),MID(Pricelist[[#This Row],[AE1]],4,2),"")</f>
        <v/>
      </c>
      <c r="P387" s="102">
        <v>1550</v>
      </c>
      <c r="Q387" s="103">
        <v>2900</v>
      </c>
      <c r="R387" s="103">
        <v>2975</v>
      </c>
      <c r="S387" s="104" t="s">
        <v>6328</v>
      </c>
      <c r="T387" s="104"/>
      <c r="U387" s="105" t="s">
        <v>505</v>
      </c>
      <c r="V387" s="100" t="s">
        <v>507</v>
      </c>
      <c r="W387" s="106" t="s">
        <v>316</v>
      </c>
      <c r="X387" s="106" t="s">
        <v>317</v>
      </c>
      <c r="Y387" s="106">
        <v>36</v>
      </c>
      <c r="Z387" s="107">
        <v>43435</v>
      </c>
      <c r="AA387" s="108">
        <v>43449</v>
      </c>
      <c r="AB387" s="109" t="s">
        <v>2381</v>
      </c>
      <c r="AC387" s="109"/>
    </row>
    <row r="388" spans="1:29" ht="25.5" hidden="1" x14ac:dyDescent="0.15">
      <c r="A388" s="98">
        <v>387</v>
      </c>
      <c r="B388" s="99">
        <v>112917</v>
      </c>
      <c r="C388" s="98" t="s">
        <v>6332</v>
      </c>
      <c r="D388" s="100" t="s">
        <v>426</v>
      </c>
      <c r="E388" s="100" t="s">
        <v>342</v>
      </c>
      <c r="F388" s="100" t="s">
        <v>343</v>
      </c>
      <c r="G388" s="98" t="s">
        <v>20</v>
      </c>
      <c r="H388" s="98" t="str">
        <f>VLOOKUP(G388,CGS[],2,FALSE)</f>
        <v>HPL</v>
      </c>
      <c r="I388" s="65">
        <v>1415</v>
      </c>
      <c r="J388" s="101">
        <f>IF(ISBLANK(Pricelist[[#This Row],[EBS]]),"",VALUE(LEFT(Pricelist[[#This Row],[EBS]],LEN(Pricelist[[#This Row],[EBS]])-LEN(Pricelist[[#This Row],[E2]])-1)))</f>
        <v>55</v>
      </c>
      <c r="K388" s="65">
        <v>2530</v>
      </c>
      <c r="L388" s="101">
        <f>IF(ISBLANK(Pricelist[[#This Row],[EBS]]),"",VALUE(RIGHT(Pricelist[[#This Row],[EBS]],3)))</f>
        <v>110</v>
      </c>
      <c r="M388" s="65">
        <v>2530</v>
      </c>
      <c r="N388" s="101">
        <f>IF(ISBLANK(Pricelist[[#This Row],[EBS]]),"",VALUE(RIGHT(Pricelist[[#This Row],[EBS]],3)))</f>
        <v>110</v>
      </c>
      <c r="O388" s="101" t="str">
        <f>IF(AND(Pricelist[[#This Row],[AE1]]&lt;&gt;"",OR(Pricelist[[#This Row],[区]]="南",Pricelist[[#This Row],[区]]="北")),MID(Pricelist[[#This Row],[AE1]],4,2),"")</f>
        <v>35</v>
      </c>
      <c r="P388" s="102">
        <v>1415</v>
      </c>
      <c r="Q388" s="103">
        <v>2530</v>
      </c>
      <c r="R388" s="103">
        <v>2530</v>
      </c>
      <c r="S388" s="104" t="s">
        <v>2204</v>
      </c>
      <c r="T388" s="104" t="s">
        <v>2200</v>
      </c>
      <c r="U388" s="105" t="s">
        <v>512</v>
      </c>
      <c r="V388" s="100" t="s">
        <v>507</v>
      </c>
      <c r="W388" s="106" t="s">
        <v>359</v>
      </c>
      <c r="X388" s="106" t="s">
        <v>2266</v>
      </c>
      <c r="Y388" s="106">
        <v>32</v>
      </c>
      <c r="Z388" s="107">
        <v>43296</v>
      </c>
      <c r="AA388" s="108">
        <v>43312</v>
      </c>
      <c r="AB388" s="109" t="s">
        <v>2260</v>
      </c>
      <c r="AC388" s="109" t="s">
        <v>3699</v>
      </c>
    </row>
    <row r="389" spans="1:29" ht="38.25" hidden="1" x14ac:dyDescent="0.15">
      <c r="A389" s="98">
        <v>388</v>
      </c>
      <c r="B389" s="99">
        <v>112917</v>
      </c>
      <c r="C389" s="98" t="s">
        <v>6332</v>
      </c>
      <c r="D389" s="100" t="s">
        <v>426</v>
      </c>
      <c r="E389" s="100" t="s">
        <v>342</v>
      </c>
      <c r="F389" s="100" t="s">
        <v>343</v>
      </c>
      <c r="G389" s="98" t="s">
        <v>9</v>
      </c>
      <c r="H389" s="98" t="str">
        <f>VLOOKUP(G389,CGS[],2,FALSE)</f>
        <v>COSCO</v>
      </c>
      <c r="I389" s="65">
        <v>1125</v>
      </c>
      <c r="J389" s="101" t="str">
        <f>IF(ISBLANK(Pricelist[[#This Row],[EBS]]),"",VALUE(LEFT(Pricelist[[#This Row],[EBS]],LEN(Pricelist[[#This Row],[EBS]])-LEN(Pricelist[[#This Row],[E2]])-1)))</f>
        <v/>
      </c>
      <c r="K389" s="65">
        <v>2100</v>
      </c>
      <c r="L389" s="101" t="str">
        <f>IF(ISBLANK(Pricelist[[#This Row],[EBS]]),"",VALUE(RIGHT(Pricelist[[#This Row],[EBS]],3)))</f>
        <v/>
      </c>
      <c r="M389" s="65">
        <v>2150</v>
      </c>
      <c r="N389" s="101" t="str">
        <f>IF(ISBLANK(Pricelist[[#This Row],[EBS]]),"",VALUE(RIGHT(Pricelist[[#This Row],[EBS]],3)))</f>
        <v/>
      </c>
      <c r="O389" s="101" t="str">
        <f>IF(AND(Pricelist[[#This Row],[AE1]]&lt;&gt;"",OR(Pricelist[[#This Row],[区]]="南",Pricelist[[#This Row],[区]]="北")),MID(Pricelist[[#This Row],[AE1]],4,2),"")</f>
        <v>25</v>
      </c>
      <c r="P389" s="102">
        <v>1150</v>
      </c>
      <c r="Q389" s="103">
        <v>2150</v>
      </c>
      <c r="R389" s="103">
        <v>2200</v>
      </c>
      <c r="S389" s="104"/>
      <c r="T389" s="104" t="s">
        <v>2206</v>
      </c>
      <c r="U389" s="105" t="s">
        <v>508</v>
      </c>
      <c r="V389" s="100" t="s">
        <v>507</v>
      </c>
      <c r="W389" s="106" t="s">
        <v>344</v>
      </c>
      <c r="X389" s="106" t="s">
        <v>345</v>
      </c>
      <c r="Y389" s="106">
        <v>37</v>
      </c>
      <c r="Z389" s="107">
        <v>43435</v>
      </c>
      <c r="AA389" s="108">
        <v>43448</v>
      </c>
      <c r="AB389" s="109" t="s">
        <v>2267</v>
      </c>
      <c r="AC389" s="109" t="s">
        <v>312</v>
      </c>
    </row>
    <row r="390" spans="1:29" hidden="1" x14ac:dyDescent="0.15">
      <c r="A390" s="98">
        <v>389</v>
      </c>
      <c r="B390" s="99">
        <v>112917</v>
      </c>
      <c r="C390" s="98" t="s">
        <v>6332</v>
      </c>
      <c r="D390" s="100" t="s">
        <v>427</v>
      </c>
      <c r="E390" s="100" t="s">
        <v>342</v>
      </c>
      <c r="F390" s="100" t="s">
        <v>346</v>
      </c>
      <c r="G390" s="98" t="s">
        <v>21</v>
      </c>
      <c r="H390" s="98" t="str">
        <f>VLOOKUP(G390,CGS[],2,FALSE)</f>
        <v>MSK</v>
      </c>
      <c r="I390" s="65">
        <v>1410</v>
      </c>
      <c r="J390" s="101" t="str">
        <f>IF(ISBLANK(Pricelist[[#This Row],[EBS]]),"",VALUE(LEFT(Pricelist[[#This Row],[EBS]],LEN(Pricelist[[#This Row],[EBS]])-LEN(Pricelist[[#This Row],[E2]])-1)))</f>
        <v/>
      </c>
      <c r="K390" s="65">
        <v>2620</v>
      </c>
      <c r="L390" s="101" t="str">
        <f>IF(ISBLANK(Pricelist[[#This Row],[EBS]]),"",VALUE(RIGHT(Pricelist[[#This Row],[EBS]],3)))</f>
        <v/>
      </c>
      <c r="M390" s="65">
        <v>2620</v>
      </c>
      <c r="N390" s="101" t="str">
        <f>IF(ISBLANK(Pricelist[[#This Row],[EBS]]),"",VALUE(RIGHT(Pricelist[[#This Row],[EBS]],3)))</f>
        <v/>
      </c>
      <c r="O390" s="101" t="str">
        <f>IF(AND(Pricelist[[#This Row],[AE1]]&lt;&gt;"",OR(Pricelist[[#This Row],[区]]="南",Pricelist[[#This Row],[区]]="北")),MID(Pricelist[[#This Row],[AE1]],4,2),"")</f>
        <v/>
      </c>
      <c r="P390" s="102">
        <v>1410</v>
      </c>
      <c r="Q390" s="103">
        <v>2620</v>
      </c>
      <c r="R390" s="103">
        <v>2620</v>
      </c>
      <c r="S390" s="104"/>
      <c r="T390" s="104"/>
      <c r="U390" s="105" t="s">
        <v>511</v>
      </c>
      <c r="V390" s="100" t="s">
        <v>507</v>
      </c>
      <c r="W390" s="106" t="s">
        <v>339</v>
      </c>
      <c r="X390" s="106" t="s">
        <v>328</v>
      </c>
      <c r="Y390" s="106">
        <v>32</v>
      </c>
      <c r="Z390" s="107">
        <v>43435</v>
      </c>
      <c r="AA390" s="108">
        <v>43449</v>
      </c>
      <c r="AB390" s="109"/>
      <c r="AC390" s="109"/>
    </row>
    <row r="391" spans="1:29" hidden="1" x14ac:dyDescent="0.15">
      <c r="A391" s="98">
        <v>390</v>
      </c>
      <c r="B391" s="99">
        <v>112917</v>
      </c>
      <c r="C391" s="98" t="s">
        <v>6332</v>
      </c>
      <c r="D391" s="100" t="s">
        <v>427</v>
      </c>
      <c r="E391" s="100" t="s">
        <v>342</v>
      </c>
      <c r="F391" s="100" t="s">
        <v>346</v>
      </c>
      <c r="G391" s="98" t="s">
        <v>8</v>
      </c>
      <c r="H391" s="98" t="str">
        <f>VLOOKUP(G391,CGS[],2,FALSE)</f>
        <v>CMA</v>
      </c>
      <c r="I391" s="65">
        <v>1550</v>
      </c>
      <c r="J391" s="101">
        <f>IF(ISBLANK(Pricelist[[#This Row],[EBS]]),"",VALUE(LEFT(Pricelist[[#This Row],[EBS]],LEN(Pricelist[[#This Row],[EBS]])-LEN(Pricelist[[#This Row],[E2]])-1)))</f>
        <v>100</v>
      </c>
      <c r="K391" s="65">
        <v>2900</v>
      </c>
      <c r="L391" s="101">
        <f>IF(ISBLANK(Pricelist[[#This Row],[EBS]]),"",VALUE(RIGHT(Pricelist[[#This Row],[EBS]],3)))</f>
        <v>200</v>
      </c>
      <c r="M391" s="65">
        <v>2975</v>
      </c>
      <c r="N391" s="101">
        <f>IF(ISBLANK(Pricelist[[#This Row],[EBS]]),"",VALUE(RIGHT(Pricelist[[#This Row],[EBS]],3)))</f>
        <v>200</v>
      </c>
      <c r="O391" s="101" t="str">
        <f>IF(AND(Pricelist[[#This Row],[AE1]]&lt;&gt;"",OR(Pricelist[[#This Row],[区]]="南",Pricelist[[#This Row],[区]]="北")),MID(Pricelist[[#This Row],[AE1]],4,2),"")</f>
        <v/>
      </c>
      <c r="P391" s="102">
        <v>1550</v>
      </c>
      <c r="Q391" s="103">
        <v>2900</v>
      </c>
      <c r="R391" s="103">
        <v>2975</v>
      </c>
      <c r="S391" s="104" t="s">
        <v>6328</v>
      </c>
      <c r="T391" s="104"/>
      <c r="U391" s="105" t="s">
        <v>505</v>
      </c>
      <c r="V391" s="100" t="s">
        <v>507</v>
      </c>
      <c r="W391" s="106" t="s">
        <v>316</v>
      </c>
      <c r="X391" s="106" t="s">
        <v>317</v>
      </c>
      <c r="Y391" s="106">
        <v>35</v>
      </c>
      <c r="Z391" s="107">
        <v>43435</v>
      </c>
      <c r="AA391" s="108">
        <v>43449</v>
      </c>
      <c r="AB391" s="109" t="s">
        <v>2381</v>
      </c>
      <c r="AC391" s="109"/>
    </row>
    <row r="392" spans="1:29" ht="38.25" hidden="1" x14ac:dyDescent="0.15">
      <c r="A392" s="98">
        <v>391</v>
      </c>
      <c r="B392" s="99">
        <v>112917</v>
      </c>
      <c r="C392" s="98" t="s">
        <v>6332</v>
      </c>
      <c r="D392" s="100" t="s">
        <v>427</v>
      </c>
      <c r="E392" s="100" t="s">
        <v>342</v>
      </c>
      <c r="F392" s="100" t="s">
        <v>346</v>
      </c>
      <c r="G392" s="98" t="s">
        <v>9</v>
      </c>
      <c r="H392" s="98" t="str">
        <f>VLOOKUP(G392,CGS[],2,FALSE)</f>
        <v>COSCO</v>
      </c>
      <c r="I392" s="65">
        <v>1125</v>
      </c>
      <c r="J392" s="101" t="str">
        <f>IF(ISBLANK(Pricelist[[#This Row],[EBS]]),"",VALUE(LEFT(Pricelist[[#This Row],[EBS]],LEN(Pricelist[[#This Row],[EBS]])-LEN(Pricelist[[#This Row],[E2]])-1)))</f>
        <v/>
      </c>
      <c r="K392" s="65">
        <v>2100</v>
      </c>
      <c r="L392" s="101" t="str">
        <f>IF(ISBLANK(Pricelist[[#This Row],[EBS]]),"",VALUE(RIGHT(Pricelist[[#This Row],[EBS]],3)))</f>
        <v/>
      </c>
      <c r="M392" s="65">
        <v>2150</v>
      </c>
      <c r="N392" s="101" t="str">
        <f>IF(ISBLANK(Pricelist[[#This Row],[EBS]]),"",VALUE(RIGHT(Pricelist[[#This Row],[EBS]],3)))</f>
        <v/>
      </c>
      <c r="O392" s="101" t="str">
        <f>IF(AND(Pricelist[[#This Row],[AE1]]&lt;&gt;"",OR(Pricelist[[#This Row],[区]]="南",Pricelist[[#This Row],[区]]="北")),MID(Pricelist[[#This Row],[AE1]],4,2),"")</f>
        <v>25</v>
      </c>
      <c r="P392" s="102">
        <v>1150</v>
      </c>
      <c r="Q392" s="103">
        <v>2150</v>
      </c>
      <c r="R392" s="103">
        <v>2200</v>
      </c>
      <c r="S392" s="104"/>
      <c r="T392" s="104" t="s">
        <v>2206</v>
      </c>
      <c r="U392" s="105" t="s">
        <v>508</v>
      </c>
      <c r="V392" s="100" t="s">
        <v>507</v>
      </c>
      <c r="W392" s="106" t="s">
        <v>344</v>
      </c>
      <c r="X392" s="106" t="s">
        <v>345</v>
      </c>
      <c r="Y392" s="106">
        <v>30</v>
      </c>
      <c r="Z392" s="107">
        <v>43435</v>
      </c>
      <c r="AA392" s="108">
        <v>43448</v>
      </c>
      <c r="AB392" s="109" t="s">
        <v>2267</v>
      </c>
      <c r="AC392" s="109" t="s">
        <v>312</v>
      </c>
    </row>
    <row r="393" spans="1:29" ht="25.5" hidden="1" x14ac:dyDescent="0.15">
      <c r="A393" s="98">
        <v>392</v>
      </c>
      <c r="B393" s="99">
        <v>112917</v>
      </c>
      <c r="C393" s="98" t="s">
        <v>6332</v>
      </c>
      <c r="D393" s="100" t="s">
        <v>427</v>
      </c>
      <c r="E393" s="100" t="s">
        <v>342</v>
      </c>
      <c r="F393" s="100" t="s">
        <v>346</v>
      </c>
      <c r="G393" s="98" t="s">
        <v>13</v>
      </c>
      <c r="H393" s="98" t="str">
        <f>VLOOKUP(G393,CGS[],2,FALSE)</f>
        <v>EMC</v>
      </c>
      <c r="I393" s="65">
        <v>1725</v>
      </c>
      <c r="J393" s="101" t="str">
        <f>IF(ISBLANK(Pricelist[[#This Row],[EBS]]),"",VALUE(LEFT(Pricelist[[#This Row],[EBS]],LEN(Pricelist[[#This Row],[EBS]])-LEN(Pricelist[[#This Row],[E2]])-1)))</f>
        <v/>
      </c>
      <c r="K393" s="65">
        <v>3050</v>
      </c>
      <c r="L393" s="101" t="str">
        <f>IF(ISBLANK(Pricelist[[#This Row],[EBS]]),"",VALUE(RIGHT(Pricelist[[#This Row],[EBS]],3)))</f>
        <v/>
      </c>
      <c r="M393" s="65">
        <v>3050</v>
      </c>
      <c r="N393" s="101" t="str">
        <f>IF(ISBLANK(Pricelist[[#This Row],[EBS]]),"",VALUE(RIGHT(Pricelist[[#This Row],[EBS]],3)))</f>
        <v/>
      </c>
      <c r="O393" s="101" t="str">
        <f>IF(AND(Pricelist[[#This Row],[AE1]]&lt;&gt;"",OR(Pricelist[[#This Row],[区]]="南",Pricelist[[#This Row],[区]]="北")),MID(Pricelist[[#This Row],[AE1]],4,2),"")</f>
        <v>30</v>
      </c>
      <c r="P393" s="102">
        <v>1725</v>
      </c>
      <c r="Q393" s="103">
        <v>3050</v>
      </c>
      <c r="R393" s="103">
        <v>3050</v>
      </c>
      <c r="S393" s="104"/>
      <c r="T393" s="104" t="s">
        <v>2201</v>
      </c>
      <c r="U393" s="105" t="s">
        <v>525</v>
      </c>
      <c r="V393" s="100" t="s">
        <v>507</v>
      </c>
      <c r="W393" s="106" t="s">
        <v>319</v>
      </c>
      <c r="X393" s="106" t="s">
        <v>320</v>
      </c>
      <c r="Y393" s="106">
        <v>33</v>
      </c>
      <c r="Z393" s="107">
        <v>43344</v>
      </c>
      <c r="AA393" s="108">
        <v>43357</v>
      </c>
      <c r="AB393" s="109" t="s">
        <v>2268</v>
      </c>
      <c r="AC393" s="109" t="s">
        <v>313</v>
      </c>
    </row>
    <row r="394" spans="1:29" ht="25.5" hidden="1" x14ac:dyDescent="0.15">
      <c r="A394" s="98">
        <v>393</v>
      </c>
      <c r="B394" s="99">
        <v>112917</v>
      </c>
      <c r="C394" s="98" t="s">
        <v>6332</v>
      </c>
      <c r="D394" s="100" t="s">
        <v>427</v>
      </c>
      <c r="E394" s="100" t="s">
        <v>342</v>
      </c>
      <c r="F394" s="100" t="s">
        <v>346</v>
      </c>
      <c r="G394" s="98" t="s">
        <v>20</v>
      </c>
      <c r="H394" s="98" t="str">
        <f>VLOOKUP(G394,CGS[],2,FALSE)</f>
        <v>HPL</v>
      </c>
      <c r="I394" s="65">
        <v>1415</v>
      </c>
      <c r="J394" s="101">
        <f>IF(ISBLANK(Pricelist[[#This Row],[EBS]]),"",VALUE(LEFT(Pricelist[[#This Row],[EBS]],LEN(Pricelist[[#This Row],[EBS]])-LEN(Pricelist[[#This Row],[E2]])-1)))</f>
        <v>55</v>
      </c>
      <c r="K394" s="65">
        <v>2530</v>
      </c>
      <c r="L394" s="101">
        <f>IF(ISBLANK(Pricelist[[#This Row],[EBS]]),"",VALUE(RIGHT(Pricelist[[#This Row],[EBS]],3)))</f>
        <v>110</v>
      </c>
      <c r="M394" s="65">
        <v>2530</v>
      </c>
      <c r="N394" s="101">
        <f>IF(ISBLANK(Pricelist[[#This Row],[EBS]]),"",VALUE(RIGHT(Pricelist[[#This Row],[EBS]],3)))</f>
        <v>110</v>
      </c>
      <c r="O394" s="101" t="str">
        <f>IF(AND(Pricelist[[#This Row],[AE1]]&lt;&gt;"",OR(Pricelist[[#This Row],[区]]="南",Pricelist[[#This Row],[区]]="北")),MID(Pricelist[[#This Row],[AE1]],4,2),"")</f>
        <v>35</v>
      </c>
      <c r="P394" s="102">
        <v>1415</v>
      </c>
      <c r="Q394" s="103">
        <v>2530</v>
      </c>
      <c r="R394" s="103">
        <v>2530</v>
      </c>
      <c r="S394" s="104" t="s">
        <v>2204</v>
      </c>
      <c r="T394" s="104" t="s">
        <v>2200</v>
      </c>
      <c r="U394" s="105" t="s">
        <v>512</v>
      </c>
      <c r="V394" s="100" t="s">
        <v>507</v>
      </c>
      <c r="W394" s="106" t="s">
        <v>359</v>
      </c>
      <c r="X394" s="106" t="s">
        <v>2266</v>
      </c>
      <c r="Y394" s="106">
        <v>33</v>
      </c>
      <c r="Z394" s="107">
        <v>43296</v>
      </c>
      <c r="AA394" s="108">
        <v>43312</v>
      </c>
      <c r="AB394" s="109" t="s">
        <v>2260</v>
      </c>
      <c r="AC394" s="109" t="s">
        <v>3699</v>
      </c>
    </row>
    <row r="395" spans="1:29" hidden="1" x14ac:dyDescent="0.15">
      <c r="A395" s="98">
        <v>394</v>
      </c>
      <c r="B395" s="99">
        <v>112917</v>
      </c>
      <c r="C395" s="98" t="s">
        <v>6332</v>
      </c>
      <c r="D395" s="100" t="s">
        <v>427</v>
      </c>
      <c r="E395" s="100" t="s">
        <v>342</v>
      </c>
      <c r="F395" s="100" t="s">
        <v>346</v>
      </c>
      <c r="G395" s="98" t="s">
        <v>17</v>
      </c>
      <c r="H395" s="98" t="str">
        <f>VLOOKUP(G395,CGS[],2,FALSE)</f>
        <v>MSC</v>
      </c>
      <c r="I395" s="65">
        <v>1300</v>
      </c>
      <c r="J395" s="101">
        <f>IF(ISBLANK(Pricelist[[#This Row],[EBS]]),"",VALUE(LEFT(Pricelist[[#This Row],[EBS]],LEN(Pricelist[[#This Row],[EBS]])-LEN(Pricelist[[#This Row],[E2]])-1)))</f>
        <v>65</v>
      </c>
      <c r="K395" s="65">
        <v>2550</v>
      </c>
      <c r="L395" s="101">
        <f>IF(ISBLANK(Pricelist[[#This Row],[EBS]]),"",VALUE(RIGHT(Pricelist[[#This Row],[EBS]],3)))</f>
        <v>130</v>
      </c>
      <c r="M395" s="65">
        <v>2600</v>
      </c>
      <c r="N395" s="101">
        <f>IF(ISBLANK(Pricelist[[#This Row],[EBS]]),"",VALUE(RIGHT(Pricelist[[#This Row],[EBS]],3)))</f>
        <v>130</v>
      </c>
      <c r="O395" s="101" t="str">
        <f>IF(AND(Pricelist[[#This Row],[AE1]]&lt;&gt;"",OR(Pricelist[[#This Row],[区]]="南",Pricelist[[#This Row],[区]]="北")),MID(Pricelist[[#This Row],[AE1]],4,2),"")</f>
        <v/>
      </c>
      <c r="P395" s="102">
        <v>1300</v>
      </c>
      <c r="Q395" s="103">
        <v>2550</v>
      </c>
      <c r="R395" s="103">
        <v>2600</v>
      </c>
      <c r="S395" s="104" t="s">
        <v>3678</v>
      </c>
      <c r="T395" s="104"/>
      <c r="U395" s="105" t="s">
        <v>511</v>
      </c>
      <c r="V395" s="100" t="s">
        <v>507</v>
      </c>
      <c r="W395" s="106" t="s">
        <v>304</v>
      </c>
      <c r="X395" s="106" t="s">
        <v>305</v>
      </c>
      <c r="Y395" s="106">
        <v>35</v>
      </c>
      <c r="Z395" s="107">
        <v>43423</v>
      </c>
      <c r="AA395" s="108">
        <v>43429</v>
      </c>
      <c r="AB395" s="109"/>
      <c r="AC395" s="109"/>
    </row>
    <row r="396" spans="1:29" ht="25.5" hidden="1" x14ac:dyDescent="0.15">
      <c r="A396" s="98">
        <v>395</v>
      </c>
      <c r="B396" s="99">
        <v>112917</v>
      </c>
      <c r="C396" s="98" t="s">
        <v>6332</v>
      </c>
      <c r="D396" s="100" t="s">
        <v>347</v>
      </c>
      <c r="E396" s="100" t="s">
        <v>342</v>
      </c>
      <c r="F396" s="100" t="s">
        <v>348</v>
      </c>
      <c r="G396" s="98" t="s">
        <v>20</v>
      </c>
      <c r="H396" s="98" t="str">
        <f>VLOOKUP(G396,CGS[],2,FALSE)</f>
        <v>HPL</v>
      </c>
      <c r="I396" s="65">
        <v>1415</v>
      </c>
      <c r="J396" s="101">
        <f>IF(ISBLANK(Pricelist[[#This Row],[EBS]]),"",VALUE(LEFT(Pricelist[[#This Row],[EBS]],LEN(Pricelist[[#This Row],[EBS]])-LEN(Pricelist[[#This Row],[E2]])-1)))</f>
        <v>55</v>
      </c>
      <c r="K396" s="65">
        <v>2530</v>
      </c>
      <c r="L396" s="101">
        <f>IF(ISBLANK(Pricelist[[#This Row],[EBS]]),"",VALUE(RIGHT(Pricelist[[#This Row],[EBS]],3)))</f>
        <v>110</v>
      </c>
      <c r="M396" s="65">
        <v>2530</v>
      </c>
      <c r="N396" s="101">
        <f>IF(ISBLANK(Pricelist[[#This Row],[EBS]]),"",VALUE(RIGHT(Pricelist[[#This Row],[EBS]],3)))</f>
        <v>110</v>
      </c>
      <c r="O396" s="101" t="str">
        <f>IF(AND(Pricelist[[#This Row],[AE1]]&lt;&gt;"",OR(Pricelist[[#This Row],[区]]="南",Pricelist[[#This Row],[区]]="北")),MID(Pricelist[[#This Row],[AE1]],4,2),"")</f>
        <v>35</v>
      </c>
      <c r="P396" s="102">
        <v>1415</v>
      </c>
      <c r="Q396" s="103">
        <v>2530</v>
      </c>
      <c r="R396" s="103">
        <v>2530</v>
      </c>
      <c r="S396" s="104" t="s">
        <v>2204</v>
      </c>
      <c r="T396" s="104" t="s">
        <v>2200</v>
      </c>
      <c r="U396" s="105" t="s">
        <v>512</v>
      </c>
      <c r="V396" s="100" t="s">
        <v>507</v>
      </c>
      <c r="W396" s="106" t="s">
        <v>359</v>
      </c>
      <c r="X396" s="106" t="s">
        <v>2266</v>
      </c>
      <c r="Y396" s="106">
        <v>27</v>
      </c>
      <c r="Z396" s="107">
        <v>43296</v>
      </c>
      <c r="AA396" s="108">
        <v>43312</v>
      </c>
      <c r="AB396" s="109" t="s">
        <v>3504</v>
      </c>
      <c r="AC396" s="109" t="s">
        <v>3699</v>
      </c>
    </row>
    <row r="397" spans="1:29" hidden="1" x14ac:dyDescent="0.15">
      <c r="A397" s="98">
        <v>396</v>
      </c>
      <c r="B397" s="99">
        <v>112917</v>
      </c>
      <c r="C397" s="98" t="s">
        <v>6332</v>
      </c>
      <c r="D397" s="100" t="s">
        <v>347</v>
      </c>
      <c r="E397" s="100" t="s">
        <v>342</v>
      </c>
      <c r="F397" s="100" t="s">
        <v>348</v>
      </c>
      <c r="G397" s="98" t="s">
        <v>8</v>
      </c>
      <c r="H397" s="98" t="str">
        <f>VLOOKUP(G397,CGS[],2,FALSE)</f>
        <v>CMA</v>
      </c>
      <c r="I397" s="65">
        <v>1625</v>
      </c>
      <c r="J397" s="101">
        <f>IF(ISBLANK(Pricelist[[#This Row],[EBS]]),"",VALUE(LEFT(Pricelist[[#This Row],[EBS]],LEN(Pricelist[[#This Row],[EBS]])-LEN(Pricelist[[#This Row],[E2]])-1)))</f>
        <v>100</v>
      </c>
      <c r="K397" s="65">
        <v>3050</v>
      </c>
      <c r="L397" s="101">
        <f>IF(ISBLANK(Pricelist[[#This Row],[EBS]]),"",VALUE(RIGHT(Pricelist[[#This Row],[EBS]],3)))</f>
        <v>200</v>
      </c>
      <c r="M397" s="65">
        <v>3125</v>
      </c>
      <c r="N397" s="101">
        <f>IF(ISBLANK(Pricelist[[#This Row],[EBS]]),"",VALUE(RIGHT(Pricelist[[#This Row],[EBS]],3)))</f>
        <v>200</v>
      </c>
      <c r="O397" s="101" t="str">
        <f>IF(AND(Pricelist[[#This Row],[AE1]]&lt;&gt;"",OR(Pricelist[[#This Row],[区]]="南",Pricelist[[#This Row],[区]]="北")),MID(Pricelist[[#This Row],[AE1]],4,2),"")</f>
        <v/>
      </c>
      <c r="P397" s="102">
        <v>1625</v>
      </c>
      <c r="Q397" s="103">
        <v>3050</v>
      </c>
      <c r="R397" s="103">
        <v>3125</v>
      </c>
      <c r="S397" s="104" t="s">
        <v>6328</v>
      </c>
      <c r="T397" s="104"/>
      <c r="U397" s="105" t="s">
        <v>510</v>
      </c>
      <c r="V397" s="100" t="s">
        <v>507</v>
      </c>
      <c r="W397" s="106" t="s">
        <v>337</v>
      </c>
      <c r="X397" s="106" t="s">
        <v>317</v>
      </c>
      <c r="Y397" s="106">
        <v>36</v>
      </c>
      <c r="Z397" s="107">
        <v>43435</v>
      </c>
      <c r="AA397" s="108">
        <v>43449</v>
      </c>
      <c r="AB397" s="109"/>
      <c r="AC397" s="109"/>
    </row>
    <row r="398" spans="1:29" hidden="1" x14ac:dyDescent="0.15">
      <c r="A398" s="98">
        <v>397</v>
      </c>
      <c r="B398" s="99">
        <v>112917</v>
      </c>
      <c r="C398" s="98" t="s">
        <v>6332</v>
      </c>
      <c r="D398" s="100" t="s">
        <v>428</v>
      </c>
      <c r="E398" s="100" t="s">
        <v>342</v>
      </c>
      <c r="F398" s="100" t="s">
        <v>429</v>
      </c>
      <c r="G398" s="98" t="s">
        <v>17</v>
      </c>
      <c r="H398" s="98" t="str">
        <f>VLOOKUP(G398,CGS[],2,FALSE)</f>
        <v>MSC</v>
      </c>
      <c r="I398" s="65">
        <v>1300</v>
      </c>
      <c r="J398" s="101">
        <f>IF(ISBLANK(Pricelist[[#This Row],[EBS]]),"",VALUE(LEFT(Pricelist[[#This Row],[EBS]],LEN(Pricelist[[#This Row],[EBS]])-LEN(Pricelist[[#This Row],[E2]])-1)))</f>
        <v>65</v>
      </c>
      <c r="K398" s="65">
        <v>2550</v>
      </c>
      <c r="L398" s="101">
        <f>IF(ISBLANK(Pricelist[[#This Row],[EBS]]),"",VALUE(RIGHT(Pricelist[[#This Row],[EBS]],3)))</f>
        <v>130</v>
      </c>
      <c r="M398" s="65">
        <v>2600</v>
      </c>
      <c r="N398" s="101">
        <f>IF(ISBLANK(Pricelist[[#This Row],[EBS]]),"",VALUE(RIGHT(Pricelist[[#This Row],[EBS]],3)))</f>
        <v>130</v>
      </c>
      <c r="O398" s="101" t="str">
        <f>IF(AND(Pricelist[[#This Row],[AE1]]&lt;&gt;"",OR(Pricelist[[#This Row],[区]]="南",Pricelist[[#This Row],[区]]="北")),MID(Pricelist[[#This Row],[AE1]],4,2),"")</f>
        <v/>
      </c>
      <c r="P398" s="102">
        <v>1300</v>
      </c>
      <c r="Q398" s="103">
        <v>2550</v>
      </c>
      <c r="R398" s="103">
        <v>2600</v>
      </c>
      <c r="S398" s="104" t="s">
        <v>3678</v>
      </c>
      <c r="T398" s="104"/>
      <c r="U398" s="105" t="s">
        <v>511</v>
      </c>
      <c r="V398" s="100" t="s">
        <v>507</v>
      </c>
      <c r="W398" s="106" t="s">
        <v>304</v>
      </c>
      <c r="X398" s="106" t="s">
        <v>305</v>
      </c>
      <c r="Y398" s="106">
        <v>36</v>
      </c>
      <c r="Z398" s="107">
        <v>43423</v>
      </c>
      <c r="AA398" s="108">
        <v>43429</v>
      </c>
      <c r="AB398" s="109"/>
      <c r="AC398" s="109"/>
    </row>
    <row r="399" spans="1:29" hidden="1" x14ac:dyDescent="0.15">
      <c r="A399" s="98">
        <v>398</v>
      </c>
      <c r="B399" s="99">
        <v>112917</v>
      </c>
      <c r="C399" s="98" t="s">
        <v>6332</v>
      </c>
      <c r="D399" s="100" t="s">
        <v>428</v>
      </c>
      <c r="E399" s="100" t="s">
        <v>342</v>
      </c>
      <c r="F399" s="100" t="s">
        <v>429</v>
      </c>
      <c r="G399" s="98" t="s">
        <v>8</v>
      </c>
      <c r="H399" s="98" t="str">
        <f>VLOOKUP(G399,CGS[],2,FALSE)</f>
        <v>CMA</v>
      </c>
      <c r="I399" s="65">
        <v>1550</v>
      </c>
      <c r="J399" s="101">
        <f>IF(ISBLANK(Pricelist[[#This Row],[EBS]]),"",VALUE(LEFT(Pricelist[[#This Row],[EBS]],LEN(Pricelist[[#This Row],[EBS]])-LEN(Pricelist[[#This Row],[E2]])-1)))</f>
        <v>100</v>
      </c>
      <c r="K399" s="65">
        <v>2900</v>
      </c>
      <c r="L399" s="101">
        <f>IF(ISBLANK(Pricelist[[#This Row],[EBS]]),"",VALUE(RIGHT(Pricelist[[#This Row],[EBS]],3)))</f>
        <v>200</v>
      </c>
      <c r="M399" s="65">
        <v>2975</v>
      </c>
      <c r="N399" s="101">
        <f>IF(ISBLANK(Pricelist[[#This Row],[EBS]]),"",VALUE(RIGHT(Pricelist[[#This Row],[EBS]],3)))</f>
        <v>200</v>
      </c>
      <c r="O399" s="101" t="str">
        <f>IF(AND(Pricelist[[#This Row],[AE1]]&lt;&gt;"",OR(Pricelist[[#This Row],[区]]="南",Pricelist[[#This Row],[区]]="北")),MID(Pricelist[[#This Row],[AE1]],4,2),"")</f>
        <v/>
      </c>
      <c r="P399" s="102">
        <v>1550</v>
      </c>
      <c r="Q399" s="103">
        <v>2900</v>
      </c>
      <c r="R399" s="103">
        <v>2975</v>
      </c>
      <c r="S399" s="104" t="s">
        <v>6328</v>
      </c>
      <c r="T399" s="104"/>
      <c r="U399" s="105" t="s">
        <v>505</v>
      </c>
      <c r="V399" s="100" t="s">
        <v>507</v>
      </c>
      <c r="W399" s="106" t="s">
        <v>316</v>
      </c>
      <c r="X399" s="106" t="s">
        <v>317</v>
      </c>
      <c r="Y399" s="106">
        <v>34</v>
      </c>
      <c r="Z399" s="107">
        <v>43435</v>
      </c>
      <c r="AA399" s="108">
        <v>43449</v>
      </c>
      <c r="AB399" s="109" t="s">
        <v>2381</v>
      </c>
      <c r="AC399" s="109"/>
    </row>
    <row r="400" spans="1:29" ht="25.5" hidden="1" x14ac:dyDescent="0.15">
      <c r="A400" s="98">
        <v>399</v>
      </c>
      <c r="B400" s="99">
        <v>112917</v>
      </c>
      <c r="C400" s="98" t="s">
        <v>6332</v>
      </c>
      <c r="D400" s="100" t="s">
        <v>428</v>
      </c>
      <c r="E400" s="100" t="s">
        <v>342</v>
      </c>
      <c r="F400" s="100" t="s">
        <v>429</v>
      </c>
      <c r="G400" s="98" t="s">
        <v>20</v>
      </c>
      <c r="H400" s="98" t="str">
        <f>VLOOKUP(G400,CGS[],2,FALSE)</f>
        <v>HPL</v>
      </c>
      <c r="I400" s="65">
        <v>1415</v>
      </c>
      <c r="J400" s="101">
        <f>IF(ISBLANK(Pricelist[[#This Row],[EBS]]),"",VALUE(LEFT(Pricelist[[#This Row],[EBS]],LEN(Pricelist[[#This Row],[EBS]])-LEN(Pricelist[[#This Row],[E2]])-1)))</f>
        <v>55</v>
      </c>
      <c r="K400" s="65">
        <v>2530</v>
      </c>
      <c r="L400" s="101">
        <f>IF(ISBLANK(Pricelist[[#This Row],[EBS]]),"",VALUE(RIGHT(Pricelist[[#This Row],[EBS]],3)))</f>
        <v>110</v>
      </c>
      <c r="M400" s="65">
        <v>2530</v>
      </c>
      <c r="N400" s="101">
        <f>IF(ISBLANK(Pricelist[[#This Row],[EBS]]),"",VALUE(RIGHT(Pricelist[[#This Row],[EBS]],3)))</f>
        <v>110</v>
      </c>
      <c r="O400" s="101" t="str">
        <f>IF(AND(Pricelist[[#This Row],[AE1]]&lt;&gt;"",OR(Pricelist[[#This Row],[区]]="南",Pricelist[[#This Row],[区]]="北")),MID(Pricelist[[#This Row],[AE1]],4,2),"")</f>
        <v>35</v>
      </c>
      <c r="P400" s="102">
        <v>1415</v>
      </c>
      <c r="Q400" s="103">
        <v>2530</v>
      </c>
      <c r="R400" s="103">
        <v>2530</v>
      </c>
      <c r="S400" s="104" t="s">
        <v>2204</v>
      </c>
      <c r="T400" s="104" t="s">
        <v>2200</v>
      </c>
      <c r="U400" s="105" t="s">
        <v>512</v>
      </c>
      <c r="V400" s="100" t="s">
        <v>507</v>
      </c>
      <c r="W400" s="106" t="s">
        <v>359</v>
      </c>
      <c r="X400" s="106" t="s">
        <v>2266</v>
      </c>
      <c r="Y400" s="106">
        <v>26</v>
      </c>
      <c r="Z400" s="107">
        <v>43296</v>
      </c>
      <c r="AA400" s="108">
        <v>43312</v>
      </c>
      <c r="AB400" s="109" t="s">
        <v>2255</v>
      </c>
      <c r="AC400" s="109" t="s">
        <v>3699</v>
      </c>
    </row>
    <row r="401" spans="1:29" ht="38.25" hidden="1" x14ac:dyDescent="0.15">
      <c r="A401" s="98">
        <v>400</v>
      </c>
      <c r="B401" s="99">
        <v>112917</v>
      </c>
      <c r="C401" s="98" t="s">
        <v>6332</v>
      </c>
      <c r="D401" s="100" t="s">
        <v>428</v>
      </c>
      <c r="E401" s="100" t="s">
        <v>342</v>
      </c>
      <c r="F401" s="100" t="s">
        <v>429</v>
      </c>
      <c r="G401" s="98" t="s">
        <v>9</v>
      </c>
      <c r="H401" s="98" t="str">
        <f>VLOOKUP(G401,CGS[],2,FALSE)</f>
        <v>COSCO</v>
      </c>
      <c r="I401" s="65">
        <v>1125</v>
      </c>
      <c r="J401" s="101" t="str">
        <f>IF(ISBLANK(Pricelist[[#This Row],[EBS]]),"",VALUE(LEFT(Pricelist[[#This Row],[EBS]],LEN(Pricelist[[#This Row],[EBS]])-LEN(Pricelist[[#This Row],[E2]])-1)))</f>
        <v/>
      </c>
      <c r="K401" s="65">
        <v>2100</v>
      </c>
      <c r="L401" s="101" t="str">
        <f>IF(ISBLANK(Pricelist[[#This Row],[EBS]]),"",VALUE(RIGHT(Pricelist[[#This Row],[EBS]],3)))</f>
        <v/>
      </c>
      <c r="M401" s="65">
        <v>2150</v>
      </c>
      <c r="N401" s="101" t="str">
        <f>IF(ISBLANK(Pricelist[[#This Row],[EBS]]),"",VALUE(RIGHT(Pricelist[[#This Row],[EBS]],3)))</f>
        <v/>
      </c>
      <c r="O401" s="101" t="str">
        <f>IF(AND(Pricelist[[#This Row],[AE1]]&lt;&gt;"",OR(Pricelist[[#This Row],[区]]="南",Pricelist[[#This Row],[区]]="北")),MID(Pricelist[[#This Row],[AE1]],4,2),"")</f>
        <v>25</v>
      </c>
      <c r="P401" s="102">
        <v>1150</v>
      </c>
      <c r="Q401" s="103">
        <v>2150</v>
      </c>
      <c r="R401" s="103">
        <v>2200</v>
      </c>
      <c r="S401" s="104"/>
      <c r="T401" s="104" t="s">
        <v>2206</v>
      </c>
      <c r="U401" s="105" t="s">
        <v>508</v>
      </c>
      <c r="V401" s="100" t="s">
        <v>507</v>
      </c>
      <c r="W401" s="106" t="s">
        <v>344</v>
      </c>
      <c r="X401" s="106" t="s">
        <v>345</v>
      </c>
      <c r="Y401" s="106">
        <v>30</v>
      </c>
      <c r="Z401" s="107">
        <v>43435</v>
      </c>
      <c r="AA401" s="108">
        <v>43448</v>
      </c>
      <c r="AB401" s="109" t="s">
        <v>2267</v>
      </c>
      <c r="AC401" s="109" t="s">
        <v>312</v>
      </c>
    </row>
    <row r="402" spans="1:29" ht="25.5" hidden="1" x14ac:dyDescent="0.15">
      <c r="A402" s="98">
        <v>401</v>
      </c>
      <c r="B402" s="99">
        <v>112917</v>
      </c>
      <c r="C402" s="98" t="s">
        <v>6332</v>
      </c>
      <c r="D402" s="100" t="s">
        <v>2269</v>
      </c>
      <c r="E402" s="100" t="s">
        <v>342</v>
      </c>
      <c r="F402" s="100" t="s">
        <v>2270</v>
      </c>
      <c r="G402" s="98" t="s">
        <v>20</v>
      </c>
      <c r="H402" s="98" t="str">
        <f>VLOOKUP(G402,CGS[],2,FALSE)</f>
        <v>HPL</v>
      </c>
      <c r="I402" s="65">
        <v>1530</v>
      </c>
      <c r="J402" s="101">
        <f>IF(ISBLANK(Pricelist[[#This Row],[EBS]]),"",VALUE(LEFT(Pricelist[[#This Row],[EBS]],LEN(Pricelist[[#This Row],[EBS]])-LEN(Pricelist[[#This Row],[E2]])-1)))</f>
        <v>55</v>
      </c>
      <c r="K402" s="65">
        <v>2760</v>
      </c>
      <c r="L402" s="101">
        <f>IF(ISBLANK(Pricelist[[#This Row],[EBS]]),"",VALUE(RIGHT(Pricelist[[#This Row],[EBS]],3)))</f>
        <v>110</v>
      </c>
      <c r="M402" s="65">
        <v>2760</v>
      </c>
      <c r="N402" s="101">
        <f>IF(ISBLANK(Pricelist[[#This Row],[EBS]]),"",VALUE(RIGHT(Pricelist[[#This Row],[EBS]],3)))</f>
        <v>110</v>
      </c>
      <c r="O402" s="101" t="str">
        <f>IF(AND(Pricelist[[#This Row],[AE1]]&lt;&gt;"",OR(Pricelist[[#This Row],[区]]="南",Pricelist[[#This Row],[区]]="北")),MID(Pricelist[[#This Row],[AE1]],4,2),"")</f>
        <v>35</v>
      </c>
      <c r="P402" s="102">
        <v>1530</v>
      </c>
      <c r="Q402" s="103">
        <v>2760</v>
      </c>
      <c r="R402" s="103">
        <v>2760</v>
      </c>
      <c r="S402" s="104" t="s">
        <v>2204</v>
      </c>
      <c r="T402" s="104" t="s">
        <v>2200</v>
      </c>
      <c r="U402" s="105" t="s">
        <v>512</v>
      </c>
      <c r="V402" s="100" t="s">
        <v>507</v>
      </c>
      <c r="W402" s="106" t="s">
        <v>359</v>
      </c>
      <c r="X402" s="106" t="s">
        <v>2266</v>
      </c>
      <c r="Y402" s="106">
        <v>26</v>
      </c>
      <c r="Z402" s="107">
        <v>43296</v>
      </c>
      <c r="AA402" s="108">
        <v>43312</v>
      </c>
      <c r="AB402" s="109" t="s">
        <v>2260</v>
      </c>
      <c r="AC402" s="109" t="s">
        <v>3699</v>
      </c>
    </row>
    <row r="403" spans="1:29" hidden="1" x14ac:dyDescent="0.15">
      <c r="A403" s="98">
        <v>402</v>
      </c>
      <c r="B403" s="99">
        <v>112917</v>
      </c>
      <c r="C403" s="98" t="s">
        <v>6332</v>
      </c>
      <c r="D403" s="100" t="s">
        <v>349</v>
      </c>
      <c r="E403" s="100" t="s">
        <v>350</v>
      </c>
      <c r="F403" s="100" t="s">
        <v>351</v>
      </c>
      <c r="G403" s="98" t="s">
        <v>8</v>
      </c>
      <c r="H403" s="98" t="str">
        <f>VLOOKUP(G403,CGS[],2,FALSE)</f>
        <v>CMA</v>
      </c>
      <c r="I403" s="65">
        <v>925</v>
      </c>
      <c r="J403" s="101">
        <f>IF(ISBLANK(Pricelist[[#This Row],[EBS]]),"",VALUE(LEFT(Pricelist[[#This Row],[EBS]],LEN(Pricelist[[#This Row],[EBS]])-LEN(Pricelist[[#This Row],[E2]])-1)))</f>
        <v>100</v>
      </c>
      <c r="K403" s="65">
        <v>1350</v>
      </c>
      <c r="L403" s="101">
        <f>IF(ISBLANK(Pricelist[[#This Row],[EBS]]),"",VALUE(RIGHT(Pricelist[[#This Row],[EBS]],3)))</f>
        <v>200</v>
      </c>
      <c r="M403" s="65">
        <v>1350</v>
      </c>
      <c r="N403" s="101">
        <f>IF(ISBLANK(Pricelist[[#This Row],[EBS]]),"",VALUE(RIGHT(Pricelist[[#This Row],[EBS]],3)))</f>
        <v>200</v>
      </c>
      <c r="O403" s="101" t="str">
        <f>IF(AND(Pricelist[[#This Row],[AE1]]&lt;&gt;"",OR(Pricelist[[#This Row],[区]]="南",Pricelist[[#This Row],[区]]="北")),MID(Pricelist[[#This Row],[AE1]],4,2),"")</f>
        <v>25</v>
      </c>
      <c r="P403" s="102">
        <v>925</v>
      </c>
      <c r="Q403" s="103">
        <v>1350</v>
      </c>
      <c r="R403" s="103">
        <v>1350</v>
      </c>
      <c r="S403" s="104" t="s">
        <v>6328</v>
      </c>
      <c r="T403" s="104" t="s">
        <v>2206</v>
      </c>
      <c r="U403" s="105" t="s">
        <v>508</v>
      </c>
      <c r="V403" s="100" t="s">
        <v>507</v>
      </c>
      <c r="W403" s="106" t="s">
        <v>352</v>
      </c>
      <c r="X403" s="106" t="s">
        <v>353</v>
      </c>
      <c r="Y403" s="106">
        <v>28</v>
      </c>
      <c r="Z403" s="107">
        <v>43435</v>
      </c>
      <c r="AA403" s="108">
        <v>43448</v>
      </c>
      <c r="AB403" s="109" t="s">
        <v>3701</v>
      </c>
      <c r="AC403" s="109"/>
    </row>
    <row r="404" spans="1:29" hidden="1" x14ac:dyDescent="0.15">
      <c r="A404" s="98">
        <v>403</v>
      </c>
      <c r="B404" s="99">
        <v>112917</v>
      </c>
      <c r="C404" s="98" t="s">
        <v>6332</v>
      </c>
      <c r="D404" s="100" t="s">
        <v>354</v>
      </c>
      <c r="E404" s="100" t="s">
        <v>350</v>
      </c>
      <c r="F404" s="100" t="s">
        <v>355</v>
      </c>
      <c r="G404" s="98" t="s">
        <v>21</v>
      </c>
      <c r="H404" s="98" t="str">
        <f>VLOOKUP(G404,CGS[],2,FALSE)</f>
        <v>MSK</v>
      </c>
      <c r="I404" s="65">
        <v>1100</v>
      </c>
      <c r="J404" s="101">
        <f>IF(ISBLANK(Pricelist[[#This Row],[EBS]]),"",VALUE(LEFT(Pricelist[[#This Row],[EBS]],LEN(Pricelist[[#This Row],[EBS]])-LEN(Pricelist[[#This Row],[E2]])-1)))</f>
        <v>60</v>
      </c>
      <c r="K404" s="65">
        <v>1500</v>
      </c>
      <c r="L404" s="101">
        <f>IF(ISBLANK(Pricelist[[#This Row],[EBS]]),"",VALUE(RIGHT(Pricelist[[#This Row],[EBS]],3)))</f>
        <v>120</v>
      </c>
      <c r="M404" s="65">
        <v>1500</v>
      </c>
      <c r="N404" s="101">
        <f>IF(ISBLANK(Pricelist[[#This Row],[EBS]]),"",VALUE(RIGHT(Pricelist[[#This Row],[EBS]],3)))</f>
        <v>120</v>
      </c>
      <c r="O404" s="101" t="str">
        <f>IF(AND(Pricelist[[#This Row],[AE1]]&lt;&gt;"",OR(Pricelist[[#This Row],[区]]="南",Pricelist[[#This Row],[区]]="北")),MID(Pricelist[[#This Row],[AE1]],4,2),"")</f>
        <v/>
      </c>
      <c r="P404" s="102">
        <v>1100</v>
      </c>
      <c r="Q404" s="103">
        <v>1500</v>
      </c>
      <c r="R404" s="103">
        <v>1500</v>
      </c>
      <c r="S404" s="104" t="s">
        <v>2199</v>
      </c>
      <c r="T404" s="104"/>
      <c r="U404" s="105" t="s">
        <v>2271</v>
      </c>
      <c r="V404" s="100" t="s">
        <v>507</v>
      </c>
      <c r="W404" s="106" t="s">
        <v>356</v>
      </c>
      <c r="X404" s="106" t="s">
        <v>345</v>
      </c>
      <c r="Y404" s="106">
        <v>27</v>
      </c>
      <c r="Z404" s="107">
        <v>43419</v>
      </c>
      <c r="AA404" s="108">
        <v>43434</v>
      </c>
      <c r="AB404" s="109"/>
      <c r="AC404" s="109"/>
    </row>
    <row r="405" spans="1:29" hidden="1" x14ac:dyDescent="0.15">
      <c r="A405" s="98">
        <v>404</v>
      </c>
      <c r="B405" s="99">
        <v>112917</v>
      </c>
      <c r="C405" s="98" t="s">
        <v>6332</v>
      </c>
      <c r="D405" s="100" t="s">
        <v>354</v>
      </c>
      <c r="E405" s="100" t="s">
        <v>350</v>
      </c>
      <c r="F405" s="100" t="s">
        <v>355</v>
      </c>
      <c r="G405" s="98" t="s">
        <v>24</v>
      </c>
      <c r="H405" s="98" t="str">
        <f>VLOOKUP(G405,CGS[],2,FALSE)</f>
        <v>SAF</v>
      </c>
      <c r="I405" s="65">
        <v>1025</v>
      </c>
      <c r="J405" s="101">
        <f>IF(ISBLANK(Pricelist[[#This Row],[EBS]]),"",VALUE(LEFT(Pricelist[[#This Row],[EBS]],LEN(Pricelist[[#This Row],[EBS]])-LEN(Pricelist[[#This Row],[E2]])-1)))</f>
        <v>60</v>
      </c>
      <c r="K405" s="65">
        <v>1350</v>
      </c>
      <c r="L405" s="101">
        <f>IF(ISBLANK(Pricelist[[#This Row],[EBS]]),"",VALUE(RIGHT(Pricelist[[#This Row],[EBS]],3)))</f>
        <v>120</v>
      </c>
      <c r="M405" s="65">
        <v>1350</v>
      </c>
      <c r="N405" s="101">
        <f>IF(ISBLANK(Pricelist[[#This Row],[EBS]]),"",VALUE(RIGHT(Pricelist[[#This Row],[EBS]],3)))</f>
        <v>120</v>
      </c>
      <c r="O405" s="101" t="str">
        <f>IF(AND(Pricelist[[#This Row],[AE1]]&lt;&gt;"",OR(Pricelist[[#This Row],[区]]="南",Pricelist[[#This Row],[区]]="北")),MID(Pricelist[[#This Row],[AE1]],4,2),"")</f>
        <v/>
      </c>
      <c r="P405" s="102">
        <v>1025</v>
      </c>
      <c r="Q405" s="103">
        <v>1350</v>
      </c>
      <c r="R405" s="103">
        <v>1350</v>
      </c>
      <c r="S405" s="104" t="s">
        <v>2199</v>
      </c>
      <c r="T405" s="104"/>
      <c r="U405" s="105">
        <v>4</v>
      </c>
      <c r="V405" s="100" t="s">
        <v>507</v>
      </c>
      <c r="W405" s="106" t="s">
        <v>356</v>
      </c>
      <c r="X405" s="106" t="s">
        <v>345</v>
      </c>
      <c r="Y405" s="106">
        <v>27</v>
      </c>
      <c r="Z405" s="107">
        <v>43405</v>
      </c>
      <c r="AA405" s="108">
        <v>43419</v>
      </c>
      <c r="AB405" s="109" t="s">
        <v>357</v>
      </c>
      <c r="AC405" s="109"/>
    </row>
    <row r="406" spans="1:29" hidden="1" x14ac:dyDescent="0.15">
      <c r="A406" s="98">
        <v>405</v>
      </c>
      <c r="B406" s="99">
        <v>112917</v>
      </c>
      <c r="C406" s="98" t="s">
        <v>6332</v>
      </c>
      <c r="D406" s="100" t="s">
        <v>358</v>
      </c>
      <c r="E406" s="100" t="s">
        <v>350</v>
      </c>
      <c r="F406" s="100" t="s">
        <v>351</v>
      </c>
      <c r="G406" s="98" t="s">
        <v>21</v>
      </c>
      <c r="H406" s="98" t="str">
        <f>VLOOKUP(G406,CGS[],2,FALSE)</f>
        <v>MSK</v>
      </c>
      <c r="I406" s="65">
        <v>1100</v>
      </c>
      <c r="J406" s="101">
        <f>IF(ISBLANK(Pricelist[[#This Row],[EBS]]),"",VALUE(LEFT(Pricelist[[#This Row],[EBS]],LEN(Pricelist[[#This Row],[EBS]])-LEN(Pricelist[[#This Row],[E2]])-1)))</f>
        <v>60</v>
      </c>
      <c r="K406" s="65">
        <v>1500</v>
      </c>
      <c r="L406" s="101">
        <f>IF(ISBLANK(Pricelist[[#This Row],[EBS]]),"",VALUE(RIGHT(Pricelist[[#This Row],[EBS]],3)))</f>
        <v>120</v>
      </c>
      <c r="M406" s="65">
        <v>1500</v>
      </c>
      <c r="N406" s="101">
        <f>IF(ISBLANK(Pricelist[[#This Row],[EBS]]),"",VALUE(RIGHT(Pricelist[[#This Row],[EBS]],3)))</f>
        <v>120</v>
      </c>
      <c r="O406" s="101" t="str">
        <f>IF(AND(Pricelist[[#This Row],[AE1]]&lt;&gt;"",OR(Pricelist[[#This Row],[区]]="南",Pricelist[[#This Row],[区]]="北")),MID(Pricelist[[#This Row],[AE1]],4,2),"")</f>
        <v/>
      </c>
      <c r="P406" s="102">
        <v>1100</v>
      </c>
      <c r="Q406" s="103">
        <v>1500</v>
      </c>
      <c r="R406" s="103">
        <v>1500</v>
      </c>
      <c r="S406" s="104" t="s">
        <v>2199</v>
      </c>
      <c r="T406" s="104"/>
      <c r="U406" s="105" t="s">
        <v>2271</v>
      </c>
      <c r="V406" s="100" t="s">
        <v>507</v>
      </c>
      <c r="W406" s="106" t="s">
        <v>356</v>
      </c>
      <c r="X406" s="106" t="s">
        <v>345</v>
      </c>
      <c r="Y406" s="106">
        <v>30</v>
      </c>
      <c r="Z406" s="107">
        <v>43419</v>
      </c>
      <c r="AA406" s="108">
        <v>43434</v>
      </c>
      <c r="AB406" s="109"/>
      <c r="AC406" s="109"/>
    </row>
    <row r="407" spans="1:29" hidden="1" x14ac:dyDescent="0.15">
      <c r="A407" s="98">
        <v>406</v>
      </c>
      <c r="B407" s="99">
        <v>112917</v>
      </c>
      <c r="C407" s="98" t="s">
        <v>6332</v>
      </c>
      <c r="D407" s="100" t="s">
        <v>358</v>
      </c>
      <c r="E407" s="100" t="s">
        <v>350</v>
      </c>
      <c r="F407" s="100" t="s">
        <v>351</v>
      </c>
      <c r="G407" s="98" t="s">
        <v>24</v>
      </c>
      <c r="H407" s="98" t="str">
        <f>VLOOKUP(G407,CGS[],2,FALSE)</f>
        <v>SAF</v>
      </c>
      <c r="I407" s="65">
        <v>1025</v>
      </c>
      <c r="J407" s="101">
        <f>IF(ISBLANK(Pricelist[[#This Row],[EBS]]),"",VALUE(LEFT(Pricelist[[#This Row],[EBS]],LEN(Pricelist[[#This Row],[EBS]])-LEN(Pricelist[[#This Row],[E2]])-1)))</f>
        <v>60</v>
      </c>
      <c r="K407" s="65">
        <v>1350</v>
      </c>
      <c r="L407" s="101">
        <f>IF(ISBLANK(Pricelist[[#This Row],[EBS]]),"",VALUE(RIGHT(Pricelist[[#This Row],[EBS]],3)))</f>
        <v>120</v>
      </c>
      <c r="M407" s="65">
        <v>1350</v>
      </c>
      <c r="N407" s="101">
        <f>IF(ISBLANK(Pricelist[[#This Row],[EBS]]),"",VALUE(RIGHT(Pricelist[[#This Row],[EBS]],3)))</f>
        <v>120</v>
      </c>
      <c r="O407" s="101" t="str">
        <f>IF(AND(Pricelist[[#This Row],[AE1]]&lt;&gt;"",OR(Pricelist[[#This Row],[区]]="南",Pricelist[[#This Row],[区]]="北")),MID(Pricelist[[#This Row],[AE1]],4,2),"")</f>
        <v/>
      </c>
      <c r="P407" s="102">
        <v>1025</v>
      </c>
      <c r="Q407" s="103">
        <v>1350</v>
      </c>
      <c r="R407" s="103">
        <v>1350</v>
      </c>
      <c r="S407" s="104" t="s">
        <v>2199</v>
      </c>
      <c r="T407" s="104"/>
      <c r="U407" s="105">
        <v>4</v>
      </c>
      <c r="V407" s="100" t="s">
        <v>507</v>
      </c>
      <c r="W407" s="106" t="s">
        <v>356</v>
      </c>
      <c r="X407" s="106" t="s">
        <v>345</v>
      </c>
      <c r="Y407" s="106">
        <v>30</v>
      </c>
      <c r="Z407" s="107">
        <v>43405</v>
      </c>
      <c r="AA407" s="108">
        <v>43419</v>
      </c>
      <c r="AB407" s="109" t="s">
        <v>357</v>
      </c>
      <c r="AC407" s="109"/>
    </row>
    <row r="408" spans="1:29" hidden="1" x14ac:dyDescent="0.15">
      <c r="A408" s="98">
        <v>407</v>
      </c>
      <c r="B408" s="99">
        <v>112917</v>
      </c>
      <c r="C408" s="98" t="s">
        <v>6332</v>
      </c>
      <c r="D408" s="100" t="s">
        <v>359</v>
      </c>
      <c r="E408" s="100" t="s">
        <v>350</v>
      </c>
      <c r="F408" s="100" t="s">
        <v>360</v>
      </c>
      <c r="G408" s="98" t="s">
        <v>8</v>
      </c>
      <c r="H408" s="98" t="str">
        <f>VLOOKUP(G408,CGS[],2,FALSE)</f>
        <v>CMA</v>
      </c>
      <c r="I408" s="65">
        <v>925</v>
      </c>
      <c r="J408" s="101">
        <f>IF(ISBLANK(Pricelist[[#This Row],[EBS]]),"",VALUE(LEFT(Pricelist[[#This Row],[EBS]],LEN(Pricelist[[#This Row],[EBS]])-LEN(Pricelist[[#This Row],[E2]])-1)))</f>
        <v>100</v>
      </c>
      <c r="K408" s="65">
        <v>1350</v>
      </c>
      <c r="L408" s="101">
        <f>IF(ISBLANK(Pricelist[[#This Row],[EBS]]),"",VALUE(RIGHT(Pricelist[[#This Row],[EBS]],3)))</f>
        <v>200</v>
      </c>
      <c r="M408" s="65">
        <v>1350</v>
      </c>
      <c r="N408" s="101">
        <f>IF(ISBLANK(Pricelist[[#This Row],[EBS]]),"",VALUE(RIGHT(Pricelist[[#This Row],[EBS]],3)))</f>
        <v>200</v>
      </c>
      <c r="O408" s="101" t="str">
        <f>IF(AND(Pricelist[[#This Row],[AE1]]&lt;&gt;"",OR(Pricelist[[#This Row],[区]]="南",Pricelist[[#This Row],[区]]="北")),MID(Pricelist[[#This Row],[AE1]],4,2),"")</f>
        <v>25</v>
      </c>
      <c r="P408" s="102">
        <v>925</v>
      </c>
      <c r="Q408" s="103">
        <v>1350</v>
      </c>
      <c r="R408" s="103">
        <v>1350</v>
      </c>
      <c r="S408" s="104" t="s">
        <v>6328</v>
      </c>
      <c r="T408" s="104" t="s">
        <v>2206</v>
      </c>
      <c r="U408" s="105" t="s">
        <v>510</v>
      </c>
      <c r="V408" s="100" t="s">
        <v>507</v>
      </c>
      <c r="W408" s="106" t="s">
        <v>316</v>
      </c>
      <c r="X408" s="106" t="s">
        <v>317</v>
      </c>
      <c r="Y408" s="106">
        <v>28</v>
      </c>
      <c r="Z408" s="107">
        <v>43435</v>
      </c>
      <c r="AA408" s="108">
        <v>43448</v>
      </c>
      <c r="AB408" s="109"/>
      <c r="AC408" s="109"/>
    </row>
    <row r="409" spans="1:29" hidden="1" x14ac:dyDescent="0.15">
      <c r="A409" s="98">
        <v>408</v>
      </c>
      <c r="B409" s="99">
        <v>112917</v>
      </c>
      <c r="C409" s="98" t="s">
        <v>6332</v>
      </c>
      <c r="D409" s="100" t="s">
        <v>359</v>
      </c>
      <c r="E409" s="100" t="s">
        <v>350</v>
      </c>
      <c r="F409" s="100" t="s">
        <v>360</v>
      </c>
      <c r="G409" s="98" t="s">
        <v>21</v>
      </c>
      <c r="H409" s="98" t="str">
        <f>VLOOKUP(G409,CGS[],2,FALSE)</f>
        <v>MSK</v>
      </c>
      <c r="I409" s="65">
        <v>1100</v>
      </c>
      <c r="J409" s="101">
        <f>IF(ISBLANK(Pricelist[[#This Row],[EBS]]),"",VALUE(LEFT(Pricelist[[#This Row],[EBS]],LEN(Pricelist[[#This Row],[EBS]])-LEN(Pricelist[[#This Row],[E2]])-1)))</f>
        <v>60</v>
      </c>
      <c r="K409" s="65">
        <v>1500</v>
      </c>
      <c r="L409" s="101">
        <f>IF(ISBLANK(Pricelist[[#This Row],[EBS]]),"",VALUE(RIGHT(Pricelist[[#This Row],[EBS]],3)))</f>
        <v>120</v>
      </c>
      <c r="M409" s="65">
        <v>1500</v>
      </c>
      <c r="N409" s="101">
        <f>IF(ISBLANK(Pricelist[[#This Row],[EBS]]),"",VALUE(RIGHT(Pricelist[[#This Row],[EBS]],3)))</f>
        <v>120</v>
      </c>
      <c r="O409" s="101" t="str">
        <f>IF(AND(Pricelist[[#This Row],[AE1]]&lt;&gt;"",OR(Pricelist[[#This Row],[区]]="南",Pricelist[[#This Row],[区]]="北")),MID(Pricelist[[#This Row],[AE1]],4,2),"")</f>
        <v/>
      </c>
      <c r="P409" s="102">
        <v>1100</v>
      </c>
      <c r="Q409" s="103">
        <v>1500</v>
      </c>
      <c r="R409" s="103">
        <v>1500</v>
      </c>
      <c r="S409" s="104" t="s">
        <v>2199</v>
      </c>
      <c r="T409" s="104"/>
      <c r="U409" s="105" t="s">
        <v>2271</v>
      </c>
      <c r="V409" s="100" t="s">
        <v>507</v>
      </c>
      <c r="W409" s="106" t="s">
        <v>356</v>
      </c>
      <c r="X409" s="106" t="s">
        <v>345</v>
      </c>
      <c r="Y409" s="106">
        <v>27</v>
      </c>
      <c r="Z409" s="107">
        <v>43419</v>
      </c>
      <c r="AA409" s="108">
        <v>43434</v>
      </c>
      <c r="AB409" s="109"/>
      <c r="AC409" s="109"/>
    </row>
    <row r="410" spans="1:29" hidden="1" x14ac:dyDescent="0.15">
      <c r="A410" s="98">
        <v>409</v>
      </c>
      <c r="B410" s="99">
        <v>112917</v>
      </c>
      <c r="C410" s="98" t="s">
        <v>6332</v>
      </c>
      <c r="D410" s="100" t="s">
        <v>359</v>
      </c>
      <c r="E410" s="100" t="s">
        <v>350</v>
      </c>
      <c r="F410" s="100" t="s">
        <v>360</v>
      </c>
      <c r="G410" s="98" t="s">
        <v>24</v>
      </c>
      <c r="H410" s="98" t="str">
        <f>VLOOKUP(G410,CGS[],2,FALSE)</f>
        <v>SAF</v>
      </c>
      <c r="I410" s="65">
        <v>1025</v>
      </c>
      <c r="J410" s="101">
        <f>IF(ISBLANK(Pricelist[[#This Row],[EBS]]),"",VALUE(LEFT(Pricelist[[#This Row],[EBS]],LEN(Pricelist[[#This Row],[EBS]])-LEN(Pricelist[[#This Row],[E2]])-1)))</f>
        <v>60</v>
      </c>
      <c r="K410" s="65">
        <v>1350</v>
      </c>
      <c r="L410" s="101">
        <f>IF(ISBLANK(Pricelist[[#This Row],[EBS]]),"",VALUE(RIGHT(Pricelist[[#This Row],[EBS]],3)))</f>
        <v>120</v>
      </c>
      <c r="M410" s="65">
        <v>1350</v>
      </c>
      <c r="N410" s="101">
        <f>IF(ISBLANK(Pricelist[[#This Row],[EBS]]),"",VALUE(RIGHT(Pricelist[[#This Row],[EBS]],3)))</f>
        <v>120</v>
      </c>
      <c r="O410" s="101" t="str">
        <f>IF(AND(Pricelist[[#This Row],[AE1]]&lt;&gt;"",OR(Pricelist[[#This Row],[区]]="南",Pricelist[[#This Row],[区]]="北")),MID(Pricelist[[#This Row],[AE1]],4,2),"")</f>
        <v/>
      </c>
      <c r="P410" s="102">
        <v>1025</v>
      </c>
      <c r="Q410" s="103">
        <v>1350</v>
      </c>
      <c r="R410" s="103">
        <v>1350</v>
      </c>
      <c r="S410" s="104" t="s">
        <v>2199</v>
      </c>
      <c r="T410" s="104"/>
      <c r="U410" s="105">
        <v>4</v>
      </c>
      <c r="V410" s="100" t="s">
        <v>507</v>
      </c>
      <c r="W410" s="106" t="s">
        <v>356</v>
      </c>
      <c r="X410" s="106" t="s">
        <v>345</v>
      </c>
      <c r="Y410" s="106">
        <v>29</v>
      </c>
      <c r="Z410" s="107">
        <v>43405</v>
      </c>
      <c r="AA410" s="108">
        <v>43419</v>
      </c>
      <c r="AB410" s="109" t="s">
        <v>357</v>
      </c>
      <c r="AC410" s="109"/>
    </row>
    <row r="411" spans="1:29" hidden="1" x14ac:dyDescent="0.15">
      <c r="A411" s="98">
        <v>410</v>
      </c>
      <c r="B411" s="99">
        <v>112917</v>
      </c>
      <c r="C411" s="98" t="s">
        <v>6332</v>
      </c>
      <c r="D411" s="100" t="s">
        <v>361</v>
      </c>
      <c r="E411" s="100" t="s">
        <v>350</v>
      </c>
      <c r="F411" s="100" t="s">
        <v>362</v>
      </c>
      <c r="G411" s="98" t="s">
        <v>8</v>
      </c>
      <c r="H411" s="98" t="str">
        <f>VLOOKUP(G411,CGS[],2,FALSE)</f>
        <v>CMA</v>
      </c>
      <c r="I411" s="65">
        <v>925</v>
      </c>
      <c r="J411" s="101">
        <f>IF(ISBLANK(Pricelist[[#This Row],[EBS]]),"",VALUE(LEFT(Pricelist[[#This Row],[EBS]],LEN(Pricelist[[#This Row],[EBS]])-LEN(Pricelist[[#This Row],[E2]])-1)))</f>
        <v>100</v>
      </c>
      <c r="K411" s="65">
        <v>1350</v>
      </c>
      <c r="L411" s="101">
        <f>IF(ISBLANK(Pricelist[[#This Row],[EBS]]),"",VALUE(RIGHT(Pricelist[[#This Row],[EBS]],3)))</f>
        <v>200</v>
      </c>
      <c r="M411" s="65">
        <v>1350</v>
      </c>
      <c r="N411" s="101">
        <f>IF(ISBLANK(Pricelist[[#This Row],[EBS]]),"",VALUE(RIGHT(Pricelist[[#This Row],[EBS]],3)))</f>
        <v>200</v>
      </c>
      <c r="O411" s="101" t="str">
        <f>IF(AND(Pricelist[[#This Row],[AE1]]&lt;&gt;"",OR(Pricelist[[#This Row],[区]]="南",Pricelist[[#This Row],[区]]="北")),MID(Pricelist[[#This Row],[AE1]],4,2),"")</f>
        <v>25</v>
      </c>
      <c r="P411" s="102">
        <v>925</v>
      </c>
      <c r="Q411" s="103">
        <v>1350</v>
      </c>
      <c r="R411" s="103">
        <v>1350</v>
      </c>
      <c r="S411" s="104" t="s">
        <v>6328</v>
      </c>
      <c r="T411" s="104" t="s">
        <v>2206</v>
      </c>
      <c r="U411" s="105" t="s">
        <v>508</v>
      </c>
      <c r="V411" s="100" t="s">
        <v>507</v>
      </c>
      <c r="W411" s="106" t="s">
        <v>10</v>
      </c>
      <c r="X411" s="106" t="s">
        <v>11</v>
      </c>
      <c r="Y411" s="106">
        <v>25</v>
      </c>
      <c r="Z411" s="107">
        <v>43435</v>
      </c>
      <c r="AA411" s="108">
        <v>43448</v>
      </c>
      <c r="AB411" s="109" t="s">
        <v>2272</v>
      </c>
      <c r="AC411" s="109"/>
    </row>
    <row r="412" spans="1:29" hidden="1" x14ac:dyDescent="0.15">
      <c r="A412" s="98">
        <v>411</v>
      </c>
      <c r="B412" s="99">
        <v>112917</v>
      </c>
      <c r="C412" s="98" t="s">
        <v>6332</v>
      </c>
      <c r="D412" s="100" t="s">
        <v>361</v>
      </c>
      <c r="E412" s="100" t="s">
        <v>350</v>
      </c>
      <c r="F412" s="100" t="s">
        <v>362</v>
      </c>
      <c r="G412" s="98" t="s">
        <v>21</v>
      </c>
      <c r="H412" s="98" t="str">
        <f>VLOOKUP(G412,CGS[],2,FALSE)</f>
        <v>MSK</v>
      </c>
      <c r="I412" s="65">
        <v>1050</v>
      </c>
      <c r="J412" s="101">
        <f>IF(ISBLANK(Pricelist[[#This Row],[EBS]]),"",VALUE(LEFT(Pricelist[[#This Row],[EBS]],LEN(Pricelist[[#This Row],[EBS]])-LEN(Pricelist[[#This Row],[E2]])-1)))</f>
        <v>60</v>
      </c>
      <c r="K412" s="65">
        <v>1400</v>
      </c>
      <c r="L412" s="101">
        <f>IF(ISBLANK(Pricelist[[#This Row],[EBS]]),"",VALUE(RIGHT(Pricelist[[#This Row],[EBS]],3)))</f>
        <v>120</v>
      </c>
      <c r="M412" s="65">
        <v>1400</v>
      </c>
      <c r="N412" s="101">
        <f>IF(ISBLANK(Pricelist[[#This Row],[EBS]]),"",VALUE(RIGHT(Pricelist[[#This Row],[EBS]],3)))</f>
        <v>120</v>
      </c>
      <c r="O412" s="101" t="str">
        <f>IF(AND(Pricelist[[#This Row],[AE1]]&lt;&gt;"",OR(Pricelist[[#This Row],[区]]="南",Pricelist[[#This Row],[区]]="北")),MID(Pricelist[[#This Row],[AE1]],4,2),"")</f>
        <v/>
      </c>
      <c r="P412" s="102">
        <v>1050</v>
      </c>
      <c r="Q412" s="103">
        <v>1400</v>
      </c>
      <c r="R412" s="103">
        <v>1400</v>
      </c>
      <c r="S412" s="104" t="s">
        <v>2199</v>
      </c>
      <c r="T412" s="104"/>
      <c r="U412" s="105" t="s">
        <v>2271</v>
      </c>
      <c r="V412" s="100" t="s">
        <v>507</v>
      </c>
      <c r="W412" s="106" t="s">
        <v>10</v>
      </c>
      <c r="X412" s="106" t="s">
        <v>11</v>
      </c>
      <c r="Y412" s="106">
        <v>19</v>
      </c>
      <c r="Z412" s="107">
        <v>43419</v>
      </c>
      <c r="AA412" s="108">
        <v>43434</v>
      </c>
      <c r="AB412" s="109"/>
      <c r="AC412" s="109"/>
    </row>
    <row r="413" spans="1:29" hidden="1" x14ac:dyDescent="0.15">
      <c r="A413" s="98">
        <v>412</v>
      </c>
      <c r="B413" s="99">
        <v>112917</v>
      </c>
      <c r="C413" s="98" t="s">
        <v>6332</v>
      </c>
      <c r="D413" s="100" t="s">
        <v>361</v>
      </c>
      <c r="E413" s="100" t="s">
        <v>350</v>
      </c>
      <c r="F413" s="100" t="s">
        <v>362</v>
      </c>
      <c r="G413" s="98" t="s">
        <v>24</v>
      </c>
      <c r="H413" s="98" t="str">
        <f>VLOOKUP(G413,CGS[],2,FALSE)</f>
        <v>SAF</v>
      </c>
      <c r="I413" s="65">
        <v>1025</v>
      </c>
      <c r="J413" s="101">
        <f>IF(ISBLANK(Pricelist[[#This Row],[EBS]]),"",VALUE(LEFT(Pricelist[[#This Row],[EBS]],LEN(Pricelist[[#This Row],[EBS]])-LEN(Pricelist[[#This Row],[E2]])-1)))</f>
        <v>60</v>
      </c>
      <c r="K413" s="65">
        <v>1350</v>
      </c>
      <c r="L413" s="101">
        <f>IF(ISBLANK(Pricelist[[#This Row],[EBS]]),"",VALUE(RIGHT(Pricelist[[#This Row],[EBS]],3)))</f>
        <v>120</v>
      </c>
      <c r="M413" s="65">
        <v>1350</v>
      </c>
      <c r="N413" s="101">
        <f>IF(ISBLANK(Pricelist[[#This Row],[EBS]]),"",VALUE(RIGHT(Pricelist[[#This Row],[EBS]],3)))</f>
        <v>120</v>
      </c>
      <c r="O413" s="101" t="str">
        <f>IF(AND(Pricelist[[#This Row],[AE1]]&lt;&gt;"",OR(Pricelist[[#This Row],[区]]="南",Pricelist[[#This Row],[区]]="北")),MID(Pricelist[[#This Row],[AE1]],4,2),"")</f>
        <v/>
      </c>
      <c r="P413" s="102">
        <v>1025</v>
      </c>
      <c r="Q413" s="103">
        <v>1350</v>
      </c>
      <c r="R413" s="103">
        <v>1350</v>
      </c>
      <c r="S413" s="104" t="s">
        <v>2199</v>
      </c>
      <c r="T413" s="104"/>
      <c r="U413" s="105">
        <v>4</v>
      </c>
      <c r="V413" s="100" t="s">
        <v>507</v>
      </c>
      <c r="W413" s="106" t="s">
        <v>10</v>
      </c>
      <c r="X413" s="106" t="s">
        <v>11</v>
      </c>
      <c r="Y413" s="106">
        <v>21</v>
      </c>
      <c r="Z413" s="107">
        <v>43405</v>
      </c>
      <c r="AA413" s="108">
        <v>43419</v>
      </c>
      <c r="AB413" s="109" t="s">
        <v>357</v>
      </c>
      <c r="AC413" s="109"/>
    </row>
    <row r="414" spans="1:29" hidden="1" x14ac:dyDescent="0.15">
      <c r="A414" s="98">
        <v>413</v>
      </c>
      <c r="B414" s="99">
        <v>112917</v>
      </c>
      <c r="C414" s="98" t="s">
        <v>6332</v>
      </c>
      <c r="D414" s="100" t="s">
        <v>363</v>
      </c>
      <c r="E414" s="100" t="s">
        <v>350</v>
      </c>
      <c r="F414" s="100" t="s">
        <v>364</v>
      </c>
      <c r="G414" s="98" t="s">
        <v>8</v>
      </c>
      <c r="H414" s="98" t="str">
        <f>VLOOKUP(G414,CGS[],2,FALSE)</f>
        <v>CMA</v>
      </c>
      <c r="I414" s="65">
        <v>925</v>
      </c>
      <c r="J414" s="101">
        <f>IF(ISBLANK(Pricelist[[#This Row],[EBS]]),"",VALUE(LEFT(Pricelist[[#This Row],[EBS]],LEN(Pricelist[[#This Row],[EBS]])-LEN(Pricelist[[#This Row],[E2]])-1)))</f>
        <v>100</v>
      </c>
      <c r="K414" s="65">
        <v>1350</v>
      </c>
      <c r="L414" s="101">
        <f>IF(ISBLANK(Pricelist[[#This Row],[EBS]]),"",VALUE(RIGHT(Pricelist[[#This Row],[EBS]],3)))</f>
        <v>200</v>
      </c>
      <c r="M414" s="65">
        <v>1350</v>
      </c>
      <c r="N414" s="101">
        <f>IF(ISBLANK(Pricelist[[#This Row],[EBS]]),"",VALUE(RIGHT(Pricelist[[#This Row],[EBS]],3)))</f>
        <v>200</v>
      </c>
      <c r="O414" s="101" t="str">
        <f>IF(AND(Pricelist[[#This Row],[AE1]]&lt;&gt;"",OR(Pricelist[[#This Row],[区]]="南",Pricelist[[#This Row],[区]]="北")),MID(Pricelist[[#This Row],[AE1]],4,2),"")</f>
        <v>25</v>
      </c>
      <c r="P414" s="102">
        <v>925</v>
      </c>
      <c r="Q414" s="103">
        <v>1350</v>
      </c>
      <c r="R414" s="103">
        <v>1350</v>
      </c>
      <c r="S414" s="104" t="s">
        <v>6328</v>
      </c>
      <c r="T414" s="104" t="s">
        <v>2206</v>
      </c>
      <c r="U414" s="105" t="s">
        <v>508</v>
      </c>
      <c r="V414" s="100" t="s">
        <v>507</v>
      </c>
      <c r="W414" s="106" t="s">
        <v>10</v>
      </c>
      <c r="X414" s="106" t="s">
        <v>11</v>
      </c>
      <c r="Y414" s="106">
        <v>23</v>
      </c>
      <c r="Z414" s="107">
        <v>43435</v>
      </c>
      <c r="AA414" s="108">
        <v>43448</v>
      </c>
      <c r="AB414" s="109" t="s">
        <v>2273</v>
      </c>
      <c r="AC414" s="109"/>
    </row>
    <row r="415" spans="1:29" hidden="1" x14ac:dyDescent="0.15">
      <c r="A415" s="98">
        <v>414</v>
      </c>
      <c r="B415" s="99">
        <v>112917</v>
      </c>
      <c r="C415" s="98" t="s">
        <v>6332</v>
      </c>
      <c r="D415" s="100" t="s">
        <v>363</v>
      </c>
      <c r="E415" s="100" t="s">
        <v>350</v>
      </c>
      <c r="F415" s="100" t="s">
        <v>364</v>
      </c>
      <c r="G415" s="98" t="s">
        <v>21</v>
      </c>
      <c r="H415" s="98" t="str">
        <f>VLOOKUP(G415,CGS[],2,FALSE)</f>
        <v>MSK</v>
      </c>
      <c r="I415" s="65">
        <v>1100</v>
      </c>
      <c r="J415" s="101">
        <f>IF(ISBLANK(Pricelist[[#This Row],[EBS]]),"",VALUE(LEFT(Pricelist[[#This Row],[EBS]],LEN(Pricelist[[#This Row],[EBS]])-LEN(Pricelist[[#This Row],[E2]])-1)))</f>
        <v>60</v>
      </c>
      <c r="K415" s="65">
        <v>1500</v>
      </c>
      <c r="L415" s="101">
        <f>IF(ISBLANK(Pricelist[[#This Row],[EBS]]),"",VALUE(RIGHT(Pricelist[[#This Row],[EBS]],3)))</f>
        <v>120</v>
      </c>
      <c r="M415" s="65">
        <v>1500</v>
      </c>
      <c r="N415" s="101">
        <f>IF(ISBLANK(Pricelist[[#This Row],[EBS]]),"",VALUE(RIGHT(Pricelist[[#This Row],[EBS]],3)))</f>
        <v>120</v>
      </c>
      <c r="O415" s="101" t="str">
        <f>IF(AND(Pricelist[[#This Row],[AE1]]&lt;&gt;"",OR(Pricelist[[#This Row],[区]]="南",Pricelist[[#This Row],[区]]="北")),MID(Pricelist[[#This Row],[AE1]],4,2),"")</f>
        <v/>
      </c>
      <c r="P415" s="102">
        <v>1100</v>
      </c>
      <c r="Q415" s="103">
        <v>1500</v>
      </c>
      <c r="R415" s="103">
        <v>1500</v>
      </c>
      <c r="S415" s="104" t="s">
        <v>2199</v>
      </c>
      <c r="T415" s="104"/>
      <c r="U415" s="105" t="s">
        <v>2271</v>
      </c>
      <c r="V415" s="100" t="s">
        <v>507</v>
      </c>
      <c r="W415" s="106" t="s">
        <v>356</v>
      </c>
      <c r="X415" s="106" t="s">
        <v>345</v>
      </c>
      <c r="Y415" s="106">
        <v>25</v>
      </c>
      <c r="Z415" s="107">
        <v>43419</v>
      </c>
      <c r="AA415" s="108">
        <v>43434</v>
      </c>
      <c r="AB415" s="109"/>
      <c r="AC415" s="109"/>
    </row>
    <row r="416" spans="1:29" hidden="1" x14ac:dyDescent="0.15">
      <c r="A416" s="98">
        <v>415</v>
      </c>
      <c r="B416" s="99">
        <v>112917</v>
      </c>
      <c r="C416" s="98" t="s">
        <v>6332</v>
      </c>
      <c r="D416" s="100" t="s">
        <v>363</v>
      </c>
      <c r="E416" s="100" t="s">
        <v>350</v>
      </c>
      <c r="F416" s="100" t="s">
        <v>364</v>
      </c>
      <c r="G416" s="98" t="s">
        <v>24</v>
      </c>
      <c r="H416" s="98" t="str">
        <f>VLOOKUP(G416,CGS[],2,FALSE)</f>
        <v>SAF</v>
      </c>
      <c r="I416" s="65">
        <v>1075</v>
      </c>
      <c r="J416" s="101">
        <f>IF(ISBLANK(Pricelist[[#This Row],[EBS]]),"",VALUE(LEFT(Pricelist[[#This Row],[EBS]],LEN(Pricelist[[#This Row],[EBS]])-LEN(Pricelist[[#This Row],[E2]])-1)))</f>
        <v>60</v>
      </c>
      <c r="K416" s="65">
        <v>1450</v>
      </c>
      <c r="L416" s="101">
        <f>IF(ISBLANK(Pricelist[[#This Row],[EBS]]),"",VALUE(RIGHT(Pricelist[[#This Row],[EBS]],3)))</f>
        <v>120</v>
      </c>
      <c r="M416" s="65">
        <v>1450</v>
      </c>
      <c r="N416" s="101">
        <f>IF(ISBLANK(Pricelist[[#This Row],[EBS]]),"",VALUE(RIGHT(Pricelist[[#This Row],[EBS]],3)))</f>
        <v>120</v>
      </c>
      <c r="O416" s="101" t="str">
        <f>IF(AND(Pricelist[[#This Row],[AE1]]&lt;&gt;"",OR(Pricelist[[#This Row],[区]]="南",Pricelist[[#This Row],[区]]="北")),MID(Pricelist[[#This Row],[AE1]],4,2),"")</f>
        <v/>
      </c>
      <c r="P416" s="102">
        <v>1075</v>
      </c>
      <c r="Q416" s="103">
        <v>1450</v>
      </c>
      <c r="R416" s="103">
        <v>1450</v>
      </c>
      <c r="S416" s="104" t="s">
        <v>2199</v>
      </c>
      <c r="T416" s="104"/>
      <c r="U416" s="105">
        <v>4</v>
      </c>
      <c r="V416" s="100" t="s">
        <v>507</v>
      </c>
      <c r="W416" s="106" t="s">
        <v>356</v>
      </c>
      <c r="X416" s="106" t="s">
        <v>345</v>
      </c>
      <c r="Y416" s="106">
        <v>21</v>
      </c>
      <c r="Z416" s="107">
        <v>43405</v>
      </c>
      <c r="AA416" s="108">
        <v>43419</v>
      </c>
      <c r="AB416" s="109" t="s">
        <v>357</v>
      </c>
      <c r="AC416" s="109"/>
    </row>
    <row r="417" spans="1:29" hidden="1" x14ac:dyDescent="0.15">
      <c r="A417" s="98">
        <v>416</v>
      </c>
      <c r="B417" s="99">
        <v>112917</v>
      </c>
      <c r="C417" s="98" t="s">
        <v>6332</v>
      </c>
      <c r="D417" s="100" t="s">
        <v>365</v>
      </c>
      <c r="E417" s="100" t="s">
        <v>350</v>
      </c>
      <c r="F417" s="100" t="s">
        <v>366</v>
      </c>
      <c r="G417" s="98" t="s">
        <v>24</v>
      </c>
      <c r="H417" s="98" t="str">
        <f>VLOOKUP(G417,CGS[],2,FALSE)</f>
        <v>SAF</v>
      </c>
      <c r="I417" s="65">
        <v>1325</v>
      </c>
      <c r="J417" s="101">
        <f>IF(ISBLANK(Pricelist[[#This Row],[EBS]]),"",VALUE(LEFT(Pricelist[[#This Row],[EBS]],LEN(Pricelist[[#This Row],[EBS]])-LEN(Pricelist[[#This Row],[E2]])-1)))</f>
        <v>60</v>
      </c>
      <c r="K417" s="65">
        <v>1950</v>
      </c>
      <c r="L417" s="101">
        <f>IF(ISBLANK(Pricelist[[#This Row],[EBS]]),"",VALUE(RIGHT(Pricelist[[#This Row],[EBS]],3)))</f>
        <v>120</v>
      </c>
      <c r="M417" s="65">
        <v>1950</v>
      </c>
      <c r="N417" s="101">
        <f>IF(ISBLANK(Pricelist[[#This Row],[EBS]]),"",VALUE(RIGHT(Pricelist[[#This Row],[EBS]],3)))</f>
        <v>120</v>
      </c>
      <c r="O417" s="101" t="str">
        <f>IF(AND(Pricelist[[#This Row],[AE1]]&lt;&gt;"",OR(Pricelist[[#This Row],[区]]="南",Pricelist[[#This Row],[区]]="北")),MID(Pricelist[[#This Row],[AE1]],4,2),"")</f>
        <v/>
      </c>
      <c r="P417" s="102">
        <v>1325</v>
      </c>
      <c r="Q417" s="103">
        <v>1950</v>
      </c>
      <c r="R417" s="103">
        <v>1950</v>
      </c>
      <c r="S417" s="104" t="s">
        <v>2199</v>
      </c>
      <c r="T417" s="104"/>
      <c r="U417" s="105">
        <v>4</v>
      </c>
      <c r="V417" s="100" t="s">
        <v>507</v>
      </c>
      <c r="W417" s="106" t="s">
        <v>367</v>
      </c>
      <c r="X417" s="106" t="s">
        <v>16</v>
      </c>
      <c r="Y417" s="106">
        <v>27</v>
      </c>
      <c r="Z417" s="107">
        <v>43405</v>
      </c>
      <c r="AA417" s="108">
        <v>43419</v>
      </c>
      <c r="AB417" s="109" t="s">
        <v>368</v>
      </c>
      <c r="AC417" s="109"/>
    </row>
    <row r="418" spans="1:29" ht="25.5" hidden="1" x14ac:dyDescent="0.15">
      <c r="A418" s="98">
        <v>417</v>
      </c>
      <c r="B418" s="99">
        <v>112917</v>
      </c>
      <c r="C418" s="98" t="s">
        <v>6332</v>
      </c>
      <c r="D418" s="100" t="s">
        <v>365</v>
      </c>
      <c r="E418" s="100" t="s">
        <v>350</v>
      </c>
      <c r="F418" s="100" t="s">
        <v>366</v>
      </c>
      <c r="G418" s="98" t="s">
        <v>13</v>
      </c>
      <c r="H418" s="98" t="str">
        <f>VLOOKUP(G418,CGS[],2,FALSE)</f>
        <v>EMC</v>
      </c>
      <c r="I418" s="65">
        <v>1175</v>
      </c>
      <c r="J418" s="101" t="str">
        <f>IF(ISBLANK(Pricelist[[#This Row],[EBS]]),"",VALUE(LEFT(Pricelist[[#This Row],[EBS]],LEN(Pricelist[[#This Row],[EBS]])-LEN(Pricelist[[#This Row],[E2]])-1)))</f>
        <v/>
      </c>
      <c r="K418" s="65">
        <v>1850</v>
      </c>
      <c r="L418" s="101" t="str">
        <f>IF(ISBLANK(Pricelist[[#This Row],[EBS]]),"",VALUE(RIGHT(Pricelist[[#This Row],[EBS]],3)))</f>
        <v/>
      </c>
      <c r="M418" s="65">
        <v>1850</v>
      </c>
      <c r="N418" s="101" t="str">
        <f>IF(ISBLANK(Pricelist[[#This Row],[EBS]]),"",VALUE(RIGHT(Pricelist[[#This Row],[EBS]],3)))</f>
        <v/>
      </c>
      <c r="O418" s="101" t="str">
        <f>IF(AND(Pricelist[[#This Row],[AE1]]&lt;&gt;"",OR(Pricelist[[#This Row],[区]]="南",Pricelist[[#This Row],[区]]="北")),MID(Pricelist[[#This Row],[AE1]],4,2),"")</f>
        <v>30</v>
      </c>
      <c r="P418" s="102">
        <v>1175</v>
      </c>
      <c r="Q418" s="103">
        <v>1850</v>
      </c>
      <c r="R418" s="103">
        <v>1850</v>
      </c>
      <c r="S418" s="104"/>
      <c r="T418" s="104" t="s">
        <v>2201</v>
      </c>
      <c r="U418" s="105" t="s">
        <v>511</v>
      </c>
      <c r="V418" s="100" t="s">
        <v>507</v>
      </c>
      <c r="W418" s="106" t="s">
        <v>10</v>
      </c>
      <c r="X418" s="106" t="s">
        <v>11</v>
      </c>
      <c r="Y418" s="106">
        <v>25</v>
      </c>
      <c r="Z418" s="107">
        <v>43313</v>
      </c>
      <c r="AA418" s="108">
        <v>43326</v>
      </c>
      <c r="AB418" s="109"/>
      <c r="AC418" s="109" t="s">
        <v>313</v>
      </c>
    </row>
    <row r="419" spans="1:29" hidden="1" x14ac:dyDescent="0.15">
      <c r="A419" s="98">
        <v>418</v>
      </c>
      <c r="B419" s="99">
        <v>112917</v>
      </c>
      <c r="C419" s="98" t="s">
        <v>6332</v>
      </c>
      <c r="D419" s="100" t="s">
        <v>365</v>
      </c>
      <c r="E419" s="100" t="s">
        <v>350</v>
      </c>
      <c r="F419" s="100" t="s">
        <v>366</v>
      </c>
      <c r="G419" s="98" t="s">
        <v>24</v>
      </c>
      <c r="H419" s="98" t="str">
        <f>VLOOKUP(G419,CGS[],2,FALSE)</f>
        <v>SAF</v>
      </c>
      <c r="I419" s="65">
        <v>950</v>
      </c>
      <c r="J419" s="101">
        <f>IF(ISBLANK(Pricelist[[#This Row],[EBS]]),"",VALUE(LEFT(Pricelist[[#This Row],[EBS]],LEN(Pricelist[[#This Row],[EBS]])-LEN(Pricelist[[#This Row],[E2]])-1)))</f>
        <v>60</v>
      </c>
      <c r="K419" s="65">
        <v>1500</v>
      </c>
      <c r="L419" s="101">
        <f>IF(ISBLANK(Pricelist[[#This Row],[EBS]]),"",VALUE(RIGHT(Pricelist[[#This Row],[EBS]],3)))</f>
        <v>120</v>
      </c>
      <c r="M419" s="65">
        <v>1500</v>
      </c>
      <c r="N419" s="101">
        <f>IF(ISBLANK(Pricelist[[#This Row],[EBS]]),"",VALUE(RIGHT(Pricelist[[#This Row],[EBS]],3)))</f>
        <v>120</v>
      </c>
      <c r="O419" s="101" t="str">
        <f>IF(AND(Pricelist[[#This Row],[AE1]]&lt;&gt;"",OR(Pricelist[[#This Row],[区]]="南",Pricelist[[#This Row],[区]]="北")),MID(Pricelist[[#This Row],[AE1]],4,2),"")</f>
        <v/>
      </c>
      <c r="P419" s="102">
        <v>950</v>
      </c>
      <c r="Q419" s="103">
        <v>1500</v>
      </c>
      <c r="R419" s="103">
        <v>1500</v>
      </c>
      <c r="S419" s="104" t="s">
        <v>2199</v>
      </c>
      <c r="T419" s="104"/>
      <c r="U419" s="105">
        <v>4</v>
      </c>
      <c r="V419" s="100" t="s">
        <v>507</v>
      </c>
      <c r="W419" s="106" t="s">
        <v>10</v>
      </c>
      <c r="X419" s="106" t="s">
        <v>11</v>
      </c>
      <c r="Y419" s="106">
        <v>21</v>
      </c>
      <c r="Z419" s="107">
        <v>43405</v>
      </c>
      <c r="AA419" s="108">
        <v>43419</v>
      </c>
      <c r="AB419" s="109"/>
      <c r="AC419" s="109"/>
    </row>
  </sheetData>
  <sheetProtection sort="0" autoFilter="0"/>
  <dataConsolidate/>
  <phoneticPr fontId="9" type="noConversion"/>
  <conditionalFormatting sqref="Z2:Z419">
    <cfRule type="expression" dxfId="199" priority="2">
      <formula>Z2&gt;TODAY()+4</formula>
    </cfRule>
  </conditionalFormatting>
  <conditionalFormatting sqref="AA2:AA419">
    <cfRule type="expression" dxfId="198" priority="1">
      <formula>AA2&lt;TODAY()+5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L118"/>
  <sheetViews>
    <sheetView topLeftCell="A111" zoomScaleNormal="100" workbookViewId="0">
      <selection activeCell="F116" sqref="F116"/>
    </sheetView>
  </sheetViews>
  <sheetFormatPr defaultColWidth="9" defaultRowHeight="14.25" x14ac:dyDescent="0.15"/>
  <cols>
    <col min="1" max="1" width="8.375" style="17" bestFit="1" customWidth="1"/>
    <col min="2" max="2" width="5.375" style="17" customWidth="1"/>
    <col min="3" max="3" width="7.375" style="17" customWidth="1"/>
    <col min="4" max="4" width="12.75" style="17" bestFit="1" customWidth="1"/>
    <col min="5" max="5" width="16.375" style="17" customWidth="1"/>
    <col min="6" max="6" width="46.25" style="17" customWidth="1"/>
    <col min="7" max="7" width="9.375" style="17" customWidth="1"/>
    <col min="8" max="8" width="12" style="17" customWidth="1"/>
    <col min="9" max="9" width="6.375" style="17" bestFit="1" customWidth="1"/>
    <col min="10" max="10" width="8.625" style="17" customWidth="1"/>
    <col min="11" max="11" width="5.25" style="17" bestFit="1" customWidth="1"/>
    <col min="12" max="12" width="7" style="17" bestFit="1" customWidth="1"/>
    <col min="13" max="16384" width="9" style="17"/>
  </cols>
  <sheetData>
    <row r="1" spans="1:12" x14ac:dyDescent="0.15">
      <c r="A1" s="17" t="s">
        <v>484</v>
      </c>
      <c r="B1" s="17" t="s">
        <v>485</v>
      </c>
      <c r="C1" s="17" t="s">
        <v>486</v>
      </c>
      <c r="D1" s="17" t="s">
        <v>487</v>
      </c>
      <c r="E1" s="18" t="s">
        <v>488</v>
      </c>
      <c r="F1" s="18" t="s">
        <v>489</v>
      </c>
      <c r="G1" s="18" t="s">
        <v>532</v>
      </c>
      <c r="H1" s="18" t="s">
        <v>3479</v>
      </c>
      <c r="I1" s="17" t="s">
        <v>531</v>
      </c>
      <c r="J1" s="19" t="s">
        <v>604</v>
      </c>
      <c r="K1" s="19" t="s">
        <v>617</v>
      </c>
      <c r="L1" s="19" t="s">
        <v>688</v>
      </c>
    </row>
    <row r="2" spans="1:12" ht="85.5" x14ac:dyDescent="0.15">
      <c r="A2" s="20">
        <v>43381.458831018521</v>
      </c>
      <c r="B2" s="18" t="s">
        <v>563</v>
      </c>
      <c r="C2" s="17" t="s">
        <v>3036</v>
      </c>
      <c r="D2" s="21">
        <v>2355852338</v>
      </c>
      <c r="E2" s="18" t="s">
        <v>3473</v>
      </c>
      <c r="F2" s="18" t="s">
        <v>3481</v>
      </c>
      <c r="G2" s="18" t="s">
        <v>3474</v>
      </c>
      <c r="H2" s="18" t="s">
        <v>3549</v>
      </c>
      <c r="I2" s="22">
        <f>COUNTIF(Quotation[联系方式],Quotation[[#This Row],[联系方式]])</f>
        <v>5</v>
      </c>
      <c r="J2" s="18" t="str">
        <f>VLOOKUP(Quotation[[#This Row],[抬头]],Customer[],5,FALSE)&amp;""</f>
        <v>OK</v>
      </c>
      <c r="K2" s="23">
        <f>WEEKNUM(Quotation[[#This Row],[日期]])</f>
        <v>41</v>
      </c>
      <c r="L2" s="23">
        <f>WEEKDAY(Quotation[[#This Row],[日期]],1)-1</f>
        <v>1</v>
      </c>
    </row>
    <row r="3" spans="1:12" ht="85.5" x14ac:dyDescent="0.15">
      <c r="A3" s="20">
        <v>43381.56454861111</v>
      </c>
      <c r="B3" s="18" t="s">
        <v>502</v>
      </c>
      <c r="C3" s="17" t="s">
        <v>2180</v>
      </c>
      <c r="D3" s="21">
        <v>3003128015</v>
      </c>
      <c r="E3" s="18" t="s">
        <v>3475</v>
      </c>
      <c r="F3" s="18" t="s">
        <v>3476</v>
      </c>
      <c r="G3" s="18" t="s">
        <v>2164</v>
      </c>
      <c r="H3" s="18"/>
      <c r="I3" s="22">
        <f>COUNTIF(Quotation[联系方式],Quotation[[#This Row],[联系方式]])</f>
        <v>44</v>
      </c>
      <c r="J3" s="18" t="str">
        <f>VLOOKUP(Quotation[[#This Row],[抬头]],Customer[],5,FALSE)&amp;""</f>
        <v>OK</v>
      </c>
      <c r="K3" s="23">
        <f>WEEKNUM(Quotation[[#This Row],[日期]])</f>
        <v>41</v>
      </c>
      <c r="L3" s="23">
        <f>WEEKDAY(Quotation[[#This Row],[日期]],1)-1</f>
        <v>1</v>
      </c>
    </row>
    <row r="4" spans="1:12" ht="85.5" x14ac:dyDescent="0.15">
      <c r="A4" s="20">
        <v>43381.564606481479</v>
      </c>
      <c r="B4" s="18" t="s">
        <v>502</v>
      </c>
      <c r="C4" s="17" t="s">
        <v>2180</v>
      </c>
      <c r="D4" s="21">
        <v>3003128015</v>
      </c>
      <c r="E4" s="18" t="s">
        <v>3477</v>
      </c>
      <c r="F4" s="18" t="s">
        <v>3478</v>
      </c>
      <c r="G4" s="18" t="s">
        <v>533</v>
      </c>
      <c r="H4" s="18"/>
      <c r="I4" s="22">
        <f>COUNTIF(Quotation[联系方式],Quotation[[#This Row],[联系方式]])</f>
        <v>44</v>
      </c>
      <c r="J4" s="18" t="str">
        <f>VLOOKUP(Quotation[[#This Row],[抬头]],Customer[],5,FALSE)&amp;""</f>
        <v>OK</v>
      </c>
      <c r="K4" s="23">
        <f>WEEKNUM(Quotation[[#This Row],[日期]])</f>
        <v>41</v>
      </c>
      <c r="L4" s="23">
        <f>WEEKDAY(Quotation[[#This Row],[日期]],1)-1</f>
        <v>1</v>
      </c>
    </row>
    <row r="5" spans="1:12" ht="85.5" x14ac:dyDescent="0.15">
      <c r="A5" s="20">
        <v>43382.353854166664</v>
      </c>
      <c r="B5" s="18" t="s">
        <v>502</v>
      </c>
      <c r="C5" s="17" t="s">
        <v>2180</v>
      </c>
      <c r="D5" s="21">
        <v>3003128015</v>
      </c>
      <c r="E5" s="18" t="s">
        <v>3486</v>
      </c>
      <c r="F5" s="18" t="s">
        <v>3487</v>
      </c>
      <c r="G5" s="18" t="s">
        <v>3488</v>
      </c>
      <c r="H5" s="18"/>
      <c r="I5" s="22">
        <f>COUNTIF(Quotation[联系方式],Quotation[[#This Row],[联系方式]])</f>
        <v>44</v>
      </c>
      <c r="J5" s="18" t="str">
        <f>VLOOKUP(Quotation[[#This Row],[抬头]],Customer[],5,FALSE)&amp;""</f>
        <v>OK</v>
      </c>
      <c r="K5" s="23">
        <f>WEEKNUM(Quotation[[#This Row],[日期]])</f>
        <v>41</v>
      </c>
      <c r="L5" s="23">
        <f>WEEKDAY(Quotation[[#This Row],[日期]],1)-1</f>
        <v>2</v>
      </c>
    </row>
    <row r="6" spans="1:12" ht="85.5" x14ac:dyDescent="0.15">
      <c r="A6" s="20">
        <v>43382.410115740742</v>
      </c>
      <c r="B6" s="18" t="s">
        <v>502</v>
      </c>
      <c r="C6" s="17" t="s">
        <v>2180</v>
      </c>
      <c r="D6" s="21">
        <v>3003128015</v>
      </c>
      <c r="E6" s="18" t="s">
        <v>3489</v>
      </c>
      <c r="F6" s="18" t="s">
        <v>3490</v>
      </c>
      <c r="G6" s="18" t="s">
        <v>3491</v>
      </c>
      <c r="H6" s="18"/>
      <c r="I6" s="22">
        <f>COUNTIF(Quotation[联系方式],Quotation[[#This Row],[联系方式]])</f>
        <v>44</v>
      </c>
      <c r="J6" s="18" t="str">
        <f>VLOOKUP(Quotation[[#This Row],[抬头]],Customer[],5,FALSE)&amp;""</f>
        <v>OK</v>
      </c>
      <c r="K6" s="23">
        <f>WEEKNUM(Quotation[[#This Row],[日期]])</f>
        <v>41</v>
      </c>
      <c r="L6" s="23">
        <f>WEEKDAY(Quotation[[#This Row],[日期]],1)-1</f>
        <v>2</v>
      </c>
    </row>
    <row r="7" spans="1:12" ht="85.5" x14ac:dyDescent="0.15">
      <c r="A7" s="20">
        <v>43382.418009259258</v>
      </c>
      <c r="B7" s="18" t="s">
        <v>3493</v>
      </c>
      <c r="C7" s="17" t="s">
        <v>3497</v>
      </c>
      <c r="D7" s="21">
        <v>2411667393</v>
      </c>
      <c r="E7" s="18" t="s">
        <v>3494</v>
      </c>
      <c r="F7" s="18" t="s">
        <v>3495</v>
      </c>
      <c r="G7" s="18" t="s">
        <v>3496</v>
      </c>
      <c r="H7" s="18" t="s">
        <v>3549</v>
      </c>
      <c r="I7" s="22">
        <f>COUNTIF(Quotation[联系方式],Quotation[[#This Row],[联系方式]])</f>
        <v>3</v>
      </c>
      <c r="J7" s="18" t="str">
        <f>VLOOKUP(Quotation[[#This Row],[抬头]],Customer[],5,FALSE)&amp;""</f>
        <v>苏州</v>
      </c>
      <c r="K7" s="23">
        <f>WEEKNUM(Quotation[[#This Row],[日期]])</f>
        <v>41</v>
      </c>
      <c r="L7" s="23">
        <f>WEEKDAY(Quotation[[#This Row],[日期]],1)-1</f>
        <v>2</v>
      </c>
    </row>
    <row r="8" spans="1:12" ht="114" x14ac:dyDescent="0.15">
      <c r="A8" s="20">
        <v>43382.44636574074</v>
      </c>
      <c r="B8" s="18" t="s">
        <v>502</v>
      </c>
      <c r="C8" s="17" t="s">
        <v>2180</v>
      </c>
      <c r="D8" s="21">
        <v>3003128015</v>
      </c>
      <c r="E8" s="18" t="s">
        <v>3499</v>
      </c>
      <c r="F8" s="18" t="s">
        <v>3503</v>
      </c>
      <c r="G8" s="18" t="s">
        <v>3500</v>
      </c>
      <c r="H8" s="18"/>
      <c r="I8" s="22">
        <f>COUNTIF(Quotation[联系方式],Quotation[[#This Row],[联系方式]])</f>
        <v>44</v>
      </c>
      <c r="J8" s="18" t="str">
        <f>VLOOKUP(Quotation[[#This Row],[抬头]],Customer[],5,FALSE)&amp;""</f>
        <v>OK</v>
      </c>
      <c r="K8" s="23">
        <f>WEEKNUM(Quotation[[#This Row],[日期]])</f>
        <v>41</v>
      </c>
      <c r="L8" s="23">
        <f>WEEKDAY(Quotation[[#This Row],[日期]],1)-1</f>
        <v>2</v>
      </c>
    </row>
    <row r="9" spans="1:12" ht="85.5" x14ac:dyDescent="0.15">
      <c r="A9" s="20">
        <v>43382.65996527778</v>
      </c>
      <c r="B9" s="18" t="s">
        <v>502</v>
      </c>
      <c r="C9" s="17" t="s">
        <v>2180</v>
      </c>
      <c r="D9" s="21">
        <v>3003128015</v>
      </c>
      <c r="E9" s="18" t="s">
        <v>3501</v>
      </c>
      <c r="F9" s="18" t="s">
        <v>3502</v>
      </c>
      <c r="G9" s="18" t="s">
        <v>535</v>
      </c>
      <c r="H9" s="18"/>
      <c r="I9" s="22">
        <f>COUNTIF(Quotation[联系方式],Quotation[[#This Row],[联系方式]])</f>
        <v>44</v>
      </c>
      <c r="J9" s="18" t="str">
        <f>VLOOKUP(Quotation[[#This Row],[抬头]],Customer[],5,FALSE)&amp;""</f>
        <v>OK</v>
      </c>
      <c r="K9" s="23">
        <f>WEEKNUM(Quotation[[#This Row],[日期]])</f>
        <v>41</v>
      </c>
      <c r="L9" s="23">
        <f>WEEKDAY(Quotation[[#This Row],[日期]],1)-1</f>
        <v>2</v>
      </c>
    </row>
    <row r="10" spans="1:12" ht="28.5" x14ac:dyDescent="0.15">
      <c r="A10" s="20">
        <v>43382.719768518517</v>
      </c>
      <c r="B10" s="18" t="s">
        <v>548</v>
      </c>
      <c r="C10" s="17" t="s">
        <v>3505</v>
      </c>
      <c r="D10" s="21">
        <v>3003566765</v>
      </c>
      <c r="E10" s="18" t="s">
        <v>3506</v>
      </c>
      <c r="F10" s="18" t="s">
        <v>3507</v>
      </c>
      <c r="G10" s="18" t="s">
        <v>533</v>
      </c>
      <c r="H10" s="18" t="s">
        <v>3549</v>
      </c>
      <c r="I10" s="22">
        <f>COUNTIF(Quotation[联系方式],Quotation[[#This Row],[联系方式]])</f>
        <v>1</v>
      </c>
      <c r="J10" s="18" t="str">
        <f>VLOOKUP(Quotation[[#This Row],[抬头]],Customer[],5,FALSE)&amp;""</f>
        <v>OK</v>
      </c>
      <c r="K10" s="23">
        <f>WEEKNUM(Quotation[[#This Row],[日期]])</f>
        <v>41</v>
      </c>
      <c r="L10" s="23">
        <f>WEEKDAY(Quotation[[#This Row],[日期]],1)-1</f>
        <v>2</v>
      </c>
    </row>
    <row r="11" spans="1:12" ht="85.5" x14ac:dyDescent="0.15">
      <c r="A11" s="20">
        <v>43383.380648148152</v>
      </c>
      <c r="B11" s="18" t="s">
        <v>3508</v>
      </c>
      <c r="C11" s="17" t="s">
        <v>3509</v>
      </c>
      <c r="D11" s="21">
        <v>3003128015</v>
      </c>
      <c r="E11" s="18" t="s">
        <v>3510</v>
      </c>
      <c r="F11" s="18" t="s">
        <v>3512</v>
      </c>
      <c r="G11" s="18" t="s">
        <v>3511</v>
      </c>
      <c r="H11" s="18"/>
      <c r="I11" s="22">
        <f>COUNTIF(Quotation[联系方式],Quotation[[#This Row],[联系方式]])</f>
        <v>44</v>
      </c>
      <c r="J11" s="18" t="str">
        <f>VLOOKUP(Quotation[[#This Row],[抬头]],Customer[],5,FALSE)&amp;""</f>
        <v>OK</v>
      </c>
      <c r="K11" s="23">
        <f>WEEKNUM(Quotation[[#This Row],[日期]])</f>
        <v>41</v>
      </c>
      <c r="L11" s="23">
        <f>WEEKDAY(Quotation[[#This Row],[日期]],1)-1</f>
        <v>3</v>
      </c>
    </row>
    <row r="12" spans="1:12" ht="57" x14ac:dyDescent="0.15">
      <c r="A12" s="20">
        <v>43383.433321759258</v>
      </c>
      <c r="B12" s="18" t="s">
        <v>3508</v>
      </c>
      <c r="C12" s="17" t="s">
        <v>3509</v>
      </c>
      <c r="D12" s="21">
        <v>3003128015</v>
      </c>
      <c r="E12" s="18" t="s">
        <v>3513</v>
      </c>
      <c r="F12" s="18" t="s">
        <v>3514</v>
      </c>
      <c r="G12" s="18" t="s">
        <v>3515</v>
      </c>
      <c r="H12" s="18"/>
      <c r="I12" s="22">
        <f>COUNTIF(Quotation[联系方式],Quotation[[#This Row],[联系方式]])</f>
        <v>44</v>
      </c>
      <c r="J12" s="18" t="str">
        <f>VLOOKUP(Quotation[[#This Row],[抬头]],Customer[],5,FALSE)&amp;""</f>
        <v>OK</v>
      </c>
      <c r="K12" s="23">
        <f>WEEKNUM(Quotation[[#This Row],[日期]])</f>
        <v>41</v>
      </c>
      <c r="L12" s="23">
        <f>WEEKDAY(Quotation[[#This Row],[日期]],1)-1</f>
        <v>3</v>
      </c>
    </row>
    <row r="13" spans="1:12" ht="28.5" x14ac:dyDescent="0.15">
      <c r="A13" s="20">
        <v>43383.470972222225</v>
      </c>
      <c r="B13" s="18" t="s">
        <v>3508</v>
      </c>
      <c r="C13" s="17" t="s">
        <v>3509</v>
      </c>
      <c r="D13" s="21">
        <v>3003128015</v>
      </c>
      <c r="E13" s="18" t="s">
        <v>3516</v>
      </c>
      <c r="F13" s="18" t="s">
        <v>3517</v>
      </c>
      <c r="G13" s="18" t="s">
        <v>3518</v>
      </c>
      <c r="H13" s="18"/>
      <c r="I13" s="22">
        <f>COUNTIF(Quotation[联系方式],Quotation[[#This Row],[联系方式]])</f>
        <v>44</v>
      </c>
      <c r="J13" s="18" t="str">
        <f>VLOOKUP(Quotation[[#This Row],[抬头]],Customer[],5,FALSE)&amp;""</f>
        <v>OK</v>
      </c>
      <c r="K13" s="23">
        <f>WEEKNUM(Quotation[[#This Row],[日期]])</f>
        <v>41</v>
      </c>
      <c r="L13" s="23">
        <f>WEEKDAY(Quotation[[#This Row],[日期]],1)-1</f>
        <v>3</v>
      </c>
    </row>
    <row r="14" spans="1:12" ht="42.75" x14ac:dyDescent="0.15">
      <c r="A14" s="20">
        <v>43383.587581018517</v>
      </c>
      <c r="B14" s="18" t="s">
        <v>493</v>
      </c>
      <c r="C14" s="17" t="s">
        <v>3525</v>
      </c>
      <c r="D14" s="21">
        <v>1713665714</v>
      </c>
      <c r="E14" s="18" t="s">
        <v>3523</v>
      </c>
      <c r="F14" s="18" t="s">
        <v>3524</v>
      </c>
      <c r="G14" s="18" t="s">
        <v>3515</v>
      </c>
      <c r="H14" s="18" t="s">
        <v>5113</v>
      </c>
      <c r="I14" s="22">
        <f>COUNTIF(Quotation[联系方式],Quotation[[#This Row],[联系方式]])</f>
        <v>1</v>
      </c>
      <c r="J14" s="18" t="str">
        <f>VLOOKUP(Quotation[[#This Row],[抬头]],Customer[],5,FALSE)&amp;""</f>
        <v>OK</v>
      </c>
      <c r="K14" s="23">
        <f>WEEKNUM(Quotation[[#This Row],[日期]])</f>
        <v>41</v>
      </c>
      <c r="L14" s="23">
        <f>WEEKDAY(Quotation[[#This Row],[日期]],1)-1</f>
        <v>3</v>
      </c>
    </row>
    <row r="15" spans="1:12" ht="57" x14ac:dyDescent="0.15">
      <c r="A15" s="66">
        <v>43383.614594907405</v>
      </c>
      <c r="B15" s="67" t="s">
        <v>1266</v>
      </c>
      <c r="C15" s="68" t="s">
        <v>3522</v>
      </c>
      <c r="D15" s="69">
        <v>147802338</v>
      </c>
      <c r="E15" s="18" t="s">
        <v>3519</v>
      </c>
      <c r="F15" s="18" t="s">
        <v>3520</v>
      </c>
      <c r="G15" s="18" t="s">
        <v>3521</v>
      </c>
      <c r="H15" s="18" t="s">
        <v>3549</v>
      </c>
      <c r="I15" s="70">
        <f>COUNTIF(Quotation[联系方式],Quotation[[#This Row],[联系方式]])</f>
        <v>1</v>
      </c>
      <c r="J15" s="67" t="str">
        <f>VLOOKUP(Quotation[[#This Row],[抬头]],Customer[],5,FALSE)&amp;""</f>
        <v>深圳</v>
      </c>
      <c r="K15" s="71">
        <f>WEEKNUM(Quotation[[#This Row],[日期]])</f>
        <v>41</v>
      </c>
      <c r="L15" s="71">
        <f>WEEKDAY(Quotation[[#This Row],[日期]],1)-1</f>
        <v>3</v>
      </c>
    </row>
    <row r="16" spans="1:12" ht="57" x14ac:dyDescent="0.15">
      <c r="A16" s="20">
        <v>43384.412002314813</v>
      </c>
      <c r="B16" s="18" t="s">
        <v>2498</v>
      </c>
      <c r="C16" s="17" t="s">
        <v>3319</v>
      </c>
      <c r="D16" s="21">
        <v>3003128015</v>
      </c>
      <c r="E16" s="18" t="s">
        <v>3526</v>
      </c>
      <c r="F16" s="18" t="s">
        <v>3562</v>
      </c>
      <c r="G16" s="18" t="s">
        <v>4772</v>
      </c>
      <c r="H16" s="18"/>
      <c r="I16" s="22">
        <f>COUNTIF(Quotation[联系方式],Quotation[[#This Row],[联系方式]])</f>
        <v>44</v>
      </c>
      <c r="J16" s="18" t="str">
        <f>VLOOKUP(Quotation[[#This Row],[抬头]],Customer[],5,FALSE)&amp;""</f>
        <v>OK</v>
      </c>
      <c r="K16" s="23">
        <f>WEEKNUM(Quotation[[#This Row],[日期]])</f>
        <v>41</v>
      </c>
      <c r="L16" s="23">
        <f>WEEKDAY(Quotation[[#This Row],[日期]],1)-1</f>
        <v>4</v>
      </c>
    </row>
    <row r="17" spans="1:12" ht="42.75" x14ac:dyDescent="0.15">
      <c r="A17" s="20">
        <v>43384.457835648151</v>
      </c>
      <c r="B17" s="18" t="s">
        <v>3536</v>
      </c>
      <c r="C17" s="17" t="s">
        <v>3537</v>
      </c>
      <c r="D17" s="21">
        <v>2851795176</v>
      </c>
      <c r="E17" s="18" t="s">
        <v>3538</v>
      </c>
      <c r="F17" s="18" t="s">
        <v>3539</v>
      </c>
      <c r="G17" s="18" t="s">
        <v>535</v>
      </c>
      <c r="H17" s="18"/>
      <c r="I17" s="22">
        <f>COUNTIF(Quotation[联系方式],Quotation[[#This Row],[联系方式]])</f>
        <v>3</v>
      </c>
      <c r="J17" s="18" t="str">
        <f>VLOOKUP(Quotation[[#This Row],[抬头]],Customer[],5,FALSE)&amp;""</f>
        <v>南京</v>
      </c>
      <c r="K17" s="23">
        <f>WEEKNUM(Quotation[[#This Row],[日期]])</f>
        <v>41</v>
      </c>
      <c r="L17" s="23">
        <f>WEEKDAY(Quotation[[#This Row],[日期]],1)-1</f>
        <v>4</v>
      </c>
    </row>
    <row r="18" spans="1:12" ht="57" x14ac:dyDescent="0.15">
      <c r="A18" s="20">
        <v>43384.691412037035</v>
      </c>
      <c r="B18" s="18" t="s">
        <v>502</v>
      </c>
      <c r="C18" s="17" t="s">
        <v>2180</v>
      </c>
      <c r="D18" s="21">
        <v>3003128015</v>
      </c>
      <c r="E18" s="18" t="s">
        <v>3540</v>
      </c>
      <c r="F18" s="18" t="s">
        <v>3541</v>
      </c>
      <c r="G18" s="18" t="s">
        <v>3649</v>
      </c>
      <c r="H18" s="18"/>
      <c r="I18" s="22">
        <f>COUNTIF(Quotation[联系方式],Quotation[[#This Row],[联系方式]])</f>
        <v>44</v>
      </c>
      <c r="J18" s="18" t="str">
        <f>VLOOKUP(Quotation[[#This Row],[抬头]],Customer[],5,FALSE)&amp;""</f>
        <v>OK</v>
      </c>
      <c r="K18" s="23">
        <f>WEEKNUM(Quotation[[#This Row],[日期]])</f>
        <v>41</v>
      </c>
      <c r="L18" s="23">
        <f>WEEKDAY(Quotation[[#This Row],[日期]],1)-1</f>
        <v>4</v>
      </c>
    </row>
    <row r="19" spans="1:12" ht="71.25" x14ac:dyDescent="0.15">
      <c r="A19" s="20">
        <v>43384.714247685188</v>
      </c>
      <c r="B19" s="18" t="s">
        <v>559</v>
      </c>
      <c r="C19" s="17" t="s">
        <v>3532</v>
      </c>
      <c r="D19" s="21">
        <v>3002787082</v>
      </c>
      <c r="E19" s="18" t="s">
        <v>3533</v>
      </c>
      <c r="F19" s="18" t="s">
        <v>3534</v>
      </c>
      <c r="G19" s="18" t="s">
        <v>3535</v>
      </c>
      <c r="H19" s="18"/>
      <c r="I19" s="22">
        <f>COUNTIF(Quotation[联系方式],Quotation[[#This Row],[联系方式]])</f>
        <v>3</v>
      </c>
      <c r="J19" s="18" t="str">
        <f>VLOOKUP(Quotation[[#This Row],[抬头]],Customer[],5,FALSE)&amp;""</f>
        <v>OK</v>
      </c>
      <c r="K19" s="23">
        <f>WEEKNUM(Quotation[[#This Row],[日期]])</f>
        <v>41</v>
      </c>
      <c r="L19" s="23">
        <f>WEEKDAY(Quotation[[#This Row],[日期]],1)-1</f>
        <v>4</v>
      </c>
    </row>
    <row r="20" spans="1:12" ht="57" x14ac:dyDescent="0.15">
      <c r="A20" s="20">
        <v>43384.740370370368</v>
      </c>
      <c r="B20" s="18" t="s">
        <v>498</v>
      </c>
      <c r="C20" s="17" t="s">
        <v>2184</v>
      </c>
      <c r="D20" s="21">
        <v>2881725314</v>
      </c>
      <c r="E20" s="18" t="s">
        <v>3529</v>
      </c>
      <c r="F20" s="18" t="s">
        <v>3530</v>
      </c>
      <c r="G20" s="18" t="s">
        <v>3531</v>
      </c>
      <c r="H20" s="18"/>
      <c r="I20" s="22">
        <f>COUNTIF(Quotation[联系方式],Quotation[[#This Row],[联系方式]])</f>
        <v>5</v>
      </c>
      <c r="J20" s="18" t="str">
        <f>VLOOKUP(Quotation[[#This Row],[抬头]],Customer[],5,FALSE)&amp;""</f>
        <v>OK</v>
      </c>
      <c r="K20" s="23">
        <f>WEEKNUM(Quotation[[#This Row],[日期]])</f>
        <v>41</v>
      </c>
      <c r="L20" s="23">
        <f>WEEKDAY(Quotation[[#This Row],[日期]],1)-1</f>
        <v>4</v>
      </c>
    </row>
    <row r="21" spans="1:12" ht="57" x14ac:dyDescent="0.15">
      <c r="A21" s="20">
        <v>43385.445462962962</v>
      </c>
      <c r="B21" s="18" t="s">
        <v>559</v>
      </c>
      <c r="C21" s="17" t="s">
        <v>3551</v>
      </c>
      <c r="D21" s="21">
        <v>3002716532</v>
      </c>
      <c r="E21" s="18" t="s">
        <v>3552</v>
      </c>
      <c r="F21" s="18" t="s">
        <v>3553</v>
      </c>
      <c r="G21" s="18" t="s">
        <v>3554</v>
      </c>
      <c r="H21" s="18"/>
      <c r="I21" s="22">
        <f>COUNTIF(Quotation[联系方式],Quotation[[#This Row],[联系方式]])</f>
        <v>9</v>
      </c>
      <c r="J21" s="18" t="str">
        <f>VLOOKUP(Quotation[[#This Row],[抬头]],Customer[],5,FALSE)&amp;""</f>
        <v>OK</v>
      </c>
      <c r="K21" s="23">
        <f>WEEKNUM(Quotation[[#This Row],[日期]])</f>
        <v>41</v>
      </c>
      <c r="L21" s="23">
        <f>WEEKDAY(Quotation[[#This Row],[日期]],1)-1</f>
        <v>5</v>
      </c>
    </row>
    <row r="22" spans="1:12" ht="85.5" x14ac:dyDescent="0.15">
      <c r="A22" s="20">
        <v>43385.469050925924</v>
      </c>
      <c r="B22" s="18" t="s">
        <v>3556</v>
      </c>
      <c r="C22" s="17" t="s">
        <v>3557</v>
      </c>
      <c r="D22" s="21">
        <v>656525426</v>
      </c>
      <c r="E22" s="18" t="s">
        <v>3558</v>
      </c>
      <c r="F22" s="18" t="s">
        <v>3559</v>
      </c>
      <c r="G22" s="18" t="s">
        <v>3560</v>
      </c>
      <c r="H22" s="18"/>
      <c r="I22" s="22">
        <f>COUNTIF(Quotation[联系方式],Quotation[[#This Row],[联系方式]])</f>
        <v>1</v>
      </c>
      <c r="J22" s="18" t="str">
        <f>VLOOKUP(Quotation[[#This Row],[抬头]],Customer[],5,FALSE)&amp;""</f>
        <v>宁波</v>
      </c>
      <c r="K22" s="23">
        <f>WEEKNUM(Quotation[[#This Row],[日期]])</f>
        <v>41</v>
      </c>
      <c r="L22" s="23">
        <f>WEEKDAY(Quotation[[#This Row],[日期]],1)-1</f>
        <v>5</v>
      </c>
    </row>
    <row r="23" spans="1:12" ht="99.75" x14ac:dyDescent="0.15">
      <c r="A23" s="20">
        <v>43385.563715277778</v>
      </c>
      <c r="B23" s="18" t="s">
        <v>3564</v>
      </c>
      <c r="C23" s="17" t="s">
        <v>3565</v>
      </c>
      <c r="D23" s="21">
        <v>297961898</v>
      </c>
      <c r="E23" s="18" t="s">
        <v>3563</v>
      </c>
      <c r="F23" s="18" t="s">
        <v>3566</v>
      </c>
      <c r="G23" s="18" t="s">
        <v>3567</v>
      </c>
      <c r="H23" s="18"/>
      <c r="I23" s="22">
        <f>COUNTIF(Quotation[联系方式],Quotation[[#This Row],[联系方式]])</f>
        <v>3</v>
      </c>
      <c r="J23" s="18" t="str">
        <f>VLOOKUP(Quotation[[#This Row],[抬头]],Customer[],5,FALSE)&amp;""</f>
        <v>OK</v>
      </c>
      <c r="K23" s="23">
        <f>WEEKNUM(Quotation[[#This Row],[日期]])</f>
        <v>41</v>
      </c>
      <c r="L23" s="23">
        <f>WEEKDAY(Quotation[[#This Row],[日期]],1)-1</f>
        <v>5</v>
      </c>
    </row>
    <row r="24" spans="1:12" ht="28.5" x14ac:dyDescent="0.15">
      <c r="A24" s="20">
        <v>43385.637199074074</v>
      </c>
      <c r="B24" s="18" t="s">
        <v>647</v>
      </c>
      <c r="C24" s="17" t="s">
        <v>3568</v>
      </c>
      <c r="D24" s="21">
        <v>2850135782</v>
      </c>
      <c r="E24" s="18" t="s">
        <v>3569</v>
      </c>
      <c r="F24" s="18" t="s">
        <v>3570</v>
      </c>
      <c r="G24" s="18" t="s">
        <v>3574</v>
      </c>
      <c r="H24" s="18"/>
      <c r="I24" s="22">
        <f>COUNTIF(Quotation[联系方式],Quotation[[#This Row],[联系方式]])</f>
        <v>1</v>
      </c>
      <c r="J24" s="18" t="str">
        <f>VLOOKUP(Quotation[[#This Row],[抬头]],Customer[],5,FALSE)&amp;""</f>
        <v>OK</v>
      </c>
      <c r="K24" s="23">
        <f>WEEKNUM(Quotation[[#This Row],[日期]])</f>
        <v>41</v>
      </c>
      <c r="L24" s="23">
        <f>WEEKDAY(Quotation[[#This Row],[日期]],1)-1</f>
        <v>5</v>
      </c>
    </row>
    <row r="25" spans="1:12" ht="85.5" x14ac:dyDescent="0.15">
      <c r="A25" s="20">
        <v>43385.648935185185</v>
      </c>
      <c r="B25" s="18" t="s">
        <v>591</v>
      </c>
      <c r="C25" s="17" t="s">
        <v>2169</v>
      </c>
      <c r="D25" s="21">
        <v>297961898</v>
      </c>
      <c r="E25" s="18" t="s">
        <v>3571</v>
      </c>
      <c r="F25" s="18" t="s">
        <v>3572</v>
      </c>
      <c r="G25" s="18" t="s">
        <v>3573</v>
      </c>
      <c r="H25" s="18"/>
      <c r="I25" s="22">
        <f>COUNTIF(Quotation[联系方式],Quotation[[#This Row],[联系方式]])</f>
        <v>3</v>
      </c>
      <c r="J25" s="18" t="str">
        <f>VLOOKUP(Quotation[[#This Row],[抬头]],Customer[],5,FALSE)&amp;""</f>
        <v>OK</v>
      </c>
      <c r="K25" s="23">
        <f>WEEKNUM(Quotation[[#This Row],[日期]])</f>
        <v>41</v>
      </c>
      <c r="L25" s="23">
        <f>WEEKDAY(Quotation[[#This Row],[日期]],1)-1</f>
        <v>5</v>
      </c>
    </row>
    <row r="26" spans="1:12" ht="85.5" x14ac:dyDescent="0.15">
      <c r="A26" s="20">
        <v>43385.667615740742</v>
      </c>
      <c r="B26" s="18" t="s">
        <v>3576</v>
      </c>
      <c r="C26" s="17" t="s">
        <v>3578</v>
      </c>
      <c r="D26" s="21">
        <v>1922436408</v>
      </c>
      <c r="E26" s="18" t="s">
        <v>3581</v>
      </c>
      <c r="F26" s="18" t="s">
        <v>3579</v>
      </c>
      <c r="G26" s="18" t="s">
        <v>3580</v>
      </c>
      <c r="H26" s="18"/>
      <c r="I26" s="22">
        <f>COUNTIF(Quotation[联系方式],Quotation[[#This Row],[联系方式]])</f>
        <v>1</v>
      </c>
      <c r="J26" s="18" t="str">
        <f>VLOOKUP(Quotation[[#This Row],[抬头]],Customer[],5,FALSE)&amp;""</f>
        <v>张家港</v>
      </c>
      <c r="K26" s="23">
        <f>WEEKNUM(Quotation[[#This Row],[日期]])</f>
        <v>41</v>
      </c>
      <c r="L26" s="23">
        <f>WEEKDAY(Quotation[[#This Row],[日期]],1)-1</f>
        <v>5</v>
      </c>
    </row>
    <row r="27" spans="1:12" ht="28.5" x14ac:dyDescent="0.15">
      <c r="A27" s="20">
        <v>43385.72111111111</v>
      </c>
      <c r="B27" s="18" t="s">
        <v>3585</v>
      </c>
      <c r="C27" s="17" t="s">
        <v>3586</v>
      </c>
      <c r="D27" s="21">
        <v>2851124008</v>
      </c>
      <c r="E27" s="18" t="s">
        <v>3587</v>
      </c>
      <c r="F27" s="18" t="s">
        <v>3588</v>
      </c>
      <c r="G27" s="18" t="s">
        <v>533</v>
      </c>
      <c r="H27" s="18"/>
      <c r="I27" s="22">
        <f>COUNTIF(Quotation[联系方式],Quotation[[#This Row],[联系方式]])</f>
        <v>1</v>
      </c>
      <c r="J27" s="18" t="str">
        <f>VLOOKUP(Quotation[[#This Row],[抬头]],Customer[],5,FALSE)&amp;""</f>
        <v>宁波</v>
      </c>
      <c r="K27" s="23">
        <f>WEEKNUM(Quotation[[#This Row],[日期]])</f>
        <v>41</v>
      </c>
      <c r="L27" s="23">
        <f>WEEKDAY(Quotation[[#This Row],[日期]],1)-1</f>
        <v>5</v>
      </c>
    </row>
    <row r="28" spans="1:12" ht="85.5" x14ac:dyDescent="0.15">
      <c r="A28" s="20">
        <v>43385.721238425926</v>
      </c>
      <c r="B28" s="18" t="s">
        <v>502</v>
      </c>
      <c r="C28" s="17" t="s">
        <v>2180</v>
      </c>
      <c r="D28" s="21">
        <v>3003128015</v>
      </c>
      <c r="E28" s="18" t="s">
        <v>3583</v>
      </c>
      <c r="F28" s="18" t="s">
        <v>3584</v>
      </c>
      <c r="G28" s="18" t="s">
        <v>533</v>
      </c>
      <c r="H28" s="18"/>
      <c r="I28" s="22">
        <f>COUNTIF(Quotation[联系方式],Quotation[[#This Row],[联系方式]])</f>
        <v>44</v>
      </c>
      <c r="J28" s="18" t="str">
        <f>VLOOKUP(Quotation[[#This Row],[抬头]],Customer[],5,FALSE)&amp;""</f>
        <v>OK</v>
      </c>
      <c r="K28" s="23">
        <f>WEEKNUM(Quotation[[#This Row],[日期]])</f>
        <v>41</v>
      </c>
      <c r="L28" s="23">
        <f>WEEKDAY(Quotation[[#This Row],[日期]],1)-1</f>
        <v>5</v>
      </c>
    </row>
    <row r="29" spans="1:12" ht="85.5" x14ac:dyDescent="0.15">
      <c r="A29" s="20">
        <v>43388.376979166664</v>
      </c>
      <c r="B29" s="18" t="s">
        <v>502</v>
      </c>
      <c r="C29" s="17" t="s">
        <v>2180</v>
      </c>
      <c r="D29" s="21">
        <v>3003128015</v>
      </c>
      <c r="E29" s="18" t="s">
        <v>3595</v>
      </c>
      <c r="F29" s="18" t="s">
        <v>3596</v>
      </c>
      <c r="G29" s="18" t="s">
        <v>3511</v>
      </c>
      <c r="H29" s="18"/>
      <c r="I29" s="22">
        <f>COUNTIF(Quotation[联系方式],Quotation[[#This Row],[联系方式]])</f>
        <v>44</v>
      </c>
      <c r="J29" s="18" t="str">
        <f>VLOOKUP(Quotation[[#This Row],[抬头]],Customer[],5,FALSE)&amp;""</f>
        <v>OK</v>
      </c>
      <c r="K29" s="23">
        <f>WEEKNUM(Quotation[[#This Row],[日期]])</f>
        <v>42</v>
      </c>
      <c r="L29" s="23">
        <f>WEEKDAY(Quotation[[#This Row],[日期]],1)-1</f>
        <v>1</v>
      </c>
    </row>
    <row r="30" spans="1:12" ht="85.5" x14ac:dyDescent="0.15">
      <c r="A30" s="20">
        <v>43388.37871527778</v>
      </c>
      <c r="B30" s="18" t="s">
        <v>502</v>
      </c>
      <c r="C30" s="17" t="s">
        <v>2180</v>
      </c>
      <c r="D30" s="21">
        <v>3003128015</v>
      </c>
      <c r="E30" s="18" t="s">
        <v>3597</v>
      </c>
      <c r="F30" s="18" t="s">
        <v>3598</v>
      </c>
      <c r="G30" s="18" t="s">
        <v>3599</v>
      </c>
      <c r="H30" s="18"/>
      <c r="I30" s="22">
        <f>COUNTIF(Quotation[联系方式],Quotation[[#This Row],[联系方式]])</f>
        <v>44</v>
      </c>
      <c r="J30" s="18" t="str">
        <f>VLOOKUP(Quotation[[#This Row],[抬头]],Customer[],5,FALSE)&amp;""</f>
        <v>OK</v>
      </c>
      <c r="K30" s="23">
        <f>WEEKNUM(Quotation[[#This Row],[日期]])</f>
        <v>42</v>
      </c>
      <c r="L30" s="23">
        <f>WEEKDAY(Quotation[[#This Row],[日期]],1)-1</f>
        <v>1</v>
      </c>
    </row>
    <row r="31" spans="1:12" ht="85.5" x14ac:dyDescent="0.15">
      <c r="A31" s="20">
        <v>43388.378969907404</v>
      </c>
      <c r="B31" s="18" t="s">
        <v>582</v>
      </c>
      <c r="C31" s="17" t="s">
        <v>3592</v>
      </c>
      <c r="D31" s="21">
        <v>2880488446</v>
      </c>
      <c r="E31" s="18" t="s">
        <v>3593</v>
      </c>
      <c r="F31" s="18" t="s">
        <v>3594</v>
      </c>
      <c r="G31" s="18" t="s">
        <v>3491</v>
      </c>
      <c r="H31" s="18"/>
      <c r="I31" s="22">
        <f>COUNTIF(Quotation[联系方式],Quotation[[#This Row],[联系方式]])</f>
        <v>5</v>
      </c>
      <c r="J31" s="18" t="str">
        <f>VLOOKUP(Quotation[[#This Row],[抬头]],Customer[],5,FALSE)&amp;""</f>
        <v>OK</v>
      </c>
      <c r="K31" s="23">
        <f>WEEKNUM(Quotation[[#This Row],[日期]])</f>
        <v>42</v>
      </c>
      <c r="L31" s="23">
        <f>WEEKDAY(Quotation[[#This Row],[日期]],1)-1</f>
        <v>1</v>
      </c>
    </row>
    <row r="32" spans="1:12" ht="85.5" x14ac:dyDescent="0.15">
      <c r="A32" s="83">
        <v>43388.382071759261</v>
      </c>
      <c r="B32" s="84" t="s">
        <v>498</v>
      </c>
      <c r="C32" s="85" t="s">
        <v>3589</v>
      </c>
      <c r="D32" s="86">
        <v>2881725313</v>
      </c>
      <c r="E32" s="18" t="s">
        <v>3590</v>
      </c>
      <c r="F32" s="18" t="s">
        <v>3591</v>
      </c>
      <c r="G32" s="18" t="s">
        <v>3496</v>
      </c>
      <c r="H32" s="84"/>
      <c r="I32" s="87">
        <f>COUNTIF(Quotation[联系方式],Quotation[[#This Row],[联系方式]])</f>
        <v>1</v>
      </c>
      <c r="J32" s="84" t="str">
        <f>VLOOKUP(Quotation[[#This Row],[抬头]],Customer[],5,FALSE)&amp;""</f>
        <v>OK</v>
      </c>
      <c r="K32" s="88">
        <f>WEEKNUM(Quotation[[#This Row],[日期]])</f>
        <v>42</v>
      </c>
      <c r="L32" s="88">
        <f>WEEKDAY(Quotation[[#This Row],[日期]],1)-1</f>
        <v>1</v>
      </c>
    </row>
    <row r="33" spans="1:12" ht="85.5" x14ac:dyDescent="0.15">
      <c r="A33" s="20">
        <v>43388.41578703704</v>
      </c>
      <c r="B33" s="18" t="s">
        <v>502</v>
      </c>
      <c r="C33" s="17" t="s">
        <v>2180</v>
      </c>
      <c r="D33" s="21">
        <v>3003128015</v>
      </c>
      <c r="E33" s="18" t="s">
        <v>3600</v>
      </c>
      <c r="F33" s="18" t="s">
        <v>3601</v>
      </c>
      <c r="G33" s="18" t="s">
        <v>533</v>
      </c>
      <c r="H33" s="18"/>
      <c r="I33" s="22">
        <f>COUNTIF(Quotation[联系方式],Quotation[[#This Row],[联系方式]])</f>
        <v>44</v>
      </c>
      <c r="J33" s="18" t="str">
        <f>VLOOKUP(Quotation[[#This Row],[抬头]],Customer[],5,FALSE)&amp;""</f>
        <v>OK</v>
      </c>
      <c r="K33" s="23">
        <f>WEEKNUM(Quotation[[#This Row],[日期]])</f>
        <v>42</v>
      </c>
      <c r="L33" s="23">
        <f>WEEKDAY(Quotation[[#This Row],[日期]],1)-1</f>
        <v>1</v>
      </c>
    </row>
    <row r="34" spans="1:12" ht="85.5" x14ac:dyDescent="0.15">
      <c r="A34" s="20">
        <v>43388.41578703704</v>
      </c>
      <c r="B34" s="18" t="s">
        <v>502</v>
      </c>
      <c r="C34" s="17" t="s">
        <v>2180</v>
      </c>
      <c r="D34" s="21">
        <v>3003128015</v>
      </c>
      <c r="E34" s="18" t="s">
        <v>3602</v>
      </c>
      <c r="F34" s="18" t="s">
        <v>3603</v>
      </c>
      <c r="G34" s="18" t="s">
        <v>3604</v>
      </c>
      <c r="H34" s="18"/>
      <c r="I34" s="22">
        <f>COUNTIF(Quotation[联系方式],Quotation[[#This Row],[联系方式]])</f>
        <v>44</v>
      </c>
      <c r="J34" s="18" t="str">
        <f>VLOOKUP(Quotation[[#This Row],[抬头]],Customer[],5,FALSE)&amp;""</f>
        <v>OK</v>
      </c>
      <c r="K34" s="23">
        <f>WEEKNUM(Quotation[[#This Row],[日期]])</f>
        <v>42</v>
      </c>
      <c r="L34" s="23">
        <f>WEEKDAY(Quotation[[#This Row],[日期]],1)-1</f>
        <v>1</v>
      </c>
    </row>
    <row r="35" spans="1:12" ht="57" x14ac:dyDescent="0.15">
      <c r="A35" s="20">
        <v>43388.434699074074</v>
      </c>
      <c r="B35" s="18" t="s">
        <v>502</v>
      </c>
      <c r="C35" s="17" t="s">
        <v>2180</v>
      </c>
      <c r="D35" s="21">
        <v>3003128015</v>
      </c>
      <c r="E35" s="18" t="s">
        <v>3605</v>
      </c>
      <c r="F35" s="18" t="s">
        <v>3606</v>
      </c>
      <c r="G35" s="18" t="s">
        <v>3607</v>
      </c>
      <c r="H35" s="18"/>
      <c r="I35" s="22">
        <f>COUNTIF(Quotation[联系方式],Quotation[[#This Row],[联系方式]])</f>
        <v>44</v>
      </c>
      <c r="J35" s="18" t="str">
        <f>VLOOKUP(Quotation[[#This Row],[抬头]],Customer[],5,FALSE)&amp;""</f>
        <v>OK</v>
      </c>
      <c r="K35" s="23">
        <f>WEEKNUM(Quotation[[#This Row],[日期]])</f>
        <v>42</v>
      </c>
      <c r="L35" s="23">
        <f>WEEKDAY(Quotation[[#This Row],[日期]],1)-1</f>
        <v>1</v>
      </c>
    </row>
    <row r="36" spans="1:12" ht="28.5" x14ac:dyDescent="0.15">
      <c r="A36" s="20">
        <v>43388.484583333331</v>
      </c>
      <c r="B36" s="18" t="s">
        <v>559</v>
      </c>
      <c r="C36" s="17" t="s">
        <v>3551</v>
      </c>
      <c r="D36" s="21">
        <v>3002716532</v>
      </c>
      <c r="E36" s="18" t="s">
        <v>3608</v>
      </c>
      <c r="F36" s="18" t="s">
        <v>3609</v>
      </c>
      <c r="G36" s="18" t="s">
        <v>3610</v>
      </c>
      <c r="H36" s="18"/>
      <c r="I36" s="22">
        <f>COUNTIF(Quotation[联系方式],Quotation[[#This Row],[联系方式]])</f>
        <v>9</v>
      </c>
      <c r="J36" s="18" t="str">
        <f>VLOOKUP(Quotation[[#This Row],[抬头]],Customer[],5,FALSE)&amp;""</f>
        <v>OK</v>
      </c>
      <c r="K36" s="23">
        <f>WEEKNUM(Quotation[[#This Row],[日期]])</f>
        <v>42</v>
      </c>
      <c r="L36" s="23">
        <f>WEEKDAY(Quotation[[#This Row],[日期]],1)-1</f>
        <v>1</v>
      </c>
    </row>
    <row r="37" spans="1:12" ht="85.5" x14ac:dyDescent="0.15">
      <c r="A37" s="20">
        <v>43388.560231481482</v>
      </c>
      <c r="B37" s="18" t="s">
        <v>559</v>
      </c>
      <c r="C37" s="17" t="s">
        <v>3551</v>
      </c>
      <c r="D37" s="21">
        <v>3002716532</v>
      </c>
      <c r="E37" s="18" t="s">
        <v>3613</v>
      </c>
      <c r="F37" s="18" t="s">
        <v>3612</v>
      </c>
      <c r="G37" s="18" t="s">
        <v>3613</v>
      </c>
      <c r="H37" s="18"/>
      <c r="I37" s="22">
        <f>COUNTIF(Quotation[联系方式],Quotation[[#This Row],[联系方式]])</f>
        <v>9</v>
      </c>
      <c r="J37" s="18" t="str">
        <f>VLOOKUP(Quotation[[#This Row],[抬头]],Customer[],5,FALSE)&amp;""</f>
        <v>OK</v>
      </c>
      <c r="K37" s="23">
        <f>WEEKNUM(Quotation[[#This Row],[日期]])</f>
        <v>42</v>
      </c>
      <c r="L37" s="23">
        <f>WEEKDAY(Quotation[[#This Row],[日期]],1)-1</f>
        <v>1</v>
      </c>
    </row>
    <row r="38" spans="1:12" ht="28.5" x14ac:dyDescent="0.15">
      <c r="A38" s="20">
        <v>43388.560231481482</v>
      </c>
      <c r="B38" s="18" t="s">
        <v>559</v>
      </c>
      <c r="C38" s="17" t="s">
        <v>3551</v>
      </c>
      <c r="D38" s="21">
        <v>3002716532</v>
      </c>
      <c r="E38" s="18" t="s">
        <v>3614</v>
      </c>
      <c r="F38" s="18" t="s">
        <v>3615</v>
      </c>
      <c r="G38" s="18" t="s">
        <v>3614</v>
      </c>
      <c r="H38" s="18"/>
      <c r="I38" s="22">
        <f>COUNTIF(Quotation[联系方式],Quotation[[#This Row],[联系方式]])</f>
        <v>9</v>
      </c>
      <c r="J38" s="18" t="str">
        <f>VLOOKUP(Quotation[[#This Row],[抬头]],Customer[],5,FALSE)&amp;""</f>
        <v>OK</v>
      </c>
      <c r="K38" s="23">
        <f>WEEKNUM(Quotation[[#This Row],[日期]])</f>
        <v>42</v>
      </c>
      <c r="L38" s="23">
        <f>WEEKDAY(Quotation[[#This Row],[日期]],1)-1</f>
        <v>1</v>
      </c>
    </row>
    <row r="39" spans="1:12" ht="85.5" x14ac:dyDescent="0.15">
      <c r="A39" s="20">
        <v>43388.560231481482</v>
      </c>
      <c r="B39" s="18" t="s">
        <v>502</v>
      </c>
      <c r="C39" s="17" t="s">
        <v>2180</v>
      </c>
      <c r="D39" s="21">
        <v>3003128015</v>
      </c>
      <c r="E39" s="18" t="s">
        <v>3616</v>
      </c>
      <c r="F39" s="18" t="s">
        <v>3617</v>
      </c>
      <c r="G39" s="18" t="s">
        <v>3618</v>
      </c>
      <c r="H39" s="18"/>
      <c r="I39" s="22">
        <f>COUNTIF(Quotation[联系方式],Quotation[[#This Row],[联系方式]])</f>
        <v>44</v>
      </c>
      <c r="J39" s="18" t="str">
        <f>VLOOKUP(Quotation[[#This Row],[抬头]],Customer[],5,FALSE)&amp;""</f>
        <v>OK</v>
      </c>
      <c r="K39" s="23">
        <f>WEEKNUM(Quotation[[#This Row],[日期]])</f>
        <v>42</v>
      </c>
      <c r="L39" s="23">
        <f>WEEKDAY(Quotation[[#This Row],[日期]],1)-1</f>
        <v>1</v>
      </c>
    </row>
    <row r="40" spans="1:12" ht="28.5" x14ac:dyDescent="0.15">
      <c r="A40" s="20">
        <v>43388.570868055554</v>
      </c>
      <c r="B40" s="18" t="s">
        <v>1319</v>
      </c>
      <c r="C40" s="17" t="s">
        <v>3619</v>
      </c>
      <c r="D40" s="21">
        <v>341474889</v>
      </c>
      <c r="E40" s="18" t="s">
        <v>3620</v>
      </c>
      <c r="F40" s="18" t="s">
        <v>3621</v>
      </c>
      <c r="G40" s="18" t="s">
        <v>3599</v>
      </c>
      <c r="H40" s="18"/>
      <c r="I40" s="22">
        <f>COUNTIF(Quotation[联系方式],Quotation[[#This Row],[联系方式]])</f>
        <v>2</v>
      </c>
      <c r="J40" s="18" t="str">
        <f>VLOOKUP(Quotation[[#This Row],[抬头]],Customer[],5,FALSE)&amp;""</f>
        <v>OK</v>
      </c>
      <c r="K40" s="23">
        <f>WEEKNUM(Quotation[[#This Row],[日期]])</f>
        <v>42</v>
      </c>
      <c r="L40" s="23">
        <f>WEEKDAY(Quotation[[#This Row],[日期]],1)-1</f>
        <v>1</v>
      </c>
    </row>
    <row r="41" spans="1:12" ht="57" x14ac:dyDescent="0.15">
      <c r="A41" s="20">
        <v>43388.578055555554</v>
      </c>
      <c r="B41" s="18" t="s">
        <v>4482</v>
      </c>
      <c r="C41" s="17" t="s">
        <v>3537</v>
      </c>
      <c r="D41" s="21">
        <v>2851795176</v>
      </c>
      <c r="E41" s="18" t="s">
        <v>4745</v>
      </c>
      <c r="F41" s="18" t="s">
        <v>4746</v>
      </c>
      <c r="G41" s="18" t="s">
        <v>535</v>
      </c>
      <c r="H41" s="18"/>
      <c r="I41" s="22">
        <f>COUNTIF(Quotation[联系方式],Quotation[[#This Row],[联系方式]])</f>
        <v>3</v>
      </c>
      <c r="J41" s="18" t="str">
        <f>VLOOKUP(Quotation[[#This Row],[抬头]],Customer[],5,FALSE)&amp;""</f>
        <v>南京</v>
      </c>
      <c r="K41" s="23">
        <f>WEEKNUM(Quotation[[#This Row],[日期]])</f>
        <v>42</v>
      </c>
      <c r="L41" s="23">
        <f>WEEKDAY(Quotation[[#This Row],[日期]],1)-1</f>
        <v>1</v>
      </c>
    </row>
    <row r="42" spans="1:12" ht="28.5" x14ac:dyDescent="0.15">
      <c r="A42" s="20">
        <v>43388.606087962966</v>
      </c>
      <c r="B42" s="18" t="s">
        <v>572</v>
      </c>
      <c r="C42" s="17" t="s">
        <v>3624</v>
      </c>
      <c r="D42" s="21">
        <v>240689713</v>
      </c>
      <c r="E42" s="18" t="s">
        <v>3625</v>
      </c>
      <c r="F42" s="18" t="s">
        <v>3626</v>
      </c>
      <c r="G42" s="18" t="s">
        <v>3627</v>
      </c>
      <c r="H42" s="18"/>
      <c r="I42" s="22">
        <f>COUNTIF(Quotation[联系方式],Quotation[[#This Row],[联系方式]])</f>
        <v>1</v>
      </c>
      <c r="J42" s="18" t="str">
        <f>VLOOKUP(Quotation[[#This Row],[抬头]],Customer[],5,FALSE)&amp;""</f>
        <v>暂不管</v>
      </c>
      <c r="K42" s="23">
        <f>WEEKNUM(Quotation[[#This Row],[日期]])</f>
        <v>42</v>
      </c>
      <c r="L42" s="23">
        <f>WEEKDAY(Quotation[[#This Row],[日期]],1)-1</f>
        <v>1</v>
      </c>
    </row>
    <row r="43" spans="1:12" ht="85.5" x14ac:dyDescent="0.15">
      <c r="A43" s="20">
        <v>43388.611458333333</v>
      </c>
      <c r="B43" s="18" t="s">
        <v>502</v>
      </c>
      <c r="C43" s="17" t="s">
        <v>2180</v>
      </c>
      <c r="D43" s="21">
        <v>3003128015</v>
      </c>
      <c r="E43" s="18" t="s">
        <v>3629</v>
      </c>
      <c r="F43" s="18" t="s">
        <v>3628</v>
      </c>
      <c r="G43" s="18" t="s">
        <v>3645</v>
      </c>
      <c r="H43" s="18"/>
      <c r="I43" s="22">
        <f>COUNTIF(Quotation[联系方式],Quotation[[#This Row],[联系方式]])</f>
        <v>44</v>
      </c>
      <c r="J43" s="18" t="str">
        <f>VLOOKUP(Quotation[[#This Row],[抬头]],Customer[],5,FALSE)&amp;""</f>
        <v>OK</v>
      </c>
      <c r="K43" s="23">
        <f>WEEKNUM(Quotation[[#This Row],[日期]])</f>
        <v>42</v>
      </c>
      <c r="L43" s="23">
        <f>WEEKDAY(Quotation[[#This Row],[日期]],1)-1</f>
        <v>1</v>
      </c>
    </row>
    <row r="44" spans="1:12" ht="85.5" x14ac:dyDescent="0.15">
      <c r="A44" s="20">
        <v>43388.697708333333</v>
      </c>
      <c r="B44" s="18" t="s">
        <v>502</v>
      </c>
      <c r="C44" s="17" t="s">
        <v>2180</v>
      </c>
      <c r="D44" s="21">
        <v>3003128015</v>
      </c>
      <c r="E44" s="18" t="s">
        <v>3642</v>
      </c>
      <c r="F44" s="18" t="s">
        <v>3643</v>
      </c>
      <c r="G44" s="18" t="s">
        <v>3644</v>
      </c>
      <c r="H44" s="18"/>
      <c r="I44" s="22">
        <f>COUNTIF(Quotation[联系方式],Quotation[[#This Row],[联系方式]])</f>
        <v>44</v>
      </c>
      <c r="J44" s="18" t="str">
        <f>VLOOKUP(Quotation[[#This Row],[抬头]],Customer[],5,FALSE)&amp;""</f>
        <v>OK</v>
      </c>
      <c r="K44" s="23">
        <f>WEEKNUM(Quotation[[#This Row],[日期]])</f>
        <v>42</v>
      </c>
      <c r="L44" s="23">
        <f>WEEKDAY(Quotation[[#This Row],[日期]],1)-1</f>
        <v>1</v>
      </c>
    </row>
    <row r="45" spans="1:12" ht="85.5" x14ac:dyDescent="0.15">
      <c r="A45" s="20">
        <v>43388.703043981484</v>
      </c>
      <c r="B45" s="18" t="s">
        <v>582</v>
      </c>
      <c r="C45" s="17" t="s">
        <v>3592</v>
      </c>
      <c r="D45" s="21">
        <v>2880488446</v>
      </c>
      <c r="E45" s="18" t="s">
        <v>3647</v>
      </c>
      <c r="F45" s="18" t="s">
        <v>3648</v>
      </c>
      <c r="G45" s="18" t="s">
        <v>3649</v>
      </c>
      <c r="H45" s="18"/>
      <c r="I45" s="22">
        <f>COUNTIF(Quotation[联系方式],Quotation[[#This Row],[联系方式]])</f>
        <v>5</v>
      </c>
      <c r="J45" s="18" t="str">
        <f>VLOOKUP(Quotation[[#This Row],[抬头]],Customer[],5,FALSE)&amp;""</f>
        <v>OK</v>
      </c>
      <c r="K45" s="23">
        <f>WEEKNUM(Quotation[[#This Row],[日期]])</f>
        <v>42</v>
      </c>
      <c r="L45" s="23">
        <f>WEEKDAY(Quotation[[#This Row],[日期]],1)-1</f>
        <v>1</v>
      </c>
    </row>
    <row r="46" spans="1:12" ht="99.75" x14ac:dyDescent="0.15">
      <c r="A46" s="20">
        <v>43388.726365740738</v>
      </c>
      <c r="B46" s="18" t="s">
        <v>502</v>
      </c>
      <c r="C46" s="17" t="s">
        <v>2180</v>
      </c>
      <c r="D46" s="21">
        <v>3003128015</v>
      </c>
      <c r="E46" s="18" t="s">
        <v>3651</v>
      </c>
      <c r="F46" s="18" t="s">
        <v>3652</v>
      </c>
      <c r="G46" s="18" t="s">
        <v>3518</v>
      </c>
      <c r="H46" s="18"/>
      <c r="I46" s="22">
        <f>COUNTIF(Quotation[联系方式],Quotation[[#This Row],[联系方式]])</f>
        <v>44</v>
      </c>
      <c r="J46" s="18" t="str">
        <f>VLOOKUP(Quotation[[#This Row],[抬头]],Customer[],5,FALSE)&amp;""</f>
        <v>OK</v>
      </c>
      <c r="K46" s="23">
        <f>WEEKNUM(Quotation[[#This Row],[日期]])</f>
        <v>42</v>
      </c>
      <c r="L46" s="23">
        <f>WEEKDAY(Quotation[[#This Row],[日期]],1)-1</f>
        <v>1</v>
      </c>
    </row>
    <row r="47" spans="1:12" ht="85.5" x14ac:dyDescent="0.15">
      <c r="A47" s="20">
        <v>43389.406759259262</v>
      </c>
      <c r="B47" s="18" t="s">
        <v>559</v>
      </c>
      <c r="C47" s="17" t="s">
        <v>3551</v>
      </c>
      <c r="D47" s="21">
        <v>3002716532</v>
      </c>
      <c r="E47" s="18" t="s">
        <v>3662</v>
      </c>
      <c r="F47" s="18" t="s">
        <v>3663</v>
      </c>
      <c r="G47" s="18" t="s">
        <v>533</v>
      </c>
      <c r="H47" s="18"/>
      <c r="I47" s="22">
        <f>COUNTIF(Quotation[联系方式],Quotation[[#This Row],[联系方式]])</f>
        <v>9</v>
      </c>
      <c r="J47" s="18" t="str">
        <f>VLOOKUP(Quotation[[#This Row],[抬头]],Customer[],5,FALSE)&amp;""</f>
        <v>OK</v>
      </c>
      <c r="K47" s="23">
        <f>WEEKNUM(Quotation[[#This Row],[日期]])</f>
        <v>42</v>
      </c>
      <c r="L47" s="23">
        <f>WEEKDAY(Quotation[[#This Row],[日期]],1)-1</f>
        <v>2</v>
      </c>
    </row>
    <row r="48" spans="1:12" ht="57" x14ac:dyDescent="0.15">
      <c r="A48" s="20">
        <v>43389.428414351853</v>
      </c>
      <c r="B48" s="18" t="s">
        <v>498</v>
      </c>
      <c r="C48" s="17" t="s">
        <v>2184</v>
      </c>
      <c r="D48" s="21">
        <v>2881725314</v>
      </c>
      <c r="E48" s="18" t="s">
        <v>3664</v>
      </c>
      <c r="F48" s="18" t="s">
        <v>3665</v>
      </c>
      <c r="G48" s="18" t="s">
        <v>3666</v>
      </c>
      <c r="H48" s="18"/>
      <c r="I48" s="22">
        <f>COUNTIF(Quotation[联系方式],Quotation[[#This Row],[联系方式]])</f>
        <v>5</v>
      </c>
      <c r="J48" s="18" t="str">
        <f>VLOOKUP(Quotation[[#This Row],[抬头]],Customer[],5,FALSE)&amp;""</f>
        <v>OK</v>
      </c>
      <c r="K48" s="23">
        <f>WEEKNUM(Quotation[[#This Row],[日期]])</f>
        <v>42</v>
      </c>
      <c r="L48" s="23">
        <f>WEEKDAY(Quotation[[#This Row],[日期]],1)-1</f>
        <v>2</v>
      </c>
    </row>
    <row r="49" spans="1:12" ht="57" x14ac:dyDescent="0.15">
      <c r="A49" s="20">
        <v>43389.479618055557</v>
      </c>
      <c r="B49" s="18" t="s">
        <v>502</v>
      </c>
      <c r="C49" s="17" t="s">
        <v>2180</v>
      </c>
      <c r="D49" s="21">
        <v>3003128015</v>
      </c>
      <c r="E49" s="18" t="s">
        <v>3668</v>
      </c>
      <c r="F49" s="18" t="s">
        <v>3669</v>
      </c>
      <c r="G49" s="18" t="s">
        <v>3670</v>
      </c>
      <c r="H49" s="18"/>
      <c r="I49" s="22">
        <f>COUNTIF(Quotation[联系方式],Quotation[[#This Row],[联系方式]])</f>
        <v>44</v>
      </c>
      <c r="J49" s="18" t="str">
        <f>VLOOKUP(Quotation[[#This Row],[抬头]],Customer[],5,FALSE)&amp;""</f>
        <v>OK</v>
      </c>
      <c r="K49" s="23">
        <f>WEEKNUM(Quotation[[#This Row],[日期]])</f>
        <v>42</v>
      </c>
      <c r="L49" s="23">
        <f>WEEKDAY(Quotation[[#This Row],[日期]],1)-1</f>
        <v>2</v>
      </c>
    </row>
    <row r="50" spans="1:12" ht="85.5" x14ac:dyDescent="0.15">
      <c r="A50" s="20">
        <v>43389.485763888886</v>
      </c>
      <c r="B50" s="18" t="s">
        <v>502</v>
      </c>
      <c r="C50" s="17" t="s">
        <v>2180</v>
      </c>
      <c r="D50" s="21">
        <v>3003128015</v>
      </c>
      <c r="E50" s="18" t="s">
        <v>3672</v>
      </c>
      <c r="F50" s="18" t="s">
        <v>3671</v>
      </c>
      <c r="G50" s="18" t="s">
        <v>2275</v>
      </c>
      <c r="H50" s="18"/>
      <c r="I50" s="22">
        <f>COUNTIF(Quotation[联系方式],Quotation[[#This Row],[联系方式]])</f>
        <v>44</v>
      </c>
      <c r="J50" s="18" t="str">
        <f>VLOOKUP(Quotation[[#This Row],[抬头]],Customer[],5,FALSE)&amp;""</f>
        <v>OK</v>
      </c>
      <c r="K50" s="23">
        <f>WEEKNUM(Quotation[[#This Row],[日期]])</f>
        <v>42</v>
      </c>
      <c r="L50" s="23">
        <f>WEEKDAY(Quotation[[#This Row],[日期]],1)-1</f>
        <v>2</v>
      </c>
    </row>
    <row r="51" spans="1:12" ht="57" x14ac:dyDescent="0.15">
      <c r="A51" s="20">
        <v>43389.545335648145</v>
      </c>
      <c r="B51" s="18" t="s">
        <v>3674</v>
      </c>
      <c r="C51" s="17" t="s">
        <v>3675</v>
      </c>
      <c r="D51" s="21">
        <v>289556410</v>
      </c>
      <c r="E51" s="18" t="s">
        <v>3676</v>
      </c>
      <c r="F51" s="18" t="s">
        <v>3677</v>
      </c>
      <c r="G51" s="18" t="s">
        <v>3560</v>
      </c>
      <c r="H51" s="18"/>
      <c r="I51" s="22">
        <f>COUNTIF(Quotation[联系方式],Quotation[[#This Row],[联系方式]])</f>
        <v>1</v>
      </c>
      <c r="J51" s="18" t="str">
        <f>VLOOKUP(Quotation[[#This Row],[抬头]],Customer[],5,FALSE)&amp;""</f>
        <v>OK</v>
      </c>
      <c r="K51" s="23">
        <f>WEEKNUM(Quotation[[#This Row],[日期]])</f>
        <v>42</v>
      </c>
      <c r="L51" s="23">
        <f>WEEKDAY(Quotation[[#This Row],[日期]],1)-1</f>
        <v>2</v>
      </c>
    </row>
    <row r="52" spans="1:12" ht="57" x14ac:dyDescent="0.15">
      <c r="A52" s="20">
        <v>43389.628171296295</v>
      </c>
      <c r="B52" s="18" t="s">
        <v>3708</v>
      </c>
      <c r="C52" s="17" t="s">
        <v>3710</v>
      </c>
      <c r="D52" s="21">
        <v>2508797879</v>
      </c>
      <c r="E52" s="18" t="s">
        <v>3706</v>
      </c>
      <c r="F52" s="18" t="s">
        <v>3711</v>
      </c>
      <c r="G52" s="18" t="s">
        <v>534</v>
      </c>
      <c r="H52" s="18" t="s">
        <v>4900</v>
      </c>
      <c r="I52" s="22">
        <f>COUNTIF(Quotation[联系方式],Quotation[[#This Row],[联系方式]])</f>
        <v>2</v>
      </c>
      <c r="J52" s="18" t="str">
        <f>VLOOKUP(Quotation[[#This Row],[抬头]],Customer[],5,FALSE)&amp;""</f>
        <v>东莞</v>
      </c>
      <c r="K52" s="23">
        <f>WEEKNUM(Quotation[[#This Row],[日期]])</f>
        <v>42</v>
      </c>
      <c r="L52" s="23">
        <f>WEEKDAY(Quotation[[#This Row],[日期]],1)-1</f>
        <v>2</v>
      </c>
    </row>
    <row r="53" spans="1:12" ht="42.75" x14ac:dyDescent="0.15">
      <c r="A53" s="20">
        <v>43389.628483796296</v>
      </c>
      <c r="B53" s="18" t="s">
        <v>502</v>
      </c>
      <c r="C53" s="17" t="s">
        <v>2180</v>
      </c>
      <c r="D53" s="21">
        <v>3003128015</v>
      </c>
      <c r="E53" s="18" t="s">
        <v>3715</v>
      </c>
      <c r="F53" s="18" t="s">
        <v>3716</v>
      </c>
      <c r="G53" s="18" t="s">
        <v>3717</v>
      </c>
      <c r="H53" s="18"/>
      <c r="I53" s="22">
        <f>COUNTIF(Quotation[联系方式],Quotation[[#This Row],[联系方式]])</f>
        <v>44</v>
      </c>
      <c r="J53" s="18" t="str">
        <f>VLOOKUP(Quotation[[#This Row],[抬头]],Customer[],5,FALSE)&amp;""</f>
        <v>OK</v>
      </c>
      <c r="K53" s="23">
        <f>WEEKNUM(Quotation[[#This Row],[日期]])</f>
        <v>42</v>
      </c>
      <c r="L53" s="23">
        <f>WEEKDAY(Quotation[[#This Row],[日期]],1)-1</f>
        <v>2</v>
      </c>
    </row>
    <row r="54" spans="1:12" ht="57" x14ac:dyDescent="0.15">
      <c r="A54" s="20">
        <v>43389.675486111111</v>
      </c>
      <c r="B54" s="18" t="s">
        <v>3492</v>
      </c>
      <c r="C54" s="17" t="s">
        <v>2170</v>
      </c>
      <c r="D54" s="21">
        <v>2411667393</v>
      </c>
      <c r="E54" s="18" t="s">
        <v>3713</v>
      </c>
      <c r="F54" s="18" t="s">
        <v>3714</v>
      </c>
      <c r="G54" s="18" t="s">
        <v>3500</v>
      </c>
      <c r="H54" s="18"/>
      <c r="I54" s="22">
        <f>COUNTIF(Quotation[联系方式],Quotation[[#This Row],[联系方式]])</f>
        <v>3</v>
      </c>
      <c r="J54" s="18" t="str">
        <f>VLOOKUP(Quotation[[#This Row],[抬头]],Customer[],5,FALSE)&amp;""</f>
        <v>苏州</v>
      </c>
      <c r="K54" s="23">
        <f>WEEKNUM(Quotation[[#This Row],[日期]])</f>
        <v>42</v>
      </c>
      <c r="L54" s="23">
        <f>WEEKDAY(Quotation[[#This Row],[日期]],1)-1</f>
        <v>2</v>
      </c>
    </row>
    <row r="55" spans="1:12" ht="85.5" x14ac:dyDescent="0.15">
      <c r="A55" s="20">
        <v>43389.710648148146</v>
      </c>
      <c r="B55" s="18" t="s">
        <v>581</v>
      </c>
      <c r="C55" s="17" t="s">
        <v>5399</v>
      </c>
      <c r="D55" s="21">
        <v>1308309518</v>
      </c>
      <c r="E55" s="18" t="s">
        <v>3702</v>
      </c>
      <c r="F55" s="18" t="s">
        <v>3704</v>
      </c>
      <c r="G55" s="18" t="s">
        <v>3705</v>
      </c>
      <c r="H55" s="18"/>
      <c r="I55" s="22">
        <f>COUNTIF(Quotation[联系方式],Quotation[[#This Row],[联系方式]])</f>
        <v>7</v>
      </c>
      <c r="J55" s="18" t="str">
        <f>VLOOKUP(Quotation[[#This Row],[抬头]],Customer[],5,FALSE)&amp;""</f>
        <v>OK</v>
      </c>
      <c r="K55" s="23">
        <f>WEEKNUM(Quotation[[#This Row],[日期]])</f>
        <v>42</v>
      </c>
      <c r="L55" s="23">
        <f>WEEKDAY(Quotation[[#This Row],[日期]],1)-1</f>
        <v>2</v>
      </c>
    </row>
    <row r="56" spans="1:12" ht="28.5" x14ac:dyDescent="0.15">
      <c r="A56" s="89">
        <v>43390.411493055559</v>
      </c>
      <c r="B56" s="90" t="s">
        <v>563</v>
      </c>
      <c r="C56" s="91" t="s">
        <v>3036</v>
      </c>
      <c r="D56" s="92">
        <v>2355852338</v>
      </c>
      <c r="E56" s="90" t="s">
        <v>3723</v>
      </c>
      <c r="F56" s="90" t="s">
        <v>3724</v>
      </c>
      <c r="G56" s="90" t="s">
        <v>3725</v>
      </c>
      <c r="H56" s="90"/>
      <c r="I56" s="93">
        <f>COUNTIF(Quotation[联系方式],Quotation[[#This Row],[联系方式]])</f>
        <v>5</v>
      </c>
      <c r="J56" s="90" t="str">
        <f>VLOOKUP(Quotation[[#This Row],[抬头]],Customer[],5,FALSE)&amp;""</f>
        <v>OK</v>
      </c>
      <c r="K56" s="94">
        <f>WEEKNUM(Quotation[[#This Row],[日期]])</f>
        <v>42</v>
      </c>
      <c r="L56" s="94">
        <f>WEEKDAY(Quotation[[#This Row],[日期]],1)-1</f>
        <v>3</v>
      </c>
    </row>
    <row r="57" spans="1:12" ht="85.5" x14ac:dyDescent="0.15">
      <c r="A57" s="89">
        <v>43390.429236111115</v>
      </c>
      <c r="B57" s="90" t="s">
        <v>4184</v>
      </c>
      <c r="C57" s="91" t="s">
        <v>3726</v>
      </c>
      <c r="D57" s="92">
        <v>2071192663</v>
      </c>
      <c r="E57" s="90" t="s">
        <v>3727</v>
      </c>
      <c r="F57" s="90" t="s">
        <v>3728</v>
      </c>
      <c r="G57" s="90" t="s">
        <v>3729</v>
      </c>
      <c r="H57" s="90"/>
      <c r="I57" s="93">
        <f>COUNTIF(Quotation[联系方式],Quotation[[#This Row],[联系方式]])</f>
        <v>2</v>
      </c>
      <c r="J57" s="90" t="str">
        <f>VLOOKUP(Quotation[[#This Row],[抬头]],Customer[],5,FALSE)&amp;""</f>
        <v>OK</v>
      </c>
      <c r="K57" s="94">
        <f>WEEKNUM(Quotation[[#This Row],[日期]])</f>
        <v>42</v>
      </c>
      <c r="L57" s="94">
        <f>WEEKDAY(Quotation[[#This Row],[日期]],1)-1</f>
        <v>3</v>
      </c>
    </row>
    <row r="58" spans="1:12" ht="85.5" x14ac:dyDescent="0.15">
      <c r="A58" s="89">
        <v>43390.429236111115</v>
      </c>
      <c r="B58" s="90" t="s">
        <v>4184</v>
      </c>
      <c r="C58" s="91" t="s">
        <v>3726</v>
      </c>
      <c r="D58" s="92">
        <v>2071192663</v>
      </c>
      <c r="E58" s="90" t="s">
        <v>3731</v>
      </c>
      <c r="F58" s="90" t="s">
        <v>3730</v>
      </c>
      <c r="G58" s="90" t="s">
        <v>3731</v>
      </c>
      <c r="H58" s="90"/>
      <c r="I58" s="93">
        <f>COUNTIF(Quotation[联系方式],Quotation[[#This Row],[联系方式]])</f>
        <v>2</v>
      </c>
      <c r="J58" s="90" t="str">
        <f>VLOOKUP(Quotation[[#This Row],[抬头]],Customer[],5,FALSE)&amp;""</f>
        <v>OK</v>
      </c>
      <c r="K58" s="94">
        <f>WEEKNUM(Quotation[[#This Row],[日期]])</f>
        <v>42</v>
      </c>
      <c r="L58" s="94">
        <f>WEEKDAY(Quotation[[#This Row],[日期]],1)-1</f>
        <v>3</v>
      </c>
    </row>
    <row r="59" spans="1:12" ht="99.75" x14ac:dyDescent="0.15">
      <c r="A59" s="89">
        <v>43390.634155092594</v>
      </c>
      <c r="B59" s="90" t="s">
        <v>502</v>
      </c>
      <c r="C59" s="91" t="s">
        <v>2180</v>
      </c>
      <c r="D59" s="92">
        <v>3003128015</v>
      </c>
      <c r="E59" s="90" t="s">
        <v>3738</v>
      </c>
      <c r="F59" s="90" t="s">
        <v>3739</v>
      </c>
      <c r="G59" s="90" t="s">
        <v>3740</v>
      </c>
      <c r="H59" s="90"/>
      <c r="I59" s="93">
        <f>COUNTIF(Quotation[联系方式],Quotation[[#This Row],[联系方式]])</f>
        <v>44</v>
      </c>
      <c r="J59" s="90" t="str">
        <f>VLOOKUP(Quotation[[#This Row],[抬头]],Customer[],5,FALSE)&amp;""</f>
        <v>OK</v>
      </c>
      <c r="K59" s="94">
        <f>WEEKNUM(Quotation[[#This Row],[日期]])</f>
        <v>42</v>
      </c>
      <c r="L59" s="94">
        <f>WEEKDAY(Quotation[[#This Row],[日期]],1)-1</f>
        <v>3</v>
      </c>
    </row>
    <row r="60" spans="1:12" ht="71.25" x14ac:dyDescent="0.15">
      <c r="A60" s="89">
        <v>43390.641631944447</v>
      </c>
      <c r="B60" s="90" t="s">
        <v>559</v>
      </c>
      <c r="C60" s="91" t="s">
        <v>3551</v>
      </c>
      <c r="D60" s="92">
        <v>3002716532</v>
      </c>
      <c r="E60" s="90" t="s">
        <v>3735</v>
      </c>
      <c r="F60" s="90" t="s">
        <v>3737</v>
      </c>
      <c r="G60" s="90" t="s">
        <v>3736</v>
      </c>
      <c r="H60" s="90"/>
      <c r="I60" s="93">
        <f>COUNTIF(Quotation[联系方式],Quotation[[#This Row],[联系方式]])</f>
        <v>9</v>
      </c>
      <c r="J60" s="90" t="str">
        <f>VLOOKUP(Quotation[[#This Row],[抬头]],Customer[],5,FALSE)&amp;""</f>
        <v>OK</v>
      </c>
      <c r="K60" s="94">
        <f>WEEKNUM(Quotation[[#This Row],[日期]])</f>
        <v>42</v>
      </c>
      <c r="L60" s="94">
        <f>WEEKDAY(Quotation[[#This Row],[日期]],1)-1</f>
        <v>3</v>
      </c>
    </row>
    <row r="61" spans="1:12" ht="71.25" x14ac:dyDescent="0.15">
      <c r="A61" s="89">
        <v>43390.685543981483</v>
      </c>
      <c r="B61" s="90" t="s">
        <v>3718</v>
      </c>
      <c r="C61" s="91" t="s">
        <v>3719</v>
      </c>
      <c r="D61" s="92">
        <v>306538476</v>
      </c>
      <c r="E61" s="90" t="s">
        <v>3720</v>
      </c>
      <c r="F61" s="90" t="s">
        <v>3721</v>
      </c>
      <c r="G61" s="90" t="s">
        <v>3045</v>
      </c>
      <c r="H61" s="90"/>
      <c r="I61" s="93">
        <f>COUNTIF(Quotation[联系方式],Quotation[[#This Row],[联系方式]])</f>
        <v>1</v>
      </c>
      <c r="J61" s="90" t="str">
        <f>VLOOKUP(Quotation[[#This Row],[抬头]],Customer[],5,FALSE)&amp;""</f>
        <v>宁波</v>
      </c>
      <c r="K61" s="94">
        <f>WEEKNUM(Quotation[[#This Row],[日期]])</f>
        <v>42</v>
      </c>
      <c r="L61" s="94">
        <f>WEEKDAY(Quotation[[#This Row],[日期]],1)-1</f>
        <v>3</v>
      </c>
    </row>
    <row r="62" spans="1:12" ht="71.25" x14ac:dyDescent="0.15">
      <c r="A62" s="89">
        <v>43390.713750000003</v>
      </c>
      <c r="B62" s="90" t="s">
        <v>502</v>
      </c>
      <c r="C62" s="91" t="s">
        <v>2180</v>
      </c>
      <c r="D62" s="92">
        <v>3003128015</v>
      </c>
      <c r="E62" s="90" t="s">
        <v>3741</v>
      </c>
      <c r="F62" s="90" t="s">
        <v>3742</v>
      </c>
      <c r="G62" s="90" t="s">
        <v>2361</v>
      </c>
      <c r="H62" s="90"/>
      <c r="I62" s="93">
        <f>COUNTIF(Quotation[联系方式],Quotation[[#This Row],[联系方式]])</f>
        <v>44</v>
      </c>
      <c r="J62" s="90" t="str">
        <f>VLOOKUP(Quotation[[#This Row],[抬头]],Customer[],5,FALSE)&amp;""</f>
        <v>OK</v>
      </c>
      <c r="K62" s="94">
        <f>WEEKNUM(Quotation[[#This Row],[日期]])</f>
        <v>42</v>
      </c>
      <c r="L62" s="94">
        <f>WEEKDAY(Quotation[[#This Row],[日期]],1)-1</f>
        <v>3</v>
      </c>
    </row>
    <row r="63" spans="1:12" ht="85.5" x14ac:dyDescent="0.15">
      <c r="A63" s="89">
        <v>43390.838912037034</v>
      </c>
      <c r="B63" s="90" t="s">
        <v>559</v>
      </c>
      <c r="C63" s="91" t="s">
        <v>3551</v>
      </c>
      <c r="D63" s="92">
        <v>3002716532</v>
      </c>
      <c r="E63" s="90" t="s">
        <v>3732</v>
      </c>
      <c r="F63" s="90" t="s">
        <v>3733</v>
      </c>
      <c r="G63" s="90" t="s">
        <v>3734</v>
      </c>
      <c r="H63" s="90"/>
      <c r="I63" s="93">
        <f>COUNTIF(Quotation[联系方式],Quotation[[#This Row],[联系方式]])</f>
        <v>9</v>
      </c>
      <c r="J63" s="90" t="str">
        <f>VLOOKUP(Quotation[[#This Row],[抬头]],Customer[],5,FALSE)&amp;""</f>
        <v>OK</v>
      </c>
      <c r="K63" s="94">
        <f>WEEKNUM(Quotation[[#This Row],[日期]])</f>
        <v>42</v>
      </c>
      <c r="L63" s="94">
        <f>WEEKDAY(Quotation[[#This Row],[日期]],1)-1</f>
        <v>3</v>
      </c>
    </row>
    <row r="64" spans="1:12" ht="28.5" x14ac:dyDescent="0.15">
      <c r="A64" s="20">
        <v>43395.405416666668</v>
      </c>
      <c r="B64" s="90" t="s">
        <v>502</v>
      </c>
      <c r="C64" s="91" t="s">
        <v>2180</v>
      </c>
      <c r="D64" s="92">
        <v>3003128015</v>
      </c>
      <c r="E64" s="18" t="s">
        <v>3744</v>
      </c>
      <c r="F64" s="18" t="s">
        <v>3745</v>
      </c>
      <c r="G64" s="18" t="s">
        <v>3746</v>
      </c>
      <c r="H64" s="18" t="s">
        <v>3747</v>
      </c>
      <c r="I64" s="22">
        <f>COUNTIF(Quotation[联系方式],Quotation[[#This Row],[联系方式]])</f>
        <v>44</v>
      </c>
      <c r="J64" s="18" t="str">
        <f>VLOOKUP(Quotation[[#This Row],[抬头]],Customer[],5,FALSE)&amp;""</f>
        <v>OK</v>
      </c>
      <c r="K64" s="23">
        <f>WEEKNUM(Quotation[[#This Row],[日期]])</f>
        <v>43</v>
      </c>
      <c r="L64" s="23">
        <f>WEEKDAY(Quotation[[#This Row],[日期]],1)-1</f>
        <v>1</v>
      </c>
    </row>
    <row r="65" spans="1:12" ht="57" x14ac:dyDescent="0.15">
      <c r="A65" s="20">
        <v>43395.651574074072</v>
      </c>
      <c r="B65" s="18" t="s">
        <v>4739</v>
      </c>
      <c r="C65" s="17" t="s">
        <v>4740</v>
      </c>
      <c r="D65" s="21">
        <v>3002787082</v>
      </c>
      <c r="E65" s="18" t="s">
        <v>4738</v>
      </c>
      <c r="F65" s="18" t="s">
        <v>4741</v>
      </c>
      <c r="G65" s="18" t="s">
        <v>4742</v>
      </c>
      <c r="H65" s="18"/>
      <c r="I65" s="22">
        <f>COUNTIF(Quotation[联系方式],Quotation[[#This Row],[联系方式]])</f>
        <v>3</v>
      </c>
      <c r="J65" s="18" t="str">
        <f>VLOOKUP(Quotation[[#This Row],[抬头]],Customer[],5,FALSE)&amp;""</f>
        <v>OK</v>
      </c>
      <c r="K65" s="23">
        <f>WEEKNUM(Quotation[[#This Row],[日期]])</f>
        <v>43</v>
      </c>
      <c r="L65" s="23">
        <f>WEEKDAY(Quotation[[#This Row],[日期]],1)-1</f>
        <v>1</v>
      </c>
    </row>
    <row r="66" spans="1:12" ht="99.75" x14ac:dyDescent="0.15">
      <c r="A66" s="20">
        <v>43396.403402777774</v>
      </c>
      <c r="B66" s="18" t="s">
        <v>4753</v>
      </c>
      <c r="C66" s="17" t="s">
        <v>4754</v>
      </c>
      <c r="D66" s="21">
        <v>2880488446</v>
      </c>
      <c r="E66" s="18" t="s">
        <v>4755</v>
      </c>
      <c r="F66" s="18" t="s">
        <v>4756</v>
      </c>
      <c r="G66" s="18" t="s">
        <v>3518</v>
      </c>
      <c r="H66" s="18"/>
      <c r="I66" s="22">
        <f>COUNTIF(Quotation[联系方式],Quotation[[#This Row],[联系方式]])</f>
        <v>5</v>
      </c>
      <c r="J66" s="18" t="str">
        <f>VLOOKUP(Quotation[[#This Row],[抬头]],Customer[],5,FALSE)&amp;""</f>
        <v>OK</v>
      </c>
      <c r="K66" s="23">
        <f>WEEKNUM(Quotation[[#This Row],[日期]])</f>
        <v>43</v>
      </c>
      <c r="L66" s="23">
        <f>WEEKDAY(Quotation[[#This Row],[日期]],1)-1</f>
        <v>2</v>
      </c>
    </row>
    <row r="67" spans="1:12" ht="28.5" x14ac:dyDescent="0.15">
      <c r="A67" s="20">
        <v>43396.451018518521</v>
      </c>
      <c r="B67" s="18" t="s">
        <v>4758</v>
      </c>
      <c r="C67" s="17" t="s">
        <v>5399</v>
      </c>
      <c r="D67" s="21">
        <v>1308309518</v>
      </c>
      <c r="E67" s="18" t="s">
        <v>4757</v>
      </c>
      <c r="F67" s="18" t="s">
        <v>4759</v>
      </c>
      <c r="G67" s="18" t="s">
        <v>3518</v>
      </c>
      <c r="H67" s="18"/>
      <c r="I67" s="22">
        <f>COUNTIF(Quotation[联系方式],Quotation[[#This Row],[联系方式]])</f>
        <v>7</v>
      </c>
      <c r="J67" s="18" t="str">
        <f>VLOOKUP(Quotation[[#This Row],[抬头]],Customer[],5,FALSE)&amp;""</f>
        <v>OK</v>
      </c>
      <c r="K67" s="23">
        <f>WEEKNUM(Quotation[[#This Row],[日期]])</f>
        <v>43</v>
      </c>
      <c r="L67" s="23">
        <f>WEEKDAY(Quotation[[#This Row],[日期]],1)-1</f>
        <v>2</v>
      </c>
    </row>
    <row r="68" spans="1:12" ht="28.5" x14ac:dyDescent="0.15">
      <c r="A68" s="20">
        <v>43396.462523148148</v>
      </c>
      <c r="B68" s="18" t="s">
        <v>4482</v>
      </c>
      <c r="C68" s="17" t="s">
        <v>3537</v>
      </c>
      <c r="D68" s="21">
        <v>2851795176</v>
      </c>
      <c r="E68" s="18" t="s">
        <v>4483</v>
      </c>
      <c r="F68" s="18" t="s">
        <v>4952</v>
      </c>
      <c r="G68" s="18" t="s">
        <v>3599</v>
      </c>
      <c r="H68" s="18"/>
      <c r="I68" s="22">
        <f>COUNTIF(Quotation[联系方式],Quotation[[#This Row],[联系方式]])</f>
        <v>3</v>
      </c>
      <c r="J68" s="18" t="str">
        <f>VLOOKUP(Quotation[[#This Row],[抬头]],Customer[],5,FALSE)&amp;""</f>
        <v>南京</v>
      </c>
      <c r="K68" s="23">
        <f>WEEKNUM(Quotation[[#This Row],[日期]])</f>
        <v>43</v>
      </c>
      <c r="L68" s="23">
        <f>WEEKDAY(Quotation[[#This Row],[日期]],1)-1</f>
        <v>2</v>
      </c>
    </row>
    <row r="69" spans="1:12" ht="85.5" x14ac:dyDescent="0.15">
      <c r="A69" s="20">
        <v>43396.563275462962</v>
      </c>
      <c r="B69" s="18" t="s">
        <v>4739</v>
      </c>
      <c r="C69" s="17" t="s">
        <v>4740</v>
      </c>
      <c r="D69" s="21">
        <v>3002787082</v>
      </c>
      <c r="E69" s="18" t="s">
        <v>4743</v>
      </c>
      <c r="F69" s="18" t="s">
        <v>4744</v>
      </c>
      <c r="G69" s="18" t="s">
        <v>534</v>
      </c>
      <c r="H69" s="18"/>
      <c r="I69" s="22">
        <f>COUNTIF(Quotation[联系方式],Quotation[[#This Row],[联系方式]])</f>
        <v>3</v>
      </c>
      <c r="J69" s="18" t="str">
        <f>VLOOKUP(Quotation[[#This Row],[抬头]],Customer[],5,FALSE)&amp;""</f>
        <v>OK</v>
      </c>
      <c r="K69" s="23">
        <f>WEEKNUM(Quotation[[#This Row],[日期]])</f>
        <v>43</v>
      </c>
      <c r="L69" s="23">
        <f>WEEKDAY(Quotation[[#This Row],[日期]],1)-1</f>
        <v>2</v>
      </c>
    </row>
    <row r="70" spans="1:12" ht="57" x14ac:dyDescent="0.15">
      <c r="A70" s="20">
        <v>43396.599317129629</v>
      </c>
      <c r="B70" s="18" t="s">
        <v>4764</v>
      </c>
      <c r="C70" s="17" t="s">
        <v>4765</v>
      </c>
      <c r="D70" s="21">
        <v>3003128015</v>
      </c>
      <c r="E70" s="18" t="s">
        <v>4763</v>
      </c>
      <c r="F70" s="18" t="s">
        <v>4766</v>
      </c>
      <c r="G70" s="18" t="s">
        <v>534</v>
      </c>
      <c r="H70" s="18"/>
      <c r="I70" s="22">
        <f>COUNTIF(Quotation[联系方式],Quotation[[#This Row],[联系方式]])</f>
        <v>44</v>
      </c>
      <c r="J70" s="18" t="str">
        <f>VLOOKUP(Quotation[[#This Row],[抬头]],Customer[],5,FALSE)&amp;""</f>
        <v>OK</v>
      </c>
      <c r="K70" s="23">
        <f>WEEKNUM(Quotation[[#This Row],[日期]])</f>
        <v>43</v>
      </c>
      <c r="L70" s="23">
        <f>WEEKDAY(Quotation[[#This Row],[日期]],1)-1</f>
        <v>2</v>
      </c>
    </row>
    <row r="71" spans="1:12" ht="85.5" x14ac:dyDescent="0.15">
      <c r="A71" s="20">
        <v>43396.644525462965</v>
      </c>
      <c r="B71" s="18" t="s">
        <v>4172</v>
      </c>
      <c r="C71" s="17" t="s">
        <v>4173</v>
      </c>
      <c r="D71" s="21">
        <v>645267409</v>
      </c>
      <c r="E71" s="18" t="s">
        <v>4760</v>
      </c>
      <c r="F71" s="18" t="s">
        <v>4761</v>
      </c>
      <c r="G71" s="18" t="s">
        <v>3511</v>
      </c>
      <c r="H71" s="18" t="s">
        <v>4762</v>
      </c>
      <c r="I71" s="22">
        <f>COUNTIF(Quotation[联系方式],Quotation[[#This Row],[联系方式]])</f>
        <v>1</v>
      </c>
      <c r="J71" s="18" t="str">
        <f>VLOOKUP(Quotation[[#This Row],[抬头]],Customer[],5,FALSE)&amp;""</f>
        <v>OK</v>
      </c>
      <c r="K71" s="23">
        <f>WEEKNUM(Quotation[[#This Row],[日期]])</f>
        <v>43</v>
      </c>
      <c r="L71" s="23">
        <f>WEEKDAY(Quotation[[#This Row],[日期]],1)-1</f>
        <v>2</v>
      </c>
    </row>
    <row r="72" spans="1:12" ht="28.5" x14ac:dyDescent="0.15">
      <c r="A72" s="20">
        <v>43397.407268518517</v>
      </c>
      <c r="B72" s="18" t="s">
        <v>4764</v>
      </c>
      <c r="C72" s="17" t="s">
        <v>4765</v>
      </c>
      <c r="D72" s="21">
        <v>3003128015</v>
      </c>
      <c r="E72" s="18" t="s">
        <v>4770</v>
      </c>
      <c r="F72" s="18" t="s">
        <v>4771</v>
      </c>
      <c r="G72" s="18" t="s">
        <v>4772</v>
      </c>
      <c r="H72" s="18"/>
      <c r="I72" s="22">
        <f>COUNTIF(Quotation[联系方式],Quotation[[#This Row],[联系方式]])</f>
        <v>44</v>
      </c>
      <c r="J72" s="18" t="str">
        <f>VLOOKUP(Quotation[[#This Row],[抬头]],Customer[],5,FALSE)&amp;""</f>
        <v>OK</v>
      </c>
      <c r="K72" s="23">
        <f>WEEKNUM(Quotation[[#This Row],[日期]])</f>
        <v>43</v>
      </c>
      <c r="L72" s="23">
        <f>WEEKDAY(Quotation[[#This Row],[日期]],1)-1</f>
        <v>3</v>
      </c>
    </row>
    <row r="73" spans="1:12" ht="28.5" x14ac:dyDescent="0.15">
      <c r="A73" s="20">
        <v>43397.475162037037</v>
      </c>
      <c r="B73" s="18" t="s">
        <v>4764</v>
      </c>
      <c r="C73" s="17" t="s">
        <v>4765</v>
      </c>
      <c r="D73" s="21">
        <v>3003128015</v>
      </c>
      <c r="E73" s="18" t="s">
        <v>4780</v>
      </c>
      <c r="F73" s="18" t="s">
        <v>4781</v>
      </c>
      <c r="G73" s="18" t="s">
        <v>4782</v>
      </c>
      <c r="H73" s="18"/>
      <c r="I73" s="22">
        <f>COUNTIF(Quotation[联系方式],Quotation[[#This Row],[联系方式]])</f>
        <v>44</v>
      </c>
      <c r="J73" s="18" t="str">
        <f>VLOOKUP(Quotation[[#This Row],[抬头]],Customer[],5,FALSE)&amp;""</f>
        <v>OK</v>
      </c>
      <c r="K73" s="23">
        <f>WEEKNUM(Quotation[[#This Row],[日期]])</f>
        <v>43</v>
      </c>
      <c r="L73" s="23">
        <f>WEEKDAY(Quotation[[#This Row],[日期]],1)-1</f>
        <v>3</v>
      </c>
    </row>
    <row r="74" spans="1:12" ht="85.5" x14ac:dyDescent="0.15">
      <c r="A74" s="20">
        <v>43397.502928240741</v>
      </c>
      <c r="B74" s="18" t="s">
        <v>4783</v>
      </c>
      <c r="C74" s="17" t="s">
        <v>4784</v>
      </c>
      <c r="D74" s="21">
        <v>47733440</v>
      </c>
      <c r="E74" s="18" t="s">
        <v>4785</v>
      </c>
      <c r="F74" s="18" t="s">
        <v>4786</v>
      </c>
      <c r="G74" s="18" t="s">
        <v>2275</v>
      </c>
      <c r="H74" s="18"/>
      <c r="I74" s="22">
        <f>COUNTIF(Quotation[联系方式],Quotation[[#This Row],[联系方式]])</f>
        <v>1</v>
      </c>
      <c r="J74" s="18" t="str">
        <f>VLOOKUP(Quotation[[#This Row],[抬头]],Customer[],5,FALSE)&amp;""</f>
        <v>OK</v>
      </c>
      <c r="K74" s="23">
        <f>WEEKNUM(Quotation[[#This Row],[日期]])</f>
        <v>43</v>
      </c>
      <c r="L74" s="23">
        <f>WEEKDAY(Quotation[[#This Row],[日期]],1)-1</f>
        <v>3</v>
      </c>
    </row>
    <row r="75" spans="1:12" ht="85.5" x14ac:dyDescent="0.15">
      <c r="A75" s="20">
        <v>43397.611250000002</v>
      </c>
      <c r="B75" s="18" t="s">
        <v>502</v>
      </c>
      <c r="C75" s="17" t="s">
        <v>3319</v>
      </c>
      <c r="D75" s="21">
        <v>3003128015</v>
      </c>
      <c r="E75" s="18" t="s">
        <v>4864</v>
      </c>
      <c r="F75" s="18" t="s">
        <v>4865</v>
      </c>
      <c r="G75" s="18" t="s">
        <v>534</v>
      </c>
      <c r="H75" s="18" t="s">
        <v>4869</v>
      </c>
      <c r="I75" s="22">
        <f>COUNTIF(Quotation[联系方式],Quotation[[#This Row],[联系方式]])</f>
        <v>44</v>
      </c>
      <c r="J75" s="18" t="str">
        <f>VLOOKUP(Quotation[[#This Row],[抬头]],Customer[],5,FALSE)&amp;""</f>
        <v>OK</v>
      </c>
      <c r="K75" s="23">
        <f>WEEKNUM(Quotation[[#This Row],[日期]])</f>
        <v>43</v>
      </c>
      <c r="L75" s="23">
        <f>WEEKDAY(Quotation[[#This Row],[日期]],1)-1</f>
        <v>3</v>
      </c>
    </row>
    <row r="76" spans="1:12" ht="114" x14ac:dyDescent="0.15">
      <c r="A76" s="20">
        <v>43397.641145833331</v>
      </c>
      <c r="B76" s="18" t="s">
        <v>502</v>
      </c>
      <c r="C76" s="17" t="s">
        <v>3319</v>
      </c>
      <c r="D76" s="21">
        <v>3003128015</v>
      </c>
      <c r="E76" s="18" t="s">
        <v>4866</v>
      </c>
      <c r="F76" s="18" t="s">
        <v>4867</v>
      </c>
      <c r="G76" s="18" t="s">
        <v>4868</v>
      </c>
      <c r="H76" s="18" t="s">
        <v>4869</v>
      </c>
      <c r="I76" s="22">
        <f>COUNTIF(Quotation[联系方式],Quotation[[#This Row],[联系方式]])</f>
        <v>44</v>
      </c>
      <c r="J76" s="18" t="str">
        <f>VLOOKUP(Quotation[[#This Row],[抬头]],Customer[],5,FALSE)&amp;""</f>
        <v>OK</v>
      </c>
      <c r="K76" s="23">
        <f>WEEKNUM(Quotation[[#This Row],[日期]])</f>
        <v>43</v>
      </c>
      <c r="L76" s="23">
        <f>WEEKDAY(Quotation[[#This Row],[日期]],1)-1</f>
        <v>3</v>
      </c>
    </row>
    <row r="77" spans="1:12" ht="85.5" x14ac:dyDescent="0.15">
      <c r="A77" s="20">
        <v>43397.664363425924</v>
      </c>
      <c r="B77" s="18" t="s">
        <v>502</v>
      </c>
      <c r="C77" s="17" t="s">
        <v>3319</v>
      </c>
      <c r="D77" s="21">
        <v>3003128015</v>
      </c>
      <c r="E77" s="18" t="s">
        <v>4901</v>
      </c>
      <c r="F77" s="18" t="s">
        <v>4902</v>
      </c>
      <c r="G77" s="18" t="s">
        <v>533</v>
      </c>
      <c r="H77" s="18" t="s">
        <v>4869</v>
      </c>
      <c r="I77" s="22">
        <f>COUNTIF(Quotation[联系方式],Quotation[[#This Row],[联系方式]])</f>
        <v>44</v>
      </c>
      <c r="J77" s="18" t="str">
        <f>VLOOKUP(Quotation[[#This Row],[抬头]],Customer[],5,FALSE)&amp;""</f>
        <v>OK</v>
      </c>
      <c r="K77" s="23">
        <f>WEEKNUM(Quotation[[#This Row],[日期]])</f>
        <v>43</v>
      </c>
      <c r="L77" s="23">
        <f>WEEKDAY(Quotation[[#This Row],[日期]],1)-1</f>
        <v>3</v>
      </c>
    </row>
    <row r="78" spans="1:12" ht="85.5" x14ac:dyDescent="0.15">
      <c r="A78" s="20">
        <v>43397.667291666665</v>
      </c>
      <c r="B78" s="18" t="s">
        <v>4922</v>
      </c>
      <c r="C78" s="17" t="s">
        <v>4923</v>
      </c>
      <c r="D78" s="21">
        <v>2508797879</v>
      </c>
      <c r="E78" s="18" t="s">
        <v>4924</v>
      </c>
      <c r="F78" s="18" t="s">
        <v>4925</v>
      </c>
      <c r="G78" s="18" t="s">
        <v>534</v>
      </c>
      <c r="H78" s="18" t="s">
        <v>4920</v>
      </c>
      <c r="I78" s="22">
        <f>COUNTIF(Quotation[联系方式],Quotation[[#This Row],[联系方式]])</f>
        <v>2</v>
      </c>
      <c r="J78" s="18" t="str">
        <f>VLOOKUP(Quotation[[#This Row],[抬头]],Customer[],5,FALSE)&amp;""</f>
        <v>东莞</v>
      </c>
      <c r="K78" s="23">
        <f>WEEKNUM(Quotation[[#This Row],[日期]])</f>
        <v>43</v>
      </c>
      <c r="L78" s="23">
        <f>WEEKDAY(Quotation[[#This Row],[日期]],1)-1</f>
        <v>3</v>
      </c>
    </row>
    <row r="79" spans="1:12" ht="71.25" x14ac:dyDescent="0.15">
      <c r="A79" s="20">
        <v>43397.668067129627</v>
      </c>
      <c r="B79" s="18" t="s">
        <v>502</v>
      </c>
      <c r="C79" s="17" t="s">
        <v>3319</v>
      </c>
      <c r="D79" s="21">
        <v>3003128015</v>
      </c>
      <c r="E79" s="18" t="s">
        <v>4903</v>
      </c>
      <c r="F79" s="18" t="s">
        <v>4904</v>
      </c>
      <c r="G79" s="18" t="s">
        <v>4905</v>
      </c>
      <c r="H79" s="18"/>
      <c r="I79" s="22">
        <f>COUNTIF(Quotation[联系方式],Quotation[[#This Row],[联系方式]])</f>
        <v>44</v>
      </c>
      <c r="J79" s="18" t="str">
        <f>VLOOKUP(Quotation[[#This Row],[抬头]],Customer[],5,FALSE)&amp;""</f>
        <v>OK</v>
      </c>
      <c r="K79" s="23">
        <f>WEEKNUM(Quotation[[#This Row],[日期]])</f>
        <v>43</v>
      </c>
      <c r="L79" s="23">
        <f>WEEKDAY(Quotation[[#This Row],[日期]],1)-1</f>
        <v>3</v>
      </c>
    </row>
    <row r="80" spans="1:12" ht="28.5" x14ac:dyDescent="0.15">
      <c r="A80" s="20">
        <v>43397.670231481483</v>
      </c>
      <c r="B80" s="18" t="s">
        <v>4955</v>
      </c>
      <c r="C80" s="17" t="s">
        <v>4906</v>
      </c>
      <c r="D80" s="21">
        <v>953332168</v>
      </c>
      <c r="E80" s="18" t="s">
        <v>4907</v>
      </c>
      <c r="F80" s="18" t="s">
        <v>4921</v>
      </c>
      <c r="G80" s="18"/>
      <c r="H80" s="18"/>
      <c r="I80" s="22">
        <f>COUNTIF(Quotation[联系方式],Quotation[[#This Row],[联系方式]])</f>
        <v>1</v>
      </c>
      <c r="J80" s="18" t="str">
        <f>VLOOKUP(Quotation[[#This Row],[抬头]],Customer[],5,FALSE)&amp;""</f>
        <v>OK</v>
      </c>
      <c r="K80" s="23">
        <f>WEEKNUM(Quotation[[#This Row],[日期]])</f>
        <v>43</v>
      </c>
      <c r="L80" s="23">
        <f>WEEKDAY(Quotation[[#This Row],[日期]],1)-1</f>
        <v>3</v>
      </c>
    </row>
    <row r="81" spans="1:12" ht="85.5" x14ac:dyDescent="0.15">
      <c r="A81" s="20">
        <v>43397.684212962966</v>
      </c>
      <c r="B81" s="18" t="s">
        <v>498</v>
      </c>
      <c r="C81" s="17" t="s">
        <v>2184</v>
      </c>
      <c r="D81" s="21">
        <v>2881725314</v>
      </c>
      <c r="E81" s="18" t="s">
        <v>4917</v>
      </c>
      <c r="F81" s="18" t="s">
        <v>4918</v>
      </c>
      <c r="G81" s="18" t="s">
        <v>4919</v>
      </c>
      <c r="H81" s="18" t="s">
        <v>4920</v>
      </c>
      <c r="I81" s="22">
        <f>COUNTIF(Quotation[联系方式],Quotation[[#This Row],[联系方式]])</f>
        <v>5</v>
      </c>
      <c r="J81" s="18" t="str">
        <f>VLOOKUP(Quotation[[#This Row],[抬头]],Customer[],5,FALSE)&amp;""</f>
        <v>OK</v>
      </c>
      <c r="K81" s="23">
        <f>WEEKNUM(Quotation[[#This Row],[日期]])</f>
        <v>43</v>
      </c>
      <c r="L81" s="23">
        <f>WEEKDAY(Quotation[[#This Row],[日期]],1)-1</f>
        <v>3</v>
      </c>
    </row>
    <row r="82" spans="1:12" ht="85.5" x14ac:dyDescent="0.15">
      <c r="A82" s="20">
        <v>43397.702256944445</v>
      </c>
      <c r="B82" s="18" t="s">
        <v>4949</v>
      </c>
      <c r="C82" s="17" t="s">
        <v>3592</v>
      </c>
      <c r="D82" s="21">
        <v>2880488446</v>
      </c>
      <c r="E82" s="18" t="s">
        <v>4950</v>
      </c>
      <c r="F82" s="18" t="s">
        <v>4951</v>
      </c>
      <c r="G82" s="18" t="s">
        <v>3511</v>
      </c>
      <c r="H82" s="18" t="s">
        <v>4920</v>
      </c>
      <c r="I82" s="22">
        <f>COUNTIF(Quotation[联系方式],Quotation[[#This Row],[联系方式]])</f>
        <v>5</v>
      </c>
      <c r="J82" s="18" t="str">
        <f>VLOOKUP(Quotation[[#This Row],[抬头]],Customer[],5,FALSE)&amp;""</f>
        <v>OK</v>
      </c>
      <c r="K82" s="23">
        <f>WEEKNUM(Quotation[[#This Row],[日期]])</f>
        <v>43</v>
      </c>
      <c r="L82" s="23">
        <f>WEEKDAY(Quotation[[#This Row],[日期]],1)-1</f>
        <v>3</v>
      </c>
    </row>
    <row r="83" spans="1:12" ht="42.75" x14ac:dyDescent="0.15">
      <c r="A83" s="20">
        <v>43397.721377314818</v>
      </c>
      <c r="B83" s="18" t="s">
        <v>502</v>
      </c>
      <c r="C83" s="17" t="s">
        <v>3319</v>
      </c>
      <c r="D83" s="21">
        <v>3003128015</v>
      </c>
      <c r="E83" s="18" t="s">
        <v>4953</v>
      </c>
      <c r="F83" s="18" t="s">
        <v>4954</v>
      </c>
      <c r="G83" s="18" t="s">
        <v>3604</v>
      </c>
      <c r="H83" s="18"/>
      <c r="I83" s="22">
        <f>COUNTIF(Quotation[联系方式],Quotation[[#This Row],[联系方式]])</f>
        <v>44</v>
      </c>
      <c r="J83" s="18" t="str">
        <f>VLOOKUP(Quotation[[#This Row],[抬头]],Customer[],5,FALSE)&amp;""</f>
        <v>OK</v>
      </c>
      <c r="K83" s="23">
        <f>WEEKNUM(Quotation[[#This Row],[日期]])</f>
        <v>43</v>
      </c>
      <c r="L83" s="23">
        <f>WEEKDAY(Quotation[[#This Row],[日期]],1)-1</f>
        <v>3</v>
      </c>
    </row>
    <row r="84" spans="1:12" x14ac:dyDescent="0.15">
      <c r="A84" s="20">
        <v>43398.429884259262</v>
      </c>
      <c r="B84" s="18" t="s">
        <v>502</v>
      </c>
      <c r="C84" s="17" t="s">
        <v>2180</v>
      </c>
      <c r="D84" s="21">
        <v>3003128015</v>
      </c>
      <c r="E84" s="18" t="s">
        <v>4967</v>
      </c>
      <c r="F84" s="18" t="s">
        <v>4968</v>
      </c>
      <c r="G84" s="18" t="s">
        <v>4969</v>
      </c>
      <c r="H84" s="18"/>
      <c r="I84" s="22">
        <f>COUNTIF(Quotation[联系方式],Quotation[[#This Row],[联系方式]])</f>
        <v>44</v>
      </c>
      <c r="J84" s="18" t="str">
        <f>VLOOKUP(Quotation[[#This Row],[抬头]],Customer[],5,FALSE)&amp;""</f>
        <v>OK</v>
      </c>
      <c r="K84" s="23">
        <f>WEEKNUM(Quotation[[#This Row],[日期]])</f>
        <v>43</v>
      </c>
      <c r="L84" s="23">
        <f>WEEKDAY(Quotation[[#This Row],[日期]],1)-1</f>
        <v>4</v>
      </c>
    </row>
    <row r="85" spans="1:12" ht="85.5" x14ac:dyDescent="0.15">
      <c r="A85" s="20">
        <v>43398.442511574074</v>
      </c>
      <c r="B85" s="18" t="s">
        <v>581</v>
      </c>
      <c r="C85" s="17" t="s">
        <v>5399</v>
      </c>
      <c r="D85" s="21">
        <v>1308309518</v>
      </c>
      <c r="E85" s="18" t="s">
        <v>4991</v>
      </c>
      <c r="F85" s="18" t="s">
        <v>4992</v>
      </c>
      <c r="G85" s="18" t="s">
        <v>4986</v>
      </c>
      <c r="H85" s="18" t="s">
        <v>4869</v>
      </c>
      <c r="I85" s="22">
        <f>COUNTIF(Quotation[联系方式],Quotation[[#This Row],[联系方式]])</f>
        <v>7</v>
      </c>
      <c r="J85" s="18" t="str">
        <f>VLOOKUP(Quotation[[#This Row],[抬头]],Customer[],5,FALSE)&amp;""</f>
        <v>OK</v>
      </c>
      <c r="K85" s="23">
        <f>WEEKNUM(Quotation[[#This Row],[日期]])</f>
        <v>43</v>
      </c>
      <c r="L85" s="23">
        <f>WEEKDAY(Quotation[[#This Row],[日期]],1)-1</f>
        <v>4</v>
      </c>
    </row>
    <row r="86" spans="1:12" ht="57" x14ac:dyDescent="0.15">
      <c r="A86" s="20">
        <v>43398.61105324074</v>
      </c>
      <c r="B86" s="18" t="s">
        <v>502</v>
      </c>
      <c r="C86" s="17" t="s">
        <v>2180</v>
      </c>
      <c r="D86" s="21">
        <v>3003128015</v>
      </c>
      <c r="E86" s="18" t="s">
        <v>4970</v>
      </c>
      <c r="F86" s="18" t="s">
        <v>4971</v>
      </c>
      <c r="G86" s="18" t="s">
        <v>3560</v>
      </c>
      <c r="H86" s="18" t="s">
        <v>4869</v>
      </c>
      <c r="I86" s="22">
        <f>COUNTIF(Quotation[联系方式],Quotation[[#This Row],[联系方式]])</f>
        <v>44</v>
      </c>
      <c r="J86" s="18" t="str">
        <f>VLOOKUP(Quotation[[#This Row],[抬头]],Customer[],5,FALSE)&amp;""</f>
        <v>OK</v>
      </c>
      <c r="K86" s="23">
        <f>WEEKNUM(Quotation[[#This Row],[日期]])</f>
        <v>43</v>
      </c>
      <c r="L86" s="23">
        <f>WEEKDAY(Quotation[[#This Row],[日期]],1)-1</f>
        <v>4</v>
      </c>
    </row>
    <row r="87" spans="1:12" ht="85.5" x14ac:dyDescent="0.15">
      <c r="A87" s="20">
        <v>43398.64539351852</v>
      </c>
      <c r="B87" s="18" t="s">
        <v>502</v>
      </c>
      <c r="C87" s="17" t="s">
        <v>2180</v>
      </c>
      <c r="D87" s="21">
        <v>3003128015</v>
      </c>
      <c r="E87" s="18" t="s">
        <v>4972</v>
      </c>
      <c r="F87" s="18" t="s">
        <v>4973</v>
      </c>
      <c r="G87" s="18" t="s">
        <v>3518</v>
      </c>
      <c r="H87" s="18" t="s">
        <v>4869</v>
      </c>
      <c r="I87" s="22">
        <f>COUNTIF(Quotation[联系方式],Quotation[[#This Row],[联系方式]])</f>
        <v>44</v>
      </c>
      <c r="J87" s="18" t="str">
        <f>VLOOKUP(Quotation[[#This Row],[抬头]],Customer[],5,FALSE)&amp;""</f>
        <v>OK</v>
      </c>
      <c r="K87" s="23">
        <f>WEEKNUM(Quotation[[#This Row],[日期]])</f>
        <v>43</v>
      </c>
      <c r="L87" s="23">
        <f>WEEKDAY(Quotation[[#This Row],[日期]],1)-1</f>
        <v>4</v>
      </c>
    </row>
    <row r="88" spans="1:12" ht="28.5" x14ac:dyDescent="0.15">
      <c r="A88" s="20">
        <v>43398.667581018519</v>
      </c>
      <c r="B88" s="18" t="s">
        <v>4983</v>
      </c>
      <c r="C88" s="17" t="s">
        <v>4984</v>
      </c>
      <c r="D88" s="21">
        <v>2355852338</v>
      </c>
      <c r="E88" s="18" t="s">
        <v>4985</v>
      </c>
      <c r="F88" s="18" t="s">
        <v>5177</v>
      </c>
      <c r="G88" s="18" t="s">
        <v>4986</v>
      </c>
      <c r="H88" s="18" t="s">
        <v>5178</v>
      </c>
      <c r="I88" s="22">
        <f>COUNTIF(Quotation[联系方式],Quotation[[#This Row],[联系方式]])</f>
        <v>5</v>
      </c>
      <c r="J88" s="18" t="str">
        <f>VLOOKUP(Quotation[[#This Row],[抬头]],Customer[],5,FALSE)&amp;""</f>
        <v>OK</v>
      </c>
      <c r="K88" s="23">
        <f>WEEKNUM(Quotation[[#This Row],[日期]])</f>
        <v>43</v>
      </c>
      <c r="L88" s="23">
        <f>WEEKDAY(Quotation[[#This Row],[日期]],1)-1</f>
        <v>4</v>
      </c>
    </row>
    <row r="89" spans="1:12" ht="42.75" x14ac:dyDescent="0.15">
      <c r="A89" s="20">
        <v>43398.688449074078</v>
      </c>
      <c r="B89" s="18" t="s">
        <v>4998</v>
      </c>
      <c r="C89" s="17" t="s">
        <v>4999</v>
      </c>
      <c r="D89" s="21">
        <v>3002716532</v>
      </c>
      <c r="E89" s="18" t="s">
        <v>5000</v>
      </c>
      <c r="F89" s="18" t="s">
        <v>5001</v>
      </c>
      <c r="G89" s="18" t="s">
        <v>535</v>
      </c>
      <c r="H89" s="18" t="s">
        <v>5002</v>
      </c>
      <c r="I89" s="22">
        <f>COUNTIF(Quotation[联系方式],Quotation[[#This Row],[联系方式]])</f>
        <v>9</v>
      </c>
      <c r="J89" s="18" t="str">
        <f>VLOOKUP(Quotation[[#This Row],[抬头]],Customer[],5,FALSE)&amp;""</f>
        <v>OK</v>
      </c>
      <c r="K89" s="23">
        <f>WEEKNUM(Quotation[[#This Row],[日期]])</f>
        <v>43</v>
      </c>
      <c r="L89" s="23">
        <f>WEEKDAY(Quotation[[#This Row],[日期]],1)-1</f>
        <v>4</v>
      </c>
    </row>
    <row r="90" spans="1:12" ht="99.75" x14ac:dyDescent="0.15">
      <c r="A90" s="20">
        <v>43398.706863425927</v>
      </c>
      <c r="B90" s="18" t="s">
        <v>4983</v>
      </c>
      <c r="C90" s="17" t="s">
        <v>4984</v>
      </c>
      <c r="D90" s="21">
        <v>2355852338</v>
      </c>
      <c r="E90" s="18" t="s">
        <v>4989</v>
      </c>
      <c r="F90" s="18" t="s">
        <v>4987</v>
      </c>
      <c r="G90" s="18" t="s">
        <v>534</v>
      </c>
      <c r="H90" s="18" t="s">
        <v>4869</v>
      </c>
      <c r="I90" s="22">
        <f>COUNTIF(Quotation[联系方式],Quotation[[#This Row],[联系方式]])</f>
        <v>5</v>
      </c>
      <c r="J90" s="18" t="str">
        <f>VLOOKUP(Quotation[[#This Row],[抬头]],Customer[],5,FALSE)&amp;""</f>
        <v>OK</v>
      </c>
      <c r="K90" s="23">
        <f>WEEKNUM(Quotation[[#This Row],[日期]])</f>
        <v>43</v>
      </c>
      <c r="L90" s="23">
        <f>WEEKDAY(Quotation[[#This Row],[日期]],1)-1</f>
        <v>4</v>
      </c>
    </row>
    <row r="91" spans="1:12" ht="57" x14ac:dyDescent="0.15">
      <c r="A91" s="20">
        <v>43398.706863425927</v>
      </c>
      <c r="B91" s="18" t="s">
        <v>4983</v>
      </c>
      <c r="C91" s="17" t="s">
        <v>4984</v>
      </c>
      <c r="D91" s="21">
        <v>2355852338</v>
      </c>
      <c r="E91" s="18" t="s">
        <v>4988</v>
      </c>
      <c r="F91" s="18" t="s">
        <v>5180</v>
      </c>
      <c r="G91" s="18" t="s">
        <v>4990</v>
      </c>
      <c r="H91" s="18" t="s">
        <v>4869</v>
      </c>
      <c r="I91" s="22">
        <f>COUNTIF(Quotation[联系方式],Quotation[[#This Row],[联系方式]])</f>
        <v>5</v>
      </c>
      <c r="J91" s="18" t="str">
        <f>VLOOKUP(Quotation[[#This Row],[抬头]],Customer[],5,FALSE)&amp;""</f>
        <v>OK</v>
      </c>
      <c r="K91" s="23">
        <f>WEEKNUM(Quotation[[#This Row],[日期]])</f>
        <v>43</v>
      </c>
      <c r="L91" s="23">
        <f>WEEKDAY(Quotation[[#This Row],[日期]],1)-1</f>
        <v>4</v>
      </c>
    </row>
    <row r="92" spans="1:12" ht="28.5" x14ac:dyDescent="0.15">
      <c r="A92" s="20">
        <v>43398.708668981482</v>
      </c>
      <c r="B92" s="18" t="s">
        <v>4980</v>
      </c>
      <c r="C92" s="17" t="s">
        <v>4981</v>
      </c>
      <c r="D92" s="21">
        <v>2411667393</v>
      </c>
      <c r="E92" s="18" t="s">
        <v>4982</v>
      </c>
      <c r="F92" s="18" t="s">
        <v>5179</v>
      </c>
      <c r="G92" s="18" t="s">
        <v>4969</v>
      </c>
      <c r="H92" s="18"/>
      <c r="I92" s="22">
        <f>COUNTIF(Quotation[联系方式],Quotation[[#This Row],[联系方式]])</f>
        <v>3</v>
      </c>
      <c r="J92" s="18" t="str">
        <f>VLOOKUP(Quotation[[#This Row],[抬头]],Customer[],5,FALSE)&amp;""</f>
        <v>苏州</v>
      </c>
      <c r="K92" s="23">
        <f>WEEKNUM(Quotation[[#This Row],[日期]])</f>
        <v>43</v>
      </c>
      <c r="L92" s="23">
        <f>WEEKDAY(Quotation[[#This Row],[日期]],1)-1</f>
        <v>4</v>
      </c>
    </row>
    <row r="93" spans="1:12" ht="85.5" x14ac:dyDescent="0.15">
      <c r="A93" s="20">
        <v>43398.713912037034</v>
      </c>
      <c r="B93" s="18" t="s">
        <v>581</v>
      </c>
      <c r="C93" s="17" t="s">
        <v>5399</v>
      </c>
      <c r="D93" s="21">
        <v>1308309518</v>
      </c>
      <c r="E93" s="18" t="s">
        <v>4993</v>
      </c>
      <c r="F93" s="18" t="s">
        <v>4994</v>
      </c>
      <c r="G93" s="18" t="s">
        <v>533</v>
      </c>
      <c r="H93" s="18" t="s">
        <v>4869</v>
      </c>
      <c r="I93" s="22">
        <f>COUNTIF(Quotation[联系方式],Quotation[[#This Row],[联系方式]])</f>
        <v>7</v>
      </c>
      <c r="J93" s="18" t="str">
        <f>VLOOKUP(Quotation[[#This Row],[抬头]],Customer[],5,FALSE)&amp;""</f>
        <v>OK</v>
      </c>
      <c r="K93" s="23">
        <f>WEEKNUM(Quotation[[#This Row],[日期]])</f>
        <v>43</v>
      </c>
      <c r="L93" s="23">
        <f>WEEKDAY(Quotation[[#This Row],[日期]],1)-1</f>
        <v>4</v>
      </c>
    </row>
    <row r="94" spans="1:12" ht="71.25" x14ac:dyDescent="0.15">
      <c r="A94" s="20">
        <v>43398.714884259258</v>
      </c>
      <c r="B94" s="18" t="s">
        <v>581</v>
      </c>
      <c r="C94" s="17" t="s">
        <v>5399</v>
      </c>
      <c r="D94" s="21">
        <v>1308309518</v>
      </c>
      <c r="E94" s="18" t="s">
        <v>4995</v>
      </c>
      <c r="F94" s="18" t="s">
        <v>4996</v>
      </c>
      <c r="G94" s="18" t="s">
        <v>4997</v>
      </c>
      <c r="H94" s="18"/>
      <c r="I94" s="22">
        <f>COUNTIF(Quotation[联系方式],Quotation[[#This Row],[联系方式]])</f>
        <v>7</v>
      </c>
      <c r="J94" s="18" t="str">
        <f>VLOOKUP(Quotation[[#This Row],[抬头]],Customer[],5,FALSE)&amp;""</f>
        <v>OK</v>
      </c>
      <c r="K94" s="23">
        <f>WEEKNUM(Quotation[[#This Row],[日期]])</f>
        <v>43</v>
      </c>
      <c r="L94" s="23">
        <f>WEEKDAY(Quotation[[#This Row],[日期]],1)-1</f>
        <v>4</v>
      </c>
    </row>
    <row r="95" spans="1:12" ht="85.5" x14ac:dyDescent="0.15">
      <c r="A95" s="20">
        <v>43398.730231481481</v>
      </c>
      <c r="B95" s="18" t="s">
        <v>4976</v>
      </c>
      <c r="C95" s="17" t="s">
        <v>4977</v>
      </c>
      <c r="D95" s="21">
        <v>297961898</v>
      </c>
      <c r="E95" s="18" t="s">
        <v>4978</v>
      </c>
      <c r="F95" s="18" t="s">
        <v>4979</v>
      </c>
      <c r="G95" s="18" t="s">
        <v>2275</v>
      </c>
      <c r="H95" s="18" t="s">
        <v>4869</v>
      </c>
      <c r="I95" s="22">
        <f>COUNTIF(Quotation[联系方式],Quotation[[#This Row],[联系方式]])</f>
        <v>3</v>
      </c>
      <c r="J95" s="18" t="str">
        <f>VLOOKUP(Quotation[[#This Row],[抬头]],Customer[],5,FALSE)&amp;""</f>
        <v>OK</v>
      </c>
      <c r="K95" s="23">
        <f>WEEKNUM(Quotation[[#This Row],[日期]])</f>
        <v>43</v>
      </c>
      <c r="L95" s="23">
        <f>WEEKDAY(Quotation[[#This Row],[日期]],1)-1</f>
        <v>4</v>
      </c>
    </row>
    <row r="96" spans="1:12" ht="28.5" x14ac:dyDescent="0.15">
      <c r="A96" s="20">
        <v>43399.427511574075</v>
      </c>
      <c r="B96" s="18" t="s">
        <v>502</v>
      </c>
      <c r="C96" s="17" t="s">
        <v>2180</v>
      </c>
      <c r="D96" s="21">
        <v>3003128015</v>
      </c>
      <c r="E96" s="18" t="s">
        <v>4974</v>
      </c>
      <c r="F96" s="18" t="s">
        <v>4975</v>
      </c>
      <c r="G96" s="18" t="s">
        <v>4772</v>
      </c>
      <c r="H96" s="18"/>
      <c r="I96" s="22">
        <f>COUNTIF(Quotation[联系方式],Quotation[[#This Row],[联系方式]])</f>
        <v>44</v>
      </c>
      <c r="J96" s="18" t="str">
        <f>VLOOKUP(Quotation[[#This Row],[抬头]],Customer[],5,FALSE)&amp;""</f>
        <v>OK</v>
      </c>
      <c r="K96" s="23">
        <f>WEEKNUM(Quotation[[#This Row],[日期]])</f>
        <v>43</v>
      </c>
      <c r="L96" s="23">
        <f>WEEKDAY(Quotation[[#This Row],[日期]],1)-1</f>
        <v>5</v>
      </c>
    </row>
    <row r="97" spans="1:12" ht="28.5" x14ac:dyDescent="0.15">
      <c r="A97" s="20">
        <v>43399.443287037036</v>
      </c>
      <c r="B97" s="18" t="s">
        <v>1319</v>
      </c>
      <c r="C97" s="17" t="s">
        <v>3619</v>
      </c>
      <c r="D97" s="21">
        <v>341474889</v>
      </c>
      <c r="E97" s="18" t="s">
        <v>5003</v>
      </c>
      <c r="F97" s="18" t="s">
        <v>5005</v>
      </c>
      <c r="G97" s="18" t="s">
        <v>5004</v>
      </c>
      <c r="H97" s="18"/>
      <c r="I97" s="22">
        <f>COUNTIF(Quotation[联系方式],Quotation[[#This Row],[联系方式]])</f>
        <v>2</v>
      </c>
      <c r="J97" s="18" t="str">
        <f>VLOOKUP(Quotation[[#This Row],[抬头]],Customer[],5,FALSE)&amp;""</f>
        <v>OK</v>
      </c>
      <c r="K97" s="23">
        <f>WEEKNUM(Quotation[[#This Row],[日期]])</f>
        <v>43</v>
      </c>
      <c r="L97" s="23">
        <f>WEEKDAY(Quotation[[#This Row],[日期]],1)-1</f>
        <v>5</v>
      </c>
    </row>
    <row r="98" spans="1:12" ht="28.5" x14ac:dyDescent="0.15">
      <c r="A98" s="20">
        <v>43399.586331018516</v>
      </c>
      <c r="B98" s="18" t="s">
        <v>581</v>
      </c>
      <c r="C98" s="17" t="s">
        <v>5399</v>
      </c>
      <c r="D98" s="21">
        <v>1308309518</v>
      </c>
      <c r="E98" s="18" t="s">
        <v>5006</v>
      </c>
      <c r="F98" s="18" t="s">
        <v>5007</v>
      </c>
      <c r="G98" s="18" t="s">
        <v>533</v>
      </c>
      <c r="H98" s="18"/>
      <c r="I98" s="22">
        <f>COUNTIF(Quotation[联系方式],Quotation[[#This Row],[联系方式]])</f>
        <v>7</v>
      </c>
      <c r="J98" s="18" t="str">
        <f>VLOOKUP(Quotation[[#This Row],[抬头]],Customer[],5,FALSE)&amp;""</f>
        <v>OK</v>
      </c>
      <c r="K98" s="23">
        <f>WEEKNUM(Quotation[[#This Row],[日期]])</f>
        <v>43</v>
      </c>
      <c r="L98" s="23">
        <f>WEEKDAY(Quotation[[#This Row],[日期]],1)-1</f>
        <v>5</v>
      </c>
    </row>
    <row r="99" spans="1:12" ht="71.25" x14ac:dyDescent="0.15">
      <c r="A99" s="20">
        <v>43399.612627314818</v>
      </c>
      <c r="B99" s="18" t="s">
        <v>502</v>
      </c>
      <c r="C99" s="17" t="s">
        <v>2180</v>
      </c>
      <c r="D99" s="21">
        <v>3003128015</v>
      </c>
      <c r="E99" s="18" t="s">
        <v>5012</v>
      </c>
      <c r="F99" s="18" t="s">
        <v>5013</v>
      </c>
      <c r="G99" s="18" t="s">
        <v>5014</v>
      </c>
      <c r="H99" s="18" t="s">
        <v>5015</v>
      </c>
      <c r="I99" s="22">
        <f>COUNTIF(Quotation[联系方式],Quotation[[#This Row],[联系方式]])</f>
        <v>44</v>
      </c>
      <c r="J99" s="18" t="str">
        <f>VLOOKUP(Quotation[[#This Row],[抬头]],Customer[],5,FALSE)&amp;""</f>
        <v>OK</v>
      </c>
      <c r="K99" s="23">
        <f>WEEKNUM(Quotation[[#This Row],[日期]])</f>
        <v>43</v>
      </c>
      <c r="L99" s="23">
        <f>WEEKDAY(Quotation[[#This Row],[日期]],1)-1</f>
        <v>5</v>
      </c>
    </row>
    <row r="100" spans="1:12" ht="85.5" x14ac:dyDescent="0.15">
      <c r="A100" s="20">
        <v>43399.658217592594</v>
      </c>
      <c r="B100" s="18" t="s">
        <v>502</v>
      </c>
      <c r="C100" s="17" t="s">
        <v>2180</v>
      </c>
      <c r="D100" s="21">
        <v>3003128015</v>
      </c>
      <c r="E100" s="18" t="s">
        <v>5027</v>
      </c>
      <c r="F100" s="18" t="s">
        <v>5028</v>
      </c>
      <c r="G100" s="18" t="s">
        <v>533</v>
      </c>
      <c r="H100" s="18" t="s">
        <v>5029</v>
      </c>
      <c r="I100" s="22">
        <f>COUNTIF(Quotation[联系方式],Quotation[[#This Row],[联系方式]])</f>
        <v>44</v>
      </c>
      <c r="J100" s="18" t="str">
        <f>VLOOKUP(Quotation[[#This Row],[抬头]],Customer[],5,FALSE)&amp;""</f>
        <v>OK</v>
      </c>
      <c r="K100" s="23">
        <f>WEEKNUM(Quotation[[#This Row],[日期]])</f>
        <v>43</v>
      </c>
      <c r="L100" s="23">
        <f>WEEKDAY(Quotation[[#This Row],[日期]],1)-1</f>
        <v>5</v>
      </c>
    </row>
    <row r="101" spans="1:12" ht="57" x14ac:dyDescent="0.15">
      <c r="A101" s="20">
        <v>43399.663530092592</v>
      </c>
      <c r="B101" s="18" t="s">
        <v>498</v>
      </c>
      <c r="C101" s="17" t="s">
        <v>4608</v>
      </c>
      <c r="D101" s="21">
        <v>2881725310</v>
      </c>
      <c r="E101" s="18" t="s">
        <v>5030</v>
      </c>
      <c r="F101" s="18" t="s">
        <v>5035</v>
      </c>
      <c r="G101" s="18" t="s">
        <v>5031</v>
      </c>
      <c r="H101" s="18"/>
      <c r="I101" s="22">
        <f>COUNTIF(Quotation[联系方式],Quotation[[#This Row],[联系方式]])</f>
        <v>1</v>
      </c>
      <c r="J101" s="18" t="str">
        <f>VLOOKUP(Quotation[[#This Row],[抬头]],Customer[],5,FALSE)&amp;""</f>
        <v>OK</v>
      </c>
      <c r="K101" s="23">
        <f>WEEKNUM(Quotation[[#This Row],[日期]])</f>
        <v>43</v>
      </c>
      <c r="L101" s="23">
        <f>WEEKDAY(Quotation[[#This Row],[日期]],1)-1</f>
        <v>5</v>
      </c>
    </row>
    <row r="102" spans="1:12" ht="85.5" x14ac:dyDescent="0.15">
      <c r="A102" s="20">
        <v>43399.679942129631</v>
      </c>
      <c r="B102" s="18" t="s">
        <v>582</v>
      </c>
      <c r="C102" s="17" t="s">
        <v>3592</v>
      </c>
      <c r="D102" s="21">
        <v>2880488446</v>
      </c>
      <c r="E102" s="18" t="s">
        <v>5032</v>
      </c>
      <c r="F102" s="18" t="s">
        <v>5033</v>
      </c>
      <c r="G102" s="18" t="s">
        <v>5034</v>
      </c>
      <c r="H102" s="18"/>
      <c r="I102" s="22">
        <f>COUNTIF(Quotation[联系方式],Quotation[[#This Row],[联系方式]])</f>
        <v>5</v>
      </c>
      <c r="J102" s="18" t="str">
        <f>VLOOKUP(Quotation[[#This Row],[抬头]],Customer[],5,FALSE)&amp;""</f>
        <v>OK</v>
      </c>
      <c r="K102" s="23">
        <f>WEEKNUM(Quotation[[#This Row],[日期]])</f>
        <v>43</v>
      </c>
      <c r="L102" s="23">
        <f>WEEKDAY(Quotation[[#This Row],[日期]],1)-1</f>
        <v>5</v>
      </c>
    </row>
    <row r="103" spans="1:12" ht="85.5" x14ac:dyDescent="0.15">
      <c r="A103" s="20">
        <v>43399.716886574075</v>
      </c>
      <c r="B103" s="18" t="s">
        <v>502</v>
      </c>
      <c r="C103" s="17" t="s">
        <v>2180</v>
      </c>
      <c r="D103" s="21">
        <v>3003128015</v>
      </c>
      <c r="E103" s="18" t="s">
        <v>5036</v>
      </c>
      <c r="F103" s="18" t="s">
        <v>5037</v>
      </c>
      <c r="G103" s="18" t="s">
        <v>5038</v>
      </c>
      <c r="H103" s="18" t="s">
        <v>5039</v>
      </c>
      <c r="I103" s="22">
        <f>COUNTIF(Quotation[联系方式],Quotation[[#This Row],[联系方式]])</f>
        <v>44</v>
      </c>
      <c r="J103" s="18" t="str">
        <f>VLOOKUP(Quotation[[#This Row],[抬头]],Customer[],5,FALSE)&amp;""</f>
        <v>OK</v>
      </c>
      <c r="K103" s="23">
        <f>WEEKNUM(Quotation[[#This Row],[日期]])</f>
        <v>43</v>
      </c>
      <c r="L103" s="23">
        <f>WEEKDAY(Quotation[[#This Row],[日期]],1)-1</f>
        <v>5</v>
      </c>
    </row>
    <row r="104" spans="1:12" ht="42.75" x14ac:dyDescent="0.15">
      <c r="A104" s="20">
        <v>43402.417222222219</v>
      </c>
      <c r="B104" s="18" t="s">
        <v>5044</v>
      </c>
      <c r="C104" s="17" t="s">
        <v>5045</v>
      </c>
      <c r="D104" s="21">
        <v>2881725314</v>
      </c>
      <c r="E104" s="18" t="s">
        <v>5043</v>
      </c>
      <c r="F104" s="18" t="s">
        <v>5041</v>
      </c>
      <c r="G104" s="18" t="s">
        <v>3607</v>
      </c>
      <c r="H104" s="18"/>
      <c r="I104" s="22">
        <f>COUNTIF(Quotation[联系方式],Quotation[[#This Row],[联系方式]])</f>
        <v>5</v>
      </c>
      <c r="J104" s="18" t="str">
        <f>VLOOKUP(Quotation[[#This Row],[抬头]],Customer[],5,FALSE)&amp;""</f>
        <v>OK</v>
      </c>
      <c r="K104" s="23">
        <f>WEEKNUM(Quotation[[#This Row],[日期]])</f>
        <v>44</v>
      </c>
      <c r="L104" s="23">
        <f>WEEKDAY(Quotation[[#This Row],[日期]],1)-1</f>
        <v>1</v>
      </c>
    </row>
    <row r="105" spans="1:12" ht="42.75" x14ac:dyDescent="0.15">
      <c r="A105" s="20">
        <v>43402.419675925928</v>
      </c>
      <c r="B105" s="18" t="s">
        <v>502</v>
      </c>
      <c r="C105" s="17" t="s">
        <v>2180</v>
      </c>
      <c r="D105" s="21">
        <v>3003128015</v>
      </c>
      <c r="E105" s="18" t="s">
        <v>5046</v>
      </c>
      <c r="F105" s="18" t="s">
        <v>5042</v>
      </c>
      <c r="G105" s="18" t="s">
        <v>3607</v>
      </c>
      <c r="H105" s="18"/>
      <c r="I105" s="22">
        <f>COUNTIF(Quotation[联系方式],Quotation[[#This Row],[联系方式]])</f>
        <v>44</v>
      </c>
      <c r="J105" s="18" t="str">
        <f>VLOOKUP(Quotation[[#This Row],[抬头]],Customer[],5,FALSE)&amp;""</f>
        <v>OK</v>
      </c>
      <c r="K105" s="23">
        <f>WEEKNUM(Quotation[[#This Row],[日期]])</f>
        <v>44</v>
      </c>
      <c r="L105" s="23">
        <f>WEEKDAY(Quotation[[#This Row],[日期]],1)-1</f>
        <v>1</v>
      </c>
    </row>
    <row r="106" spans="1:12" ht="28.5" x14ac:dyDescent="0.15">
      <c r="A106" s="20">
        <v>43402.457314814812</v>
      </c>
      <c r="B106" s="18" t="s">
        <v>5110</v>
      </c>
      <c r="C106" s="17" t="s">
        <v>4885</v>
      </c>
      <c r="D106" s="21">
        <v>583103951</v>
      </c>
      <c r="E106" s="18" t="s">
        <v>5111</v>
      </c>
      <c r="F106" s="18" t="s">
        <v>5112</v>
      </c>
      <c r="G106" s="18" t="s">
        <v>4919</v>
      </c>
      <c r="H106" s="18"/>
      <c r="I106" s="22">
        <f>COUNTIF(Quotation[联系方式],Quotation[[#This Row],[联系方式]])</f>
        <v>1</v>
      </c>
      <c r="J106" s="18" t="str">
        <f>VLOOKUP(Quotation[[#This Row],[抬头]],Customer[],5,FALSE)&amp;""</f>
        <v>OK</v>
      </c>
      <c r="K106" s="23">
        <f>WEEKNUM(Quotation[[#This Row],[日期]])</f>
        <v>44</v>
      </c>
      <c r="L106" s="23">
        <f>WEEKDAY(Quotation[[#This Row],[日期]],1)-1</f>
        <v>1</v>
      </c>
    </row>
    <row r="107" spans="1:12" ht="57" x14ac:dyDescent="0.15">
      <c r="A107" s="20">
        <v>43402.49050925926</v>
      </c>
      <c r="B107" s="18" t="s">
        <v>502</v>
      </c>
      <c r="C107" s="17" t="s">
        <v>2180</v>
      </c>
      <c r="D107" s="21">
        <v>3003128015</v>
      </c>
      <c r="E107" s="18" t="s">
        <v>5188</v>
      </c>
      <c r="F107" s="18" t="s">
        <v>5189</v>
      </c>
      <c r="G107" s="18" t="s">
        <v>3511</v>
      </c>
      <c r="H107" s="18"/>
      <c r="I107" s="22">
        <f>COUNTIF(Quotation[联系方式],Quotation[[#This Row],[联系方式]])</f>
        <v>44</v>
      </c>
      <c r="J107" s="18" t="str">
        <f>VLOOKUP(Quotation[[#This Row],[抬头]],Customer[],5,FALSE)&amp;""</f>
        <v>OK</v>
      </c>
      <c r="K107" s="23">
        <f>WEEKNUM(Quotation[[#This Row],[日期]])</f>
        <v>44</v>
      </c>
      <c r="L107" s="23">
        <f>WEEKDAY(Quotation[[#This Row],[日期]],1)-1</f>
        <v>1</v>
      </c>
    </row>
    <row r="108" spans="1:12" ht="85.5" x14ac:dyDescent="0.15">
      <c r="A108" s="20">
        <v>43402.573263888888</v>
      </c>
      <c r="B108" s="18" t="s">
        <v>5181</v>
      </c>
      <c r="C108" s="17" t="s">
        <v>4649</v>
      </c>
      <c r="D108" s="21">
        <v>372202948</v>
      </c>
      <c r="E108" s="18" t="s">
        <v>5183</v>
      </c>
      <c r="F108" s="18" t="s">
        <v>5182</v>
      </c>
      <c r="G108" s="18" t="s">
        <v>5184</v>
      </c>
      <c r="H108" s="18"/>
      <c r="I108" s="22">
        <f>COUNTIF(Quotation[联系方式],Quotation[[#This Row],[联系方式]])</f>
        <v>2</v>
      </c>
      <c r="J108" s="18" t="str">
        <f>VLOOKUP(Quotation[[#This Row],[抬头]],Customer[],5,FALSE)&amp;""</f>
        <v>OK</v>
      </c>
      <c r="K108" s="23">
        <f>WEEKNUM(Quotation[[#This Row],[日期]])</f>
        <v>44</v>
      </c>
      <c r="L108" s="23">
        <f>WEEKDAY(Quotation[[#This Row],[日期]],1)-1</f>
        <v>1</v>
      </c>
    </row>
    <row r="109" spans="1:12" ht="42.75" x14ac:dyDescent="0.15">
      <c r="A109" s="20">
        <v>43402.573553240742</v>
      </c>
      <c r="B109" s="18" t="s">
        <v>559</v>
      </c>
      <c r="C109" s="17" t="s">
        <v>3551</v>
      </c>
      <c r="D109" s="21">
        <v>3002716532</v>
      </c>
      <c r="E109" s="18" t="s">
        <v>5185</v>
      </c>
      <c r="F109" s="18" t="s">
        <v>5186</v>
      </c>
      <c r="G109" s="18" t="s">
        <v>5187</v>
      </c>
      <c r="H109" s="18"/>
      <c r="I109" s="22">
        <f>COUNTIF(Quotation[联系方式],Quotation[[#This Row],[联系方式]])</f>
        <v>9</v>
      </c>
      <c r="J109" s="18" t="str">
        <f>VLOOKUP(Quotation[[#This Row],[抬头]],Customer[],5,FALSE)&amp;""</f>
        <v>OK</v>
      </c>
      <c r="K109" s="23">
        <f>WEEKNUM(Quotation[[#This Row],[日期]])</f>
        <v>44</v>
      </c>
      <c r="L109" s="23">
        <f>WEEKDAY(Quotation[[#This Row],[日期]],1)-1</f>
        <v>1</v>
      </c>
    </row>
    <row r="110" spans="1:12" ht="71.25" x14ac:dyDescent="0.15">
      <c r="A110" s="20">
        <v>43402.648240740738</v>
      </c>
      <c r="B110" s="18" t="s">
        <v>5044</v>
      </c>
      <c r="C110" s="17" t="s">
        <v>2184</v>
      </c>
      <c r="D110" s="21">
        <v>2881725314</v>
      </c>
      <c r="E110" s="18" t="s">
        <v>5231</v>
      </c>
      <c r="F110" s="18" t="s">
        <v>5232</v>
      </c>
      <c r="G110" s="18" t="s">
        <v>4905</v>
      </c>
      <c r="H110" s="18"/>
      <c r="I110" s="22">
        <f>COUNTIF(Quotation[联系方式],Quotation[[#This Row],[联系方式]])</f>
        <v>5</v>
      </c>
      <c r="J110" s="18" t="str">
        <f>VLOOKUP(Quotation[[#This Row],[抬头]],Customer[],5,FALSE)&amp;""</f>
        <v>OK</v>
      </c>
      <c r="K110" s="23">
        <f>WEEKNUM(Quotation[[#This Row],[日期]])</f>
        <v>44</v>
      </c>
      <c r="L110" s="23">
        <f>WEEKDAY(Quotation[[#This Row],[日期]],1)-1</f>
        <v>1</v>
      </c>
    </row>
    <row r="111" spans="1:12" ht="99.75" x14ac:dyDescent="0.15">
      <c r="A111" s="20">
        <v>43402.72146990741</v>
      </c>
      <c r="B111" s="18" t="s">
        <v>5181</v>
      </c>
      <c r="C111" s="17" t="s">
        <v>4649</v>
      </c>
      <c r="D111" s="21">
        <v>372202948</v>
      </c>
      <c r="E111" s="18" t="s">
        <v>5233</v>
      </c>
      <c r="F111" s="18" t="s">
        <v>5234</v>
      </c>
      <c r="G111" s="18" t="s">
        <v>534</v>
      </c>
      <c r="H111" s="18"/>
      <c r="I111" s="22">
        <f>COUNTIF(Quotation[联系方式],Quotation[[#This Row],[联系方式]])</f>
        <v>2</v>
      </c>
      <c r="J111" s="18" t="str">
        <f>VLOOKUP(Quotation[[#This Row],[抬头]],Customer[],5,FALSE)&amp;""</f>
        <v>OK</v>
      </c>
      <c r="K111" s="23">
        <f>WEEKNUM(Quotation[[#This Row],[日期]])</f>
        <v>44</v>
      </c>
      <c r="L111" s="23">
        <f>WEEKDAY(Quotation[[#This Row],[日期]],1)-1</f>
        <v>1</v>
      </c>
    </row>
    <row r="112" spans="1:12" ht="85.5" x14ac:dyDescent="0.15">
      <c r="A112" s="20">
        <v>43406.427048611113</v>
      </c>
      <c r="B112" s="18" t="s">
        <v>4240</v>
      </c>
      <c r="C112" s="17" t="s">
        <v>4241</v>
      </c>
      <c r="D112" s="21">
        <v>599796523</v>
      </c>
      <c r="E112" s="18" t="s">
        <v>5448</v>
      </c>
      <c r="F112" s="18" t="s">
        <v>5449</v>
      </c>
      <c r="G112" s="18" t="s">
        <v>3627</v>
      </c>
      <c r="H112" s="18"/>
      <c r="I112" s="22">
        <f>COUNTIF(Quotation[联系方式],Quotation[[#This Row],[联系方式]])</f>
        <v>1</v>
      </c>
      <c r="J112" s="18" t="str">
        <f>VLOOKUP(Quotation[[#This Row],[抬头]],Customer[],5,FALSE)&amp;""</f>
        <v>OK</v>
      </c>
      <c r="K112" s="23">
        <f>WEEKNUM(Quotation[[#This Row],[日期]])</f>
        <v>44</v>
      </c>
      <c r="L112" s="23">
        <f>WEEKDAY(Quotation[[#This Row],[日期]],1)-1</f>
        <v>5</v>
      </c>
    </row>
    <row r="113" spans="1:12" ht="85.5" x14ac:dyDescent="0.15">
      <c r="A113" s="20">
        <v>43406.44190972222</v>
      </c>
      <c r="B113" s="18" t="s">
        <v>581</v>
      </c>
      <c r="C113" s="17" t="s">
        <v>5399</v>
      </c>
      <c r="D113" s="21">
        <v>1308309518</v>
      </c>
      <c r="E113" s="18" t="s">
        <v>5565</v>
      </c>
      <c r="F113" s="18" t="s">
        <v>5566</v>
      </c>
      <c r="G113" s="18" t="s">
        <v>2275</v>
      </c>
      <c r="H113" s="18"/>
      <c r="I113" s="22">
        <f>COUNTIF(Quotation[联系方式],Quotation[[#This Row],[联系方式]])</f>
        <v>7</v>
      </c>
      <c r="J113" s="18" t="str">
        <f>VLOOKUP(Quotation[[#This Row],[抬头]],Customer[],5,FALSE)&amp;""</f>
        <v>OK</v>
      </c>
      <c r="K113" s="23">
        <f>WEEKNUM(Quotation[[#This Row],[日期]])</f>
        <v>44</v>
      </c>
      <c r="L113" s="23">
        <f>WEEKDAY(Quotation[[#This Row],[日期]],1)-1</f>
        <v>5</v>
      </c>
    </row>
    <row r="114" spans="1:12" ht="71.25" x14ac:dyDescent="0.15">
      <c r="A114" s="20">
        <v>43406.451550925929</v>
      </c>
      <c r="B114" s="18" t="s">
        <v>5491</v>
      </c>
      <c r="C114" s="17" t="s">
        <v>5492</v>
      </c>
      <c r="D114" s="21">
        <v>2231954274</v>
      </c>
      <c r="E114" s="18" t="s">
        <v>5493</v>
      </c>
      <c r="F114" s="18" t="s">
        <v>5983</v>
      </c>
      <c r="G114" s="18" t="s">
        <v>4997</v>
      </c>
      <c r="H114" s="18"/>
      <c r="I114" s="22">
        <f>COUNTIF(Quotation[联系方式],Quotation[[#This Row],[联系方式]])</f>
        <v>1</v>
      </c>
      <c r="J114" s="18" t="str">
        <f>VLOOKUP(Quotation[[#This Row],[抬头]],Customer[],5,FALSE)&amp;""</f>
        <v>OK</v>
      </c>
      <c r="K114" s="23">
        <f>WEEKNUM(Quotation[[#This Row],[日期]])</f>
        <v>44</v>
      </c>
      <c r="L114" s="23">
        <f>WEEKDAY(Quotation[[#This Row],[日期]],1)-1</f>
        <v>5</v>
      </c>
    </row>
    <row r="115" spans="1:12" ht="99.75" x14ac:dyDescent="0.15">
      <c r="A115" s="20">
        <v>43416.432916666665</v>
      </c>
      <c r="B115" s="18" t="s">
        <v>3940</v>
      </c>
      <c r="C115" s="17" t="s">
        <v>3941</v>
      </c>
      <c r="D115" s="21">
        <v>409265438</v>
      </c>
      <c r="E115" s="18" t="s">
        <v>5981</v>
      </c>
      <c r="F115" s="18" t="s">
        <v>5982</v>
      </c>
      <c r="G115" s="18" t="s">
        <v>3500</v>
      </c>
      <c r="H115" s="18"/>
      <c r="I115" s="22">
        <f>COUNTIF(Quotation[联系方式],Quotation[[#This Row],[联系方式]])</f>
        <v>1</v>
      </c>
      <c r="J115" s="18" t="str">
        <f>VLOOKUP(Quotation[[#This Row],[抬头]],Customer[],5,FALSE)&amp;""</f>
        <v>OK</v>
      </c>
      <c r="K115" s="23">
        <f>WEEKNUM(Quotation[[#This Row],[日期]])</f>
        <v>46</v>
      </c>
      <c r="L115" s="23">
        <f>WEEKDAY(Quotation[[#This Row],[日期]],1)-1</f>
        <v>1</v>
      </c>
    </row>
    <row r="116" spans="1:12" ht="28.5" x14ac:dyDescent="0.15">
      <c r="A116" s="20">
        <v>43417.557430555556</v>
      </c>
      <c r="B116" s="18" t="s">
        <v>6230</v>
      </c>
      <c r="C116" s="17" t="s">
        <v>6231</v>
      </c>
      <c r="D116" s="21">
        <v>1224031008</v>
      </c>
      <c r="E116" s="18" t="s">
        <v>6232</v>
      </c>
      <c r="F116" s="18" t="s">
        <v>6233</v>
      </c>
      <c r="G116" s="18" t="s">
        <v>6234</v>
      </c>
      <c r="H116" s="18"/>
      <c r="I116" s="22">
        <f>COUNTIF(Quotation[联系方式],Quotation[[#This Row],[联系方式]])</f>
        <v>1</v>
      </c>
      <c r="J116" s="18" t="str">
        <f>VLOOKUP(Quotation[[#This Row],[抬头]],Customer[],5,FALSE)&amp;""</f>
        <v>OK</v>
      </c>
      <c r="K116" s="23">
        <f>WEEKNUM(Quotation[[#This Row],[日期]])</f>
        <v>46</v>
      </c>
      <c r="L116" s="23">
        <f>WEEKDAY(Quotation[[#This Row],[日期]],1)-1</f>
        <v>2</v>
      </c>
    </row>
    <row r="117" spans="1:12" ht="71.25" x14ac:dyDescent="0.15">
      <c r="A117" s="20">
        <v>43419.355868055558</v>
      </c>
      <c r="B117" s="18" t="s">
        <v>6246</v>
      </c>
      <c r="C117" s="17" t="s">
        <v>6247</v>
      </c>
      <c r="D117" s="21">
        <v>331810151</v>
      </c>
      <c r="E117" s="18" t="s">
        <v>6248</v>
      </c>
      <c r="F117" s="18" t="s">
        <v>6249</v>
      </c>
      <c r="G117" s="18" t="s">
        <v>533</v>
      </c>
      <c r="H117" s="18"/>
      <c r="I117" s="22">
        <f>COUNTIF(Quotation[联系方式],Quotation[[#This Row],[联系方式]])</f>
        <v>1</v>
      </c>
      <c r="J117" s="18" t="str">
        <f>VLOOKUP(Quotation[[#This Row],[抬头]],Customer[],5,FALSE)&amp;""</f>
        <v>OK</v>
      </c>
      <c r="K117" s="23">
        <f>WEEKNUM(Quotation[[#This Row],[日期]])</f>
        <v>46</v>
      </c>
      <c r="L117" s="23">
        <f>WEEKDAY(Quotation[[#This Row],[日期]],1)-1</f>
        <v>4</v>
      </c>
    </row>
    <row r="118" spans="1:12" ht="28.5" x14ac:dyDescent="0.15">
      <c r="A118" s="20">
        <v>43424.649305555555</v>
      </c>
      <c r="B118" s="18" t="s">
        <v>6286</v>
      </c>
      <c r="C118" s="17" t="s">
        <v>6301</v>
      </c>
      <c r="D118" s="21">
        <v>1551072268</v>
      </c>
      <c r="E118" s="18" t="s">
        <v>6317</v>
      </c>
      <c r="F118" s="18" t="s">
        <v>6318</v>
      </c>
      <c r="G118" s="18" t="s">
        <v>3627</v>
      </c>
      <c r="H118" s="18"/>
      <c r="I118" s="22">
        <f>COUNTIF(Quotation[联系方式],Quotation[[#This Row],[联系方式]])</f>
        <v>1</v>
      </c>
      <c r="J118" s="18" t="str">
        <f>VLOOKUP(Quotation[[#This Row],[抬头]],Customer[],5,FALSE)&amp;""</f>
        <v>OK</v>
      </c>
      <c r="K118" s="23">
        <f>WEEKNUM(Quotation[[#This Row],[日期]])</f>
        <v>47</v>
      </c>
      <c r="L118" s="23">
        <f>WEEKDAY(Quotation[[#This Row],[日期]],1)-1</f>
        <v>2</v>
      </c>
    </row>
  </sheetData>
  <phoneticPr fontId="9" type="noConversion"/>
  <pageMargins left="0.75" right="0.75" top="1" bottom="1" header="0.51180555555555596" footer="0.51180555555555596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231"/>
  <sheetViews>
    <sheetView workbookViewId="0">
      <pane ySplit="1" topLeftCell="A2" activePane="bottomLeft" state="frozen"/>
      <selection pane="bottomLeft" activeCell="E234" sqref="E234"/>
    </sheetView>
  </sheetViews>
  <sheetFormatPr defaultColWidth="9" defaultRowHeight="15.75" customHeight="1" x14ac:dyDescent="0.15"/>
  <cols>
    <col min="1" max="1" width="13.875" style="36" bestFit="1" customWidth="1"/>
    <col min="2" max="2" width="21.125" style="36" bestFit="1" customWidth="1"/>
    <col min="3" max="4" width="9.75" style="36" bestFit="1" customWidth="1"/>
    <col min="5" max="7" width="7.75" style="36" bestFit="1" customWidth="1"/>
    <col min="8" max="8" width="9.75" style="36" hidden="1" customWidth="1"/>
    <col min="9" max="9" width="7.75" style="36" hidden="1" customWidth="1"/>
    <col min="10" max="10" width="7.75" style="36" customWidth="1"/>
    <col min="11" max="11" width="12.875" style="36" bestFit="1" customWidth="1"/>
    <col min="12" max="12" width="33.875" style="36" bestFit="1" customWidth="1"/>
    <col min="13" max="16384" width="9" style="36"/>
  </cols>
  <sheetData>
    <row r="1" spans="1:12" ht="15.75" customHeight="1" x14ac:dyDescent="0.15">
      <c r="A1" s="32" t="s">
        <v>463</v>
      </c>
      <c r="B1" s="33" t="s">
        <v>464</v>
      </c>
      <c r="C1" s="34" t="s">
        <v>462</v>
      </c>
      <c r="D1" s="32" t="s">
        <v>369</v>
      </c>
      <c r="E1" s="32" t="s">
        <v>465</v>
      </c>
      <c r="F1" s="32" t="s">
        <v>466</v>
      </c>
      <c r="G1" s="32" t="s">
        <v>467</v>
      </c>
      <c r="H1" s="32" t="s">
        <v>468</v>
      </c>
      <c r="I1" s="32" t="s">
        <v>3043</v>
      </c>
      <c r="J1" s="32" t="s">
        <v>3048</v>
      </c>
      <c r="K1" s="32" t="s">
        <v>2379</v>
      </c>
      <c r="L1" s="35" t="s">
        <v>469</v>
      </c>
    </row>
    <row r="2" spans="1:12" ht="15.75" hidden="1" customHeight="1" x14ac:dyDescent="0.15">
      <c r="A2" s="37" t="s">
        <v>2330</v>
      </c>
      <c r="B2" s="37" t="s">
        <v>537</v>
      </c>
      <c r="C2" s="38" t="s">
        <v>534</v>
      </c>
      <c r="D2" s="37" t="s">
        <v>2331</v>
      </c>
      <c r="E2" s="39">
        <v>20</v>
      </c>
      <c r="F2" s="40">
        <v>0</v>
      </c>
      <c r="G2" s="40">
        <v>15.3</v>
      </c>
      <c r="H2" s="41">
        <v>1500</v>
      </c>
      <c r="I2" s="41"/>
      <c r="J2" s="41">
        <f>TS[[#This Row],[转运费]]*LOOKUP(TS[[#This Row],[币种]]&amp;"-",{"-","EUR-","USD-","ZAR-"},{1,1.163,1,0.06792})</f>
        <v>1500</v>
      </c>
      <c r="K2" s="42"/>
      <c r="L2" s="42" t="s">
        <v>471</v>
      </c>
    </row>
    <row r="3" spans="1:12" ht="15.75" hidden="1" customHeight="1" x14ac:dyDescent="0.15">
      <c r="A3" s="37" t="s">
        <v>2330</v>
      </c>
      <c r="B3" s="37" t="s">
        <v>537</v>
      </c>
      <c r="C3" s="38" t="s">
        <v>534</v>
      </c>
      <c r="D3" s="37" t="s">
        <v>378</v>
      </c>
      <c r="E3" s="39">
        <v>20</v>
      </c>
      <c r="F3" s="40">
        <v>15.3</v>
      </c>
      <c r="G3" s="40">
        <v>24.3</v>
      </c>
      <c r="H3" s="41">
        <v>1800</v>
      </c>
      <c r="I3" s="41"/>
      <c r="J3" s="41">
        <f>TS[[#This Row],[转运费]]*LOOKUP(TS[[#This Row],[币种]]&amp;"-",{"-","EUR-","USD-","ZAR-"},{1,1.163,1,0.06792})</f>
        <v>1800</v>
      </c>
      <c r="K3" s="42"/>
      <c r="L3" s="42" t="s">
        <v>471</v>
      </c>
    </row>
    <row r="4" spans="1:12" ht="15.75" hidden="1" customHeight="1" x14ac:dyDescent="0.15">
      <c r="A4" s="37" t="s">
        <v>2330</v>
      </c>
      <c r="B4" s="37" t="s">
        <v>537</v>
      </c>
      <c r="C4" s="38" t="s">
        <v>534</v>
      </c>
      <c r="D4" s="37" t="s">
        <v>378</v>
      </c>
      <c r="E4" s="39">
        <v>20</v>
      </c>
      <c r="F4" s="40">
        <v>24.3</v>
      </c>
      <c r="G4" s="40">
        <v>29.8</v>
      </c>
      <c r="H4" s="41">
        <v>2700</v>
      </c>
      <c r="I4" s="41"/>
      <c r="J4" s="41">
        <f>TS[[#This Row],[转运费]]*LOOKUP(TS[[#This Row],[币种]]&amp;"-",{"-","EUR-","USD-","ZAR-"},{1,1.163,1,0.06792})</f>
        <v>2700</v>
      </c>
      <c r="K4" s="42"/>
      <c r="L4" s="42" t="s">
        <v>471</v>
      </c>
    </row>
    <row r="5" spans="1:12" ht="15.75" hidden="1" customHeight="1" x14ac:dyDescent="0.15">
      <c r="A5" s="37" t="s">
        <v>2330</v>
      </c>
      <c r="B5" s="37" t="s">
        <v>537</v>
      </c>
      <c r="C5" s="38" t="s">
        <v>534</v>
      </c>
      <c r="D5" s="37" t="s">
        <v>378</v>
      </c>
      <c r="E5" s="39">
        <v>40</v>
      </c>
      <c r="F5" s="40">
        <v>0</v>
      </c>
      <c r="G5" s="40">
        <v>29.8</v>
      </c>
      <c r="H5" s="41">
        <v>2600</v>
      </c>
      <c r="I5" s="41"/>
      <c r="J5" s="41">
        <f>TS[[#This Row],[转运费]]*LOOKUP(TS[[#This Row],[币种]]&amp;"-",{"-","EUR-","USD-","ZAR-"},{1,1.163,1,0.06792})</f>
        <v>2600</v>
      </c>
      <c r="K5" s="42"/>
      <c r="L5" s="42" t="s">
        <v>471</v>
      </c>
    </row>
    <row r="6" spans="1:12" ht="15.75" hidden="1" customHeight="1" x14ac:dyDescent="0.15">
      <c r="A6" s="37" t="s">
        <v>2330</v>
      </c>
      <c r="B6" s="37" t="s">
        <v>537</v>
      </c>
      <c r="C6" s="38" t="s">
        <v>534</v>
      </c>
      <c r="D6" s="37" t="s">
        <v>378</v>
      </c>
      <c r="E6" s="39">
        <v>40</v>
      </c>
      <c r="F6" s="40">
        <v>29.8</v>
      </c>
      <c r="G6" s="40">
        <v>33.200000000000003</v>
      </c>
      <c r="H6" s="41">
        <v>3250</v>
      </c>
      <c r="I6" s="41"/>
      <c r="J6" s="41">
        <f>TS[[#This Row],[转运费]]*LOOKUP(TS[[#This Row],[币种]]&amp;"-",{"-","EUR-","USD-","ZAR-"},{1,1.163,1,0.06792})</f>
        <v>3250</v>
      </c>
      <c r="K6" s="42"/>
      <c r="L6" s="42" t="s">
        <v>471</v>
      </c>
    </row>
    <row r="7" spans="1:12" ht="15.75" hidden="1" customHeight="1" x14ac:dyDescent="0.15">
      <c r="A7" s="37" t="s">
        <v>2330</v>
      </c>
      <c r="B7" s="37" t="s">
        <v>537</v>
      </c>
      <c r="C7" s="38" t="s">
        <v>534</v>
      </c>
      <c r="D7" s="37" t="s">
        <v>371</v>
      </c>
      <c r="E7" s="39">
        <v>20</v>
      </c>
      <c r="F7" s="40">
        <v>0</v>
      </c>
      <c r="G7" s="40">
        <v>13</v>
      </c>
      <c r="H7" s="41">
        <v>2050</v>
      </c>
      <c r="I7" s="41"/>
      <c r="J7" s="41">
        <f>TS[[#This Row],[转运费]]*LOOKUP(TS[[#This Row],[币种]]&amp;"-",{"-","EUR-","USD-","ZAR-"},{1,1.163,1,0.06792})</f>
        <v>2050</v>
      </c>
      <c r="K7" s="42"/>
      <c r="L7" s="42" t="s">
        <v>471</v>
      </c>
    </row>
    <row r="8" spans="1:12" ht="15.75" hidden="1" customHeight="1" x14ac:dyDescent="0.15">
      <c r="A8" s="37" t="s">
        <v>2330</v>
      </c>
      <c r="B8" s="37" t="s">
        <v>537</v>
      </c>
      <c r="C8" s="38" t="s">
        <v>534</v>
      </c>
      <c r="D8" s="37" t="s">
        <v>371</v>
      </c>
      <c r="E8" s="39">
        <v>20</v>
      </c>
      <c r="F8" s="40">
        <v>13</v>
      </c>
      <c r="G8" s="40">
        <v>22</v>
      </c>
      <c r="H8" s="41">
        <v>1050</v>
      </c>
      <c r="I8" s="41"/>
      <c r="J8" s="41">
        <f>TS[[#This Row],[转运费]]*LOOKUP(TS[[#This Row],[币种]]&amp;"-",{"-","EUR-","USD-","ZAR-"},{1,1.163,1,0.06792})</f>
        <v>1050</v>
      </c>
      <c r="K8" s="42"/>
      <c r="L8" s="42" t="s">
        <v>471</v>
      </c>
    </row>
    <row r="9" spans="1:12" ht="15.75" hidden="1" customHeight="1" x14ac:dyDescent="0.15">
      <c r="A9" s="37" t="s">
        <v>2330</v>
      </c>
      <c r="B9" s="37" t="s">
        <v>537</v>
      </c>
      <c r="C9" s="38" t="s">
        <v>534</v>
      </c>
      <c r="D9" s="37" t="s">
        <v>371</v>
      </c>
      <c r="E9" s="39">
        <v>20</v>
      </c>
      <c r="F9" s="40">
        <v>22</v>
      </c>
      <c r="G9" s="40">
        <v>29</v>
      </c>
      <c r="H9" s="41">
        <v>2065</v>
      </c>
      <c r="I9" s="41"/>
      <c r="J9" s="41">
        <f>TS[[#This Row],[转运费]]*LOOKUP(TS[[#This Row],[币种]]&amp;"-",{"-","EUR-","USD-","ZAR-"},{1,1.163,1,0.06792})</f>
        <v>2065</v>
      </c>
      <c r="K9" s="42"/>
      <c r="L9" s="42" t="s">
        <v>471</v>
      </c>
    </row>
    <row r="10" spans="1:12" ht="15.75" hidden="1" customHeight="1" x14ac:dyDescent="0.15">
      <c r="A10" s="37" t="s">
        <v>2330</v>
      </c>
      <c r="B10" s="37" t="s">
        <v>537</v>
      </c>
      <c r="C10" s="38" t="s">
        <v>534</v>
      </c>
      <c r="D10" s="37" t="s">
        <v>371</v>
      </c>
      <c r="E10" s="39">
        <v>40</v>
      </c>
      <c r="F10" s="40">
        <v>0</v>
      </c>
      <c r="G10" s="40">
        <v>26</v>
      </c>
      <c r="H10" s="41">
        <v>1450</v>
      </c>
      <c r="I10" s="41"/>
      <c r="J10" s="41">
        <f>TS[[#This Row],[转运费]]*LOOKUP(TS[[#This Row],[币种]]&amp;"-",{"-","EUR-","USD-","ZAR-"},{1,1.163,1,0.06792})</f>
        <v>1450</v>
      </c>
      <c r="K10" s="42"/>
      <c r="L10" s="42" t="s">
        <v>471</v>
      </c>
    </row>
    <row r="11" spans="1:12" ht="15.75" hidden="1" customHeight="1" x14ac:dyDescent="0.15">
      <c r="A11" s="37" t="s">
        <v>2330</v>
      </c>
      <c r="B11" s="37" t="s">
        <v>537</v>
      </c>
      <c r="C11" s="38" t="s">
        <v>534</v>
      </c>
      <c r="D11" s="37" t="s">
        <v>371</v>
      </c>
      <c r="E11" s="39">
        <v>40</v>
      </c>
      <c r="F11" s="40">
        <v>26</v>
      </c>
      <c r="G11" s="40">
        <v>29.4</v>
      </c>
      <c r="H11" s="41">
        <v>2050</v>
      </c>
      <c r="I11" s="41"/>
      <c r="J11" s="41">
        <f>TS[[#This Row],[转运费]]*LOOKUP(TS[[#This Row],[币种]]&amp;"-",{"-","EUR-","USD-","ZAR-"},{1,1.163,1,0.06792})</f>
        <v>2050</v>
      </c>
      <c r="K11" s="42"/>
      <c r="L11" s="42" t="s">
        <v>471</v>
      </c>
    </row>
    <row r="12" spans="1:12" ht="15.75" hidden="1" customHeight="1" x14ac:dyDescent="0.15">
      <c r="A12" s="37" t="s">
        <v>2332</v>
      </c>
      <c r="B12" s="37" t="s">
        <v>2333</v>
      </c>
      <c r="C12" s="38" t="s">
        <v>474</v>
      </c>
      <c r="D12" s="37" t="s">
        <v>475</v>
      </c>
      <c r="E12" s="39">
        <v>20</v>
      </c>
      <c r="F12" s="40">
        <v>0</v>
      </c>
      <c r="G12" s="40">
        <v>13</v>
      </c>
      <c r="H12" s="41">
        <v>2150</v>
      </c>
      <c r="I12" s="41"/>
      <c r="J12" s="41">
        <f>TS[[#This Row],[转运费]]*LOOKUP(TS[[#This Row],[币种]]&amp;"-",{"-","EUR-","USD-","ZAR-"},{1,1.163,1,0.06792})</f>
        <v>2150</v>
      </c>
      <c r="K12" s="42"/>
      <c r="L12" s="42" t="s">
        <v>2334</v>
      </c>
    </row>
    <row r="13" spans="1:12" ht="15.75" hidden="1" customHeight="1" x14ac:dyDescent="0.15">
      <c r="A13" s="37" t="s">
        <v>2332</v>
      </c>
      <c r="B13" s="37" t="s">
        <v>2333</v>
      </c>
      <c r="C13" s="38" t="s">
        <v>476</v>
      </c>
      <c r="D13" s="37" t="s">
        <v>371</v>
      </c>
      <c r="E13" s="39">
        <v>20</v>
      </c>
      <c r="F13" s="40">
        <v>13</v>
      </c>
      <c r="G13" s="40">
        <v>18</v>
      </c>
      <c r="H13" s="41">
        <v>2185</v>
      </c>
      <c r="I13" s="41"/>
      <c r="J13" s="41">
        <f>TS[[#This Row],[转运费]]*LOOKUP(TS[[#This Row],[币种]]&amp;"-",{"-","EUR-","USD-","ZAR-"},{1,1.163,1,0.06792})</f>
        <v>2185</v>
      </c>
      <c r="K13" s="42"/>
      <c r="L13" s="42" t="s">
        <v>2334</v>
      </c>
    </row>
    <row r="14" spans="1:12" ht="15.75" hidden="1" customHeight="1" x14ac:dyDescent="0.15">
      <c r="A14" s="37" t="s">
        <v>2332</v>
      </c>
      <c r="B14" s="37" t="s">
        <v>2333</v>
      </c>
      <c r="C14" s="38" t="s">
        <v>476</v>
      </c>
      <c r="D14" s="37" t="s">
        <v>371</v>
      </c>
      <c r="E14" s="39">
        <v>20</v>
      </c>
      <c r="F14" s="40">
        <v>18</v>
      </c>
      <c r="G14" s="40">
        <v>24</v>
      </c>
      <c r="H14" s="41">
        <v>2550</v>
      </c>
      <c r="I14" s="41"/>
      <c r="J14" s="41">
        <f>TS[[#This Row],[转运费]]*LOOKUP(TS[[#This Row],[币种]]&amp;"-",{"-","EUR-","USD-","ZAR-"},{1,1.163,1,0.06792})</f>
        <v>2550</v>
      </c>
      <c r="K14" s="42"/>
      <c r="L14" s="42" t="s">
        <v>2334</v>
      </c>
    </row>
    <row r="15" spans="1:12" ht="15.75" hidden="1" customHeight="1" x14ac:dyDescent="0.15">
      <c r="A15" s="37" t="s">
        <v>2332</v>
      </c>
      <c r="B15" s="37" t="s">
        <v>2333</v>
      </c>
      <c r="C15" s="38" t="s">
        <v>476</v>
      </c>
      <c r="D15" s="37" t="s">
        <v>371</v>
      </c>
      <c r="E15" s="39">
        <v>20</v>
      </c>
      <c r="F15" s="40">
        <v>24</v>
      </c>
      <c r="G15" s="40">
        <v>28</v>
      </c>
      <c r="H15" s="41">
        <v>3370</v>
      </c>
      <c r="I15" s="41"/>
      <c r="J15" s="41">
        <f>TS[[#This Row],[转运费]]*LOOKUP(TS[[#This Row],[币种]]&amp;"-",{"-","EUR-","USD-","ZAR-"},{1,1.163,1,0.06792})</f>
        <v>3370</v>
      </c>
      <c r="K15" s="42"/>
      <c r="L15" s="42" t="s">
        <v>2334</v>
      </c>
    </row>
    <row r="16" spans="1:12" ht="15.75" hidden="1" customHeight="1" x14ac:dyDescent="0.15">
      <c r="A16" s="37" t="s">
        <v>2332</v>
      </c>
      <c r="B16" s="37" t="s">
        <v>2333</v>
      </c>
      <c r="C16" s="38" t="s">
        <v>476</v>
      </c>
      <c r="D16" s="37" t="s">
        <v>371</v>
      </c>
      <c r="E16" s="39">
        <v>40</v>
      </c>
      <c r="F16" s="40">
        <v>0</v>
      </c>
      <c r="G16" s="40">
        <v>22</v>
      </c>
      <c r="H16" s="41">
        <v>3940</v>
      </c>
      <c r="I16" s="41"/>
      <c r="J16" s="41">
        <f>TS[[#This Row],[转运费]]*LOOKUP(TS[[#This Row],[币种]]&amp;"-",{"-","EUR-","USD-","ZAR-"},{1,1.163,1,0.06792})</f>
        <v>3940</v>
      </c>
      <c r="K16" s="42"/>
      <c r="L16" s="42" t="s">
        <v>2334</v>
      </c>
    </row>
    <row r="17" spans="1:12" ht="15.75" hidden="1" customHeight="1" x14ac:dyDescent="0.15">
      <c r="A17" s="37" t="s">
        <v>2332</v>
      </c>
      <c r="B17" s="37" t="s">
        <v>2333</v>
      </c>
      <c r="C17" s="38" t="s">
        <v>476</v>
      </c>
      <c r="D17" s="37" t="s">
        <v>371</v>
      </c>
      <c r="E17" s="39">
        <v>40</v>
      </c>
      <c r="F17" s="40">
        <v>22</v>
      </c>
      <c r="G17" s="40">
        <v>26</v>
      </c>
      <c r="H17" s="41">
        <v>4020</v>
      </c>
      <c r="I17" s="41"/>
      <c r="J17" s="41">
        <f>TS[[#This Row],[转运费]]*LOOKUP(TS[[#This Row],[币种]]&amp;"-",{"-","EUR-","USD-","ZAR-"},{1,1.163,1,0.06792})</f>
        <v>4020</v>
      </c>
      <c r="K17" s="42"/>
      <c r="L17" s="42" t="s">
        <v>2334</v>
      </c>
    </row>
    <row r="18" spans="1:12" ht="15.75" hidden="1" customHeight="1" x14ac:dyDescent="0.15">
      <c r="A18" s="37" t="s">
        <v>2335</v>
      </c>
      <c r="B18" s="37" t="s">
        <v>2336</v>
      </c>
      <c r="C18" s="38" t="s">
        <v>477</v>
      </c>
      <c r="D18" s="37" t="s">
        <v>383</v>
      </c>
      <c r="E18" s="39">
        <v>20</v>
      </c>
      <c r="F18" s="40">
        <v>0</v>
      </c>
      <c r="G18" s="40">
        <v>13.5</v>
      </c>
      <c r="H18" s="41">
        <v>2650</v>
      </c>
      <c r="I18" s="41"/>
      <c r="J18" s="41">
        <f>TS[[#This Row],[转运费]]*LOOKUP(TS[[#This Row],[币种]]&amp;"-",{"-","EUR-","USD-","ZAR-"},{1,1.163,1,0.06792})</f>
        <v>2650</v>
      </c>
      <c r="K18" s="42"/>
      <c r="L18" s="42" t="s">
        <v>479</v>
      </c>
    </row>
    <row r="19" spans="1:12" ht="15.75" hidden="1" customHeight="1" x14ac:dyDescent="0.15">
      <c r="A19" s="37" t="s">
        <v>2335</v>
      </c>
      <c r="B19" s="37" t="s">
        <v>2336</v>
      </c>
      <c r="C19" s="38" t="s">
        <v>477</v>
      </c>
      <c r="D19" s="37" t="s">
        <v>383</v>
      </c>
      <c r="E19" s="39">
        <v>20</v>
      </c>
      <c r="F19" s="40">
        <v>13.5</v>
      </c>
      <c r="G19" s="40">
        <v>27</v>
      </c>
      <c r="H19" s="41">
        <v>4200</v>
      </c>
      <c r="I19" s="41"/>
      <c r="J19" s="41">
        <f>TS[[#This Row],[转运费]]*LOOKUP(TS[[#This Row],[币种]]&amp;"-",{"-","EUR-","USD-","ZAR-"},{1,1.163,1,0.06792})</f>
        <v>4200</v>
      </c>
      <c r="K19" s="42"/>
      <c r="L19" s="42" t="s">
        <v>479</v>
      </c>
    </row>
    <row r="20" spans="1:12" ht="15.75" hidden="1" customHeight="1" x14ac:dyDescent="0.15">
      <c r="A20" s="37" t="s">
        <v>2335</v>
      </c>
      <c r="B20" s="37" t="s">
        <v>2336</v>
      </c>
      <c r="C20" s="38" t="s">
        <v>477</v>
      </c>
      <c r="D20" s="37" t="s">
        <v>383</v>
      </c>
      <c r="E20" s="39">
        <v>40</v>
      </c>
      <c r="F20" s="40">
        <v>0</v>
      </c>
      <c r="G20" s="40">
        <v>27</v>
      </c>
      <c r="H20" s="41">
        <v>4400</v>
      </c>
      <c r="I20" s="41"/>
      <c r="J20" s="41">
        <f>TS[[#This Row],[转运费]]*LOOKUP(TS[[#This Row],[币种]]&amp;"-",{"-","EUR-","USD-","ZAR-"},{1,1.163,1,0.06792})</f>
        <v>4400</v>
      </c>
      <c r="K20" s="42"/>
      <c r="L20" s="42" t="s">
        <v>479</v>
      </c>
    </row>
    <row r="21" spans="1:12" ht="15.75" hidden="1" customHeight="1" x14ac:dyDescent="0.15">
      <c r="A21" s="37" t="s">
        <v>2337</v>
      </c>
      <c r="B21" s="37" t="s">
        <v>2338</v>
      </c>
      <c r="C21" s="38" t="s">
        <v>477</v>
      </c>
      <c r="D21" s="37" t="s">
        <v>380</v>
      </c>
      <c r="E21" s="39">
        <v>20</v>
      </c>
      <c r="F21" s="40">
        <v>0</v>
      </c>
      <c r="G21" s="40">
        <v>13.5</v>
      </c>
      <c r="H21" s="41">
        <v>3400</v>
      </c>
      <c r="I21" s="41"/>
      <c r="J21" s="41">
        <f>TS[[#This Row],[转运费]]*LOOKUP(TS[[#This Row],[币种]]&amp;"-",{"-","EUR-","USD-","ZAR-"},{1,1.163,1,0.06792})</f>
        <v>3400</v>
      </c>
      <c r="K21" s="42"/>
      <c r="L21" s="43"/>
    </row>
    <row r="22" spans="1:12" ht="15.75" hidden="1" customHeight="1" x14ac:dyDescent="0.15">
      <c r="A22" s="37" t="s">
        <v>2337</v>
      </c>
      <c r="B22" s="37" t="s">
        <v>2338</v>
      </c>
      <c r="C22" s="38" t="s">
        <v>477</v>
      </c>
      <c r="D22" s="37" t="s">
        <v>380</v>
      </c>
      <c r="E22" s="39">
        <v>20</v>
      </c>
      <c r="F22" s="40">
        <v>13.5</v>
      </c>
      <c r="G22" s="40">
        <v>27</v>
      </c>
      <c r="H22" s="41">
        <v>5700</v>
      </c>
      <c r="I22" s="41"/>
      <c r="J22" s="41">
        <f>TS[[#This Row],[转运费]]*LOOKUP(TS[[#This Row],[币种]]&amp;"-",{"-","EUR-","USD-","ZAR-"},{1,1.163,1,0.06792})</f>
        <v>5700</v>
      </c>
      <c r="K22" s="42"/>
      <c r="L22" s="43"/>
    </row>
    <row r="23" spans="1:12" ht="15.75" hidden="1" customHeight="1" x14ac:dyDescent="0.15">
      <c r="A23" s="37" t="s">
        <v>2337</v>
      </c>
      <c r="B23" s="37" t="s">
        <v>2338</v>
      </c>
      <c r="C23" s="38" t="s">
        <v>477</v>
      </c>
      <c r="D23" s="37" t="s">
        <v>380</v>
      </c>
      <c r="E23" s="39">
        <v>40</v>
      </c>
      <c r="F23" s="40">
        <v>0</v>
      </c>
      <c r="G23" s="40">
        <v>28</v>
      </c>
      <c r="H23" s="41">
        <v>5900</v>
      </c>
      <c r="I23" s="41"/>
      <c r="J23" s="41">
        <f>TS[[#This Row],[转运费]]*LOOKUP(TS[[#This Row],[币种]]&amp;"-",{"-","EUR-","USD-","ZAR-"},{1,1.163,1,0.06792})</f>
        <v>5900</v>
      </c>
      <c r="K23" s="42"/>
      <c r="L23" s="43"/>
    </row>
    <row r="24" spans="1:12" ht="15.75" hidden="1" customHeight="1" x14ac:dyDescent="0.15">
      <c r="A24" s="37" t="s">
        <v>2337</v>
      </c>
      <c r="B24" s="37" t="s">
        <v>2338</v>
      </c>
      <c r="C24" s="38" t="s">
        <v>477</v>
      </c>
      <c r="D24" s="37" t="s">
        <v>383</v>
      </c>
      <c r="E24" s="39">
        <v>20</v>
      </c>
      <c r="F24" s="40">
        <v>0</v>
      </c>
      <c r="G24" s="40">
        <v>13.5</v>
      </c>
      <c r="H24" s="41">
        <v>3600</v>
      </c>
      <c r="I24" s="41"/>
      <c r="J24" s="41">
        <f>TS[[#This Row],[转运费]]*LOOKUP(TS[[#This Row],[币种]]&amp;"-",{"-","EUR-","USD-","ZAR-"},{1,1.163,1,0.06792})</f>
        <v>3600</v>
      </c>
      <c r="K24" s="42"/>
      <c r="L24" s="42" t="s">
        <v>478</v>
      </c>
    </row>
    <row r="25" spans="1:12" ht="15.75" hidden="1" customHeight="1" x14ac:dyDescent="0.15">
      <c r="A25" s="37" t="s">
        <v>2337</v>
      </c>
      <c r="B25" s="37" t="s">
        <v>2338</v>
      </c>
      <c r="C25" s="38" t="s">
        <v>477</v>
      </c>
      <c r="D25" s="37" t="s">
        <v>383</v>
      </c>
      <c r="E25" s="39">
        <v>20</v>
      </c>
      <c r="F25" s="40">
        <v>13.5</v>
      </c>
      <c r="G25" s="40">
        <v>27</v>
      </c>
      <c r="H25" s="41">
        <v>6200</v>
      </c>
      <c r="I25" s="41"/>
      <c r="J25" s="41">
        <f>TS[[#This Row],[转运费]]*LOOKUP(TS[[#This Row],[币种]]&amp;"-",{"-","EUR-","USD-","ZAR-"},{1,1.163,1,0.06792})</f>
        <v>6200</v>
      </c>
      <c r="K25" s="42"/>
      <c r="L25" s="42" t="s">
        <v>478</v>
      </c>
    </row>
    <row r="26" spans="1:12" ht="15.75" hidden="1" customHeight="1" x14ac:dyDescent="0.15">
      <c r="A26" s="37" t="s">
        <v>2337</v>
      </c>
      <c r="B26" s="37" t="s">
        <v>2338</v>
      </c>
      <c r="C26" s="38" t="s">
        <v>477</v>
      </c>
      <c r="D26" s="37" t="s">
        <v>383</v>
      </c>
      <c r="E26" s="39">
        <v>40</v>
      </c>
      <c r="F26" s="40">
        <v>0</v>
      </c>
      <c r="G26" s="40">
        <v>27</v>
      </c>
      <c r="H26" s="41">
        <v>6500</v>
      </c>
      <c r="I26" s="41"/>
      <c r="J26" s="41">
        <f>TS[[#This Row],[转运费]]*LOOKUP(TS[[#This Row],[币种]]&amp;"-",{"-","EUR-","USD-","ZAR-"},{1,1.163,1,0.06792})</f>
        <v>6500</v>
      </c>
      <c r="K26" s="42"/>
      <c r="L26" s="42" t="s">
        <v>478</v>
      </c>
    </row>
    <row r="27" spans="1:12" ht="15.75" hidden="1" customHeight="1" x14ac:dyDescent="0.15">
      <c r="A27" s="37" t="s">
        <v>2337</v>
      </c>
      <c r="B27" s="37" t="s">
        <v>2339</v>
      </c>
      <c r="C27" s="38" t="s">
        <v>477</v>
      </c>
      <c r="D27" s="37" t="s">
        <v>380</v>
      </c>
      <c r="E27" s="39">
        <v>20</v>
      </c>
      <c r="F27" s="40">
        <v>0</v>
      </c>
      <c r="G27" s="40">
        <v>13.5</v>
      </c>
      <c r="H27" s="41">
        <v>3300</v>
      </c>
      <c r="I27" s="41"/>
      <c r="J27" s="41">
        <f>TS[[#This Row],[转运费]]*LOOKUP(TS[[#This Row],[币种]]&amp;"-",{"-","EUR-","USD-","ZAR-"},{1,1.163,1,0.06792})</f>
        <v>3300</v>
      </c>
      <c r="K27" s="42"/>
      <c r="L27" s="43"/>
    </row>
    <row r="28" spans="1:12" ht="15.75" hidden="1" customHeight="1" x14ac:dyDescent="0.15">
      <c r="A28" s="37" t="s">
        <v>2337</v>
      </c>
      <c r="B28" s="37" t="s">
        <v>2339</v>
      </c>
      <c r="C28" s="38" t="s">
        <v>477</v>
      </c>
      <c r="D28" s="37" t="s">
        <v>380</v>
      </c>
      <c r="E28" s="39">
        <v>20</v>
      </c>
      <c r="F28" s="40">
        <v>13.5</v>
      </c>
      <c r="G28" s="40">
        <v>27</v>
      </c>
      <c r="H28" s="41">
        <v>5600</v>
      </c>
      <c r="I28" s="41"/>
      <c r="J28" s="41">
        <f>TS[[#This Row],[转运费]]*LOOKUP(TS[[#This Row],[币种]]&amp;"-",{"-","EUR-","USD-","ZAR-"},{1,1.163,1,0.06792})</f>
        <v>5600</v>
      </c>
      <c r="K28" s="42"/>
      <c r="L28" s="43"/>
    </row>
    <row r="29" spans="1:12" ht="15.75" hidden="1" customHeight="1" x14ac:dyDescent="0.15">
      <c r="A29" s="37" t="s">
        <v>2337</v>
      </c>
      <c r="B29" s="37" t="s">
        <v>2339</v>
      </c>
      <c r="C29" s="38" t="s">
        <v>477</v>
      </c>
      <c r="D29" s="37" t="s">
        <v>380</v>
      </c>
      <c r="E29" s="39">
        <v>40</v>
      </c>
      <c r="F29" s="40">
        <v>0</v>
      </c>
      <c r="G29" s="40">
        <v>28</v>
      </c>
      <c r="H29" s="41">
        <v>5800</v>
      </c>
      <c r="I29" s="41"/>
      <c r="J29" s="41">
        <f>TS[[#This Row],[转运费]]*LOOKUP(TS[[#This Row],[币种]]&amp;"-",{"-","EUR-","USD-","ZAR-"},{1,1.163,1,0.06792})</f>
        <v>5800</v>
      </c>
      <c r="K29" s="42"/>
      <c r="L29" s="43"/>
    </row>
    <row r="30" spans="1:12" ht="15.75" hidden="1" customHeight="1" x14ac:dyDescent="0.15">
      <c r="A30" s="37" t="s">
        <v>2337</v>
      </c>
      <c r="B30" s="37" t="s">
        <v>2339</v>
      </c>
      <c r="C30" s="38" t="s">
        <v>477</v>
      </c>
      <c r="D30" s="37" t="s">
        <v>383</v>
      </c>
      <c r="E30" s="39">
        <v>20</v>
      </c>
      <c r="F30" s="40">
        <v>0</v>
      </c>
      <c r="G30" s="40">
        <v>13.5</v>
      </c>
      <c r="H30" s="41">
        <v>3700</v>
      </c>
      <c r="I30" s="41"/>
      <c r="J30" s="41">
        <f>TS[[#This Row],[转运费]]*LOOKUP(TS[[#This Row],[币种]]&amp;"-",{"-","EUR-","USD-","ZAR-"},{1,1.163,1,0.06792})</f>
        <v>3700</v>
      </c>
      <c r="K30" s="42"/>
      <c r="L30" s="42" t="s">
        <v>478</v>
      </c>
    </row>
    <row r="31" spans="1:12" ht="15.75" hidden="1" customHeight="1" x14ac:dyDescent="0.15">
      <c r="A31" s="37" t="s">
        <v>2337</v>
      </c>
      <c r="B31" s="37" t="s">
        <v>2339</v>
      </c>
      <c r="C31" s="38" t="s">
        <v>477</v>
      </c>
      <c r="D31" s="37" t="s">
        <v>383</v>
      </c>
      <c r="E31" s="39">
        <v>20</v>
      </c>
      <c r="F31" s="40">
        <v>13.5</v>
      </c>
      <c r="G31" s="40">
        <v>27</v>
      </c>
      <c r="H31" s="41">
        <v>6200</v>
      </c>
      <c r="I31" s="41"/>
      <c r="J31" s="41">
        <f>TS[[#This Row],[转运费]]*LOOKUP(TS[[#This Row],[币种]]&amp;"-",{"-","EUR-","USD-","ZAR-"},{1,1.163,1,0.06792})</f>
        <v>6200</v>
      </c>
      <c r="K31" s="42"/>
      <c r="L31" s="42" t="s">
        <v>478</v>
      </c>
    </row>
    <row r="32" spans="1:12" ht="15.75" hidden="1" customHeight="1" x14ac:dyDescent="0.15">
      <c r="A32" s="37" t="s">
        <v>2337</v>
      </c>
      <c r="B32" s="37" t="s">
        <v>2339</v>
      </c>
      <c r="C32" s="38" t="s">
        <v>477</v>
      </c>
      <c r="D32" s="37" t="s">
        <v>383</v>
      </c>
      <c r="E32" s="39">
        <v>40</v>
      </c>
      <c r="F32" s="40">
        <v>0</v>
      </c>
      <c r="G32" s="40">
        <v>27</v>
      </c>
      <c r="H32" s="41">
        <v>6500</v>
      </c>
      <c r="I32" s="41"/>
      <c r="J32" s="41">
        <f>TS[[#This Row],[转运费]]*LOOKUP(TS[[#This Row],[币种]]&amp;"-",{"-","EUR-","USD-","ZAR-"},{1,1.163,1,0.06792})</f>
        <v>6500</v>
      </c>
      <c r="K32" s="42"/>
      <c r="L32" s="42" t="s">
        <v>478</v>
      </c>
    </row>
    <row r="33" spans="1:12" ht="15.75" hidden="1" customHeight="1" x14ac:dyDescent="0.15">
      <c r="A33" s="37" t="s">
        <v>2337</v>
      </c>
      <c r="B33" s="37" t="s">
        <v>2340</v>
      </c>
      <c r="C33" s="38" t="s">
        <v>481</v>
      </c>
      <c r="D33" s="37" t="s">
        <v>475</v>
      </c>
      <c r="E33" s="39">
        <v>20</v>
      </c>
      <c r="F33" s="40">
        <v>0</v>
      </c>
      <c r="G33" s="40">
        <v>27</v>
      </c>
      <c r="H33" s="41">
        <v>3950</v>
      </c>
      <c r="I33" s="41"/>
      <c r="J33" s="41">
        <f>TS[[#This Row],[转运费]]*LOOKUP(TS[[#This Row],[币种]]&amp;"-",{"-","EUR-","USD-","ZAR-"},{1,1.163,1,0.06792})</f>
        <v>3950</v>
      </c>
      <c r="K33" s="42"/>
      <c r="L33" s="42" t="s">
        <v>480</v>
      </c>
    </row>
    <row r="34" spans="1:12" ht="15.75" hidden="1" customHeight="1" x14ac:dyDescent="0.15">
      <c r="A34" s="37" t="s">
        <v>2337</v>
      </c>
      <c r="B34" s="37" t="s">
        <v>2340</v>
      </c>
      <c r="C34" s="38" t="s">
        <v>483</v>
      </c>
      <c r="D34" s="37" t="s">
        <v>371</v>
      </c>
      <c r="E34" s="39">
        <v>40</v>
      </c>
      <c r="F34" s="40">
        <v>0</v>
      </c>
      <c r="G34" s="40">
        <v>28</v>
      </c>
      <c r="H34" s="41">
        <v>6300</v>
      </c>
      <c r="I34" s="41"/>
      <c r="J34" s="41">
        <f>TS[[#This Row],[转运费]]*LOOKUP(TS[[#This Row],[币种]]&amp;"-",{"-","EUR-","USD-","ZAR-"},{1,1.163,1,0.06792})</f>
        <v>6300</v>
      </c>
      <c r="K34" s="42"/>
      <c r="L34" s="42" t="s">
        <v>480</v>
      </c>
    </row>
    <row r="35" spans="1:12" ht="15.75" hidden="1" customHeight="1" x14ac:dyDescent="0.15">
      <c r="A35" s="37" t="s">
        <v>2337</v>
      </c>
      <c r="B35" s="37" t="s">
        <v>2341</v>
      </c>
      <c r="C35" s="38" t="s">
        <v>477</v>
      </c>
      <c r="D35" s="37" t="s">
        <v>380</v>
      </c>
      <c r="E35" s="39">
        <v>20</v>
      </c>
      <c r="F35" s="40">
        <v>0</v>
      </c>
      <c r="G35" s="40">
        <v>13.5</v>
      </c>
      <c r="H35" s="41">
        <v>5000</v>
      </c>
      <c r="I35" s="41"/>
      <c r="J35" s="41">
        <f>TS[[#This Row],[转运费]]*LOOKUP(TS[[#This Row],[币种]]&amp;"-",{"-","EUR-","USD-","ZAR-"},{1,1.163,1,0.06792})</f>
        <v>5000</v>
      </c>
      <c r="K35" s="42"/>
      <c r="L35" s="43"/>
    </row>
    <row r="36" spans="1:12" ht="15.75" hidden="1" customHeight="1" x14ac:dyDescent="0.15">
      <c r="A36" s="37" t="s">
        <v>2337</v>
      </c>
      <c r="B36" s="37" t="s">
        <v>2341</v>
      </c>
      <c r="C36" s="38" t="s">
        <v>477</v>
      </c>
      <c r="D36" s="37" t="s">
        <v>380</v>
      </c>
      <c r="E36" s="39">
        <v>20</v>
      </c>
      <c r="F36" s="40">
        <v>13.5</v>
      </c>
      <c r="G36" s="40">
        <v>27</v>
      </c>
      <c r="H36" s="41">
        <v>8500</v>
      </c>
      <c r="I36" s="41"/>
      <c r="J36" s="41">
        <f>TS[[#This Row],[转运费]]*LOOKUP(TS[[#This Row],[币种]]&amp;"-",{"-","EUR-","USD-","ZAR-"},{1,1.163,1,0.06792})</f>
        <v>8500</v>
      </c>
      <c r="K36" s="42"/>
      <c r="L36" s="43"/>
    </row>
    <row r="37" spans="1:12" ht="15.75" hidden="1" customHeight="1" x14ac:dyDescent="0.15">
      <c r="A37" s="37" t="s">
        <v>2337</v>
      </c>
      <c r="B37" s="37" t="s">
        <v>2341</v>
      </c>
      <c r="C37" s="38" t="s">
        <v>477</v>
      </c>
      <c r="D37" s="37" t="s">
        <v>380</v>
      </c>
      <c r="E37" s="39">
        <v>40</v>
      </c>
      <c r="F37" s="40">
        <v>0</v>
      </c>
      <c r="G37" s="40">
        <v>28</v>
      </c>
      <c r="H37" s="41">
        <v>8800</v>
      </c>
      <c r="I37" s="41"/>
      <c r="J37" s="41">
        <f>TS[[#This Row],[转运费]]*LOOKUP(TS[[#This Row],[币种]]&amp;"-",{"-","EUR-","USD-","ZAR-"},{1,1.163,1,0.06792})</f>
        <v>8800</v>
      </c>
      <c r="K37" s="42"/>
      <c r="L37" s="43"/>
    </row>
    <row r="38" spans="1:12" ht="15.75" hidden="1" customHeight="1" x14ac:dyDescent="0.15">
      <c r="A38" s="37" t="s">
        <v>2337</v>
      </c>
      <c r="B38" s="37" t="s">
        <v>2342</v>
      </c>
      <c r="C38" s="38" t="s">
        <v>477</v>
      </c>
      <c r="D38" s="37" t="s">
        <v>380</v>
      </c>
      <c r="E38" s="39">
        <v>20</v>
      </c>
      <c r="F38" s="40">
        <v>0</v>
      </c>
      <c r="G38" s="40">
        <v>13.5</v>
      </c>
      <c r="H38" s="41">
        <v>4600</v>
      </c>
      <c r="I38" s="41"/>
      <c r="J38" s="41">
        <f>TS[[#This Row],[转运费]]*LOOKUP(TS[[#This Row],[币种]]&amp;"-",{"-","EUR-","USD-","ZAR-"},{1,1.163,1,0.06792})</f>
        <v>4600</v>
      </c>
      <c r="K38" s="42"/>
      <c r="L38" s="43"/>
    </row>
    <row r="39" spans="1:12" ht="15.75" hidden="1" customHeight="1" x14ac:dyDescent="0.15">
      <c r="A39" s="37" t="s">
        <v>2337</v>
      </c>
      <c r="B39" s="37" t="s">
        <v>2342</v>
      </c>
      <c r="C39" s="38" t="s">
        <v>477</v>
      </c>
      <c r="D39" s="37" t="s">
        <v>380</v>
      </c>
      <c r="E39" s="39">
        <v>20</v>
      </c>
      <c r="F39" s="40">
        <v>13.5</v>
      </c>
      <c r="G39" s="40">
        <v>27</v>
      </c>
      <c r="H39" s="41">
        <v>7750</v>
      </c>
      <c r="I39" s="41"/>
      <c r="J39" s="41">
        <f>TS[[#This Row],[转运费]]*LOOKUP(TS[[#This Row],[币种]]&amp;"-",{"-","EUR-","USD-","ZAR-"},{1,1.163,1,0.06792})</f>
        <v>7750</v>
      </c>
      <c r="K39" s="42"/>
      <c r="L39" s="43"/>
    </row>
    <row r="40" spans="1:12" ht="15.75" hidden="1" customHeight="1" x14ac:dyDescent="0.15">
      <c r="A40" s="37" t="s">
        <v>2337</v>
      </c>
      <c r="B40" s="37" t="s">
        <v>2342</v>
      </c>
      <c r="C40" s="38" t="s">
        <v>477</v>
      </c>
      <c r="D40" s="37" t="s">
        <v>380</v>
      </c>
      <c r="E40" s="39">
        <v>40</v>
      </c>
      <c r="F40" s="40">
        <v>0</v>
      </c>
      <c r="G40" s="40">
        <v>28</v>
      </c>
      <c r="H40" s="41">
        <v>8000</v>
      </c>
      <c r="I40" s="41"/>
      <c r="J40" s="41">
        <f>TS[[#This Row],[转运费]]*LOOKUP(TS[[#This Row],[币种]]&amp;"-",{"-","EUR-","USD-","ZAR-"},{1,1.163,1,0.06792})</f>
        <v>8000</v>
      </c>
      <c r="K40" s="42"/>
      <c r="L40" s="43"/>
    </row>
    <row r="41" spans="1:12" ht="15.75" hidden="1" customHeight="1" x14ac:dyDescent="0.15">
      <c r="A41" s="37" t="s">
        <v>2337</v>
      </c>
      <c r="B41" s="37" t="s">
        <v>2342</v>
      </c>
      <c r="C41" s="38" t="s">
        <v>477</v>
      </c>
      <c r="D41" s="37" t="s">
        <v>383</v>
      </c>
      <c r="E41" s="39">
        <v>20</v>
      </c>
      <c r="F41" s="40">
        <v>0</v>
      </c>
      <c r="G41" s="40">
        <v>13.5</v>
      </c>
      <c r="H41" s="41">
        <v>4900</v>
      </c>
      <c r="I41" s="41"/>
      <c r="J41" s="41">
        <f>TS[[#This Row],[转运费]]*LOOKUP(TS[[#This Row],[币种]]&amp;"-",{"-","EUR-","USD-","ZAR-"},{1,1.163,1,0.06792})</f>
        <v>4900</v>
      </c>
      <c r="K41" s="42"/>
      <c r="L41" s="42" t="s">
        <v>478</v>
      </c>
    </row>
    <row r="42" spans="1:12" ht="15.75" hidden="1" customHeight="1" x14ac:dyDescent="0.15">
      <c r="A42" s="37" t="s">
        <v>2337</v>
      </c>
      <c r="B42" s="37" t="s">
        <v>2342</v>
      </c>
      <c r="C42" s="38" t="s">
        <v>477</v>
      </c>
      <c r="D42" s="37" t="s">
        <v>383</v>
      </c>
      <c r="E42" s="39">
        <v>20</v>
      </c>
      <c r="F42" s="40">
        <v>13.5</v>
      </c>
      <c r="G42" s="40">
        <v>27</v>
      </c>
      <c r="H42" s="41">
        <v>8300</v>
      </c>
      <c r="I42" s="41"/>
      <c r="J42" s="41">
        <f>TS[[#This Row],[转运费]]*LOOKUP(TS[[#This Row],[币种]]&amp;"-",{"-","EUR-","USD-","ZAR-"},{1,1.163,1,0.06792})</f>
        <v>8300</v>
      </c>
      <c r="K42" s="42"/>
      <c r="L42" s="42" t="s">
        <v>478</v>
      </c>
    </row>
    <row r="43" spans="1:12" ht="15.75" hidden="1" customHeight="1" x14ac:dyDescent="0.15">
      <c r="A43" s="37" t="s">
        <v>2337</v>
      </c>
      <c r="B43" s="37" t="s">
        <v>2342</v>
      </c>
      <c r="C43" s="38" t="s">
        <v>477</v>
      </c>
      <c r="D43" s="37" t="s">
        <v>383</v>
      </c>
      <c r="E43" s="39">
        <v>40</v>
      </c>
      <c r="F43" s="40">
        <v>0</v>
      </c>
      <c r="G43" s="40">
        <v>27</v>
      </c>
      <c r="H43" s="41">
        <v>8500</v>
      </c>
      <c r="I43" s="41"/>
      <c r="J43" s="41">
        <f>TS[[#This Row],[转运费]]*LOOKUP(TS[[#This Row],[币种]]&amp;"-",{"-","EUR-","USD-","ZAR-"},{1,1.163,1,0.06792})</f>
        <v>8500</v>
      </c>
      <c r="K43" s="42"/>
      <c r="L43" s="42" t="s">
        <v>478</v>
      </c>
    </row>
    <row r="44" spans="1:12" ht="15.75" hidden="1" customHeight="1" x14ac:dyDescent="0.15">
      <c r="A44" s="37" t="s">
        <v>2337</v>
      </c>
      <c r="B44" s="37" t="s">
        <v>2343</v>
      </c>
      <c r="C44" s="38" t="s">
        <v>477</v>
      </c>
      <c r="D44" s="37" t="s">
        <v>380</v>
      </c>
      <c r="E44" s="39">
        <v>20</v>
      </c>
      <c r="F44" s="40">
        <v>0</v>
      </c>
      <c r="G44" s="40">
        <v>13.5</v>
      </c>
      <c r="H44" s="41">
        <v>4100</v>
      </c>
      <c r="I44" s="41"/>
      <c r="J44" s="41">
        <f>TS[[#This Row],[转运费]]*LOOKUP(TS[[#This Row],[币种]]&amp;"-",{"-","EUR-","USD-","ZAR-"},{1,1.163,1,0.06792})</f>
        <v>4100</v>
      </c>
      <c r="K44" s="42"/>
      <c r="L44" s="43"/>
    </row>
    <row r="45" spans="1:12" ht="15.75" hidden="1" customHeight="1" x14ac:dyDescent="0.15">
      <c r="A45" s="37" t="s">
        <v>2337</v>
      </c>
      <c r="B45" s="37" t="s">
        <v>2343</v>
      </c>
      <c r="C45" s="38" t="s">
        <v>477</v>
      </c>
      <c r="D45" s="37" t="s">
        <v>380</v>
      </c>
      <c r="E45" s="39">
        <v>20</v>
      </c>
      <c r="F45" s="40">
        <v>13.5</v>
      </c>
      <c r="G45" s="40">
        <v>27</v>
      </c>
      <c r="H45" s="41">
        <v>7000</v>
      </c>
      <c r="I45" s="41"/>
      <c r="J45" s="41">
        <f>TS[[#This Row],[转运费]]*LOOKUP(TS[[#This Row],[币种]]&amp;"-",{"-","EUR-","USD-","ZAR-"},{1,1.163,1,0.06792})</f>
        <v>7000</v>
      </c>
      <c r="K45" s="42"/>
      <c r="L45" s="43"/>
    </row>
    <row r="46" spans="1:12" ht="15.75" hidden="1" customHeight="1" x14ac:dyDescent="0.15">
      <c r="A46" s="37" t="s">
        <v>2337</v>
      </c>
      <c r="B46" s="37" t="s">
        <v>2343</v>
      </c>
      <c r="C46" s="38" t="s">
        <v>477</v>
      </c>
      <c r="D46" s="37" t="s">
        <v>380</v>
      </c>
      <c r="E46" s="39">
        <v>40</v>
      </c>
      <c r="F46" s="40">
        <v>0</v>
      </c>
      <c r="G46" s="40">
        <v>28</v>
      </c>
      <c r="H46" s="41">
        <v>7200</v>
      </c>
      <c r="I46" s="41"/>
      <c r="J46" s="41">
        <f>TS[[#This Row],[转运费]]*LOOKUP(TS[[#This Row],[币种]]&amp;"-",{"-","EUR-","USD-","ZAR-"},{1,1.163,1,0.06792})</f>
        <v>7200</v>
      </c>
      <c r="K46" s="42"/>
      <c r="L46" s="43"/>
    </row>
    <row r="47" spans="1:12" ht="15.75" hidden="1" customHeight="1" x14ac:dyDescent="0.15">
      <c r="A47" s="37" t="s">
        <v>2337</v>
      </c>
      <c r="B47" s="37" t="s">
        <v>2343</v>
      </c>
      <c r="C47" s="38" t="s">
        <v>477</v>
      </c>
      <c r="D47" s="37" t="s">
        <v>383</v>
      </c>
      <c r="E47" s="39">
        <v>20</v>
      </c>
      <c r="F47" s="40">
        <v>0</v>
      </c>
      <c r="G47" s="40">
        <v>13.5</v>
      </c>
      <c r="H47" s="41">
        <v>4300</v>
      </c>
      <c r="I47" s="41"/>
      <c r="J47" s="41">
        <f>TS[[#This Row],[转运费]]*LOOKUP(TS[[#This Row],[币种]]&amp;"-",{"-","EUR-","USD-","ZAR-"},{1,1.163,1,0.06792})</f>
        <v>4300</v>
      </c>
      <c r="K47" s="42"/>
      <c r="L47" s="42" t="s">
        <v>478</v>
      </c>
    </row>
    <row r="48" spans="1:12" ht="15.75" hidden="1" customHeight="1" x14ac:dyDescent="0.15">
      <c r="A48" s="37" t="s">
        <v>2337</v>
      </c>
      <c r="B48" s="37" t="s">
        <v>2343</v>
      </c>
      <c r="C48" s="38" t="s">
        <v>477</v>
      </c>
      <c r="D48" s="37" t="s">
        <v>383</v>
      </c>
      <c r="E48" s="39">
        <v>20</v>
      </c>
      <c r="F48" s="40">
        <v>13.5</v>
      </c>
      <c r="G48" s="40">
        <v>27</v>
      </c>
      <c r="H48" s="41">
        <v>7150</v>
      </c>
      <c r="I48" s="41"/>
      <c r="J48" s="41">
        <f>TS[[#This Row],[转运费]]*LOOKUP(TS[[#This Row],[币种]]&amp;"-",{"-","EUR-","USD-","ZAR-"},{1,1.163,1,0.06792})</f>
        <v>7150</v>
      </c>
      <c r="K48" s="42"/>
      <c r="L48" s="42" t="s">
        <v>478</v>
      </c>
    </row>
    <row r="49" spans="1:12" ht="15.75" hidden="1" customHeight="1" x14ac:dyDescent="0.15">
      <c r="A49" s="37" t="s">
        <v>2337</v>
      </c>
      <c r="B49" s="37" t="s">
        <v>2343</v>
      </c>
      <c r="C49" s="38" t="s">
        <v>477</v>
      </c>
      <c r="D49" s="37" t="s">
        <v>383</v>
      </c>
      <c r="E49" s="39">
        <v>40</v>
      </c>
      <c r="F49" s="40">
        <v>0</v>
      </c>
      <c r="G49" s="40">
        <v>27</v>
      </c>
      <c r="H49" s="41">
        <v>7500</v>
      </c>
      <c r="I49" s="41"/>
      <c r="J49" s="41">
        <f>TS[[#This Row],[转运费]]*LOOKUP(TS[[#This Row],[币种]]&amp;"-",{"-","EUR-","USD-","ZAR-"},{1,1.163,1,0.06792})</f>
        <v>7500</v>
      </c>
      <c r="K49" s="42"/>
      <c r="L49" s="42" t="s">
        <v>478</v>
      </c>
    </row>
    <row r="50" spans="1:12" ht="15.75" hidden="1" customHeight="1" x14ac:dyDescent="0.15">
      <c r="A50" s="37" t="s">
        <v>6</v>
      </c>
      <c r="B50" s="37" t="s">
        <v>2344</v>
      </c>
      <c r="C50" s="38" t="s">
        <v>533</v>
      </c>
      <c r="D50" s="44" t="s">
        <v>3249</v>
      </c>
      <c r="E50" s="45">
        <v>20</v>
      </c>
      <c r="F50" s="46">
        <v>0</v>
      </c>
      <c r="G50" s="46">
        <v>30</v>
      </c>
      <c r="H50" s="47">
        <v>600</v>
      </c>
      <c r="I50" s="47"/>
      <c r="J50" s="47">
        <f>TS[[#This Row],[转运费]]*LOOKUP(TS[[#This Row],[币种]]&amp;"-",{"-","EUR-","USD-","ZAR-"},{1,1.163,1,0.06792})</f>
        <v>600</v>
      </c>
      <c r="K50" s="48"/>
      <c r="L50" s="42" t="s">
        <v>470</v>
      </c>
    </row>
    <row r="51" spans="1:12" ht="15.75" hidden="1" customHeight="1" x14ac:dyDescent="0.15">
      <c r="A51" s="37" t="s">
        <v>6</v>
      </c>
      <c r="B51" s="37" t="s">
        <v>2344</v>
      </c>
      <c r="C51" s="38" t="s">
        <v>533</v>
      </c>
      <c r="D51" s="44" t="s">
        <v>3249</v>
      </c>
      <c r="E51" s="45">
        <v>40</v>
      </c>
      <c r="F51" s="46">
        <v>0</v>
      </c>
      <c r="G51" s="46">
        <v>32</v>
      </c>
      <c r="H51" s="47">
        <v>800</v>
      </c>
      <c r="I51" s="47"/>
      <c r="J51" s="47">
        <f>TS[[#This Row],[转运费]]*LOOKUP(TS[[#This Row],[币种]]&amp;"-",{"-","EUR-","USD-","ZAR-"},{1,1.163,1,0.06792})</f>
        <v>800</v>
      </c>
      <c r="K51" s="48"/>
      <c r="L51" s="42" t="s">
        <v>470</v>
      </c>
    </row>
    <row r="52" spans="1:12" ht="15.75" hidden="1" customHeight="1" x14ac:dyDescent="0.15">
      <c r="A52" s="37" t="s">
        <v>6</v>
      </c>
      <c r="B52" s="37" t="s">
        <v>2344</v>
      </c>
      <c r="C52" s="38" t="s">
        <v>533</v>
      </c>
      <c r="D52" s="37" t="s">
        <v>2345</v>
      </c>
      <c r="E52" s="39">
        <v>20</v>
      </c>
      <c r="F52" s="40">
        <v>0</v>
      </c>
      <c r="G52" s="40">
        <v>30</v>
      </c>
      <c r="H52" s="41">
        <v>630</v>
      </c>
      <c r="I52" s="41"/>
      <c r="J52" s="41">
        <f>TS[[#This Row],[转运费]]*LOOKUP(TS[[#This Row],[币种]]&amp;"-",{"-","EUR-","USD-","ZAR-"},{1,1.163,1,0.06792})</f>
        <v>630</v>
      </c>
      <c r="K52" s="42"/>
      <c r="L52" s="42" t="s">
        <v>470</v>
      </c>
    </row>
    <row r="53" spans="1:12" ht="15.75" hidden="1" customHeight="1" x14ac:dyDescent="0.15">
      <c r="A53" s="37" t="s">
        <v>6</v>
      </c>
      <c r="B53" s="37" t="s">
        <v>2344</v>
      </c>
      <c r="C53" s="38" t="s">
        <v>533</v>
      </c>
      <c r="D53" s="37" t="s">
        <v>380</v>
      </c>
      <c r="E53" s="39">
        <v>40</v>
      </c>
      <c r="F53" s="40">
        <v>0</v>
      </c>
      <c r="G53" s="40">
        <v>32</v>
      </c>
      <c r="H53" s="41">
        <v>810</v>
      </c>
      <c r="I53" s="41"/>
      <c r="J53" s="41">
        <f>TS[[#This Row],[转运费]]*LOOKUP(TS[[#This Row],[币种]]&amp;"-",{"-","EUR-","USD-","ZAR-"},{1,1.163,1,0.06792})</f>
        <v>810</v>
      </c>
      <c r="K53" s="42"/>
      <c r="L53" s="42" t="s">
        <v>470</v>
      </c>
    </row>
    <row r="54" spans="1:12" ht="15.75" hidden="1" customHeight="1" x14ac:dyDescent="0.15">
      <c r="A54" s="37" t="s">
        <v>6</v>
      </c>
      <c r="B54" s="37" t="s">
        <v>2344</v>
      </c>
      <c r="C54" s="38" t="s">
        <v>533</v>
      </c>
      <c r="D54" s="37" t="s">
        <v>383</v>
      </c>
      <c r="E54" s="39">
        <v>20</v>
      </c>
      <c r="F54" s="40">
        <v>0</v>
      </c>
      <c r="G54" s="40">
        <v>30</v>
      </c>
      <c r="H54" s="41">
        <v>525</v>
      </c>
      <c r="I54" s="41"/>
      <c r="J54" s="41">
        <f>TS[[#This Row],[转运费]]*LOOKUP(TS[[#This Row],[币种]]&amp;"-",{"-","EUR-","USD-","ZAR-"},{1,1.163,1,0.06792})</f>
        <v>525</v>
      </c>
      <c r="K54" s="42"/>
      <c r="L54" s="42" t="s">
        <v>470</v>
      </c>
    </row>
    <row r="55" spans="1:12" ht="15.75" hidden="1" customHeight="1" x14ac:dyDescent="0.15">
      <c r="A55" s="37" t="s">
        <v>6</v>
      </c>
      <c r="B55" s="37" t="s">
        <v>2344</v>
      </c>
      <c r="C55" s="38" t="s">
        <v>533</v>
      </c>
      <c r="D55" s="37" t="s">
        <v>383</v>
      </c>
      <c r="E55" s="39">
        <v>40</v>
      </c>
      <c r="F55" s="40">
        <v>0</v>
      </c>
      <c r="G55" s="40">
        <v>30</v>
      </c>
      <c r="H55" s="41">
        <v>700</v>
      </c>
      <c r="I55" s="41"/>
      <c r="J55" s="41">
        <f>TS[[#This Row],[转运费]]*LOOKUP(TS[[#This Row],[币种]]&amp;"-",{"-","EUR-","USD-","ZAR-"},{1,1.163,1,0.06792})</f>
        <v>700</v>
      </c>
      <c r="K55" s="42"/>
      <c r="L55" s="42" t="s">
        <v>470</v>
      </c>
    </row>
    <row r="56" spans="1:12" ht="15.75" hidden="1" customHeight="1" x14ac:dyDescent="0.15">
      <c r="A56" s="37" t="s">
        <v>2346</v>
      </c>
      <c r="B56" s="37" t="s">
        <v>2347</v>
      </c>
      <c r="C56" s="38" t="s">
        <v>536</v>
      </c>
      <c r="D56" s="37" t="s">
        <v>383</v>
      </c>
      <c r="E56" s="39">
        <v>20</v>
      </c>
      <c r="F56" s="40">
        <v>0</v>
      </c>
      <c r="G56" s="40">
        <v>28</v>
      </c>
      <c r="H56" s="41">
        <v>3150</v>
      </c>
      <c r="I56" s="41"/>
      <c r="J56" s="41">
        <f>TS[[#This Row],[转运费]]*LOOKUP(TS[[#This Row],[币种]]&amp;"-",{"-","EUR-","USD-","ZAR-"},{1,1.163,1,0.06792})</f>
        <v>3150</v>
      </c>
      <c r="K56" s="42"/>
      <c r="L56" s="42"/>
    </row>
    <row r="57" spans="1:12" ht="15.75" hidden="1" customHeight="1" x14ac:dyDescent="0.15">
      <c r="A57" s="37" t="s">
        <v>2346</v>
      </c>
      <c r="B57" s="37" t="s">
        <v>2347</v>
      </c>
      <c r="C57" s="38" t="s">
        <v>536</v>
      </c>
      <c r="D57" s="37" t="s">
        <v>383</v>
      </c>
      <c r="E57" s="39">
        <v>40</v>
      </c>
      <c r="F57" s="40">
        <v>0</v>
      </c>
      <c r="G57" s="40">
        <v>30</v>
      </c>
      <c r="H57" s="41">
        <v>3700</v>
      </c>
      <c r="I57" s="41"/>
      <c r="J57" s="41">
        <f>TS[[#This Row],[转运费]]*LOOKUP(TS[[#This Row],[币种]]&amp;"-",{"-","EUR-","USD-","ZAR-"},{1,1.163,1,0.06792})</f>
        <v>3700</v>
      </c>
      <c r="K57" s="42"/>
      <c r="L57" s="42"/>
    </row>
    <row r="58" spans="1:12" ht="15.75" hidden="1" customHeight="1" x14ac:dyDescent="0.15">
      <c r="A58" s="37" t="s">
        <v>2346</v>
      </c>
      <c r="B58" s="37" t="s">
        <v>2347</v>
      </c>
      <c r="C58" s="38" t="s">
        <v>477</v>
      </c>
      <c r="D58" s="37" t="s">
        <v>380</v>
      </c>
      <c r="E58" s="39">
        <v>20</v>
      </c>
      <c r="F58" s="40">
        <v>0</v>
      </c>
      <c r="G58" s="40">
        <v>13.5</v>
      </c>
      <c r="H58" s="41">
        <v>3000</v>
      </c>
      <c r="I58" s="41"/>
      <c r="J58" s="41">
        <f>TS[[#This Row],[转运费]]*LOOKUP(TS[[#This Row],[币种]]&amp;"-",{"-","EUR-","USD-","ZAR-"},{1,1.163,1,0.06792})</f>
        <v>3000</v>
      </c>
      <c r="K58" s="42"/>
      <c r="L58" s="49"/>
    </row>
    <row r="59" spans="1:12" ht="15.75" hidden="1" customHeight="1" x14ac:dyDescent="0.15">
      <c r="A59" s="37" t="s">
        <v>2346</v>
      </c>
      <c r="B59" s="37" t="s">
        <v>2347</v>
      </c>
      <c r="C59" s="38" t="s">
        <v>477</v>
      </c>
      <c r="D59" s="37" t="s">
        <v>380</v>
      </c>
      <c r="E59" s="39">
        <v>20</v>
      </c>
      <c r="F59" s="40">
        <v>13.5</v>
      </c>
      <c r="G59" s="40">
        <v>27</v>
      </c>
      <c r="H59" s="41">
        <v>4700</v>
      </c>
      <c r="I59" s="41"/>
      <c r="J59" s="41">
        <f>TS[[#This Row],[转运费]]*LOOKUP(TS[[#This Row],[币种]]&amp;"-",{"-","EUR-","USD-","ZAR-"},{1,1.163,1,0.06792})</f>
        <v>4700</v>
      </c>
      <c r="K59" s="42"/>
      <c r="L59" s="43"/>
    </row>
    <row r="60" spans="1:12" ht="15.75" hidden="1" customHeight="1" x14ac:dyDescent="0.15">
      <c r="A60" s="37" t="s">
        <v>2346</v>
      </c>
      <c r="B60" s="37" t="s">
        <v>2347</v>
      </c>
      <c r="C60" s="38" t="s">
        <v>477</v>
      </c>
      <c r="D60" s="37" t="s">
        <v>380</v>
      </c>
      <c r="E60" s="39">
        <v>40</v>
      </c>
      <c r="F60" s="40">
        <v>0</v>
      </c>
      <c r="G60" s="40">
        <v>28</v>
      </c>
      <c r="H60" s="41">
        <v>5000</v>
      </c>
      <c r="I60" s="41"/>
      <c r="J60" s="41">
        <f>TS[[#This Row],[转运费]]*LOOKUP(TS[[#This Row],[币种]]&amp;"-",{"-","EUR-","USD-","ZAR-"},{1,1.163,1,0.06792})</f>
        <v>5000</v>
      </c>
      <c r="K60" s="42"/>
      <c r="L60" s="43"/>
    </row>
    <row r="61" spans="1:12" ht="15.75" hidden="1" customHeight="1" x14ac:dyDescent="0.15">
      <c r="A61" s="37" t="s">
        <v>2346</v>
      </c>
      <c r="B61" s="37" t="s">
        <v>2347</v>
      </c>
      <c r="C61" s="38" t="s">
        <v>477</v>
      </c>
      <c r="D61" s="37" t="s">
        <v>383</v>
      </c>
      <c r="E61" s="39">
        <v>20</v>
      </c>
      <c r="F61" s="40">
        <v>0</v>
      </c>
      <c r="G61" s="40">
        <v>13.5</v>
      </c>
      <c r="H61" s="41">
        <v>3050</v>
      </c>
      <c r="I61" s="41"/>
      <c r="J61" s="41">
        <f>TS[[#This Row],[转运费]]*LOOKUP(TS[[#This Row],[币种]]&amp;"-",{"-","EUR-","USD-","ZAR-"},{1,1.163,1,0.06792})</f>
        <v>3050</v>
      </c>
      <c r="K61" s="42"/>
      <c r="L61" s="42" t="s">
        <v>478</v>
      </c>
    </row>
    <row r="62" spans="1:12" ht="15.75" hidden="1" customHeight="1" x14ac:dyDescent="0.15">
      <c r="A62" s="37" t="s">
        <v>2346</v>
      </c>
      <c r="B62" s="37" t="s">
        <v>2347</v>
      </c>
      <c r="C62" s="38" t="s">
        <v>477</v>
      </c>
      <c r="D62" s="37" t="s">
        <v>383</v>
      </c>
      <c r="E62" s="39">
        <v>20</v>
      </c>
      <c r="F62" s="40">
        <v>13.5</v>
      </c>
      <c r="G62" s="40">
        <v>27</v>
      </c>
      <c r="H62" s="41">
        <v>5000</v>
      </c>
      <c r="I62" s="41"/>
      <c r="J62" s="41">
        <f>TS[[#This Row],[转运费]]*LOOKUP(TS[[#This Row],[币种]]&amp;"-",{"-","EUR-","USD-","ZAR-"},{1,1.163,1,0.06792})</f>
        <v>5000</v>
      </c>
      <c r="K62" s="42"/>
      <c r="L62" s="42" t="s">
        <v>478</v>
      </c>
    </row>
    <row r="63" spans="1:12" ht="15.75" hidden="1" customHeight="1" x14ac:dyDescent="0.15">
      <c r="A63" s="37" t="s">
        <v>2346</v>
      </c>
      <c r="B63" s="37" t="s">
        <v>2347</v>
      </c>
      <c r="C63" s="38" t="s">
        <v>477</v>
      </c>
      <c r="D63" s="37" t="s">
        <v>383</v>
      </c>
      <c r="E63" s="39">
        <v>40</v>
      </c>
      <c r="F63" s="40">
        <v>0</v>
      </c>
      <c r="G63" s="40">
        <v>27</v>
      </c>
      <c r="H63" s="41">
        <v>5300</v>
      </c>
      <c r="I63" s="41"/>
      <c r="J63" s="41">
        <f>TS[[#This Row],[转运费]]*LOOKUP(TS[[#This Row],[币种]]&amp;"-",{"-","EUR-","USD-","ZAR-"},{1,1.163,1,0.06792})</f>
        <v>5300</v>
      </c>
      <c r="K63" s="42"/>
      <c r="L63" s="42" t="s">
        <v>478</v>
      </c>
    </row>
    <row r="64" spans="1:12" ht="15.75" hidden="1" customHeight="1" x14ac:dyDescent="0.15">
      <c r="A64" s="37" t="s">
        <v>2346</v>
      </c>
      <c r="B64" s="37" t="s">
        <v>2348</v>
      </c>
      <c r="C64" s="38" t="s">
        <v>536</v>
      </c>
      <c r="D64" s="37" t="s">
        <v>383</v>
      </c>
      <c r="E64" s="39">
        <v>20</v>
      </c>
      <c r="F64" s="40">
        <v>0</v>
      </c>
      <c r="G64" s="40">
        <v>28</v>
      </c>
      <c r="H64" s="41">
        <v>3350</v>
      </c>
      <c r="I64" s="41"/>
      <c r="J64" s="41">
        <f>TS[[#This Row],[转运费]]*LOOKUP(TS[[#This Row],[币种]]&amp;"-",{"-","EUR-","USD-","ZAR-"},{1,1.163,1,0.06792})</f>
        <v>3350</v>
      </c>
      <c r="K64" s="42"/>
      <c r="L64" s="42"/>
    </row>
    <row r="65" spans="1:12" ht="15.75" hidden="1" customHeight="1" x14ac:dyDescent="0.15">
      <c r="A65" s="37" t="s">
        <v>2346</v>
      </c>
      <c r="B65" s="37" t="s">
        <v>2348</v>
      </c>
      <c r="C65" s="38" t="s">
        <v>536</v>
      </c>
      <c r="D65" s="37" t="s">
        <v>383</v>
      </c>
      <c r="E65" s="39">
        <v>40</v>
      </c>
      <c r="F65" s="40">
        <v>0</v>
      </c>
      <c r="G65" s="40">
        <v>30</v>
      </c>
      <c r="H65" s="41">
        <v>3900</v>
      </c>
      <c r="I65" s="41"/>
      <c r="J65" s="41">
        <f>TS[[#This Row],[转运费]]*LOOKUP(TS[[#This Row],[币种]]&amp;"-",{"-","EUR-","USD-","ZAR-"},{1,1.163,1,0.06792})</f>
        <v>3900</v>
      </c>
      <c r="K65" s="42"/>
      <c r="L65" s="42"/>
    </row>
    <row r="66" spans="1:12" ht="15.75" hidden="1" customHeight="1" x14ac:dyDescent="0.15">
      <c r="A66" s="37" t="s">
        <v>2346</v>
      </c>
      <c r="B66" s="37" t="s">
        <v>2348</v>
      </c>
      <c r="C66" s="38" t="s">
        <v>477</v>
      </c>
      <c r="D66" s="37" t="s">
        <v>380</v>
      </c>
      <c r="E66" s="39">
        <v>20</v>
      </c>
      <c r="F66" s="40">
        <v>0</v>
      </c>
      <c r="G66" s="40">
        <v>13.5</v>
      </c>
      <c r="H66" s="41">
        <v>2800</v>
      </c>
      <c r="I66" s="41"/>
      <c r="J66" s="41">
        <f>TS[[#This Row],[转运费]]*LOOKUP(TS[[#This Row],[币种]]&amp;"-",{"-","EUR-","USD-","ZAR-"},{1,1.163,1,0.06792})</f>
        <v>2800</v>
      </c>
      <c r="K66" s="42"/>
      <c r="L66" s="43"/>
    </row>
    <row r="67" spans="1:12" ht="15.75" hidden="1" customHeight="1" x14ac:dyDescent="0.15">
      <c r="A67" s="37" t="s">
        <v>2346</v>
      </c>
      <c r="B67" s="37" t="s">
        <v>2348</v>
      </c>
      <c r="C67" s="38" t="s">
        <v>477</v>
      </c>
      <c r="D67" s="37" t="s">
        <v>380</v>
      </c>
      <c r="E67" s="39">
        <v>20</v>
      </c>
      <c r="F67" s="40">
        <v>13.5</v>
      </c>
      <c r="G67" s="40">
        <v>27</v>
      </c>
      <c r="H67" s="41">
        <v>4500</v>
      </c>
      <c r="I67" s="41"/>
      <c r="J67" s="41">
        <f>TS[[#This Row],[转运费]]*LOOKUP(TS[[#This Row],[币种]]&amp;"-",{"-","EUR-","USD-","ZAR-"},{1,1.163,1,0.06792})</f>
        <v>4500</v>
      </c>
      <c r="K67" s="42"/>
      <c r="L67" s="43"/>
    </row>
    <row r="68" spans="1:12" ht="15.75" hidden="1" customHeight="1" x14ac:dyDescent="0.15">
      <c r="A68" s="37" t="s">
        <v>2346</v>
      </c>
      <c r="B68" s="37" t="s">
        <v>2348</v>
      </c>
      <c r="C68" s="38" t="s">
        <v>477</v>
      </c>
      <c r="D68" s="37" t="s">
        <v>380</v>
      </c>
      <c r="E68" s="39">
        <v>40</v>
      </c>
      <c r="F68" s="40">
        <v>0</v>
      </c>
      <c r="G68" s="40">
        <v>28</v>
      </c>
      <c r="H68" s="41">
        <v>4700</v>
      </c>
      <c r="I68" s="41"/>
      <c r="J68" s="41">
        <f>TS[[#This Row],[转运费]]*LOOKUP(TS[[#This Row],[币种]]&amp;"-",{"-","EUR-","USD-","ZAR-"},{1,1.163,1,0.06792})</f>
        <v>4700</v>
      </c>
      <c r="K68" s="42"/>
      <c r="L68" s="43"/>
    </row>
    <row r="69" spans="1:12" ht="15.75" hidden="1" customHeight="1" x14ac:dyDescent="0.15">
      <c r="A69" s="37" t="s">
        <v>2346</v>
      </c>
      <c r="B69" s="37" t="s">
        <v>2348</v>
      </c>
      <c r="C69" s="38" t="s">
        <v>477</v>
      </c>
      <c r="D69" s="37" t="s">
        <v>383</v>
      </c>
      <c r="E69" s="39">
        <v>20</v>
      </c>
      <c r="F69" s="40">
        <v>0</v>
      </c>
      <c r="G69" s="40">
        <v>13.5</v>
      </c>
      <c r="H69" s="41">
        <v>2800</v>
      </c>
      <c r="I69" s="41"/>
      <c r="J69" s="41">
        <f>TS[[#This Row],[转运费]]*LOOKUP(TS[[#This Row],[币种]]&amp;"-",{"-","EUR-","USD-","ZAR-"},{1,1.163,1,0.06792})</f>
        <v>2800</v>
      </c>
      <c r="K69" s="42"/>
      <c r="L69" s="42" t="s">
        <v>478</v>
      </c>
    </row>
    <row r="70" spans="1:12" ht="15.75" hidden="1" customHeight="1" x14ac:dyDescent="0.15">
      <c r="A70" s="37" t="s">
        <v>2346</v>
      </c>
      <c r="B70" s="37" t="s">
        <v>2348</v>
      </c>
      <c r="C70" s="38" t="s">
        <v>477</v>
      </c>
      <c r="D70" s="37" t="s">
        <v>383</v>
      </c>
      <c r="E70" s="39">
        <v>20</v>
      </c>
      <c r="F70" s="40">
        <v>13.5</v>
      </c>
      <c r="G70" s="40">
        <v>27</v>
      </c>
      <c r="H70" s="41">
        <v>4850</v>
      </c>
      <c r="I70" s="41"/>
      <c r="J70" s="41">
        <f>TS[[#This Row],[转运费]]*LOOKUP(TS[[#This Row],[币种]]&amp;"-",{"-","EUR-","USD-","ZAR-"},{1,1.163,1,0.06792})</f>
        <v>4850</v>
      </c>
      <c r="K70" s="42"/>
      <c r="L70" s="42" t="s">
        <v>478</v>
      </c>
    </row>
    <row r="71" spans="1:12" ht="15.75" hidden="1" customHeight="1" x14ac:dyDescent="0.15">
      <c r="A71" s="37" t="s">
        <v>2346</v>
      </c>
      <c r="B71" s="37" t="s">
        <v>2348</v>
      </c>
      <c r="C71" s="38" t="s">
        <v>477</v>
      </c>
      <c r="D71" s="37" t="s">
        <v>383</v>
      </c>
      <c r="E71" s="39">
        <v>40</v>
      </c>
      <c r="F71" s="40">
        <v>0</v>
      </c>
      <c r="G71" s="40">
        <v>27</v>
      </c>
      <c r="H71" s="41">
        <v>5100</v>
      </c>
      <c r="I71" s="41"/>
      <c r="J71" s="41">
        <f>TS[[#This Row],[转运费]]*LOOKUP(TS[[#This Row],[币种]]&amp;"-",{"-","EUR-","USD-","ZAR-"},{1,1.163,1,0.06792})</f>
        <v>5100</v>
      </c>
      <c r="K71" s="42"/>
      <c r="L71" s="42" t="s">
        <v>478</v>
      </c>
    </row>
    <row r="72" spans="1:12" ht="15.75" hidden="1" customHeight="1" x14ac:dyDescent="0.15">
      <c r="A72" s="37" t="s">
        <v>2349</v>
      </c>
      <c r="B72" s="37" t="s">
        <v>2350</v>
      </c>
      <c r="C72" s="38" t="s">
        <v>2380</v>
      </c>
      <c r="D72" s="37" t="s">
        <v>475</v>
      </c>
      <c r="E72" s="39">
        <v>20</v>
      </c>
      <c r="F72" s="40">
        <v>0</v>
      </c>
      <c r="G72" s="40">
        <v>15</v>
      </c>
      <c r="H72" s="41">
        <v>2260</v>
      </c>
      <c r="I72" s="41"/>
      <c r="J72" s="41">
        <f>TS[[#This Row],[转运费]]*LOOKUP(TS[[#This Row],[币种]]&amp;"-",{"-","EUR-","USD-","ZAR-"},{1,1.163,1,0.06792})</f>
        <v>2260</v>
      </c>
      <c r="K72" s="42"/>
      <c r="L72" s="42" t="s">
        <v>2334</v>
      </c>
    </row>
    <row r="73" spans="1:12" ht="15.75" hidden="1" customHeight="1" x14ac:dyDescent="0.15">
      <c r="A73" s="37" t="s">
        <v>2349</v>
      </c>
      <c r="B73" s="37" t="s">
        <v>2350</v>
      </c>
      <c r="C73" s="38" t="s">
        <v>2380</v>
      </c>
      <c r="D73" s="37" t="s">
        <v>371</v>
      </c>
      <c r="E73" s="39">
        <v>40</v>
      </c>
      <c r="F73" s="40">
        <v>0</v>
      </c>
      <c r="G73" s="40">
        <v>28</v>
      </c>
      <c r="H73" s="41">
        <v>4520</v>
      </c>
      <c r="I73" s="41"/>
      <c r="J73" s="41">
        <f>TS[[#This Row],[转运费]]*LOOKUP(TS[[#This Row],[币种]]&amp;"-",{"-","EUR-","USD-","ZAR-"},{1,1.163,1,0.06792})</f>
        <v>4520</v>
      </c>
      <c r="K73" s="42"/>
      <c r="L73" s="42" t="s">
        <v>2334</v>
      </c>
    </row>
    <row r="74" spans="1:12" ht="15.75" hidden="1" customHeight="1" x14ac:dyDescent="0.15">
      <c r="A74" s="37" t="s">
        <v>2349</v>
      </c>
      <c r="B74" s="37" t="s">
        <v>2350</v>
      </c>
      <c r="C74" s="38" t="s">
        <v>2380</v>
      </c>
      <c r="D74" s="37" t="s">
        <v>373</v>
      </c>
      <c r="E74" s="39">
        <v>20</v>
      </c>
      <c r="F74" s="40">
        <v>0</v>
      </c>
      <c r="G74" s="40">
        <v>10</v>
      </c>
      <c r="H74" s="41">
        <v>2450</v>
      </c>
      <c r="I74" s="41" t="s">
        <v>3044</v>
      </c>
      <c r="J74" s="41">
        <f>TS[[#This Row],[转运费]]*LOOKUP(TS[[#This Row],[币种]]&amp;"-",{"-","EUR-","USD-","ZAR-"},{1,1.163,1,0.06792})</f>
        <v>2849.35</v>
      </c>
      <c r="K74" s="42" t="s">
        <v>2351</v>
      </c>
      <c r="L74" s="42" t="s">
        <v>473</v>
      </c>
    </row>
    <row r="75" spans="1:12" ht="15.75" hidden="1" customHeight="1" x14ac:dyDescent="0.15">
      <c r="A75" s="37" t="s">
        <v>2349</v>
      </c>
      <c r="B75" s="37" t="s">
        <v>2350</v>
      </c>
      <c r="C75" s="38" t="s">
        <v>2380</v>
      </c>
      <c r="D75" s="37" t="s">
        <v>373</v>
      </c>
      <c r="E75" s="39">
        <v>20</v>
      </c>
      <c r="F75" s="40">
        <v>10</v>
      </c>
      <c r="G75" s="40">
        <v>15</v>
      </c>
      <c r="H75" s="41">
        <v>2550</v>
      </c>
      <c r="I75" s="41" t="s">
        <v>3044</v>
      </c>
      <c r="J75" s="41">
        <f>TS[[#This Row],[转运费]]*LOOKUP(TS[[#This Row],[币种]]&amp;"-",{"-","EUR-","USD-","ZAR-"},{1,1.163,1,0.06792})</f>
        <v>2965.65</v>
      </c>
      <c r="K75" s="42" t="s">
        <v>2353</v>
      </c>
      <c r="L75" s="42" t="s">
        <v>473</v>
      </c>
    </row>
    <row r="76" spans="1:12" ht="15.75" hidden="1" customHeight="1" x14ac:dyDescent="0.15">
      <c r="A76" s="37" t="s">
        <v>2349</v>
      </c>
      <c r="B76" s="37" t="s">
        <v>2350</v>
      </c>
      <c r="C76" s="38" t="s">
        <v>2380</v>
      </c>
      <c r="D76" s="37" t="s">
        <v>373</v>
      </c>
      <c r="E76" s="39">
        <v>20</v>
      </c>
      <c r="F76" s="40">
        <v>15</v>
      </c>
      <c r="G76" s="40">
        <v>19</v>
      </c>
      <c r="H76" s="41">
        <v>2650</v>
      </c>
      <c r="I76" s="41" t="s">
        <v>3044</v>
      </c>
      <c r="J76" s="41">
        <f>TS[[#This Row],[转运费]]*LOOKUP(TS[[#This Row],[币种]]&amp;"-",{"-","EUR-","USD-","ZAR-"},{1,1.163,1,0.06792})</f>
        <v>3081.9500000000003</v>
      </c>
      <c r="K76" s="42" t="s">
        <v>2354</v>
      </c>
      <c r="L76" s="42" t="s">
        <v>473</v>
      </c>
    </row>
    <row r="77" spans="1:12" ht="15.75" hidden="1" customHeight="1" x14ac:dyDescent="0.15">
      <c r="A77" s="37" t="s">
        <v>2349</v>
      </c>
      <c r="B77" s="37" t="s">
        <v>2350</v>
      </c>
      <c r="C77" s="38" t="s">
        <v>2380</v>
      </c>
      <c r="D77" s="37" t="s">
        <v>373</v>
      </c>
      <c r="E77" s="39">
        <v>20</v>
      </c>
      <c r="F77" s="40">
        <v>19</v>
      </c>
      <c r="G77" s="40">
        <v>21</v>
      </c>
      <c r="H77" s="41">
        <v>2750</v>
      </c>
      <c r="I77" s="41" t="s">
        <v>3044</v>
      </c>
      <c r="J77" s="41">
        <f>TS[[#This Row],[转运费]]*LOOKUP(TS[[#This Row],[币种]]&amp;"-",{"-","EUR-","USD-","ZAR-"},{1,1.163,1,0.06792})</f>
        <v>3198.25</v>
      </c>
      <c r="K77" s="42" t="s">
        <v>2355</v>
      </c>
      <c r="L77" s="42" t="s">
        <v>473</v>
      </c>
    </row>
    <row r="78" spans="1:12" ht="15.75" hidden="1" customHeight="1" x14ac:dyDescent="0.15">
      <c r="A78" s="37" t="s">
        <v>2349</v>
      </c>
      <c r="B78" s="37" t="s">
        <v>2350</v>
      </c>
      <c r="C78" s="38" t="s">
        <v>2380</v>
      </c>
      <c r="D78" s="37" t="s">
        <v>373</v>
      </c>
      <c r="E78" s="39">
        <v>20</v>
      </c>
      <c r="F78" s="40">
        <v>21</v>
      </c>
      <c r="G78" s="40">
        <v>24</v>
      </c>
      <c r="H78" s="41">
        <v>3000</v>
      </c>
      <c r="I78" s="41" t="s">
        <v>3044</v>
      </c>
      <c r="J78" s="41">
        <f>TS[[#This Row],[转运费]]*LOOKUP(TS[[#This Row],[币种]]&amp;"-",{"-","EUR-","USD-","ZAR-"},{1,1.163,1,0.06792})</f>
        <v>3489</v>
      </c>
      <c r="K78" s="42" t="s">
        <v>2356</v>
      </c>
      <c r="L78" s="42" t="s">
        <v>473</v>
      </c>
    </row>
    <row r="79" spans="1:12" ht="15.75" hidden="1" customHeight="1" x14ac:dyDescent="0.15">
      <c r="A79" s="37" t="s">
        <v>2349</v>
      </c>
      <c r="B79" s="37" t="s">
        <v>2350</v>
      </c>
      <c r="C79" s="38" t="s">
        <v>2380</v>
      </c>
      <c r="D79" s="37" t="s">
        <v>373</v>
      </c>
      <c r="E79" s="39">
        <v>20</v>
      </c>
      <c r="F79" s="40">
        <v>24</v>
      </c>
      <c r="G79" s="40">
        <v>32</v>
      </c>
      <c r="H79" s="41">
        <v>3850</v>
      </c>
      <c r="I79" s="41" t="s">
        <v>3044</v>
      </c>
      <c r="J79" s="41">
        <f>TS[[#This Row],[转运费]]*LOOKUP(TS[[#This Row],[币种]]&amp;"-",{"-","EUR-","USD-","ZAR-"},{1,1.163,1,0.06792})</f>
        <v>4477.55</v>
      </c>
      <c r="K79" s="42" t="s">
        <v>2357</v>
      </c>
      <c r="L79" s="42" t="s">
        <v>473</v>
      </c>
    </row>
    <row r="80" spans="1:12" ht="15.75" hidden="1" customHeight="1" x14ac:dyDescent="0.15">
      <c r="A80" s="37" t="s">
        <v>2349</v>
      </c>
      <c r="B80" s="37" t="s">
        <v>2350</v>
      </c>
      <c r="C80" s="38" t="s">
        <v>476</v>
      </c>
      <c r="D80" s="37" t="s">
        <v>373</v>
      </c>
      <c r="E80" s="39">
        <v>40</v>
      </c>
      <c r="F80" s="40">
        <v>0</v>
      </c>
      <c r="G80" s="40">
        <v>30</v>
      </c>
      <c r="H80" s="41">
        <v>4000</v>
      </c>
      <c r="I80" s="41" t="s">
        <v>3044</v>
      </c>
      <c r="J80" s="41">
        <f>TS[[#This Row],[转运费]]*LOOKUP(TS[[#This Row],[币种]]&amp;"-",{"-","EUR-","USD-","ZAR-"},{1,1.163,1,0.06792})</f>
        <v>4652</v>
      </c>
      <c r="K80" s="42" t="s">
        <v>2358</v>
      </c>
      <c r="L80" s="42" t="s">
        <v>473</v>
      </c>
    </row>
    <row r="81" spans="1:12" ht="15.75" hidden="1" customHeight="1" x14ac:dyDescent="0.15">
      <c r="A81" s="37" t="s">
        <v>2349</v>
      </c>
      <c r="B81" s="37" t="s">
        <v>3248</v>
      </c>
      <c r="C81" s="38" t="s">
        <v>476</v>
      </c>
      <c r="D81" s="37" t="s">
        <v>482</v>
      </c>
      <c r="E81" s="39">
        <v>20</v>
      </c>
      <c r="F81" s="40">
        <v>0</v>
      </c>
      <c r="G81" s="40">
        <v>28</v>
      </c>
      <c r="H81" s="41">
        <v>3500</v>
      </c>
      <c r="I81" s="41" t="s">
        <v>3044</v>
      </c>
      <c r="J81" s="41">
        <f>TS[[#This Row],[转运费]]*LOOKUP(TS[[#This Row],[币种]]&amp;"-",{"-","EUR-","USD-","ZAR-"},{1,1.163,1,0.06792})</f>
        <v>4070.5</v>
      </c>
      <c r="K81" s="42" t="s">
        <v>2352</v>
      </c>
      <c r="L81" s="42" t="s">
        <v>473</v>
      </c>
    </row>
    <row r="82" spans="1:12" ht="15.75" hidden="1" customHeight="1" x14ac:dyDescent="0.15">
      <c r="A82" s="37" t="s">
        <v>2349</v>
      </c>
      <c r="B82" s="37" t="s">
        <v>2350</v>
      </c>
      <c r="C82" s="38" t="s">
        <v>2380</v>
      </c>
      <c r="D82" s="37" t="s">
        <v>371</v>
      </c>
      <c r="E82" s="39">
        <v>20</v>
      </c>
      <c r="F82" s="40">
        <v>15</v>
      </c>
      <c r="G82" s="40">
        <v>21</v>
      </c>
      <c r="H82" s="41">
        <v>2750</v>
      </c>
      <c r="I82" s="41"/>
      <c r="J82" s="41">
        <f>TS[[#This Row],[转运费]]*LOOKUP(TS[[#This Row],[币种]]&amp;"-",{"-","EUR-","USD-","ZAR-"},{1,1.163,1,0.06792})</f>
        <v>2750</v>
      </c>
      <c r="K82" s="42"/>
      <c r="L82" s="42" t="s">
        <v>2334</v>
      </c>
    </row>
    <row r="83" spans="1:12" ht="15.75" hidden="1" customHeight="1" x14ac:dyDescent="0.15">
      <c r="A83" s="37" t="s">
        <v>2349</v>
      </c>
      <c r="B83" s="37" t="s">
        <v>2350</v>
      </c>
      <c r="C83" s="38" t="s">
        <v>2380</v>
      </c>
      <c r="D83" s="37" t="s">
        <v>371</v>
      </c>
      <c r="E83" s="39">
        <v>20</v>
      </c>
      <c r="F83" s="40">
        <v>21</v>
      </c>
      <c r="G83" s="40">
        <v>25</v>
      </c>
      <c r="H83" s="41">
        <v>2980</v>
      </c>
      <c r="I83" s="41"/>
      <c r="J83" s="41">
        <f>TS[[#This Row],[转运费]]*LOOKUP(TS[[#This Row],[币种]]&amp;"-",{"-","EUR-","USD-","ZAR-"},{1,1.163,1,0.06792})</f>
        <v>2980</v>
      </c>
      <c r="K83" s="42"/>
      <c r="L83" s="42" t="s">
        <v>2334</v>
      </c>
    </row>
    <row r="84" spans="1:12" ht="15.75" hidden="1" customHeight="1" x14ac:dyDescent="0.15">
      <c r="A84" s="37" t="s">
        <v>2349</v>
      </c>
      <c r="B84" s="37" t="s">
        <v>2350</v>
      </c>
      <c r="C84" s="38" t="s">
        <v>2380</v>
      </c>
      <c r="D84" s="37" t="s">
        <v>371</v>
      </c>
      <c r="E84" s="39">
        <v>20</v>
      </c>
      <c r="F84" s="40">
        <v>25</v>
      </c>
      <c r="G84" s="40">
        <v>27</v>
      </c>
      <c r="H84" s="41">
        <v>3460</v>
      </c>
      <c r="I84" s="41"/>
      <c r="J84" s="41">
        <f>TS[[#This Row],[转运费]]*LOOKUP(TS[[#This Row],[币种]]&amp;"-",{"-","EUR-","USD-","ZAR-"},{1,1.163,1,0.06792})</f>
        <v>3460</v>
      </c>
      <c r="K84" s="42"/>
      <c r="L84" s="42" t="s">
        <v>2334</v>
      </c>
    </row>
    <row r="85" spans="1:12" ht="15.75" hidden="1" customHeight="1" x14ac:dyDescent="0.15">
      <c r="A85" s="37" t="s">
        <v>2349</v>
      </c>
      <c r="B85" s="37" t="s">
        <v>2350</v>
      </c>
      <c r="C85" s="38" t="s">
        <v>2380</v>
      </c>
      <c r="D85" s="37" t="s">
        <v>373</v>
      </c>
      <c r="E85" s="39">
        <v>40</v>
      </c>
      <c r="F85" s="40">
        <v>0</v>
      </c>
      <c r="G85" s="40">
        <v>32</v>
      </c>
      <c r="H85" s="41">
        <v>4050</v>
      </c>
      <c r="I85" s="41" t="s">
        <v>3044</v>
      </c>
      <c r="J85" s="41">
        <f>TS[[#This Row],[转运费]]*LOOKUP(TS[[#This Row],[币种]]&amp;"-",{"-","EUR-","USD-","ZAR-"},{1,1.163,1,0.06792})</f>
        <v>4710.1500000000005</v>
      </c>
      <c r="K85" s="42" t="s">
        <v>2359</v>
      </c>
      <c r="L85" s="42" t="s">
        <v>473</v>
      </c>
    </row>
    <row r="86" spans="1:12" ht="15.75" hidden="1" customHeight="1" x14ac:dyDescent="0.15">
      <c r="A86" s="37" t="s">
        <v>2360</v>
      </c>
      <c r="B86" s="37" t="s">
        <v>2361</v>
      </c>
      <c r="C86" s="38" t="s">
        <v>477</v>
      </c>
      <c r="D86" s="37" t="s">
        <v>380</v>
      </c>
      <c r="E86" s="39">
        <v>20</v>
      </c>
      <c r="F86" s="40">
        <v>0</v>
      </c>
      <c r="G86" s="40">
        <v>13.5</v>
      </c>
      <c r="H86" s="41">
        <v>2400</v>
      </c>
      <c r="I86" s="41"/>
      <c r="J86" s="41">
        <f>TS[[#This Row],[转运费]]*LOOKUP(TS[[#This Row],[币种]]&amp;"-",{"-","EUR-","USD-","ZAR-"},{1,1.163,1,0.06792})</f>
        <v>2400</v>
      </c>
      <c r="K86" s="42"/>
      <c r="L86" s="43"/>
    </row>
    <row r="87" spans="1:12" ht="15.75" hidden="1" customHeight="1" x14ac:dyDescent="0.15">
      <c r="A87" s="37" t="s">
        <v>2360</v>
      </c>
      <c r="B87" s="37" t="s">
        <v>2361</v>
      </c>
      <c r="C87" s="38" t="s">
        <v>477</v>
      </c>
      <c r="D87" s="37" t="s">
        <v>380</v>
      </c>
      <c r="E87" s="39">
        <v>20</v>
      </c>
      <c r="F87" s="40">
        <v>13.5</v>
      </c>
      <c r="G87" s="40">
        <v>27</v>
      </c>
      <c r="H87" s="41">
        <v>3850</v>
      </c>
      <c r="I87" s="41"/>
      <c r="J87" s="41">
        <f>TS[[#This Row],[转运费]]*LOOKUP(TS[[#This Row],[币种]]&amp;"-",{"-","EUR-","USD-","ZAR-"},{1,1.163,1,0.06792})</f>
        <v>3850</v>
      </c>
      <c r="K87" s="42"/>
      <c r="L87" s="43"/>
    </row>
    <row r="88" spans="1:12" ht="15.75" hidden="1" customHeight="1" x14ac:dyDescent="0.15">
      <c r="A88" s="37" t="s">
        <v>2360</v>
      </c>
      <c r="B88" s="37" t="s">
        <v>2361</v>
      </c>
      <c r="C88" s="38" t="s">
        <v>477</v>
      </c>
      <c r="D88" s="37" t="s">
        <v>380</v>
      </c>
      <c r="E88" s="39">
        <v>40</v>
      </c>
      <c r="F88" s="40">
        <v>0</v>
      </c>
      <c r="G88" s="40">
        <v>28</v>
      </c>
      <c r="H88" s="41">
        <v>4050</v>
      </c>
      <c r="I88" s="41"/>
      <c r="J88" s="41">
        <f>TS[[#This Row],[转运费]]*LOOKUP(TS[[#This Row],[币种]]&amp;"-",{"-","EUR-","USD-","ZAR-"},{1,1.163,1,0.06792})</f>
        <v>4050</v>
      </c>
      <c r="K88" s="42"/>
      <c r="L88" s="43"/>
    </row>
    <row r="89" spans="1:12" ht="15.75" hidden="1" customHeight="1" x14ac:dyDescent="0.15">
      <c r="A89" s="37" t="s">
        <v>2360</v>
      </c>
      <c r="B89" s="37" t="s">
        <v>2361</v>
      </c>
      <c r="C89" s="38" t="s">
        <v>477</v>
      </c>
      <c r="D89" s="37" t="s">
        <v>383</v>
      </c>
      <c r="E89" s="39">
        <v>20</v>
      </c>
      <c r="F89" s="40">
        <v>0</v>
      </c>
      <c r="G89" s="40">
        <v>13.5</v>
      </c>
      <c r="H89" s="41">
        <v>2500</v>
      </c>
      <c r="I89" s="41"/>
      <c r="J89" s="41">
        <f>TS[[#This Row],[转运费]]*LOOKUP(TS[[#This Row],[币种]]&amp;"-",{"-","EUR-","USD-","ZAR-"},{1,1.163,1,0.06792})</f>
        <v>2500</v>
      </c>
      <c r="K89" s="42"/>
      <c r="L89" s="42" t="s">
        <v>478</v>
      </c>
    </row>
    <row r="90" spans="1:12" ht="15.75" hidden="1" customHeight="1" x14ac:dyDescent="0.15">
      <c r="A90" s="37" t="s">
        <v>2360</v>
      </c>
      <c r="B90" s="37" t="s">
        <v>2361</v>
      </c>
      <c r="C90" s="38" t="s">
        <v>477</v>
      </c>
      <c r="D90" s="37" t="s">
        <v>383</v>
      </c>
      <c r="E90" s="39">
        <v>20</v>
      </c>
      <c r="F90" s="40">
        <v>13.5</v>
      </c>
      <c r="G90" s="40">
        <v>27</v>
      </c>
      <c r="H90" s="41">
        <v>3900</v>
      </c>
      <c r="I90" s="41"/>
      <c r="J90" s="41">
        <f>TS[[#This Row],[转运费]]*LOOKUP(TS[[#This Row],[币种]]&amp;"-",{"-","EUR-","USD-","ZAR-"},{1,1.163,1,0.06792})</f>
        <v>3900</v>
      </c>
      <c r="K90" s="42"/>
      <c r="L90" s="42" t="s">
        <v>478</v>
      </c>
    </row>
    <row r="91" spans="1:12" ht="15.75" hidden="1" customHeight="1" x14ac:dyDescent="0.15">
      <c r="A91" s="37" t="s">
        <v>2360</v>
      </c>
      <c r="B91" s="37" t="s">
        <v>2361</v>
      </c>
      <c r="C91" s="38" t="s">
        <v>477</v>
      </c>
      <c r="D91" s="37" t="s">
        <v>383</v>
      </c>
      <c r="E91" s="39">
        <v>40</v>
      </c>
      <c r="F91" s="40">
        <v>0</v>
      </c>
      <c r="G91" s="40">
        <v>27</v>
      </c>
      <c r="H91" s="41">
        <v>4150</v>
      </c>
      <c r="I91" s="41"/>
      <c r="J91" s="41">
        <f>TS[[#This Row],[转运费]]*LOOKUP(TS[[#This Row],[币种]]&amp;"-",{"-","EUR-","USD-","ZAR-"},{1,1.163,1,0.06792})</f>
        <v>4150</v>
      </c>
      <c r="K91" s="42"/>
      <c r="L91" s="42" t="s">
        <v>478</v>
      </c>
    </row>
    <row r="92" spans="1:12" ht="15.75" hidden="1" customHeight="1" x14ac:dyDescent="0.15">
      <c r="A92" s="44" t="s">
        <v>243</v>
      </c>
      <c r="B92" s="44" t="s">
        <v>3045</v>
      </c>
      <c r="C92" s="50" t="s">
        <v>2328</v>
      </c>
      <c r="D92" s="44" t="s">
        <v>371</v>
      </c>
      <c r="E92" s="45">
        <v>20</v>
      </c>
      <c r="F92" s="46">
        <v>0</v>
      </c>
      <c r="G92" s="46">
        <v>12.9</v>
      </c>
      <c r="H92" s="47">
        <v>3383</v>
      </c>
      <c r="I92" s="47" t="s">
        <v>3042</v>
      </c>
      <c r="J92" s="47">
        <f>TS[[#This Row],[转运费]]*LOOKUP(TS[[#This Row],[币种]]&amp;"-",{"-","EUR-","USD-","ZAR-"},{1,1.163,1,0.06792})</f>
        <v>229.77335999999997</v>
      </c>
      <c r="K92" s="48"/>
      <c r="L92" s="48"/>
    </row>
    <row r="93" spans="1:12" ht="15.75" hidden="1" customHeight="1" x14ac:dyDescent="0.15">
      <c r="A93" s="44" t="s">
        <v>243</v>
      </c>
      <c r="B93" s="44" t="s">
        <v>3045</v>
      </c>
      <c r="C93" s="50" t="s">
        <v>2328</v>
      </c>
      <c r="D93" s="44" t="s">
        <v>379</v>
      </c>
      <c r="E93" s="45">
        <v>20</v>
      </c>
      <c r="F93" s="46">
        <v>0</v>
      </c>
      <c r="G93" s="46">
        <v>15.4</v>
      </c>
      <c r="H93" s="47">
        <v>3700</v>
      </c>
      <c r="I93" s="47" t="s">
        <v>3042</v>
      </c>
      <c r="J93" s="47">
        <f>TS[[#This Row],[转运费]]*LOOKUP(TS[[#This Row],[币种]]&amp;"-",{"-","EUR-","USD-","ZAR-"},{1,1.163,1,0.06792})</f>
        <v>251.30399999999997</v>
      </c>
      <c r="K93" s="48"/>
      <c r="L93" s="48"/>
    </row>
    <row r="94" spans="1:12" ht="15.75" hidden="1" customHeight="1" x14ac:dyDescent="0.15">
      <c r="A94" s="44" t="s">
        <v>243</v>
      </c>
      <c r="B94" s="44" t="s">
        <v>3045</v>
      </c>
      <c r="C94" s="50" t="s">
        <v>2328</v>
      </c>
      <c r="D94" s="44" t="s">
        <v>373</v>
      </c>
      <c r="E94" s="45">
        <v>20</v>
      </c>
      <c r="F94" s="46">
        <v>24</v>
      </c>
      <c r="G94" s="46">
        <v>29.5</v>
      </c>
      <c r="H94" s="47">
        <v>8000</v>
      </c>
      <c r="I94" s="47" t="s">
        <v>3042</v>
      </c>
      <c r="J94" s="47">
        <f>TS[[#This Row],[转运费]]*LOOKUP(TS[[#This Row],[币种]]&amp;"-",{"-","EUR-","USD-","ZAR-"},{1,1.163,1,0.06792})</f>
        <v>543.3599999999999</v>
      </c>
      <c r="K94" s="48"/>
      <c r="L94" s="48"/>
    </row>
    <row r="95" spans="1:12" ht="15.75" hidden="1" customHeight="1" x14ac:dyDescent="0.15">
      <c r="A95" s="44" t="s">
        <v>243</v>
      </c>
      <c r="B95" s="44" t="s">
        <v>3045</v>
      </c>
      <c r="C95" s="50" t="s">
        <v>2328</v>
      </c>
      <c r="D95" s="44" t="s">
        <v>371</v>
      </c>
      <c r="E95" s="45">
        <v>40</v>
      </c>
      <c r="F95" s="46">
        <v>0</v>
      </c>
      <c r="G95" s="46">
        <v>25.9</v>
      </c>
      <c r="H95" s="47">
        <v>5940</v>
      </c>
      <c r="I95" s="47" t="s">
        <v>3042</v>
      </c>
      <c r="J95" s="47">
        <f>TS[[#This Row],[转运费]]*LOOKUP(TS[[#This Row],[币种]]&amp;"-",{"-","EUR-","USD-","ZAR-"},{1,1.163,1,0.06792})</f>
        <v>403.44479999999999</v>
      </c>
      <c r="K95" s="48"/>
      <c r="L95" s="48"/>
    </row>
    <row r="96" spans="1:12" ht="15.75" hidden="1" customHeight="1" x14ac:dyDescent="0.15">
      <c r="A96" s="44" t="s">
        <v>243</v>
      </c>
      <c r="B96" s="44" t="s">
        <v>3045</v>
      </c>
      <c r="C96" s="50" t="s">
        <v>2328</v>
      </c>
      <c r="D96" s="44" t="s">
        <v>373</v>
      </c>
      <c r="E96" s="45">
        <v>40</v>
      </c>
      <c r="F96" s="46">
        <v>29.7</v>
      </c>
      <c r="G96" s="46">
        <v>33.1</v>
      </c>
      <c r="H96" s="47">
        <v>7800</v>
      </c>
      <c r="I96" s="47" t="s">
        <v>3042</v>
      </c>
      <c r="J96" s="47">
        <f>TS[[#This Row],[转运费]]*LOOKUP(TS[[#This Row],[币种]]&amp;"-",{"-","EUR-","USD-","ZAR-"},{1,1.163,1,0.06792})</f>
        <v>529.77599999999995</v>
      </c>
      <c r="K96" s="48"/>
      <c r="L96" s="48"/>
    </row>
    <row r="97" spans="1:12" ht="15.75" hidden="1" customHeight="1" x14ac:dyDescent="0.15">
      <c r="A97" s="44" t="s">
        <v>243</v>
      </c>
      <c r="B97" s="44" t="s">
        <v>3045</v>
      </c>
      <c r="C97" s="50" t="s">
        <v>2328</v>
      </c>
      <c r="D97" s="44" t="s">
        <v>375</v>
      </c>
      <c r="E97" s="45">
        <v>20</v>
      </c>
      <c r="F97" s="46">
        <v>0</v>
      </c>
      <c r="G97" s="46">
        <v>13</v>
      </c>
      <c r="H97" s="47">
        <v>4100</v>
      </c>
      <c r="I97" s="47" t="s">
        <v>3042</v>
      </c>
      <c r="J97" s="47">
        <f>TS[[#This Row],[转运费]]*LOOKUP(TS[[#This Row],[币种]]&amp;"-",{"-","EUR-","USD-","ZAR-"},{1,1.163,1,0.06792})</f>
        <v>278.47199999999998</v>
      </c>
      <c r="K97" s="48"/>
      <c r="L97" s="48"/>
    </row>
    <row r="98" spans="1:12" ht="15.75" hidden="1" customHeight="1" x14ac:dyDescent="0.15">
      <c r="A98" s="44" t="s">
        <v>243</v>
      </c>
      <c r="B98" s="44" t="s">
        <v>3045</v>
      </c>
      <c r="C98" s="50" t="s">
        <v>2328</v>
      </c>
      <c r="D98" s="44" t="s">
        <v>379</v>
      </c>
      <c r="E98" s="45">
        <v>20</v>
      </c>
      <c r="F98" s="46">
        <v>15.4</v>
      </c>
      <c r="G98" s="46">
        <v>22</v>
      </c>
      <c r="H98" s="47">
        <v>5700</v>
      </c>
      <c r="I98" s="47" t="s">
        <v>3042</v>
      </c>
      <c r="J98" s="47">
        <f>TS[[#This Row],[转运费]]*LOOKUP(TS[[#This Row],[币种]]&amp;"-",{"-","EUR-","USD-","ZAR-"},{1,1.163,1,0.06792})</f>
        <v>387.14399999999995</v>
      </c>
      <c r="K98" s="48"/>
      <c r="L98" s="48"/>
    </row>
    <row r="99" spans="1:12" ht="15.75" hidden="1" customHeight="1" x14ac:dyDescent="0.15">
      <c r="A99" s="44" t="s">
        <v>243</v>
      </c>
      <c r="B99" s="44" t="s">
        <v>3045</v>
      </c>
      <c r="C99" s="50" t="s">
        <v>2328</v>
      </c>
      <c r="D99" s="44" t="s">
        <v>378</v>
      </c>
      <c r="E99" s="45">
        <v>20</v>
      </c>
      <c r="F99" s="46">
        <v>21</v>
      </c>
      <c r="G99" s="46">
        <v>99</v>
      </c>
      <c r="H99" s="47">
        <v>1050</v>
      </c>
      <c r="I99" s="47" t="s">
        <v>3047</v>
      </c>
      <c r="J99" s="47">
        <f>TS[[#This Row],[转运费]]*LOOKUP(TS[[#This Row],[币种]]&amp;"-",{"-","EUR-","USD-","ZAR-"},{1,1.163,1,0.06792})</f>
        <v>1050</v>
      </c>
      <c r="K99" s="48"/>
      <c r="L99" s="48"/>
    </row>
    <row r="100" spans="1:12" ht="15.75" hidden="1" customHeight="1" x14ac:dyDescent="0.15">
      <c r="A100" s="44" t="s">
        <v>243</v>
      </c>
      <c r="B100" s="44" t="s">
        <v>3045</v>
      </c>
      <c r="C100" s="50" t="s">
        <v>2328</v>
      </c>
      <c r="D100" s="44" t="s">
        <v>373</v>
      </c>
      <c r="E100" s="45">
        <v>40</v>
      </c>
      <c r="F100" s="46">
        <v>0</v>
      </c>
      <c r="G100" s="46">
        <v>29.7</v>
      </c>
      <c r="H100" s="47">
        <v>6400</v>
      </c>
      <c r="I100" s="47" t="s">
        <v>3042</v>
      </c>
      <c r="J100" s="47">
        <f>TS[[#This Row],[转运费]]*LOOKUP(TS[[#This Row],[币种]]&amp;"-",{"-","EUR-","USD-","ZAR-"},{1,1.163,1,0.06792})</f>
        <v>434.68799999999999</v>
      </c>
      <c r="K100" s="48"/>
      <c r="L100" s="48"/>
    </row>
    <row r="101" spans="1:12" ht="15.75" hidden="1" customHeight="1" x14ac:dyDescent="0.15">
      <c r="A101" s="44" t="s">
        <v>243</v>
      </c>
      <c r="B101" s="44" t="s">
        <v>3045</v>
      </c>
      <c r="C101" s="50" t="s">
        <v>2328</v>
      </c>
      <c r="D101" s="44" t="s">
        <v>381</v>
      </c>
      <c r="E101" s="45">
        <v>20</v>
      </c>
      <c r="F101" s="46">
        <v>0</v>
      </c>
      <c r="G101" s="46">
        <v>13</v>
      </c>
      <c r="H101" s="47">
        <v>310</v>
      </c>
      <c r="I101" s="47" t="s">
        <v>3047</v>
      </c>
      <c r="J101" s="47">
        <f>TS[[#This Row],[转运费]]*LOOKUP(TS[[#This Row],[币种]]&amp;"-",{"-","EUR-","USD-","ZAR-"},{1,1.163,1,0.06792})</f>
        <v>310</v>
      </c>
      <c r="K101" s="48"/>
      <c r="L101" s="48"/>
    </row>
    <row r="102" spans="1:12" ht="15.75" hidden="1" customHeight="1" x14ac:dyDescent="0.15">
      <c r="A102" s="44" t="s">
        <v>243</v>
      </c>
      <c r="B102" s="44" t="s">
        <v>3045</v>
      </c>
      <c r="C102" s="50" t="s">
        <v>2328</v>
      </c>
      <c r="D102" s="44" t="s">
        <v>373</v>
      </c>
      <c r="E102" s="45">
        <v>20</v>
      </c>
      <c r="F102" s="46">
        <v>15</v>
      </c>
      <c r="G102" s="46">
        <v>24</v>
      </c>
      <c r="H102" s="47">
        <v>6100</v>
      </c>
      <c r="I102" s="47" t="s">
        <v>3042</v>
      </c>
      <c r="J102" s="47">
        <f>TS[[#This Row],[转运费]]*LOOKUP(TS[[#This Row],[币种]]&amp;"-",{"-","EUR-","USD-","ZAR-"},{1,1.163,1,0.06792})</f>
        <v>414.31199999999995</v>
      </c>
      <c r="K102" s="48"/>
      <c r="L102" s="48"/>
    </row>
    <row r="103" spans="1:12" ht="15.75" hidden="1" customHeight="1" x14ac:dyDescent="0.15">
      <c r="A103" s="44" t="s">
        <v>243</v>
      </c>
      <c r="B103" s="44" t="s">
        <v>3045</v>
      </c>
      <c r="C103" s="50" t="s">
        <v>2328</v>
      </c>
      <c r="D103" s="44" t="s">
        <v>379</v>
      </c>
      <c r="E103" s="45">
        <v>40</v>
      </c>
      <c r="F103" s="46">
        <v>0</v>
      </c>
      <c r="G103" s="46">
        <v>30</v>
      </c>
      <c r="H103" s="47">
        <v>6600</v>
      </c>
      <c r="I103" s="47" t="s">
        <v>3042</v>
      </c>
      <c r="J103" s="47">
        <f>TS[[#This Row],[转运费]]*LOOKUP(TS[[#This Row],[币种]]&amp;"-",{"-","EUR-","USD-","ZAR-"},{1,1.163,1,0.06792})</f>
        <v>448.27199999999993</v>
      </c>
      <c r="K103" s="48"/>
      <c r="L103" s="48"/>
    </row>
    <row r="104" spans="1:12" ht="15.75" hidden="1" customHeight="1" x14ac:dyDescent="0.15">
      <c r="A104" s="44" t="s">
        <v>3542</v>
      </c>
      <c r="B104" s="44" t="s">
        <v>3543</v>
      </c>
      <c r="C104" s="50" t="s">
        <v>3544</v>
      </c>
      <c r="D104" s="44" t="s">
        <v>3545</v>
      </c>
      <c r="E104" s="45">
        <v>20</v>
      </c>
      <c r="F104" s="46">
        <v>0</v>
      </c>
      <c r="G104" s="46">
        <v>13</v>
      </c>
      <c r="H104" s="47">
        <v>4600</v>
      </c>
      <c r="I104" s="47" t="s">
        <v>3546</v>
      </c>
      <c r="J104" s="47">
        <f>TS[[#This Row],[转运费]]*LOOKUP(TS[[#This Row],[币种]]&amp;"-",{"-","EUR-","USD-","ZAR-"},{1,1.163,1,0.06792})</f>
        <v>312.43199999999996</v>
      </c>
      <c r="K104" s="48"/>
      <c r="L104" s="48"/>
    </row>
    <row r="105" spans="1:12" ht="15.75" hidden="1" customHeight="1" x14ac:dyDescent="0.15">
      <c r="A105" s="44" t="s">
        <v>243</v>
      </c>
      <c r="B105" s="44" t="s">
        <v>3045</v>
      </c>
      <c r="C105" s="50" t="s">
        <v>2328</v>
      </c>
      <c r="D105" s="44" t="s">
        <v>375</v>
      </c>
      <c r="E105" s="45">
        <v>20</v>
      </c>
      <c r="F105" s="46">
        <v>13</v>
      </c>
      <c r="G105" s="46">
        <v>22</v>
      </c>
      <c r="H105" s="47">
        <v>6600</v>
      </c>
      <c r="I105" s="47" t="s">
        <v>3042</v>
      </c>
      <c r="J105" s="47">
        <f>TS[[#This Row],[转运费]]*LOOKUP(TS[[#This Row],[币种]]&amp;"-",{"-","EUR-","USD-","ZAR-"},{1,1.163,1,0.06792})</f>
        <v>448.27199999999993</v>
      </c>
      <c r="K105" s="48"/>
      <c r="L105" s="48"/>
    </row>
    <row r="106" spans="1:12" ht="15.75" hidden="1" customHeight="1" x14ac:dyDescent="0.15">
      <c r="A106" s="44" t="s">
        <v>243</v>
      </c>
      <c r="B106" s="44" t="s">
        <v>3045</v>
      </c>
      <c r="C106" s="50" t="s">
        <v>2328</v>
      </c>
      <c r="D106" s="44" t="s">
        <v>378</v>
      </c>
      <c r="E106" s="45">
        <v>20</v>
      </c>
      <c r="F106" s="46">
        <v>0</v>
      </c>
      <c r="G106" s="46">
        <v>13</v>
      </c>
      <c r="H106" s="47">
        <v>350</v>
      </c>
      <c r="I106" s="47" t="s">
        <v>3047</v>
      </c>
      <c r="J106" s="47">
        <f>TS[[#This Row],[转运费]]*LOOKUP(TS[[#This Row],[币种]]&amp;"-",{"-","EUR-","USD-","ZAR-"},{1,1.163,1,0.06792})</f>
        <v>350</v>
      </c>
      <c r="K106" s="48"/>
      <c r="L106" s="48"/>
    </row>
    <row r="107" spans="1:12" ht="15.75" hidden="1" customHeight="1" x14ac:dyDescent="0.15">
      <c r="A107" s="44" t="s">
        <v>3542</v>
      </c>
      <c r="B107" s="44" t="s">
        <v>3543</v>
      </c>
      <c r="C107" s="50" t="s">
        <v>3544</v>
      </c>
      <c r="D107" s="44" t="s">
        <v>3545</v>
      </c>
      <c r="E107" s="45">
        <v>40</v>
      </c>
      <c r="F107" s="46">
        <v>0</v>
      </c>
      <c r="G107" s="46">
        <v>26</v>
      </c>
      <c r="H107" s="47">
        <v>6900</v>
      </c>
      <c r="I107" s="47" t="s">
        <v>3546</v>
      </c>
      <c r="J107" s="47">
        <f>TS[[#This Row],[转运费]]*LOOKUP(TS[[#This Row],[币种]]&amp;"-",{"-","EUR-","USD-","ZAR-"},{1,1.163,1,0.06792})</f>
        <v>468.64799999999997</v>
      </c>
      <c r="K107" s="48"/>
      <c r="L107" s="48"/>
    </row>
    <row r="108" spans="1:12" ht="15.75" hidden="1" customHeight="1" x14ac:dyDescent="0.15">
      <c r="A108" s="44" t="s">
        <v>243</v>
      </c>
      <c r="B108" s="44" t="s">
        <v>3547</v>
      </c>
      <c r="C108" s="50" t="s">
        <v>2328</v>
      </c>
      <c r="D108" s="44" t="s">
        <v>3054</v>
      </c>
      <c r="E108" s="45">
        <v>20</v>
      </c>
      <c r="F108" s="46">
        <v>16.5</v>
      </c>
      <c r="G108" s="46">
        <v>25</v>
      </c>
      <c r="H108" s="47">
        <v>7150</v>
      </c>
      <c r="I108" s="47" t="s">
        <v>3042</v>
      </c>
      <c r="J108" s="47">
        <f>TS[[#This Row],[转运费]]*LOOKUP(TS[[#This Row],[币种]]&amp;"-",{"-","EUR-","USD-","ZAR-"},{1,1.163,1,0.06792})</f>
        <v>485.62799999999999</v>
      </c>
      <c r="K108" s="48"/>
      <c r="L108" s="48"/>
    </row>
    <row r="109" spans="1:12" ht="15.75" hidden="1" customHeight="1" x14ac:dyDescent="0.15">
      <c r="A109" s="44" t="s">
        <v>243</v>
      </c>
      <c r="B109" s="44" t="s">
        <v>3547</v>
      </c>
      <c r="C109" s="50" t="s">
        <v>2328</v>
      </c>
      <c r="D109" s="44" t="s">
        <v>383</v>
      </c>
      <c r="E109" s="45">
        <v>20</v>
      </c>
      <c r="F109" s="46">
        <v>0</v>
      </c>
      <c r="G109" s="46">
        <v>13</v>
      </c>
      <c r="H109" s="47">
        <v>350</v>
      </c>
      <c r="I109" s="47" t="s">
        <v>3047</v>
      </c>
      <c r="J109" s="47">
        <f>TS[[#This Row],[转运费]]*LOOKUP(TS[[#This Row],[币种]]&amp;"-",{"-","EUR-","USD-","ZAR-"},{1,1.163,1,0.06792})</f>
        <v>350</v>
      </c>
      <c r="K109" s="48"/>
      <c r="L109" s="48"/>
    </row>
    <row r="110" spans="1:12" ht="15.75" hidden="1" customHeight="1" x14ac:dyDescent="0.15">
      <c r="A110" s="44" t="s">
        <v>243</v>
      </c>
      <c r="B110" s="44" t="s">
        <v>3547</v>
      </c>
      <c r="C110" s="50" t="s">
        <v>2328</v>
      </c>
      <c r="D110" s="44" t="s">
        <v>3054</v>
      </c>
      <c r="E110" s="45">
        <v>20</v>
      </c>
      <c r="F110" s="46">
        <v>25</v>
      </c>
      <c r="G110" s="46">
        <v>99</v>
      </c>
      <c r="H110" s="47">
        <v>11500</v>
      </c>
      <c r="I110" s="47" t="s">
        <v>3042</v>
      </c>
      <c r="J110" s="47">
        <f>TS[[#This Row],[转运费]]*LOOKUP(TS[[#This Row],[币种]]&amp;"-",{"-","EUR-","USD-","ZAR-"},{1,1.163,1,0.06792})</f>
        <v>781.07999999999993</v>
      </c>
      <c r="K110" s="48"/>
      <c r="L110" s="48"/>
    </row>
    <row r="111" spans="1:12" ht="15.75" hidden="1" customHeight="1" x14ac:dyDescent="0.15">
      <c r="A111" s="44" t="s">
        <v>243</v>
      </c>
      <c r="B111" s="44" t="s">
        <v>3045</v>
      </c>
      <c r="C111" s="50" t="s">
        <v>2328</v>
      </c>
      <c r="D111" s="44" t="s">
        <v>375</v>
      </c>
      <c r="E111" s="45">
        <v>20</v>
      </c>
      <c r="F111" s="46">
        <v>22</v>
      </c>
      <c r="G111" s="46">
        <v>27.5</v>
      </c>
      <c r="H111" s="47">
        <v>8100</v>
      </c>
      <c r="I111" s="47" t="s">
        <v>3042</v>
      </c>
      <c r="J111" s="47">
        <f>TS[[#This Row],[转运费]]*LOOKUP(TS[[#This Row],[币种]]&amp;"-",{"-","EUR-","USD-","ZAR-"},{1,1.163,1,0.06792})</f>
        <v>550.15199999999993</v>
      </c>
      <c r="K111" s="48"/>
      <c r="L111" s="48"/>
    </row>
    <row r="112" spans="1:12" ht="15.75" hidden="1" customHeight="1" x14ac:dyDescent="0.15">
      <c r="A112" s="44" t="s">
        <v>243</v>
      </c>
      <c r="B112" s="44" t="s">
        <v>3045</v>
      </c>
      <c r="C112" s="50" t="s">
        <v>2328</v>
      </c>
      <c r="D112" s="44" t="s">
        <v>375</v>
      </c>
      <c r="E112" s="45">
        <v>40</v>
      </c>
      <c r="F112" s="46">
        <v>0</v>
      </c>
      <c r="G112" s="46">
        <v>26</v>
      </c>
      <c r="H112" s="47">
        <v>7100</v>
      </c>
      <c r="I112" s="47" t="s">
        <v>3042</v>
      </c>
      <c r="J112" s="47">
        <f>TS[[#This Row],[转运费]]*LOOKUP(TS[[#This Row],[币种]]&amp;"-",{"-","EUR-","USD-","ZAR-"},{1,1.163,1,0.06792})</f>
        <v>482.23199999999997</v>
      </c>
      <c r="K112" s="48"/>
      <c r="L112" s="48"/>
    </row>
    <row r="113" spans="1:12" ht="15.75" hidden="1" customHeight="1" x14ac:dyDescent="0.15">
      <c r="A113" s="44" t="s">
        <v>243</v>
      </c>
      <c r="B113" s="44" t="s">
        <v>3045</v>
      </c>
      <c r="C113" s="50" t="s">
        <v>2328</v>
      </c>
      <c r="D113" s="44" t="s">
        <v>375</v>
      </c>
      <c r="E113" s="45">
        <v>40</v>
      </c>
      <c r="F113" s="46">
        <v>26</v>
      </c>
      <c r="G113" s="46">
        <v>29.4</v>
      </c>
      <c r="H113" s="47">
        <v>8300</v>
      </c>
      <c r="I113" s="47" t="s">
        <v>3042</v>
      </c>
      <c r="J113" s="47">
        <f>TS[[#This Row],[转运费]]*LOOKUP(TS[[#This Row],[币种]]&amp;"-",{"-","EUR-","USD-","ZAR-"},{1,1.163,1,0.06792})</f>
        <v>563.73599999999999</v>
      </c>
      <c r="K113" s="48"/>
      <c r="L113" s="48"/>
    </row>
    <row r="114" spans="1:12" ht="15.75" hidden="1" customHeight="1" x14ac:dyDescent="0.15">
      <c r="A114" s="44" t="s">
        <v>243</v>
      </c>
      <c r="B114" s="44" t="s">
        <v>3045</v>
      </c>
      <c r="C114" s="50" t="s">
        <v>2328</v>
      </c>
      <c r="D114" s="44" t="s">
        <v>375</v>
      </c>
      <c r="E114" s="45">
        <v>40</v>
      </c>
      <c r="F114" s="46">
        <v>29.4</v>
      </c>
      <c r="G114" s="46">
        <v>99</v>
      </c>
      <c r="H114" s="47">
        <v>16500</v>
      </c>
      <c r="I114" s="47" t="s">
        <v>3042</v>
      </c>
      <c r="J114" s="47">
        <f>TS[[#This Row],[转运费]]*LOOKUP(TS[[#This Row],[币种]]&amp;"-",{"-","EUR-","USD-","ZAR-"},{1,1.163,1,0.06792})</f>
        <v>1120.6799999999998</v>
      </c>
      <c r="K114" s="48"/>
      <c r="L114" s="48"/>
    </row>
    <row r="115" spans="1:12" ht="15.75" hidden="1" customHeight="1" x14ac:dyDescent="0.15">
      <c r="A115" s="44" t="s">
        <v>243</v>
      </c>
      <c r="B115" s="44" t="s">
        <v>3547</v>
      </c>
      <c r="C115" s="50" t="s">
        <v>2328</v>
      </c>
      <c r="D115" s="44" t="s">
        <v>3054</v>
      </c>
      <c r="E115" s="45">
        <v>40</v>
      </c>
      <c r="F115" s="46">
        <v>26</v>
      </c>
      <c r="G115" s="46">
        <v>99</v>
      </c>
      <c r="H115" s="47">
        <v>19500</v>
      </c>
      <c r="I115" s="47" t="s">
        <v>3042</v>
      </c>
      <c r="J115" s="47">
        <f>TS[[#This Row],[转运费]]*LOOKUP(TS[[#This Row],[币种]]&amp;"-",{"-","EUR-","USD-","ZAR-"},{1,1.163,1,0.06792})</f>
        <v>1324.4399999999998</v>
      </c>
      <c r="K115" s="48"/>
      <c r="L115" s="48"/>
    </row>
    <row r="116" spans="1:12" ht="15.75" hidden="1" customHeight="1" x14ac:dyDescent="0.15">
      <c r="A116" s="44" t="s">
        <v>243</v>
      </c>
      <c r="B116" s="44" t="s">
        <v>3045</v>
      </c>
      <c r="C116" s="50" t="s">
        <v>2328</v>
      </c>
      <c r="D116" s="44" t="s">
        <v>381</v>
      </c>
      <c r="E116" s="45">
        <v>20</v>
      </c>
      <c r="F116" s="46">
        <v>13</v>
      </c>
      <c r="G116" s="46">
        <v>22</v>
      </c>
      <c r="H116" s="47">
        <v>520</v>
      </c>
      <c r="I116" s="47" t="s">
        <v>3047</v>
      </c>
      <c r="J116" s="47">
        <f>TS[[#This Row],[转运费]]*LOOKUP(TS[[#This Row],[币种]]&amp;"-",{"-","EUR-","USD-","ZAR-"},{1,1.163,1,0.06792})</f>
        <v>520</v>
      </c>
      <c r="K116" s="48"/>
      <c r="L116" s="48"/>
    </row>
    <row r="117" spans="1:12" ht="15.75" hidden="1" customHeight="1" x14ac:dyDescent="0.15">
      <c r="A117" s="44" t="s">
        <v>243</v>
      </c>
      <c r="B117" s="44" t="s">
        <v>3547</v>
      </c>
      <c r="C117" s="50" t="s">
        <v>2328</v>
      </c>
      <c r="D117" s="44" t="s">
        <v>3054</v>
      </c>
      <c r="E117" s="45">
        <v>20</v>
      </c>
      <c r="F117" s="46">
        <v>0</v>
      </c>
      <c r="G117" s="46">
        <v>16.5</v>
      </c>
      <c r="H117" s="47">
        <v>5400</v>
      </c>
      <c r="I117" s="47" t="s">
        <v>3042</v>
      </c>
      <c r="J117" s="47">
        <f>TS[[#This Row],[转运费]]*LOOKUP(TS[[#This Row],[币种]]&amp;"-",{"-","EUR-","USD-","ZAR-"},{1,1.163,1,0.06792})</f>
        <v>366.76799999999997</v>
      </c>
      <c r="K117" s="48"/>
      <c r="L117" s="48"/>
    </row>
    <row r="118" spans="1:12" ht="15.75" hidden="1" customHeight="1" x14ac:dyDescent="0.15">
      <c r="A118" s="44" t="s">
        <v>243</v>
      </c>
      <c r="B118" s="44" t="s">
        <v>3547</v>
      </c>
      <c r="C118" s="50" t="s">
        <v>2328</v>
      </c>
      <c r="D118" s="44" t="s">
        <v>3054</v>
      </c>
      <c r="E118" s="45">
        <v>40</v>
      </c>
      <c r="F118" s="46">
        <v>0</v>
      </c>
      <c r="G118" s="46">
        <v>26</v>
      </c>
      <c r="H118" s="47">
        <v>7800</v>
      </c>
      <c r="I118" s="47" t="s">
        <v>3042</v>
      </c>
      <c r="J118" s="47">
        <f>TS[[#This Row],[转运费]]*LOOKUP(TS[[#This Row],[币种]]&amp;"-",{"-","EUR-","USD-","ZAR-"},{1,1.163,1,0.06792})</f>
        <v>529.77599999999995</v>
      </c>
      <c r="K118" s="48"/>
      <c r="L118" s="48"/>
    </row>
    <row r="119" spans="1:12" ht="15.75" hidden="1" customHeight="1" x14ac:dyDescent="0.15">
      <c r="A119" s="44" t="s">
        <v>243</v>
      </c>
      <c r="B119" s="44" t="s">
        <v>3547</v>
      </c>
      <c r="C119" s="50" t="s">
        <v>2328</v>
      </c>
      <c r="D119" s="44" t="s">
        <v>383</v>
      </c>
      <c r="E119" s="45">
        <v>20</v>
      </c>
      <c r="F119" s="46">
        <v>13</v>
      </c>
      <c r="G119" s="46">
        <v>22</v>
      </c>
      <c r="H119" s="47">
        <v>575</v>
      </c>
      <c r="I119" s="47" t="s">
        <v>3047</v>
      </c>
      <c r="J119" s="47">
        <f>TS[[#This Row],[转运费]]*LOOKUP(TS[[#This Row],[币种]]&amp;"-",{"-","EUR-","USD-","ZAR-"},{1,1.163,1,0.06792})</f>
        <v>575</v>
      </c>
      <c r="K119" s="48"/>
      <c r="L119" s="48"/>
    </row>
    <row r="120" spans="1:12" ht="15.75" hidden="1" customHeight="1" x14ac:dyDescent="0.15">
      <c r="A120" s="44" t="s">
        <v>243</v>
      </c>
      <c r="B120" s="44" t="s">
        <v>3547</v>
      </c>
      <c r="C120" s="50" t="s">
        <v>2328</v>
      </c>
      <c r="D120" s="44" t="s">
        <v>383</v>
      </c>
      <c r="E120" s="45">
        <v>20</v>
      </c>
      <c r="F120" s="46">
        <v>22</v>
      </c>
      <c r="G120" s="46">
        <v>27.5</v>
      </c>
      <c r="H120" s="47">
        <v>750</v>
      </c>
      <c r="I120" s="47" t="s">
        <v>3047</v>
      </c>
      <c r="J120" s="47">
        <f>TS[[#This Row],[转运费]]*LOOKUP(TS[[#This Row],[币种]]&amp;"-",{"-","EUR-","USD-","ZAR-"},{1,1.163,1,0.06792})</f>
        <v>750</v>
      </c>
      <c r="K120" s="48"/>
      <c r="L120" s="48"/>
    </row>
    <row r="121" spans="1:12" ht="15.75" hidden="1" customHeight="1" x14ac:dyDescent="0.15">
      <c r="A121" s="44" t="s">
        <v>243</v>
      </c>
      <c r="B121" s="44" t="s">
        <v>3045</v>
      </c>
      <c r="C121" s="50" t="s">
        <v>2328</v>
      </c>
      <c r="D121" s="44" t="s">
        <v>378</v>
      </c>
      <c r="E121" s="45">
        <v>20</v>
      </c>
      <c r="F121" s="46">
        <v>13</v>
      </c>
      <c r="G121" s="46">
        <v>21</v>
      </c>
      <c r="H121" s="47">
        <v>530</v>
      </c>
      <c r="I121" s="47" t="s">
        <v>3047</v>
      </c>
      <c r="J121" s="47">
        <f>TS[[#This Row],[转运费]]*LOOKUP(TS[[#This Row],[币种]]&amp;"-",{"-","EUR-","USD-","ZAR-"},{1,1.163,1,0.06792})</f>
        <v>530</v>
      </c>
      <c r="K121" s="48"/>
      <c r="L121" s="48"/>
    </row>
    <row r="122" spans="1:12" ht="15.75" hidden="1" customHeight="1" x14ac:dyDescent="0.15">
      <c r="A122" s="44" t="s">
        <v>243</v>
      </c>
      <c r="B122" s="44" t="s">
        <v>3045</v>
      </c>
      <c r="C122" s="50" t="s">
        <v>2328</v>
      </c>
      <c r="D122" s="44" t="s">
        <v>371</v>
      </c>
      <c r="E122" s="45">
        <v>20</v>
      </c>
      <c r="F122" s="46">
        <v>21.9</v>
      </c>
      <c r="G122" s="46">
        <v>99</v>
      </c>
      <c r="H122" s="47">
        <v>7611</v>
      </c>
      <c r="I122" s="47" t="s">
        <v>3042</v>
      </c>
      <c r="J122" s="47">
        <f>TS[[#This Row],[转运费]]*LOOKUP(TS[[#This Row],[币种]]&amp;"-",{"-","EUR-","USD-","ZAR-"},{1,1.163,1,0.06792})</f>
        <v>516.93912</v>
      </c>
      <c r="K122" s="48"/>
      <c r="L122" s="48"/>
    </row>
    <row r="123" spans="1:12" ht="15.75" hidden="1" customHeight="1" x14ac:dyDescent="0.15">
      <c r="A123" s="44" t="s">
        <v>243</v>
      </c>
      <c r="B123" s="44" t="s">
        <v>3045</v>
      </c>
      <c r="C123" s="50" t="s">
        <v>2328</v>
      </c>
      <c r="D123" s="44" t="s">
        <v>381</v>
      </c>
      <c r="E123" s="45">
        <v>40</v>
      </c>
      <c r="F123" s="46">
        <v>0</v>
      </c>
      <c r="G123" s="46">
        <v>26</v>
      </c>
      <c r="H123" s="47">
        <v>550</v>
      </c>
      <c r="I123" s="47" t="s">
        <v>3047</v>
      </c>
      <c r="J123" s="47">
        <f>TS[[#This Row],[转运费]]*LOOKUP(TS[[#This Row],[币种]]&amp;"-",{"-","EUR-","USD-","ZAR-"},{1,1.163,1,0.06792})</f>
        <v>550</v>
      </c>
      <c r="K123" s="48"/>
      <c r="L123" s="48"/>
    </row>
    <row r="124" spans="1:12" ht="15.75" hidden="1" customHeight="1" x14ac:dyDescent="0.15">
      <c r="A124" s="44" t="s">
        <v>243</v>
      </c>
      <c r="B124" s="44" t="s">
        <v>3045</v>
      </c>
      <c r="C124" s="50" t="s">
        <v>2328</v>
      </c>
      <c r="D124" s="44" t="s">
        <v>371</v>
      </c>
      <c r="E124" s="45">
        <v>40</v>
      </c>
      <c r="F124" s="46">
        <v>25.9</v>
      </c>
      <c r="G124" s="46">
        <v>30.4</v>
      </c>
      <c r="H124" s="47">
        <v>7706</v>
      </c>
      <c r="I124" s="47" t="s">
        <v>3042</v>
      </c>
      <c r="J124" s="47">
        <f>TS[[#This Row],[转运费]]*LOOKUP(TS[[#This Row],[币种]]&amp;"-",{"-","EUR-","USD-","ZAR-"},{1,1.163,1,0.06792})</f>
        <v>523.3915199999999</v>
      </c>
      <c r="K124" s="48"/>
      <c r="L124" s="48"/>
    </row>
    <row r="125" spans="1:12" ht="15.75" hidden="1" customHeight="1" x14ac:dyDescent="0.15">
      <c r="A125" s="44" t="s">
        <v>243</v>
      </c>
      <c r="B125" s="44" t="s">
        <v>3045</v>
      </c>
      <c r="C125" s="50" t="s">
        <v>2328</v>
      </c>
      <c r="D125" s="44" t="s">
        <v>371</v>
      </c>
      <c r="E125" s="45">
        <v>20</v>
      </c>
      <c r="F125" s="46">
        <v>12.9</v>
      </c>
      <c r="G125" s="46">
        <v>21.9</v>
      </c>
      <c r="H125" s="47">
        <v>5560</v>
      </c>
      <c r="I125" s="47" t="s">
        <v>3042</v>
      </c>
      <c r="J125" s="47">
        <f>TS[[#This Row],[转运费]]*LOOKUP(TS[[#This Row],[币种]]&amp;"-",{"-","EUR-","USD-","ZAR-"},{1,1.163,1,0.06792})</f>
        <v>377.63519999999994</v>
      </c>
      <c r="K125" s="48"/>
      <c r="L125" s="48"/>
    </row>
    <row r="126" spans="1:12" ht="15.75" hidden="1" customHeight="1" x14ac:dyDescent="0.15">
      <c r="A126" s="44" t="s">
        <v>243</v>
      </c>
      <c r="B126" s="44" t="s">
        <v>3045</v>
      </c>
      <c r="C126" s="50" t="s">
        <v>2328</v>
      </c>
      <c r="D126" s="44" t="s">
        <v>378</v>
      </c>
      <c r="E126" s="45">
        <v>40</v>
      </c>
      <c r="F126" s="46">
        <v>0</v>
      </c>
      <c r="G126" s="46">
        <v>26</v>
      </c>
      <c r="H126" s="47">
        <v>600</v>
      </c>
      <c r="I126" s="47" t="s">
        <v>3047</v>
      </c>
      <c r="J126" s="47">
        <f>TS[[#This Row],[转运费]]*LOOKUP(TS[[#This Row],[币种]]&amp;"-",{"-","EUR-","USD-","ZAR-"},{1,1.163,1,0.06792})</f>
        <v>600</v>
      </c>
      <c r="K126" s="48"/>
      <c r="L126" s="48"/>
    </row>
    <row r="127" spans="1:12" ht="15.75" hidden="1" customHeight="1" x14ac:dyDescent="0.15">
      <c r="A127" s="44" t="s">
        <v>243</v>
      </c>
      <c r="B127" s="44" t="s">
        <v>3045</v>
      </c>
      <c r="C127" s="50" t="s">
        <v>2328</v>
      </c>
      <c r="D127" s="44" t="s">
        <v>381</v>
      </c>
      <c r="E127" s="45">
        <v>20</v>
      </c>
      <c r="F127" s="46">
        <v>22</v>
      </c>
      <c r="G127" s="46">
        <v>27.5</v>
      </c>
      <c r="H127" s="47">
        <v>640</v>
      </c>
      <c r="I127" s="47" t="s">
        <v>3047</v>
      </c>
      <c r="J127" s="47">
        <f>TS[[#This Row],[转运费]]*LOOKUP(TS[[#This Row],[币种]]&amp;"-",{"-","EUR-","USD-","ZAR-"},{1,1.163,1,0.06792})</f>
        <v>640</v>
      </c>
      <c r="K127" s="48"/>
      <c r="L127" s="48"/>
    </row>
    <row r="128" spans="1:12" ht="15.75" hidden="1" customHeight="1" x14ac:dyDescent="0.15">
      <c r="A128" s="44" t="s">
        <v>243</v>
      </c>
      <c r="B128" s="44" t="s">
        <v>3045</v>
      </c>
      <c r="C128" s="50" t="s">
        <v>2328</v>
      </c>
      <c r="D128" s="44" t="s">
        <v>381</v>
      </c>
      <c r="E128" s="45">
        <v>20</v>
      </c>
      <c r="F128" s="46">
        <v>27.5</v>
      </c>
      <c r="G128" s="46">
        <v>99</v>
      </c>
      <c r="H128" s="47">
        <v>1050</v>
      </c>
      <c r="I128" s="47" t="s">
        <v>3047</v>
      </c>
      <c r="J128" s="47">
        <f>TS[[#This Row],[转运费]]*LOOKUP(TS[[#This Row],[币种]]&amp;"-",{"-","EUR-","USD-","ZAR-"},{1,1.163,1,0.06792})</f>
        <v>1050</v>
      </c>
      <c r="K128" s="48"/>
      <c r="L128" s="48"/>
    </row>
    <row r="129" spans="1:12" ht="15.75" hidden="1" customHeight="1" x14ac:dyDescent="0.15">
      <c r="A129" s="44" t="s">
        <v>243</v>
      </c>
      <c r="B129" s="44" t="s">
        <v>3547</v>
      </c>
      <c r="C129" s="50" t="s">
        <v>2328</v>
      </c>
      <c r="D129" s="44" t="s">
        <v>383</v>
      </c>
      <c r="E129" s="45">
        <v>40</v>
      </c>
      <c r="F129" s="46">
        <v>26</v>
      </c>
      <c r="G129" s="46">
        <v>30</v>
      </c>
      <c r="H129" s="47">
        <v>1100</v>
      </c>
      <c r="I129" s="47" t="s">
        <v>3047</v>
      </c>
      <c r="J129" s="47">
        <f>TS[[#This Row],[转运费]]*LOOKUP(TS[[#This Row],[币种]]&amp;"-",{"-","EUR-","USD-","ZAR-"},{1,1.163,1,0.06792})</f>
        <v>1100</v>
      </c>
      <c r="K129" s="48"/>
      <c r="L129" s="48"/>
    </row>
    <row r="130" spans="1:12" ht="15.75" hidden="1" customHeight="1" x14ac:dyDescent="0.15">
      <c r="A130" s="44" t="s">
        <v>243</v>
      </c>
      <c r="B130" s="44" t="s">
        <v>3045</v>
      </c>
      <c r="C130" s="50" t="s">
        <v>2328</v>
      </c>
      <c r="D130" s="44" t="s">
        <v>381</v>
      </c>
      <c r="E130" s="45">
        <v>40</v>
      </c>
      <c r="F130" s="46">
        <v>26</v>
      </c>
      <c r="G130" s="46">
        <v>29.4</v>
      </c>
      <c r="H130" s="47">
        <v>720</v>
      </c>
      <c r="I130" s="47" t="s">
        <v>3047</v>
      </c>
      <c r="J130" s="47">
        <f>TS[[#This Row],[转运费]]*LOOKUP(TS[[#This Row],[币种]]&amp;"-",{"-","EUR-","USD-","ZAR-"},{1,1.163,1,0.06792})</f>
        <v>720</v>
      </c>
      <c r="K130" s="48"/>
      <c r="L130" s="48"/>
    </row>
    <row r="131" spans="1:12" ht="15.75" hidden="1" customHeight="1" x14ac:dyDescent="0.15">
      <c r="A131" s="44" t="s">
        <v>243</v>
      </c>
      <c r="B131" s="44" t="s">
        <v>3045</v>
      </c>
      <c r="C131" s="50" t="s">
        <v>2328</v>
      </c>
      <c r="D131" s="44" t="s">
        <v>381</v>
      </c>
      <c r="E131" s="45">
        <v>40</v>
      </c>
      <c r="F131" s="46">
        <v>29.4</v>
      </c>
      <c r="G131" s="46">
        <v>99</v>
      </c>
      <c r="H131" s="47">
        <v>1600</v>
      </c>
      <c r="I131" s="47" t="s">
        <v>3047</v>
      </c>
      <c r="J131" s="47">
        <f>TS[[#This Row],[转运费]]*LOOKUP(TS[[#This Row],[币种]]&amp;"-",{"-","EUR-","USD-","ZAR-"},{1,1.163,1,0.06792})</f>
        <v>1600</v>
      </c>
      <c r="K131" s="48"/>
      <c r="L131" s="48"/>
    </row>
    <row r="132" spans="1:12" ht="15.75" hidden="1" customHeight="1" x14ac:dyDescent="0.15">
      <c r="A132" s="44" t="s">
        <v>243</v>
      </c>
      <c r="B132" s="44" t="s">
        <v>3046</v>
      </c>
      <c r="C132" s="50" t="s">
        <v>2328</v>
      </c>
      <c r="D132" s="44" t="s">
        <v>375</v>
      </c>
      <c r="E132" s="45">
        <v>20</v>
      </c>
      <c r="F132" s="46">
        <v>0</v>
      </c>
      <c r="G132" s="46">
        <v>13</v>
      </c>
      <c r="H132" s="47">
        <v>4100</v>
      </c>
      <c r="I132" s="47" t="s">
        <v>3042</v>
      </c>
      <c r="J132" s="47">
        <f>TS[[#This Row],[转运费]]*LOOKUP(TS[[#This Row],[币种]]&amp;"-",{"-","EUR-","USD-","ZAR-"},{1,1.163,1,0.06792})</f>
        <v>278.47199999999998</v>
      </c>
      <c r="K132" s="48"/>
      <c r="L132" s="48"/>
    </row>
    <row r="133" spans="1:12" ht="15.75" hidden="1" customHeight="1" x14ac:dyDescent="0.15">
      <c r="A133" s="44" t="s">
        <v>243</v>
      </c>
      <c r="B133" s="44" t="s">
        <v>3046</v>
      </c>
      <c r="C133" s="50" t="s">
        <v>2328</v>
      </c>
      <c r="D133" s="44" t="s">
        <v>375</v>
      </c>
      <c r="E133" s="45">
        <v>20</v>
      </c>
      <c r="F133" s="46">
        <v>13</v>
      </c>
      <c r="G133" s="46">
        <v>22</v>
      </c>
      <c r="H133" s="47">
        <v>6600</v>
      </c>
      <c r="I133" s="47" t="s">
        <v>3042</v>
      </c>
      <c r="J133" s="47">
        <f>TS[[#This Row],[转运费]]*LOOKUP(TS[[#This Row],[币种]]&amp;"-",{"-","EUR-","USD-","ZAR-"},{1,1.163,1,0.06792})</f>
        <v>448.27199999999993</v>
      </c>
      <c r="K133" s="48"/>
      <c r="L133" s="48"/>
    </row>
    <row r="134" spans="1:12" ht="15.75" hidden="1" customHeight="1" x14ac:dyDescent="0.15">
      <c r="A134" s="44" t="s">
        <v>243</v>
      </c>
      <c r="B134" s="44" t="s">
        <v>3046</v>
      </c>
      <c r="C134" s="50" t="s">
        <v>2328</v>
      </c>
      <c r="D134" s="44" t="s">
        <v>375</v>
      </c>
      <c r="E134" s="45">
        <v>20</v>
      </c>
      <c r="F134" s="46">
        <v>22</v>
      </c>
      <c r="G134" s="46">
        <v>27.5</v>
      </c>
      <c r="H134" s="47">
        <v>8100</v>
      </c>
      <c r="I134" s="47" t="s">
        <v>3042</v>
      </c>
      <c r="J134" s="47">
        <f>TS[[#This Row],[转运费]]*LOOKUP(TS[[#This Row],[币种]]&amp;"-",{"-","EUR-","USD-","ZAR-"},{1,1.163,1,0.06792})</f>
        <v>550.15199999999993</v>
      </c>
      <c r="K134" s="48"/>
      <c r="L134" s="48"/>
    </row>
    <row r="135" spans="1:12" ht="15.75" hidden="1" customHeight="1" x14ac:dyDescent="0.15">
      <c r="A135" s="37" t="s">
        <v>2362</v>
      </c>
      <c r="B135" s="37" t="s">
        <v>2363</v>
      </c>
      <c r="C135" s="38" t="s">
        <v>533</v>
      </c>
      <c r="D135" s="37" t="s">
        <v>383</v>
      </c>
      <c r="E135" s="39">
        <v>20</v>
      </c>
      <c r="F135" s="40">
        <v>0</v>
      </c>
      <c r="G135" s="40">
        <v>13.5</v>
      </c>
      <c r="H135" s="41">
        <v>4500</v>
      </c>
      <c r="I135" s="41"/>
      <c r="J135" s="41">
        <f>TS[[#This Row],[转运费]]*LOOKUP(TS[[#This Row],[币种]]&amp;"-",{"-","EUR-","USD-","ZAR-"},{1,1.163,1,0.06792})</f>
        <v>4500</v>
      </c>
      <c r="K135" s="42"/>
      <c r="L135" s="42" t="s">
        <v>473</v>
      </c>
    </row>
    <row r="136" spans="1:12" ht="15.75" hidden="1" customHeight="1" x14ac:dyDescent="0.15">
      <c r="A136" s="37" t="s">
        <v>2362</v>
      </c>
      <c r="B136" s="37" t="s">
        <v>2363</v>
      </c>
      <c r="C136" s="38" t="s">
        <v>533</v>
      </c>
      <c r="D136" s="37" t="s">
        <v>383</v>
      </c>
      <c r="E136" s="39">
        <v>20</v>
      </c>
      <c r="F136" s="40">
        <v>13.5</v>
      </c>
      <c r="G136" s="40">
        <v>15</v>
      </c>
      <c r="H136" s="41">
        <v>6000</v>
      </c>
      <c r="I136" s="41"/>
      <c r="J136" s="41">
        <f>TS[[#This Row],[转运费]]*LOOKUP(TS[[#This Row],[币种]]&amp;"-",{"-","EUR-","USD-","ZAR-"},{1,1.163,1,0.06792})</f>
        <v>6000</v>
      </c>
      <c r="K136" s="42"/>
      <c r="L136" s="42" t="s">
        <v>473</v>
      </c>
    </row>
    <row r="137" spans="1:12" ht="15.75" hidden="1" customHeight="1" x14ac:dyDescent="0.15">
      <c r="A137" s="37" t="s">
        <v>2362</v>
      </c>
      <c r="B137" s="37" t="s">
        <v>2363</v>
      </c>
      <c r="C137" s="38" t="s">
        <v>533</v>
      </c>
      <c r="D137" s="37" t="s">
        <v>383</v>
      </c>
      <c r="E137" s="39">
        <v>20</v>
      </c>
      <c r="F137" s="40">
        <v>15</v>
      </c>
      <c r="G137" s="40">
        <v>27</v>
      </c>
      <c r="H137" s="41">
        <v>6900</v>
      </c>
      <c r="I137" s="41"/>
      <c r="J137" s="41">
        <f>TS[[#This Row],[转运费]]*LOOKUP(TS[[#This Row],[币种]]&amp;"-",{"-","EUR-","USD-","ZAR-"},{1,1.163,1,0.06792})</f>
        <v>6900</v>
      </c>
      <c r="K137" s="42"/>
      <c r="L137" s="42" t="s">
        <v>473</v>
      </c>
    </row>
    <row r="138" spans="1:12" ht="15.75" hidden="1" customHeight="1" x14ac:dyDescent="0.15">
      <c r="A138" s="37" t="s">
        <v>2362</v>
      </c>
      <c r="B138" s="37" t="s">
        <v>2363</v>
      </c>
      <c r="C138" s="38" t="s">
        <v>533</v>
      </c>
      <c r="D138" s="37" t="s">
        <v>383</v>
      </c>
      <c r="E138" s="39">
        <v>40</v>
      </c>
      <c r="F138" s="40">
        <v>0</v>
      </c>
      <c r="G138" s="40">
        <v>27</v>
      </c>
      <c r="H138" s="41">
        <v>7250</v>
      </c>
      <c r="I138" s="41"/>
      <c r="J138" s="41">
        <f>TS[[#This Row],[转运费]]*LOOKUP(TS[[#This Row],[币种]]&amp;"-",{"-","EUR-","USD-","ZAR-"},{1,1.163,1,0.06792})</f>
        <v>7250</v>
      </c>
      <c r="K138" s="42"/>
      <c r="L138" s="42" t="s">
        <v>473</v>
      </c>
    </row>
    <row r="139" spans="1:12" ht="15.75" hidden="1" customHeight="1" x14ac:dyDescent="0.15">
      <c r="A139" s="37" t="s">
        <v>2364</v>
      </c>
      <c r="B139" s="37" t="s">
        <v>2327</v>
      </c>
      <c r="C139" s="38" t="s">
        <v>533</v>
      </c>
      <c r="D139" s="44" t="s">
        <v>3249</v>
      </c>
      <c r="E139" s="45">
        <v>20</v>
      </c>
      <c r="F139" s="46">
        <v>0</v>
      </c>
      <c r="G139" s="46">
        <v>10.6</v>
      </c>
      <c r="H139" s="47">
        <v>2000</v>
      </c>
      <c r="I139" s="47"/>
      <c r="J139" s="47">
        <f>TS[[#This Row],[转运费]]*LOOKUP(TS[[#This Row],[币种]]&amp;"-",{"-","EUR-","USD-","ZAR-"},{1,1.163,1,0.06792})</f>
        <v>2000</v>
      </c>
      <c r="K139" s="48"/>
      <c r="L139" s="48"/>
    </row>
    <row r="140" spans="1:12" ht="15.75" hidden="1" customHeight="1" x14ac:dyDescent="0.15">
      <c r="A140" s="37" t="s">
        <v>2364</v>
      </c>
      <c r="B140" s="37" t="s">
        <v>2327</v>
      </c>
      <c r="C140" s="38" t="s">
        <v>533</v>
      </c>
      <c r="D140" s="44" t="s">
        <v>3249</v>
      </c>
      <c r="E140" s="45">
        <v>20</v>
      </c>
      <c r="F140" s="46">
        <v>10.6</v>
      </c>
      <c r="G140" s="46">
        <v>12.6</v>
      </c>
      <c r="H140" s="47">
        <v>2400</v>
      </c>
      <c r="I140" s="47"/>
      <c r="J140" s="47">
        <f>TS[[#This Row],[转运费]]*LOOKUP(TS[[#This Row],[币种]]&amp;"-",{"-","EUR-","USD-","ZAR-"},{1,1.163,1,0.06792})</f>
        <v>2400</v>
      </c>
      <c r="K140" s="48"/>
      <c r="L140" s="48"/>
    </row>
    <row r="141" spans="1:12" ht="15.75" hidden="1" customHeight="1" x14ac:dyDescent="0.15">
      <c r="A141" s="37" t="s">
        <v>2364</v>
      </c>
      <c r="B141" s="37" t="s">
        <v>2327</v>
      </c>
      <c r="C141" s="38" t="s">
        <v>533</v>
      </c>
      <c r="D141" s="44" t="s">
        <v>3249</v>
      </c>
      <c r="E141" s="45">
        <v>20</v>
      </c>
      <c r="F141" s="46">
        <v>12.6</v>
      </c>
      <c r="G141" s="46">
        <v>15.6</v>
      </c>
      <c r="H141" s="47">
        <v>2800</v>
      </c>
      <c r="I141" s="47"/>
      <c r="J141" s="47">
        <f>TS[[#This Row],[转运费]]*LOOKUP(TS[[#This Row],[币种]]&amp;"-",{"-","EUR-","USD-","ZAR-"},{1,1.163,1,0.06792})</f>
        <v>2800</v>
      </c>
      <c r="K141" s="48"/>
      <c r="L141" s="48"/>
    </row>
    <row r="142" spans="1:12" ht="15.75" hidden="1" customHeight="1" x14ac:dyDescent="0.15">
      <c r="A142" s="37" t="s">
        <v>2364</v>
      </c>
      <c r="B142" s="37" t="s">
        <v>2327</v>
      </c>
      <c r="C142" s="38" t="s">
        <v>533</v>
      </c>
      <c r="D142" s="44" t="s">
        <v>3249</v>
      </c>
      <c r="E142" s="45">
        <v>20</v>
      </c>
      <c r="F142" s="46">
        <v>15.6</v>
      </c>
      <c r="G142" s="46">
        <v>25.6</v>
      </c>
      <c r="H142" s="47">
        <v>3400</v>
      </c>
      <c r="I142" s="47"/>
      <c r="J142" s="47">
        <f>TS[[#This Row],[转运费]]*LOOKUP(TS[[#This Row],[币种]]&amp;"-",{"-","EUR-","USD-","ZAR-"},{1,1.163,1,0.06792})</f>
        <v>3400</v>
      </c>
      <c r="K142" s="48"/>
      <c r="L142" s="48"/>
    </row>
    <row r="143" spans="1:12" ht="15.75" hidden="1" customHeight="1" x14ac:dyDescent="0.15">
      <c r="A143" s="37" t="s">
        <v>2364</v>
      </c>
      <c r="B143" s="37" t="s">
        <v>2327</v>
      </c>
      <c r="C143" s="38" t="s">
        <v>533</v>
      </c>
      <c r="D143" s="37" t="s">
        <v>380</v>
      </c>
      <c r="E143" s="39">
        <v>40</v>
      </c>
      <c r="F143" s="40">
        <v>0</v>
      </c>
      <c r="G143" s="40">
        <v>27</v>
      </c>
      <c r="H143" s="41">
        <v>3100</v>
      </c>
      <c r="I143" s="41"/>
      <c r="J143" s="41">
        <f>TS[[#This Row],[转运费]]*LOOKUP(TS[[#This Row],[币种]]&amp;"-",{"-","EUR-","USD-","ZAR-"},{1,1.163,1,0.06792})</f>
        <v>3100</v>
      </c>
      <c r="K143" s="42"/>
      <c r="L143" s="43"/>
    </row>
    <row r="144" spans="1:12" ht="15.75" hidden="1" customHeight="1" x14ac:dyDescent="0.15">
      <c r="A144" s="37" t="s">
        <v>2364</v>
      </c>
      <c r="B144" s="37" t="s">
        <v>2327</v>
      </c>
      <c r="C144" s="38" t="s">
        <v>533</v>
      </c>
      <c r="D144" s="37" t="s">
        <v>380</v>
      </c>
      <c r="E144" s="39">
        <v>20</v>
      </c>
      <c r="F144" s="40">
        <v>0</v>
      </c>
      <c r="G144" s="40">
        <v>14</v>
      </c>
      <c r="H144" s="41">
        <v>1760</v>
      </c>
      <c r="I144" s="41"/>
      <c r="J144" s="41">
        <f>TS[[#This Row],[转运费]]*LOOKUP(TS[[#This Row],[币种]]&amp;"-",{"-","EUR-","USD-","ZAR-"},{1,1.163,1,0.06792})</f>
        <v>1760</v>
      </c>
      <c r="K144" s="42"/>
      <c r="L144" s="43"/>
    </row>
    <row r="145" spans="1:12" ht="15.75" hidden="1" customHeight="1" x14ac:dyDescent="0.15">
      <c r="A145" s="37" t="s">
        <v>2364</v>
      </c>
      <c r="B145" s="37" t="s">
        <v>2327</v>
      </c>
      <c r="C145" s="38" t="s">
        <v>533</v>
      </c>
      <c r="D145" s="37" t="s">
        <v>380</v>
      </c>
      <c r="E145" s="39">
        <v>20</v>
      </c>
      <c r="F145" s="40">
        <v>14</v>
      </c>
      <c r="G145" s="40">
        <v>27</v>
      </c>
      <c r="H145" s="41">
        <v>2880</v>
      </c>
      <c r="I145" s="41"/>
      <c r="J145" s="41">
        <f>TS[[#This Row],[转运费]]*LOOKUP(TS[[#This Row],[币种]]&amp;"-",{"-","EUR-","USD-","ZAR-"},{1,1.163,1,0.06792})</f>
        <v>2880</v>
      </c>
      <c r="K145" s="42"/>
      <c r="L145" s="43"/>
    </row>
    <row r="146" spans="1:12" ht="15.75" hidden="1" customHeight="1" x14ac:dyDescent="0.15">
      <c r="A146" s="37" t="s">
        <v>2364</v>
      </c>
      <c r="B146" s="37" t="s">
        <v>2327</v>
      </c>
      <c r="C146" s="38" t="s">
        <v>533</v>
      </c>
      <c r="D146" s="37" t="s">
        <v>383</v>
      </c>
      <c r="E146" s="39">
        <v>40</v>
      </c>
      <c r="F146" s="40">
        <v>0</v>
      </c>
      <c r="G146" s="40">
        <v>27</v>
      </c>
      <c r="H146" s="41">
        <v>3400</v>
      </c>
      <c r="I146" s="41"/>
      <c r="J146" s="41">
        <f>TS[[#This Row],[转运费]]*LOOKUP(TS[[#This Row],[币种]]&amp;"-",{"-","EUR-","USD-","ZAR-"},{1,1.163,1,0.06792})</f>
        <v>3400</v>
      </c>
      <c r="K146" s="42"/>
      <c r="L146" s="42" t="s">
        <v>473</v>
      </c>
    </row>
    <row r="147" spans="1:12" ht="15.75" hidden="1" customHeight="1" x14ac:dyDescent="0.15">
      <c r="A147" s="37" t="s">
        <v>2364</v>
      </c>
      <c r="B147" s="37" t="s">
        <v>2327</v>
      </c>
      <c r="C147" s="38" t="s">
        <v>533</v>
      </c>
      <c r="D147" s="37" t="s">
        <v>472</v>
      </c>
      <c r="E147" s="39">
        <v>20</v>
      </c>
      <c r="F147" s="40">
        <v>0</v>
      </c>
      <c r="G147" s="40">
        <v>13</v>
      </c>
      <c r="H147" s="41">
        <v>1900</v>
      </c>
      <c r="I147" s="41"/>
      <c r="J147" s="41">
        <f>TS[[#This Row],[转运费]]*LOOKUP(TS[[#This Row],[币种]]&amp;"-",{"-","EUR-","USD-","ZAR-"},{1,1.163,1,0.06792})</f>
        <v>1900</v>
      </c>
      <c r="K147" s="42"/>
      <c r="L147" s="42" t="s">
        <v>473</v>
      </c>
    </row>
    <row r="148" spans="1:12" ht="15.75" hidden="1" customHeight="1" x14ac:dyDescent="0.15">
      <c r="A148" s="37" t="s">
        <v>2364</v>
      </c>
      <c r="B148" s="37" t="s">
        <v>2327</v>
      </c>
      <c r="C148" s="38" t="s">
        <v>533</v>
      </c>
      <c r="D148" s="37" t="s">
        <v>383</v>
      </c>
      <c r="E148" s="39">
        <v>20</v>
      </c>
      <c r="F148" s="40">
        <v>13</v>
      </c>
      <c r="G148" s="40">
        <v>15</v>
      </c>
      <c r="H148" s="41">
        <v>2225</v>
      </c>
      <c r="I148" s="41"/>
      <c r="J148" s="41">
        <f>TS[[#This Row],[转运费]]*LOOKUP(TS[[#This Row],[币种]]&amp;"-",{"-","EUR-","USD-","ZAR-"},{1,1.163,1,0.06792})</f>
        <v>2225</v>
      </c>
      <c r="K148" s="42"/>
      <c r="L148" s="42" t="s">
        <v>473</v>
      </c>
    </row>
    <row r="149" spans="1:12" ht="15.75" hidden="1" customHeight="1" x14ac:dyDescent="0.15">
      <c r="A149" s="37" t="s">
        <v>2364</v>
      </c>
      <c r="B149" s="37" t="s">
        <v>2327</v>
      </c>
      <c r="C149" s="38" t="s">
        <v>533</v>
      </c>
      <c r="D149" s="37" t="s">
        <v>383</v>
      </c>
      <c r="E149" s="39">
        <v>20</v>
      </c>
      <c r="F149" s="40">
        <v>15</v>
      </c>
      <c r="G149" s="40">
        <v>18</v>
      </c>
      <c r="H149" s="41">
        <v>2675</v>
      </c>
      <c r="I149" s="41"/>
      <c r="J149" s="41">
        <f>TS[[#This Row],[转运费]]*LOOKUP(TS[[#This Row],[币种]]&amp;"-",{"-","EUR-","USD-","ZAR-"},{1,1.163,1,0.06792})</f>
        <v>2675</v>
      </c>
      <c r="K149" s="42"/>
      <c r="L149" s="42" t="s">
        <v>473</v>
      </c>
    </row>
    <row r="150" spans="1:12" ht="15.75" hidden="1" customHeight="1" x14ac:dyDescent="0.15">
      <c r="A150" s="37" t="s">
        <v>2364</v>
      </c>
      <c r="B150" s="37" t="s">
        <v>2327</v>
      </c>
      <c r="C150" s="38" t="s">
        <v>533</v>
      </c>
      <c r="D150" s="37" t="s">
        <v>383</v>
      </c>
      <c r="E150" s="39">
        <v>20</v>
      </c>
      <c r="F150" s="40">
        <v>18</v>
      </c>
      <c r="G150" s="40">
        <v>21</v>
      </c>
      <c r="H150" s="41">
        <v>3150</v>
      </c>
      <c r="I150" s="41"/>
      <c r="J150" s="41">
        <f>TS[[#This Row],[转运费]]*LOOKUP(TS[[#This Row],[币种]]&amp;"-",{"-","EUR-","USD-","ZAR-"},{1,1.163,1,0.06792})</f>
        <v>3150</v>
      </c>
      <c r="K150" s="42"/>
      <c r="L150" s="42" t="s">
        <v>473</v>
      </c>
    </row>
    <row r="151" spans="1:12" ht="15.75" hidden="1" customHeight="1" x14ac:dyDescent="0.15">
      <c r="A151" s="37" t="s">
        <v>2364</v>
      </c>
      <c r="B151" s="37" t="s">
        <v>2327</v>
      </c>
      <c r="C151" s="38" t="s">
        <v>533</v>
      </c>
      <c r="D151" s="37" t="s">
        <v>383</v>
      </c>
      <c r="E151" s="39">
        <v>20</v>
      </c>
      <c r="F151" s="40">
        <v>21</v>
      </c>
      <c r="G151" s="40">
        <v>24</v>
      </c>
      <c r="H151" s="41">
        <v>3150</v>
      </c>
      <c r="I151" s="41"/>
      <c r="J151" s="41">
        <f>TS[[#This Row],[转运费]]*LOOKUP(TS[[#This Row],[币种]]&amp;"-",{"-","EUR-","USD-","ZAR-"},{1,1.163,1,0.06792})</f>
        <v>3150</v>
      </c>
      <c r="K151" s="42"/>
      <c r="L151" s="42" t="s">
        <v>473</v>
      </c>
    </row>
    <row r="152" spans="1:12" ht="15.75" hidden="1" customHeight="1" x14ac:dyDescent="0.15">
      <c r="A152" s="37" t="s">
        <v>2364</v>
      </c>
      <c r="B152" s="37" t="s">
        <v>2327</v>
      </c>
      <c r="C152" s="38" t="s">
        <v>533</v>
      </c>
      <c r="D152" s="37" t="s">
        <v>383</v>
      </c>
      <c r="E152" s="39">
        <v>20</v>
      </c>
      <c r="F152" s="40">
        <v>24</v>
      </c>
      <c r="G152" s="40">
        <v>27</v>
      </c>
      <c r="H152" s="41">
        <v>3200</v>
      </c>
      <c r="I152" s="41"/>
      <c r="J152" s="41">
        <f>TS[[#This Row],[转运费]]*LOOKUP(TS[[#This Row],[币种]]&amp;"-",{"-","EUR-","USD-","ZAR-"},{1,1.163,1,0.06792})</f>
        <v>3200</v>
      </c>
      <c r="K152" s="42"/>
      <c r="L152" s="42" t="s">
        <v>473</v>
      </c>
    </row>
    <row r="153" spans="1:12" ht="15.75" hidden="1" customHeight="1" x14ac:dyDescent="0.15">
      <c r="A153" s="37" t="s">
        <v>2364</v>
      </c>
      <c r="B153" s="37" t="s">
        <v>2327</v>
      </c>
      <c r="C153" s="38" t="s">
        <v>533</v>
      </c>
      <c r="D153" s="44" t="s">
        <v>3249</v>
      </c>
      <c r="E153" s="45">
        <v>40</v>
      </c>
      <c r="F153" s="46">
        <v>0</v>
      </c>
      <c r="G153" s="46">
        <v>27</v>
      </c>
      <c r="H153" s="47">
        <v>3600</v>
      </c>
      <c r="I153" s="47"/>
      <c r="J153" s="47">
        <f>TS[[#This Row],[转运费]]*LOOKUP(TS[[#This Row],[币种]]&amp;"-",{"-","EUR-","USD-","ZAR-"},{1,1.163,1,0.06792})</f>
        <v>3600</v>
      </c>
      <c r="K153" s="48"/>
      <c r="L153" s="48"/>
    </row>
    <row r="154" spans="1:12" ht="15.75" hidden="1" customHeight="1" x14ac:dyDescent="0.15">
      <c r="A154" s="37" t="s">
        <v>2365</v>
      </c>
      <c r="B154" s="37" t="s">
        <v>2366</v>
      </c>
      <c r="C154" s="38" t="s">
        <v>477</v>
      </c>
      <c r="D154" s="37" t="s">
        <v>380</v>
      </c>
      <c r="E154" s="39">
        <v>20</v>
      </c>
      <c r="F154" s="40">
        <v>0</v>
      </c>
      <c r="G154" s="40">
        <v>13.5</v>
      </c>
      <c r="H154" s="41">
        <v>3150</v>
      </c>
      <c r="I154" s="41"/>
      <c r="J154" s="41">
        <f>TS[[#This Row],[转运费]]*LOOKUP(TS[[#This Row],[币种]]&amp;"-",{"-","EUR-","USD-","ZAR-"},{1,1.163,1,0.06792})</f>
        <v>3150</v>
      </c>
      <c r="K154" s="42"/>
      <c r="L154" s="43"/>
    </row>
    <row r="155" spans="1:12" ht="15.75" hidden="1" customHeight="1" x14ac:dyDescent="0.15">
      <c r="A155" s="37" t="s">
        <v>2365</v>
      </c>
      <c r="B155" s="37" t="s">
        <v>2366</v>
      </c>
      <c r="C155" s="38" t="s">
        <v>477</v>
      </c>
      <c r="D155" s="37" t="s">
        <v>380</v>
      </c>
      <c r="E155" s="39">
        <v>20</v>
      </c>
      <c r="F155" s="40">
        <v>13.5</v>
      </c>
      <c r="G155" s="40">
        <v>27</v>
      </c>
      <c r="H155" s="41">
        <v>5100</v>
      </c>
      <c r="I155" s="41"/>
      <c r="J155" s="41">
        <f>TS[[#This Row],[转运费]]*LOOKUP(TS[[#This Row],[币种]]&amp;"-",{"-","EUR-","USD-","ZAR-"},{1,1.163,1,0.06792})</f>
        <v>5100</v>
      </c>
      <c r="K155" s="42"/>
      <c r="L155" s="43"/>
    </row>
    <row r="156" spans="1:12" ht="15.75" hidden="1" customHeight="1" x14ac:dyDescent="0.15">
      <c r="A156" s="37" t="s">
        <v>2365</v>
      </c>
      <c r="B156" s="37" t="s">
        <v>2366</v>
      </c>
      <c r="C156" s="38" t="s">
        <v>477</v>
      </c>
      <c r="D156" s="37" t="s">
        <v>380</v>
      </c>
      <c r="E156" s="39">
        <v>40</v>
      </c>
      <c r="F156" s="40">
        <v>0</v>
      </c>
      <c r="G156" s="40">
        <v>28</v>
      </c>
      <c r="H156" s="41">
        <v>5400</v>
      </c>
      <c r="I156" s="41"/>
      <c r="J156" s="41">
        <f>TS[[#This Row],[转运费]]*LOOKUP(TS[[#This Row],[币种]]&amp;"-",{"-","EUR-","USD-","ZAR-"},{1,1.163,1,0.06792})</f>
        <v>5400</v>
      </c>
      <c r="K156" s="42"/>
      <c r="L156" s="43"/>
    </row>
    <row r="157" spans="1:12" ht="15.75" hidden="1" customHeight="1" x14ac:dyDescent="0.15">
      <c r="A157" s="37" t="s">
        <v>2365</v>
      </c>
      <c r="B157" s="37" t="s">
        <v>2366</v>
      </c>
      <c r="C157" s="38" t="s">
        <v>477</v>
      </c>
      <c r="D157" s="37" t="s">
        <v>383</v>
      </c>
      <c r="E157" s="39">
        <v>20</v>
      </c>
      <c r="F157" s="40">
        <v>0</v>
      </c>
      <c r="G157" s="40">
        <v>13.5</v>
      </c>
      <c r="H157" s="41">
        <v>3250</v>
      </c>
      <c r="I157" s="41"/>
      <c r="J157" s="41">
        <f>TS[[#This Row],[转运费]]*LOOKUP(TS[[#This Row],[币种]]&amp;"-",{"-","EUR-","USD-","ZAR-"},{1,1.163,1,0.06792})</f>
        <v>3250</v>
      </c>
      <c r="K157" s="42"/>
      <c r="L157" s="42" t="s">
        <v>478</v>
      </c>
    </row>
    <row r="158" spans="1:12" ht="15.75" hidden="1" customHeight="1" x14ac:dyDescent="0.15">
      <c r="A158" s="37" t="s">
        <v>2365</v>
      </c>
      <c r="B158" s="37" t="s">
        <v>2366</v>
      </c>
      <c r="C158" s="38" t="s">
        <v>477</v>
      </c>
      <c r="D158" s="37" t="s">
        <v>383</v>
      </c>
      <c r="E158" s="39">
        <v>20</v>
      </c>
      <c r="F158" s="40">
        <v>13.5</v>
      </c>
      <c r="G158" s="40">
        <v>27</v>
      </c>
      <c r="H158" s="41">
        <v>5300</v>
      </c>
      <c r="I158" s="41"/>
      <c r="J158" s="41">
        <f>TS[[#This Row],[转运费]]*LOOKUP(TS[[#This Row],[币种]]&amp;"-",{"-","EUR-","USD-","ZAR-"},{1,1.163,1,0.06792})</f>
        <v>5300</v>
      </c>
      <c r="K158" s="42"/>
      <c r="L158" s="42" t="s">
        <v>478</v>
      </c>
    </row>
    <row r="159" spans="1:12" ht="15.75" hidden="1" customHeight="1" x14ac:dyDescent="0.15">
      <c r="A159" s="37" t="s">
        <v>2365</v>
      </c>
      <c r="B159" s="37" t="s">
        <v>2366</v>
      </c>
      <c r="C159" s="38" t="s">
        <v>477</v>
      </c>
      <c r="D159" s="37" t="s">
        <v>383</v>
      </c>
      <c r="E159" s="39">
        <v>40</v>
      </c>
      <c r="F159" s="40">
        <v>0</v>
      </c>
      <c r="G159" s="40">
        <v>27</v>
      </c>
      <c r="H159" s="41">
        <v>5600</v>
      </c>
      <c r="I159" s="41"/>
      <c r="J159" s="41">
        <f>TS[[#This Row],[转运费]]*LOOKUP(TS[[#This Row],[币种]]&amp;"-",{"-","EUR-","USD-","ZAR-"},{1,1.163,1,0.06792})</f>
        <v>5600</v>
      </c>
      <c r="K159" s="42"/>
      <c r="L159" s="42" t="s">
        <v>478</v>
      </c>
    </row>
    <row r="160" spans="1:12" ht="15.75" hidden="1" customHeight="1" x14ac:dyDescent="0.15">
      <c r="A160" s="37" t="s">
        <v>2365</v>
      </c>
      <c r="B160" s="37" t="s">
        <v>2367</v>
      </c>
      <c r="C160" s="38" t="s">
        <v>477</v>
      </c>
      <c r="D160" s="37" t="s">
        <v>380</v>
      </c>
      <c r="E160" s="39">
        <v>20</v>
      </c>
      <c r="F160" s="40">
        <v>0</v>
      </c>
      <c r="G160" s="40">
        <v>13.5</v>
      </c>
      <c r="H160" s="41">
        <v>3100</v>
      </c>
      <c r="I160" s="41"/>
      <c r="J160" s="41">
        <f>TS[[#This Row],[转运费]]*LOOKUP(TS[[#This Row],[币种]]&amp;"-",{"-","EUR-","USD-","ZAR-"},{1,1.163,1,0.06792})</f>
        <v>3100</v>
      </c>
      <c r="K160" s="42"/>
      <c r="L160" s="43"/>
    </row>
    <row r="161" spans="1:12" ht="15.75" hidden="1" customHeight="1" x14ac:dyDescent="0.15">
      <c r="A161" s="37" t="s">
        <v>2365</v>
      </c>
      <c r="B161" s="37" t="s">
        <v>2367</v>
      </c>
      <c r="C161" s="38" t="s">
        <v>477</v>
      </c>
      <c r="D161" s="37" t="s">
        <v>380</v>
      </c>
      <c r="E161" s="39">
        <v>20</v>
      </c>
      <c r="F161" s="40">
        <v>13.5</v>
      </c>
      <c r="G161" s="40">
        <v>27</v>
      </c>
      <c r="H161" s="41">
        <v>5050</v>
      </c>
      <c r="I161" s="41"/>
      <c r="J161" s="41">
        <f>TS[[#This Row],[转运费]]*LOOKUP(TS[[#This Row],[币种]]&amp;"-",{"-","EUR-","USD-","ZAR-"},{1,1.163,1,0.06792})</f>
        <v>5050</v>
      </c>
      <c r="K161" s="42"/>
      <c r="L161" s="43"/>
    </row>
    <row r="162" spans="1:12" ht="15.75" hidden="1" customHeight="1" x14ac:dyDescent="0.15">
      <c r="A162" s="37" t="s">
        <v>2365</v>
      </c>
      <c r="B162" s="37" t="s">
        <v>2367</v>
      </c>
      <c r="C162" s="38" t="s">
        <v>477</v>
      </c>
      <c r="D162" s="37" t="s">
        <v>380</v>
      </c>
      <c r="E162" s="39">
        <v>40</v>
      </c>
      <c r="F162" s="40">
        <v>0</v>
      </c>
      <c r="G162" s="40">
        <v>28</v>
      </c>
      <c r="H162" s="41">
        <v>5350</v>
      </c>
      <c r="I162" s="41"/>
      <c r="J162" s="41">
        <f>TS[[#This Row],[转运费]]*LOOKUP(TS[[#This Row],[币种]]&amp;"-",{"-","EUR-","USD-","ZAR-"},{1,1.163,1,0.06792})</f>
        <v>5350</v>
      </c>
      <c r="K162" s="42"/>
      <c r="L162" s="43"/>
    </row>
    <row r="163" spans="1:12" ht="15.75" hidden="1" customHeight="1" x14ac:dyDescent="0.15">
      <c r="A163" s="37" t="s">
        <v>2365</v>
      </c>
      <c r="B163" s="37" t="s">
        <v>2368</v>
      </c>
      <c r="C163" s="38" t="s">
        <v>536</v>
      </c>
      <c r="D163" s="37" t="s">
        <v>383</v>
      </c>
      <c r="E163" s="39">
        <v>20</v>
      </c>
      <c r="F163" s="40">
        <v>0</v>
      </c>
      <c r="G163" s="40">
        <v>28</v>
      </c>
      <c r="H163" s="41">
        <v>4700</v>
      </c>
      <c r="I163" s="41"/>
      <c r="J163" s="41">
        <f>TS[[#This Row],[转运费]]*LOOKUP(TS[[#This Row],[币种]]&amp;"-",{"-","EUR-","USD-","ZAR-"},{1,1.163,1,0.06792})</f>
        <v>4700</v>
      </c>
      <c r="K163" s="42"/>
      <c r="L163" s="42"/>
    </row>
    <row r="164" spans="1:12" ht="15.75" hidden="1" customHeight="1" x14ac:dyDescent="0.15">
      <c r="A164" s="37" t="s">
        <v>2365</v>
      </c>
      <c r="B164" s="37" t="s">
        <v>2368</v>
      </c>
      <c r="C164" s="38" t="s">
        <v>536</v>
      </c>
      <c r="D164" s="37" t="s">
        <v>383</v>
      </c>
      <c r="E164" s="39">
        <v>40</v>
      </c>
      <c r="F164" s="40">
        <v>0</v>
      </c>
      <c r="G164" s="40">
        <v>30</v>
      </c>
      <c r="H164" s="41">
        <v>5100</v>
      </c>
      <c r="I164" s="41"/>
      <c r="J164" s="41">
        <f>TS[[#This Row],[转运费]]*LOOKUP(TS[[#This Row],[币种]]&amp;"-",{"-","EUR-","USD-","ZAR-"},{1,1.163,1,0.06792})</f>
        <v>5100</v>
      </c>
      <c r="K164" s="42"/>
      <c r="L164" s="42"/>
    </row>
    <row r="165" spans="1:12" ht="15.75" hidden="1" customHeight="1" x14ac:dyDescent="0.15">
      <c r="A165" s="37" t="s">
        <v>2365</v>
      </c>
      <c r="B165" s="37" t="s">
        <v>2368</v>
      </c>
      <c r="C165" s="38" t="s">
        <v>477</v>
      </c>
      <c r="D165" s="37" t="s">
        <v>380</v>
      </c>
      <c r="E165" s="39">
        <v>20</v>
      </c>
      <c r="F165" s="40">
        <v>0</v>
      </c>
      <c r="G165" s="40">
        <v>13.5</v>
      </c>
      <c r="H165" s="41">
        <v>3100</v>
      </c>
      <c r="I165" s="41"/>
      <c r="J165" s="41">
        <f>TS[[#This Row],[转运费]]*LOOKUP(TS[[#This Row],[币种]]&amp;"-",{"-","EUR-","USD-","ZAR-"},{1,1.163,1,0.06792})</f>
        <v>3100</v>
      </c>
      <c r="K165" s="42"/>
      <c r="L165" s="43"/>
    </row>
    <row r="166" spans="1:12" ht="15.75" hidden="1" customHeight="1" x14ac:dyDescent="0.15">
      <c r="A166" s="37" t="s">
        <v>2365</v>
      </c>
      <c r="B166" s="37" t="s">
        <v>2368</v>
      </c>
      <c r="C166" s="38" t="s">
        <v>477</v>
      </c>
      <c r="D166" s="37" t="s">
        <v>380</v>
      </c>
      <c r="E166" s="39">
        <v>20</v>
      </c>
      <c r="F166" s="40">
        <v>13.5</v>
      </c>
      <c r="G166" s="40">
        <v>27</v>
      </c>
      <c r="H166" s="41">
        <v>5050</v>
      </c>
      <c r="I166" s="41"/>
      <c r="J166" s="41">
        <f>TS[[#This Row],[转运费]]*LOOKUP(TS[[#This Row],[币种]]&amp;"-",{"-","EUR-","USD-","ZAR-"},{1,1.163,1,0.06792})</f>
        <v>5050</v>
      </c>
      <c r="K166" s="42"/>
      <c r="L166" s="43"/>
    </row>
    <row r="167" spans="1:12" ht="15.75" hidden="1" customHeight="1" x14ac:dyDescent="0.15">
      <c r="A167" s="51" t="s">
        <v>2365</v>
      </c>
      <c r="B167" s="51" t="s">
        <v>2368</v>
      </c>
      <c r="C167" s="52" t="s">
        <v>477</v>
      </c>
      <c r="D167" s="51" t="s">
        <v>380</v>
      </c>
      <c r="E167" s="53">
        <v>40</v>
      </c>
      <c r="F167" s="54">
        <v>0</v>
      </c>
      <c r="G167" s="54">
        <v>28</v>
      </c>
      <c r="H167" s="55">
        <v>5350</v>
      </c>
      <c r="I167" s="55"/>
      <c r="J167" s="55">
        <f>TS[[#This Row],[转运费]]*LOOKUP(TS[[#This Row],[币种]]&amp;"-",{"-","EUR-","USD-","ZAR-"},{1,1.163,1,0.06792})</f>
        <v>5350</v>
      </c>
      <c r="K167" s="56"/>
      <c r="L167" s="57"/>
    </row>
    <row r="168" spans="1:12" ht="15.75" hidden="1" customHeight="1" x14ac:dyDescent="0.15">
      <c r="A168" s="37" t="s">
        <v>2365</v>
      </c>
      <c r="B168" s="37" t="s">
        <v>2368</v>
      </c>
      <c r="C168" s="38" t="s">
        <v>477</v>
      </c>
      <c r="D168" s="37" t="s">
        <v>383</v>
      </c>
      <c r="E168" s="39">
        <v>20</v>
      </c>
      <c r="F168" s="40">
        <v>0</v>
      </c>
      <c r="G168" s="40">
        <v>13.5</v>
      </c>
      <c r="H168" s="41">
        <v>3250</v>
      </c>
      <c r="I168" s="41"/>
      <c r="J168" s="41">
        <f>TS[[#This Row],[转运费]]*LOOKUP(TS[[#This Row],[币种]]&amp;"-",{"-","EUR-","USD-","ZAR-"},{1,1.163,1,0.06792})</f>
        <v>3250</v>
      </c>
      <c r="K168" s="42"/>
      <c r="L168" s="42" t="s">
        <v>478</v>
      </c>
    </row>
    <row r="169" spans="1:12" ht="15.75" hidden="1" customHeight="1" x14ac:dyDescent="0.15">
      <c r="A169" s="37" t="s">
        <v>2365</v>
      </c>
      <c r="B169" s="37" t="s">
        <v>2368</v>
      </c>
      <c r="C169" s="38" t="s">
        <v>477</v>
      </c>
      <c r="D169" s="37" t="s">
        <v>383</v>
      </c>
      <c r="E169" s="39">
        <v>20</v>
      </c>
      <c r="F169" s="40">
        <v>13.5</v>
      </c>
      <c r="G169" s="40">
        <v>27</v>
      </c>
      <c r="H169" s="41">
        <v>5300</v>
      </c>
      <c r="I169" s="41"/>
      <c r="J169" s="41">
        <f>TS[[#This Row],[转运费]]*LOOKUP(TS[[#This Row],[币种]]&amp;"-",{"-","EUR-","USD-","ZAR-"},{1,1.163,1,0.06792})</f>
        <v>5300</v>
      </c>
      <c r="K169" s="42"/>
      <c r="L169" s="42" t="s">
        <v>478</v>
      </c>
    </row>
    <row r="170" spans="1:12" ht="15.75" hidden="1" customHeight="1" x14ac:dyDescent="0.15">
      <c r="A170" s="37" t="s">
        <v>2365</v>
      </c>
      <c r="B170" s="37" t="s">
        <v>2368</v>
      </c>
      <c r="C170" s="38" t="s">
        <v>477</v>
      </c>
      <c r="D170" s="37" t="s">
        <v>383</v>
      </c>
      <c r="E170" s="39">
        <v>40</v>
      </c>
      <c r="F170" s="40">
        <v>0</v>
      </c>
      <c r="G170" s="40">
        <v>27</v>
      </c>
      <c r="H170" s="41">
        <v>5600</v>
      </c>
      <c r="I170" s="41"/>
      <c r="J170" s="41">
        <f>TS[[#This Row],[转运费]]*LOOKUP(TS[[#This Row],[币种]]&amp;"-",{"-","EUR-","USD-","ZAR-"},{1,1.163,1,0.06792})</f>
        <v>5600</v>
      </c>
      <c r="K170" s="42"/>
      <c r="L170" s="42" t="s">
        <v>478</v>
      </c>
    </row>
    <row r="171" spans="1:12" ht="15.75" hidden="1" customHeight="1" x14ac:dyDescent="0.15">
      <c r="A171" s="37" t="s">
        <v>2365</v>
      </c>
      <c r="B171" s="37" t="s">
        <v>2369</v>
      </c>
      <c r="C171" s="38" t="s">
        <v>534</v>
      </c>
      <c r="D171" s="37" t="s">
        <v>2331</v>
      </c>
      <c r="E171" s="39">
        <v>20</v>
      </c>
      <c r="F171" s="40">
        <v>0</v>
      </c>
      <c r="G171" s="40">
        <v>15.3</v>
      </c>
      <c r="H171" s="41">
        <v>3400</v>
      </c>
      <c r="I171" s="41"/>
      <c r="J171" s="41">
        <f>TS[[#This Row],[转运费]]*LOOKUP(TS[[#This Row],[币种]]&amp;"-",{"-","EUR-","USD-","ZAR-"},{1,1.163,1,0.06792})</f>
        <v>3400</v>
      </c>
      <c r="K171" s="42"/>
      <c r="L171" s="42" t="s">
        <v>470</v>
      </c>
    </row>
    <row r="172" spans="1:12" ht="15.75" hidden="1" customHeight="1" x14ac:dyDescent="0.15">
      <c r="A172" s="37" t="s">
        <v>2365</v>
      </c>
      <c r="B172" s="37" t="s">
        <v>2369</v>
      </c>
      <c r="C172" s="38" t="s">
        <v>536</v>
      </c>
      <c r="D172" s="37" t="s">
        <v>383</v>
      </c>
      <c r="E172" s="39">
        <v>40</v>
      </c>
      <c r="F172" s="40">
        <v>0</v>
      </c>
      <c r="G172" s="40">
        <v>30</v>
      </c>
      <c r="H172" s="41">
        <v>4550</v>
      </c>
      <c r="I172" s="41"/>
      <c r="J172" s="41">
        <f>TS[[#This Row],[转运费]]*LOOKUP(TS[[#This Row],[币种]]&amp;"-",{"-","EUR-","USD-","ZAR-"},{1,1.163,1,0.06792})</f>
        <v>4550</v>
      </c>
      <c r="K172" s="42"/>
      <c r="L172" s="42"/>
    </row>
    <row r="173" spans="1:12" ht="15.75" hidden="1" customHeight="1" x14ac:dyDescent="0.15">
      <c r="A173" s="37" t="s">
        <v>2365</v>
      </c>
      <c r="B173" s="37" t="s">
        <v>2369</v>
      </c>
      <c r="C173" s="38" t="s">
        <v>536</v>
      </c>
      <c r="D173" s="37" t="s">
        <v>383</v>
      </c>
      <c r="E173" s="39">
        <v>20</v>
      </c>
      <c r="F173" s="40">
        <v>0</v>
      </c>
      <c r="G173" s="40">
        <v>28</v>
      </c>
      <c r="H173" s="41">
        <v>4100</v>
      </c>
      <c r="I173" s="41"/>
      <c r="J173" s="41">
        <f>TS[[#This Row],[转运费]]*LOOKUP(TS[[#This Row],[币种]]&amp;"-",{"-","EUR-","USD-","ZAR-"},{1,1.163,1,0.06792})</f>
        <v>4100</v>
      </c>
      <c r="K173" s="42"/>
      <c r="L173" s="42"/>
    </row>
    <row r="174" spans="1:12" ht="15.75" customHeight="1" x14ac:dyDescent="0.15">
      <c r="A174" s="37" t="s">
        <v>2365</v>
      </c>
      <c r="B174" s="37" t="s">
        <v>2369</v>
      </c>
      <c r="C174" s="38" t="s">
        <v>477</v>
      </c>
      <c r="D174" s="37" t="s">
        <v>380</v>
      </c>
      <c r="E174" s="39">
        <v>40</v>
      </c>
      <c r="F174" s="40">
        <v>0</v>
      </c>
      <c r="G174" s="40">
        <v>28</v>
      </c>
      <c r="H174" s="41">
        <v>5350</v>
      </c>
      <c r="I174" s="41"/>
      <c r="J174" s="41">
        <f>TS[[#This Row],[转运费]]*LOOKUP(TS[[#This Row],[币种]]&amp;"-",{"-","EUR-","USD-","ZAR-"},{1,1.163,1,0.06792})</f>
        <v>5350</v>
      </c>
      <c r="K174" s="42"/>
      <c r="L174" s="43"/>
    </row>
    <row r="175" spans="1:12" ht="15.75" hidden="1" customHeight="1" x14ac:dyDescent="0.15">
      <c r="A175" s="37" t="s">
        <v>2365</v>
      </c>
      <c r="B175" s="37" t="s">
        <v>2369</v>
      </c>
      <c r="C175" s="38" t="s">
        <v>536</v>
      </c>
      <c r="D175" s="37" t="s">
        <v>475</v>
      </c>
      <c r="E175" s="39">
        <v>20</v>
      </c>
      <c r="F175" s="40">
        <v>0</v>
      </c>
      <c r="G175" s="40">
        <v>28</v>
      </c>
      <c r="H175" s="41">
        <v>4858</v>
      </c>
      <c r="I175" s="41"/>
      <c r="J175" s="41">
        <f>TS[[#This Row],[转运费]]*LOOKUP(TS[[#This Row],[币种]]&amp;"-",{"-","EUR-","USD-","ZAR-"},{1,1.163,1,0.06792})</f>
        <v>4858</v>
      </c>
      <c r="K175" s="42"/>
      <c r="L175" s="42" t="s">
        <v>478</v>
      </c>
    </row>
    <row r="176" spans="1:12" ht="15.75" hidden="1" customHeight="1" x14ac:dyDescent="0.15">
      <c r="A176" s="37" t="s">
        <v>2365</v>
      </c>
      <c r="B176" s="37" t="s">
        <v>2369</v>
      </c>
      <c r="C176" s="38" t="s">
        <v>534</v>
      </c>
      <c r="D176" s="37" t="s">
        <v>378</v>
      </c>
      <c r="E176" s="39">
        <v>20</v>
      </c>
      <c r="F176" s="40">
        <v>15.3</v>
      </c>
      <c r="G176" s="40">
        <v>24.3</v>
      </c>
      <c r="H176" s="41">
        <v>3700</v>
      </c>
      <c r="I176" s="41"/>
      <c r="J176" s="41">
        <f>TS[[#This Row],[转运费]]*LOOKUP(TS[[#This Row],[币种]]&amp;"-",{"-","EUR-","USD-","ZAR-"},{1,1.163,1,0.06792})</f>
        <v>3700</v>
      </c>
      <c r="K176" s="42"/>
      <c r="L176" s="42" t="s">
        <v>470</v>
      </c>
    </row>
    <row r="177" spans="1:12" ht="15.75" customHeight="1" x14ac:dyDescent="0.15">
      <c r="A177" s="37" t="s">
        <v>2365</v>
      </c>
      <c r="B177" s="37" t="s">
        <v>2369</v>
      </c>
      <c r="C177" s="38" t="s">
        <v>477</v>
      </c>
      <c r="D177" s="37" t="s">
        <v>383</v>
      </c>
      <c r="E177" s="39">
        <v>40</v>
      </c>
      <c r="F177" s="40">
        <v>0</v>
      </c>
      <c r="G177" s="40">
        <v>27</v>
      </c>
      <c r="H177" s="41">
        <v>5600</v>
      </c>
      <c r="I177" s="41"/>
      <c r="J177" s="41">
        <f>TS[[#This Row],[转运费]]*LOOKUP(TS[[#This Row],[币种]]&amp;"-",{"-","EUR-","USD-","ZAR-"},{1,1.163,1,0.06792})</f>
        <v>5600</v>
      </c>
      <c r="K177" s="42"/>
      <c r="L177" s="42" t="s">
        <v>478</v>
      </c>
    </row>
    <row r="178" spans="1:12" ht="15.75" hidden="1" customHeight="1" x14ac:dyDescent="0.15">
      <c r="A178" s="37" t="s">
        <v>2365</v>
      </c>
      <c r="B178" s="37" t="s">
        <v>2369</v>
      </c>
      <c r="C178" s="38" t="s">
        <v>536</v>
      </c>
      <c r="D178" s="37" t="s">
        <v>371</v>
      </c>
      <c r="E178" s="39">
        <v>40</v>
      </c>
      <c r="F178" s="40">
        <v>0</v>
      </c>
      <c r="G178" s="40">
        <v>24</v>
      </c>
      <c r="H178" s="41">
        <v>5885</v>
      </c>
      <c r="I178" s="41"/>
      <c r="J178" s="41">
        <f>TS[[#This Row],[转运费]]*LOOKUP(TS[[#This Row],[币种]]&amp;"-",{"-","EUR-","USD-","ZAR-"},{1,1.163,1,0.06792})</f>
        <v>5885</v>
      </c>
      <c r="K178" s="42"/>
      <c r="L178" s="42" t="s">
        <v>478</v>
      </c>
    </row>
    <row r="179" spans="1:12" ht="15.75" hidden="1" customHeight="1" x14ac:dyDescent="0.15">
      <c r="A179" s="37" t="s">
        <v>2365</v>
      </c>
      <c r="B179" s="37" t="s">
        <v>2369</v>
      </c>
      <c r="C179" s="38" t="s">
        <v>477</v>
      </c>
      <c r="D179" s="37" t="s">
        <v>380</v>
      </c>
      <c r="E179" s="39">
        <v>20</v>
      </c>
      <c r="F179" s="40">
        <v>0</v>
      </c>
      <c r="G179" s="40">
        <v>13.5</v>
      </c>
      <c r="H179" s="41">
        <v>3100</v>
      </c>
      <c r="I179" s="41"/>
      <c r="J179" s="41">
        <f>TS[[#This Row],[转运费]]*LOOKUP(TS[[#This Row],[币种]]&amp;"-",{"-","EUR-","USD-","ZAR-"},{1,1.163,1,0.06792})</f>
        <v>3100</v>
      </c>
      <c r="K179" s="42"/>
      <c r="L179" s="43"/>
    </row>
    <row r="180" spans="1:12" ht="15.75" hidden="1" customHeight="1" x14ac:dyDescent="0.15">
      <c r="A180" s="37" t="s">
        <v>2365</v>
      </c>
      <c r="B180" s="37" t="s">
        <v>2369</v>
      </c>
      <c r="C180" s="38" t="s">
        <v>477</v>
      </c>
      <c r="D180" s="37" t="s">
        <v>380</v>
      </c>
      <c r="E180" s="39">
        <v>20</v>
      </c>
      <c r="F180" s="40">
        <v>13.5</v>
      </c>
      <c r="G180" s="40">
        <v>28</v>
      </c>
      <c r="H180" s="41">
        <v>5050</v>
      </c>
      <c r="I180" s="41"/>
      <c r="J180" s="41">
        <f>TS[[#This Row],[转运费]]*LOOKUP(TS[[#This Row],[币种]]&amp;"-",{"-","EUR-","USD-","ZAR-"},{1,1.163,1,0.06792})</f>
        <v>5050</v>
      </c>
      <c r="K180" s="42"/>
      <c r="L180" s="43"/>
    </row>
    <row r="181" spans="1:12" ht="15.75" hidden="1" customHeight="1" x14ac:dyDescent="0.15">
      <c r="A181" s="37" t="s">
        <v>2365</v>
      </c>
      <c r="B181" s="37" t="s">
        <v>2369</v>
      </c>
      <c r="C181" s="38" t="s">
        <v>534</v>
      </c>
      <c r="D181" s="37" t="s">
        <v>378</v>
      </c>
      <c r="E181" s="39">
        <v>40</v>
      </c>
      <c r="F181" s="40">
        <v>0</v>
      </c>
      <c r="G181" s="40">
        <v>29.8</v>
      </c>
      <c r="H181" s="41">
        <v>6350</v>
      </c>
      <c r="I181" s="41"/>
      <c r="J181" s="41">
        <f>TS[[#This Row],[转运费]]*LOOKUP(TS[[#This Row],[币种]]&amp;"-",{"-","EUR-","USD-","ZAR-"},{1,1.163,1,0.06792})</f>
        <v>6350</v>
      </c>
      <c r="K181" s="42"/>
      <c r="L181" s="42" t="s">
        <v>470</v>
      </c>
    </row>
    <row r="182" spans="1:12" ht="15.75" hidden="1" customHeight="1" x14ac:dyDescent="0.15">
      <c r="A182" s="37" t="s">
        <v>2365</v>
      </c>
      <c r="B182" s="37" t="s">
        <v>2369</v>
      </c>
      <c r="C182" s="38" t="s">
        <v>477</v>
      </c>
      <c r="D182" s="37" t="s">
        <v>383</v>
      </c>
      <c r="E182" s="39">
        <v>20</v>
      </c>
      <c r="F182" s="40">
        <v>0</v>
      </c>
      <c r="G182" s="40">
        <v>13.5</v>
      </c>
      <c r="H182" s="41">
        <v>3250</v>
      </c>
      <c r="I182" s="41"/>
      <c r="J182" s="41">
        <f>TS[[#This Row],[转运费]]*LOOKUP(TS[[#This Row],[币种]]&amp;"-",{"-","EUR-","USD-","ZAR-"},{1,1.163,1,0.06792})</f>
        <v>3250</v>
      </c>
      <c r="K182" s="42"/>
      <c r="L182" s="42" t="s">
        <v>478</v>
      </c>
    </row>
    <row r="183" spans="1:12" ht="15.75" hidden="1" customHeight="1" x14ac:dyDescent="0.15">
      <c r="A183" s="37" t="s">
        <v>2365</v>
      </c>
      <c r="B183" s="37" t="s">
        <v>2369</v>
      </c>
      <c r="C183" s="38" t="s">
        <v>477</v>
      </c>
      <c r="D183" s="37" t="s">
        <v>383</v>
      </c>
      <c r="E183" s="39">
        <v>20</v>
      </c>
      <c r="F183" s="40">
        <v>13.5</v>
      </c>
      <c r="G183" s="40">
        <v>27</v>
      </c>
      <c r="H183" s="41">
        <v>5300</v>
      </c>
      <c r="I183" s="41"/>
      <c r="J183" s="41">
        <f>TS[[#This Row],[转运费]]*LOOKUP(TS[[#This Row],[币种]]&amp;"-",{"-","EUR-","USD-","ZAR-"},{1,1.163,1,0.06792})</f>
        <v>5300</v>
      </c>
      <c r="K183" s="42"/>
      <c r="L183" s="42" t="s">
        <v>478</v>
      </c>
    </row>
    <row r="184" spans="1:12" ht="15.75" hidden="1" customHeight="1" x14ac:dyDescent="0.15">
      <c r="A184" s="37" t="s">
        <v>2365</v>
      </c>
      <c r="B184" s="37" t="s">
        <v>2369</v>
      </c>
      <c r="C184" s="38" t="s">
        <v>534</v>
      </c>
      <c r="D184" s="37" t="s">
        <v>378</v>
      </c>
      <c r="E184" s="39">
        <v>40</v>
      </c>
      <c r="F184" s="40">
        <v>29.8</v>
      </c>
      <c r="G184" s="40">
        <v>33.200000000000003</v>
      </c>
      <c r="H184" s="41">
        <v>6900</v>
      </c>
      <c r="I184" s="41"/>
      <c r="J184" s="41">
        <f>TS[[#This Row],[转运费]]*LOOKUP(TS[[#This Row],[币种]]&amp;"-",{"-","EUR-","USD-","ZAR-"},{1,1.163,1,0.06792})</f>
        <v>6900</v>
      </c>
      <c r="K184" s="42"/>
      <c r="L184" s="42" t="s">
        <v>470</v>
      </c>
    </row>
    <row r="185" spans="1:12" ht="15.75" hidden="1" customHeight="1" x14ac:dyDescent="0.15">
      <c r="A185" s="37" t="s">
        <v>2365</v>
      </c>
      <c r="B185" s="37" t="s">
        <v>2370</v>
      </c>
      <c r="C185" s="38" t="s">
        <v>536</v>
      </c>
      <c r="D185" s="37" t="s">
        <v>383</v>
      </c>
      <c r="E185" s="39">
        <v>20</v>
      </c>
      <c r="F185" s="40">
        <v>0</v>
      </c>
      <c r="G185" s="40">
        <v>28</v>
      </c>
      <c r="H185" s="41">
        <v>4700</v>
      </c>
      <c r="I185" s="41"/>
      <c r="J185" s="41">
        <f>TS[[#This Row],[转运费]]*LOOKUP(TS[[#This Row],[币种]]&amp;"-",{"-","EUR-","USD-","ZAR-"},{1,1.163,1,0.06792})</f>
        <v>4700</v>
      </c>
      <c r="K185" s="42"/>
      <c r="L185" s="42"/>
    </row>
    <row r="186" spans="1:12" ht="15.75" hidden="1" customHeight="1" x14ac:dyDescent="0.15">
      <c r="A186" s="37" t="s">
        <v>2365</v>
      </c>
      <c r="B186" s="37" t="s">
        <v>2370</v>
      </c>
      <c r="C186" s="38" t="s">
        <v>536</v>
      </c>
      <c r="D186" s="37" t="s">
        <v>383</v>
      </c>
      <c r="E186" s="39">
        <v>40</v>
      </c>
      <c r="F186" s="40">
        <v>0</v>
      </c>
      <c r="G186" s="40">
        <v>30</v>
      </c>
      <c r="H186" s="41">
        <v>5100</v>
      </c>
      <c r="I186" s="41"/>
      <c r="J186" s="41">
        <f>TS[[#This Row],[转运费]]*LOOKUP(TS[[#This Row],[币种]]&amp;"-",{"-","EUR-","USD-","ZAR-"},{1,1.163,1,0.06792})</f>
        <v>5100</v>
      </c>
      <c r="K186" s="42"/>
      <c r="L186" s="42"/>
    </row>
    <row r="187" spans="1:12" ht="15.75" hidden="1" customHeight="1" x14ac:dyDescent="0.15">
      <c r="A187" s="37" t="s">
        <v>2365</v>
      </c>
      <c r="B187" s="37" t="s">
        <v>2370</v>
      </c>
      <c r="C187" s="38" t="s">
        <v>477</v>
      </c>
      <c r="D187" s="37" t="s">
        <v>380</v>
      </c>
      <c r="E187" s="39">
        <v>20</v>
      </c>
      <c r="F187" s="40">
        <v>0</v>
      </c>
      <c r="G187" s="40">
        <v>13.5</v>
      </c>
      <c r="H187" s="41">
        <v>3100</v>
      </c>
      <c r="I187" s="41"/>
      <c r="J187" s="41">
        <f>TS[[#This Row],[转运费]]*LOOKUP(TS[[#This Row],[币种]]&amp;"-",{"-","EUR-","USD-","ZAR-"},{1,1.163,1,0.06792})</f>
        <v>3100</v>
      </c>
      <c r="K187" s="42"/>
      <c r="L187" s="43"/>
    </row>
    <row r="188" spans="1:12" ht="15.75" hidden="1" customHeight="1" x14ac:dyDescent="0.15">
      <c r="A188" s="37" t="s">
        <v>2365</v>
      </c>
      <c r="B188" s="37" t="s">
        <v>2370</v>
      </c>
      <c r="C188" s="38" t="s">
        <v>477</v>
      </c>
      <c r="D188" s="37" t="s">
        <v>380</v>
      </c>
      <c r="E188" s="39">
        <v>20</v>
      </c>
      <c r="F188" s="40">
        <v>13.5</v>
      </c>
      <c r="G188" s="40">
        <v>27</v>
      </c>
      <c r="H188" s="41">
        <v>5050</v>
      </c>
      <c r="I188" s="41"/>
      <c r="J188" s="41">
        <f>TS[[#This Row],[转运费]]*LOOKUP(TS[[#This Row],[币种]]&amp;"-",{"-","EUR-","USD-","ZAR-"},{1,1.163,1,0.06792})</f>
        <v>5050</v>
      </c>
      <c r="K188" s="42"/>
      <c r="L188" s="43"/>
    </row>
    <row r="189" spans="1:12" ht="15.75" hidden="1" customHeight="1" x14ac:dyDescent="0.15">
      <c r="A189" s="37" t="s">
        <v>2365</v>
      </c>
      <c r="B189" s="37" t="s">
        <v>2370</v>
      </c>
      <c r="C189" s="38" t="s">
        <v>477</v>
      </c>
      <c r="D189" s="37" t="s">
        <v>380</v>
      </c>
      <c r="E189" s="39">
        <v>40</v>
      </c>
      <c r="F189" s="40">
        <v>0</v>
      </c>
      <c r="G189" s="40">
        <v>28</v>
      </c>
      <c r="H189" s="41">
        <v>5350</v>
      </c>
      <c r="I189" s="41"/>
      <c r="J189" s="41">
        <f>TS[[#This Row],[转运费]]*LOOKUP(TS[[#This Row],[币种]]&amp;"-",{"-","EUR-","USD-","ZAR-"},{1,1.163,1,0.06792})</f>
        <v>5350</v>
      </c>
      <c r="K189" s="42"/>
      <c r="L189" s="43"/>
    </row>
    <row r="190" spans="1:12" ht="15.75" hidden="1" customHeight="1" x14ac:dyDescent="0.15">
      <c r="A190" s="37" t="s">
        <v>2365</v>
      </c>
      <c r="B190" s="37" t="s">
        <v>2370</v>
      </c>
      <c r="C190" s="38" t="s">
        <v>477</v>
      </c>
      <c r="D190" s="37" t="s">
        <v>383</v>
      </c>
      <c r="E190" s="39">
        <v>20</v>
      </c>
      <c r="F190" s="40">
        <v>0</v>
      </c>
      <c r="G190" s="40">
        <v>13.5</v>
      </c>
      <c r="H190" s="41">
        <v>3250</v>
      </c>
      <c r="I190" s="41"/>
      <c r="J190" s="41">
        <f>TS[[#This Row],[转运费]]*LOOKUP(TS[[#This Row],[币种]]&amp;"-",{"-","EUR-","USD-","ZAR-"},{1,1.163,1,0.06792})</f>
        <v>3250</v>
      </c>
      <c r="K190" s="42"/>
      <c r="L190" s="42" t="s">
        <v>478</v>
      </c>
    </row>
    <row r="191" spans="1:12" ht="15.75" hidden="1" customHeight="1" x14ac:dyDescent="0.15">
      <c r="A191" s="37" t="s">
        <v>2365</v>
      </c>
      <c r="B191" s="37" t="s">
        <v>2370</v>
      </c>
      <c r="C191" s="38" t="s">
        <v>477</v>
      </c>
      <c r="D191" s="37" t="s">
        <v>383</v>
      </c>
      <c r="E191" s="39">
        <v>20</v>
      </c>
      <c r="F191" s="40">
        <v>13.5</v>
      </c>
      <c r="G191" s="40">
        <v>27</v>
      </c>
      <c r="H191" s="41">
        <v>5300</v>
      </c>
      <c r="I191" s="41"/>
      <c r="J191" s="41">
        <f>TS[[#This Row],[转运费]]*LOOKUP(TS[[#This Row],[币种]]&amp;"-",{"-","EUR-","USD-","ZAR-"},{1,1.163,1,0.06792})</f>
        <v>5300</v>
      </c>
      <c r="K191" s="42"/>
      <c r="L191" s="42" t="s">
        <v>478</v>
      </c>
    </row>
    <row r="192" spans="1:12" ht="15.75" hidden="1" customHeight="1" x14ac:dyDescent="0.15">
      <c r="A192" s="37" t="s">
        <v>2365</v>
      </c>
      <c r="B192" s="37" t="s">
        <v>2370</v>
      </c>
      <c r="C192" s="38" t="s">
        <v>477</v>
      </c>
      <c r="D192" s="37" t="s">
        <v>383</v>
      </c>
      <c r="E192" s="39">
        <v>40</v>
      </c>
      <c r="F192" s="40">
        <v>0</v>
      </c>
      <c r="G192" s="40">
        <v>27</v>
      </c>
      <c r="H192" s="41">
        <v>5600</v>
      </c>
      <c r="I192" s="41"/>
      <c r="J192" s="41">
        <f>TS[[#This Row],[转运费]]*LOOKUP(TS[[#This Row],[币种]]&amp;"-",{"-","EUR-","USD-","ZAR-"},{1,1.163,1,0.06792})</f>
        <v>5600</v>
      </c>
      <c r="K192" s="42"/>
      <c r="L192" s="42" t="s">
        <v>478</v>
      </c>
    </row>
    <row r="193" spans="1:12" ht="15.75" hidden="1" customHeight="1" x14ac:dyDescent="0.15">
      <c r="A193" s="37" t="s">
        <v>2365</v>
      </c>
      <c r="B193" s="37" t="s">
        <v>2371</v>
      </c>
      <c r="C193" s="38" t="s">
        <v>477</v>
      </c>
      <c r="D193" s="37" t="s">
        <v>380</v>
      </c>
      <c r="E193" s="39">
        <v>20</v>
      </c>
      <c r="F193" s="40">
        <v>0</v>
      </c>
      <c r="G193" s="40">
        <v>13.5</v>
      </c>
      <c r="H193" s="41">
        <v>3550</v>
      </c>
      <c r="I193" s="41"/>
      <c r="J193" s="41">
        <f>TS[[#This Row],[转运费]]*LOOKUP(TS[[#This Row],[币种]]&amp;"-",{"-","EUR-","USD-","ZAR-"},{1,1.163,1,0.06792})</f>
        <v>3550</v>
      </c>
      <c r="K193" s="42"/>
      <c r="L193" s="43"/>
    </row>
    <row r="194" spans="1:12" ht="15.75" hidden="1" customHeight="1" x14ac:dyDescent="0.15">
      <c r="A194" s="37" t="s">
        <v>2365</v>
      </c>
      <c r="B194" s="37" t="s">
        <v>2371</v>
      </c>
      <c r="C194" s="38" t="s">
        <v>477</v>
      </c>
      <c r="D194" s="37" t="s">
        <v>380</v>
      </c>
      <c r="E194" s="39">
        <v>20</v>
      </c>
      <c r="F194" s="40">
        <v>13.5</v>
      </c>
      <c r="G194" s="40">
        <v>27</v>
      </c>
      <c r="H194" s="41">
        <v>5800</v>
      </c>
      <c r="I194" s="41"/>
      <c r="J194" s="41">
        <f>TS[[#This Row],[转运费]]*LOOKUP(TS[[#This Row],[币种]]&amp;"-",{"-","EUR-","USD-","ZAR-"},{1,1.163,1,0.06792})</f>
        <v>5800</v>
      </c>
      <c r="K194" s="42"/>
      <c r="L194" s="43"/>
    </row>
    <row r="195" spans="1:12" ht="15.75" hidden="1" customHeight="1" x14ac:dyDescent="0.15">
      <c r="A195" s="37" t="s">
        <v>2365</v>
      </c>
      <c r="B195" s="37" t="s">
        <v>2371</v>
      </c>
      <c r="C195" s="38" t="s">
        <v>477</v>
      </c>
      <c r="D195" s="37" t="s">
        <v>380</v>
      </c>
      <c r="E195" s="39">
        <v>40</v>
      </c>
      <c r="F195" s="40">
        <v>0</v>
      </c>
      <c r="G195" s="40">
        <v>28</v>
      </c>
      <c r="H195" s="41">
        <v>6100</v>
      </c>
      <c r="I195" s="41"/>
      <c r="J195" s="41">
        <f>TS[[#This Row],[转运费]]*LOOKUP(TS[[#This Row],[币种]]&amp;"-",{"-","EUR-","USD-","ZAR-"},{1,1.163,1,0.06792})</f>
        <v>6100</v>
      </c>
      <c r="K195" s="42"/>
      <c r="L195" s="43"/>
    </row>
    <row r="196" spans="1:12" ht="15.75" hidden="1" customHeight="1" x14ac:dyDescent="0.15">
      <c r="A196" s="37" t="s">
        <v>2365</v>
      </c>
      <c r="B196" s="37" t="s">
        <v>2371</v>
      </c>
      <c r="C196" s="38" t="s">
        <v>477</v>
      </c>
      <c r="D196" s="37" t="s">
        <v>383</v>
      </c>
      <c r="E196" s="39">
        <v>20</v>
      </c>
      <c r="F196" s="40">
        <v>0</v>
      </c>
      <c r="G196" s="40">
        <v>13.5</v>
      </c>
      <c r="H196" s="41">
        <v>3800</v>
      </c>
      <c r="I196" s="41"/>
      <c r="J196" s="41">
        <f>TS[[#This Row],[转运费]]*LOOKUP(TS[[#This Row],[币种]]&amp;"-",{"-","EUR-","USD-","ZAR-"},{1,1.163,1,0.06792})</f>
        <v>3800</v>
      </c>
      <c r="K196" s="42"/>
      <c r="L196" s="42" t="s">
        <v>478</v>
      </c>
    </row>
    <row r="197" spans="1:12" ht="15.75" hidden="1" customHeight="1" x14ac:dyDescent="0.15">
      <c r="A197" s="37" t="s">
        <v>2365</v>
      </c>
      <c r="B197" s="37" t="s">
        <v>2371</v>
      </c>
      <c r="C197" s="38" t="s">
        <v>477</v>
      </c>
      <c r="D197" s="37" t="s">
        <v>383</v>
      </c>
      <c r="E197" s="39">
        <v>20</v>
      </c>
      <c r="F197" s="40">
        <v>13.5</v>
      </c>
      <c r="G197" s="40">
        <v>27</v>
      </c>
      <c r="H197" s="41">
        <v>5900</v>
      </c>
      <c r="I197" s="41"/>
      <c r="J197" s="41">
        <f>TS[[#This Row],[转运费]]*LOOKUP(TS[[#This Row],[币种]]&amp;"-",{"-","EUR-","USD-","ZAR-"},{1,1.163,1,0.06792})</f>
        <v>5900</v>
      </c>
      <c r="K197" s="42"/>
      <c r="L197" s="42" t="s">
        <v>478</v>
      </c>
    </row>
    <row r="198" spans="1:12" ht="15.75" hidden="1" customHeight="1" x14ac:dyDescent="0.15">
      <c r="A198" s="37" t="s">
        <v>2365</v>
      </c>
      <c r="B198" s="37" t="s">
        <v>2371</v>
      </c>
      <c r="C198" s="38" t="s">
        <v>477</v>
      </c>
      <c r="D198" s="37" t="s">
        <v>383</v>
      </c>
      <c r="E198" s="39">
        <v>40</v>
      </c>
      <c r="F198" s="40">
        <v>0</v>
      </c>
      <c r="G198" s="40">
        <v>27</v>
      </c>
      <c r="H198" s="41">
        <v>6100</v>
      </c>
      <c r="I198" s="41"/>
      <c r="J198" s="41">
        <f>TS[[#This Row],[转运费]]*LOOKUP(TS[[#This Row],[币种]]&amp;"-",{"-","EUR-","USD-","ZAR-"},{1,1.163,1,0.06792})</f>
        <v>6100</v>
      </c>
      <c r="K198" s="42"/>
      <c r="L198" s="42" t="s">
        <v>478</v>
      </c>
    </row>
    <row r="199" spans="1:12" ht="15.75" hidden="1" customHeight="1" x14ac:dyDescent="0.15">
      <c r="A199" s="37" t="s">
        <v>2372</v>
      </c>
      <c r="B199" s="37" t="s">
        <v>2373</v>
      </c>
      <c r="C199" s="38" t="s">
        <v>536</v>
      </c>
      <c r="D199" s="37" t="s">
        <v>383</v>
      </c>
      <c r="E199" s="39">
        <v>20</v>
      </c>
      <c r="F199" s="40">
        <v>0</v>
      </c>
      <c r="G199" s="40">
        <v>28</v>
      </c>
      <c r="H199" s="41">
        <v>3350</v>
      </c>
      <c r="I199" s="41"/>
      <c r="J199" s="41">
        <f>TS[[#This Row],[转运费]]*LOOKUP(TS[[#This Row],[币种]]&amp;"-",{"-","EUR-","USD-","ZAR-"},{1,1.163,1,0.06792})</f>
        <v>3350</v>
      </c>
      <c r="K199" s="42"/>
      <c r="L199" s="42" t="s">
        <v>473</v>
      </c>
    </row>
    <row r="200" spans="1:12" ht="15.75" hidden="1" customHeight="1" x14ac:dyDescent="0.15">
      <c r="A200" s="37" t="s">
        <v>2372</v>
      </c>
      <c r="B200" s="37" t="s">
        <v>2373</v>
      </c>
      <c r="C200" s="38" t="s">
        <v>536</v>
      </c>
      <c r="D200" s="37" t="s">
        <v>383</v>
      </c>
      <c r="E200" s="39">
        <v>40</v>
      </c>
      <c r="F200" s="40">
        <v>0</v>
      </c>
      <c r="G200" s="40">
        <v>30</v>
      </c>
      <c r="H200" s="41">
        <v>3800</v>
      </c>
      <c r="I200" s="41"/>
      <c r="J200" s="41">
        <f>TS[[#This Row],[转运费]]*LOOKUP(TS[[#This Row],[币种]]&amp;"-",{"-","EUR-","USD-","ZAR-"},{1,1.163,1,0.06792})</f>
        <v>3800</v>
      </c>
      <c r="K200" s="42"/>
      <c r="L200" s="42" t="s">
        <v>473</v>
      </c>
    </row>
    <row r="201" spans="1:12" ht="15.75" hidden="1" customHeight="1" x14ac:dyDescent="0.15">
      <c r="A201" s="37" t="s">
        <v>2372</v>
      </c>
      <c r="B201" s="37" t="s">
        <v>2374</v>
      </c>
      <c r="C201" s="38" t="s">
        <v>536</v>
      </c>
      <c r="D201" s="37" t="s">
        <v>383</v>
      </c>
      <c r="E201" s="39">
        <v>20</v>
      </c>
      <c r="F201" s="40">
        <v>0</v>
      </c>
      <c r="G201" s="40">
        <v>28</v>
      </c>
      <c r="H201" s="41">
        <v>3900</v>
      </c>
      <c r="I201" s="41"/>
      <c r="J201" s="41">
        <f>TS[[#This Row],[转运费]]*LOOKUP(TS[[#This Row],[币种]]&amp;"-",{"-","EUR-","USD-","ZAR-"},{1,1.163,1,0.06792})</f>
        <v>3900</v>
      </c>
      <c r="K201" s="42"/>
      <c r="L201" s="42" t="s">
        <v>473</v>
      </c>
    </row>
    <row r="202" spans="1:12" ht="15.75" hidden="1" customHeight="1" x14ac:dyDescent="0.15">
      <c r="A202" s="37" t="s">
        <v>2372</v>
      </c>
      <c r="B202" s="37" t="s">
        <v>2374</v>
      </c>
      <c r="C202" s="38" t="s">
        <v>536</v>
      </c>
      <c r="D202" s="37" t="s">
        <v>383</v>
      </c>
      <c r="E202" s="39">
        <v>40</v>
      </c>
      <c r="F202" s="40">
        <v>0</v>
      </c>
      <c r="G202" s="40">
        <v>30</v>
      </c>
      <c r="H202" s="41">
        <v>4400</v>
      </c>
      <c r="I202" s="41"/>
      <c r="J202" s="41">
        <f>TS[[#This Row],[转运费]]*LOOKUP(TS[[#This Row],[币种]]&amp;"-",{"-","EUR-","USD-","ZAR-"},{1,1.163,1,0.06792})</f>
        <v>4400</v>
      </c>
      <c r="K202" s="42"/>
      <c r="L202" s="42" t="s">
        <v>473</v>
      </c>
    </row>
    <row r="203" spans="1:12" ht="15.75" hidden="1" customHeight="1" x14ac:dyDescent="0.15">
      <c r="A203" s="37" t="s">
        <v>2372</v>
      </c>
      <c r="B203" s="37" t="s">
        <v>2374</v>
      </c>
      <c r="C203" s="38" t="s">
        <v>534</v>
      </c>
      <c r="D203" s="37" t="s">
        <v>2331</v>
      </c>
      <c r="E203" s="39">
        <v>20</v>
      </c>
      <c r="F203" s="40">
        <v>0</v>
      </c>
      <c r="G203" s="40">
        <v>15.3</v>
      </c>
      <c r="H203" s="41">
        <v>1950</v>
      </c>
      <c r="I203" s="41"/>
      <c r="J203" s="41">
        <f>TS[[#This Row],[转运费]]*LOOKUP(TS[[#This Row],[币种]]&amp;"-",{"-","EUR-","USD-","ZAR-"},{1,1.163,1,0.06792})</f>
        <v>1950</v>
      </c>
      <c r="K203" s="42"/>
      <c r="L203" s="42" t="s">
        <v>470</v>
      </c>
    </row>
    <row r="204" spans="1:12" ht="15.75" hidden="1" customHeight="1" x14ac:dyDescent="0.15">
      <c r="A204" s="37" t="s">
        <v>2372</v>
      </c>
      <c r="B204" s="37" t="s">
        <v>2374</v>
      </c>
      <c r="C204" s="38" t="s">
        <v>534</v>
      </c>
      <c r="D204" s="37" t="s">
        <v>378</v>
      </c>
      <c r="E204" s="39">
        <v>20</v>
      </c>
      <c r="F204" s="40">
        <v>15.3</v>
      </c>
      <c r="G204" s="40">
        <v>24.3</v>
      </c>
      <c r="H204" s="41">
        <v>2250</v>
      </c>
      <c r="I204" s="41"/>
      <c r="J204" s="41">
        <f>TS[[#This Row],[转运费]]*LOOKUP(TS[[#This Row],[币种]]&amp;"-",{"-","EUR-","USD-","ZAR-"},{1,1.163,1,0.06792})</f>
        <v>2250</v>
      </c>
      <c r="K204" s="42"/>
      <c r="L204" s="42" t="s">
        <v>470</v>
      </c>
    </row>
    <row r="205" spans="1:12" ht="15.75" hidden="1" customHeight="1" x14ac:dyDescent="0.15">
      <c r="A205" s="37" t="s">
        <v>2372</v>
      </c>
      <c r="B205" s="37" t="s">
        <v>2374</v>
      </c>
      <c r="C205" s="38" t="s">
        <v>534</v>
      </c>
      <c r="D205" s="37" t="s">
        <v>378</v>
      </c>
      <c r="E205" s="39">
        <v>20</v>
      </c>
      <c r="F205" s="40">
        <v>24.3</v>
      </c>
      <c r="G205" s="40">
        <v>29.8</v>
      </c>
      <c r="H205" s="41">
        <v>2450</v>
      </c>
      <c r="I205" s="41"/>
      <c r="J205" s="41">
        <f>TS[[#This Row],[转运费]]*LOOKUP(TS[[#This Row],[币种]]&amp;"-",{"-","EUR-","USD-","ZAR-"},{1,1.163,1,0.06792})</f>
        <v>2450</v>
      </c>
      <c r="K205" s="42"/>
      <c r="L205" s="42" t="s">
        <v>470</v>
      </c>
    </row>
    <row r="206" spans="1:12" ht="15.75" hidden="1" customHeight="1" x14ac:dyDescent="0.15">
      <c r="A206" s="37" t="s">
        <v>2372</v>
      </c>
      <c r="B206" s="37" t="s">
        <v>2374</v>
      </c>
      <c r="C206" s="38" t="s">
        <v>534</v>
      </c>
      <c r="D206" s="37" t="s">
        <v>378</v>
      </c>
      <c r="E206" s="39">
        <v>40</v>
      </c>
      <c r="F206" s="40">
        <v>0</v>
      </c>
      <c r="G206" s="40">
        <v>29.8</v>
      </c>
      <c r="H206" s="41">
        <v>3600</v>
      </c>
      <c r="I206" s="41"/>
      <c r="J206" s="41">
        <f>TS[[#This Row],[转运费]]*LOOKUP(TS[[#This Row],[币种]]&amp;"-",{"-","EUR-","USD-","ZAR-"},{1,1.163,1,0.06792})</f>
        <v>3600</v>
      </c>
      <c r="K206" s="42"/>
      <c r="L206" s="42" t="s">
        <v>470</v>
      </c>
    </row>
    <row r="207" spans="1:12" ht="15.75" hidden="1" customHeight="1" x14ac:dyDescent="0.15">
      <c r="A207" s="37" t="s">
        <v>2372</v>
      </c>
      <c r="B207" s="37" t="s">
        <v>2374</v>
      </c>
      <c r="C207" s="38" t="s">
        <v>534</v>
      </c>
      <c r="D207" s="37" t="s">
        <v>378</v>
      </c>
      <c r="E207" s="39">
        <v>40</v>
      </c>
      <c r="F207" s="40">
        <v>29.8</v>
      </c>
      <c r="G207" s="40">
        <v>33.200000000000003</v>
      </c>
      <c r="H207" s="41">
        <v>4150</v>
      </c>
      <c r="I207" s="41"/>
      <c r="J207" s="41">
        <f>TS[[#This Row],[转运费]]*LOOKUP(TS[[#This Row],[币种]]&amp;"-",{"-","EUR-","USD-","ZAR-"},{1,1.163,1,0.06792})</f>
        <v>4150</v>
      </c>
      <c r="K207" s="42"/>
      <c r="L207" s="42" t="s">
        <v>470</v>
      </c>
    </row>
    <row r="208" spans="1:12" ht="15.75" hidden="1" customHeight="1" x14ac:dyDescent="0.15">
      <c r="A208" s="37" t="s">
        <v>2372</v>
      </c>
      <c r="B208" s="37" t="s">
        <v>2375</v>
      </c>
      <c r="C208" s="38" t="s">
        <v>536</v>
      </c>
      <c r="D208" s="37" t="s">
        <v>383</v>
      </c>
      <c r="E208" s="39">
        <v>20</v>
      </c>
      <c r="F208" s="40">
        <v>0</v>
      </c>
      <c r="G208" s="40">
        <v>28</v>
      </c>
      <c r="H208" s="41">
        <v>3350</v>
      </c>
      <c r="I208" s="41"/>
      <c r="J208" s="41">
        <f>TS[[#This Row],[转运费]]*LOOKUP(TS[[#This Row],[币种]]&amp;"-",{"-","EUR-","USD-","ZAR-"},{1,1.163,1,0.06792})</f>
        <v>3350</v>
      </c>
      <c r="K208" s="42"/>
      <c r="L208" s="42" t="s">
        <v>473</v>
      </c>
    </row>
    <row r="209" spans="1:12" ht="15.75" hidden="1" customHeight="1" x14ac:dyDescent="0.15">
      <c r="A209" s="37" t="s">
        <v>2372</v>
      </c>
      <c r="B209" s="37" t="s">
        <v>2375</v>
      </c>
      <c r="C209" s="38" t="s">
        <v>536</v>
      </c>
      <c r="D209" s="37" t="s">
        <v>383</v>
      </c>
      <c r="E209" s="39">
        <v>40</v>
      </c>
      <c r="F209" s="40">
        <v>0</v>
      </c>
      <c r="G209" s="40">
        <v>30</v>
      </c>
      <c r="H209" s="41">
        <v>3800</v>
      </c>
      <c r="I209" s="41"/>
      <c r="J209" s="41">
        <f>TS[[#This Row],[转运费]]*LOOKUP(TS[[#This Row],[币种]]&amp;"-",{"-","EUR-","USD-","ZAR-"},{1,1.163,1,0.06792})</f>
        <v>3800</v>
      </c>
      <c r="K209" s="42"/>
      <c r="L209" s="42" t="s">
        <v>473</v>
      </c>
    </row>
    <row r="210" spans="1:12" ht="15.75" hidden="1" customHeight="1" x14ac:dyDescent="0.15">
      <c r="A210" s="37" t="s">
        <v>2372</v>
      </c>
      <c r="B210" s="37" t="s">
        <v>2376</v>
      </c>
      <c r="C210" s="38" t="s">
        <v>536</v>
      </c>
      <c r="D210" s="37" t="s">
        <v>383</v>
      </c>
      <c r="E210" s="39">
        <v>20</v>
      </c>
      <c r="F210" s="40">
        <v>0</v>
      </c>
      <c r="G210" s="40">
        <v>28</v>
      </c>
      <c r="H210" s="41">
        <v>3550</v>
      </c>
      <c r="I210" s="41"/>
      <c r="J210" s="41">
        <f>TS[[#This Row],[转运费]]*LOOKUP(TS[[#This Row],[币种]]&amp;"-",{"-","EUR-","USD-","ZAR-"},{1,1.163,1,0.06792})</f>
        <v>3550</v>
      </c>
      <c r="K210" s="42"/>
      <c r="L210" s="42" t="s">
        <v>473</v>
      </c>
    </row>
    <row r="211" spans="1:12" ht="15.75" hidden="1" customHeight="1" x14ac:dyDescent="0.15">
      <c r="A211" s="37" t="s">
        <v>2372</v>
      </c>
      <c r="B211" s="37" t="s">
        <v>2376</v>
      </c>
      <c r="C211" s="38" t="s">
        <v>536</v>
      </c>
      <c r="D211" s="37" t="s">
        <v>383</v>
      </c>
      <c r="E211" s="39">
        <v>40</v>
      </c>
      <c r="F211" s="40">
        <v>0</v>
      </c>
      <c r="G211" s="40">
        <v>30</v>
      </c>
      <c r="H211" s="41">
        <v>4000</v>
      </c>
      <c r="I211" s="41"/>
      <c r="J211" s="41">
        <f>TS[[#This Row],[转运费]]*LOOKUP(TS[[#This Row],[币种]]&amp;"-",{"-","EUR-","USD-","ZAR-"},{1,1.163,1,0.06792})</f>
        <v>4000</v>
      </c>
      <c r="K211" s="42"/>
      <c r="L211" s="42" t="s">
        <v>473</v>
      </c>
    </row>
    <row r="212" spans="1:12" ht="15.75" hidden="1" customHeight="1" x14ac:dyDescent="0.15">
      <c r="A212" s="37" t="s">
        <v>2372</v>
      </c>
      <c r="B212" s="37" t="s">
        <v>2377</v>
      </c>
      <c r="C212" s="38" t="s">
        <v>534</v>
      </c>
      <c r="D212" s="37" t="s">
        <v>3484</v>
      </c>
      <c r="E212" s="39">
        <v>20</v>
      </c>
      <c r="F212" s="40">
        <v>0</v>
      </c>
      <c r="G212" s="40">
        <v>15.3</v>
      </c>
      <c r="H212" s="41">
        <v>2400</v>
      </c>
      <c r="I212" s="41"/>
      <c r="J212" s="41">
        <f>TS[[#This Row],[转运费]]*LOOKUP(TS[[#This Row],[币种]]&amp;"-",{"-","EUR-","USD-","ZAR-"},{1,1.163,1,0.06792})</f>
        <v>2400</v>
      </c>
      <c r="K212" s="42"/>
      <c r="L212" s="42" t="s">
        <v>470</v>
      </c>
    </row>
    <row r="213" spans="1:12" ht="15.75" hidden="1" customHeight="1" x14ac:dyDescent="0.15">
      <c r="A213" s="51" t="s">
        <v>2372</v>
      </c>
      <c r="B213" s="51" t="s">
        <v>2377</v>
      </c>
      <c r="C213" s="52" t="s">
        <v>536</v>
      </c>
      <c r="D213" s="51" t="s">
        <v>383</v>
      </c>
      <c r="E213" s="53">
        <v>40</v>
      </c>
      <c r="F213" s="54">
        <v>0</v>
      </c>
      <c r="G213" s="54">
        <v>30</v>
      </c>
      <c r="H213" s="55">
        <v>3280</v>
      </c>
      <c r="I213" s="55"/>
      <c r="J213" s="55">
        <f>TS[[#This Row],[转运费]]*LOOKUP(TS[[#This Row],[币种]]&amp;"-",{"-","EUR-","USD-","ZAR-"},{1,1.163,1,0.06792})</f>
        <v>3280</v>
      </c>
      <c r="K213" s="56"/>
      <c r="L213" s="56" t="s">
        <v>473</v>
      </c>
    </row>
    <row r="214" spans="1:12" ht="15.75" hidden="1" customHeight="1" x14ac:dyDescent="0.15">
      <c r="A214" s="37" t="s">
        <v>2372</v>
      </c>
      <c r="B214" s="37" t="s">
        <v>2377</v>
      </c>
      <c r="C214" s="38" t="s">
        <v>534</v>
      </c>
      <c r="D214" s="37" t="s">
        <v>378</v>
      </c>
      <c r="E214" s="39">
        <v>20</v>
      </c>
      <c r="F214" s="40">
        <v>15.3</v>
      </c>
      <c r="G214" s="40">
        <v>24.3</v>
      </c>
      <c r="H214" s="41">
        <v>2700</v>
      </c>
      <c r="I214" s="41"/>
      <c r="J214" s="41">
        <f>TS[[#This Row],[转运费]]*LOOKUP(TS[[#This Row],[币种]]&amp;"-",{"-","EUR-","USD-","ZAR-"},{1,1.163,1,0.06792})</f>
        <v>2700</v>
      </c>
      <c r="K214" s="42"/>
      <c r="L214" s="42" t="s">
        <v>470</v>
      </c>
    </row>
    <row r="215" spans="1:12" ht="15.75" hidden="1" customHeight="1" x14ac:dyDescent="0.15">
      <c r="A215" s="51" t="s">
        <v>2372</v>
      </c>
      <c r="B215" s="51" t="s">
        <v>2377</v>
      </c>
      <c r="C215" s="52" t="s">
        <v>536</v>
      </c>
      <c r="D215" s="51" t="s">
        <v>371</v>
      </c>
      <c r="E215" s="39">
        <v>40</v>
      </c>
      <c r="F215" s="40">
        <v>0</v>
      </c>
      <c r="G215" s="40">
        <v>15</v>
      </c>
      <c r="H215" s="41">
        <v>3765</v>
      </c>
      <c r="I215" s="41"/>
      <c r="J215" s="55">
        <f>TS[[#This Row],[转运费]]*LOOKUP(TS[[#This Row],[币种]]&amp;"-",{"-","EUR-","USD-","ZAR-"},{1,1.163,1,0.06792})</f>
        <v>3765</v>
      </c>
      <c r="K215" s="56"/>
      <c r="L215" s="42" t="s">
        <v>480</v>
      </c>
    </row>
    <row r="216" spans="1:12" ht="15.75" hidden="1" customHeight="1" x14ac:dyDescent="0.15">
      <c r="A216" s="37" t="s">
        <v>2372</v>
      </c>
      <c r="B216" s="37" t="s">
        <v>2377</v>
      </c>
      <c r="C216" s="38" t="s">
        <v>536</v>
      </c>
      <c r="D216" s="37" t="s">
        <v>383</v>
      </c>
      <c r="E216" s="39">
        <v>20</v>
      </c>
      <c r="F216" s="40">
        <v>0</v>
      </c>
      <c r="G216" s="40">
        <v>28</v>
      </c>
      <c r="H216" s="41">
        <v>2750</v>
      </c>
      <c r="I216" s="41"/>
      <c r="J216" s="41">
        <f>TS[[#This Row],[转运费]]*LOOKUP(TS[[#This Row],[币种]]&amp;"-",{"-","EUR-","USD-","ZAR-"},{1,1.163,1,0.06792})</f>
        <v>2750</v>
      </c>
      <c r="K216" s="42"/>
      <c r="L216" s="42" t="s">
        <v>473</v>
      </c>
    </row>
    <row r="217" spans="1:12" ht="15.75" hidden="1" customHeight="1" x14ac:dyDescent="0.15">
      <c r="A217" s="51" t="s">
        <v>2372</v>
      </c>
      <c r="B217" s="51" t="s">
        <v>2377</v>
      </c>
      <c r="C217" s="52" t="s">
        <v>534</v>
      </c>
      <c r="D217" s="51" t="s">
        <v>378</v>
      </c>
      <c r="E217" s="53">
        <v>20</v>
      </c>
      <c r="F217" s="54">
        <v>24.3</v>
      </c>
      <c r="G217" s="54">
        <v>29.8</v>
      </c>
      <c r="H217" s="55">
        <v>2850</v>
      </c>
      <c r="I217" s="55"/>
      <c r="J217" s="55">
        <f>TS[[#This Row],[转运费]]*LOOKUP(TS[[#This Row],[币种]]&amp;"-",{"-","EUR-","USD-","ZAR-"},{1,1.163,1,0.06792})</f>
        <v>2850</v>
      </c>
      <c r="K217" s="56"/>
      <c r="L217" s="42" t="s">
        <v>470</v>
      </c>
    </row>
    <row r="218" spans="1:12" ht="15.75" hidden="1" customHeight="1" x14ac:dyDescent="0.15">
      <c r="A218" s="51" t="s">
        <v>2372</v>
      </c>
      <c r="B218" s="51" t="s">
        <v>2377</v>
      </c>
      <c r="C218" s="52" t="s">
        <v>536</v>
      </c>
      <c r="D218" s="51" t="s">
        <v>371</v>
      </c>
      <c r="E218" s="53">
        <v>20</v>
      </c>
      <c r="F218" s="54">
        <v>0</v>
      </c>
      <c r="G218" s="54">
        <v>28</v>
      </c>
      <c r="H218" s="55">
        <v>3285</v>
      </c>
      <c r="I218" s="55"/>
      <c r="J218" s="55">
        <f>TS[[#This Row],[转运费]]*LOOKUP(TS[[#This Row],[币种]]&amp;"-",{"-","EUR-","USD-","ZAR-"},{1,1.163,1,0.06792})</f>
        <v>3285</v>
      </c>
      <c r="K218" s="56"/>
      <c r="L218" s="56" t="s">
        <v>480</v>
      </c>
    </row>
    <row r="219" spans="1:12" ht="15.75" hidden="1" customHeight="1" x14ac:dyDescent="0.15">
      <c r="A219" s="51" t="s">
        <v>2372</v>
      </c>
      <c r="B219" s="51" t="s">
        <v>2377</v>
      </c>
      <c r="C219" s="52" t="s">
        <v>534</v>
      </c>
      <c r="D219" s="51" t="s">
        <v>378</v>
      </c>
      <c r="E219" s="53">
        <v>40</v>
      </c>
      <c r="F219" s="54">
        <v>0</v>
      </c>
      <c r="G219" s="54">
        <v>29.8</v>
      </c>
      <c r="H219" s="55">
        <v>4500</v>
      </c>
      <c r="I219" s="55"/>
      <c r="J219" s="55">
        <f>TS[[#This Row],[转运费]]*LOOKUP(TS[[#This Row],[币种]]&amp;"-",{"-","EUR-","USD-","ZAR-"},{1,1.163,1,0.06792})</f>
        <v>4500</v>
      </c>
      <c r="K219" s="56"/>
      <c r="L219" s="56" t="s">
        <v>470</v>
      </c>
    </row>
    <row r="220" spans="1:12" ht="15.75" hidden="1" customHeight="1" x14ac:dyDescent="0.15">
      <c r="A220" s="51" t="s">
        <v>2372</v>
      </c>
      <c r="B220" s="51" t="s">
        <v>2377</v>
      </c>
      <c r="C220" s="52" t="s">
        <v>534</v>
      </c>
      <c r="D220" s="51" t="s">
        <v>378</v>
      </c>
      <c r="E220" s="53">
        <v>40</v>
      </c>
      <c r="F220" s="54">
        <v>29.8</v>
      </c>
      <c r="G220" s="54">
        <v>33.200000000000003</v>
      </c>
      <c r="H220" s="55">
        <v>5050</v>
      </c>
      <c r="I220" s="55"/>
      <c r="J220" s="55">
        <f>TS[[#This Row],[转运费]]*LOOKUP(TS[[#This Row],[币种]]&amp;"-",{"-","EUR-","USD-","ZAR-"},{1,1.163,1,0.06792})</f>
        <v>5050</v>
      </c>
      <c r="K220" s="56"/>
      <c r="L220" s="56" t="s">
        <v>470</v>
      </c>
    </row>
    <row r="221" spans="1:12" ht="15.75" hidden="1" customHeight="1" x14ac:dyDescent="0.15">
      <c r="A221" s="51" t="s">
        <v>2372</v>
      </c>
      <c r="B221" s="51" t="s">
        <v>2378</v>
      </c>
      <c r="C221" s="52" t="s">
        <v>536</v>
      </c>
      <c r="D221" s="51" t="s">
        <v>383</v>
      </c>
      <c r="E221" s="53">
        <v>20</v>
      </c>
      <c r="F221" s="54">
        <v>0</v>
      </c>
      <c r="G221" s="54">
        <v>28</v>
      </c>
      <c r="H221" s="55">
        <v>2230</v>
      </c>
      <c r="I221" s="55"/>
      <c r="J221" s="55">
        <f>TS[[#This Row],[转运费]]*LOOKUP(TS[[#This Row],[币种]]&amp;"-",{"-","EUR-","USD-","ZAR-"},{1,1.163,1,0.06792})</f>
        <v>2230</v>
      </c>
      <c r="K221" s="56"/>
      <c r="L221" s="56" t="s">
        <v>473</v>
      </c>
    </row>
    <row r="222" spans="1:12" ht="15.75" hidden="1" customHeight="1" x14ac:dyDescent="0.15">
      <c r="A222" s="51" t="s">
        <v>2372</v>
      </c>
      <c r="B222" s="51" t="s">
        <v>2378</v>
      </c>
      <c r="C222" s="52" t="s">
        <v>536</v>
      </c>
      <c r="D222" s="51" t="s">
        <v>383</v>
      </c>
      <c r="E222" s="53">
        <v>40</v>
      </c>
      <c r="F222" s="54">
        <v>0</v>
      </c>
      <c r="G222" s="54">
        <v>30</v>
      </c>
      <c r="H222" s="55">
        <v>2670</v>
      </c>
      <c r="I222" s="55"/>
      <c r="J222" s="55">
        <f>TS[[#This Row],[转运费]]*LOOKUP(TS[[#This Row],[币种]]&amp;"-",{"-","EUR-","USD-","ZAR-"},{1,1.163,1,0.06792})</f>
        <v>2670</v>
      </c>
      <c r="K222" s="56"/>
      <c r="L222" s="56" t="s">
        <v>473</v>
      </c>
    </row>
    <row r="223" spans="1:12" ht="15.75" hidden="1" customHeight="1" x14ac:dyDescent="0.15">
      <c r="A223" s="72" t="s">
        <v>243</v>
      </c>
      <c r="B223" s="72" t="s">
        <v>3045</v>
      </c>
      <c r="C223" s="73" t="s">
        <v>2328</v>
      </c>
      <c r="D223" s="72" t="s">
        <v>373</v>
      </c>
      <c r="E223" s="74">
        <v>20</v>
      </c>
      <c r="F223" s="75">
        <v>0</v>
      </c>
      <c r="G223" s="75">
        <v>15</v>
      </c>
      <c r="H223" s="76">
        <v>6100</v>
      </c>
      <c r="I223" s="76" t="s">
        <v>3042</v>
      </c>
      <c r="J223" s="76">
        <f>TS[[#This Row],[转运费]]*LOOKUP(TS[[#This Row],[币种]]&amp;"-",{"-","EUR-","USD-","ZAR-"},{1,1.163,1,0.06792})</f>
        <v>414.31199999999995</v>
      </c>
      <c r="K223" s="77"/>
      <c r="L223" s="77"/>
    </row>
    <row r="224" spans="1:12" ht="15.75" hidden="1" customHeight="1" x14ac:dyDescent="0.15">
      <c r="A224" s="72" t="s">
        <v>3542</v>
      </c>
      <c r="B224" s="72" t="s">
        <v>3543</v>
      </c>
      <c r="C224" s="73" t="s">
        <v>3544</v>
      </c>
      <c r="D224" s="72" t="s">
        <v>3545</v>
      </c>
      <c r="E224" s="74">
        <v>20</v>
      </c>
      <c r="F224" s="75">
        <v>13</v>
      </c>
      <c r="G224" s="75">
        <v>22</v>
      </c>
      <c r="H224" s="76">
        <v>6700</v>
      </c>
      <c r="I224" s="76" t="s">
        <v>3546</v>
      </c>
      <c r="J224" s="76">
        <f>TS[[#This Row],[转运费]]*LOOKUP(TS[[#This Row],[币种]]&amp;"-",{"-","EUR-","USD-","ZAR-"},{1,1.163,1,0.06792})</f>
        <v>455.06399999999996</v>
      </c>
      <c r="K224" s="77"/>
      <c r="L224" s="77"/>
    </row>
    <row r="225" spans="1:12" ht="15.75" hidden="1" customHeight="1" x14ac:dyDescent="0.15">
      <c r="A225" s="72" t="s">
        <v>3542</v>
      </c>
      <c r="B225" s="72" t="s">
        <v>3543</v>
      </c>
      <c r="C225" s="73" t="s">
        <v>3544</v>
      </c>
      <c r="D225" s="72" t="s">
        <v>3545</v>
      </c>
      <c r="E225" s="74">
        <v>20</v>
      </c>
      <c r="F225" s="75">
        <v>22</v>
      </c>
      <c r="G225" s="75">
        <v>27.5</v>
      </c>
      <c r="H225" s="76">
        <v>6800</v>
      </c>
      <c r="I225" s="76" t="s">
        <v>3546</v>
      </c>
      <c r="J225" s="76">
        <f>TS[[#This Row],[转运费]]*LOOKUP(TS[[#This Row],[币种]]&amp;"-",{"-","EUR-","USD-","ZAR-"},{1,1.163,1,0.06792})</f>
        <v>461.85599999999994</v>
      </c>
      <c r="K225" s="77"/>
      <c r="L225" s="77"/>
    </row>
    <row r="226" spans="1:12" ht="15.75" hidden="1" customHeight="1" x14ac:dyDescent="0.15">
      <c r="A226" s="72" t="s">
        <v>3542</v>
      </c>
      <c r="B226" s="72" t="s">
        <v>3543</v>
      </c>
      <c r="C226" s="73" t="s">
        <v>3544</v>
      </c>
      <c r="D226" s="72" t="s">
        <v>3545</v>
      </c>
      <c r="E226" s="74">
        <v>20</v>
      </c>
      <c r="F226" s="75">
        <v>27.5</v>
      </c>
      <c r="G226" s="75">
        <v>33</v>
      </c>
      <c r="H226" s="76">
        <v>13000</v>
      </c>
      <c r="I226" s="76" t="s">
        <v>3546</v>
      </c>
      <c r="J226" s="76">
        <f>TS[[#This Row],[转运费]]*LOOKUP(TS[[#This Row],[币种]]&amp;"-",{"-","EUR-","USD-","ZAR-"},{1,1.163,1,0.06792})</f>
        <v>882.95999999999992</v>
      </c>
      <c r="K226" s="77"/>
      <c r="L226" s="77"/>
    </row>
    <row r="227" spans="1:12" ht="15.75" hidden="1" customHeight="1" x14ac:dyDescent="0.15">
      <c r="A227" s="72" t="s">
        <v>243</v>
      </c>
      <c r="B227" s="72" t="s">
        <v>3547</v>
      </c>
      <c r="C227" s="73" t="s">
        <v>2328</v>
      </c>
      <c r="D227" s="72" t="s">
        <v>383</v>
      </c>
      <c r="E227" s="74">
        <v>40</v>
      </c>
      <c r="F227" s="75">
        <v>0</v>
      </c>
      <c r="G227" s="75">
        <v>26</v>
      </c>
      <c r="H227" s="76">
        <v>600</v>
      </c>
      <c r="I227" s="76" t="s">
        <v>3047</v>
      </c>
      <c r="J227" s="76">
        <f>TS[[#This Row],[转运费]]*LOOKUP(TS[[#This Row],[币种]]&amp;"-",{"-","EUR-","USD-","ZAR-"},{1,1.163,1,0.06792})</f>
        <v>600</v>
      </c>
      <c r="K227" s="77"/>
      <c r="L227" s="77"/>
    </row>
    <row r="228" spans="1:12" ht="15.75" hidden="1" customHeight="1" x14ac:dyDescent="0.15">
      <c r="A228" s="72" t="s">
        <v>3542</v>
      </c>
      <c r="B228" s="72" t="s">
        <v>3543</v>
      </c>
      <c r="C228" s="73" t="s">
        <v>3544</v>
      </c>
      <c r="D228" s="72" t="s">
        <v>3545</v>
      </c>
      <c r="E228" s="74">
        <v>40</v>
      </c>
      <c r="F228" s="75">
        <v>26</v>
      </c>
      <c r="G228" s="75">
        <v>30.4</v>
      </c>
      <c r="H228" s="76">
        <v>8300</v>
      </c>
      <c r="I228" s="76" t="s">
        <v>3546</v>
      </c>
      <c r="J228" s="76">
        <f>TS[[#This Row],[转运费]]*LOOKUP(TS[[#This Row],[币种]]&amp;"-",{"-","EUR-","USD-","ZAR-"},{1,1.163,1,0.06792})</f>
        <v>563.73599999999999</v>
      </c>
      <c r="K228" s="77"/>
      <c r="L228" s="77"/>
    </row>
    <row r="229" spans="1:12" ht="15.75" hidden="1" customHeight="1" x14ac:dyDescent="0.15">
      <c r="A229" s="72" t="s">
        <v>3542</v>
      </c>
      <c r="B229" s="72" t="s">
        <v>3543</v>
      </c>
      <c r="C229" s="73" t="s">
        <v>3544</v>
      </c>
      <c r="D229" s="72" t="s">
        <v>3545</v>
      </c>
      <c r="E229" s="74">
        <v>40</v>
      </c>
      <c r="F229" s="75">
        <v>30.4</v>
      </c>
      <c r="G229" s="75">
        <v>33</v>
      </c>
      <c r="H229" s="76">
        <v>16000</v>
      </c>
      <c r="I229" s="76" t="s">
        <v>3546</v>
      </c>
      <c r="J229" s="76">
        <f>TS[[#This Row],[转运费]]*LOOKUP(TS[[#This Row],[币种]]&amp;"-",{"-","EUR-","USD-","ZAR-"},{1,1.163,1,0.06792})</f>
        <v>1086.7199999999998</v>
      </c>
      <c r="K229" s="77"/>
      <c r="L229" s="77"/>
    </row>
    <row r="230" spans="1:12" ht="15.75" customHeight="1" x14ac:dyDescent="0.15">
      <c r="B230" s="78"/>
      <c r="E230" s="79"/>
      <c r="F230" s="80"/>
      <c r="G230" s="80"/>
      <c r="H230" s="81"/>
      <c r="I230" s="81"/>
      <c r="J230" s="81"/>
      <c r="K230" s="82"/>
      <c r="L230" s="82"/>
    </row>
    <row r="231" spans="1:12" ht="15.75" customHeight="1" x14ac:dyDescent="0.15">
      <c r="A231" s="36" t="s">
        <v>3250</v>
      </c>
      <c r="B231" s="58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241"/>
  <sheetViews>
    <sheetView workbookViewId="0">
      <pane xSplit="4" ySplit="1" topLeftCell="E2" activePane="bottomRight" state="frozen"/>
      <selection activeCell="J7144" sqref="J7144"/>
      <selection pane="topRight" activeCell="J7144" sqref="J7144"/>
      <selection pane="bottomLeft" activeCell="J7144" sqref="J7144"/>
      <selection pane="bottomRight" activeCell="M258" sqref="M258"/>
    </sheetView>
  </sheetViews>
  <sheetFormatPr defaultColWidth="13.375" defaultRowHeight="14.25" x14ac:dyDescent="0.2"/>
  <cols>
    <col min="1" max="1" width="9.75" style="123" customWidth="1"/>
    <col min="2" max="2" width="4.875" style="123" customWidth="1"/>
    <col min="3" max="3" width="7.125" style="123" bestFit="1" customWidth="1"/>
    <col min="4" max="6" width="7.75" style="123" bestFit="1" customWidth="1"/>
    <col min="7" max="7" width="7.125" style="123" bestFit="1" customWidth="1"/>
    <col min="8" max="9" width="7.75" style="123" bestFit="1" customWidth="1"/>
    <col min="10" max="10" width="7.75" style="128" bestFit="1" customWidth="1"/>
    <col min="11" max="11" width="7.75" style="123" bestFit="1" customWidth="1"/>
    <col min="12" max="12" width="7.125" style="123" bestFit="1" customWidth="1"/>
    <col min="13" max="13" width="10.625" style="123" customWidth="1"/>
    <col min="14" max="14" width="33" style="123" customWidth="1"/>
    <col min="15" max="16384" width="13.375" style="123"/>
  </cols>
  <sheetData>
    <row r="1" spans="1:15" s="128" customFormat="1" ht="35.25" customHeight="1" x14ac:dyDescent="0.2">
      <c r="A1" s="120" t="s">
        <v>369</v>
      </c>
      <c r="B1" s="120" t="s">
        <v>5018</v>
      </c>
      <c r="C1" s="120" t="s">
        <v>5026</v>
      </c>
      <c r="D1" s="120" t="s">
        <v>431</v>
      </c>
      <c r="E1" s="121" t="s">
        <v>459</v>
      </c>
      <c r="F1" s="121" t="s">
        <v>460</v>
      </c>
      <c r="G1" s="121" t="s">
        <v>432</v>
      </c>
      <c r="H1" s="121" t="s">
        <v>3242</v>
      </c>
      <c r="I1" s="121" t="s">
        <v>461</v>
      </c>
      <c r="J1" s="121" t="s">
        <v>3241</v>
      </c>
      <c r="K1" s="121" t="s">
        <v>458</v>
      </c>
      <c r="L1" s="122" t="s">
        <v>457</v>
      </c>
      <c r="M1" s="121" t="s">
        <v>433</v>
      </c>
      <c r="N1" s="121" t="s">
        <v>456</v>
      </c>
      <c r="O1" s="121" t="s">
        <v>3219</v>
      </c>
    </row>
    <row r="2" spans="1:15" ht="42.75" hidden="1" x14ac:dyDescent="0.15">
      <c r="A2" s="126" t="s">
        <v>434</v>
      </c>
      <c r="B2" s="123" t="s">
        <v>5019</v>
      </c>
      <c r="C2" s="124">
        <f>SUM(RMB[[#This Row],[箱型]:[VGM]])</f>
        <v>1625</v>
      </c>
      <c r="D2" s="123" t="s">
        <v>435</v>
      </c>
      <c r="E2" s="125">
        <v>400</v>
      </c>
      <c r="F2" s="125"/>
      <c r="G2" s="125">
        <v>695</v>
      </c>
      <c r="H2" s="124">
        <v>450</v>
      </c>
      <c r="I2" s="124">
        <v>30</v>
      </c>
      <c r="J2" s="124">
        <v>30</v>
      </c>
      <c r="K2" s="124"/>
      <c r="L2" s="124">
        <v>20</v>
      </c>
      <c r="M2" s="126"/>
      <c r="N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ANL人民币费用20GP：订舱400，THC695，文件450/票，设备管理30，封志30，VGM20</v>
      </c>
    </row>
    <row r="3" spans="1:15" ht="42.75" hidden="1" x14ac:dyDescent="0.15">
      <c r="A3" s="126" t="s">
        <v>434</v>
      </c>
      <c r="B3" s="123" t="s">
        <v>5019</v>
      </c>
      <c r="C3" s="124">
        <f>SUM(RMB[[#This Row],[箱型]:[VGM]])</f>
        <v>2200</v>
      </c>
      <c r="D3" s="123" t="s">
        <v>436</v>
      </c>
      <c r="E3" s="125">
        <v>630</v>
      </c>
      <c r="F3" s="125"/>
      <c r="G3" s="125">
        <v>1040</v>
      </c>
      <c r="H3" s="124">
        <v>450</v>
      </c>
      <c r="I3" s="124">
        <v>30</v>
      </c>
      <c r="J3" s="124">
        <v>30</v>
      </c>
      <c r="K3" s="124"/>
      <c r="L3" s="124">
        <v>20</v>
      </c>
      <c r="M3" s="126"/>
      <c r="N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ANL人民币费用40GP：订舱630，THC1040，文件450/票，设备管理30，封志30，VGM20</v>
      </c>
    </row>
    <row r="4" spans="1:15" ht="42.75" hidden="1" x14ac:dyDescent="0.15">
      <c r="A4" s="126" t="s">
        <v>434</v>
      </c>
      <c r="B4" s="123" t="s">
        <v>5019</v>
      </c>
      <c r="C4" s="124">
        <f>SUM(RMB[[#This Row],[箱型]:[VGM]])</f>
        <v>2200</v>
      </c>
      <c r="D4" s="123" t="s">
        <v>437</v>
      </c>
      <c r="E4" s="125">
        <v>630</v>
      </c>
      <c r="F4" s="125"/>
      <c r="G4" s="125">
        <v>1040</v>
      </c>
      <c r="H4" s="124">
        <v>450</v>
      </c>
      <c r="I4" s="124">
        <v>30</v>
      </c>
      <c r="J4" s="124">
        <v>30</v>
      </c>
      <c r="K4" s="124"/>
      <c r="L4" s="124">
        <v>20</v>
      </c>
      <c r="M4" s="126"/>
      <c r="N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ANL人民币费用40HC：订舱630，THC1040，文件450/票，设备管理30，封志30，VGM20</v>
      </c>
    </row>
    <row r="5" spans="1:15" ht="42.75" hidden="1" x14ac:dyDescent="0.15">
      <c r="A5" s="126" t="s">
        <v>434</v>
      </c>
      <c r="B5" s="123" t="s">
        <v>5019</v>
      </c>
      <c r="C5" s="124">
        <f>SUM(RMB[[#This Row],[箱型]:[VGM]])</f>
        <v>2490</v>
      </c>
      <c r="D5" s="123" t="s">
        <v>438</v>
      </c>
      <c r="E5" s="125">
        <v>680</v>
      </c>
      <c r="F5" s="125"/>
      <c r="G5" s="125">
        <v>1280</v>
      </c>
      <c r="H5" s="124">
        <v>450</v>
      </c>
      <c r="I5" s="124">
        <v>30</v>
      </c>
      <c r="J5" s="124">
        <v>30</v>
      </c>
      <c r="K5" s="124"/>
      <c r="L5" s="124">
        <v>20</v>
      </c>
      <c r="M5" s="126"/>
      <c r="N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ANL人民币费用45HC：订舱680，THC1280，文件450/票，设备管理30，封志30，VGM20</v>
      </c>
    </row>
    <row r="6" spans="1:15" ht="42.75" hidden="1" x14ac:dyDescent="0.15">
      <c r="A6" s="126" t="s">
        <v>439</v>
      </c>
      <c r="B6" s="123" t="s">
        <v>5019</v>
      </c>
      <c r="C6" s="124">
        <f>SUM(RMB[[#This Row],[箱型]:[VGM]])</f>
        <v>1580</v>
      </c>
      <c r="D6" s="123" t="s">
        <v>435</v>
      </c>
      <c r="E6" s="125">
        <v>315</v>
      </c>
      <c r="F6" s="125">
        <v>20</v>
      </c>
      <c r="G6" s="125">
        <v>695</v>
      </c>
      <c r="H6" s="124">
        <v>450</v>
      </c>
      <c r="I6" s="124">
        <v>50</v>
      </c>
      <c r="J6" s="124"/>
      <c r="K6" s="124">
        <v>30</v>
      </c>
      <c r="L6" s="124">
        <v>20</v>
      </c>
      <c r="M6" s="126"/>
      <c r="N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APL人民币费用20GP：订舱315，THC695，安保20，文件450/票，封志50，放单30，VGM20</v>
      </c>
      <c r="O6" s="123" t="s">
        <v>3234</v>
      </c>
    </row>
    <row r="7" spans="1:15" ht="42.75" hidden="1" x14ac:dyDescent="0.15">
      <c r="A7" s="126" t="s">
        <v>439</v>
      </c>
      <c r="B7" s="123" t="s">
        <v>5019</v>
      </c>
      <c r="C7" s="124">
        <f>SUM(RMB[[#This Row],[箱型]:[VGM]])</f>
        <v>2140</v>
      </c>
      <c r="D7" s="123" t="s">
        <v>436</v>
      </c>
      <c r="E7" s="125">
        <v>520</v>
      </c>
      <c r="F7" s="125">
        <v>30</v>
      </c>
      <c r="G7" s="125">
        <v>1040</v>
      </c>
      <c r="H7" s="124">
        <v>450</v>
      </c>
      <c r="I7" s="124">
        <v>50</v>
      </c>
      <c r="J7" s="124"/>
      <c r="K7" s="124">
        <v>30</v>
      </c>
      <c r="L7" s="124">
        <v>20</v>
      </c>
      <c r="M7" s="126"/>
      <c r="N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APL人民币费用40GP：订舱520，THC1040，安保30，文件450/票，封志50，放单30，VGM20</v>
      </c>
      <c r="O7" s="123" t="s">
        <v>3234</v>
      </c>
    </row>
    <row r="8" spans="1:15" ht="42.75" hidden="1" x14ac:dyDescent="0.15">
      <c r="A8" s="126" t="s">
        <v>439</v>
      </c>
      <c r="B8" s="123" t="s">
        <v>5019</v>
      </c>
      <c r="C8" s="124">
        <f>SUM(RMB[[#This Row],[箱型]:[VGM]])</f>
        <v>2140</v>
      </c>
      <c r="D8" s="123" t="s">
        <v>437</v>
      </c>
      <c r="E8" s="125">
        <v>520</v>
      </c>
      <c r="F8" s="125">
        <v>30</v>
      </c>
      <c r="G8" s="125">
        <v>1040</v>
      </c>
      <c r="H8" s="124">
        <v>450</v>
      </c>
      <c r="I8" s="124">
        <v>50</v>
      </c>
      <c r="J8" s="124"/>
      <c r="K8" s="124">
        <v>30</v>
      </c>
      <c r="L8" s="124">
        <v>20</v>
      </c>
      <c r="M8" s="126"/>
      <c r="N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APL人民币费用40HC：订舱520，THC1040，安保30，文件450/票，封志50，放单30，VGM20</v>
      </c>
      <c r="O8" s="123" t="s">
        <v>3234</v>
      </c>
    </row>
    <row r="9" spans="1:15" ht="42.75" hidden="1" x14ac:dyDescent="0.15">
      <c r="A9" s="126" t="s">
        <v>439</v>
      </c>
      <c r="B9" s="123" t="s">
        <v>5019</v>
      </c>
      <c r="C9" s="124">
        <f>SUM(RMB[[#This Row],[箱型]:[VGM]])</f>
        <v>1860</v>
      </c>
      <c r="D9" s="123" t="s">
        <v>438</v>
      </c>
      <c r="E9" s="125"/>
      <c r="F9" s="125">
        <v>30</v>
      </c>
      <c r="G9" s="125">
        <v>1280</v>
      </c>
      <c r="H9" s="124">
        <v>450</v>
      </c>
      <c r="I9" s="124">
        <v>50</v>
      </c>
      <c r="J9" s="124"/>
      <c r="K9" s="124">
        <v>30</v>
      </c>
      <c r="L9" s="124">
        <v>20</v>
      </c>
      <c r="M9" s="126"/>
      <c r="N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APL人民币费用45HC：THC1280，安保30，文件450/票，封志50，放单30，VGM20</v>
      </c>
      <c r="O9" s="123" t="s">
        <v>3234</v>
      </c>
    </row>
    <row r="10" spans="1:15" ht="42.75" x14ac:dyDescent="0.15">
      <c r="A10" s="126" t="s">
        <v>373</v>
      </c>
      <c r="B10" s="123" t="s">
        <v>5019</v>
      </c>
      <c r="C10" s="124">
        <f>SUM(RMB[[#This Row],[箱型]:[VGM]])</f>
        <v>1625</v>
      </c>
      <c r="D10" s="123" t="s">
        <v>435</v>
      </c>
      <c r="E10" s="125">
        <v>350</v>
      </c>
      <c r="F10" s="125"/>
      <c r="G10" s="125">
        <v>695</v>
      </c>
      <c r="H10" s="124">
        <v>450</v>
      </c>
      <c r="I10" s="124">
        <v>50</v>
      </c>
      <c r="J10" s="124">
        <v>30</v>
      </c>
      <c r="K10" s="124">
        <v>30</v>
      </c>
      <c r="L10" s="124">
        <v>20</v>
      </c>
      <c r="M10" s="126"/>
      <c r="N1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CMA人民币费用20GP：订舱350，THC695，文件450/票，设备管理30，封志50，放单30，VGM20</v>
      </c>
      <c r="O10" s="123" t="s">
        <v>3240</v>
      </c>
    </row>
    <row r="11" spans="1:15" ht="42.75" hidden="1" x14ac:dyDescent="0.15">
      <c r="A11" s="126" t="s">
        <v>373</v>
      </c>
      <c r="B11" s="123" t="s">
        <v>5019</v>
      </c>
      <c r="C11" s="124">
        <f>SUM(RMB[[#This Row],[箱型]:[VGM]])</f>
        <v>2180</v>
      </c>
      <c r="D11" s="123" t="s">
        <v>436</v>
      </c>
      <c r="E11" s="125">
        <v>560</v>
      </c>
      <c r="F11" s="125"/>
      <c r="G11" s="125">
        <v>1040</v>
      </c>
      <c r="H11" s="124">
        <v>450</v>
      </c>
      <c r="I11" s="124">
        <v>50</v>
      </c>
      <c r="J11" s="124">
        <v>30</v>
      </c>
      <c r="K11" s="124">
        <v>30</v>
      </c>
      <c r="L11" s="124">
        <v>20</v>
      </c>
      <c r="M11" s="126"/>
      <c r="N1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CMA人民币费用40GP：订舱560，THC1040，文件450/票，设备管理30，封志50，放单30，VGM20</v>
      </c>
      <c r="O11" s="123" t="s">
        <v>3240</v>
      </c>
    </row>
    <row r="12" spans="1:15" ht="42.75" hidden="1" x14ac:dyDescent="0.15">
      <c r="A12" s="126" t="s">
        <v>373</v>
      </c>
      <c r="B12" s="123" t="s">
        <v>5019</v>
      </c>
      <c r="C12" s="124">
        <f>SUM(RMB[[#This Row],[箱型]:[VGM]])</f>
        <v>2180</v>
      </c>
      <c r="D12" s="123" t="s">
        <v>437</v>
      </c>
      <c r="E12" s="125">
        <v>560</v>
      </c>
      <c r="F12" s="125"/>
      <c r="G12" s="125">
        <v>1040</v>
      </c>
      <c r="H12" s="124">
        <v>450</v>
      </c>
      <c r="I12" s="124">
        <v>50</v>
      </c>
      <c r="J12" s="124">
        <v>30</v>
      </c>
      <c r="K12" s="124">
        <v>30</v>
      </c>
      <c r="L12" s="124">
        <v>20</v>
      </c>
      <c r="M12" s="126"/>
      <c r="N1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CMA人民币费用40HC：订舱560，THC1040，文件450/票，设备管理30，封志50，放单30，VGM20</v>
      </c>
      <c r="O12" s="123" t="s">
        <v>3240</v>
      </c>
    </row>
    <row r="13" spans="1:15" ht="42.75" hidden="1" x14ac:dyDescent="0.15">
      <c r="A13" s="126" t="s">
        <v>373</v>
      </c>
      <c r="B13" s="123" t="s">
        <v>5019</v>
      </c>
      <c r="C13" s="124">
        <f>SUM(RMB[[#This Row],[箱型]:[VGM]])</f>
        <v>1860</v>
      </c>
      <c r="D13" s="123" t="s">
        <v>438</v>
      </c>
      <c r="E13" s="125"/>
      <c r="F13" s="125"/>
      <c r="G13" s="125">
        <v>1280</v>
      </c>
      <c r="H13" s="124">
        <v>450</v>
      </c>
      <c r="I13" s="124">
        <v>50</v>
      </c>
      <c r="J13" s="124">
        <v>30</v>
      </c>
      <c r="K13" s="124">
        <v>30</v>
      </c>
      <c r="L13" s="124">
        <v>20</v>
      </c>
      <c r="M13" s="126"/>
      <c r="N1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CMA人民币费用45HC：THC1280，文件450/票，设备管理30，封志50，放单30，VGM20</v>
      </c>
      <c r="O13" s="123" t="s">
        <v>3240</v>
      </c>
    </row>
    <row r="14" spans="1:15" ht="42.75" hidden="1" x14ac:dyDescent="0.15">
      <c r="A14" s="126" t="s">
        <v>440</v>
      </c>
      <c r="B14" s="123" t="s">
        <v>5019</v>
      </c>
      <c r="C14" s="124">
        <f>SUM(RMB[[#This Row],[箱型]:[VGM]])</f>
        <v>1525</v>
      </c>
      <c r="D14" s="123" t="s">
        <v>435</v>
      </c>
      <c r="E14" s="125">
        <v>310</v>
      </c>
      <c r="F14" s="125">
        <v>20</v>
      </c>
      <c r="G14" s="125">
        <v>695</v>
      </c>
      <c r="H14" s="124">
        <v>450</v>
      </c>
      <c r="I14" s="124">
        <v>30</v>
      </c>
      <c r="J14" s="124"/>
      <c r="K14" s="124"/>
      <c r="L14" s="124">
        <v>20</v>
      </c>
      <c r="M14" s="126"/>
      <c r="N1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CNC人民币费用20GP：订舱310，THC695，安保20，文件450/票，封志30，VGM20</v>
      </c>
      <c r="O14" s="123" t="s">
        <v>3221</v>
      </c>
    </row>
    <row r="15" spans="1:15" ht="42.75" hidden="1" x14ac:dyDescent="0.15">
      <c r="A15" s="126" t="s">
        <v>440</v>
      </c>
      <c r="B15" s="123" t="s">
        <v>5019</v>
      </c>
      <c r="C15" s="124">
        <f>SUM(RMB[[#This Row],[箱型]:[VGM]])</f>
        <v>2080</v>
      </c>
      <c r="D15" s="123" t="s">
        <v>436</v>
      </c>
      <c r="E15" s="125">
        <v>510</v>
      </c>
      <c r="F15" s="125">
        <v>30</v>
      </c>
      <c r="G15" s="125">
        <v>1040</v>
      </c>
      <c r="H15" s="124">
        <v>450</v>
      </c>
      <c r="I15" s="124">
        <v>30</v>
      </c>
      <c r="J15" s="124"/>
      <c r="K15" s="124"/>
      <c r="L15" s="124">
        <v>20</v>
      </c>
      <c r="M15" s="126"/>
      <c r="N1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CNC人民币费用40GP：订舱510，THC1040，安保30，文件450/票，封志30，VGM20</v>
      </c>
      <c r="O15" s="123" t="s">
        <v>3221</v>
      </c>
    </row>
    <row r="16" spans="1:15" ht="42.75" hidden="1" x14ac:dyDescent="0.15">
      <c r="A16" s="126" t="s">
        <v>440</v>
      </c>
      <c r="B16" s="123" t="s">
        <v>5019</v>
      </c>
      <c r="C16" s="124">
        <f>SUM(RMB[[#This Row],[箱型]:[VGM]])</f>
        <v>2080</v>
      </c>
      <c r="D16" s="123" t="s">
        <v>437</v>
      </c>
      <c r="E16" s="125">
        <v>510</v>
      </c>
      <c r="F16" s="125">
        <v>30</v>
      </c>
      <c r="G16" s="125">
        <v>1040</v>
      </c>
      <c r="H16" s="124">
        <v>450</v>
      </c>
      <c r="I16" s="124">
        <v>30</v>
      </c>
      <c r="J16" s="124"/>
      <c r="K16" s="124"/>
      <c r="L16" s="124">
        <v>20</v>
      </c>
      <c r="M16" s="126"/>
      <c r="N1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CNC人民币费用40HC：订舱510，THC1040，安保30，文件450/票，封志30，VGM20</v>
      </c>
      <c r="O16" s="123" t="s">
        <v>3221</v>
      </c>
    </row>
    <row r="17" spans="1:15" ht="28.5" hidden="1" x14ac:dyDescent="0.15">
      <c r="A17" s="126" t="s">
        <v>440</v>
      </c>
      <c r="B17" s="123" t="s">
        <v>5019</v>
      </c>
      <c r="C17" s="124">
        <f>SUM(RMB[[#This Row],[箱型]:[VGM]])</f>
        <v>1040</v>
      </c>
      <c r="D17" s="123" t="s">
        <v>438</v>
      </c>
      <c r="E17" s="125">
        <v>510</v>
      </c>
      <c r="F17" s="125">
        <v>30</v>
      </c>
      <c r="G17" s="125"/>
      <c r="H17" s="124">
        <v>450</v>
      </c>
      <c r="I17" s="124">
        <v>30</v>
      </c>
      <c r="J17" s="124"/>
      <c r="K17" s="124"/>
      <c r="L17" s="124">
        <v>20</v>
      </c>
      <c r="M17" s="126"/>
      <c r="N1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CNC人民币费用45HC：订舱510，安保30，文件450/票，封志30，VGM20</v>
      </c>
      <c r="O17" s="123" t="s">
        <v>3221</v>
      </c>
    </row>
    <row r="18" spans="1:15" ht="42.75" hidden="1" x14ac:dyDescent="0.15">
      <c r="A18" s="126" t="s">
        <v>378</v>
      </c>
      <c r="B18" s="123" t="s">
        <v>5019</v>
      </c>
      <c r="C18" s="124">
        <f>SUM(RMB[[#This Row],[箱型]:[VGM]])</f>
        <v>1630</v>
      </c>
      <c r="D18" s="123" t="s">
        <v>435</v>
      </c>
      <c r="E18" s="125">
        <v>320</v>
      </c>
      <c r="F18" s="125">
        <v>20</v>
      </c>
      <c r="G18" s="125">
        <v>680</v>
      </c>
      <c r="H18" s="124">
        <v>500</v>
      </c>
      <c r="I18" s="124">
        <v>30</v>
      </c>
      <c r="J18" s="124">
        <v>30</v>
      </c>
      <c r="K18" s="124">
        <v>30</v>
      </c>
      <c r="L18" s="124">
        <v>20</v>
      </c>
      <c r="M18" s="126"/>
      <c r="N1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COSCO人民币费用20GP：订舱320，THC680，安保20，文件500/票，设备管理30，封志30，放单30，VGM20</v>
      </c>
      <c r="O18" s="123" t="s">
        <v>3223</v>
      </c>
    </row>
    <row r="19" spans="1:15" ht="42.75" hidden="1" x14ac:dyDescent="0.15">
      <c r="A19" s="126" t="s">
        <v>378</v>
      </c>
      <c r="B19" s="123" t="s">
        <v>5019</v>
      </c>
      <c r="C19" s="124">
        <f>SUM(RMB[[#This Row],[箱型]:[VGM]])</f>
        <v>2249</v>
      </c>
      <c r="D19" s="123" t="s">
        <v>436</v>
      </c>
      <c r="E19" s="125">
        <v>575</v>
      </c>
      <c r="F19" s="125">
        <v>30</v>
      </c>
      <c r="G19" s="125">
        <v>1034</v>
      </c>
      <c r="H19" s="124">
        <v>500</v>
      </c>
      <c r="I19" s="124">
        <v>30</v>
      </c>
      <c r="J19" s="124">
        <v>30</v>
      </c>
      <c r="K19" s="124">
        <v>30</v>
      </c>
      <c r="L19" s="124">
        <v>20</v>
      </c>
      <c r="M19" s="126"/>
      <c r="N1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COSCO人民币费用40GP：订舱575，THC1034，安保30，文件500/票，设备管理30，封志30，放单30，VGM20</v>
      </c>
      <c r="O19" s="123" t="s">
        <v>3223</v>
      </c>
    </row>
    <row r="20" spans="1:15" ht="42.75" hidden="1" x14ac:dyDescent="0.15">
      <c r="A20" s="126" t="s">
        <v>378</v>
      </c>
      <c r="B20" s="123" t="s">
        <v>5019</v>
      </c>
      <c r="C20" s="124">
        <f>SUM(RMB[[#This Row],[箱型]:[VGM]])</f>
        <v>2379</v>
      </c>
      <c r="D20" s="123" t="s">
        <v>437</v>
      </c>
      <c r="E20" s="125">
        <v>705</v>
      </c>
      <c r="F20" s="125">
        <v>30</v>
      </c>
      <c r="G20" s="125">
        <v>1034</v>
      </c>
      <c r="H20" s="124">
        <v>500</v>
      </c>
      <c r="I20" s="124">
        <v>30</v>
      </c>
      <c r="J20" s="124">
        <v>30</v>
      </c>
      <c r="K20" s="124">
        <v>30</v>
      </c>
      <c r="L20" s="124">
        <v>20</v>
      </c>
      <c r="M20" s="126"/>
      <c r="N2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COSCO人民币费用40HC：订舱705，THC1034，安保30，文件500/票，设备管理30，封志30，放单30，VGM20</v>
      </c>
      <c r="O20" s="123" t="s">
        <v>3223</v>
      </c>
    </row>
    <row r="21" spans="1:15" ht="42.75" hidden="1" x14ac:dyDescent="0.15">
      <c r="A21" s="126" t="s">
        <v>378</v>
      </c>
      <c r="B21" s="123" t="s">
        <v>5019</v>
      </c>
      <c r="C21" s="124">
        <f>SUM(RMB[[#This Row],[箱型]:[VGM]])</f>
        <v>2843</v>
      </c>
      <c r="D21" s="123" t="s">
        <v>438</v>
      </c>
      <c r="E21" s="125">
        <v>755</v>
      </c>
      <c r="F21" s="125">
        <v>30</v>
      </c>
      <c r="G21" s="125">
        <v>1448</v>
      </c>
      <c r="H21" s="124">
        <v>500</v>
      </c>
      <c r="I21" s="124">
        <v>30</v>
      </c>
      <c r="J21" s="124">
        <v>30</v>
      </c>
      <c r="K21" s="124">
        <v>30</v>
      </c>
      <c r="L21" s="124">
        <v>20</v>
      </c>
      <c r="M21" s="126"/>
      <c r="N2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COSCO人民币费用45HC：订舱755，THC1448，安保30，文件500/票，设备管理30，封志30，放单30，VGM20</v>
      </c>
      <c r="O21" s="123" t="s">
        <v>3223</v>
      </c>
    </row>
    <row r="22" spans="1:15" ht="42.75" hidden="1" x14ac:dyDescent="0.15">
      <c r="A22" s="126" t="s">
        <v>379</v>
      </c>
      <c r="B22" s="123" t="s">
        <v>5019</v>
      </c>
      <c r="C22" s="124">
        <f>SUM(RMB[[#This Row],[箱型]:[VGM]])</f>
        <v>1526</v>
      </c>
      <c r="D22" s="123" t="s">
        <v>435</v>
      </c>
      <c r="E22" s="125">
        <v>295</v>
      </c>
      <c r="F22" s="125">
        <v>20</v>
      </c>
      <c r="G22" s="125">
        <v>661</v>
      </c>
      <c r="H22" s="124">
        <v>450</v>
      </c>
      <c r="I22" s="124"/>
      <c r="J22" s="124">
        <v>80</v>
      </c>
      <c r="K22" s="124"/>
      <c r="L22" s="124">
        <v>20</v>
      </c>
      <c r="M22" s="126" t="s">
        <v>441</v>
      </c>
      <c r="N2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EMC人民币费用20GP：订舱295，THC661，安保20，文件450/票，设备管理80，VGM20</v>
      </c>
      <c r="O22" s="123" t="s">
        <v>3227</v>
      </c>
    </row>
    <row r="23" spans="1:15" ht="42.75" hidden="1" x14ac:dyDescent="0.15">
      <c r="A23" s="126" t="s">
        <v>379</v>
      </c>
      <c r="B23" s="123" t="s">
        <v>5019</v>
      </c>
      <c r="C23" s="124">
        <f>SUM(RMB[[#This Row],[箱型]:[VGM]])</f>
        <v>2062</v>
      </c>
      <c r="D23" s="123" t="s">
        <v>436</v>
      </c>
      <c r="E23" s="125">
        <v>490</v>
      </c>
      <c r="F23" s="125">
        <v>30</v>
      </c>
      <c r="G23" s="125">
        <v>992</v>
      </c>
      <c r="H23" s="124">
        <v>450</v>
      </c>
      <c r="I23" s="124"/>
      <c r="J23" s="124">
        <v>80</v>
      </c>
      <c r="K23" s="124"/>
      <c r="L23" s="124">
        <v>20</v>
      </c>
      <c r="M23" s="126" t="s">
        <v>441</v>
      </c>
      <c r="N2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EMC人民币费用40GP：订舱490，THC992，安保30，文件450/票，设备管理80，VGM20</v>
      </c>
      <c r="O23" s="123" t="s">
        <v>3226</v>
      </c>
    </row>
    <row r="24" spans="1:15" ht="42.75" hidden="1" x14ac:dyDescent="0.15">
      <c r="A24" s="126" t="s">
        <v>379</v>
      </c>
      <c r="B24" s="123" t="s">
        <v>5019</v>
      </c>
      <c r="C24" s="124">
        <f>SUM(RMB[[#This Row],[箱型]:[VGM]])</f>
        <v>2062</v>
      </c>
      <c r="D24" s="123" t="s">
        <v>437</v>
      </c>
      <c r="E24" s="125">
        <v>490</v>
      </c>
      <c r="F24" s="125">
        <v>30</v>
      </c>
      <c r="G24" s="125">
        <v>992</v>
      </c>
      <c r="H24" s="124">
        <v>450</v>
      </c>
      <c r="I24" s="124"/>
      <c r="J24" s="124">
        <v>80</v>
      </c>
      <c r="K24" s="124"/>
      <c r="L24" s="124">
        <v>20</v>
      </c>
      <c r="M24" s="126" t="s">
        <v>441</v>
      </c>
      <c r="N2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EMC人民币费用40HC：订舱490，THC992，安保30，文件450/票，设备管理80，VGM20</v>
      </c>
      <c r="O24" s="123" t="s">
        <v>3226</v>
      </c>
    </row>
    <row r="25" spans="1:15" ht="42.75" hidden="1" x14ac:dyDescent="0.15">
      <c r="A25" s="126" t="s">
        <v>379</v>
      </c>
      <c r="B25" s="123" t="s">
        <v>5019</v>
      </c>
      <c r="C25" s="124">
        <f>SUM(RMB[[#This Row],[箱型]:[VGM]])</f>
        <v>1902</v>
      </c>
      <c r="D25" s="123" t="s">
        <v>438</v>
      </c>
      <c r="E25" s="125"/>
      <c r="F25" s="125">
        <v>30</v>
      </c>
      <c r="G25" s="125">
        <v>1322</v>
      </c>
      <c r="H25" s="124">
        <v>450</v>
      </c>
      <c r="I25" s="124"/>
      <c r="J25" s="124">
        <v>80</v>
      </c>
      <c r="K25" s="124"/>
      <c r="L25" s="124">
        <v>20</v>
      </c>
      <c r="M25" s="126" t="s">
        <v>441</v>
      </c>
      <c r="N2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EMC人民币费用45HC：THC1322，安保30，文件450/票，设备管理80，VGM20</v>
      </c>
      <c r="O25" s="123" t="s">
        <v>3226</v>
      </c>
    </row>
    <row r="26" spans="1:15" ht="42.75" hidden="1" x14ac:dyDescent="0.15">
      <c r="A26" s="126" t="s">
        <v>379</v>
      </c>
      <c r="B26" s="123" t="s">
        <v>5019</v>
      </c>
      <c r="C26" s="124">
        <f>SUM(RMB[[#This Row],[箱型]:[VGM]])</f>
        <v>1655</v>
      </c>
      <c r="D26" s="123" t="s">
        <v>435</v>
      </c>
      <c r="E26" s="125">
        <v>295</v>
      </c>
      <c r="F26" s="125">
        <v>20</v>
      </c>
      <c r="G26" s="125">
        <v>790</v>
      </c>
      <c r="H26" s="124">
        <v>450</v>
      </c>
      <c r="I26" s="124"/>
      <c r="J26" s="124">
        <v>80</v>
      </c>
      <c r="K26" s="124"/>
      <c r="L26" s="124">
        <v>20</v>
      </c>
      <c r="M26" s="126" t="s">
        <v>5040</v>
      </c>
      <c r="N2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EMC人民币费用20GP：订舱295，THC790，安保20，文件450/票，设备管理80，VGM20</v>
      </c>
      <c r="O26" s="123" t="s">
        <v>3226</v>
      </c>
    </row>
    <row r="27" spans="1:15" ht="42.75" hidden="1" x14ac:dyDescent="0.15">
      <c r="A27" s="126" t="s">
        <v>379</v>
      </c>
      <c r="B27" s="123" t="s">
        <v>5019</v>
      </c>
      <c r="C27" s="124">
        <f>SUM(RMB[[#This Row],[箱型]:[VGM]])</f>
        <v>2255</v>
      </c>
      <c r="D27" s="123" t="s">
        <v>436</v>
      </c>
      <c r="E27" s="125">
        <v>490</v>
      </c>
      <c r="F27" s="125">
        <v>30</v>
      </c>
      <c r="G27" s="125">
        <v>1185</v>
      </c>
      <c r="H27" s="124">
        <v>450</v>
      </c>
      <c r="I27" s="124"/>
      <c r="J27" s="124">
        <v>80</v>
      </c>
      <c r="K27" s="124"/>
      <c r="L27" s="124">
        <v>20</v>
      </c>
      <c r="M27" s="126" t="s">
        <v>5040</v>
      </c>
      <c r="N2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EMC人民币费用40GP：订舱490，THC1185，安保30，文件450/票，设备管理80，VGM20</v>
      </c>
      <c r="O27" s="123" t="s">
        <v>3226</v>
      </c>
    </row>
    <row r="28" spans="1:15" ht="42.75" hidden="1" x14ac:dyDescent="0.15">
      <c r="A28" s="126" t="s">
        <v>379</v>
      </c>
      <c r="B28" s="123" t="s">
        <v>5019</v>
      </c>
      <c r="C28" s="124">
        <f>SUM(RMB[[#This Row],[箱型]:[VGM]])</f>
        <v>2255</v>
      </c>
      <c r="D28" s="123" t="s">
        <v>437</v>
      </c>
      <c r="E28" s="125">
        <v>490</v>
      </c>
      <c r="F28" s="125">
        <v>30</v>
      </c>
      <c r="G28" s="125">
        <v>1185</v>
      </c>
      <c r="H28" s="124">
        <v>450</v>
      </c>
      <c r="I28" s="124"/>
      <c r="J28" s="124">
        <v>80</v>
      </c>
      <c r="K28" s="124"/>
      <c r="L28" s="124">
        <v>20</v>
      </c>
      <c r="M28" s="126" t="s">
        <v>5040</v>
      </c>
      <c r="N2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EMC人民币费用40HC：订舱490，THC1185，安保30，文件450/票，设备管理80，VGM20</v>
      </c>
      <c r="O28" s="123" t="s">
        <v>3226</v>
      </c>
    </row>
    <row r="29" spans="1:15" ht="42.75" hidden="1" x14ac:dyDescent="0.15">
      <c r="A29" s="126" t="s">
        <v>379</v>
      </c>
      <c r="B29" s="123" t="s">
        <v>5019</v>
      </c>
      <c r="C29" s="124">
        <f>SUM(RMB[[#This Row],[箱型]:[VGM]])</f>
        <v>2215</v>
      </c>
      <c r="D29" s="123" t="s">
        <v>438</v>
      </c>
      <c r="E29" s="125"/>
      <c r="F29" s="125">
        <v>30</v>
      </c>
      <c r="G29" s="125">
        <v>1635</v>
      </c>
      <c r="H29" s="124">
        <v>450</v>
      </c>
      <c r="I29" s="124"/>
      <c r="J29" s="124">
        <v>80</v>
      </c>
      <c r="K29" s="124"/>
      <c r="L29" s="124">
        <v>20</v>
      </c>
      <c r="M29" s="126" t="s">
        <v>5040</v>
      </c>
      <c r="N2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EMC人民币费用45HC：THC1635，安保30，文件450/票，设备管理80，VGM20</v>
      </c>
      <c r="O29" s="123" t="s">
        <v>3226</v>
      </c>
    </row>
    <row r="30" spans="1:15" ht="42.75" hidden="1" x14ac:dyDescent="0.15">
      <c r="A30" s="126" t="s">
        <v>3244</v>
      </c>
      <c r="B30" s="123" t="s">
        <v>5019</v>
      </c>
      <c r="C30" s="124">
        <f>SUM(RMB[[#This Row],[箱型]:[VGM]])</f>
        <v>1564</v>
      </c>
      <c r="D30" s="123" t="s">
        <v>435</v>
      </c>
      <c r="E30" s="125">
        <v>345</v>
      </c>
      <c r="F30" s="125">
        <v>20</v>
      </c>
      <c r="G30" s="125">
        <v>689</v>
      </c>
      <c r="H30" s="124">
        <v>450</v>
      </c>
      <c r="I30" s="124">
        <v>40</v>
      </c>
      <c r="J30" s="124"/>
      <c r="K30" s="124"/>
      <c r="L30" s="124">
        <v>20</v>
      </c>
      <c r="M30" s="126"/>
      <c r="N3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EMI人民币费用20GP：订舱345，THC689，安保20，文件450/票，封志40，VGM20</v>
      </c>
      <c r="O30" s="123" t="s">
        <v>3222</v>
      </c>
    </row>
    <row r="31" spans="1:15" ht="42.75" hidden="1" x14ac:dyDescent="0.15">
      <c r="A31" s="126" t="s">
        <v>3244</v>
      </c>
      <c r="B31" s="123" t="s">
        <v>5019</v>
      </c>
      <c r="C31" s="124">
        <f>SUM(RMB[[#This Row],[箱型]:[VGM]])</f>
        <v>2086</v>
      </c>
      <c r="D31" s="123" t="s">
        <v>436</v>
      </c>
      <c r="E31" s="125">
        <v>540</v>
      </c>
      <c r="F31" s="125">
        <v>30</v>
      </c>
      <c r="G31" s="125">
        <v>1006</v>
      </c>
      <c r="H31" s="124">
        <v>450</v>
      </c>
      <c r="I31" s="124">
        <v>40</v>
      </c>
      <c r="J31" s="124"/>
      <c r="K31" s="124"/>
      <c r="L31" s="124">
        <v>20</v>
      </c>
      <c r="M31" s="126"/>
      <c r="N3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EMI人民币费用40GP：订舱540，THC1006，安保30，文件450/票，封志40，VGM20</v>
      </c>
      <c r="O31" s="123" t="s">
        <v>3222</v>
      </c>
    </row>
    <row r="32" spans="1:15" ht="42.75" hidden="1" x14ac:dyDescent="0.15">
      <c r="A32" s="126" t="s">
        <v>3244</v>
      </c>
      <c r="B32" s="123" t="s">
        <v>5019</v>
      </c>
      <c r="C32" s="124">
        <f>SUM(RMB[[#This Row],[箱型]:[VGM]])</f>
        <v>2086</v>
      </c>
      <c r="D32" s="123" t="s">
        <v>437</v>
      </c>
      <c r="E32" s="125">
        <v>540</v>
      </c>
      <c r="F32" s="125">
        <v>30</v>
      </c>
      <c r="G32" s="125">
        <v>1006</v>
      </c>
      <c r="H32" s="124">
        <v>450</v>
      </c>
      <c r="I32" s="124">
        <v>40</v>
      </c>
      <c r="J32" s="124"/>
      <c r="K32" s="124"/>
      <c r="L32" s="124">
        <v>20</v>
      </c>
      <c r="M32" s="126"/>
      <c r="N3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EMI人民币费用40HC：订舱540，THC1006，安保30，文件450/票，封志40，VGM20</v>
      </c>
      <c r="O32" s="123" t="s">
        <v>3222</v>
      </c>
    </row>
    <row r="33" spans="1:15" ht="28.5" hidden="1" x14ac:dyDescent="0.15">
      <c r="A33" s="126" t="s">
        <v>3244</v>
      </c>
      <c r="B33" s="123" t="s">
        <v>5019</v>
      </c>
      <c r="C33" s="124">
        <f>SUM(RMB[[#This Row],[箱型]:[VGM]])</f>
        <v>1180</v>
      </c>
      <c r="D33" s="123" t="s">
        <v>438</v>
      </c>
      <c r="E33" s="125">
        <v>640</v>
      </c>
      <c r="F33" s="125">
        <v>30</v>
      </c>
      <c r="G33" s="125"/>
      <c r="H33" s="124">
        <v>450</v>
      </c>
      <c r="I33" s="124">
        <v>40</v>
      </c>
      <c r="J33" s="124"/>
      <c r="K33" s="124"/>
      <c r="L33" s="124">
        <v>20</v>
      </c>
      <c r="M33" s="126"/>
      <c r="N3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EMI人民币费用45HC：订舱640，安保30，文件450/票，封志40，VGM20</v>
      </c>
      <c r="O33" s="123" t="s">
        <v>3222</v>
      </c>
    </row>
    <row r="34" spans="1:15" ht="42.75" hidden="1" x14ac:dyDescent="0.15">
      <c r="A34" s="126" t="s">
        <v>3243</v>
      </c>
      <c r="B34" s="123" t="s">
        <v>5019</v>
      </c>
      <c r="C34" s="124">
        <f>SUM(RMB[[#This Row],[箱型]:[VGM]])</f>
        <v>1580</v>
      </c>
      <c r="D34" s="123" t="s">
        <v>435</v>
      </c>
      <c r="E34" s="125">
        <v>280</v>
      </c>
      <c r="F34" s="125">
        <v>20</v>
      </c>
      <c r="G34" s="125">
        <v>750</v>
      </c>
      <c r="H34" s="124">
        <v>450</v>
      </c>
      <c r="I34" s="124"/>
      <c r="J34" s="124">
        <v>60</v>
      </c>
      <c r="K34" s="124"/>
      <c r="L34" s="124">
        <v>20</v>
      </c>
      <c r="M34" s="126" t="s">
        <v>443</v>
      </c>
      <c r="N3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HBS人民币费用20GP：订舱280，THC750，安保20，文件450/票，设备管理60，VGM20</v>
      </c>
    </row>
    <row r="35" spans="1:15" ht="42.75" hidden="1" x14ac:dyDescent="0.15">
      <c r="A35" s="126" t="s">
        <v>3243</v>
      </c>
      <c r="B35" s="123" t="s">
        <v>5019</v>
      </c>
      <c r="C35" s="124">
        <f>SUM(RMB[[#This Row],[箱型]:[VGM]])</f>
        <v>2126</v>
      </c>
      <c r="D35" s="123" t="s">
        <v>436</v>
      </c>
      <c r="E35" s="125">
        <v>460</v>
      </c>
      <c r="F35" s="125">
        <v>30</v>
      </c>
      <c r="G35" s="125">
        <v>1106</v>
      </c>
      <c r="H35" s="124">
        <v>450</v>
      </c>
      <c r="I35" s="124"/>
      <c r="J35" s="124">
        <v>60</v>
      </c>
      <c r="K35" s="124"/>
      <c r="L35" s="124">
        <v>20</v>
      </c>
      <c r="M35" s="126" t="s">
        <v>443</v>
      </c>
      <c r="N3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HBS人民币费用40GP：订舱460，THC1106，安保30，文件450/票，设备管理60，VGM20</v>
      </c>
    </row>
    <row r="36" spans="1:15" ht="42.75" hidden="1" x14ac:dyDescent="0.15">
      <c r="A36" s="126" t="s">
        <v>3243</v>
      </c>
      <c r="B36" s="123" t="s">
        <v>5019</v>
      </c>
      <c r="C36" s="124">
        <f>SUM(RMB[[#This Row],[箱型]:[VGM]])</f>
        <v>2126</v>
      </c>
      <c r="D36" s="123" t="s">
        <v>437</v>
      </c>
      <c r="E36" s="125">
        <v>460</v>
      </c>
      <c r="F36" s="125">
        <v>30</v>
      </c>
      <c r="G36" s="125">
        <v>1106</v>
      </c>
      <c r="H36" s="124">
        <v>450</v>
      </c>
      <c r="I36" s="124"/>
      <c r="J36" s="124">
        <v>60</v>
      </c>
      <c r="K36" s="124"/>
      <c r="L36" s="124">
        <v>20</v>
      </c>
      <c r="M36" s="126" t="s">
        <v>443</v>
      </c>
      <c r="N3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HBS人民币费用40HC：订舱460，THC1106，安保30，文件450/票，设备管理60，VGM20</v>
      </c>
    </row>
    <row r="37" spans="1:15" ht="28.5" hidden="1" x14ac:dyDescent="0.15">
      <c r="A37" s="126" t="s">
        <v>3243</v>
      </c>
      <c r="B37" s="123" t="s">
        <v>5019</v>
      </c>
      <c r="C37" s="124">
        <f>SUM(RMB[[#This Row],[箱型]:[VGM]])</f>
        <v>560</v>
      </c>
      <c r="D37" s="123" t="s">
        <v>438</v>
      </c>
      <c r="E37" s="125"/>
      <c r="F37" s="125">
        <v>30</v>
      </c>
      <c r="G37" s="125"/>
      <c r="H37" s="124">
        <v>450</v>
      </c>
      <c r="I37" s="124"/>
      <c r="J37" s="124">
        <v>60</v>
      </c>
      <c r="K37" s="124"/>
      <c r="L37" s="124">
        <v>20</v>
      </c>
      <c r="M37" s="126" t="s">
        <v>443</v>
      </c>
      <c r="N3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HBS人民币费用45HC：安保30，文件450/票，设备管理60，VGM20</v>
      </c>
    </row>
    <row r="38" spans="1:15" ht="42.75" hidden="1" x14ac:dyDescent="0.15">
      <c r="A38" s="126" t="s">
        <v>444</v>
      </c>
      <c r="B38" s="123" t="s">
        <v>5019</v>
      </c>
      <c r="C38" s="124">
        <f>SUM(RMB[[#This Row],[箱型]:[VGM]])</f>
        <v>1480</v>
      </c>
      <c r="D38" s="123" t="s">
        <v>435</v>
      </c>
      <c r="E38" s="125">
        <v>325</v>
      </c>
      <c r="F38" s="125">
        <v>20</v>
      </c>
      <c r="G38" s="125">
        <v>665</v>
      </c>
      <c r="H38" s="124">
        <v>450</v>
      </c>
      <c r="I38" s="124"/>
      <c r="J38" s="124"/>
      <c r="K38" s="124"/>
      <c r="L38" s="124">
        <v>20</v>
      </c>
      <c r="M38" s="126"/>
      <c r="N3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HMM人民币费用20GP：订舱325，THC665，安保20，文件450/票，VGM20</v>
      </c>
      <c r="O38" s="123" t="s">
        <v>3238</v>
      </c>
    </row>
    <row r="39" spans="1:15" ht="42.75" hidden="1" x14ac:dyDescent="0.15">
      <c r="A39" s="126" t="s">
        <v>444</v>
      </c>
      <c r="B39" s="123" t="s">
        <v>5019</v>
      </c>
      <c r="C39" s="124">
        <f>SUM(RMB[[#This Row],[箱型]:[VGM]])</f>
        <v>2037</v>
      </c>
      <c r="D39" s="123" t="s">
        <v>436</v>
      </c>
      <c r="E39" s="125">
        <v>540</v>
      </c>
      <c r="F39" s="125">
        <v>30</v>
      </c>
      <c r="G39" s="125">
        <v>997</v>
      </c>
      <c r="H39" s="124">
        <v>450</v>
      </c>
      <c r="I39" s="124"/>
      <c r="J39" s="124"/>
      <c r="K39" s="124"/>
      <c r="L39" s="124">
        <v>20</v>
      </c>
      <c r="M39" s="126"/>
      <c r="N3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HMM人民币费用40GP：订舱540，THC997，安保30，文件450/票，VGM20</v>
      </c>
      <c r="O39" s="123" t="s">
        <v>3238</v>
      </c>
    </row>
    <row r="40" spans="1:15" ht="42.75" hidden="1" x14ac:dyDescent="0.15">
      <c r="A40" s="126" t="s">
        <v>444</v>
      </c>
      <c r="B40" s="123" t="s">
        <v>5019</v>
      </c>
      <c r="C40" s="124">
        <f>SUM(RMB[[#This Row],[箱型]:[VGM]])</f>
        <v>2037</v>
      </c>
      <c r="D40" s="123" t="s">
        <v>437</v>
      </c>
      <c r="E40" s="125">
        <v>540</v>
      </c>
      <c r="F40" s="125">
        <v>30</v>
      </c>
      <c r="G40" s="125">
        <v>997</v>
      </c>
      <c r="H40" s="124">
        <v>450</v>
      </c>
      <c r="I40" s="124"/>
      <c r="J40" s="124"/>
      <c r="K40" s="124"/>
      <c r="L40" s="124">
        <v>20</v>
      </c>
      <c r="M40" s="126"/>
      <c r="N4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HMM人民币费用40HC：订舱540，THC997，安保30，文件450/票，VGM20</v>
      </c>
      <c r="O40" s="123" t="s">
        <v>3238</v>
      </c>
    </row>
    <row r="41" spans="1:15" ht="42.75" hidden="1" x14ac:dyDescent="0.15">
      <c r="A41" s="126" t="s">
        <v>444</v>
      </c>
      <c r="B41" s="123" t="s">
        <v>5019</v>
      </c>
      <c r="C41" s="124">
        <f>SUM(RMB[[#This Row],[箱型]:[VGM]])</f>
        <v>2385</v>
      </c>
      <c r="D41" s="123" t="s">
        <v>438</v>
      </c>
      <c r="E41" s="125">
        <v>510</v>
      </c>
      <c r="F41" s="125">
        <v>30</v>
      </c>
      <c r="G41" s="125">
        <v>1375</v>
      </c>
      <c r="H41" s="124">
        <v>450</v>
      </c>
      <c r="I41" s="124"/>
      <c r="J41" s="124"/>
      <c r="K41" s="124"/>
      <c r="L41" s="124">
        <v>20</v>
      </c>
      <c r="M41" s="126"/>
      <c r="N4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HMM人民币费用45HC：订舱510，THC1375，安保30，文件450/票，VGM20</v>
      </c>
      <c r="O41" s="123" t="s">
        <v>3238</v>
      </c>
    </row>
    <row r="42" spans="1:15" ht="42.75" hidden="1" x14ac:dyDescent="0.15">
      <c r="A42" s="126" t="s">
        <v>385</v>
      </c>
      <c r="B42" s="123" t="s">
        <v>5019</v>
      </c>
      <c r="C42" s="124">
        <f>SUM(RMB[[#This Row],[箱型]:[VGM]])</f>
        <v>1363</v>
      </c>
      <c r="D42" s="123" t="s">
        <v>435</v>
      </c>
      <c r="E42" s="125">
        <v>250</v>
      </c>
      <c r="F42" s="125">
        <v>20</v>
      </c>
      <c r="G42" s="125">
        <v>633</v>
      </c>
      <c r="H42" s="124">
        <v>400</v>
      </c>
      <c r="I42" s="124">
        <v>20</v>
      </c>
      <c r="J42" s="124">
        <v>20</v>
      </c>
      <c r="K42" s="124"/>
      <c r="L42" s="124">
        <v>20</v>
      </c>
      <c r="M42" s="126"/>
      <c r="N4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HPL人民币费用20GP：订舱250，THC633，安保20，文件400/票，设备管理20，封志20，VGM20</v>
      </c>
      <c r="O42" s="123" t="s">
        <v>3225</v>
      </c>
    </row>
    <row r="43" spans="1:15" ht="42.75" hidden="1" x14ac:dyDescent="0.15">
      <c r="A43" s="126" t="s">
        <v>385</v>
      </c>
      <c r="B43" s="123" t="s">
        <v>5019</v>
      </c>
      <c r="C43" s="124">
        <f>SUM(RMB[[#This Row],[箱型]:[VGM]])</f>
        <v>1771</v>
      </c>
      <c r="D43" s="123" t="s">
        <v>436</v>
      </c>
      <c r="E43" s="125">
        <v>445</v>
      </c>
      <c r="F43" s="125">
        <v>30</v>
      </c>
      <c r="G43" s="125">
        <v>836</v>
      </c>
      <c r="H43" s="124">
        <v>400</v>
      </c>
      <c r="I43" s="124">
        <v>20</v>
      </c>
      <c r="J43" s="124">
        <v>20</v>
      </c>
      <c r="K43" s="124"/>
      <c r="L43" s="124">
        <v>20</v>
      </c>
      <c r="M43" s="126"/>
      <c r="N4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HPL人民币费用40GP：订舱445，THC836，安保30，文件400/票，设备管理20，封志20，VGM20</v>
      </c>
      <c r="O43" s="123" t="s">
        <v>3225</v>
      </c>
    </row>
    <row r="44" spans="1:15" ht="42.75" hidden="1" x14ac:dyDescent="0.15">
      <c r="A44" s="126" t="s">
        <v>385</v>
      </c>
      <c r="B44" s="123" t="s">
        <v>5019</v>
      </c>
      <c r="C44" s="124">
        <f>SUM(RMB[[#This Row],[箱型]:[VGM]])</f>
        <v>1771</v>
      </c>
      <c r="D44" s="123" t="s">
        <v>437</v>
      </c>
      <c r="E44" s="125">
        <v>445</v>
      </c>
      <c r="F44" s="125">
        <v>30</v>
      </c>
      <c r="G44" s="125">
        <v>836</v>
      </c>
      <c r="H44" s="124">
        <v>400</v>
      </c>
      <c r="I44" s="124">
        <v>20</v>
      </c>
      <c r="J44" s="124">
        <v>20</v>
      </c>
      <c r="K44" s="124"/>
      <c r="L44" s="124">
        <v>20</v>
      </c>
      <c r="M44" s="126"/>
      <c r="N4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HPL人民币费用40HC：订舱445，THC836，安保30，文件400/票，设备管理20，封志20，VGM20</v>
      </c>
      <c r="O44" s="123" t="s">
        <v>3225</v>
      </c>
    </row>
    <row r="45" spans="1:15" ht="42.75" hidden="1" x14ac:dyDescent="0.15">
      <c r="A45" s="126" t="s">
        <v>385</v>
      </c>
      <c r="B45" s="123" t="s">
        <v>5019</v>
      </c>
      <c r="C45" s="124">
        <f>SUM(RMB[[#This Row],[箱型]:[VGM]])</f>
        <v>2151</v>
      </c>
      <c r="D45" s="123" t="s">
        <v>438</v>
      </c>
      <c r="E45" s="125">
        <v>445</v>
      </c>
      <c r="F45" s="125">
        <v>30</v>
      </c>
      <c r="G45" s="125">
        <v>1216</v>
      </c>
      <c r="H45" s="124">
        <v>400</v>
      </c>
      <c r="I45" s="124">
        <v>20</v>
      </c>
      <c r="J45" s="124">
        <v>20</v>
      </c>
      <c r="K45" s="124"/>
      <c r="L45" s="124">
        <v>20</v>
      </c>
      <c r="M45" s="126"/>
      <c r="N4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HPL人民币费用45HC：订舱445，THC1216，安保30，文件400/票，设备管理20，封志20，VGM20</v>
      </c>
      <c r="O45" s="123" t="s">
        <v>3225</v>
      </c>
    </row>
    <row r="46" spans="1:15" ht="42.75" hidden="1" x14ac:dyDescent="0.15">
      <c r="A46" s="126" t="s">
        <v>445</v>
      </c>
      <c r="B46" s="126" t="s">
        <v>5019</v>
      </c>
      <c r="C46" s="124">
        <f>SUM(RMB[[#This Row],[箱型]:[VGM]])</f>
        <v>1685</v>
      </c>
      <c r="D46" s="123" t="s">
        <v>435</v>
      </c>
      <c r="E46" s="125">
        <v>345</v>
      </c>
      <c r="F46" s="125">
        <v>20</v>
      </c>
      <c r="G46" s="125">
        <v>750</v>
      </c>
      <c r="H46" s="124">
        <v>500</v>
      </c>
      <c r="I46" s="124">
        <v>50</v>
      </c>
      <c r="J46" s="124"/>
      <c r="K46" s="124"/>
      <c r="L46" s="124">
        <v>20</v>
      </c>
      <c r="M46" s="126"/>
      <c r="N4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IRISL/WOSCO人民币费用20GP：订舱345，THC750，安保20，文件500/票，封志50，VGM20</v>
      </c>
    </row>
    <row r="47" spans="1:15" ht="42.75" hidden="1" x14ac:dyDescent="0.15">
      <c r="A47" s="126" t="s">
        <v>445</v>
      </c>
      <c r="B47" s="126" t="s">
        <v>5019</v>
      </c>
      <c r="C47" s="124">
        <f>SUM(RMB[[#This Row],[箱型]:[VGM]])</f>
        <v>2180</v>
      </c>
      <c r="D47" s="123" t="s">
        <v>436</v>
      </c>
      <c r="E47" s="125">
        <v>480</v>
      </c>
      <c r="F47" s="125">
        <v>30</v>
      </c>
      <c r="G47" s="125">
        <v>1100</v>
      </c>
      <c r="H47" s="124">
        <v>500</v>
      </c>
      <c r="I47" s="124">
        <v>50</v>
      </c>
      <c r="J47" s="124"/>
      <c r="K47" s="124"/>
      <c r="L47" s="124">
        <v>20</v>
      </c>
      <c r="M47" s="126"/>
      <c r="N4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IRISL/WOSCO人民币费用40GP：订舱480，THC1100，安保30，文件500/票，封志50，VGM20</v>
      </c>
    </row>
    <row r="48" spans="1:15" ht="42.75" hidden="1" x14ac:dyDescent="0.15">
      <c r="A48" s="126" t="s">
        <v>445</v>
      </c>
      <c r="B48" s="126" t="s">
        <v>5019</v>
      </c>
      <c r="C48" s="124">
        <f>SUM(RMB[[#This Row],[箱型]:[VGM]])</f>
        <v>2180</v>
      </c>
      <c r="D48" s="123" t="s">
        <v>437</v>
      </c>
      <c r="E48" s="125">
        <v>480</v>
      </c>
      <c r="F48" s="125">
        <v>30</v>
      </c>
      <c r="G48" s="125">
        <v>1100</v>
      </c>
      <c r="H48" s="124">
        <v>500</v>
      </c>
      <c r="I48" s="124">
        <v>50</v>
      </c>
      <c r="J48" s="124"/>
      <c r="K48" s="124"/>
      <c r="L48" s="124">
        <v>20</v>
      </c>
      <c r="M48" s="126"/>
      <c r="N4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IRISL/WOSCO人民币费用40HC：订舱480，THC1100，安保30，文件500/票，封志50，VGM20</v>
      </c>
    </row>
    <row r="49" spans="1:15" ht="28.5" hidden="1" x14ac:dyDescent="0.15">
      <c r="A49" s="126" t="s">
        <v>445</v>
      </c>
      <c r="B49" s="126" t="s">
        <v>5019</v>
      </c>
      <c r="C49" s="124">
        <f>SUM(RMB[[#This Row],[箱型]:[VGM]])</f>
        <v>600</v>
      </c>
      <c r="D49" s="123" t="s">
        <v>438</v>
      </c>
      <c r="E49" s="125"/>
      <c r="F49" s="125">
        <v>30</v>
      </c>
      <c r="G49" s="125"/>
      <c r="H49" s="124">
        <v>500</v>
      </c>
      <c r="I49" s="124">
        <v>50</v>
      </c>
      <c r="J49" s="124"/>
      <c r="K49" s="124"/>
      <c r="L49" s="124">
        <v>20</v>
      </c>
      <c r="M49" s="126"/>
      <c r="N4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IRISL/WOSCO人民币费用45HC：安保30，文件500/票，封志50，VGM20</v>
      </c>
    </row>
    <row r="50" spans="1:15" ht="42.75" hidden="1" x14ac:dyDescent="0.15">
      <c r="A50" s="126" t="s">
        <v>446</v>
      </c>
      <c r="B50" s="123" t="s">
        <v>5019</v>
      </c>
      <c r="C50" s="124">
        <f>SUM(RMB[[#This Row],[箱型]:[VGM]])</f>
        <v>1500</v>
      </c>
      <c r="D50" s="123" t="s">
        <v>435</v>
      </c>
      <c r="E50" s="125">
        <v>280</v>
      </c>
      <c r="F50" s="125"/>
      <c r="G50" s="125">
        <v>690</v>
      </c>
      <c r="H50" s="124">
        <v>450</v>
      </c>
      <c r="I50" s="124">
        <v>30</v>
      </c>
      <c r="J50" s="124">
        <v>30</v>
      </c>
      <c r="K50" s="124"/>
      <c r="L50" s="124">
        <v>20</v>
      </c>
      <c r="M50" s="126"/>
      <c r="N5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KMTC人民币费用20GP：订舱280，THC690，文件450/票，设备管理30，封志30，VGM20</v>
      </c>
      <c r="O50" s="123" t="s">
        <v>3239</v>
      </c>
    </row>
    <row r="51" spans="1:15" ht="42.75" hidden="1" x14ac:dyDescent="0.15">
      <c r="A51" s="126" t="s">
        <v>446</v>
      </c>
      <c r="B51" s="123" t="s">
        <v>5019</v>
      </c>
      <c r="C51" s="124">
        <f>SUM(RMB[[#This Row],[箱型]:[VGM]])</f>
        <v>2065</v>
      </c>
      <c r="D51" s="123" t="s">
        <v>436</v>
      </c>
      <c r="E51" s="125">
        <v>485</v>
      </c>
      <c r="F51" s="125"/>
      <c r="G51" s="125">
        <v>1050</v>
      </c>
      <c r="H51" s="124">
        <v>450</v>
      </c>
      <c r="I51" s="124">
        <v>30</v>
      </c>
      <c r="J51" s="124">
        <v>30</v>
      </c>
      <c r="K51" s="124"/>
      <c r="L51" s="124">
        <v>20</v>
      </c>
      <c r="M51" s="126"/>
      <c r="N5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KMTC人民币费用40GP：订舱485，THC1050，文件450/票，设备管理30，封志30，VGM20</v>
      </c>
      <c r="O51" s="123" t="s">
        <v>3239</v>
      </c>
    </row>
    <row r="52" spans="1:15" ht="42.75" hidden="1" x14ac:dyDescent="0.15">
      <c r="A52" s="126" t="s">
        <v>446</v>
      </c>
      <c r="B52" s="123" t="s">
        <v>5019</v>
      </c>
      <c r="C52" s="124">
        <f>SUM(RMB[[#This Row],[箱型]:[VGM]])</f>
        <v>2065</v>
      </c>
      <c r="D52" s="123" t="s">
        <v>437</v>
      </c>
      <c r="E52" s="125">
        <v>485</v>
      </c>
      <c r="F52" s="125"/>
      <c r="G52" s="125">
        <v>1050</v>
      </c>
      <c r="H52" s="124">
        <v>450</v>
      </c>
      <c r="I52" s="124">
        <v>30</v>
      </c>
      <c r="J52" s="124">
        <v>30</v>
      </c>
      <c r="K52" s="124"/>
      <c r="L52" s="124">
        <v>20</v>
      </c>
      <c r="M52" s="126"/>
      <c r="N5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KMTC人民币费用40HC：订舱485，THC1050，文件450/票，设备管理30，封志30，VGM20</v>
      </c>
      <c r="O52" s="123" t="s">
        <v>3239</v>
      </c>
    </row>
    <row r="53" spans="1:15" ht="42.75" hidden="1" x14ac:dyDescent="0.15">
      <c r="A53" s="126" t="s">
        <v>446</v>
      </c>
      <c r="B53" s="123" t="s">
        <v>5019</v>
      </c>
      <c r="C53" s="124">
        <f>SUM(RMB[[#This Row],[箱型]:[VGM]])</f>
        <v>1115</v>
      </c>
      <c r="D53" s="123" t="s">
        <v>438</v>
      </c>
      <c r="E53" s="125">
        <v>585</v>
      </c>
      <c r="F53" s="125"/>
      <c r="G53" s="125"/>
      <c r="H53" s="124">
        <v>450</v>
      </c>
      <c r="I53" s="124">
        <v>30</v>
      </c>
      <c r="J53" s="124">
        <v>30</v>
      </c>
      <c r="K53" s="124"/>
      <c r="L53" s="124">
        <v>20</v>
      </c>
      <c r="M53" s="126"/>
      <c r="N5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KMTC人民币费用45HC：订舱585，文件450/票，设备管理30，封志30，VGM20</v>
      </c>
      <c r="O53" s="123" t="s">
        <v>3239</v>
      </c>
    </row>
    <row r="54" spans="1:15" ht="42.75" hidden="1" x14ac:dyDescent="0.15">
      <c r="A54" s="126" t="s">
        <v>447</v>
      </c>
      <c r="B54" s="123" t="s">
        <v>5019</v>
      </c>
      <c r="C54" s="124">
        <f>SUM(RMB[[#This Row],[箱型]:[VGM]])</f>
        <v>1620</v>
      </c>
      <c r="D54" s="123" t="s">
        <v>435</v>
      </c>
      <c r="E54" s="125">
        <v>360</v>
      </c>
      <c r="F54" s="125"/>
      <c r="G54" s="125">
        <v>690</v>
      </c>
      <c r="H54" s="124">
        <v>450</v>
      </c>
      <c r="I54" s="124">
        <v>100</v>
      </c>
      <c r="J54" s="124"/>
      <c r="K54" s="124"/>
      <c r="L54" s="124">
        <v>20</v>
      </c>
      <c r="M54" s="126" t="s">
        <v>448</v>
      </c>
      <c r="N5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MCC人民币费用20GP：订舱360，THC690，文件450/票，封志100，VGM20</v>
      </c>
      <c r="O54" s="123" t="s">
        <v>3224</v>
      </c>
    </row>
    <row r="55" spans="1:15" ht="42.75" hidden="1" x14ac:dyDescent="0.15">
      <c r="A55" s="126" t="s">
        <v>447</v>
      </c>
      <c r="B55" s="123" t="s">
        <v>5019</v>
      </c>
      <c r="C55" s="124">
        <f>SUM(RMB[[#This Row],[箱型]:[VGM]])</f>
        <v>2135</v>
      </c>
      <c r="D55" s="123" t="s">
        <v>436</v>
      </c>
      <c r="E55" s="125">
        <v>515</v>
      </c>
      <c r="F55" s="125"/>
      <c r="G55" s="125">
        <v>1050</v>
      </c>
      <c r="H55" s="124">
        <v>450</v>
      </c>
      <c r="I55" s="124">
        <v>100</v>
      </c>
      <c r="J55" s="124"/>
      <c r="K55" s="124"/>
      <c r="L55" s="124">
        <v>20</v>
      </c>
      <c r="M55" s="126" t="s">
        <v>448</v>
      </c>
      <c r="N5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MCC人民币费用40GP：订舱515，THC1050，文件450/票，封志100，VGM20</v>
      </c>
      <c r="O55" s="123" t="s">
        <v>3224</v>
      </c>
    </row>
    <row r="56" spans="1:15" ht="42.75" hidden="1" x14ac:dyDescent="0.15">
      <c r="A56" s="126" t="s">
        <v>447</v>
      </c>
      <c r="B56" s="123" t="s">
        <v>5019</v>
      </c>
      <c r="C56" s="124">
        <f>SUM(RMB[[#This Row],[箱型]:[VGM]])</f>
        <v>2135</v>
      </c>
      <c r="D56" s="123" t="s">
        <v>437</v>
      </c>
      <c r="E56" s="125">
        <v>515</v>
      </c>
      <c r="F56" s="125"/>
      <c r="G56" s="125">
        <v>1050</v>
      </c>
      <c r="H56" s="124">
        <v>450</v>
      </c>
      <c r="I56" s="124">
        <v>100</v>
      </c>
      <c r="J56" s="124"/>
      <c r="K56" s="124"/>
      <c r="L56" s="124">
        <v>20</v>
      </c>
      <c r="M56" s="126" t="s">
        <v>448</v>
      </c>
      <c r="N5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MCC人民币费用40HC：订舱515，THC1050，文件450/票，封志100，VGM20</v>
      </c>
      <c r="O56" s="123" t="s">
        <v>3224</v>
      </c>
    </row>
    <row r="57" spans="1:15" ht="42.75" hidden="1" x14ac:dyDescent="0.15">
      <c r="A57" s="126" t="s">
        <v>447</v>
      </c>
      <c r="B57" s="123" t="s">
        <v>5019</v>
      </c>
      <c r="C57" s="124">
        <f>SUM(RMB[[#This Row],[箱型]:[VGM]])</f>
        <v>2610</v>
      </c>
      <c r="D57" s="123" t="s">
        <v>438</v>
      </c>
      <c r="E57" s="125">
        <v>565</v>
      </c>
      <c r="F57" s="125"/>
      <c r="G57" s="125">
        <v>1475</v>
      </c>
      <c r="H57" s="124">
        <v>450</v>
      </c>
      <c r="I57" s="124">
        <v>100</v>
      </c>
      <c r="J57" s="124"/>
      <c r="K57" s="124"/>
      <c r="L57" s="124">
        <v>20</v>
      </c>
      <c r="M57" s="126" t="s">
        <v>448</v>
      </c>
      <c r="N5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MCC人民币费用45HC：订舱565，THC1475，文件450/票，封志100，VGM20</v>
      </c>
      <c r="O57" s="123" t="s">
        <v>3224</v>
      </c>
    </row>
    <row r="58" spans="1:15" ht="42.75" hidden="1" x14ac:dyDescent="0.15">
      <c r="A58" s="126" t="s">
        <v>372</v>
      </c>
      <c r="B58" s="123" t="s">
        <v>5019</v>
      </c>
      <c r="C58" s="124">
        <f>SUM(RMB[[#This Row],[箱型]:[VGM]])</f>
        <v>1455</v>
      </c>
      <c r="D58" s="123" t="s">
        <v>435</v>
      </c>
      <c r="E58" s="125">
        <v>275</v>
      </c>
      <c r="F58" s="125">
        <v>20</v>
      </c>
      <c r="G58" s="125">
        <v>650</v>
      </c>
      <c r="H58" s="124">
        <v>450</v>
      </c>
      <c r="I58" s="124"/>
      <c r="J58" s="124">
        <v>40</v>
      </c>
      <c r="K58" s="124"/>
      <c r="L58" s="124">
        <v>20</v>
      </c>
      <c r="M58" s="126" t="s">
        <v>539</v>
      </c>
      <c r="N5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MSC人民币费用20GP：订舱275，THC650，安保20，文件450/票，设备管理40，VGM20</v>
      </c>
      <c r="O58" s="123" t="s">
        <v>3230</v>
      </c>
    </row>
    <row r="59" spans="1:15" ht="42.75" hidden="1" x14ac:dyDescent="0.15">
      <c r="A59" s="126" t="s">
        <v>372</v>
      </c>
      <c r="B59" s="123" t="s">
        <v>5019</v>
      </c>
      <c r="C59" s="124">
        <f>SUM(RMB[[#This Row],[箱型]:[VGM]])</f>
        <v>2020</v>
      </c>
      <c r="D59" s="123" t="s">
        <v>436</v>
      </c>
      <c r="E59" s="125">
        <v>460</v>
      </c>
      <c r="F59" s="125">
        <v>30</v>
      </c>
      <c r="G59" s="125">
        <v>1020</v>
      </c>
      <c r="H59" s="124">
        <v>450</v>
      </c>
      <c r="I59" s="124"/>
      <c r="J59" s="124">
        <v>40</v>
      </c>
      <c r="K59" s="124"/>
      <c r="L59" s="124">
        <v>20</v>
      </c>
      <c r="M59" s="126" t="s">
        <v>539</v>
      </c>
      <c r="N5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MSC人民币费用40GP：订舱460，THC1020，安保30，文件450/票，设备管理40，VGM20</v>
      </c>
      <c r="O59" s="123" t="s">
        <v>3230</v>
      </c>
    </row>
    <row r="60" spans="1:15" ht="42.75" hidden="1" x14ac:dyDescent="0.15">
      <c r="A60" s="126" t="s">
        <v>372</v>
      </c>
      <c r="B60" s="123" t="s">
        <v>5019</v>
      </c>
      <c r="C60" s="124">
        <f>SUM(RMB[[#This Row],[箱型]:[VGM]])</f>
        <v>2020</v>
      </c>
      <c r="D60" s="123" t="s">
        <v>437</v>
      </c>
      <c r="E60" s="125">
        <v>460</v>
      </c>
      <c r="F60" s="125">
        <v>30</v>
      </c>
      <c r="G60" s="125">
        <v>1020</v>
      </c>
      <c r="H60" s="124">
        <v>450</v>
      </c>
      <c r="I60" s="124"/>
      <c r="J60" s="124">
        <v>40</v>
      </c>
      <c r="K60" s="124"/>
      <c r="L60" s="124">
        <v>20</v>
      </c>
      <c r="M60" s="126" t="s">
        <v>539</v>
      </c>
      <c r="N6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MSC人民币费用40HC：订舱460，THC1020，安保30，文件450/票，设备管理40，VGM20</v>
      </c>
      <c r="O60" s="123" t="s">
        <v>3230</v>
      </c>
    </row>
    <row r="61" spans="1:15" ht="42.75" hidden="1" x14ac:dyDescent="0.15">
      <c r="A61" s="126" t="s">
        <v>372</v>
      </c>
      <c r="B61" s="123" t="s">
        <v>5019</v>
      </c>
      <c r="C61" s="124">
        <f>SUM(RMB[[#This Row],[箱型]:[VGM]])</f>
        <v>2340</v>
      </c>
      <c r="D61" s="123" t="s">
        <v>438</v>
      </c>
      <c r="E61" s="125">
        <v>460</v>
      </c>
      <c r="F61" s="125">
        <v>30</v>
      </c>
      <c r="G61" s="125">
        <v>1340</v>
      </c>
      <c r="H61" s="124">
        <v>450</v>
      </c>
      <c r="I61" s="124"/>
      <c r="J61" s="124">
        <v>40</v>
      </c>
      <c r="K61" s="124"/>
      <c r="L61" s="124">
        <v>20</v>
      </c>
      <c r="M61" s="126" t="s">
        <v>539</v>
      </c>
      <c r="N6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MSC人民币费用45HC：订舱460，THC1340，安保30，文件450/票，设备管理40，VGM20</v>
      </c>
      <c r="O61" s="123" t="s">
        <v>3230</v>
      </c>
    </row>
    <row r="62" spans="1:15" ht="42.75" hidden="1" x14ac:dyDescent="0.15">
      <c r="A62" s="126" t="s">
        <v>370</v>
      </c>
      <c r="B62" s="123" t="s">
        <v>5019</v>
      </c>
      <c r="C62" s="124">
        <f>SUM(RMB[[#This Row],[箱型]:[VGM]])</f>
        <v>1610</v>
      </c>
      <c r="D62" s="123" t="s">
        <v>435</v>
      </c>
      <c r="E62" s="125">
        <v>445</v>
      </c>
      <c r="F62" s="125">
        <v>20</v>
      </c>
      <c r="G62" s="125">
        <v>625</v>
      </c>
      <c r="H62" s="124">
        <v>450</v>
      </c>
      <c r="I62" s="124">
        <v>50</v>
      </c>
      <c r="J62" s="124"/>
      <c r="K62" s="124"/>
      <c r="L62" s="124">
        <v>20</v>
      </c>
      <c r="M62" s="126"/>
      <c r="N6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MSK人民币费用20GP：订舱445，THC625，安保20，文件450/票，封志50，VGM20</v>
      </c>
      <c r="O62" s="123" t="s">
        <v>3220</v>
      </c>
    </row>
    <row r="63" spans="1:15" ht="42.75" hidden="1" x14ac:dyDescent="0.15">
      <c r="A63" s="126" t="s">
        <v>370</v>
      </c>
      <c r="B63" s="123" t="s">
        <v>5019</v>
      </c>
      <c r="C63" s="124">
        <f>SUM(RMB[[#This Row],[箱型]:[VGM]])</f>
        <v>2110</v>
      </c>
      <c r="D63" s="123" t="s">
        <v>436</v>
      </c>
      <c r="E63" s="125">
        <v>580</v>
      </c>
      <c r="F63" s="125">
        <v>30</v>
      </c>
      <c r="G63" s="125">
        <v>980</v>
      </c>
      <c r="H63" s="124">
        <v>450</v>
      </c>
      <c r="I63" s="124">
        <v>50</v>
      </c>
      <c r="J63" s="124"/>
      <c r="K63" s="124"/>
      <c r="L63" s="124">
        <v>20</v>
      </c>
      <c r="M63" s="126"/>
      <c r="N6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MSK人民币费用40GP：订舱580，THC980，安保30，文件450/票，封志50，VGM20</v>
      </c>
      <c r="O63" s="123" t="s">
        <v>3220</v>
      </c>
    </row>
    <row r="64" spans="1:15" ht="42.75" hidden="1" x14ac:dyDescent="0.15">
      <c r="A64" s="126" t="s">
        <v>370</v>
      </c>
      <c r="B64" s="123" t="s">
        <v>5019</v>
      </c>
      <c r="C64" s="124">
        <f>SUM(RMB[[#This Row],[箱型]:[VGM]])</f>
        <v>2110</v>
      </c>
      <c r="D64" s="123" t="s">
        <v>437</v>
      </c>
      <c r="E64" s="125">
        <v>580</v>
      </c>
      <c r="F64" s="125">
        <v>30</v>
      </c>
      <c r="G64" s="125">
        <v>980</v>
      </c>
      <c r="H64" s="124">
        <v>450</v>
      </c>
      <c r="I64" s="124">
        <v>50</v>
      </c>
      <c r="J64" s="124"/>
      <c r="K64" s="124"/>
      <c r="L64" s="124">
        <v>20</v>
      </c>
      <c r="M64" s="126"/>
      <c r="N6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MSK人民币费用40HC：订舱580，THC980，安保30，文件450/票，封志50，VGM20</v>
      </c>
      <c r="O64" s="123" t="s">
        <v>3220</v>
      </c>
    </row>
    <row r="65" spans="1:15" ht="42.75" hidden="1" x14ac:dyDescent="0.15">
      <c r="A65" s="126" t="s">
        <v>370</v>
      </c>
      <c r="B65" s="123" t="s">
        <v>5019</v>
      </c>
      <c r="C65" s="124">
        <f>SUM(RMB[[#This Row],[箱型]:[VGM]])</f>
        <v>2570</v>
      </c>
      <c r="D65" s="123" t="s">
        <v>438</v>
      </c>
      <c r="E65" s="125">
        <v>640</v>
      </c>
      <c r="F65" s="125">
        <v>30</v>
      </c>
      <c r="G65" s="125">
        <v>1380</v>
      </c>
      <c r="H65" s="124">
        <v>450</v>
      </c>
      <c r="I65" s="124">
        <v>50</v>
      </c>
      <c r="J65" s="124"/>
      <c r="K65" s="124"/>
      <c r="L65" s="124">
        <v>20</v>
      </c>
      <c r="M65" s="126"/>
      <c r="N6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MSK人民币费用45HC：订舱640，THC1380，安保30，文件450/票，封志50，VGM20</v>
      </c>
      <c r="O65" s="123" t="s">
        <v>3220</v>
      </c>
    </row>
    <row r="66" spans="1:15" ht="42.75" hidden="1" x14ac:dyDescent="0.15">
      <c r="A66" s="126" t="s">
        <v>384</v>
      </c>
      <c r="B66" s="123" t="s">
        <v>5019</v>
      </c>
      <c r="C66" s="124">
        <f>SUM(RMB[[#This Row],[箱型]:[VGM]])</f>
        <v>1565</v>
      </c>
      <c r="D66" s="123" t="s">
        <v>435</v>
      </c>
      <c r="E66" s="125">
        <v>285</v>
      </c>
      <c r="F66" s="125">
        <v>20</v>
      </c>
      <c r="G66" s="125">
        <v>690</v>
      </c>
      <c r="H66" s="124">
        <v>500</v>
      </c>
      <c r="I66" s="124">
        <v>50</v>
      </c>
      <c r="J66" s="124"/>
      <c r="K66" s="124"/>
      <c r="L66" s="124">
        <v>20</v>
      </c>
      <c r="M66" s="126"/>
      <c r="N6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NDS人民币费用20GP：订舱285，THC690，安保20，文件500/票，封志50，VGM20</v>
      </c>
    </row>
    <row r="67" spans="1:15" ht="42.75" hidden="1" x14ac:dyDescent="0.15">
      <c r="A67" s="126" t="s">
        <v>384</v>
      </c>
      <c r="B67" s="123" t="s">
        <v>5019</v>
      </c>
      <c r="C67" s="124">
        <f>SUM(RMB[[#This Row],[箱型]:[VGM]])</f>
        <v>2110</v>
      </c>
      <c r="D67" s="123" t="s">
        <v>436</v>
      </c>
      <c r="E67" s="125">
        <v>440</v>
      </c>
      <c r="F67" s="125">
        <v>30</v>
      </c>
      <c r="G67" s="125">
        <v>1070</v>
      </c>
      <c r="H67" s="124">
        <v>500</v>
      </c>
      <c r="I67" s="124">
        <v>50</v>
      </c>
      <c r="J67" s="124"/>
      <c r="K67" s="124"/>
      <c r="L67" s="124">
        <v>20</v>
      </c>
      <c r="M67" s="126"/>
      <c r="N6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NDS人民币费用40GP：订舱440，THC1070，安保30，文件500/票，封志50，VGM20</v>
      </c>
    </row>
    <row r="68" spans="1:15" ht="42.75" hidden="1" x14ac:dyDescent="0.15">
      <c r="A68" s="126" t="s">
        <v>384</v>
      </c>
      <c r="B68" s="123" t="s">
        <v>5019</v>
      </c>
      <c r="C68" s="124">
        <f>SUM(RMB[[#This Row],[箱型]:[VGM]])</f>
        <v>2110</v>
      </c>
      <c r="D68" s="123" t="s">
        <v>437</v>
      </c>
      <c r="E68" s="125">
        <v>440</v>
      </c>
      <c r="F68" s="125">
        <v>30</v>
      </c>
      <c r="G68" s="125">
        <v>1070</v>
      </c>
      <c r="H68" s="124">
        <v>500</v>
      </c>
      <c r="I68" s="124">
        <v>50</v>
      </c>
      <c r="J68" s="124"/>
      <c r="K68" s="124"/>
      <c r="L68" s="124">
        <v>20</v>
      </c>
      <c r="M68" s="126"/>
      <c r="N6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NDS人民币费用40HC：订舱440，THC1070，安保30，文件500/票，封志50，VGM20</v>
      </c>
    </row>
    <row r="69" spans="1:15" ht="28.5" hidden="1" x14ac:dyDescent="0.15">
      <c r="A69" s="126" t="s">
        <v>384</v>
      </c>
      <c r="B69" s="123" t="s">
        <v>5019</v>
      </c>
      <c r="C69" s="124">
        <f>SUM(RMB[[#This Row],[箱型]:[VGM]])</f>
        <v>600</v>
      </c>
      <c r="D69" s="123" t="s">
        <v>438</v>
      </c>
      <c r="E69" s="125"/>
      <c r="F69" s="125">
        <v>30</v>
      </c>
      <c r="G69" s="125"/>
      <c r="H69" s="124">
        <v>500</v>
      </c>
      <c r="I69" s="124">
        <v>50</v>
      </c>
      <c r="J69" s="124"/>
      <c r="K69" s="124"/>
      <c r="L69" s="124">
        <v>20</v>
      </c>
      <c r="M69" s="126"/>
      <c r="N6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NDS人民币费用45HC：安保30，文件500/票，封志50，VGM20</v>
      </c>
    </row>
    <row r="70" spans="1:15" ht="42.75" hidden="1" x14ac:dyDescent="0.15">
      <c r="A70" s="126" t="s">
        <v>375</v>
      </c>
      <c r="B70" s="123" t="s">
        <v>5019</v>
      </c>
      <c r="C70" s="124">
        <f>SUM(RMB[[#This Row],[箱型]:[VGM]])</f>
        <v>1431</v>
      </c>
      <c r="D70" s="123" t="s">
        <v>435</v>
      </c>
      <c r="E70" s="125">
        <v>380</v>
      </c>
      <c r="F70" s="125"/>
      <c r="G70" s="125">
        <v>541</v>
      </c>
      <c r="H70" s="124">
        <v>450</v>
      </c>
      <c r="I70" s="124">
        <v>20</v>
      </c>
      <c r="J70" s="124">
        <v>20</v>
      </c>
      <c r="K70" s="124"/>
      <c r="L70" s="124">
        <v>20</v>
      </c>
      <c r="M70" s="126"/>
      <c r="N7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ONE人民币费用20GP：订舱380，THC541，文件450/票，设备管理20，封志20，VGM20</v>
      </c>
      <c r="O70" s="123" t="s">
        <v>3237</v>
      </c>
    </row>
    <row r="71" spans="1:15" ht="42.75" hidden="1" x14ac:dyDescent="0.15">
      <c r="A71" s="126" t="s">
        <v>375</v>
      </c>
      <c r="B71" s="123" t="s">
        <v>5019</v>
      </c>
      <c r="C71" s="124">
        <f>SUM(RMB[[#This Row],[箱型]:[VGM]])</f>
        <v>1998</v>
      </c>
      <c r="D71" s="123" t="s">
        <v>436</v>
      </c>
      <c r="E71" s="125">
        <v>660</v>
      </c>
      <c r="F71" s="125"/>
      <c r="G71" s="125">
        <v>828</v>
      </c>
      <c r="H71" s="124">
        <v>450</v>
      </c>
      <c r="I71" s="124">
        <v>20</v>
      </c>
      <c r="J71" s="124">
        <v>20</v>
      </c>
      <c r="K71" s="124"/>
      <c r="L71" s="124">
        <v>20</v>
      </c>
      <c r="M71" s="126"/>
      <c r="N7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ONE人民币费用40GP：订舱660，THC828，文件450/票，设备管理20，封志20，VGM20</v>
      </c>
      <c r="O71" s="123" t="s">
        <v>3237</v>
      </c>
    </row>
    <row r="72" spans="1:15" ht="42.75" hidden="1" x14ac:dyDescent="0.15">
      <c r="A72" s="126" t="s">
        <v>375</v>
      </c>
      <c r="B72" s="123" t="s">
        <v>5019</v>
      </c>
      <c r="C72" s="124">
        <f>SUM(RMB[[#This Row],[箱型]:[VGM]])</f>
        <v>1998</v>
      </c>
      <c r="D72" s="123" t="s">
        <v>437</v>
      </c>
      <c r="E72" s="125">
        <v>660</v>
      </c>
      <c r="F72" s="125"/>
      <c r="G72" s="125">
        <v>828</v>
      </c>
      <c r="H72" s="124">
        <v>450</v>
      </c>
      <c r="I72" s="124">
        <v>20</v>
      </c>
      <c r="J72" s="124">
        <v>20</v>
      </c>
      <c r="K72" s="124"/>
      <c r="L72" s="124">
        <v>20</v>
      </c>
      <c r="M72" s="126"/>
      <c r="N7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ONE人民币费用40HC：订舱660，THC828，文件450/票，设备管理20，封志20，VGM20</v>
      </c>
      <c r="O72" s="123" t="s">
        <v>3237</v>
      </c>
    </row>
    <row r="73" spans="1:15" ht="42.75" hidden="1" x14ac:dyDescent="0.15">
      <c r="A73" s="126" t="s">
        <v>375</v>
      </c>
      <c r="B73" s="123" t="s">
        <v>5019</v>
      </c>
      <c r="C73" s="124">
        <f>SUM(RMB[[#This Row],[箱型]:[VGM]])</f>
        <v>2246</v>
      </c>
      <c r="D73" s="123" t="s">
        <v>438</v>
      </c>
      <c r="E73" s="125">
        <v>710</v>
      </c>
      <c r="F73" s="125"/>
      <c r="G73" s="125">
        <v>1026</v>
      </c>
      <c r="H73" s="124">
        <v>450</v>
      </c>
      <c r="I73" s="124">
        <v>20</v>
      </c>
      <c r="J73" s="124">
        <v>20</v>
      </c>
      <c r="K73" s="124"/>
      <c r="L73" s="124">
        <v>20</v>
      </c>
      <c r="M73" s="126"/>
      <c r="N7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ONE人民币费用45HC：订舱710，THC1026，文件450/票，设备管理20，封志20，VGM20</v>
      </c>
      <c r="O73" s="123" t="s">
        <v>3237</v>
      </c>
    </row>
    <row r="74" spans="1:15" ht="42.75" hidden="1" x14ac:dyDescent="0.15">
      <c r="A74" s="126" t="s">
        <v>374</v>
      </c>
      <c r="B74" s="123" t="s">
        <v>5019</v>
      </c>
      <c r="C74" s="124">
        <f>SUM(RMB[[#This Row],[箱型]:[VGM]])</f>
        <v>1581</v>
      </c>
      <c r="D74" s="123" t="s">
        <v>435</v>
      </c>
      <c r="E74" s="125">
        <v>285</v>
      </c>
      <c r="F74" s="125">
        <v>20</v>
      </c>
      <c r="G74" s="125">
        <v>756</v>
      </c>
      <c r="H74" s="124">
        <v>450</v>
      </c>
      <c r="I74" s="124">
        <v>50</v>
      </c>
      <c r="J74" s="124"/>
      <c r="K74" s="124"/>
      <c r="L74" s="124">
        <v>20</v>
      </c>
      <c r="M74" s="126"/>
      <c r="N7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OOCL人民币费用20GP：订舱285，THC756，安保20，文件450/票，封志50，VGM20</v>
      </c>
      <c r="O74" s="123" t="s">
        <v>3229</v>
      </c>
    </row>
    <row r="75" spans="1:15" ht="42.75" hidden="1" x14ac:dyDescent="0.15">
      <c r="A75" s="126" t="s">
        <v>374</v>
      </c>
      <c r="B75" s="123" t="s">
        <v>5019</v>
      </c>
      <c r="C75" s="124">
        <f>SUM(RMB[[#This Row],[箱型]:[VGM]])</f>
        <v>2164</v>
      </c>
      <c r="D75" s="123" t="s">
        <v>436</v>
      </c>
      <c r="E75" s="125">
        <v>480</v>
      </c>
      <c r="F75" s="125">
        <v>30</v>
      </c>
      <c r="G75" s="125">
        <v>1134</v>
      </c>
      <c r="H75" s="124">
        <v>450</v>
      </c>
      <c r="I75" s="124">
        <v>50</v>
      </c>
      <c r="J75" s="124"/>
      <c r="K75" s="124"/>
      <c r="L75" s="124">
        <v>20</v>
      </c>
      <c r="M75" s="126"/>
      <c r="N7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OOCL人民币费用40GP：订舱480，THC1134，安保30，文件450/票，封志50，VGM20</v>
      </c>
      <c r="O75" s="123" t="s">
        <v>3229</v>
      </c>
    </row>
    <row r="76" spans="1:15" ht="42.75" hidden="1" x14ac:dyDescent="0.15">
      <c r="A76" s="126" t="s">
        <v>374</v>
      </c>
      <c r="B76" s="123" t="s">
        <v>5019</v>
      </c>
      <c r="C76" s="124">
        <f>SUM(RMB[[#This Row],[箱型]:[VGM]])</f>
        <v>2164</v>
      </c>
      <c r="D76" s="123" t="s">
        <v>437</v>
      </c>
      <c r="E76" s="125">
        <v>480</v>
      </c>
      <c r="F76" s="125">
        <v>30</v>
      </c>
      <c r="G76" s="125">
        <v>1134</v>
      </c>
      <c r="H76" s="124">
        <v>450</v>
      </c>
      <c r="I76" s="124">
        <v>50</v>
      </c>
      <c r="J76" s="124"/>
      <c r="K76" s="124"/>
      <c r="L76" s="124">
        <v>20</v>
      </c>
      <c r="M76" s="126"/>
      <c r="N7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OOCL人民币费用40HC：订舱480，THC1134，安保30，文件450/票，封志50，VGM20</v>
      </c>
      <c r="O76" s="123" t="s">
        <v>3229</v>
      </c>
    </row>
    <row r="77" spans="1:15" ht="42.75" hidden="1" x14ac:dyDescent="0.15">
      <c r="A77" s="126" t="s">
        <v>374</v>
      </c>
      <c r="B77" s="123" t="s">
        <v>5019</v>
      </c>
      <c r="C77" s="124">
        <f>SUM(RMB[[#This Row],[箱型]:[VGM]])</f>
        <v>2471</v>
      </c>
      <c r="D77" s="123" t="s">
        <v>438</v>
      </c>
      <c r="E77" s="125">
        <v>500</v>
      </c>
      <c r="F77" s="125">
        <v>30</v>
      </c>
      <c r="G77" s="125">
        <v>1421</v>
      </c>
      <c r="H77" s="124">
        <v>450</v>
      </c>
      <c r="I77" s="124">
        <v>50</v>
      </c>
      <c r="J77" s="124"/>
      <c r="K77" s="124"/>
      <c r="L77" s="124">
        <v>20</v>
      </c>
      <c r="M77" s="126"/>
      <c r="N7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OOCL人民币费用45HC：订舱500，THC1421，安保30，文件450/票，封志50，VGM20</v>
      </c>
      <c r="O77" s="123" t="s">
        <v>3229</v>
      </c>
    </row>
    <row r="78" spans="1:15" ht="42.75" hidden="1" x14ac:dyDescent="0.15">
      <c r="A78" s="126" t="s">
        <v>383</v>
      </c>
      <c r="B78" s="123" t="s">
        <v>5019</v>
      </c>
      <c r="C78" s="124">
        <f>SUM(RMB[[#This Row],[箱型]:[VGM]])</f>
        <v>1550</v>
      </c>
      <c r="D78" s="123" t="s">
        <v>435</v>
      </c>
      <c r="E78" s="125">
        <v>295</v>
      </c>
      <c r="F78" s="125">
        <v>20</v>
      </c>
      <c r="G78" s="125">
        <v>715</v>
      </c>
      <c r="H78" s="124">
        <v>450</v>
      </c>
      <c r="I78" s="124"/>
      <c r="J78" s="124">
        <v>50</v>
      </c>
      <c r="K78" s="124"/>
      <c r="L78" s="124">
        <v>20</v>
      </c>
      <c r="M78" s="126"/>
      <c r="N7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PIL人民币费用20GP：订舱295，THC715，安保20，文件450/票，设备管理50，VGM20</v>
      </c>
      <c r="O78" s="123" t="s">
        <v>3236</v>
      </c>
    </row>
    <row r="79" spans="1:15" ht="42.75" hidden="1" x14ac:dyDescent="0.15">
      <c r="A79" s="126" t="s">
        <v>383</v>
      </c>
      <c r="B79" s="123" t="s">
        <v>5019</v>
      </c>
      <c r="C79" s="124">
        <f>SUM(RMB[[#This Row],[箱型]:[VGM]])</f>
        <v>2148</v>
      </c>
      <c r="D79" s="123" t="s">
        <v>436</v>
      </c>
      <c r="E79" s="125">
        <v>470</v>
      </c>
      <c r="F79" s="125">
        <v>30</v>
      </c>
      <c r="G79" s="125">
        <v>1128</v>
      </c>
      <c r="H79" s="124">
        <v>450</v>
      </c>
      <c r="I79" s="124"/>
      <c r="J79" s="124">
        <v>50</v>
      </c>
      <c r="K79" s="124"/>
      <c r="L79" s="124">
        <v>20</v>
      </c>
      <c r="M79" s="126"/>
      <c r="N7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PIL人民币费用40GP：订舱470，THC1128，安保30，文件450/票，设备管理50，VGM20</v>
      </c>
      <c r="O79" s="123" t="s">
        <v>3236</v>
      </c>
    </row>
    <row r="80" spans="1:15" ht="42.75" hidden="1" x14ac:dyDescent="0.15">
      <c r="A80" s="126" t="s">
        <v>383</v>
      </c>
      <c r="B80" s="123" t="s">
        <v>5019</v>
      </c>
      <c r="C80" s="124">
        <f>SUM(RMB[[#This Row],[箱型]:[VGM]])</f>
        <v>2148</v>
      </c>
      <c r="D80" s="123" t="s">
        <v>437</v>
      </c>
      <c r="E80" s="125">
        <v>470</v>
      </c>
      <c r="F80" s="125">
        <v>30</v>
      </c>
      <c r="G80" s="125">
        <v>1128</v>
      </c>
      <c r="H80" s="124">
        <v>450</v>
      </c>
      <c r="I80" s="124"/>
      <c r="J80" s="124">
        <v>50</v>
      </c>
      <c r="K80" s="124"/>
      <c r="L80" s="124">
        <v>20</v>
      </c>
      <c r="M80" s="126"/>
      <c r="N8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PIL人民币费用40HC：订舱470，THC1128，安保30，文件450/票，设备管理50，VGM20</v>
      </c>
      <c r="O80" s="123" t="s">
        <v>3236</v>
      </c>
    </row>
    <row r="81" spans="1:15" ht="28.5" hidden="1" x14ac:dyDescent="0.15">
      <c r="A81" s="126" t="s">
        <v>383</v>
      </c>
      <c r="B81" s="123" t="s">
        <v>5019</v>
      </c>
      <c r="C81" s="124">
        <f>SUM(RMB[[#This Row],[箱型]:[VGM]])</f>
        <v>550</v>
      </c>
      <c r="D81" s="123" t="s">
        <v>438</v>
      </c>
      <c r="E81" s="125"/>
      <c r="F81" s="125">
        <v>30</v>
      </c>
      <c r="G81" s="125"/>
      <c r="H81" s="124">
        <v>450</v>
      </c>
      <c r="I81" s="124"/>
      <c r="J81" s="124">
        <v>50</v>
      </c>
      <c r="K81" s="124"/>
      <c r="L81" s="124">
        <v>20</v>
      </c>
      <c r="M81" s="126"/>
      <c r="N8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PIL人民币费用45HC：安保30，文件450/票，设备管理50，VGM20</v>
      </c>
      <c r="O81" s="123" t="s">
        <v>3236</v>
      </c>
    </row>
    <row r="82" spans="1:15" ht="42.75" hidden="1" x14ac:dyDescent="0.15">
      <c r="A82" s="126" t="s">
        <v>449</v>
      </c>
      <c r="B82" s="123" t="s">
        <v>5019</v>
      </c>
      <c r="C82" s="124">
        <f>SUM(RMB[[#This Row],[箱型]:[VGM]])</f>
        <v>1555</v>
      </c>
      <c r="D82" s="123" t="s">
        <v>435</v>
      </c>
      <c r="E82" s="125">
        <v>325</v>
      </c>
      <c r="F82" s="125">
        <v>20</v>
      </c>
      <c r="G82" s="125">
        <v>690</v>
      </c>
      <c r="H82" s="124">
        <v>500</v>
      </c>
      <c r="I82" s="124"/>
      <c r="J82" s="124"/>
      <c r="K82" s="124"/>
      <c r="L82" s="124">
        <v>20</v>
      </c>
      <c r="M82" s="126"/>
      <c r="N8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RCL人民币费用20GP：订舱325，THC690，安保20，文件500/票，VGM20</v>
      </c>
      <c r="O82" s="123" t="s">
        <v>3231</v>
      </c>
    </row>
    <row r="83" spans="1:15" ht="42.75" hidden="1" x14ac:dyDescent="0.15">
      <c r="A83" s="126" t="s">
        <v>449</v>
      </c>
      <c r="B83" s="123" t="s">
        <v>5019</v>
      </c>
      <c r="C83" s="124">
        <f>SUM(RMB[[#This Row],[箱型]:[VGM]])</f>
        <v>2140</v>
      </c>
      <c r="D83" s="123" t="s">
        <v>436</v>
      </c>
      <c r="E83" s="125">
        <v>540</v>
      </c>
      <c r="F83" s="125">
        <v>30</v>
      </c>
      <c r="G83" s="125">
        <v>1050</v>
      </c>
      <c r="H83" s="124">
        <v>500</v>
      </c>
      <c r="I83" s="124"/>
      <c r="J83" s="124"/>
      <c r="K83" s="124"/>
      <c r="L83" s="124">
        <v>20</v>
      </c>
      <c r="M83" s="126"/>
      <c r="N8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RCL人民币费用40GP：订舱540，THC1050，安保30，文件500/票，VGM20</v>
      </c>
      <c r="O83" s="123" t="s">
        <v>3231</v>
      </c>
    </row>
    <row r="84" spans="1:15" ht="42.75" hidden="1" x14ac:dyDescent="0.15">
      <c r="A84" s="126" t="s">
        <v>449</v>
      </c>
      <c r="B84" s="123" t="s">
        <v>5019</v>
      </c>
      <c r="C84" s="124">
        <f>SUM(RMB[[#This Row],[箱型]:[VGM]])</f>
        <v>2140</v>
      </c>
      <c r="D84" s="123" t="s">
        <v>437</v>
      </c>
      <c r="E84" s="125">
        <v>540</v>
      </c>
      <c r="F84" s="125">
        <v>30</v>
      </c>
      <c r="G84" s="125">
        <v>1050</v>
      </c>
      <c r="H84" s="124">
        <v>500</v>
      </c>
      <c r="I84" s="124"/>
      <c r="J84" s="124"/>
      <c r="K84" s="124"/>
      <c r="L84" s="124">
        <v>20</v>
      </c>
      <c r="M84" s="126"/>
      <c r="N8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RCL人民币费用40HC：订舱540，THC1050，安保30，文件500/票，VGM20</v>
      </c>
      <c r="O84" s="123" t="s">
        <v>3231</v>
      </c>
    </row>
    <row r="85" spans="1:15" ht="28.5" hidden="1" x14ac:dyDescent="0.15">
      <c r="A85" s="126" t="s">
        <v>449</v>
      </c>
      <c r="B85" s="123" t="s">
        <v>5019</v>
      </c>
      <c r="C85" s="124">
        <f>SUM(RMB[[#This Row],[箱型]:[VGM]])</f>
        <v>550</v>
      </c>
      <c r="D85" s="123" t="s">
        <v>438</v>
      </c>
      <c r="E85" s="125"/>
      <c r="F85" s="125">
        <v>30</v>
      </c>
      <c r="G85" s="125"/>
      <c r="H85" s="124">
        <v>500</v>
      </c>
      <c r="I85" s="124"/>
      <c r="J85" s="124"/>
      <c r="K85" s="124"/>
      <c r="L85" s="124">
        <v>20</v>
      </c>
      <c r="M85" s="126"/>
      <c r="N8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RCL人民币费用45HC：安保30，文件500/票，VGM20</v>
      </c>
      <c r="O85" s="123" t="s">
        <v>3231</v>
      </c>
    </row>
    <row r="86" spans="1:15" ht="42.75" hidden="1" x14ac:dyDescent="0.15">
      <c r="A86" s="126" t="s">
        <v>371</v>
      </c>
      <c r="B86" s="123" t="s">
        <v>5019</v>
      </c>
      <c r="C86" s="124">
        <f>SUM(RMB[[#This Row],[箱型]:[VGM]])</f>
        <v>1610</v>
      </c>
      <c r="D86" s="123" t="s">
        <v>435</v>
      </c>
      <c r="E86" s="125">
        <v>395</v>
      </c>
      <c r="F86" s="125">
        <v>20</v>
      </c>
      <c r="G86" s="125">
        <v>625</v>
      </c>
      <c r="H86" s="124">
        <v>450</v>
      </c>
      <c r="I86" s="124">
        <v>100</v>
      </c>
      <c r="J86" s="124"/>
      <c r="K86" s="124"/>
      <c r="L86" s="124">
        <v>20</v>
      </c>
      <c r="M86" s="126"/>
      <c r="N8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SAF人民币费用20GP：订舱395，THC625，安保20，文件450/票，封志100，VGM20</v>
      </c>
    </row>
    <row r="87" spans="1:15" ht="42.75" hidden="1" x14ac:dyDescent="0.15">
      <c r="A87" s="126" t="s">
        <v>371</v>
      </c>
      <c r="B87" s="123" t="s">
        <v>5019</v>
      </c>
      <c r="C87" s="124">
        <f>SUM(RMB[[#This Row],[箱型]:[VGM]])</f>
        <v>2100</v>
      </c>
      <c r="D87" s="123" t="s">
        <v>436</v>
      </c>
      <c r="E87" s="125">
        <v>520</v>
      </c>
      <c r="F87" s="125">
        <v>30</v>
      </c>
      <c r="G87" s="125">
        <v>980</v>
      </c>
      <c r="H87" s="124">
        <v>450</v>
      </c>
      <c r="I87" s="124">
        <v>100</v>
      </c>
      <c r="J87" s="124"/>
      <c r="K87" s="124"/>
      <c r="L87" s="124">
        <v>20</v>
      </c>
      <c r="M87" s="126"/>
      <c r="N8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SAF人民币费用40GP：订舱520，THC980，安保30，文件450/票，封志100，VGM20</v>
      </c>
    </row>
    <row r="88" spans="1:15" ht="42.75" hidden="1" x14ac:dyDescent="0.15">
      <c r="A88" s="126" t="s">
        <v>371</v>
      </c>
      <c r="B88" s="123" t="s">
        <v>5019</v>
      </c>
      <c r="C88" s="124">
        <f>SUM(RMB[[#This Row],[箱型]:[VGM]])</f>
        <v>2100</v>
      </c>
      <c r="D88" s="123" t="s">
        <v>437</v>
      </c>
      <c r="E88" s="125">
        <v>520</v>
      </c>
      <c r="F88" s="125">
        <v>30</v>
      </c>
      <c r="G88" s="125">
        <v>980</v>
      </c>
      <c r="H88" s="124">
        <v>450</v>
      </c>
      <c r="I88" s="124">
        <v>100</v>
      </c>
      <c r="J88" s="124"/>
      <c r="K88" s="124"/>
      <c r="L88" s="124">
        <v>20</v>
      </c>
      <c r="M88" s="126"/>
      <c r="N8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SAF人民币费用40HC：订舱520，THC980，安保30，文件450/票，封志100，VGM20</v>
      </c>
    </row>
    <row r="89" spans="1:15" ht="28.5" hidden="1" x14ac:dyDescent="0.15">
      <c r="A89" s="126" t="s">
        <v>371</v>
      </c>
      <c r="B89" s="123" t="s">
        <v>5019</v>
      </c>
      <c r="C89" s="124">
        <f>SUM(RMB[[#This Row],[箱型]:[VGM]])</f>
        <v>1980</v>
      </c>
      <c r="D89" s="123" t="s">
        <v>438</v>
      </c>
      <c r="E89" s="125"/>
      <c r="F89" s="125">
        <v>30</v>
      </c>
      <c r="G89" s="125">
        <v>1380</v>
      </c>
      <c r="H89" s="124">
        <v>450</v>
      </c>
      <c r="I89" s="124">
        <v>100</v>
      </c>
      <c r="J89" s="124"/>
      <c r="K89" s="124"/>
      <c r="L89" s="124">
        <v>20</v>
      </c>
      <c r="M89" s="126"/>
      <c r="N8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SAF人民币费用45HC：THC1380，安保30，文件450/票，封志100，VGM20</v>
      </c>
    </row>
    <row r="90" spans="1:15" ht="42.75" hidden="1" x14ac:dyDescent="0.15">
      <c r="A90" s="126" t="s">
        <v>450</v>
      </c>
      <c r="B90" s="123" t="s">
        <v>5019</v>
      </c>
      <c r="C90" s="124">
        <f>SUM(RMB[[#This Row],[箱型]:[VGM]])</f>
        <v>1600</v>
      </c>
      <c r="D90" s="123" t="s">
        <v>435</v>
      </c>
      <c r="E90" s="125">
        <v>305</v>
      </c>
      <c r="F90" s="125">
        <v>20</v>
      </c>
      <c r="G90" s="125">
        <v>755</v>
      </c>
      <c r="H90" s="124">
        <v>500</v>
      </c>
      <c r="I90" s="124"/>
      <c r="J90" s="124"/>
      <c r="K90" s="124"/>
      <c r="L90" s="124">
        <v>20</v>
      </c>
      <c r="M90" s="126"/>
      <c r="N9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SCI人民币费用20GP：订舱305，THC755，安保20，文件500/票，VGM20</v>
      </c>
    </row>
    <row r="91" spans="1:15" ht="42.75" hidden="1" x14ac:dyDescent="0.15">
      <c r="A91" s="126" t="s">
        <v>450</v>
      </c>
      <c r="B91" s="123" t="s">
        <v>5019</v>
      </c>
      <c r="C91" s="124">
        <f>SUM(RMB[[#This Row],[箱型]:[VGM]])</f>
        <v>2192</v>
      </c>
      <c r="D91" s="123" t="s">
        <v>436</v>
      </c>
      <c r="E91" s="125">
        <v>510</v>
      </c>
      <c r="F91" s="125">
        <v>30</v>
      </c>
      <c r="G91" s="125">
        <v>1132</v>
      </c>
      <c r="H91" s="124">
        <v>500</v>
      </c>
      <c r="I91" s="124"/>
      <c r="J91" s="124"/>
      <c r="K91" s="124"/>
      <c r="L91" s="124">
        <v>20</v>
      </c>
      <c r="M91" s="126"/>
      <c r="N9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SCI人民币费用40GP：订舱510，THC1132，安保30，文件500/票，VGM20</v>
      </c>
    </row>
    <row r="92" spans="1:15" ht="42.75" hidden="1" x14ac:dyDescent="0.15">
      <c r="A92" s="126" t="s">
        <v>450</v>
      </c>
      <c r="B92" s="123" t="s">
        <v>5019</v>
      </c>
      <c r="C92" s="124">
        <f>SUM(RMB[[#This Row],[箱型]:[VGM]])</f>
        <v>2192</v>
      </c>
      <c r="D92" s="123" t="s">
        <v>437</v>
      </c>
      <c r="E92" s="125">
        <v>510</v>
      </c>
      <c r="F92" s="125">
        <v>30</v>
      </c>
      <c r="G92" s="125">
        <v>1132</v>
      </c>
      <c r="H92" s="124">
        <v>500</v>
      </c>
      <c r="I92" s="124"/>
      <c r="J92" s="124"/>
      <c r="K92" s="124"/>
      <c r="L92" s="124">
        <v>20</v>
      </c>
      <c r="M92" s="126"/>
      <c r="N9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SCI人民币费用40HC：订舱510，THC1132，安保30，文件500/票，VGM20</v>
      </c>
    </row>
    <row r="93" spans="1:15" ht="28.5" hidden="1" x14ac:dyDescent="0.15">
      <c r="A93" s="126" t="s">
        <v>450</v>
      </c>
      <c r="B93" s="123" t="s">
        <v>5019</v>
      </c>
      <c r="C93" s="124">
        <f>SUM(RMB[[#This Row],[箱型]:[VGM]])</f>
        <v>550</v>
      </c>
      <c r="D93" s="123" t="s">
        <v>438</v>
      </c>
      <c r="E93" s="125"/>
      <c r="F93" s="125">
        <v>30</v>
      </c>
      <c r="G93" s="125"/>
      <c r="H93" s="124">
        <v>500</v>
      </c>
      <c r="I93" s="124"/>
      <c r="J93" s="124"/>
      <c r="K93" s="124"/>
      <c r="L93" s="124">
        <v>20</v>
      </c>
      <c r="M93" s="126"/>
      <c r="N9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SCI人民币费用45HC：安保30，文件500/票，VGM20</v>
      </c>
    </row>
    <row r="94" spans="1:15" ht="42.75" hidden="1" x14ac:dyDescent="0.15">
      <c r="A94" s="126" t="s">
        <v>451</v>
      </c>
      <c r="B94" s="123" t="s">
        <v>5019</v>
      </c>
      <c r="C94" s="124">
        <f>SUM(RMB[[#This Row],[箱型]:[VGM]])</f>
        <v>1650</v>
      </c>
      <c r="D94" s="123" t="s">
        <v>435</v>
      </c>
      <c r="E94" s="125">
        <v>315</v>
      </c>
      <c r="F94" s="125">
        <v>20</v>
      </c>
      <c r="G94" s="125">
        <v>765</v>
      </c>
      <c r="H94" s="124">
        <v>500</v>
      </c>
      <c r="I94" s="124">
        <v>30</v>
      </c>
      <c r="J94" s="124"/>
      <c r="K94" s="124"/>
      <c r="L94" s="124">
        <v>20</v>
      </c>
      <c r="M94" s="126"/>
      <c r="N9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SMDL人民币费用20GP：订舱315，THC765，安保20，文件500/票，封志30，VGM20</v>
      </c>
    </row>
    <row r="95" spans="1:15" ht="42.75" hidden="1" x14ac:dyDescent="0.15">
      <c r="A95" s="126" t="s">
        <v>451</v>
      </c>
      <c r="B95" s="123" t="s">
        <v>5019</v>
      </c>
      <c r="C95" s="124">
        <f>SUM(RMB[[#This Row],[箱型]:[VGM]])</f>
        <v>2238</v>
      </c>
      <c r="D95" s="123" t="s">
        <v>436</v>
      </c>
      <c r="E95" s="125">
        <v>510</v>
      </c>
      <c r="F95" s="125">
        <v>30</v>
      </c>
      <c r="G95" s="125">
        <v>1148</v>
      </c>
      <c r="H95" s="124">
        <v>500</v>
      </c>
      <c r="I95" s="124">
        <v>30</v>
      </c>
      <c r="J95" s="124"/>
      <c r="K95" s="124"/>
      <c r="L95" s="124">
        <v>20</v>
      </c>
      <c r="M95" s="126"/>
      <c r="N9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SMDL人民币费用40GP：订舱510，THC1148，安保30，文件500/票，封志30，VGM20</v>
      </c>
    </row>
    <row r="96" spans="1:15" ht="42.75" hidden="1" x14ac:dyDescent="0.15">
      <c r="A96" s="126" t="s">
        <v>451</v>
      </c>
      <c r="B96" s="123" t="s">
        <v>5019</v>
      </c>
      <c r="C96" s="124">
        <f>SUM(RMB[[#This Row],[箱型]:[VGM]])</f>
        <v>2238</v>
      </c>
      <c r="D96" s="123" t="s">
        <v>437</v>
      </c>
      <c r="E96" s="125">
        <v>510</v>
      </c>
      <c r="F96" s="125">
        <v>30</v>
      </c>
      <c r="G96" s="125">
        <v>1148</v>
      </c>
      <c r="H96" s="124">
        <v>500</v>
      </c>
      <c r="I96" s="124">
        <v>30</v>
      </c>
      <c r="J96" s="124"/>
      <c r="K96" s="124"/>
      <c r="L96" s="124">
        <v>20</v>
      </c>
      <c r="M96" s="126"/>
      <c r="N9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SMDL人民币费用40HC：订舱510，THC1148，安保30，文件500/票，封志30，VGM20</v>
      </c>
    </row>
    <row r="97" spans="1:15" ht="28.5" hidden="1" x14ac:dyDescent="0.15">
      <c r="A97" s="126" t="s">
        <v>451</v>
      </c>
      <c r="B97" s="123" t="s">
        <v>5019</v>
      </c>
      <c r="C97" s="124">
        <f>SUM(RMB[[#This Row],[箱型]:[VGM]])</f>
        <v>580</v>
      </c>
      <c r="D97" s="123" t="s">
        <v>438</v>
      </c>
      <c r="E97" s="125"/>
      <c r="F97" s="125">
        <v>30</v>
      </c>
      <c r="G97" s="125"/>
      <c r="H97" s="124">
        <v>500</v>
      </c>
      <c r="I97" s="124">
        <v>30</v>
      </c>
      <c r="J97" s="124"/>
      <c r="K97" s="124"/>
      <c r="L97" s="124">
        <v>20</v>
      </c>
      <c r="M97" s="126"/>
      <c r="N9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SMDL人民币费用45HC：安保30，文件500/票，封志30，VGM20</v>
      </c>
    </row>
    <row r="98" spans="1:15" ht="42.75" hidden="1" x14ac:dyDescent="0.15">
      <c r="A98" s="126" t="s">
        <v>452</v>
      </c>
      <c r="B98" s="123" t="s">
        <v>5019</v>
      </c>
      <c r="C98" s="124">
        <f>SUM(RMB[[#This Row],[箱型]:[VGM]])</f>
        <v>1740</v>
      </c>
      <c r="D98" s="123" t="s">
        <v>435</v>
      </c>
      <c r="E98" s="125">
        <v>375</v>
      </c>
      <c r="F98" s="125">
        <v>20</v>
      </c>
      <c r="G98" s="125">
        <v>825</v>
      </c>
      <c r="H98" s="124">
        <v>500</v>
      </c>
      <c r="I98" s="124"/>
      <c r="J98" s="124"/>
      <c r="K98" s="124"/>
      <c r="L98" s="124">
        <v>20</v>
      </c>
      <c r="M98" s="126"/>
      <c r="N9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TS人民币费用20GP：订舱375，THC825，安保20，文件500/票，VGM20</v>
      </c>
    </row>
    <row r="99" spans="1:15" ht="42.75" hidden="1" x14ac:dyDescent="0.15">
      <c r="A99" s="126" t="s">
        <v>452</v>
      </c>
      <c r="B99" s="123" t="s">
        <v>5019</v>
      </c>
      <c r="C99" s="124">
        <f>SUM(RMB[[#This Row],[箱型]:[VGM]])</f>
        <v>2360</v>
      </c>
      <c r="D99" s="123" t="s">
        <v>436</v>
      </c>
      <c r="E99" s="125">
        <v>580</v>
      </c>
      <c r="F99" s="125">
        <v>30</v>
      </c>
      <c r="G99" s="125">
        <v>1230</v>
      </c>
      <c r="H99" s="124">
        <v>500</v>
      </c>
      <c r="I99" s="124"/>
      <c r="J99" s="124"/>
      <c r="K99" s="124"/>
      <c r="L99" s="124">
        <v>20</v>
      </c>
      <c r="M99" s="126"/>
      <c r="N9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TS人民币费用40GP：订舱580，THC1230，安保30，文件500/票，VGM20</v>
      </c>
    </row>
    <row r="100" spans="1:15" ht="42.75" hidden="1" x14ac:dyDescent="0.15">
      <c r="A100" s="126" t="s">
        <v>452</v>
      </c>
      <c r="B100" s="123" t="s">
        <v>5019</v>
      </c>
      <c r="C100" s="124">
        <f>SUM(RMB[[#This Row],[箱型]:[VGM]])</f>
        <v>2360</v>
      </c>
      <c r="D100" s="123" t="s">
        <v>437</v>
      </c>
      <c r="E100" s="125">
        <v>580</v>
      </c>
      <c r="F100" s="125">
        <v>30</v>
      </c>
      <c r="G100" s="125">
        <v>1230</v>
      </c>
      <c r="H100" s="124">
        <v>500</v>
      </c>
      <c r="I100" s="124"/>
      <c r="J100" s="124"/>
      <c r="K100" s="124"/>
      <c r="L100" s="124">
        <v>20</v>
      </c>
      <c r="M100" s="126"/>
      <c r="N10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TS人民币费用40HC：订舱580，THC1230，安保30，文件500/票，VGM20</v>
      </c>
    </row>
    <row r="101" spans="1:15" ht="28.5" hidden="1" x14ac:dyDescent="0.15">
      <c r="A101" s="126" t="s">
        <v>452</v>
      </c>
      <c r="B101" s="123" t="s">
        <v>5019</v>
      </c>
      <c r="C101" s="124">
        <f>SUM(RMB[[#This Row],[箱型]:[VGM]])</f>
        <v>550</v>
      </c>
      <c r="D101" s="123" t="s">
        <v>438</v>
      </c>
      <c r="E101" s="125"/>
      <c r="F101" s="125">
        <v>30</v>
      </c>
      <c r="G101" s="125"/>
      <c r="H101" s="124">
        <v>500</v>
      </c>
      <c r="I101" s="124"/>
      <c r="J101" s="124"/>
      <c r="K101" s="124"/>
      <c r="L101" s="124">
        <v>20</v>
      </c>
      <c r="M101" s="126"/>
      <c r="N10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TS人民币费用45HC：安保30，文件500/票，VGM20</v>
      </c>
    </row>
    <row r="102" spans="1:15" ht="42.75" hidden="1" x14ac:dyDescent="0.15">
      <c r="A102" s="126" t="s">
        <v>453</v>
      </c>
      <c r="B102" s="123" t="s">
        <v>5019</v>
      </c>
      <c r="C102" s="124">
        <f>SUM(RMB[[#This Row],[箱型]:[VGM]])</f>
        <v>1524</v>
      </c>
      <c r="D102" s="123" t="s">
        <v>435</v>
      </c>
      <c r="E102" s="125">
        <v>309</v>
      </c>
      <c r="F102" s="125">
        <v>20</v>
      </c>
      <c r="G102" s="125">
        <v>665</v>
      </c>
      <c r="H102" s="124">
        <v>450</v>
      </c>
      <c r="I102" s="124">
        <v>30</v>
      </c>
      <c r="J102" s="124">
        <v>30</v>
      </c>
      <c r="K102" s="124"/>
      <c r="L102" s="124">
        <v>20</v>
      </c>
      <c r="M102" s="126"/>
      <c r="N10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UASC人民币费用20GP：订舱309，THC665，安保20，文件450/票，设备管理30，封志30，VGM20</v>
      </c>
      <c r="O102" s="123" t="s">
        <v>3228</v>
      </c>
    </row>
    <row r="103" spans="1:15" ht="42.75" hidden="1" x14ac:dyDescent="0.15">
      <c r="A103" s="126" t="s">
        <v>453</v>
      </c>
      <c r="B103" s="123" t="s">
        <v>5019</v>
      </c>
      <c r="C103" s="124">
        <f>SUM(RMB[[#This Row],[箱型]:[VGM]])</f>
        <v>2117</v>
      </c>
      <c r="D103" s="123" t="s">
        <v>436</v>
      </c>
      <c r="E103" s="125">
        <v>500</v>
      </c>
      <c r="F103" s="125">
        <v>30</v>
      </c>
      <c r="G103" s="125">
        <v>997</v>
      </c>
      <c r="H103" s="124">
        <v>450</v>
      </c>
      <c r="I103" s="124">
        <v>60</v>
      </c>
      <c r="J103" s="124">
        <v>60</v>
      </c>
      <c r="K103" s="124"/>
      <c r="L103" s="124">
        <v>20</v>
      </c>
      <c r="M103" s="126"/>
      <c r="N10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UASC人民币费用40GP：订舱500，THC997，安保30，文件450/票，设备管理60，封志60，VGM20</v>
      </c>
      <c r="O103" s="123" t="s">
        <v>3228</v>
      </c>
    </row>
    <row r="104" spans="1:15" ht="42.75" hidden="1" x14ac:dyDescent="0.15">
      <c r="A104" s="126" t="s">
        <v>453</v>
      </c>
      <c r="B104" s="123" t="s">
        <v>5019</v>
      </c>
      <c r="C104" s="124">
        <f>SUM(RMB[[#This Row],[箱型]:[VGM]])</f>
        <v>2117</v>
      </c>
      <c r="D104" s="123" t="s">
        <v>437</v>
      </c>
      <c r="E104" s="125">
        <v>500</v>
      </c>
      <c r="F104" s="125">
        <v>30</v>
      </c>
      <c r="G104" s="125">
        <v>997</v>
      </c>
      <c r="H104" s="124">
        <v>450</v>
      </c>
      <c r="I104" s="124">
        <v>60</v>
      </c>
      <c r="J104" s="124">
        <v>60</v>
      </c>
      <c r="K104" s="124"/>
      <c r="L104" s="124">
        <v>20</v>
      </c>
      <c r="M104" s="126"/>
      <c r="N10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UASC人民币费用40HC：订舱500，THC997，安保30，文件450/票，设备管理60，封志60，VGM20</v>
      </c>
      <c r="O104" s="123" t="s">
        <v>3228</v>
      </c>
    </row>
    <row r="105" spans="1:15" ht="42.75" hidden="1" x14ac:dyDescent="0.15">
      <c r="A105" s="126" t="s">
        <v>453</v>
      </c>
      <c r="B105" s="123" t="s">
        <v>5019</v>
      </c>
      <c r="C105" s="124">
        <f>SUM(RMB[[#This Row],[箱型]:[VGM]])</f>
        <v>1120</v>
      </c>
      <c r="D105" s="123" t="s">
        <v>438</v>
      </c>
      <c r="E105" s="125">
        <v>500</v>
      </c>
      <c r="F105" s="125">
        <v>30</v>
      </c>
      <c r="G105" s="125"/>
      <c r="H105" s="124">
        <v>450</v>
      </c>
      <c r="I105" s="124">
        <v>60</v>
      </c>
      <c r="J105" s="124">
        <v>60</v>
      </c>
      <c r="K105" s="124"/>
      <c r="L105" s="124">
        <v>20</v>
      </c>
      <c r="M105" s="126"/>
      <c r="N10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UASC人民币费用45HC：订舱500，安保30，文件450/票，设备管理60，封志60，VGM20</v>
      </c>
      <c r="O105" s="123" t="s">
        <v>3228</v>
      </c>
    </row>
    <row r="106" spans="1:15" ht="42.75" hidden="1" x14ac:dyDescent="0.15">
      <c r="A106" s="126" t="s">
        <v>454</v>
      </c>
      <c r="B106" s="123" t="s">
        <v>5019</v>
      </c>
      <c r="C106" s="124">
        <f>SUM(RMB[[#This Row],[箱型]:[VGM]])</f>
        <v>1582</v>
      </c>
      <c r="D106" s="123" t="s">
        <v>435</v>
      </c>
      <c r="E106" s="125">
        <v>375</v>
      </c>
      <c r="F106" s="125">
        <v>20</v>
      </c>
      <c r="G106" s="125">
        <v>672</v>
      </c>
      <c r="H106" s="124">
        <v>450</v>
      </c>
      <c r="I106" s="124">
        <v>45</v>
      </c>
      <c r="J106" s="124"/>
      <c r="K106" s="124"/>
      <c r="L106" s="124">
        <v>20</v>
      </c>
      <c r="M106" s="126"/>
      <c r="N10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WANHAI人民币费用20GP：订舱375，THC672，安保20，文件450/票，封志45，VGM20</v>
      </c>
      <c r="O106" s="123" t="s">
        <v>3232</v>
      </c>
    </row>
    <row r="107" spans="1:15" ht="42.75" hidden="1" x14ac:dyDescent="0.15">
      <c r="A107" s="126" t="s">
        <v>454</v>
      </c>
      <c r="B107" s="123" t="s">
        <v>5019</v>
      </c>
      <c r="C107" s="124">
        <f>SUM(RMB[[#This Row],[箱型]:[VGM]])</f>
        <v>2133</v>
      </c>
      <c r="D107" s="123" t="s">
        <v>436</v>
      </c>
      <c r="E107" s="125">
        <v>580</v>
      </c>
      <c r="F107" s="125">
        <v>30</v>
      </c>
      <c r="G107" s="125">
        <v>1008</v>
      </c>
      <c r="H107" s="124">
        <v>450</v>
      </c>
      <c r="I107" s="124">
        <v>45</v>
      </c>
      <c r="J107" s="124"/>
      <c r="K107" s="124"/>
      <c r="L107" s="124">
        <v>20</v>
      </c>
      <c r="M107" s="126"/>
      <c r="N10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WANHAI人民币费用40GP：订舱580，THC1008，安保30，文件450/票，封志45，VGM20</v>
      </c>
      <c r="O107" s="123" t="s">
        <v>3232</v>
      </c>
    </row>
    <row r="108" spans="1:15" ht="42.75" hidden="1" x14ac:dyDescent="0.15">
      <c r="A108" s="126" t="s">
        <v>454</v>
      </c>
      <c r="B108" s="123" t="s">
        <v>5019</v>
      </c>
      <c r="C108" s="124">
        <f>SUM(RMB[[#This Row],[箱型]:[VGM]])</f>
        <v>2133</v>
      </c>
      <c r="D108" s="123" t="s">
        <v>437</v>
      </c>
      <c r="E108" s="125">
        <v>580</v>
      </c>
      <c r="F108" s="125">
        <v>30</v>
      </c>
      <c r="G108" s="125">
        <v>1008</v>
      </c>
      <c r="H108" s="124">
        <v>450</v>
      </c>
      <c r="I108" s="124">
        <v>45</v>
      </c>
      <c r="J108" s="124"/>
      <c r="K108" s="124"/>
      <c r="L108" s="124">
        <v>20</v>
      </c>
      <c r="M108" s="126"/>
      <c r="N10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WANHAI人民币费用40HC：订舱580，THC1008，安保30，文件450/票，封志45，VGM20</v>
      </c>
      <c r="O108" s="123" t="s">
        <v>3232</v>
      </c>
    </row>
    <row r="109" spans="1:15" ht="42.75" hidden="1" x14ac:dyDescent="0.15">
      <c r="A109" s="126" t="s">
        <v>454</v>
      </c>
      <c r="B109" s="123" t="s">
        <v>5019</v>
      </c>
      <c r="C109" s="124">
        <f>SUM(RMB[[#This Row],[箱型]:[VGM]])</f>
        <v>1956</v>
      </c>
      <c r="D109" s="123" t="s">
        <v>438</v>
      </c>
      <c r="E109" s="125"/>
      <c r="F109" s="125">
        <v>30</v>
      </c>
      <c r="G109" s="125">
        <v>1411</v>
      </c>
      <c r="H109" s="124">
        <v>450</v>
      </c>
      <c r="I109" s="124">
        <v>45</v>
      </c>
      <c r="J109" s="124"/>
      <c r="K109" s="124"/>
      <c r="L109" s="124">
        <v>20</v>
      </c>
      <c r="M109" s="126"/>
      <c r="N10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WANHAI人民币费用45HC：THC1411，安保30，文件450/票，封志45，VGM20</v>
      </c>
      <c r="O109" s="123" t="s">
        <v>3232</v>
      </c>
    </row>
    <row r="110" spans="1:15" ht="42.75" hidden="1" x14ac:dyDescent="0.15">
      <c r="A110" s="126" t="s">
        <v>541</v>
      </c>
      <c r="B110" s="123" t="s">
        <v>5019</v>
      </c>
      <c r="C110" s="124">
        <f>SUM(RMB[[#This Row],[箱型]:[VGM]])</f>
        <v>1508</v>
      </c>
      <c r="D110" s="123" t="s">
        <v>435</v>
      </c>
      <c r="E110" s="125">
        <v>320</v>
      </c>
      <c r="F110" s="125"/>
      <c r="G110" s="125">
        <v>663</v>
      </c>
      <c r="H110" s="124">
        <v>450</v>
      </c>
      <c r="I110" s="124"/>
      <c r="J110" s="124">
        <v>55</v>
      </c>
      <c r="K110" s="124"/>
      <c r="L110" s="124">
        <v>20</v>
      </c>
      <c r="M110" s="126" t="s">
        <v>540</v>
      </c>
      <c r="N11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YML普箱人民币费用20GP：订舱320，THC663，文件450/票，设备管理55，VGM20</v>
      </c>
      <c r="O110" s="123" t="s">
        <v>3235</v>
      </c>
    </row>
    <row r="111" spans="1:15" ht="42.75" hidden="1" x14ac:dyDescent="0.15">
      <c r="A111" s="126" t="s">
        <v>541</v>
      </c>
      <c r="B111" s="123" t="s">
        <v>5019</v>
      </c>
      <c r="C111" s="124">
        <f>SUM(RMB[[#This Row],[箱型]:[VGM]])</f>
        <v>1518</v>
      </c>
      <c r="D111" s="123" t="s">
        <v>435</v>
      </c>
      <c r="E111" s="125">
        <v>330</v>
      </c>
      <c r="F111" s="125"/>
      <c r="G111" s="125">
        <v>663</v>
      </c>
      <c r="H111" s="124">
        <v>450</v>
      </c>
      <c r="I111" s="124"/>
      <c r="J111" s="124">
        <v>55</v>
      </c>
      <c r="K111" s="124"/>
      <c r="L111" s="124">
        <v>20</v>
      </c>
      <c r="M111" s="126" t="s">
        <v>542</v>
      </c>
      <c r="N11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YML普箱人民币费用20GP：订舱330，THC663，文件450/票，设备管理55，VGM20</v>
      </c>
      <c r="O111" s="123" t="s">
        <v>3235</v>
      </c>
    </row>
    <row r="112" spans="1:15" ht="42.75" hidden="1" x14ac:dyDescent="0.15">
      <c r="A112" s="126" t="s">
        <v>541</v>
      </c>
      <c r="B112" s="123" t="s">
        <v>5019</v>
      </c>
      <c r="C112" s="124">
        <f>SUM(RMB[[#This Row],[箱型]:[VGM]])</f>
        <v>2092</v>
      </c>
      <c r="D112" s="123" t="s">
        <v>436</v>
      </c>
      <c r="E112" s="125">
        <v>540</v>
      </c>
      <c r="F112" s="125"/>
      <c r="G112" s="125">
        <v>1027</v>
      </c>
      <c r="H112" s="124">
        <v>450</v>
      </c>
      <c r="I112" s="124"/>
      <c r="J112" s="124">
        <v>55</v>
      </c>
      <c r="K112" s="124"/>
      <c r="L112" s="124">
        <v>20</v>
      </c>
      <c r="M112" s="126" t="s">
        <v>540</v>
      </c>
      <c r="N11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YML普箱人民币费用40GP：订舱540，THC1027，文件450/票，设备管理55，VGM20</v>
      </c>
      <c r="O112" s="123" t="s">
        <v>3235</v>
      </c>
    </row>
    <row r="113" spans="1:15" ht="42.75" hidden="1" x14ac:dyDescent="0.15">
      <c r="A113" s="126" t="s">
        <v>541</v>
      </c>
      <c r="B113" s="123" t="s">
        <v>5019</v>
      </c>
      <c r="C113" s="124">
        <f>SUM(RMB[[#This Row],[箱型]:[VGM]])</f>
        <v>2117</v>
      </c>
      <c r="D113" s="123" t="s">
        <v>436</v>
      </c>
      <c r="E113" s="125">
        <v>565</v>
      </c>
      <c r="F113" s="125"/>
      <c r="G113" s="125">
        <v>1027</v>
      </c>
      <c r="H113" s="124">
        <v>450</v>
      </c>
      <c r="I113" s="124"/>
      <c r="J113" s="124">
        <v>55</v>
      </c>
      <c r="K113" s="124"/>
      <c r="L113" s="124">
        <v>20</v>
      </c>
      <c r="M113" s="126" t="s">
        <v>542</v>
      </c>
      <c r="N11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YML普箱人民币费用40GP：订舱565，THC1027，文件450/票，设备管理55，VGM20</v>
      </c>
      <c r="O113" s="123" t="s">
        <v>3235</v>
      </c>
    </row>
    <row r="114" spans="1:15" ht="42.75" hidden="1" x14ac:dyDescent="0.15">
      <c r="A114" s="126" t="s">
        <v>541</v>
      </c>
      <c r="B114" s="123" t="s">
        <v>5019</v>
      </c>
      <c r="C114" s="124">
        <f>SUM(RMB[[#This Row],[箱型]:[VGM]])</f>
        <v>2092</v>
      </c>
      <c r="D114" s="123" t="s">
        <v>437</v>
      </c>
      <c r="E114" s="125">
        <v>540</v>
      </c>
      <c r="F114" s="125"/>
      <c r="G114" s="125">
        <v>1027</v>
      </c>
      <c r="H114" s="124">
        <v>450</v>
      </c>
      <c r="I114" s="124"/>
      <c r="J114" s="124">
        <v>55</v>
      </c>
      <c r="K114" s="124"/>
      <c r="L114" s="124">
        <v>20</v>
      </c>
      <c r="M114" s="126" t="s">
        <v>540</v>
      </c>
      <c r="N11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YML普箱人民币费用40HC：订舱540，THC1027，文件450/票，设备管理55，VGM20</v>
      </c>
      <c r="O114" s="123" t="s">
        <v>3235</v>
      </c>
    </row>
    <row r="115" spans="1:15" ht="42.75" hidden="1" x14ac:dyDescent="0.15">
      <c r="A115" s="126" t="s">
        <v>541</v>
      </c>
      <c r="B115" s="123" t="s">
        <v>5019</v>
      </c>
      <c r="C115" s="124">
        <f>SUM(RMB[[#This Row],[箱型]:[VGM]])</f>
        <v>2117</v>
      </c>
      <c r="D115" s="123" t="s">
        <v>437</v>
      </c>
      <c r="E115" s="125">
        <v>565</v>
      </c>
      <c r="F115" s="125"/>
      <c r="G115" s="125">
        <v>1027</v>
      </c>
      <c r="H115" s="124">
        <v>450</v>
      </c>
      <c r="I115" s="124"/>
      <c r="J115" s="124">
        <v>55</v>
      </c>
      <c r="K115" s="124"/>
      <c r="L115" s="124">
        <v>20</v>
      </c>
      <c r="M115" s="126" t="s">
        <v>542</v>
      </c>
      <c r="N11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YML普箱人民币费用40HC：订舱565，THC1027，文件450/票，设备管理55，VGM20</v>
      </c>
      <c r="O115" s="123" t="s">
        <v>3235</v>
      </c>
    </row>
    <row r="116" spans="1:15" ht="42.75" hidden="1" x14ac:dyDescent="0.15">
      <c r="A116" s="126" t="s">
        <v>541</v>
      </c>
      <c r="B116" s="123" t="s">
        <v>5019</v>
      </c>
      <c r="C116" s="124">
        <f>SUM(RMB[[#This Row],[箱型]:[VGM]])</f>
        <v>2471</v>
      </c>
      <c r="D116" s="123" t="s">
        <v>438</v>
      </c>
      <c r="E116" s="125">
        <v>640</v>
      </c>
      <c r="F116" s="125"/>
      <c r="G116" s="125">
        <v>1306</v>
      </c>
      <c r="H116" s="124">
        <v>450</v>
      </c>
      <c r="I116" s="124"/>
      <c r="J116" s="124">
        <v>55</v>
      </c>
      <c r="K116" s="124"/>
      <c r="L116" s="124">
        <v>20</v>
      </c>
      <c r="M116" s="126" t="s">
        <v>540</v>
      </c>
      <c r="N11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YML普箱人民币费用45HC：订舱640，THC1306，文件450/票，设备管理55，VGM20</v>
      </c>
      <c r="O116" s="123" t="s">
        <v>3235</v>
      </c>
    </row>
    <row r="117" spans="1:15" ht="42.75" hidden="1" x14ac:dyDescent="0.15">
      <c r="A117" s="126" t="s">
        <v>541</v>
      </c>
      <c r="B117" s="123" t="s">
        <v>5019</v>
      </c>
      <c r="C117" s="124">
        <f>SUM(RMB[[#This Row],[箱型]:[VGM]])</f>
        <v>2396</v>
      </c>
      <c r="D117" s="123" t="s">
        <v>438</v>
      </c>
      <c r="E117" s="125">
        <v>565</v>
      </c>
      <c r="F117" s="125"/>
      <c r="G117" s="125">
        <v>1306</v>
      </c>
      <c r="H117" s="124">
        <v>450</v>
      </c>
      <c r="I117" s="124"/>
      <c r="J117" s="124">
        <v>55</v>
      </c>
      <c r="K117" s="124"/>
      <c r="L117" s="124">
        <v>20</v>
      </c>
      <c r="M117" s="126" t="s">
        <v>542</v>
      </c>
      <c r="N11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YML普箱人民币费用45HC：订舱565，THC1306，文件450/票，设备管理55，VGM20</v>
      </c>
      <c r="O117" s="123" t="s">
        <v>3235</v>
      </c>
    </row>
    <row r="118" spans="1:15" ht="42.75" hidden="1" x14ac:dyDescent="0.15">
      <c r="A118" s="126" t="s">
        <v>381</v>
      </c>
      <c r="B118" s="123" t="s">
        <v>5019</v>
      </c>
      <c r="C118" s="124">
        <f>SUM(RMB[[#This Row],[箱型]:[VGM]])</f>
        <v>1597</v>
      </c>
      <c r="D118" s="123" t="s">
        <v>435</v>
      </c>
      <c r="E118" s="125">
        <v>285</v>
      </c>
      <c r="F118" s="125">
        <v>21</v>
      </c>
      <c r="G118" s="125">
        <v>693</v>
      </c>
      <c r="H118" s="124">
        <v>500</v>
      </c>
      <c r="I118" s="124">
        <v>48</v>
      </c>
      <c r="J118" s="124">
        <v>30</v>
      </c>
      <c r="K118" s="124"/>
      <c r="L118" s="124">
        <v>20</v>
      </c>
      <c r="M118" s="126" t="s">
        <v>455</v>
      </c>
      <c r="N11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ZIM人民币费用20GP：订舱285，THC693，安保21，文件500/票，设备管理30，封志48，VGM20</v>
      </c>
      <c r="O118" s="123" t="s">
        <v>3233</v>
      </c>
    </row>
    <row r="119" spans="1:15" ht="42.75" hidden="1" x14ac:dyDescent="0.15">
      <c r="A119" s="126" t="s">
        <v>381</v>
      </c>
      <c r="B119" s="123" t="s">
        <v>5019</v>
      </c>
      <c r="C119" s="124">
        <f>SUM(RMB[[#This Row],[箱型]:[VGM]])</f>
        <v>2158</v>
      </c>
      <c r="D119" s="123" t="s">
        <v>436</v>
      </c>
      <c r="E119" s="125">
        <v>490</v>
      </c>
      <c r="F119" s="125">
        <v>32</v>
      </c>
      <c r="G119" s="125">
        <v>1038</v>
      </c>
      <c r="H119" s="124">
        <v>500</v>
      </c>
      <c r="I119" s="124">
        <v>48</v>
      </c>
      <c r="J119" s="124">
        <v>30</v>
      </c>
      <c r="K119" s="124"/>
      <c r="L119" s="124">
        <v>20</v>
      </c>
      <c r="M119" s="126" t="s">
        <v>455</v>
      </c>
      <c r="N11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ZIM人民币费用40GP：订舱490，THC1038，安保32，文件500/票，设备管理30，封志48，VGM20</v>
      </c>
      <c r="O119" s="123" t="s">
        <v>3233</v>
      </c>
    </row>
    <row r="120" spans="1:15" ht="42.75" hidden="1" x14ac:dyDescent="0.15">
      <c r="A120" s="126" t="s">
        <v>381</v>
      </c>
      <c r="B120" s="123" t="s">
        <v>5019</v>
      </c>
      <c r="C120" s="124">
        <f>SUM(RMB[[#This Row],[箱型]:[VGM]])</f>
        <v>2158</v>
      </c>
      <c r="D120" s="123" t="s">
        <v>437</v>
      </c>
      <c r="E120" s="125">
        <v>490</v>
      </c>
      <c r="F120" s="125">
        <v>32</v>
      </c>
      <c r="G120" s="125">
        <v>1038</v>
      </c>
      <c r="H120" s="124">
        <v>500</v>
      </c>
      <c r="I120" s="124">
        <v>48</v>
      </c>
      <c r="J120" s="124">
        <v>30</v>
      </c>
      <c r="K120" s="124"/>
      <c r="L120" s="124">
        <v>20</v>
      </c>
      <c r="M120" s="126" t="s">
        <v>455</v>
      </c>
      <c r="N12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ZIM人民币费用40HC：订舱490，THC1038，安保32，文件500/票，设备管理30，封志48，VGM20</v>
      </c>
      <c r="O120" s="123" t="s">
        <v>3233</v>
      </c>
    </row>
    <row r="121" spans="1:15" ht="42.75" hidden="1" x14ac:dyDescent="0.15">
      <c r="A121" s="126" t="s">
        <v>381</v>
      </c>
      <c r="B121" s="123" t="s">
        <v>5019</v>
      </c>
      <c r="C121" s="124">
        <f>SUM(RMB[[#This Row],[箱型]:[VGM]])</f>
        <v>2082</v>
      </c>
      <c r="D121" s="123" t="s">
        <v>438</v>
      </c>
      <c r="E121" s="125"/>
      <c r="F121" s="125">
        <v>32</v>
      </c>
      <c r="G121" s="125">
        <v>1452</v>
      </c>
      <c r="H121" s="124">
        <v>500</v>
      </c>
      <c r="I121" s="124">
        <v>48</v>
      </c>
      <c r="J121" s="124">
        <v>30</v>
      </c>
      <c r="K121" s="124"/>
      <c r="L121" s="124">
        <v>20</v>
      </c>
      <c r="M121" s="126" t="s">
        <v>455</v>
      </c>
      <c r="N12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ZIM人民币费用45HC：THC1452，安保32，文件500/票，设备管理30，封志48，VGM20</v>
      </c>
      <c r="O121" s="123" t="s">
        <v>3233</v>
      </c>
    </row>
    <row r="122" spans="1:15" ht="42.75" hidden="1" x14ac:dyDescent="0.15">
      <c r="A122" s="126" t="s">
        <v>434</v>
      </c>
      <c r="B122" s="123" t="s">
        <v>5017</v>
      </c>
      <c r="C122" s="124">
        <f>SUM(RMB[[#This Row],[箱型]:[VGM]])</f>
        <v>1625</v>
      </c>
      <c r="D122" s="123" t="s">
        <v>435</v>
      </c>
      <c r="E122" s="124">
        <v>400</v>
      </c>
      <c r="F122" s="124"/>
      <c r="G122" s="124">
        <v>695</v>
      </c>
      <c r="H122" s="124">
        <v>450</v>
      </c>
      <c r="I122" s="124">
        <v>30</v>
      </c>
      <c r="J122" s="124">
        <v>30</v>
      </c>
      <c r="K122" s="124"/>
      <c r="L122" s="124">
        <v>20</v>
      </c>
      <c r="M122" s="126"/>
      <c r="N12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ANL人民币费用20GP：订舱400，THC695，文件450/票，设备管理30，封志30，VGM20</v>
      </c>
    </row>
    <row r="123" spans="1:15" ht="42.75" hidden="1" x14ac:dyDescent="0.15">
      <c r="A123" s="126" t="s">
        <v>434</v>
      </c>
      <c r="B123" s="123" t="s">
        <v>5017</v>
      </c>
      <c r="C123" s="124">
        <f>SUM(RMB[[#This Row],[箱型]:[VGM]])</f>
        <v>2200</v>
      </c>
      <c r="D123" s="123" t="s">
        <v>436</v>
      </c>
      <c r="E123" s="124">
        <v>630</v>
      </c>
      <c r="F123" s="124"/>
      <c r="G123" s="124">
        <v>1040</v>
      </c>
      <c r="H123" s="124">
        <v>450</v>
      </c>
      <c r="I123" s="124">
        <v>30</v>
      </c>
      <c r="J123" s="124">
        <v>30</v>
      </c>
      <c r="K123" s="124"/>
      <c r="L123" s="124">
        <v>20</v>
      </c>
      <c r="M123" s="126"/>
      <c r="N12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ANL人民币费用40GP：订舱630，THC1040，文件450/票，设备管理30，封志30，VGM20</v>
      </c>
    </row>
    <row r="124" spans="1:15" ht="42.75" hidden="1" x14ac:dyDescent="0.15">
      <c r="A124" s="126" t="s">
        <v>434</v>
      </c>
      <c r="B124" s="123" t="s">
        <v>5017</v>
      </c>
      <c r="C124" s="124">
        <f>SUM(RMB[[#This Row],[箱型]:[VGM]])</f>
        <v>2200</v>
      </c>
      <c r="D124" s="123" t="s">
        <v>437</v>
      </c>
      <c r="E124" s="124">
        <v>630</v>
      </c>
      <c r="F124" s="124"/>
      <c r="G124" s="124">
        <v>1040</v>
      </c>
      <c r="H124" s="124">
        <v>450</v>
      </c>
      <c r="I124" s="124">
        <v>30</v>
      </c>
      <c r="J124" s="124">
        <v>30</v>
      </c>
      <c r="K124" s="124"/>
      <c r="L124" s="124">
        <v>20</v>
      </c>
      <c r="M124" s="126"/>
      <c r="N12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ANL人民币费用40HC：订舱630，THC1040，文件450/票，设备管理30，封志30，VGM20</v>
      </c>
    </row>
    <row r="125" spans="1:15" ht="42.75" hidden="1" x14ac:dyDescent="0.15">
      <c r="A125" s="126" t="s">
        <v>434</v>
      </c>
      <c r="B125" s="123" t="s">
        <v>5017</v>
      </c>
      <c r="C125" s="124">
        <f>SUM(RMB[[#This Row],[箱型]:[VGM]])</f>
        <v>2490</v>
      </c>
      <c r="D125" s="123" t="s">
        <v>438</v>
      </c>
      <c r="E125" s="124">
        <v>680</v>
      </c>
      <c r="F125" s="124"/>
      <c r="G125" s="124">
        <v>1280</v>
      </c>
      <c r="H125" s="124">
        <v>450</v>
      </c>
      <c r="I125" s="124">
        <v>30</v>
      </c>
      <c r="J125" s="124">
        <v>30</v>
      </c>
      <c r="K125" s="124"/>
      <c r="L125" s="124">
        <v>20</v>
      </c>
      <c r="M125" s="126"/>
      <c r="N12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ANL人民币费用45HC：订舱680，THC1280，文件450/票，设备管理30，封志30，VGM20</v>
      </c>
    </row>
    <row r="126" spans="1:15" ht="42.75" hidden="1" x14ac:dyDescent="0.15">
      <c r="A126" s="126" t="s">
        <v>439</v>
      </c>
      <c r="B126" s="123" t="s">
        <v>5017</v>
      </c>
      <c r="C126" s="124">
        <f>SUM(RMB[[#This Row],[箱型]:[VGM]])</f>
        <v>1580</v>
      </c>
      <c r="D126" s="123" t="s">
        <v>435</v>
      </c>
      <c r="E126" s="124">
        <v>315</v>
      </c>
      <c r="F126" s="124">
        <v>20</v>
      </c>
      <c r="G126" s="124">
        <v>695</v>
      </c>
      <c r="H126" s="124">
        <v>450</v>
      </c>
      <c r="I126" s="124">
        <v>50</v>
      </c>
      <c r="J126" s="124"/>
      <c r="K126" s="124">
        <v>30</v>
      </c>
      <c r="L126" s="124">
        <v>20</v>
      </c>
      <c r="M126" s="126"/>
      <c r="N12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APL人民币费用20GP：订舱315，THC695，安保20，文件450/票，封志50，放单30，VGM20</v>
      </c>
      <c r="O126" s="123" t="s">
        <v>3234</v>
      </c>
    </row>
    <row r="127" spans="1:15" ht="42.75" hidden="1" x14ac:dyDescent="0.15">
      <c r="A127" s="126" t="s">
        <v>439</v>
      </c>
      <c r="B127" s="123" t="s">
        <v>5017</v>
      </c>
      <c r="C127" s="124">
        <f>SUM(RMB[[#This Row],[箱型]:[VGM]])</f>
        <v>2140</v>
      </c>
      <c r="D127" s="123" t="s">
        <v>436</v>
      </c>
      <c r="E127" s="124">
        <v>520</v>
      </c>
      <c r="F127" s="124">
        <v>30</v>
      </c>
      <c r="G127" s="124">
        <v>1040</v>
      </c>
      <c r="H127" s="124">
        <v>450</v>
      </c>
      <c r="I127" s="124">
        <v>50</v>
      </c>
      <c r="J127" s="124"/>
      <c r="K127" s="124">
        <v>30</v>
      </c>
      <c r="L127" s="124">
        <v>20</v>
      </c>
      <c r="M127" s="126"/>
      <c r="N12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APL人民币费用40GP：订舱520，THC1040，安保30，文件450/票，封志50，放单30，VGM20</v>
      </c>
      <c r="O127" s="123" t="s">
        <v>3234</v>
      </c>
    </row>
    <row r="128" spans="1:15" ht="42.75" hidden="1" x14ac:dyDescent="0.15">
      <c r="A128" s="126" t="s">
        <v>439</v>
      </c>
      <c r="B128" s="123" t="s">
        <v>5017</v>
      </c>
      <c r="C128" s="124">
        <f>SUM(RMB[[#This Row],[箱型]:[VGM]])</f>
        <v>2140</v>
      </c>
      <c r="D128" s="123" t="s">
        <v>437</v>
      </c>
      <c r="E128" s="124">
        <v>520</v>
      </c>
      <c r="F128" s="124">
        <v>30</v>
      </c>
      <c r="G128" s="124">
        <v>1040</v>
      </c>
      <c r="H128" s="124">
        <v>450</v>
      </c>
      <c r="I128" s="124">
        <v>50</v>
      </c>
      <c r="J128" s="124"/>
      <c r="K128" s="124">
        <v>30</v>
      </c>
      <c r="L128" s="124">
        <v>20</v>
      </c>
      <c r="M128" s="126"/>
      <c r="N12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APL人民币费用40HC：订舱520，THC1040，安保30，文件450/票，封志50，放单30，VGM20</v>
      </c>
      <c r="O128" s="123" t="s">
        <v>3234</v>
      </c>
    </row>
    <row r="129" spans="1:15" ht="42.75" hidden="1" x14ac:dyDescent="0.15">
      <c r="A129" s="126" t="s">
        <v>439</v>
      </c>
      <c r="B129" s="123" t="s">
        <v>5017</v>
      </c>
      <c r="C129" s="124">
        <f>SUM(RMB[[#This Row],[箱型]:[VGM]])</f>
        <v>1860</v>
      </c>
      <c r="D129" s="123" t="s">
        <v>438</v>
      </c>
      <c r="E129" s="124"/>
      <c r="F129" s="124">
        <v>30</v>
      </c>
      <c r="G129" s="124">
        <v>1280</v>
      </c>
      <c r="H129" s="124">
        <v>450</v>
      </c>
      <c r="I129" s="124">
        <v>50</v>
      </c>
      <c r="J129" s="124"/>
      <c r="K129" s="124">
        <v>30</v>
      </c>
      <c r="L129" s="124">
        <v>20</v>
      </c>
      <c r="M129" s="126"/>
      <c r="N12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APL人民币费用45HC：THC1280，安保30，文件450/票，封志50，放单30，VGM20</v>
      </c>
      <c r="O129" s="123" t="s">
        <v>3234</v>
      </c>
    </row>
    <row r="130" spans="1:15" ht="42.75" hidden="1" x14ac:dyDescent="0.15">
      <c r="A130" s="126" t="s">
        <v>373</v>
      </c>
      <c r="B130" s="123" t="s">
        <v>5017</v>
      </c>
      <c r="C130" s="124">
        <f>SUM(RMB[[#This Row],[箱型]:[VGM]])</f>
        <v>1585</v>
      </c>
      <c r="D130" s="123" t="s">
        <v>435</v>
      </c>
      <c r="E130" s="124">
        <v>310</v>
      </c>
      <c r="F130" s="124"/>
      <c r="G130" s="124">
        <v>695</v>
      </c>
      <c r="H130" s="124">
        <v>450</v>
      </c>
      <c r="I130" s="124">
        <v>50</v>
      </c>
      <c r="J130" s="124">
        <v>30</v>
      </c>
      <c r="K130" s="124">
        <v>30</v>
      </c>
      <c r="L130" s="124">
        <v>20</v>
      </c>
      <c r="M130" s="126"/>
      <c r="N13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CMA人民币费用20GP：订舱310，THC695，文件450/票，设备管理30，封志50，放单30，VGM20</v>
      </c>
      <c r="O130" s="123" t="s">
        <v>5020</v>
      </c>
    </row>
    <row r="131" spans="1:15" ht="42.75" hidden="1" x14ac:dyDescent="0.15">
      <c r="A131" s="126" t="s">
        <v>373</v>
      </c>
      <c r="B131" s="123" t="s">
        <v>5017</v>
      </c>
      <c r="C131" s="124">
        <f>SUM(RMB[[#This Row],[箱型]:[VGM]])</f>
        <v>2135</v>
      </c>
      <c r="D131" s="123" t="s">
        <v>436</v>
      </c>
      <c r="E131" s="124">
        <v>515</v>
      </c>
      <c r="F131" s="124"/>
      <c r="G131" s="124">
        <v>1040</v>
      </c>
      <c r="H131" s="124">
        <v>450</v>
      </c>
      <c r="I131" s="124">
        <v>50</v>
      </c>
      <c r="J131" s="124">
        <v>30</v>
      </c>
      <c r="K131" s="124">
        <v>30</v>
      </c>
      <c r="L131" s="124">
        <v>20</v>
      </c>
      <c r="M131" s="126"/>
      <c r="N13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CMA人民币费用40GP：订舱515，THC1040，文件450/票，设备管理30，封志50，放单30，VGM20</v>
      </c>
      <c r="O131" s="123" t="s">
        <v>5020</v>
      </c>
    </row>
    <row r="132" spans="1:15" ht="42.75" hidden="1" x14ac:dyDescent="0.15">
      <c r="A132" s="126" t="s">
        <v>373</v>
      </c>
      <c r="B132" s="123" t="s">
        <v>5017</v>
      </c>
      <c r="C132" s="124">
        <f>SUM(RMB[[#This Row],[箱型]:[VGM]])</f>
        <v>2135</v>
      </c>
      <c r="D132" s="123" t="s">
        <v>437</v>
      </c>
      <c r="E132" s="124">
        <v>515</v>
      </c>
      <c r="F132" s="124"/>
      <c r="G132" s="124">
        <v>1040</v>
      </c>
      <c r="H132" s="124">
        <v>450</v>
      </c>
      <c r="I132" s="124">
        <v>50</v>
      </c>
      <c r="J132" s="124">
        <v>30</v>
      </c>
      <c r="K132" s="124">
        <v>30</v>
      </c>
      <c r="L132" s="124">
        <v>20</v>
      </c>
      <c r="M132" s="126"/>
      <c r="N13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CMA人民币费用40HC：订舱515，THC1040，文件450/票，设备管理30，封志50，放单30，VGM20</v>
      </c>
      <c r="O132" s="123" t="s">
        <v>5020</v>
      </c>
    </row>
    <row r="133" spans="1:15" ht="42.75" hidden="1" x14ac:dyDescent="0.15">
      <c r="A133" s="126" t="s">
        <v>373</v>
      </c>
      <c r="B133" s="123" t="s">
        <v>5017</v>
      </c>
      <c r="C133" s="124">
        <f>SUM(RMB[[#This Row],[箱型]:[VGM]])</f>
        <v>1830</v>
      </c>
      <c r="D133" s="123" t="s">
        <v>438</v>
      </c>
      <c r="E133" s="124"/>
      <c r="F133" s="124"/>
      <c r="G133" s="124">
        <v>1280</v>
      </c>
      <c r="H133" s="124">
        <v>450</v>
      </c>
      <c r="I133" s="124">
        <v>50</v>
      </c>
      <c r="J133" s="124">
        <v>30</v>
      </c>
      <c r="K133" s="124"/>
      <c r="L133" s="124">
        <v>20</v>
      </c>
      <c r="M133" s="126"/>
      <c r="N13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CMA人民币费用45HC：THC1280，文件450/票，设备管理30，封志50，VGM20</v>
      </c>
      <c r="O133" s="123" t="s">
        <v>5020</v>
      </c>
    </row>
    <row r="134" spans="1:15" ht="42.75" hidden="1" x14ac:dyDescent="0.15">
      <c r="A134" s="126" t="s">
        <v>440</v>
      </c>
      <c r="B134" s="123" t="s">
        <v>5017</v>
      </c>
      <c r="C134" s="124">
        <f>SUM(RMB[[#This Row],[箱型]:[VGM]])</f>
        <v>1525</v>
      </c>
      <c r="D134" s="123" t="s">
        <v>435</v>
      </c>
      <c r="E134" s="125">
        <v>310</v>
      </c>
      <c r="F134" s="125">
        <v>20</v>
      </c>
      <c r="G134" s="124">
        <v>695</v>
      </c>
      <c r="H134" s="125">
        <v>450</v>
      </c>
      <c r="I134" s="124">
        <v>30</v>
      </c>
      <c r="J134" s="124"/>
      <c r="K134" s="124"/>
      <c r="L134" s="124">
        <v>20</v>
      </c>
      <c r="M134" s="126"/>
      <c r="N13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CNC人民币费用20GP：订舱310，THC695，安保20，文件450/票，封志30，VGM20</v>
      </c>
      <c r="O134" s="123" t="s">
        <v>3221</v>
      </c>
    </row>
    <row r="135" spans="1:15" ht="42.75" hidden="1" x14ac:dyDescent="0.15">
      <c r="A135" s="126" t="s">
        <v>440</v>
      </c>
      <c r="B135" s="123" t="s">
        <v>5017</v>
      </c>
      <c r="C135" s="124">
        <f>SUM(RMB[[#This Row],[箱型]:[VGM]])</f>
        <v>2080</v>
      </c>
      <c r="D135" s="123" t="s">
        <v>436</v>
      </c>
      <c r="E135" s="124">
        <v>510</v>
      </c>
      <c r="F135" s="124">
        <v>30</v>
      </c>
      <c r="G135" s="124">
        <v>1040</v>
      </c>
      <c r="H135" s="124">
        <v>450</v>
      </c>
      <c r="I135" s="124">
        <v>30</v>
      </c>
      <c r="J135" s="124"/>
      <c r="K135" s="124"/>
      <c r="L135" s="124">
        <v>20</v>
      </c>
      <c r="M135" s="126"/>
      <c r="N13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CNC人民币费用40GP：订舱510，THC1040，安保30，文件450/票，封志30，VGM20</v>
      </c>
      <c r="O135" s="123" t="s">
        <v>3221</v>
      </c>
    </row>
    <row r="136" spans="1:15" ht="42.75" hidden="1" x14ac:dyDescent="0.15">
      <c r="A136" s="126" t="s">
        <v>440</v>
      </c>
      <c r="B136" s="123" t="s">
        <v>5017</v>
      </c>
      <c r="C136" s="124">
        <f>SUM(RMB[[#This Row],[箱型]:[VGM]])</f>
        <v>2080</v>
      </c>
      <c r="D136" s="123" t="s">
        <v>437</v>
      </c>
      <c r="E136" s="124">
        <v>510</v>
      </c>
      <c r="F136" s="124">
        <v>30</v>
      </c>
      <c r="G136" s="124">
        <v>1040</v>
      </c>
      <c r="H136" s="124">
        <v>450</v>
      </c>
      <c r="I136" s="124">
        <v>30</v>
      </c>
      <c r="J136" s="124"/>
      <c r="K136" s="124"/>
      <c r="L136" s="124">
        <v>20</v>
      </c>
      <c r="M136" s="126"/>
      <c r="N13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CNC人民币费用40HC：订舱510，THC1040，安保30，文件450/票，封志30，VGM20</v>
      </c>
      <c r="O136" s="123" t="s">
        <v>3221</v>
      </c>
    </row>
    <row r="137" spans="1:15" ht="28.5" hidden="1" x14ac:dyDescent="0.15">
      <c r="A137" s="126" t="s">
        <v>440</v>
      </c>
      <c r="B137" s="123" t="s">
        <v>5017</v>
      </c>
      <c r="C137" s="124">
        <f>SUM(RMB[[#This Row],[箱型]:[VGM]])</f>
        <v>1040</v>
      </c>
      <c r="D137" s="123" t="s">
        <v>438</v>
      </c>
      <c r="E137" s="124">
        <v>510</v>
      </c>
      <c r="F137" s="124">
        <v>30</v>
      </c>
      <c r="G137" s="124"/>
      <c r="H137" s="124">
        <v>450</v>
      </c>
      <c r="I137" s="124">
        <v>30</v>
      </c>
      <c r="J137" s="124"/>
      <c r="K137" s="124"/>
      <c r="L137" s="124">
        <v>20</v>
      </c>
      <c r="M137" s="126"/>
      <c r="N13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CNC人民币费用45HC：订舱510，安保30，文件450/票，封志30，VGM20</v>
      </c>
      <c r="O137" s="123" t="s">
        <v>3221</v>
      </c>
    </row>
    <row r="138" spans="1:15" ht="42.75" hidden="1" x14ac:dyDescent="0.15">
      <c r="A138" s="126" t="s">
        <v>378</v>
      </c>
      <c r="B138" s="123" t="s">
        <v>5017</v>
      </c>
      <c r="C138" s="124">
        <f>SUM(RMB[[#This Row],[箱型]:[VGM]])</f>
        <v>1630</v>
      </c>
      <c r="D138" s="123" t="s">
        <v>435</v>
      </c>
      <c r="E138" s="124">
        <v>320</v>
      </c>
      <c r="F138" s="124">
        <v>20</v>
      </c>
      <c r="G138" s="124">
        <v>680</v>
      </c>
      <c r="H138" s="124">
        <v>500</v>
      </c>
      <c r="I138" s="124">
        <v>30</v>
      </c>
      <c r="J138" s="124">
        <v>30</v>
      </c>
      <c r="K138" s="124">
        <v>30</v>
      </c>
      <c r="L138" s="124">
        <v>20</v>
      </c>
      <c r="M138" s="126"/>
      <c r="N13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COSCO人民币费用20GP：订舱320，THC680，安保20，文件500/票，设备管理30，封志30，放单30，VGM20</v>
      </c>
      <c r="O138" s="123" t="s">
        <v>3223</v>
      </c>
    </row>
    <row r="139" spans="1:15" ht="42.75" hidden="1" x14ac:dyDescent="0.15">
      <c r="A139" s="126" t="s">
        <v>378</v>
      </c>
      <c r="B139" s="123" t="s">
        <v>5017</v>
      </c>
      <c r="C139" s="124">
        <f>SUM(RMB[[#This Row],[箱型]:[VGM]])</f>
        <v>2249</v>
      </c>
      <c r="D139" s="123" t="s">
        <v>436</v>
      </c>
      <c r="E139" s="124">
        <v>575</v>
      </c>
      <c r="F139" s="124">
        <v>30</v>
      </c>
      <c r="G139" s="124">
        <v>1034</v>
      </c>
      <c r="H139" s="124">
        <v>500</v>
      </c>
      <c r="I139" s="124">
        <v>30</v>
      </c>
      <c r="J139" s="124">
        <v>30</v>
      </c>
      <c r="K139" s="124">
        <v>30</v>
      </c>
      <c r="L139" s="124">
        <v>20</v>
      </c>
      <c r="M139" s="126"/>
      <c r="N13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COSCO人民币费用40GP：订舱575，THC1034，安保30，文件500/票，设备管理30，封志30，放单30，VGM20</v>
      </c>
      <c r="O139" s="123" t="s">
        <v>3223</v>
      </c>
    </row>
    <row r="140" spans="1:15" ht="42.75" hidden="1" x14ac:dyDescent="0.15">
      <c r="A140" s="126" t="s">
        <v>378</v>
      </c>
      <c r="B140" s="123" t="s">
        <v>5017</v>
      </c>
      <c r="C140" s="124">
        <f>SUM(RMB[[#This Row],[箱型]:[VGM]])</f>
        <v>2379</v>
      </c>
      <c r="D140" s="123" t="s">
        <v>437</v>
      </c>
      <c r="E140" s="124">
        <v>705</v>
      </c>
      <c r="F140" s="124">
        <v>30</v>
      </c>
      <c r="G140" s="124">
        <v>1034</v>
      </c>
      <c r="H140" s="124">
        <v>500</v>
      </c>
      <c r="I140" s="124">
        <v>30</v>
      </c>
      <c r="J140" s="124">
        <v>30</v>
      </c>
      <c r="K140" s="124">
        <v>30</v>
      </c>
      <c r="L140" s="124">
        <v>20</v>
      </c>
      <c r="M140" s="126"/>
      <c r="N14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COSCO人民币费用40HC：订舱705，THC1034，安保30，文件500/票，设备管理30，封志30，放单30，VGM20</v>
      </c>
      <c r="O140" s="123" t="s">
        <v>3223</v>
      </c>
    </row>
    <row r="141" spans="1:15" ht="42.75" hidden="1" x14ac:dyDescent="0.15">
      <c r="A141" s="126" t="s">
        <v>378</v>
      </c>
      <c r="B141" s="123" t="s">
        <v>5017</v>
      </c>
      <c r="C141" s="124">
        <f>SUM(RMB[[#This Row],[箱型]:[VGM]])</f>
        <v>2843</v>
      </c>
      <c r="D141" s="123" t="s">
        <v>438</v>
      </c>
      <c r="E141" s="124">
        <v>755</v>
      </c>
      <c r="F141" s="124">
        <v>30</v>
      </c>
      <c r="G141" s="124">
        <v>1448</v>
      </c>
      <c r="H141" s="124">
        <v>500</v>
      </c>
      <c r="I141" s="124">
        <v>30</v>
      </c>
      <c r="J141" s="124">
        <v>30</v>
      </c>
      <c r="K141" s="124">
        <v>30</v>
      </c>
      <c r="L141" s="124">
        <v>20</v>
      </c>
      <c r="M141" s="126"/>
      <c r="N14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COSCO人民币费用45HC：订舱755，THC1448，安保30，文件500/票，设备管理30，封志30，放单30，VGM20</v>
      </c>
      <c r="O141" s="123" t="s">
        <v>3223</v>
      </c>
    </row>
    <row r="142" spans="1:15" ht="42.75" hidden="1" x14ac:dyDescent="0.15">
      <c r="A142" s="126" t="s">
        <v>379</v>
      </c>
      <c r="B142" s="123" t="s">
        <v>5017</v>
      </c>
      <c r="C142" s="124">
        <f>SUM(RMB[[#This Row],[箱型]:[VGM]])</f>
        <v>1526</v>
      </c>
      <c r="D142" s="123" t="s">
        <v>435</v>
      </c>
      <c r="E142" s="124">
        <v>295</v>
      </c>
      <c r="F142" s="124">
        <v>20</v>
      </c>
      <c r="G142" s="124">
        <v>661</v>
      </c>
      <c r="H142" s="124">
        <v>450</v>
      </c>
      <c r="I142" s="124"/>
      <c r="J142" s="124">
        <v>80</v>
      </c>
      <c r="K142" s="124"/>
      <c r="L142" s="124">
        <v>20</v>
      </c>
      <c r="M142" s="126" t="s">
        <v>441</v>
      </c>
      <c r="N14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EMC人民币费用20GP：订舱295，THC661，安保20，文件450/票，设备管理80，VGM20</v>
      </c>
      <c r="O142" s="123" t="s">
        <v>3226</v>
      </c>
    </row>
    <row r="143" spans="1:15" ht="42.75" hidden="1" x14ac:dyDescent="0.15">
      <c r="A143" s="126" t="s">
        <v>379</v>
      </c>
      <c r="B143" s="123" t="s">
        <v>5017</v>
      </c>
      <c r="C143" s="124">
        <f>SUM(RMB[[#This Row],[箱型]:[VGM]])</f>
        <v>2062</v>
      </c>
      <c r="D143" s="123" t="s">
        <v>436</v>
      </c>
      <c r="E143" s="124">
        <v>490</v>
      </c>
      <c r="F143" s="124">
        <v>30</v>
      </c>
      <c r="G143" s="124">
        <v>992</v>
      </c>
      <c r="H143" s="124">
        <v>450</v>
      </c>
      <c r="I143" s="124"/>
      <c r="J143" s="124">
        <v>80</v>
      </c>
      <c r="K143" s="124"/>
      <c r="L143" s="124">
        <v>20</v>
      </c>
      <c r="M143" s="126" t="s">
        <v>441</v>
      </c>
      <c r="N14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EMC人民币费用40GP：订舱490，THC992，安保30，文件450/票，设备管理80，VGM20</v>
      </c>
      <c r="O143" s="123" t="s">
        <v>3226</v>
      </c>
    </row>
    <row r="144" spans="1:15" ht="42.75" hidden="1" x14ac:dyDescent="0.15">
      <c r="A144" s="126" t="s">
        <v>379</v>
      </c>
      <c r="B144" s="123" t="s">
        <v>5017</v>
      </c>
      <c r="C144" s="124">
        <f>SUM(RMB[[#This Row],[箱型]:[VGM]])</f>
        <v>2062</v>
      </c>
      <c r="D144" s="123" t="s">
        <v>437</v>
      </c>
      <c r="E144" s="124">
        <v>490</v>
      </c>
      <c r="F144" s="124">
        <v>30</v>
      </c>
      <c r="G144" s="124">
        <v>992</v>
      </c>
      <c r="H144" s="124">
        <v>450</v>
      </c>
      <c r="I144" s="124"/>
      <c r="J144" s="124">
        <v>80</v>
      </c>
      <c r="K144" s="124"/>
      <c r="L144" s="124">
        <v>20</v>
      </c>
      <c r="M144" s="126" t="s">
        <v>441</v>
      </c>
      <c r="N14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EMC人民币费用40HC：订舱490，THC992，安保30，文件450/票，设备管理80，VGM20</v>
      </c>
      <c r="O144" s="123" t="s">
        <v>3226</v>
      </c>
    </row>
    <row r="145" spans="1:15" ht="42.75" hidden="1" x14ac:dyDescent="0.15">
      <c r="A145" s="126" t="s">
        <v>379</v>
      </c>
      <c r="B145" s="123" t="s">
        <v>5017</v>
      </c>
      <c r="C145" s="124">
        <f>SUM(RMB[[#This Row],[箱型]:[VGM]])</f>
        <v>1902</v>
      </c>
      <c r="D145" s="123" t="s">
        <v>438</v>
      </c>
      <c r="E145" s="124"/>
      <c r="F145" s="124">
        <v>30</v>
      </c>
      <c r="G145" s="124">
        <v>1322</v>
      </c>
      <c r="H145" s="124">
        <v>450</v>
      </c>
      <c r="I145" s="124"/>
      <c r="J145" s="124">
        <v>80</v>
      </c>
      <c r="K145" s="124"/>
      <c r="L145" s="124">
        <v>20</v>
      </c>
      <c r="M145" s="126" t="s">
        <v>441</v>
      </c>
      <c r="N14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EMC人民币费用45HC：THC1322，安保30，文件450/票，设备管理80，VGM20</v>
      </c>
      <c r="O145" s="123" t="s">
        <v>3226</v>
      </c>
    </row>
    <row r="146" spans="1:15" ht="42.75" hidden="1" x14ac:dyDescent="0.15">
      <c r="A146" s="126" t="s">
        <v>379</v>
      </c>
      <c r="B146" s="123" t="s">
        <v>5017</v>
      </c>
      <c r="C146" s="124">
        <f>SUM(RMB[[#This Row],[箱型]:[VGM]])</f>
        <v>1655</v>
      </c>
      <c r="D146" s="123" t="s">
        <v>435</v>
      </c>
      <c r="E146" s="124">
        <v>295</v>
      </c>
      <c r="F146" s="124">
        <v>20</v>
      </c>
      <c r="G146" s="124">
        <v>790</v>
      </c>
      <c r="H146" s="124">
        <v>450</v>
      </c>
      <c r="I146" s="124"/>
      <c r="J146" s="124">
        <v>80</v>
      </c>
      <c r="K146" s="124"/>
      <c r="L146" s="124">
        <v>20</v>
      </c>
      <c r="M146" s="126" t="s">
        <v>442</v>
      </c>
      <c r="N14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EMC人民币费用20GP：订舱295，THC790，安保20，文件450/票，设备管理80，VGM20</v>
      </c>
      <c r="O146" s="123" t="s">
        <v>3226</v>
      </c>
    </row>
    <row r="147" spans="1:15" ht="42.75" hidden="1" x14ac:dyDescent="0.15">
      <c r="A147" s="126" t="s">
        <v>379</v>
      </c>
      <c r="B147" s="123" t="s">
        <v>5017</v>
      </c>
      <c r="C147" s="124">
        <f>SUM(RMB[[#This Row],[箱型]:[VGM]])</f>
        <v>2255</v>
      </c>
      <c r="D147" s="123" t="s">
        <v>436</v>
      </c>
      <c r="E147" s="124">
        <v>490</v>
      </c>
      <c r="F147" s="124">
        <v>30</v>
      </c>
      <c r="G147" s="124">
        <v>1185</v>
      </c>
      <c r="H147" s="124">
        <v>450</v>
      </c>
      <c r="I147" s="124"/>
      <c r="J147" s="124">
        <v>80</v>
      </c>
      <c r="K147" s="124"/>
      <c r="L147" s="124">
        <v>20</v>
      </c>
      <c r="M147" s="126" t="s">
        <v>442</v>
      </c>
      <c r="N14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EMC人民币费用40GP：订舱490，THC1185，安保30，文件450/票，设备管理80，VGM20</v>
      </c>
      <c r="O147" s="123" t="s">
        <v>3226</v>
      </c>
    </row>
    <row r="148" spans="1:15" ht="42.75" hidden="1" x14ac:dyDescent="0.15">
      <c r="A148" s="126" t="s">
        <v>379</v>
      </c>
      <c r="B148" s="123" t="s">
        <v>5017</v>
      </c>
      <c r="C148" s="124">
        <f>SUM(RMB[[#This Row],[箱型]:[VGM]])</f>
        <v>2255</v>
      </c>
      <c r="D148" s="123" t="s">
        <v>437</v>
      </c>
      <c r="E148" s="124">
        <v>490</v>
      </c>
      <c r="F148" s="124">
        <v>30</v>
      </c>
      <c r="G148" s="124">
        <v>1185</v>
      </c>
      <c r="H148" s="124">
        <v>450</v>
      </c>
      <c r="I148" s="124"/>
      <c r="J148" s="124">
        <v>80</v>
      </c>
      <c r="K148" s="124"/>
      <c r="L148" s="124">
        <v>20</v>
      </c>
      <c r="M148" s="126" t="s">
        <v>442</v>
      </c>
      <c r="N14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EMC人民币费用40HC：订舱490，THC1185，安保30，文件450/票，设备管理80，VGM20</v>
      </c>
      <c r="O148" s="123" t="s">
        <v>3226</v>
      </c>
    </row>
    <row r="149" spans="1:15" ht="42.75" hidden="1" x14ac:dyDescent="0.15">
      <c r="A149" s="126" t="s">
        <v>379</v>
      </c>
      <c r="B149" s="123" t="s">
        <v>5017</v>
      </c>
      <c r="C149" s="124">
        <f>SUM(RMB[[#This Row],[箱型]:[VGM]])</f>
        <v>2215</v>
      </c>
      <c r="D149" s="123" t="s">
        <v>438</v>
      </c>
      <c r="E149" s="124"/>
      <c r="F149" s="124">
        <v>30</v>
      </c>
      <c r="G149" s="124">
        <v>1635</v>
      </c>
      <c r="H149" s="124">
        <v>450</v>
      </c>
      <c r="I149" s="124"/>
      <c r="J149" s="124">
        <v>80</v>
      </c>
      <c r="K149" s="124"/>
      <c r="L149" s="124">
        <v>20</v>
      </c>
      <c r="M149" s="126" t="s">
        <v>442</v>
      </c>
      <c r="N14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EMC人民币费用45HC：THC1635，安保30，文件450/票，设备管理80，VGM20</v>
      </c>
      <c r="O149" s="123" t="s">
        <v>3226</v>
      </c>
    </row>
    <row r="150" spans="1:15" ht="42.75" hidden="1" x14ac:dyDescent="0.15">
      <c r="A150" s="126" t="s">
        <v>380</v>
      </c>
      <c r="B150" s="123" t="s">
        <v>5017</v>
      </c>
      <c r="C150" s="124">
        <f>SUM(RMB[[#This Row],[箱型]:[VGM]])</f>
        <v>1564</v>
      </c>
      <c r="D150" s="123" t="s">
        <v>435</v>
      </c>
      <c r="E150" s="124">
        <v>345</v>
      </c>
      <c r="F150" s="124">
        <v>20</v>
      </c>
      <c r="G150" s="124">
        <v>689</v>
      </c>
      <c r="H150" s="124">
        <v>450</v>
      </c>
      <c r="I150" s="124">
        <v>40</v>
      </c>
      <c r="J150" s="124"/>
      <c r="K150" s="124"/>
      <c r="L150" s="124">
        <v>20</v>
      </c>
      <c r="M150" s="126"/>
      <c r="N15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EMI人民币费用20GP：订舱345，THC689，安保20，文件450/票，封志40，VGM20</v>
      </c>
      <c r="O150" s="123" t="s">
        <v>3222</v>
      </c>
    </row>
    <row r="151" spans="1:15" ht="42.75" hidden="1" x14ac:dyDescent="0.15">
      <c r="A151" s="126" t="s">
        <v>380</v>
      </c>
      <c r="B151" s="123" t="s">
        <v>5017</v>
      </c>
      <c r="C151" s="124">
        <f>SUM(RMB[[#This Row],[箱型]:[VGM]])</f>
        <v>2086</v>
      </c>
      <c r="D151" s="123" t="s">
        <v>436</v>
      </c>
      <c r="E151" s="124">
        <v>540</v>
      </c>
      <c r="F151" s="124">
        <v>30</v>
      </c>
      <c r="G151" s="124">
        <v>1006</v>
      </c>
      <c r="H151" s="124">
        <v>450</v>
      </c>
      <c r="I151" s="124">
        <v>40</v>
      </c>
      <c r="J151" s="124"/>
      <c r="K151" s="124"/>
      <c r="L151" s="124">
        <v>20</v>
      </c>
      <c r="M151" s="126"/>
      <c r="N15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EMI人民币费用40GP：订舱540，THC1006，安保30，文件450/票，封志40，VGM20</v>
      </c>
      <c r="O151" s="123" t="s">
        <v>3222</v>
      </c>
    </row>
    <row r="152" spans="1:15" ht="42.75" hidden="1" x14ac:dyDescent="0.15">
      <c r="A152" s="126" t="s">
        <v>380</v>
      </c>
      <c r="B152" s="123" t="s">
        <v>5017</v>
      </c>
      <c r="C152" s="124">
        <f>SUM(RMB[[#This Row],[箱型]:[VGM]])</f>
        <v>2086</v>
      </c>
      <c r="D152" s="123" t="s">
        <v>437</v>
      </c>
      <c r="E152" s="124">
        <v>540</v>
      </c>
      <c r="F152" s="124">
        <v>30</v>
      </c>
      <c r="G152" s="124">
        <v>1006</v>
      </c>
      <c r="H152" s="124">
        <v>450</v>
      </c>
      <c r="I152" s="124">
        <v>40</v>
      </c>
      <c r="J152" s="124"/>
      <c r="K152" s="124"/>
      <c r="L152" s="124">
        <v>20</v>
      </c>
      <c r="M152" s="126"/>
      <c r="N15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EMI人民币费用40HC：订舱540，THC1006，安保30，文件450/票，封志40，VGM20</v>
      </c>
      <c r="O152" s="123" t="s">
        <v>3222</v>
      </c>
    </row>
    <row r="153" spans="1:15" ht="28.5" hidden="1" x14ac:dyDescent="0.15">
      <c r="A153" s="126" t="s">
        <v>380</v>
      </c>
      <c r="B153" s="123" t="s">
        <v>5017</v>
      </c>
      <c r="C153" s="124">
        <f>SUM(RMB[[#This Row],[箱型]:[VGM]])</f>
        <v>1180</v>
      </c>
      <c r="D153" s="123" t="s">
        <v>438</v>
      </c>
      <c r="E153" s="124">
        <v>640</v>
      </c>
      <c r="F153" s="124">
        <v>30</v>
      </c>
      <c r="G153" s="124"/>
      <c r="H153" s="124">
        <v>450</v>
      </c>
      <c r="I153" s="124">
        <v>40</v>
      </c>
      <c r="J153" s="124"/>
      <c r="K153" s="124"/>
      <c r="L153" s="124">
        <v>20</v>
      </c>
      <c r="M153" s="126"/>
      <c r="N15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EMI人民币费用45HC：订舱640，安保30，文件450/票，封志40，VGM20</v>
      </c>
      <c r="O153" s="123" t="s">
        <v>3222</v>
      </c>
    </row>
    <row r="154" spans="1:15" ht="42.75" hidden="1" x14ac:dyDescent="0.15">
      <c r="A154" s="126" t="s">
        <v>382</v>
      </c>
      <c r="B154" s="123" t="s">
        <v>5017</v>
      </c>
      <c r="C154" s="124">
        <f>SUM(RMB[[#This Row],[箱型]:[VGM]])</f>
        <v>1580</v>
      </c>
      <c r="D154" s="123" t="s">
        <v>435</v>
      </c>
      <c r="E154" s="124">
        <v>280</v>
      </c>
      <c r="F154" s="124">
        <v>20</v>
      </c>
      <c r="G154" s="124">
        <v>750</v>
      </c>
      <c r="H154" s="124">
        <v>450</v>
      </c>
      <c r="I154" s="124"/>
      <c r="J154" s="124">
        <v>60</v>
      </c>
      <c r="K154" s="124"/>
      <c r="L154" s="124">
        <v>20</v>
      </c>
      <c r="M154" s="126" t="s">
        <v>443</v>
      </c>
      <c r="N15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HBS人民币费用20GP：订舱280，THC750，安保20，文件450/票，设备管理60，VGM20</v>
      </c>
    </row>
    <row r="155" spans="1:15" ht="42.75" hidden="1" x14ac:dyDescent="0.15">
      <c r="A155" s="126" t="s">
        <v>382</v>
      </c>
      <c r="B155" s="123" t="s">
        <v>5017</v>
      </c>
      <c r="C155" s="124">
        <f>SUM(RMB[[#This Row],[箱型]:[VGM]])</f>
        <v>2126</v>
      </c>
      <c r="D155" s="123" t="s">
        <v>436</v>
      </c>
      <c r="E155" s="124">
        <v>460</v>
      </c>
      <c r="F155" s="124">
        <v>30</v>
      </c>
      <c r="G155" s="124">
        <v>1106</v>
      </c>
      <c r="H155" s="124">
        <v>450</v>
      </c>
      <c r="I155" s="124"/>
      <c r="J155" s="124">
        <v>60</v>
      </c>
      <c r="K155" s="124"/>
      <c r="L155" s="124">
        <v>20</v>
      </c>
      <c r="M155" s="126" t="s">
        <v>443</v>
      </c>
      <c r="N15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HBS人民币费用40GP：订舱460，THC1106，安保30，文件450/票，设备管理60，VGM20</v>
      </c>
    </row>
    <row r="156" spans="1:15" ht="42.75" hidden="1" x14ac:dyDescent="0.15">
      <c r="A156" s="126" t="s">
        <v>382</v>
      </c>
      <c r="B156" s="123" t="s">
        <v>5017</v>
      </c>
      <c r="C156" s="124">
        <f>SUM(RMB[[#This Row],[箱型]:[VGM]])</f>
        <v>2126</v>
      </c>
      <c r="D156" s="123" t="s">
        <v>437</v>
      </c>
      <c r="E156" s="124">
        <v>460</v>
      </c>
      <c r="F156" s="124">
        <v>30</v>
      </c>
      <c r="G156" s="124">
        <v>1106</v>
      </c>
      <c r="H156" s="124">
        <v>450</v>
      </c>
      <c r="I156" s="124"/>
      <c r="J156" s="124">
        <v>60</v>
      </c>
      <c r="K156" s="124"/>
      <c r="L156" s="124">
        <v>20</v>
      </c>
      <c r="M156" s="126" t="s">
        <v>443</v>
      </c>
      <c r="N15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HBS人民币费用40HC：订舱460，THC1106，安保30，文件450/票，设备管理60，VGM20</v>
      </c>
    </row>
    <row r="157" spans="1:15" ht="28.5" hidden="1" x14ac:dyDescent="0.15">
      <c r="A157" s="126" t="s">
        <v>382</v>
      </c>
      <c r="B157" s="123" t="s">
        <v>5017</v>
      </c>
      <c r="C157" s="124">
        <f>SUM(RMB[[#This Row],[箱型]:[VGM]])</f>
        <v>560</v>
      </c>
      <c r="D157" s="123" t="s">
        <v>438</v>
      </c>
      <c r="E157" s="124"/>
      <c r="F157" s="124">
        <v>30</v>
      </c>
      <c r="G157" s="124"/>
      <c r="H157" s="124">
        <v>450</v>
      </c>
      <c r="I157" s="124"/>
      <c r="J157" s="124">
        <v>60</v>
      </c>
      <c r="K157" s="124"/>
      <c r="L157" s="124">
        <v>20</v>
      </c>
      <c r="M157" s="126" t="s">
        <v>443</v>
      </c>
      <c r="N15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HBS人民币费用45HC：安保30，文件450/票，设备管理60，VGM20</v>
      </c>
    </row>
    <row r="158" spans="1:15" ht="42.75" hidden="1" x14ac:dyDescent="0.15">
      <c r="A158" s="126" t="s">
        <v>444</v>
      </c>
      <c r="B158" s="123" t="s">
        <v>5017</v>
      </c>
      <c r="C158" s="124">
        <f>SUM(RMB[[#This Row],[箱型]:[VGM]])</f>
        <v>1480</v>
      </c>
      <c r="D158" s="123" t="s">
        <v>435</v>
      </c>
      <c r="E158" s="124">
        <v>325</v>
      </c>
      <c r="F158" s="124">
        <v>20</v>
      </c>
      <c r="G158" s="124">
        <v>665</v>
      </c>
      <c r="H158" s="124">
        <v>450</v>
      </c>
      <c r="I158" s="124"/>
      <c r="J158" s="124"/>
      <c r="K158" s="124"/>
      <c r="L158" s="124">
        <v>20</v>
      </c>
      <c r="M158" s="126"/>
      <c r="N15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HMM人民币费用20GP：订舱325，THC665，安保20，文件450/票，VGM20</v>
      </c>
      <c r="O158" s="123" t="s">
        <v>3238</v>
      </c>
    </row>
    <row r="159" spans="1:15" ht="42.75" hidden="1" x14ac:dyDescent="0.15">
      <c r="A159" s="126" t="s">
        <v>444</v>
      </c>
      <c r="B159" s="123" t="s">
        <v>5017</v>
      </c>
      <c r="C159" s="124">
        <f>SUM(RMB[[#This Row],[箱型]:[VGM]])</f>
        <v>2037</v>
      </c>
      <c r="D159" s="123" t="s">
        <v>436</v>
      </c>
      <c r="E159" s="124">
        <v>540</v>
      </c>
      <c r="F159" s="124">
        <v>30</v>
      </c>
      <c r="G159" s="124">
        <v>997</v>
      </c>
      <c r="H159" s="124">
        <v>450</v>
      </c>
      <c r="I159" s="124"/>
      <c r="J159" s="124"/>
      <c r="K159" s="124"/>
      <c r="L159" s="124">
        <v>20</v>
      </c>
      <c r="M159" s="126"/>
      <c r="N15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HMM人民币费用40GP：订舱540，THC997，安保30，文件450/票，VGM20</v>
      </c>
      <c r="O159" s="123" t="s">
        <v>3238</v>
      </c>
    </row>
    <row r="160" spans="1:15" ht="42.75" hidden="1" x14ac:dyDescent="0.15">
      <c r="A160" s="126" t="s">
        <v>444</v>
      </c>
      <c r="B160" s="123" t="s">
        <v>5017</v>
      </c>
      <c r="C160" s="124">
        <f>SUM(RMB[[#This Row],[箱型]:[VGM]])</f>
        <v>2037</v>
      </c>
      <c r="D160" s="123" t="s">
        <v>437</v>
      </c>
      <c r="E160" s="124">
        <v>540</v>
      </c>
      <c r="F160" s="124">
        <v>30</v>
      </c>
      <c r="G160" s="124">
        <v>997</v>
      </c>
      <c r="H160" s="124">
        <v>450</v>
      </c>
      <c r="I160" s="124"/>
      <c r="J160" s="124"/>
      <c r="K160" s="124"/>
      <c r="L160" s="124">
        <v>20</v>
      </c>
      <c r="M160" s="126"/>
      <c r="N16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HMM人民币费用40HC：订舱540，THC997，安保30，文件450/票，VGM20</v>
      </c>
      <c r="O160" s="123" t="s">
        <v>3238</v>
      </c>
    </row>
    <row r="161" spans="1:15" ht="42.75" hidden="1" x14ac:dyDescent="0.15">
      <c r="A161" s="126" t="s">
        <v>444</v>
      </c>
      <c r="B161" s="123" t="s">
        <v>5017</v>
      </c>
      <c r="C161" s="124">
        <f>SUM(RMB[[#This Row],[箱型]:[VGM]])</f>
        <v>2385</v>
      </c>
      <c r="D161" s="123" t="s">
        <v>438</v>
      </c>
      <c r="E161" s="124">
        <v>510</v>
      </c>
      <c r="F161" s="124">
        <v>30</v>
      </c>
      <c r="G161" s="124">
        <v>1375</v>
      </c>
      <c r="H161" s="124">
        <v>450</v>
      </c>
      <c r="I161" s="124"/>
      <c r="J161" s="124"/>
      <c r="K161" s="124"/>
      <c r="L161" s="124">
        <v>20</v>
      </c>
      <c r="M161" s="126"/>
      <c r="N16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HMM人民币费用45HC：订舱510，THC1375，安保30，文件450/票，VGM20</v>
      </c>
      <c r="O161" s="123" t="s">
        <v>3238</v>
      </c>
    </row>
    <row r="162" spans="1:15" ht="42.75" hidden="1" x14ac:dyDescent="0.15">
      <c r="A162" s="126" t="s">
        <v>385</v>
      </c>
      <c r="B162" s="123" t="s">
        <v>5017</v>
      </c>
      <c r="C162" s="124">
        <f>SUM(RMB[[#This Row],[箱型]:[VGM]])</f>
        <v>1363</v>
      </c>
      <c r="D162" s="123" t="s">
        <v>435</v>
      </c>
      <c r="E162" s="124">
        <v>250</v>
      </c>
      <c r="F162" s="124">
        <v>20</v>
      </c>
      <c r="G162" s="124">
        <v>633</v>
      </c>
      <c r="H162" s="124">
        <v>400</v>
      </c>
      <c r="I162" s="124">
        <v>20</v>
      </c>
      <c r="J162" s="124">
        <v>20</v>
      </c>
      <c r="K162" s="124"/>
      <c r="L162" s="124">
        <v>20</v>
      </c>
      <c r="M162" s="126"/>
      <c r="N16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HPL人民币费用20GP：订舱250，THC633，安保20，文件400/票，设备管理20，封志20，VGM20</v>
      </c>
      <c r="O162" s="123" t="s">
        <v>3225</v>
      </c>
    </row>
    <row r="163" spans="1:15" ht="42.75" hidden="1" x14ac:dyDescent="0.15">
      <c r="A163" s="126" t="s">
        <v>385</v>
      </c>
      <c r="B163" s="123" t="s">
        <v>5017</v>
      </c>
      <c r="C163" s="124">
        <f>SUM(RMB[[#This Row],[箱型]:[VGM]])</f>
        <v>1771</v>
      </c>
      <c r="D163" s="123" t="s">
        <v>436</v>
      </c>
      <c r="E163" s="124">
        <v>445</v>
      </c>
      <c r="F163" s="124">
        <v>30</v>
      </c>
      <c r="G163" s="124">
        <v>836</v>
      </c>
      <c r="H163" s="124">
        <v>400</v>
      </c>
      <c r="I163" s="124">
        <v>20</v>
      </c>
      <c r="J163" s="124">
        <v>20</v>
      </c>
      <c r="K163" s="124"/>
      <c r="L163" s="124">
        <v>20</v>
      </c>
      <c r="M163" s="126"/>
      <c r="N16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HPL人民币费用40GP：订舱445，THC836，安保30，文件400/票，设备管理20，封志20，VGM20</v>
      </c>
      <c r="O163" s="123" t="s">
        <v>3225</v>
      </c>
    </row>
    <row r="164" spans="1:15" ht="42.75" hidden="1" x14ac:dyDescent="0.15">
      <c r="A164" s="126" t="s">
        <v>385</v>
      </c>
      <c r="B164" s="123" t="s">
        <v>5017</v>
      </c>
      <c r="C164" s="124">
        <f>SUM(RMB[[#This Row],[箱型]:[VGM]])</f>
        <v>1771</v>
      </c>
      <c r="D164" s="123" t="s">
        <v>437</v>
      </c>
      <c r="E164" s="124">
        <v>445</v>
      </c>
      <c r="F164" s="124">
        <v>30</v>
      </c>
      <c r="G164" s="124">
        <v>836</v>
      </c>
      <c r="H164" s="124">
        <v>400</v>
      </c>
      <c r="I164" s="124">
        <v>20</v>
      </c>
      <c r="J164" s="124">
        <v>20</v>
      </c>
      <c r="K164" s="124"/>
      <c r="L164" s="124">
        <v>20</v>
      </c>
      <c r="M164" s="126"/>
      <c r="N16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HPL人民币费用40HC：订舱445，THC836，安保30，文件400/票，设备管理20，封志20，VGM20</v>
      </c>
      <c r="O164" s="123" t="s">
        <v>3225</v>
      </c>
    </row>
    <row r="165" spans="1:15" ht="42.75" hidden="1" x14ac:dyDescent="0.15">
      <c r="A165" s="126" t="s">
        <v>385</v>
      </c>
      <c r="B165" s="123" t="s">
        <v>5017</v>
      </c>
      <c r="C165" s="124">
        <f>SUM(RMB[[#This Row],[箱型]:[VGM]])</f>
        <v>2151</v>
      </c>
      <c r="D165" s="123" t="s">
        <v>438</v>
      </c>
      <c r="E165" s="124">
        <v>445</v>
      </c>
      <c r="F165" s="124">
        <v>30</v>
      </c>
      <c r="G165" s="124">
        <v>1216</v>
      </c>
      <c r="H165" s="124">
        <v>400</v>
      </c>
      <c r="I165" s="124">
        <v>20</v>
      </c>
      <c r="J165" s="124">
        <v>20</v>
      </c>
      <c r="K165" s="124"/>
      <c r="L165" s="124">
        <v>20</v>
      </c>
      <c r="M165" s="126"/>
      <c r="N16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HPL人民币费用45HC：订舱445，THC1216，安保30，文件400/票，设备管理20，封志20，VGM20</v>
      </c>
      <c r="O165" s="123" t="s">
        <v>3225</v>
      </c>
    </row>
    <row r="166" spans="1:15" ht="42.75" hidden="1" x14ac:dyDescent="0.15">
      <c r="A166" s="126" t="s">
        <v>445</v>
      </c>
      <c r="B166" s="123" t="s">
        <v>5017</v>
      </c>
      <c r="C166" s="124">
        <f>SUM(RMB[[#This Row],[箱型]:[VGM]])</f>
        <v>1685</v>
      </c>
      <c r="D166" s="123" t="s">
        <v>435</v>
      </c>
      <c r="E166" s="124">
        <v>345</v>
      </c>
      <c r="F166" s="124">
        <v>20</v>
      </c>
      <c r="G166" s="124">
        <v>750</v>
      </c>
      <c r="H166" s="124">
        <v>500</v>
      </c>
      <c r="I166" s="124">
        <v>50</v>
      </c>
      <c r="J166" s="124"/>
      <c r="K166" s="124"/>
      <c r="L166" s="124">
        <v>20</v>
      </c>
      <c r="M166" s="126"/>
      <c r="N16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IRISL/WOSCO人民币费用20GP：订舱345，THC750，安保20，文件500/票，封志50，VGM20</v>
      </c>
    </row>
    <row r="167" spans="1:15" ht="42.75" hidden="1" x14ac:dyDescent="0.15">
      <c r="A167" s="126" t="s">
        <v>445</v>
      </c>
      <c r="B167" s="123" t="s">
        <v>5017</v>
      </c>
      <c r="C167" s="124">
        <f>SUM(RMB[[#This Row],[箱型]:[VGM]])</f>
        <v>2180</v>
      </c>
      <c r="D167" s="123" t="s">
        <v>436</v>
      </c>
      <c r="E167" s="124">
        <v>480</v>
      </c>
      <c r="F167" s="124">
        <v>30</v>
      </c>
      <c r="G167" s="124">
        <v>1100</v>
      </c>
      <c r="H167" s="124">
        <v>500</v>
      </c>
      <c r="I167" s="124">
        <v>50</v>
      </c>
      <c r="J167" s="124"/>
      <c r="K167" s="124"/>
      <c r="L167" s="124">
        <v>20</v>
      </c>
      <c r="M167" s="126"/>
      <c r="N16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IRISL/WOSCO人民币费用40GP：订舱480，THC1100，安保30，文件500/票，封志50，VGM20</v>
      </c>
    </row>
    <row r="168" spans="1:15" ht="42.75" hidden="1" x14ac:dyDescent="0.15">
      <c r="A168" s="126" t="s">
        <v>445</v>
      </c>
      <c r="B168" s="123" t="s">
        <v>5017</v>
      </c>
      <c r="C168" s="124">
        <f>SUM(RMB[[#This Row],[箱型]:[VGM]])</f>
        <v>2180</v>
      </c>
      <c r="D168" s="123" t="s">
        <v>437</v>
      </c>
      <c r="E168" s="124">
        <v>480</v>
      </c>
      <c r="F168" s="124">
        <v>30</v>
      </c>
      <c r="G168" s="124">
        <v>1100</v>
      </c>
      <c r="H168" s="124">
        <v>500</v>
      </c>
      <c r="I168" s="124">
        <v>50</v>
      </c>
      <c r="J168" s="124"/>
      <c r="K168" s="124"/>
      <c r="L168" s="124">
        <v>20</v>
      </c>
      <c r="M168" s="126"/>
      <c r="N16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IRISL/WOSCO人民币费用40HC：订舱480，THC1100，安保30，文件500/票，封志50，VGM20</v>
      </c>
    </row>
    <row r="169" spans="1:15" ht="28.5" hidden="1" x14ac:dyDescent="0.15">
      <c r="A169" s="126" t="s">
        <v>445</v>
      </c>
      <c r="B169" s="123" t="s">
        <v>5017</v>
      </c>
      <c r="C169" s="124">
        <f>SUM(RMB[[#This Row],[箱型]:[VGM]])</f>
        <v>600</v>
      </c>
      <c r="D169" s="123" t="s">
        <v>438</v>
      </c>
      <c r="E169" s="124"/>
      <c r="F169" s="124">
        <v>30</v>
      </c>
      <c r="G169" s="124"/>
      <c r="H169" s="124">
        <v>500</v>
      </c>
      <c r="I169" s="124">
        <v>50</v>
      </c>
      <c r="J169" s="124"/>
      <c r="K169" s="124"/>
      <c r="L169" s="124">
        <v>20</v>
      </c>
      <c r="M169" s="126"/>
      <c r="N16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IRISL/WOSCO人民币费用45HC：安保30，文件500/票，封志50，VGM20</v>
      </c>
    </row>
    <row r="170" spans="1:15" ht="42.75" hidden="1" x14ac:dyDescent="0.15">
      <c r="A170" s="126" t="s">
        <v>446</v>
      </c>
      <c r="B170" s="123" t="s">
        <v>5017</v>
      </c>
      <c r="C170" s="124">
        <f>SUM(RMB[[#This Row],[箱型]:[VGM]])</f>
        <v>1500</v>
      </c>
      <c r="D170" s="123" t="s">
        <v>435</v>
      </c>
      <c r="E170" s="124">
        <v>280</v>
      </c>
      <c r="F170" s="124"/>
      <c r="G170" s="124">
        <v>690</v>
      </c>
      <c r="H170" s="124">
        <v>450</v>
      </c>
      <c r="I170" s="124">
        <v>30</v>
      </c>
      <c r="J170" s="124">
        <v>30</v>
      </c>
      <c r="K170" s="124"/>
      <c r="L170" s="124">
        <v>20</v>
      </c>
      <c r="M170" s="126"/>
      <c r="N17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KMTC人民币费用20GP：订舱280，THC690，文件450/票，设备管理30，封志30，VGM20</v>
      </c>
      <c r="O170" s="123" t="s">
        <v>5021</v>
      </c>
    </row>
    <row r="171" spans="1:15" ht="42.75" hidden="1" x14ac:dyDescent="0.15">
      <c r="A171" s="126" t="s">
        <v>446</v>
      </c>
      <c r="B171" s="123" t="s">
        <v>5017</v>
      </c>
      <c r="C171" s="124">
        <f>SUM(RMB[[#This Row],[箱型]:[VGM]])</f>
        <v>2065</v>
      </c>
      <c r="D171" s="123" t="s">
        <v>436</v>
      </c>
      <c r="E171" s="124">
        <v>485</v>
      </c>
      <c r="F171" s="124"/>
      <c r="G171" s="124">
        <v>1050</v>
      </c>
      <c r="H171" s="124">
        <v>450</v>
      </c>
      <c r="I171" s="124">
        <v>30</v>
      </c>
      <c r="J171" s="124">
        <v>30</v>
      </c>
      <c r="K171" s="124"/>
      <c r="L171" s="124">
        <v>20</v>
      </c>
      <c r="M171" s="126"/>
      <c r="N17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KMTC人民币费用40GP：订舱485，THC1050，文件450/票，设备管理30，封志30，VGM20</v>
      </c>
      <c r="O171" s="123" t="s">
        <v>5021</v>
      </c>
    </row>
    <row r="172" spans="1:15" ht="42.75" hidden="1" x14ac:dyDescent="0.15">
      <c r="A172" s="126" t="s">
        <v>446</v>
      </c>
      <c r="B172" s="123" t="s">
        <v>5017</v>
      </c>
      <c r="C172" s="124">
        <f>SUM(RMB[[#This Row],[箱型]:[VGM]])</f>
        <v>2065</v>
      </c>
      <c r="D172" s="123" t="s">
        <v>437</v>
      </c>
      <c r="E172" s="124">
        <v>485</v>
      </c>
      <c r="F172" s="124"/>
      <c r="G172" s="124">
        <v>1050</v>
      </c>
      <c r="H172" s="124">
        <v>450</v>
      </c>
      <c r="I172" s="124">
        <v>30</v>
      </c>
      <c r="J172" s="124">
        <v>30</v>
      </c>
      <c r="K172" s="124"/>
      <c r="L172" s="124">
        <v>20</v>
      </c>
      <c r="M172" s="126"/>
      <c r="N17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KMTC人民币费用40HC：订舱485，THC1050，文件450/票，设备管理30，封志30，VGM20</v>
      </c>
      <c r="O172" s="123" t="s">
        <v>5021</v>
      </c>
    </row>
    <row r="173" spans="1:15" ht="42.75" hidden="1" x14ac:dyDescent="0.15">
      <c r="A173" s="126" t="s">
        <v>446</v>
      </c>
      <c r="B173" s="123" t="s">
        <v>5017</v>
      </c>
      <c r="C173" s="124">
        <f>SUM(RMB[[#This Row],[箱型]:[VGM]])</f>
        <v>1115</v>
      </c>
      <c r="D173" s="123" t="s">
        <v>438</v>
      </c>
      <c r="E173" s="124">
        <v>585</v>
      </c>
      <c r="F173" s="124"/>
      <c r="G173" s="124"/>
      <c r="H173" s="124">
        <v>450</v>
      </c>
      <c r="I173" s="124">
        <v>30</v>
      </c>
      <c r="J173" s="124">
        <v>30</v>
      </c>
      <c r="K173" s="124"/>
      <c r="L173" s="124">
        <v>20</v>
      </c>
      <c r="M173" s="126"/>
      <c r="N17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KMTC人民币费用45HC：订舱585，文件450/票，设备管理30，封志30，VGM20</v>
      </c>
      <c r="O173" s="123" t="s">
        <v>5021</v>
      </c>
    </row>
    <row r="174" spans="1:15" ht="42.75" hidden="1" x14ac:dyDescent="0.15">
      <c r="A174" s="126" t="s">
        <v>447</v>
      </c>
      <c r="B174" s="123" t="s">
        <v>5017</v>
      </c>
      <c r="C174" s="124">
        <f>SUM(RMB[[#This Row],[箱型]:[VGM]])</f>
        <v>1620</v>
      </c>
      <c r="D174" s="123" t="s">
        <v>435</v>
      </c>
      <c r="E174" s="124">
        <v>360</v>
      </c>
      <c r="F174" s="124"/>
      <c r="G174" s="124">
        <v>690</v>
      </c>
      <c r="H174" s="124">
        <v>450</v>
      </c>
      <c r="I174" s="124">
        <v>100</v>
      </c>
      <c r="J174" s="124"/>
      <c r="K174" s="124"/>
      <c r="L174" s="124">
        <v>20</v>
      </c>
      <c r="M174" s="126" t="s">
        <v>448</v>
      </c>
      <c r="N17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MCC人民币费用20GP：订舱360，THC690，文件450/票，封志100，VGM20</v>
      </c>
      <c r="O174" s="123" t="s">
        <v>3224</v>
      </c>
    </row>
    <row r="175" spans="1:15" ht="42.75" hidden="1" x14ac:dyDescent="0.15">
      <c r="A175" s="126" t="s">
        <v>447</v>
      </c>
      <c r="B175" s="123" t="s">
        <v>5017</v>
      </c>
      <c r="C175" s="124">
        <f>SUM(RMB[[#This Row],[箱型]:[VGM]])</f>
        <v>2135</v>
      </c>
      <c r="D175" s="123" t="s">
        <v>436</v>
      </c>
      <c r="E175" s="124">
        <v>515</v>
      </c>
      <c r="F175" s="124"/>
      <c r="G175" s="124">
        <v>1050</v>
      </c>
      <c r="H175" s="124">
        <v>450</v>
      </c>
      <c r="I175" s="124">
        <v>100</v>
      </c>
      <c r="J175" s="124"/>
      <c r="K175" s="124"/>
      <c r="L175" s="124">
        <v>20</v>
      </c>
      <c r="M175" s="126" t="s">
        <v>448</v>
      </c>
      <c r="N17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MCC人民币费用40GP：订舱515，THC1050，文件450/票，封志100，VGM20</v>
      </c>
      <c r="O175" s="123" t="s">
        <v>3224</v>
      </c>
    </row>
    <row r="176" spans="1:15" ht="42.75" hidden="1" x14ac:dyDescent="0.15">
      <c r="A176" s="126" t="s">
        <v>447</v>
      </c>
      <c r="B176" s="123" t="s">
        <v>5017</v>
      </c>
      <c r="C176" s="124">
        <f>SUM(RMB[[#This Row],[箱型]:[VGM]])</f>
        <v>2135</v>
      </c>
      <c r="D176" s="123" t="s">
        <v>437</v>
      </c>
      <c r="E176" s="124">
        <v>515</v>
      </c>
      <c r="F176" s="124"/>
      <c r="G176" s="124">
        <v>1050</v>
      </c>
      <c r="H176" s="124">
        <v>450</v>
      </c>
      <c r="I176" s="124">
        <v>100</v>
      </c>
      <c r="J176" s="124"/>
      <c r="K176" s="124"/>
      <c r="L176" s="124">
        <v>20</v>
      </c>
      <c r="M176" s="126" t="s">
        <v>448</v>
      </c>
      <c r="N17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MCC人民币费用40HC：订舱515，THC1050，文件450/票，封志100，VGM20</v>
      </c>
      <c r="O176" s="123" t="s">
        <v>3224</v>
      </c>
    </row>
    <row r="177" spans="1:15" ht="42.75" hidden="1" x14ac:dyDescent="0.15">
      <c r="A177" s="126" t="s">
        <v>447</v>
      </c>
      <c r="B177" s="123" t="s">
        <v>5017</v>
      </c>
      <c r="C177" s="124">
        <f>SUM(RMB[[#This Row],[箱型]:[VGM]])</f>
        <v>2610</v>
      </c>
      <c r="D177" s="123" t="s">
        <v>438</v>
      </c>
      <c r="E177" s="124">
        <v>565</v>
      </c>
      <c r="F177" s="124"/>
      <c r="G177" s="124">
        <v>1475</v>
      </c>
      <c r="H177" s="124">
        <v>450</v>
      </c>
      <c r="I177" s="124">
        <v>100</v>
      </c>
      <c r="J177" s="124"/>
      <c r="K177" s="124"/>
      <c r="L177" s="124">
        <v>20</v>
      </c>
      <c r="M177" s="126" t="s">
        <v>448</v>
      </c>
      <c r="N17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MCC人民币费用45HC：订舱565，THC1475，文件450/票，封志100，VGM20</v>
      </c>
      <c r="O177" s="123" t="s">
        <v>3224</v>
      </c>
    </row>
    <row r="178" spans="1:15" ht="42.75" hidden="1" x14ac:dyDescent="0.15">
      <c r="A178" s="126" t="s">
        <v>372</v>
      </c>
      <c r="B178" s="123" t="s">
        <v>5017</v>
      </c>
      <c r="C178" s="124">
        <f>SUM(RMB[[#This Row],[箱型]:[VGM]])</f>
        <v>1455</v>
      </c>
      <c r="D178" s="123" t="s">
        <v>435</v>
      </c>
      <c r="E178" s="124">
        <v>275</v>
      </c>
      <c r="F178" s="124">
        <v>20</v>
      </c>
      <c r="G178" s="124">
        <v>650</v>
      </c>
      <c r="H178" s="124">
        <v>450</v>
      </c>
      <c r="I178" s="124"/>
      <c r="J178" s="124">
        <v>40</v>
      </c>
      <c r="K178" s="124"/>
      <c r="L178" s="124">
        <v>20</v>
      </c>
      <c r="M178" s="126" t="s">
        <v>5022</v>
      </c>
      <c r="N17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MSC人民币费用20GP：订舱275，THC650，安保20，文件450/票，设备管理40，VGM20</v>
      </c>
      <c r="O178" s="123" t="s">
        <v>3230</v>
      </c>
    </row>
    <row r="179" spans="1:15" ht="42.75" hidden="1" x14ac:dyDescent="0.15">
      <c r="A179" s="126" t="s">
        <v>372</v>
      </c>
      <c r="B179" s="123" t="s">
        <v>5017</v>
      </c>
      <c r="C179" s="124">
        <f>SUM(RMB[[#This Row],[箱型]:[VGM]])</f>
        <v>2020</v>
      </c>
      <c r="D179" s="123" t="s">
        <v>436</v>
      </c>
      <c r="E179" s="124">
        <v>460</v>
      </c>
      <c r="F179" s="124">
        <v>30</v>
      </c>
      <c r="G179" s="124">
        <v>1020</v>
      </c>
      <c r="H179" s="124">
        <v>450</v>
      </c>
      <c r="I179" s="124"/>
      <c r="J179" s="124">
        <v>40</v>
      </c>
      <c r="K179" s="124"/>
      <c r="L179" s="124">
        <v>20</v>
      </c>
      <c r="M179" s="126" t="s">
        <v>5022</v>
      </c>
      <c r="N17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MSC人民币费用40GP：订舱460，THC1020，安保30，文件450/票，设备管理40，VGM20</v>
      </c>
      <c r="O179" s="123" t="s">
        <v>3230</v>
      </c>
    </row>
    <row r="180" spans="1:15" ht="42.75" hidden="1" x14ac:dyDescent="0.15">
      <c r="A180" s="126" t="s">
        <v>372</v>
      </c>
      <c r="B180" s="123" t="s">
        <v>5017</v>
      </c>
      <c r="C180" s="124">
        <f>SUM(RMB[[#This Row],[箱型]:[VGM]])</f>
        <v>2020</v>
      </c>
      <c r="D180" s="123" t="s">
        <v>437</v>
      </c>
      <c r="E180" s="124">
        <v>460</v>
      </c>
      <c r="F180" s="124">
        <v>30</v>
      </c>
      <c r="G180" s="124">
        <v>1020</v>
      </c>
      <c r="H180" s="124">
        <v>450</v>
      </c>
      <c r="I180" s="124"/>
      <c r="J180" s="124">
        <v>40</v>
      </c>
      <c r="K180" s="124"/>
      <c r="L180" s="124">
        <v>20</v>
      </c>
      <c r="M180" s="126" t="s">
        <v>5022</v>
      </c>
      <c r="N18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MSC人民币费用40HC：订舱460，THC1020，安保30，文件450/票，设备管理40，VGM20</v>
      </c>
      <c r="O180" s="123" t="s">
        <v>3230</v>
      </c>
    </row>
    <row r="181" spans="1:15" ht="42.75" hidden="1" x14ac:dyDescent="0.15">
      <c r="A181" s="126" t="s">
        <v>372</v>
      </c>
      <c r="B181" s="123" t="s">
        <v>5017</v>
      </c>
      <c r="C181" s="124">
        <f>SUM(RMB[[#This Row],[箱型]:[VGM]])</f>
        <v>2340</v>
      </c>
      <c r="D181" s="123" t="s">
        <v>438</v>
      </c>
      <c r="E181" s="124">
        <v>460</v>
      </c>
      <c r="F181" s="124">
        <v>30</v>
      </c>
      <c r="G181" s="124">
        <v>1340</v>
      </c>
      <c r="H181" s="124">
        <v>450</v>
      </c>
      <c r="I181" s="124"/>
      <c r="J181" s="124">
        <v>40</v>
      </c>
      <c r="K181" s="124"/>
      <c r="L181" s="124">
        <v>20</v>
      </c>
      <c r="M181" s="126" t="s">
        <v>5022</v>
      </c>
      <c r="N18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MSC人民币费用45HC：订舱460，THC1340，安保30，文件450/票，设备管理40，VGM20</v>
      </c>
      <c r="O181" s="123" t="s">
        <v>3230</v>
      </c>
    </row>
    <row r="182" spans="1:15" ht="42.75" hidden="1" x14ac:dyDescent="0.15">
      <c r="A182" s="126" t="s">
        <v>370</v>
      </c>
      <c r="B182" s="123" t="s">
        <v>5017</v>
      </c>
      <c r="C182" s="124">
        <f>SUM(RMB[[#This Row],[箱型]:[VGM]])</f>
        <v>1610</v>
      </c>
      <c r="D182" s="123" t="s">
        <v>435</v>
      </c>
      <c r="E182" s="124">
        <v>445</v>
      </c>
      <c r="F182" s="124">
        <v>20</v>
      </c>
      <c r="G182" s="124">
        <v>625</v>
      </c>
      <c r="H182" s="124">
        <v>450</v>
      </c>
      <c r="I182" s="124">
        <v>50</v>
      </c>
      <c r="J182" s="124"/>
      <c r="K182" s="124"/>
      <c r="L182" s="124">
        <v>20</v>
      </c>
      <c r="M182" s="126"/>
      <c r="N18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MSK人民币费用20GP：订舱445，THC625，安保20，文件450/票，封志50，VGM20</v>
      </c>
      <c r="O182" s="123" t="s">
        <v>3220</v>
      </c>
    </row>
    <row r="183" spans="1:15" ht="42.75" hidden="1" x14ac:dyDescent="0.15">
      <c r="A183" s="126" t="s">
        <v>370</v>
      </c>
      <c r="B183" s="123" t="s">
        <v>5017</v>
      </c>
      <c r="C183" s="124">
        <f>SUM(RMB[[#This Row],[箱型]:[VGM]])</f>
        <v>2110</v>
      </c>
      <c r="D183" s="123" t="s">
        <v>436</v>
      </c>
      <c r="E183" s="124">
        <v>580</v>
      </c>
      <c r="F183" s="124">
        <v>30</v>
      </c>
      <c r="G183" s="124">
        <v>980</v>
      </c>
      <c r="H183" s="124">
        <v>450</v>
      </c>
      <c r="I183" s="124">
        <v>50</v>
      </c>
      <c r="J183" s="124"/>
      <c r="K183" s="124"/>
      <c r="L183" s="124">
        <v>20</v>
      </c>
      <c r="M183" s="126"/>
      <c r="N18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MSK人民币费用40GP：订舱580，THC980，安保30，文件450/票，封志50，VGM20</v>
      </c>
      <c r="O183" s="123" t="s">
        <v>3220</v>
      </c>
    </row>
    <row r="184" spans="1:15" ht="42.75" hidden="1" x14ac:dyDescent="0.15">
      <c r="A184" s="126" t="s">
        <v>370</v>
      </c>
      <c r="B184" s="123" t="s">
        <v>5017</v>
      </c>
      <c r="C184" s="124">
        <f>SUM(RMB[[#This Row],[箱型]:[VGM]])</f>
        <v>2110</v>
      </c>
      <c r="D184" s="123" t="s">
        <v>437</v>
      </c>
      <c r="E184" s="124">
        <v>580</v>
      </c>
      <c r="F184" s="124">
        <v>30</v>
      </c>
      <c r="G184" s="124">
        <v>980</v>
      </c>
      <c r="H184" s="124">
        <v>450</v>
      </c>
      <c r="I184" s="124">
        <v>50</v>
      </c>
      <c r="J184" s="124"/>
      <c r="K184" s="124"/>
      <c r="L184" s="124">
        <v>20</v>
      </c>
      <c r="M184" s="126"/>
      <c r="N18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MSK人民币费用40HC：订舱580，THC980，安保30，文件450/票，封志50，VGM20</v>
      </c>
      <c r="O184" s="123" t="s">
        <v>3220</v>
      </c>
    </row>
    <row r="185" spans="1:15" ht="42.75" hidden="1" x14ac:dyDescent="0.15">
      <c r="A185" s="126" t="s">
        <v>370</v>
      </c>
      <c r="B185" s="123" t="s">
        <v>5017</v>
      </c>
      <c r="C185" s="124">
        <f>SUM(RMB[[#This Row],[箱型]:[VGM]])</f>
        <v>2570</v>
      </c>
      <c r="D185" s="123" t="s">
        <v>438</v>
      </c>
      <c r="E185" s="124">
        <v>640</v>
      </c>
      <c r="F185" s="124">
        <v>30</v>
      </c>
      <c r="G185" s="124">
        <v>1380</v>
      </c>
      <c r="H185" s="124">
        <v>450</v>
      </c>
      <c r="I185" s="124">
        <v>50</v>
      </c>
      <c r="J185" s="124"/>
      <c r="K185" s="124"/>
      <c r="L185" s="124">
        <v>20</v>
      </c>
      <c r="M185" s="126"/>
      <c r="N18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MSK人民币费用45HC：订舱640，THC1380，安保30，文件450/票，封志50，VGM20</v>
      </c>
      <c r="O185" s="123" t="s">
        <v>3220</v>
      </c>
    </row>
    <row r="186" spans="1:15" ht="42.75" hidden="1" x14ac:dyDescent="0.15">
      <c r="A186" s="126" t="s">
        <v>384</v>
      </c>
      <c r="B186" s="123" t="s">
        <v>5017</v>
      </c>
      <c r="C186" s="124">
        <f>SUM(RMB[[#This Row],[箱型]:[VGM]])</f>
        <v>1565</v>
      </c>
      <c r="D186" s="123" t="s">
        <v>435</v>
      </c>
      <c r="E186" s="124">
        <v>285</v>
      </c>
      <c r="F186" s="124">
        <v>20</v>
      </c>
      <c r="G186" s="124">
        <v>690</v>
      </c>
      <c r="H186" s="124">
        <v>500</v>
      </c>
      <c r="I186" s="124">
        <v>50</v>
      </c>
      <c r="J186" s="124"/>
      <c r="K186" s="124"/>
      <c r="L186" s="124">
        <v>20</v>
      </c>
      <c r="M186" s="126"/>
      <c r="N18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NDS人民币费用20GP：订舱285，THC690，安保20，文件500/票，封志50，VGM20</v>
      </c>
    </row>
    <row r="187" spans="1:15" ht="42.75" hidden="1" x14ac:dyDescent="0.15">
      <c r="A187" s="126" t="s">
        <v>384</v>
      </c>
      <c r="B187" s="123" t="s">
        <v>5017</v>
      </c>
      <c r="C187" s="124">
        <f>SUM(RMB[[#This Row],[箱型]:[VGM]])</f>
        <v>2110</v>
      </c>
      <c r="D187" s="123" t="s">
        <v>436</v>
      </c>
      <c r="E187" s="124">
        <v>440</v>
      </c>
      <c r="F187" s="124">
        <v>30</v>
      </c>
      <c r="G187" s="124">
        <v>1070</v>
      </c>
      <c r="H187" s="124">
        <v>500</v>
      </c>
      <c r="I187" s="124">
        <v>50</v>
      </c>
      <c r="J187" s="124"/>
      <c r="K187" s="124"/>
      <c r="L187" s="124">
        <v>20</v>
      </c>
      <c r="M187" s="126"/>
      <c r="N18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NDS人民币费用40GP：订舱440，THC1070，安保30，文件500/票，封志50，VGM20</v>
      </c>
    </row>
    <row r="188" spans="1:15" ht="42.75" hidden="1" x14ac:dyDescent="0.15">
      <c r="A188" s="126" t="s">
        <v>384</v>
      </c>
      <c r="B188" s="123" t="s">
        <v>5017</v>
      </c>
      <c r="C188" s="124">
        <f>SUM(RMB[[#This Row],[箱型]:[VGM]])</f>
        <v>2110</v>
      </c>
      <c r="D188" s="123" t="s">
        <v>437</v>
      </c>
      <c r="E188" s="124">
        <v>440</v>
      </c>
      <c r="F188" s="124">
        <v>30</v>
      </c>
      <c r="G188" s="124">
        <v>1070</v>
      </c>
      <c r="H188" s="124">
        <v>500</v>
      </c>
      <c r="I188" s="124">
        <v>50</v>
      </c>
      <c r="J188" s="124"/>
      <c r="K188" s="124"/>
      <c r="L188" s="124">
        <v>20</v>
      </c>
      <c r="M188" s="126"/>
      <c r="N18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NDS人民币费用40HC：订舱440，THC1070，安保30，文件500/票，封志50，VGM20</v>
      </c>
    </row>
    <row r="189" spans="1:15" ht="28.5" hidden="1" x14ac:dyDescent="0.15">
      <c r="A189" s="126" t="s">
        <v>384</v>
      </c>
      <c r="B189" s="123" t="s">
        <v>5017</v>
      </c>
      <c r="C189" s="124">
        <f>SUM(RMB[[#This Row],[箱型]:[VGM]])</f>
        <v>600</v>
      </c>
      <c r="D189" s="123" t="s">
        <v>438</v>
      </c>
      <c r="E189" s="124"/>
      <c r="F189" s="124">
        <v>30</v>
      </c>
      <c r="G189" s="124"/>
      <c r="H189" s="124">
        <v>500</v>
      </c>
      <c r="I189" s="124">
        <v>50</v>
      </c>
      <c r="J189" s="124"/>
      <c r="K189" s="124"/>
      <c r="L189" s="124">
        <v>20</v>
      </c>
      <c r="M189" s="126"/>
      <c r="N18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NDS人民币费用45HC：安保30，文件500/票，封志50，VGM20</v>
      </c>
    </row>
    <row r="190" spans="1:15" ht="42.75" hidden="1" x14ac:dyDescent="0.15">
      <c r="A190" s="126" t="s">
        <v>375</v>
      </c>
      <c r="B190" s="123" t="s">
        <v>5017</v>
      </c>
      <c r="C190" s="124">
        <f>SUM(RMB[[#This Row],[箱型]:[VGM]])</f>
        <v>1431</v>
      </c>
      <c r="D190" s="123" t="s">
        <v>435</v>
      </c>
      <c r="E190" s="124">
        <v>380</v>
      </c>
      <c r="F190" s="124"/>
      <c r="G190" s="124">
        <v>541</v>
      </c>
      <c r="H190" s="124">
        <v>450</v>
      </c>
      <c r="I190" s="124">
        <v>20</v>
      </c>
      <c r="J190" s="124">
        <v>20</v>
      </c>
      <c r="K190" s="124"/>
      <c r="L190" s="124">
        <v>20</v>
      </c>
      <c r="M190" s="126"/>
      <c r="N19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ONE人民币费用20GP：订舱380，THC541，文件450/票，设备管理20，封志20，VGM20</v>
      </c>
      <c r="O190" s="123" t="s">
        <v>3237</v>
      </c>
    </row>
    <row r="191" spans="1:15" ht="42.75" hidden="1" x14ac:dyDescent="0.15">
      <c r="A191" s="126" t="s">
        <v>375</v>
      </c>
      <c r="B191" s="123" t="s">
        <v>5017</v>
      </c>
      <c r="C191" s="124">
        <f>SUM(RMB[[#This Row],[箱型]:[VGM]])</f>
        <v>1998</v>
      </c>
      <c r="D191" s="123" t="s">
        <v>436</v>
      </c>
      <c r="E191" s="124">
        <v>660</v>
      </c>
      <c r="F191" s="124"/>
      <c r="G191" s="124">
        <v>828</v>
      </c>
      <c r="H191" s="124">
        <v>450</v>
      </c>
      <c r="I191" s="124">
        <v>20</v>
      </c>
      <c r="J191" s="124">
        <v>20</v>
      </c>
      <c r="K191" s="124"/>
      <c r="L191" s="124">
        <v>20</v>
      </c>
      <c r="M191" s="126"/>
      <c r="N19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ONE人民币费用40GP：订舱660，THC828，文件450/票，设备管理20，封志20，VGM20</v>
      </c>
      <c r="O191" s="123" t="s">
        <v>3237</v>
      </c>
    </row>
    <row r="192" spans="1:15" ht="42.75" hidden="1" x14ac:dyDescent="0.15">
      <c r="A192" s="126" t="s">
        <v>375</v>
      </c>
      <c r="B192" s="123" t="s">
        <v>5017</v>
      </c>
      <c r="C192" s="124">
        <f>SUM(RMB[[#This Row],[箱型]:[VGM]])</f>
        <v>1998</v>
      </c>
      <c r="D192" s="123" t="s">
        <v>437</v>
      </c>
      <c r="E192" s="124">
        <v>660</v>
      </c>
      <c r="F192" s="124"/>
      <c r="G192" s="124">
        <v>828</v>
      </c>
      <c r="H192" s="124">
        <v>450</v>
      </c>
      <c r="I192" s="124">
        <v>20</v>
      </c>
      <c r="J192" s="124">
        <v>20</v>
      </c>
      <c r="K192" s="124"/>
      <c r="L192" s="124">
        <v>20</v>
      </c>
      <c r="M192" s="126"/>
      <c r="N19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ONE人民币费用40HC：订舱660，THC828，文件450/票，设备管理20，封志20，VGM20</v>
      </c>
      <c r="O192" s="123" t="s">
        <v>3237</v>
      </c>
    </row>
    <row r="193" spans="1:15" ht="42.75" hidden="1" x14ac:dyDescent="0.15">
      <c r="A193" s="126" t="s">
        <v>375</v>
      </c>
      <c r="B193" s="123" t="s">
        <v>5017</v>
      </c>
      <c r="C193" s="124">
        <f>SUM(RMB[[#This Row],[箱型]:[VGM]])</f>
        <v>2246</v>
      </c>
      <c r="D193" s="123" t="s">
        <v>438</v>
      </c>
      <c r="E193" s="124">
        <v>710</v>
      </c>
      <c r="F193" s="124"/>
      <c r="G193" s="124">
        <v>1026</v>
      </c>
      <c r="H193" s="124">
        <v>450</v>
      </c>
      <c r="I193" s="124">
        <v>20</v>
      </c>
      <c r="J193" s="124">
        <v>20</v>
      </c>
      <c r="K193" s="124"/>
      <c r="L193" s="124">
        <v>20</v>
      </c>
      <c r="M193" s="126"/>
      <c r="N19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ONE人民币费用45HC：订舱710，THC1026，文件450/票，设备管理20，封志20，VGM20</v>
      </c>
      <c r="O193" s="123" t="s">
        <v>3237</v>
      </c>
    </row>
    <row r="194" spans="1:15" ht="42.75" hidden="1" x14ac:dyDescent="0.15">
      <c r="A194" s="126" t="s">
        <v>374</v>
      </c>
      <c r="B194" s="123" t="s">
        <v>5017</v>
      </c>
      <c r="C194" s="124">
        <f>SUM(RMB[[#This Row],[箱型]:[VGM]])</f>
        <v>1581</v>
      </c>
      <c r="D194" s="123" t="s">
        <v>435</v>
      </c>
      <c r="E194" s="124">
        <v>285</v>
      </c>
      <c r="F194" s="124">
        <v>20</v>
      </c>
      <c r="G194" s="124">
        <v>756</v>
      </c>
      <c r="H194" s="124">
        <v>450</v>
      </c>
      <c r="I194" s="124">
        <v>50</v>
      </c>
      <c r="J194" s="124"/>
      <c r="K194" s="124"/>
      <c r="L194" s="124">
        <v>20</v>
      </c>
      <c r="M194" s="126"/>
      <c r="N19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OOCL人民币费用20GP：订舱285，THC756，安保20，文件450/票，封志50，VGM20</v>
      </c>
      <c r="O194" s="123" t="s">
        <v>3229</v>
      </c>
    </row>
    <row r="195" spans="1:15" ht="42.75" hidden="1" x14ac:dyDescent="0.15">
      <c r="A195" s="126" t="s">
        <v>374</v>
      </c>
      <c r="B195" s="123" t="s">
        <v>5017</v>
      </c>
      <c r="C195" s="124">
        <f>SUM(RMB[[#This Row],[箱型]:[VGM]])</f>
        <v>2164</v>
      </c>
      <c r="D195" s="123" t="s">
        <v>436</v>
      </c>
      <c r="E195" s="124">
        <v>480</v>
      </c>
      <c r="F195" s="124">
        <v>30</v>
      </c>
      <c r="G195" s="124">
        <v>1134</v>
      </c>
      <c r="H195" s="124">
        <v>450</v>
      </c>
      <c r="I195" s="124">
        <v>50</v>
      </c>
      <c r="J195" s="124"/>
      <c r="K195" s="124"/>
      <c r="L195" s="124">
        <v>20</v>
      </c>
      <c r="M195" s="126"/>
      <c r="N19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OOCL人民币费用40GP：订舱480，THC1134，安保30，文件450/票，封志50，VGM20</v>
      </c>
      <c r="O195" s="123" t="s">
        <v>3229</v>
      </c>
    </row>
    <row r="196" spans="1:15" ht="42.75" hidden="1" x14ac:dyDescent="0.15">
      <c r="A196" s="126" t="s">
        <v>374</v>
      </c>
      <c r="B196" s="123" t="s">
        <v>5017</v>
      </c>
      <c r="C196" s="124">
        <f>SUM(RMB[[#This Row],[箱型]:[VGM]])</f>
        <v>2164</v>
      </c>
      <c r="D196" s="123" t="s">
        <v>437</v>
      </c>
      <c r="E196" s="124">
        <v>480</v>
      </c>
      <c r="F196" s="124">
        <v>30</v>
      </c>
      <c r="G196" s="124">
        <v>1134</v>
      </c>
      <c r="H196" s="124">
        <v>450</v>
      </c>
      <c r="I196" s="124">
        <v>50</v>
      </c>
      <c r="J196" s="124"/>
      <c r="K196" s="124"/>
      <c r="L196" s="124">
        <v>20</v>
      </c>
      <c r="M196" s="126"/>
      <c r="N19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OOCL人民币费用40HC：订舱480，THC1134，安保30，文件450/票，封志50，VGM20</v>
      </c>
      <c r="O196" s="123" t="s">
        <v>3229</v>
      </c>
    </row>
    <row r="197" spans="1:15" ht="42.75" hidden="1" x14ac:dyDescent="0.15">
      <c r="A197" s="126" t="s">
        <v>374</v>
      </c>
      <c r="B197" s="123" t="s">
        <v>5017</v>
      </c>
      <c r="C197" s="124">
        <f>SUM(RMB[[#This Row],[箱型]:[VGM]])</f>
        <v>2471</v>
      </c>
      <c r="D197" s="123" t="s">
        <v>438</v>
      </c>
      <c r="E197" s="124">
        <v>500</v>
      </c>
      <c r="F197" s="124">
        <v>30</v>
      </c>
      <c r="G197" s="124">
        <v>1421</v>
      </c>
      <c r="H197" s="124">
        <v>450</v>
      </c>
      <c r="I197" s="124">
        <v>50</v>
      </c>
      <c r="J197" s="124"/>
      <c r="K197" s="124"/>
      <c r="L197" s="124">
        <v>20</v>
      </c>
      <c r="M197" s="126"/>
      <c r="N19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OOCL人民币费用45HC：订舱500，THC1421，安保30，文件450/票，封志50，VGM20</v>
      </c>
      <c r="O197" s="123" t="s">
        <v>3229</v>
      </c>
    </row>
    <row r="198" spans="1:15" ht="42.75" hidden="1" x14ac:dyDescent="0.15">
      <c r="A198" s="126" t="s">
        <v>383</v>
      </c>
      <c r="B198" s="123" t="s">
        <v>5017</v>
      </c>
      <c r="C198" s="124">
        <f>SUM(RMB[[#This Row],[箱型]:[VGM]])</f>
        <v>1550</v>
      </c>
      <c r="D198" s="123" t="s">
        <v>435</v>
      </c>
      <c r="E198" s="124">
        <v>295</v>
      </c>
      <c r="F198" s="124">
        <v>20</v>
      </c>
      <c r="G198" s="124">
        <v>715</v>
      </c>
      <c r="H198" s="124">
        <v>450</v>
      </c>
      <c r="I198" s="124"/>
      <c r="J198" s="124">
        <v>50</v>
      </c>
      <c r="K198" s="124"/>
      <c r="L198" s="124">
        <v>20</v>
      </c>
      <c r="M198" s="126"/>
      <c r="N19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PIL人民币费用20GP：订舱295，THC715，安保20，文件450/票，设备管理50，VGM20</v>
      </c>
      <c r="O198" s="123" t="s">
        <v>3236</v>
      </c>
    </row>
    <row r="199" spans="1:15" ht="42.75" hidden="1" x14ac:dyDescent="0.15">
      <c r="A199" s="126" t="s">
        <v>383</v>
      </c>
      <c r="B199" s="123" t="s">
        <v>5017</v>
      </c>
      <c r="C199" s="124">
        <f>SUM(RMB[[#This Row],[箱型]:[VGM]])</f>
        <v>2148</v>
      </c>
      <c r="D199" s="123" t="s">
        <v>436</v>
      </c>
      <c r="E199" s="124">
        <v>470</v>
      </c>
      <c r="F199" s="124">
        <v>30</v>
      </c>
      <c r="G199" s="124">
        <v>1128</v>
      </c>
      <c r="H199" s="124">
        <v>450</v>
      </c>
      <c r="I199" s="124"/>
      <c r="J199" s="124">
        <v>50</v>
      </c>
      <c r="K199" s="124"/>
      <c r="L199" s="124">
        <v>20</v>
      </c>
      <c r="M199" s="126"/>
      <c r="N19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PIL人民币费用40GP：订舱470，THC1128，安保30，文件450/票，设备管理50，VGM20</v>
      </c>
      <c r="O199" s="123" t="s">
        <v>3236</v>
      </c>
    </row>
    <row r="200" spans="1:15" ht="42.75" hidden="1" x14ac:dyDescent="0.15">
      <c r="A200" s="126" t="s">
        <v>383</v>
      </c>
      <c r="B200" s="123" t="s">
        <v>5017</v>
      </c>
      <c r="C200" s="124">
        <f>SUM(RMB[[#This Row],[箱型]:[VGM]])</f>
        <v>2148</v>
      </c>
      <c r="D200" s="123" t="s">
        <v>437</v>
      </c>
      <c r="E200" s="124">
        <v>470</v>
      </c>
      <c r="F200" s="124">
        <v>30</v>
      </c>
      <c r="G200" s="124">
        <v>1128</v>
      </c>
      <c r="H200" s="124">
        <v>450</v>
      </c>
      <c r="I200" s="124"/>
      <c r="J200" s="124">
        <v>50</v>
      </c>
      <c r="K200" s="124"/>
      <c r="L200" s="124">
        <v>20</v>
      </c>
      <c r="M200" s="126"/>
      <c r="N20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PIL人民币费用40HC：订舱470，THC1128，安保30，文件450/票，设备管理50，VGM20</v>
      </c>
      <c r="O200" s="123" t="s">
        <v>3236</v>
      </c>
    </row>
    <row r="201" spans="1:15" ht="28.5" hidden="1" x14ac:dyDescent="0.15">
      <c r="A201" s="126" t="s">
        <v>383</v>
      </c>
      <c r="B201" s="123" t="s">
        <v>5017</v>
      </c>
      <c r="C201" s="124">
        <f>SUM(RMB[[#This Row],[箱型]:[VGM]])</f>
        <v>550</v>
      </c>
      <c r="D201" s="123" t="s">
        <v>438</v>
      </c>
      <c r="E201" s="124"/>
      <c r="F201" s="124">
        <v>30</v>
      </c>
      <c r="G201" s="124"/>
      <c r="H201" s="124">
        <v>450</v>
      </c>
      <c r="I201" s="124"/>
      <c r="J201" s="124">
        <v>50</v>
      </c>
      <c r="K201" s="124"/>
      <c r="L201" s="124">
        <v>20</v>
      </c>
      <c r="M201" s="126"/>
      <c r="N20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PIL人民币费用45HC：安保30，文件450/票，设备管理50，VGM20</v>
      </c>
      <c r="O201" s="123" t="s">
        <v>3236</v>
      </c>
    </row>
    <row r="202" spans="1:15" ht="42.75" hidden="1" x14ac:dyDescent="0.15">
      <c r="A202" s="126" t="s">
        <v>449</v>
      </c>
      <c r="B202" s="123" t="s">
        <v>5017</v>
      </c>
      <c r="C202" s="124">
        <f>SUM(RMB[[#This Row],[箱型]:[VGM]])</f>
        <v>1555</v>
      </c>
      <c r="D202" s="123" t="s">
        <v>435</v>
      </c>
      <c r="E202" s="124">
        <v>325</v>
      </c>
      <c r="F202" s="124">
        <v>20</v>
      </c>
      <c r="G202" s="124">
        <v>690</v>
      </c>
      <c r="H202" s="124">
        <v>500</v>
      </c>
      <c r="I202" s="124"/>
      <c r="J202" s="124"/>
      <c r="K202" s="124"/>
      <c r="L202" s="124">
        <v>20</v>
      </c>
      <c r="M202" s="126"/>
      <c r="N20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RCL人民币费用20GP：订舱325，THC690，安保20，文件500/票，VGM20</v>
      </c>
      <c r="O202" s="123" t="s">
        <v>3231</v>
      </c>
    </row>
    <row r="203" spans="1:15" ht="42.75" hidden="1" x14ac:dyDescent="0.15">
      <c r="A203" s="126" t="s">
        <v>449</v>
      </c>
      <c r="B203" s="123" t="s">
        <v>5017</v>
      </c>
      <c r="C203" s="124">
        <f>SUM(RMB[[#This Row],[箱型]:[VGM]])</f>
        <v>2140</v>
      </c>
      <c r="D203" s="123" t="s">
        <v>436</v>
      </c>
      <c r="E203" s="124">
        <v>540</v>
      </c>
      <c r="F203" s="124">
        <v>30</v>
      </c>
      <c r="G203" s="124">
        <v>1050</v>
      </c>
      <c r="H203" s="124">
        <v>500</v>
      </c>
      <c r="I203" s="124"/>
      <c r="J203" s="124"/>
      <c r="K203" s="124"/>
      <c r="L203" s="124">
        <v>20</v>
      </c>
      <c r="M203" s="126"/>
      <c r="N20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RCL人民币费用40GP：订舱540，THC1050，安保30，文件500/票，VGM20</v>
      </c>
      <c r="O203" s="123" t="s">
        <v>3231</v>
      </c>
    </row>
    <row r="204" spans="1:15" ht="42.75" hidden="1" x14ac:dyDescent="0.15">
      <c r="A204" s="126" t="s">
        <v>449</v>
      </c>
      <c r="B204" s="123" t="s">
        <v>5017</v>
      </c>
      <c r="C204" s="124">
        <f>SUM(RMB[[#This Row],[箱型]:[VGM]])</f>
        <v>2140</v>
      </c>
      <c r="D204" s="123" t="s">
        <v>437</v>
      </c>
      <c r="E204" s="124">
        <v>540</v>
      </c>
      <c r="F204" s="124">
        <v>30</v>
      </c>
      <c r="G204" s="124">
        <v>1050</v>
      </c>
      <c r="H204" s="124">
        <v>500</v>
      </c>
      <c r="I204" s="124"/>
      <c r="J204" s="124"/>
      <c r="K204" s="124"/>
      <c r="L204" s="124">
        <v>20</v>
      </c>
      <c r="M204" s="126"/>
      <c r="N20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RCL人民币费用40HC：订舱540，THC1050，安保30，文件500/票，VGM20</v>
      </c>
      <c r="O204" s="123" t="s">
        <v>3231</v>
      </c>
    </row>
    <row r="205" spans="1:15" ht="28.5" hidden="1" x14ac:dyDescent="0.15">
      <c r="A205" s="126" t="s">
        <v>449</v>
      </c>
      <c r="B205" s="123" t="s">
        <v>5017</v>
      </c>
      <c r="C205" s="124">
        <f>SUM(RMB[[#This Row],[箱型]:[VGM]])</f>
        <v>550</v>
      </c>
      <c r="D205" s="123" t="s">
        <v>438</v>
      </c>
      <c r="E205" s="124"/>
      <c r="F205" s="124">
        <v>30</v>
      </c>
      <c r="G205" s="124"/>
      <c r="H205" s="124">
        <v>500</v>
      </c>
      <c r="I205" s="124"/>
      <c r="J205" s="124"/>
      <c r="K205" s="124"/>
      <c r="L205" s="124">
        <v>20</v>
      </c>
      <c r="M205" s="126"/>
      <c r="N20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RCL人民币费用45HC：安保30，文件500/票，VGM20</v>
      </c>
      <c r="O205" s="123" t="s">
        <v>3231</v>
      </c>
    </row>
    <row r="206" spans="1:15" ht="42.75" hidden="1" x14ac:dyDescent="0.15">
      <c r="A206" s="126" t="s">
        <v>371</v>
      </c>
      <c r="B206" s="123" t="s">
        <v>5017</v>
      </c>
      <c r="C206" s="124">
        <f>SUM(RMB[[#This Row],[箱型]:[VGM]])</f>
        <v>1610</v>
      </c>
      <c r="D206" s="123" t="s">
        <v>435</v>
      </c>
      <c r="E206" s="124">
        <v>395</v>
      </c>
      <c r="F206" s="124">
        <v>20</v>
      </c>
      <c r="G206" s="124">
        <v>625</v>
      </c>
      <c r="H206" s="124">
        <v>450</v>
      </c>
      <c r="I206" s="124">
        <v>100</v>
      </c>
      <c r="J206" s="124"/>
      <c r="K206" s="124"/>
      <c r="L206" s="124">
        <v>20</v>
      </c>
      <c r="M206" s="126"/>
      <c r="N20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SAF人民币费用20GP：订舱395，THC625，安保20，文件450/票，封志100，VGM20</v>
      </c>
    </row>
    <row r="207" spans="1:15" ht="42.75" hidden="1" x14ac:dyDescent="0.15">
      <c r="A207" s="126" t="s">
        <v>371</v>
      </c>
      <c r="B207" s="123" t="s">
        <v>5017</v>
      </c>
      <c r="C207" s="124">
        <f>SUM(RMB[[#This Row],[箱型]:[VGM]])</f>
        <v>2100</v>
      </c>
      <c r="D207" s="123" t="s">
        <v>436</v>
      </c>
      <c r="E207" s="124">
        <v>520</v>
      </c>
      <c r="F207" s="124">
        <v>30</v>
      </c>
      <c r="G207" s="124">
        <v>980</v>
      </c>
      <c r="H207" s="124">
        <v>450</v>
      </c>
      <c r="I207" s="124">
        <v>100</v>
      </c>
      <c r="J207" s="124"/>
      <c r="K207" s="124"/>
      <c r="L207" s="124">
        <v>20</v>
      </c>
      <c r="M207" s="126"/>
      <c r="N20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SAF人民币费用40GP：订舱520，THC980，安保30，文件450/票，封志100，VGM20</v>
      </c>
    </row>
    <row r="208" spans="1:15" ht="42.75" hidden="1" x14ac:dyDescent="0.15">
      <c r="A208" s="126" t="s">
        <v>371</v>
      </c>
      <c r="B208" s="123" t="s">
        <v>5017</v>
      </c>
      <c r="C208" s="124">
        <f>SUM(RMB[[#This Row],[箱型]:[VGM]])</f>
        <v>2100</v>
      </c>
      <c r="D208" s="123" t="s">
        <v>437</v>
      </c>
      <c r="E208" s="124">
        <v>520</v>
      </c>
      <c r="F208" s="124">
        <v>30</v>
      </c>
      <c r="G208" s="124">
        <v>980</v>
      </c>
      <c r="H208" s="124">
        <v>450</v>
      </c>
      <c r="I208" s="124">
        <v>100</v>
      </c>
      <c r="J208" s="124"/>
      <c r="K208" s="124"/>
      <c r="L208" s="124">
        <v>20</v>
      </c>
      <c r="M208" s="126"/>
      <c r="N20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SAF人民币费用40HC：订舱520，THC980，安保30，文件450/票，封志100，VGM20</v>
      </c>
    </row>
    <row r="209" spans="1:15" ht="28.5" hidden="1" x14ac:dyDescent="0.15">
      <c r="A209" s="126" t="s">
        <v>371</v>
      </c>
      <c r="B209" s="123" t="s">
        <v>5017</v>
      </c>
      <c r="C209" s="124">
        <f>SUM(RMB[[#This Row],[箱型]:[VGM]])</f>
        <v>1980</v>
      </c>
      <c r="D209" s="123" t="s">
        <v>438</v>
      </c>
      <c r="E209" s="124"/>
      <c r="F209" s="124">
        <v>30</v>
      </c>
      <c r="G209" s="124">
        <v>1380</v>
      </c>
      <c r="H209" s="124">
        <v>450</v>
      </c>
      <c r="I209" s="124">
        <v>100</v>
      </c>
      <c r="J209" s="124"/>
      <c r="K209" s="124"/>
      <c r="L209" s="124">
        <v>20</v>
      </c>
      <c r="M209" s="126"/>
      <c r="N20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SAF人民币费用45HC：THC1380，安保30，文件450/票，封志100，VGM20</v>
      </c>
    </row>
    <row r="210" spans="1:15" ht="42.75" hidden="1" x14ac:dyDescent="0.15">
      <c r="A210" s="126" t="s">
        <v>450</v>
      </c>
      <c r="B210" s="123" t="s">
        <v>5017</v>
      </c>
      <c r="C210" s="124">
        <f>SUM(RMB[[#This Row],[箱型]:[VGM]])</f>
        <v>1600</v>
      </c>
      <c r="D210" s="123" t="s">
        <v>435</v>
      </c>
      <c r="E210" s="124">
        <v>305</v>
      </c>
      <c r="F210" s="124">
        <v>20</v>
      </c>
      <c r="G210" s="124">
        <v>755</v>
      </c>
      <c r="H210" s="124">
        <v>500</v>
      </c>
      <c r="I210" s="124"/>
      <c r="J210" s="124"/>
      <c r="K210" s="124"/>
      <c r="L210" s="124">
        <v>20</v>
      </c>
      <c r="M210" s="126"/>
      <c r="N21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SCI人民币费用20GP：订舱305，THC755，安保20，文件500/票，VGM20</v>
      </c>
    </row>
    <row r="211" spans="1:15" ht="42.75" hidden="1" x14ac:dyDescent="0.15">
      <c r="A211" s="126" t="s">
        <v>450</v>
      </c>
      <c r="B211" s="123" t="s">
        <v>5017</v>
      </c>
      <c r="C211" s="124">
        <f>SUM(RMB[[#This Row],[箱型]:[VGM]])</f>
        <v>2192</v>
      </c>
      <c r="D211" s="123" t="s">
        <v>436</v>
      </c>
      <c r="E211" s="124">
        <v>510</v>
      </c>
      <c r="F211" s="124">
        <v>30</v>
      </c>
      <c r="G211" s="124">
        <v>1132</v>
      </c>
      <c r="H211" s="124">
        <v>500</v>
      </c>
      <c r="I211" s="124"/>
      <c r="J211" s="124"/>
      <c r="K211" s="124"/>
      <c r="L211" s="124">
        <v>20</v>
      </c>
      <c r="M211" s="126"/>
      <c r="N21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SCI人民币费用40GP：订舱510，THC1132，安保30，文件500/票，VGM20</v>
      </c>
    </row>
    <row r="212" spans="1:15" ht="42.75" hidden="1" x14ac:dyDescent="0.15">
      <c r="A212" s="126" t="s">
        <v>450</v>
      </c>
      <c r="B212" s="123" t="s">
        <v>5017</v>
      </c>
      <c r="C212" s="124">
        <f>SUM(RMB[[#This Row],[箱型]:[VGM]])</f>
        <v>2192</v>
      </c>
      <c r="D212" s="123" t="s">
        <v>437</v>
      </c>
      <c r="E212" s="124">
        <v>510</v>
      </c>
      <c r="F212" s="124">
        <v>30</v>
      </c>
      <c r="G212" s="124">
        <v>1132</v>
      </c>
      <c r="H212" s="124">
        <v>500</v>
      </c>
      <c r="I212" s="124"/>
      <c r="J212" s="124"/>
      <c r="K212" s="124"/>
      <c r="L212" s="124">
        <v>20</v>
      </c>
      <c r="M212" s="126"/>
      <c r="N21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SCI人民币费用40HC：订舱510，THC1132，安保30，文件500/票，VGM20</v>
      </c>
    </row>
    <row r="213" spans="1:15" ht="28.5" hidden="1" x14ac:dyDescent="0.15">
      <c r="A213" s="126" t="s">
        <v>450</v>
      </c>
      <c r="B213" s="123" t="s">
        <v>5017</v>
      </c>
      <c r="C213" s="124">
        <f>SUM(RMB[[#This Row],[箱型]:[VGM]])</f>
        <v>550</v>
      </c>
      <c r="D213" s="123" t="s">
        <v>438</v>
      </c>
      <c r="E213" s="124"/>
      <c r="F213" s="124">
        <v>30</v>
      </c>
      <c r="G213" s="124"/>
      <c r="H213" s="124">
        <v>500</v>
      </c>
      <c r="I213" s="124"/>
      <c r="J213" s="124"/>
      <c r="K213" s="124"/>
      <c r="L213" s="124">
        <v>20</v>
      </c>
      <c r="M213" s="126"/>
      <c r="N21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SCI人民币费用45HC：安保30，文件500/票，VGM20</v>
      </c>
    </row>
    <row r="214" spans="1:15" ht="42.75" hidden="1" x14ac:dyDescent="0.15">
      <c r="A214" s="126" t="s">
        <v>451</v>
      </c>
      <c r="B214" s="123" t="s">
        <v>5017</v>
      </c>
      <c r="C214" s="124">
        <f>SUM(RMB[[#This Row],[箱型]:[VGM]])</f>
        <v>1650</v>
      </c>
      <c r="D214" s="123" t="s">
        <v>435</v>
      </c>
      <c r="E214" s="124">
        <v>315</v>
      </c>
      <c r="F214" s="124">
        <v>20</v>
      </c>
      <c r="G214" s="124">
        <v>765</v>
      </c>
      <c r="H214" s="124">
        <v>500</v>
      </c>
      <c r="I214" s="124">
        <v>30</v>
      </c>
      <c r="J214" s="124"/>
      <c r="K214" s="124"/>
      <c r="L214" s="124">
        <v>20</v>
      </c>
      <c r="M214" s="126"/>
      <c r="N21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SMDL人民币费用20GP：订舱315，THC765，安保20，文件500/票，封志30，VGM20</v>
      </c>
    </row>
    <row r="215" spans="1:15" ht="42.75" hidden="1" x14ac:dyDescent="0.15">
      <c r="A215" s="126" t="s">
        <v>451</v>
      </c>
      <c r="B215" s="123" t="s">
        <v>5017</v>
      </c>
      <c r="C215" s="124">
        <f>SUM(RMB[[#This Row],[箱型]:[VGM]])</f>
        <v>2238</v>
      </c>
      <c r="D215" s="123" t="s">
        <v>436</v>
      </c>
      <c r="E215" s="124">
        <v>510</v>
      </c>
      <c r="F215" s="124">
        <v>30</v>
      </c>
      <c r="G215" s="124">
        <v>1148</v>
      </c>
      <c r="H215" s="124">
        <v>500</v>
      </c>
      <c r="I215" s="124">
        <v>30</v>
      </c>
      <c r="J215" s="124"/>
      <c r="K215" s="124"/>
      <c r="L215" s="124">
        <v>20</v>
      </c>
      <c r="M215" s="126"/>
      <c r="N21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SMDL人民币费用40GP：订舱510，THC1148，安保30，文件500/票，封志30，VGM20</v>
      </c>
    </row>
    <row r="216" spans="1:15" ht="42.75" hidden="1" x14ac:dyDescent="0.15">
      <c r="A216" s="126" t="s">
        <v>451</v>
      </c>
      <c r="B216" s="123" t="s">
        <v>5017</v>
      </c>
      <c r="C216" s="124">
        <f>SUM(RMB[[#This Row],[箱型]:[VGM]])</f>
        <v>2238</v>
      </c>
      <c r="D216" s="123" t="s">
        <v>437</v>
      </c>
      <c r="E216" s="124">
        <v>510</v>
      </c>
      <c r="F216" s="124">
        <v>30</v>
      </c>
      <c r="G216" s="124">
        <v>1148</v>
      </c>
      <c r="H216" s="124">
        <v>500</v>
      </c>
      <c r="I216" s="124">
        <v>30</v>
      </c>
      <c r="J216" s="124"/>
      <c r="K216" s="124"/>
      <c r="L216" s="124">
        <v>20</v>
      </c>
      <c r="M216" s="126"/>
      <c r="N21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SMDL人民币费用40HC：订舱510，THC1148，安保30，文件500/票，封志30，VGM20</v>
      </c>
    </row>
    <row r="217" spans="1:15" ht="28.5" hidden="1" x14ac:dyDescent="0.15">
      <c r="A217" s="126" t="s">
        <v>451</v>
      </c>
      <c r="B217" s="123" t="s">
        <v>5017</v>
      </c>
      <c r="C217" s="124">
        <f>SUM(RMB[[#This Row],[箱型]:[VGM]])</f>
        <v>580</v>
      </c>
      <c r="D217" s="123" t="s">
        <v>438</v>
      </c>
      <c r="E217" s="124"/>
      <c r="F217" s="124">
        <v>30</v>
      </c>
      <c r="G217" s="124"/>
      <c r="H217" s="124">
        <v>500</v>
      </c>
      <c r="I217" s="124">
        <v>30</v>
      </c>
      <c r="J217" s="124"/>
      <c r="K217" s="124"/>
      <c r="L217" s="124">
        <v>20</v>
      </c>
      <c r="M217" s="126"/>
      <c r="N21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SMDL人民币费用45HC：安保30，文件500/票，封志30，VGM20</v>
      </c>
    </row>
    <row r="218" spans="1:15" ht="42.75" hidden="1" x14ac:dyDescent="0.15">
      <c r="A218" s="126" t="s">
        <v>452</v>
      </c>
      <c r="B218" s="123" t="s">
        <v>5017</v>
      </c>
      <c r="C218" s="124">
        <f>SUM(RMB[[#This Row],[箱型]:[VGM]])</f>
        <v>1740</v>
      </c>
      <c r="D218" s="123" t="s">
        <v>435</v>
      </c>
      <c r="E218" s="124">
        <v>375</v>
      </c>
      <c r="F218" s="124">
        <v>20</v>
      </c>
      <c r="G218" s="124">
        <v>825</v>
      </c>
      <c r="H218" s="124">
        <v>500</v>
      </c>
      <c r="I218" s="124"/>
      <c r="J218" s="124"/>
      <c r="K218" s="124"/>
      <c r="L218" s="124">
        <v>20</v>
      </c>
      <c r="M218" s="126"/>
      <c r="N21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TS人民币费用20GP：订舱375，THC825，安保20，文件500/票，VGM20</v>
      </c>
    </row>
    <row r="219" spans="1:15" ht="42.75" hidden="1" x14ac:dyDescent="0.15">
      <c r="A219" s="126" t="s">
        <v>452</v>
      </c>
      <c r="B219" s="123" t="s">
        <v>5017</v>
      </c>
      <c r="C219" s="124">
        <f>SUM(RMB[[#This Row],[箱型]:[VGM]])</f>
        <v>2360</v>
      </c>
      <c r="D219" s="123" t="s">
        <v>436</v>
      </c>
      <c r="E219" s="124">
        <v>580</v>
      </c>
      <c r="F219" s="124">
        <v>30</v>
      </c>
      <c r="G219" s="124">
        <v>1230</v>
      </c>
      <c r="H219" s="124">
        <v>500</v>
      </c>
      <c r="I219" s="124"/>
      <c r="J219" s="124"/>
      <c r="K219" s="124"/>
      <c r="L219" s="124">
        <v>20</v>
      </c>
      <c r="M219" s="126"/>
      <c r="N21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TS人民币费用40GP：订舱580，THC1230，安保30，文件500/票，VGM20</v>
      </c>
    </row>
    <row r="220" spans="1:15" ht="42.75" hidden="1" x14ac:dyDescent="0.15">
      <c r="A220" s="126" t="s">
        <v>452</v>
      </c>
      <c r="B220" s="123" t="s">
        <v>5017</v>
      </c>
      <c r="C220" s="124">
        <f>SUM(RMB[[#This Row],[箱型]:[VGM]])</f>
        <v>2360</v>
      </c>
      <c r="D220" s="123" t="s">
        <v>437</v>
      </c>
      <c r="E220" s="124">
        <v>580</v>
      </c>
      <c r="F220" s="124">
        <v>30</v>
      </c>
      <c r="G220" s="124">
        <v>1230</v>
      </c>
      <c r="H220" s="124">
        <v>500</v>
      </c>
      <c r="I220" s="124"/>
      <c r="J220" s="124"/>
      <c r="K220" s="124"/>
      <c r="L220" s="124">
        <v>20</v>
      </c>
      <c r="M220" s="126"/>
      <c r="N22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TS人民币费用40HC：订舱580，THC1230，安保30，文件500/票，VGM20</v>
      </c>
    </row>
    <row r="221" spans="1:15" ht="28.5" hidden="1" x14ac:dyDescent="0.15">
      <c r="A221" s="126" t="s">
        <v>452</v>
      </c>
      <c r="B221" s="123" t="s">
        <v>5017</v>
      </c>
      <c r="C221" s="124">
        <f>SUM(RMB[[#This Row],[箱型]:[VGM]])</f>
        <v>550</v>
      </c>
      <c r="D221" s="123" t="s">
        <v>438</v>
      </c>
      <c r="E221" s="124"/>
      <c r="F221" s="124">
        <v>30</v>
      </c>
      <c r="G221" s="124"/>
      <c r="H221" s="124">
        <v>500</v>
      </c>
      <c r="I221" s="124"/>
      <c r="J221" s="124"/>
      <c r="K221" s="124"/>
      <c r="L221" s="124">
        <v>20</v>
      </c>
      <c r="M221" s="126"/>
      <c r="N22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TS人民币费用45HC：安保30，文件500/票，VGM20</v>
      </c>
    </row>
    <row r="222" spans="1:15" ht="42.75" hidden="1" x14ac:dyDescent="0.15">
      <c r="A222" s="126" t="s">
        <v>453</v>
      </c>
      <c r="B222" s="123" t="s">
        <v>5017</v>
      </c>
      <c r="C222" s="124">
        <f>SUM(RMB[[#This Row],[箱型]:[VGM]])</f>
        <v>1524</v>
      </c>
      <c r="D222" s="123" t="s">
        <v>435</v>
      </c>
      <c r="E222" s="124">
        <v>309</v>
      </c>
      <c r="F222" s="124">
        <v>20</v>
      </c>
      <c r="G222" s="124">
        <v>665</v>
      </c>
      <c r="H222" s="124">
        <v>450</v>
      </c>
      <c r="I222" s="124">
        <v>30</v>
      </c>
      <c r="J222" s="124">
        <v>30</v>
      </c>
      <c r="K222" s="124"/>
      <c r="L222" s="124">
        <v>20</v>
      </c>
      <c r="M222" s="126"/>
      <c r="N22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UASC人民币费用20GP：订舱309，THC665，安保20，文件450/票，设备管理30，封志30，VGM20</v>
      </c>
      <c r="O222" s="123" t="s">
        <v>3228</v>
      </c>
    </row>
    <row r="223" spans="1:15" ht="42.75" hidden="1" x14ac:dyDescent="0.15">
      <c r="A223" s="126" t="s">
        <v>453</v>
      </c>
      <c r="B223" s="123" t="s">
        <v>5017</v>
      </c>
      <c r="C223" s="124">
        <f>SUM(RMB[[#This Row],[箱型]:[VGM]])</f>
        <v>2117</v>
      </c>
      <c r="D223" s="123" t="s">
        <v>436</v>
      </c>
      <c r="E223" s="124">
        <v>500</v>
      </c>
      <c r="F223" s="124">
        <v>30</v>
      </c>
      <c r="G223" s="124">
        <v>997</v>
      </c>
      <c r="H223" s="124">
        <v>450</v>
      </c>
      <c r="I223" s="124">
        <v>60</v>
      </c>
      <c r="J223" s="124">
        <v>60</v>
      </c>
      <c r="K223" s="124"/>
      <c r="L223" s="124">
        <v>20</v>
      </c>
      <c r="M223" s="126"/>
      <c r="N22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UASC人民币费用40GP：订舱500，THC997，安保30，文件450/票，设备管理60，封志60，VGM20</v>
      </c>
      <c r="O223" s="123" t="s">
        <v>3228</v>
      </c>
    </row>
    <row r="224" spans="1:15" ht="42.75" hidden="1" x14ac:dyDescent="0.15">
      <c r="A224" s="126" t="s">
        <v>453</v>
      </c>
      <c r="B224" s="123" t="s">
        <v>5017</v>
      </c>
      <c r="C224" s="124">
        <f>SUM(RMB[[#This Row],[箱型]:[VGM]])</f>
        <v>2117</v>
      </c>
      <c r="D224" s="123" t="s">
        <v>437</v>
      </c>
      <c r="E224" s="124">
        <v>500</v>
      </c>
      <c r="F224" s="124">
        <v>30</v>
      </c>
      <c r="G224" s="124">
        <v>997</v>
      </c>
      <c r="H224" s="124">
        <v>450</v>
      </c>
      <c r="I224" s="124">
        <v>60</v>
      </c>
      <c r="J224" s="124">
        <v>60</v>
      </c>
      <c r="K224" s="124"/>
      <c r="L224" s="124">
        <v>20</v>
      </c>
      <c r="M224" s="126"/>
      <c r="N22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UASC人民币费用40HC：订舱500，THC997，安保30，文件450/票，设备管理60，封志60，VGM20</v>
      </c>
      <c r="O224" s="123" t="s">
        <v>3228</v>
      </c>
    </row>
    <row r="225" spans="1:15" ht="42.75" hidden="1" x14ac:dyDescent="0.15">
      <c r="A225" s="126" t="s">
        <v>453</v>
      </c>
      <c r="B225" s="123" t="s">
        <v>5017</v>
      </c>
      <c r="C225" s="124">
        <f>SUM(RMB[[#This Row],[箱型]:[VGM]])</f>
        <v>1120</v>
      </c>
      <c r="D225" s="123" t="s">
        <v>438</v>
      </c>
      <c r="E225" s="124">
        <v>500</v>
      </c>
      <c r="F225" s="124">
        <v>30</v>
      </c>
      <c r="G225" s="124"/>
      <c r="H225" s="124">
        <v>450</v>
      </c>
      <c r="I225" s="124">
        <v>60</v>
      </c>
      <c r="J225" s="124">
        <v>60</v>
      </c>
      <c r="K225" s="124"/>
      <c r="L225" s="124">
        <v>20</v>
      </c>
      <c r="M225" s="126"/>
      <c r="N22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UASC人民币费用45HC：订舱500，安保30，文件450/票，设备管理60，封志60，VGM20</v>
      </c>
      <c r="O225" s="123" t="s">
        <v>3228</v>
      </c>
    </row>
    <row r="226" spans="1:15" ht="42.75" hidden="1" x14ac:dyDescent="0.15">
      <c r="A226" s="126" t="s">
        <v>454</v>
      </c>
      <c r="B226" s="123" t="s">
        <v>5017</v>
      </c>
      <c r="C226" s="124">
        <f>SUM(RMB[[#This Row],[箱型]:[VGM]])</f>
        <v>1582</v>
      </c>
      <c r="D226" s="123" t="s">
        <v>435</v>
      </c>
      <c r="E226" s="124">
        <v>375</v>
      </c>
      <c r="F226" s="124">
        <v>20</v>
      </c>
      <c r="G226" s="124">
        <v>672</v>
      </c>
      <c r="H226" s="124">
        <v>450</v>
      </c>
      <c r="I226" s="124">
        <v>45</v>
      </c>
      <c r="J226" s="124"/>
      <c r="K226" s="124"/>
      <c r="L226" s="124">
        <v>20</v>
      </c>
      <c r="M226" s="126"/>
      <c r="N22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WANHAI人民币费用20GP：订舱375，THC672，安保20，文件450/票，封志45，VGM20</v>
      </c>
      <c r="O226" s="123" t="s">
        <v>3232</v>
      </c>
    </row>
    <row r="227" spans="1:15" ht="42.75" hidden="1" x14ac:dyDescent="0.15">
      <c r="A227" s="126" t="s">
        <v>454</v>
      </c>
      <c r="B227" s="123" t="s">
        <v>5017</v>
      </c>
      <c r="C227" s="124">
        <f>SUM(RMB[[#This Row],[箱型]:[VGM]])</f>
        <v>2133</v>
      </c>
      <c r="D227" s="123" t="s">
        <v>436</v>
      </c>
      <c r="E227" s="124">
        <v>580</v>
      </c>
      <c r="F227" s="124">
        <v>30</v>
      </c>
      <c r="G227" s="124">
        <v>1008</v>
      </c>
      <c r="H227" s="124">
        <v>450</v>
      </c>
      <c r="I227" s="124">
        <v>45</v>
      </c>
      <c r="J227" s="124"/>
      <c r="K227" s="124"/>
      <c r="L227" s="124">
        <v>20</v>
      </c>
      <c r="M227" s="126"/>
      <c r="N22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WANHAI人民币费用40GP：订舱580，THC1008，安保30，文件450/票，封志45，VGM20</v>
      </c>
      <c r="O227" s="123" t="s">
        <v>3232</v>
      </c>
    </row>
    <row r="228" spans="1:15" ht="42.75" hidden="1" x14ac:dyDescent="0.15">
      <c r="A228" s="126" t="s">
        <v>454</v>
      </c>
      <c r="B228" s="123" t="s">
        <v>5017</v>
      </c>
      <c r="C228" s="124">
        <f>SUM(RMB[[#This Row],[箱型]:[VGM]])</f>
        <v>2133</v>
      </c>
      <c r="D228" s="123" t="s">
        <v>437</v>
      </c>
      <c r="E228" s="124">
        <v>580</v>
      </c>
      <c r="F228" s="124">
        <v>30</v>
      </c>
      <c r="G228" s="124">
        <v>1008</v>
      </c>
      <c r="H228" s="124">
        <v>450</v>
      </c>
      <c r="I228" s="124">
        <v>45</v>
      </c>
      <c r="J228" s="124"/>
      <c r="K228" s="124"/>
      <c r="L228" s="124">
        <v>20</v>
      </c>
      <c r="M228" s="126"/>
      <c r="N22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WANHAI人民币费用40HC：订舱580，THC1008，安保30，文件450/票，封志45，VGM20</v>
      </c>
      <c r="O228" s="123" t="s">
        <v>3232</v>
      </c>
    </row>
    <row r="229" spans="1:15" ht="42.75" hidden="1" x14ac:dyDescent="0.15">
      <c r="A229" s="126" t="s">
        <v>454</v>
      </c>
      <c r="B229" s="123" t="s">
        <v>5017</v>
      </c>
      <c r="C229" s="124">
        <f>SUM(RMB[[#This Row],[箱型]:[VGM]])</f>
        <v>1956</v>
      </c>
      <c r="D229" s="123" t="s">
        <v>438</v>
      </c>
      <c r="E229" s="124"/>
      <c r="F229" s="124">
        <v>30</v>
      </c>
      <c r="G229" s="124">
        <v>1411</v>
      </c>
      <c r="H229" s="124">
        <v>450</v>
      </c>
      <c r="I229" s="124">
        <v>45</v>
      </c>
      <c r="J229" s="124"/>
      <c r="K229" s="124"/>
      <c r="L229" s="124">
        <v>20</v>
      </c>
      <c r="M229" s="126"/>
      <c r="N22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WANHAI人民币费用45HC：THC1411，安保30，文件450/票，封志45，VGM20</v>
      </c>
      <c r="O229" s="123" t="s">
        <v>3232</v>
      </c>
    </row>
    <row r="230" spans="1:15" ht="42.75" hidden="1" x14ac:dyDescent="0.15">
      <c r="A230" s="126" t="s">
        <v>5023</v>
      </c>
      <c r="B230" s="123" t="s">
        <v>5017</v>
      </c>
      <c r="C230" s="124">
        <f>SUM(RMB[[#This Row],[箱型]:[VGM]])</f>
        <v>1508</v>
      </c>
      <c r="D230" s="123" t="s">
        <v>435</v>
      </c>
      <c r="E230" s="124">
        <v>320</v>
      </c>
      <c r="F230" s="124"/>
      <c r="G230" s="124">
        <v>663</v>
      </c>
      <c r="H230" s="124">
        <v>450</v>
      </c>
      <c r="I230" s="124"/>
      <c r="J230" s="124">
        <v>55</v>
      </c>
      <c r="K230" s="124"/>
      <c r="L230" s="124">
        <v>20</v>
      </c>
      <c r="M230" s="126" t="s">
        <v>5024</v>
      </c>
      <c r="N23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YML普箱人民币费用20GP：订舱320，THC663，文件450/票，设备管理55，VGM20</v>
      </c>
      <c r="O230" s="123" t="s">
        <v>3235</v>
      </c>
    </row>
    <row r="231" spans="1:15" ht="42.75" hidden="1" x14ac:dyDescent="0.15">
      <c r="A231" s="126" t="s">
        <v>5023</v>
      </c>
      <c r="B231" s="123" t="s">
        <v>5017</v>
      </c>
      <c r="C231" s="124">
        <f>SUM(RMB[[#This Row],[箱型]:[VGM]])</f>
        <v>1518</v>
      </c>
      <c r="D231" s="123" t="s">
        <v>435</v>
      </c>
      <c r="E231" s="124">
        <v>330</v>
      </c>
      <c r="F231" s="124"/>
      <c r="G231" s="124">
        <v>663</v>
      </c>
      <c r="H231" s="124">
        <v>450</v>
      </c>
      <c r="I231" s="124"/>
      <c r="J231" s="124">
        <v>55</v>
      </c>
      <c r="K231" s="124"/>
      <c r="L231" s="124">
        <v>20</v>
      </c>
      <c r="M231" s="126" t="s">
        <v>5025</v>
      </c>
      <c r="N23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YML普箱人民币费用20GP：订舱330，THC663，文件450/票，设备管理55，VGM20</v>
      </c>
      <c r="O231" s="123" t="s">
        <v>3235</v>
      </c>
    </row>
    <row r="232" spans="1:15" ht="42.75" hidden="1" x14ac:dyDescent="0.15">
      <c r="A232" s="126" t="s">
        <v>5023</v>
      </c>
      <c r="B232" s="123" t="s">
        <v>5017</v>
      </c>
      <c r="C232" s="124">
        <f>SUM(RMB[[#This Row],[箱型]:[VGM]])</f>
        <v>2092</v>
      </c>
      <c r="D232" s="123" t="s">
        <v>436</v>
      </c>
      <c r="E232" s="124">
        <v>540</v>
      </c>
      <c r="F232" s="124"/>
      <c r="G232" s="124">
        <v>1027</v>
      </c>
      <c r="H232" s="124">
        <v>450</v>
      </c>
      <c r="I232" s="124"/>
      <c r="J232" s="124">
        <v>55</v>
      </c>
      <c r="K232" s="124"/>
      <c r="L232" s="124">
        <v>20</v>
      </c>
      <c r="M232" s="126" t="s">
        <v>5024</v>
      </c>
      <c r="N232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YML普箱人民币费用40GP：订舱540，THC1027，文件450/票，设备管理55，VGM20</v>
      </c>
      <c r="O232" s="123" t="s">
        <v>3235</v>
      </c>
    </row>
    <row r="233" spans="1:15" ht="42.75" hidden="1" x14ac:dyDescent="0.15">
      <c r="A233" s="126" t="s">
        <v>5023</v>
      </c>
      <c r="B233" s="123" t="s">
        <v>5017</v>
      </c>
      <c r="C233" s="124">
        <f>SUM(RMB[[#This Row],[箱型]:[VGM]])</f>
        <v>2117</v>
      </c>
      <c r="D233" s="123" t="s">
        <v>436</v>
      </c>
      <c r="E233" s="124">
        <v>565</v>
      </c>
      <c r="F233" s="124"/>
      <c r="G233" s="124">
        <v>1027</v>
      </c>
      <c r="H233" s="124">
        <v>450</v>
      </c>
      <c r="I233" s="124"/>
      <c r="J233" s="124">
        <v>55</v>
      </c>
      <c r="K233" s="124"/>
      <c r="L233" s="124">
        <v>20</v>
      </c>
      <c r="M233" s="126" t="s">
        <v>5025</v>
      </c>
      <c r="N233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YML普箱人民币费用40GP：订舱565，THC1027，文件450/票，设备管理55，VGM20</v>
      </c>
      <c r="O233" s="123" t="s">
        <v>3235</v>
      </c>
    </row>
    <row r="234" spans="1:15" ht="42.75" hidden="1" x14ac:dyDescent="0.15">
      <c r="A234" s="126" t="s">
        <v>5023</v>
      </c>
      <c r="B234" s="123" t="s">
        <v>5017</v>
      </c>
      <c r="C234" s="124">
        <f>SUM(RMB[[#This Row],[箱型]:[VGM]])</f>
        <v>2092</v>
      </c>
      <c r="D234" s="123" t="s">
        <v>437</v>
      </c>
      <c r="E234" s="124">
        <v>540</v>
      </c>
      <c r="F234" s="124"/>
      <c r="G234" s="124">
        <v>1027</v>
      </c>
      <c r="H234" s="124">
        <v>450</v>
      </c>
      <c r="I234" s="124"/>
      <c r="J234" s="124">
        <v>55</v>
      </c>
      <c r="K234" s="124"/>
      <c r="L234" s="124">
        <v>20</v>
      </c>
      <c r="M234" s="126" t="s">
        <v>5024</v>
      </c>
      <c r="N234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YML普箱人民币费用40HC：订舱540，THC1027，文件450/票，设备管理55，VGM20</v>
      </c>
      <c r="O234" s="123" t="s">
        <v>3235</v>
      </c>
    </row>
    <row r="235" spans="1:15" ht="42.75" hidden="1" x14ac:dyDescent="0.15">
      <c r="A235" s="126" t="s">
        <v>5023</v>
      </c>
      <c r="B235" s="123" t="s">
        <v>5017</v>
      </c>
      <c r="C235" s="124">
        <f>SUM(RMB[[#This Row],[箱型]:[VGM]])</f>
        <v>2117</v>
      </c>
      <c r="D235" s="123" t="s">
        <v>437</v>
      </c>
      <c r="E235" s="124">
        <v>565</v>
      </c>
      <c r="F235" s="124"/>
      <c r="G235" s="124">
        <v>1027</v>
      </c>
      <c r="H235" s="124">
        <v>450</v>
      </c>
      <c r="I235" s="124"/>
      <c r="J235" s="124">
        <v>55</v>
      </c>
      <c r="K235" s="124"/>
      <c r="L235" s="124">
        <v>20</v>
      </c>
      <c r="M235" s="126" t="s">
        <v>5025</v>
      </c>
      <c r="N235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YML普箱人民币费用40HC：订舱565，THC1027，文件450/票，设备管理55，VGM20</v>
      </c>
      <c r="O235" s="123" t="s">
        <v>3235</v>
      </c>
    </row>
    <row r="236" spans="1:15" ht="42.75" hidden="1" x14ac:dyDescent="0.15">
      <c r="A236" s="126" t="s">
        <v>5023</v>
      </c>
      <c r="B236" s="123" t="s">
        <v>5017</v>
      </c>
      <c r="C236" s="124">
        <f>SUM(RMB[[#This Row],[箱型]:[VGM]])</f>
        <v>2471</v>
      </c>
      <c r="D236" s="123" t="s">
        <v>438</v>
      </c>
      <c r="E236" s="124">
        <v>640</v>
      </c>
      <c r="F236" s="124"/>
      <c r="G236" s="124">
        <v>1306</v>
      </c>
      <c r="H236" s="124">
        <v>450</v>
      </c>
      <c r="I236" s="124"/>
      <c r="J236" s="124">
        <v>55</v>
      </c>
      <c r="K236" s="124"/>
      <c r="L236" s="124">
        <v>20</v>
      </c>
      <c r="M236" s="126" t="s">
        <v>5024</v>
      </c>
      <c r="N236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YML普箱人民币费用45HC：订舱640，THC1306，文件450/票，设备管理55，VGM20</v>
      </c>
      <c r="O236" s="123" t="s">
        <v>3235</v>
      </c>
    </row>
    <row r="237" spans="1:15" ht="42.75" hidden="1" x14ac:dyDescent="0.15">
      <c r="A237" s="126" t="s">
        <v>5023</v>
      </c>
      <c r="B237" s="123" t="s">
        <v>5017</v>
      </c>
      <c r="C237" s="124">
        <f>SUM(RMB[[#This Row],[箱型]:[VGM]])</f>
        <v>2396</v>
      </c>
      <c r="D237" s="123" t="s">
        <v>438</v>
      </c>
      <c r="E237" s="124">
        <v>565</v>
      </c>
      <c r="F237" s="124"/>
      <c r="G237" s="124">
        <v>1306</v>
      </c>
      <c r="H237" s="124">
        <v>450</v>
      </c>
      <c r="I237" s="124"/>
      <c r="J237" s="124">
        <v>55</v>
      </c>
      <c r="K237" s="124"/>
      <c r="L237" s="124">
        <v>20</v>
      </c>
      <c r="M237" s="126" t="s">
        <v>5025</v>
      </c>
      <c r="N237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YML普箱人民币费用45HC：订舱565，THC1306，文件450/票，设备管理55，VGM20</v>
      </c>
      <c r="O237" s="123" t="s">
        <v>3235</v>
      </c>
    </row>
    <row r="238" spans="1:15" ht="42.75" hidden="1" x14ac:dyDescent="0.15">
      <c r="A238" s="126" t="s">
        <v>381</v>
      </c>
      <c r="B238" s="123" t="s">
        <v>5017</v>
      </c>
      <c r="C238" s="124">
        <f>SUM(RMB[[#This Row],[箱型]:[VGM]])</f>
        <v>1597</v>
      </c>
      <c r="D238" s="123" t="s">
        <v>435</v>
      </c>
      <c r="E238" s="124">
        <v>285</v>
      </c>
      <c r="F238" s="124">
        <v>21</v>
      </c>
      <c r="G238" s="124">
        <v>693</v>
      </c>
      <c r="H238" s="124">
        <v>500</v>
      </c>
      <c r="I238" s="124">
        <v>48</v>
      </c>
      <c r="J238" s="124">
        <v>30</v>
      </c>
      <c r="K238" s="124"/>
      <c r="L238" s="124">
        <v>20</v>
      </c>
      <c r="M238" s="126" t="s">
        <v>455</v>
      </c>
      <c r="N238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ZIM人民币费用20GP：订舱285，THC693，安保21，文件500/票，设备管理30，封志48，VGM20</v>
      </c>
      <c r="O238" s="123" t="s">
        <v>3233</v>
      </c>
    </row>
    <row r="239" spans="1:15" ht="42.75" hidden="1" x14ac:dyDescent="0.15">
      <c r="A239" s="126" t="s">
        <v>381</v>
      </c>
      <c r="B239" s="123" t="s">
        <v>5017</v>
      </c>
      <c r="C239" s="124">
        <f>SUM(RMB[[#This Row],[箱型]:[VGM]])</f>
        <v>2158</v>
      </c>
      <c r="D239" s="123" t="s">
        <v>436</v>
      </c>
      <c r="E239" s="124">
        <v>490</v>
      </c>
      <c r="F239" s="124">
        <v>32</v>
      </c>
      <c r="G239" s="124">
        <v>1038</v>
      </c>
      <c r="H239" s="124">
        <v>500</v>
      </c>
      <c r="I239" s="124">
        <v>48</v>
      </c>
      <c r="J239" s="124">
        <v>30</v>
      </c>
      <c r="K239" s="124"/>
      <c r="L239" s="124">
        <v>20</v>
      </c>
      <c r="M239" s="126" t="s">
        <v>455</v>
      </c>
      <c r="N239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ZIM人民币费用40GP：订舱490，THC1038，安保32，文件500/票，设备管理30，封志48，VGM20</v>
      </c>
      <c r="O239" s="123" t="s">
        <v>3233</v>
      </c>
    </row>
    <row r="240" spans="1:15" ht="42.75" hidden="1" x14ac:dyDescent="0.15">
      <c r="A240" s="126" t="s">
        <v>381</v>
      </c>
      <c r="B240" s="123" t="s">
        <v>5017</v>
      </c>
      <c r="C240" s="124">
        <f>SUM(RMB[[#This Row],[箱型]:[VGM]])</f>
        <v>2158</v>
      </c>
      <c r="D240" s="123" t="s">
        <v>437</v>
      </c>
      <c r="E240" s="124">
        <v>490</v>
      </c>
      <c r="F240" s="124">
        <v>32</v>
      </c>
      <c r="G240" s="124">
        <v>1038</v>
      </c>
      <c r="H240" s="124">
        <v>500</v>
      </c>
      <c r="I240" s="124">
        <v>48</v>
      </c>
      <c r="J240" s="124">
        <v>30</v>
      </c>
      <c r="K240" s="124"/>
      <c r="L240" s="124">
        <v>20</v>
      </c>
      <c r="M240" s="126" t="s">
        <v>455</v>
      </c>
      <c r="N240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ZIM人民币费用40HC：订舱490，THC1038，安保32，文件500/票，设备管理30，封志48，VGM20</v>
      </c>
      <c r="O240" s="123" t="s">
        <v>3233</v>
      </c>
    </row>
    <row r="241" spans="1:15" ht="42.75" hidden="1" x14ac:dyDescent="0.15">
      <c r="A241" s="126" t="s">
        <v>381</v>
      </c>
      <c r="B241" s="123" t="s">
        <v>5017</v>
      </c>
      <c r="C241" s="124">
        <f>SUM(RMB[[#This Row],[箱型]:[VGM]])</f>
        <v>2082</v>
      </c>
      <c r="D241" s="123" t="s">
        <v>438</v>
      </c>
      <c r="E241" s="124"/>
      <c r="F241" s="124">
        <v>32</v>
      </c>
      <c r="G241" s="124">
        <v>1452</v>
      </c>
      <c r="H241" s="124">
        <v>500</v>
      </c>
      <c r="I241" s="124">
        <v>48</v>
      </c>
      <c r="J241" s="124">
        <v>30</v>
      </c>
      <c r="K241" s="124"/>
      <c r="L241" s="124">
        <v>20</v>
      </c>
      <c r="M241" s="126" t="s">
        <v>455</v>
      </c>
      <c r="N241" s="127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Row],[安保]]),"","安保"&amp;RMB[[#This Row],[安保]]&amp;"，")
&amp;IF(ISBLANK(RMB[[#This Row],[文件]]),"","文件"&amp;RMB[[#This Row],[文件]]&amp;"/票，")
&amp;IF(ISBLANK(RMB[[#This Row],[设备]]),"","设备管理"&amp;RMB[[#This Row],[设备]]&amp;"，")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ZIM人民币费用45HC：THC1452，安保32，文件500/票，设备管理30，封志48，VGM20</v>
      </c>
      <c r="O241" s="123" t="s">
        <v>3233</v>
      </c>
    </row>
  </sheetData>
  <phoneticPr fontId="9" type="noConversion"/>
  <pageMargins left="0.11811023622047245" right="0.11811023622047245" top="0.74803149606299213" bottom="0.74803149606299213" header="0.31496062992125984" footer="0.31496062992125984"/>
  <pageSetup paperSize="9" orientation="landscape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G3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E3" sqref="AE3"/>
    </sheetView>
  </sheetViews>
  <sheetFormatPr defaultColWidth="9" defaultRowHeight="14.25" x14ac:dyDescent="0.15"/>
  <cols>
    <col min="1" max="1" width="4.625" style="14" customWidth="1"/>
    <col min="2" max="16" width="2.625" style="14" customWidth="1"/>
    <col min="17" max="20" width="4.625" style="14" customWidth="1"/>
    <col min="21" max="24" width="2.625" style="14" customWidth="1"/>
    <col min="25" max="26" width="8.625" style="14" customWidth="1"/>
    <col min="27" max="27" width="12.625" style="14" customWidth="1"/>
    <col min="28" max="28" width="8.625" style="14" customWidth="1"/>
    <col min="29" max="29" width="2.625" style="14" customWidth="1"/>
    <col min="30" max="32" width="8.625" style="14" customWidth="1"/>
    <col min="33" max="33" width="16.625" style="14" customWidth="1"/>
    <col min="34" max="16384" width="9" style="14"/>
  </cols>
  <sheetData>
    <row r="1" spans="1:33" ht="39.75" customHeight="1" x14ac:dyDescent="0.15">
      <c r="A1" s="2" t="s">
        <v>2139</v>
      </c>
      <c r="B1" s="2" t="s">
        <v>2290</v>
      </c>
      <c r="C1" s="2" t="s">
        <v>2309</v>
      </c>
      <c r="D1" s="2" t="s">
        <v>2053</v>
      </c>
      <c r="E1" s="2" t="s">
        <v>2321</v>
      </c>
      <c r="F1" s="3" t="s">
        <v>2301</v>
      </c>
      <c r="G1" s="3" t="s">
        <v>2300</v>
      </c>
      <c r="H1" s="2" t="s">
        <v>2303</v>
      </c>
      <c r="I1" s="2" t="s">
        <v>2387</v>
      </c>
      <c r="J1" s="2" t="s">
        <v>2319</v>
      </c>
      <c r="K1" s="2" t="s">
        <v>2304</v>
      </c>
      <c r="L1" s="2" t="s">
        <v>2305</v>
      </c>
      <c r="M1" s="2" t="s">
        <v>2306</v>
      </c>
      <c r="N1" s="2" t="s">
        <v>2307</v>
      </c>
      <c r="O1" s="2" t="s">
        <v>2315</v>
      </c>
      <c r="P1" s="2" t="s">
        <v>2322</v>
      </c>
      <c r="Q1" s="2" t="s">
        <v>2312</v>
      </c>
      <c r="R1" s="2" t="s">
        <v>2278</v>
      </c>
      <c r="S1" s="2" t="s">
        <v>2313</v>
      </c>
      <c r="T1" s="2" t="s">
        <v>2314</v>
      </c>
      <c r="U1" s="2" t="s">
        <v>2286</v>
      </c>
      <c r="V1" s="2" t="s">
        <v>2289</v>
      </c>
      <c r="W1" s="2" t="s">
        <v>2308</v>
      </c>
      <c r="X1" s="2" t="s">
        <v>2310</v>
      </c>
      <c r="Y1" s="2" t="s">
        <v>2311</v>
      </c>
      <c r="Z1" s="2" t="s">
        <v>2316</v>
      </c>
      <c r="AA1" s="2" t="s">
        <v>2287</v>
      </c>
      <c r="AB1" s="2" t="s">
        <v>2288</v>
      </c>
      <c r="AC1" s="2" t="s">
        <v>2822</v>
      </c>
      <c r="AD1" s="2" t="s">
        <v>2299</v>
      </c>
      <c r="AE1" s="2" t="s">
        <v>2284</v>
      </c>
      <c r="AF1" s="2" t="s">
        <v>2285</v>
      </c>
      <c r="AG1" s="2" t="s">
        <v>1757</v>
      </c>
    </row>
    <row r="2" spans="1:33" ht="27" x14ac:dyDescent="0.15">
      <c r="A2" s="1">
        <v>43395</v>
      </c>
      <c r="B2" s="2" t="s">
        <v>2498</v>
      </c>
      <c r="C2" s="2" t="s">
        <v>3319</v>
      </c>
      <c r="D2" s="3" t="s">
        <v>2279</v>
      </c>
      <c r="E2" s="3">
        <f t="array" ref="E2">SUM(LOOKUP($H2:$P2&amp;"-",{"-","--","Y-"},{0,2,1})*{1,2,4,8,16,32,64,128,256})</f>
        <v>3</v>
      </c>
      <c r="F2" s="4"/>
      <c r="G2" s="13"/>
      <c r="H2" s="11" t="s">
        <v>4773</v>
      </c>
      <c r="I2" s="11" t="s">
        <v>4773</v>
      </c>
      <c r="J2" s="11"/>
      <c r="K2" s="11"/>
      <c r="L2" s="11"/>
      <c r="M2" s="11"/>
      <c r="N2" s="11"/>
      <c r="O2" s="11"/>
      <c r="P2" s="10"/>
      <c r="Q2" s="7"/>
      <c r="R2" s="7"/>
      <c r="S2" s="7">
        <v>43406</v>
      </c>
      <c r="T2" s="7">
        <v>43454</v>
      </c>
      <c r="U2" s="12" t="s">
        <v>2277</v>
      </c>
      <c r="V2" s="3" t="s">
        <v>2276</v>
      </c>
      <c r="W2" s="5">
        <v>1</v>
      </c>
      <c r="X2" s="3" t="s">
        <v>2274</v>
      </c>
      <c r="Y2" s="6" t="s">
        <v>3746</v>
      </c>
      <c r="Z2" s="8" t="s">
        <v>4774</v>
      </c>
      <c r="AA2" s="9" t="s">
        <v>4775</v>
      </c>
      <c r="AB2" s="9" t="s">
        <v>4776</v>
      </c>
      <c r="AC2" s="13" t="s">
        <v>4779</v>
      </c>
      <c r="AD2" s="8" t="s">
        <v>4777</v>
      </c>
      <c r="AE2" s="8"/>
      <c r="AF2" s="8"/>
      <c r="AG2" s="6" t="s">
        <v>4778</v>
      </c>
    </row>
    <row r="3" spans="1:33" ht="38.25" x14ac:dyDescent="0.15">
      <c r="A3" s="130">
        <v>43418</v>
      </c>
      <c r="B3" s="2" t="s">
        <v>6263</v>
      </c>
      <c r="C3" s="2" t="s">
        <v>6264</v>
      </c>
      <c r="D3" s="3" t="s">
        <v>6265</v>
      </c>
      <c r="E3" s="131">
        <f t="array" ref="E3">SUM(LOOKUP($H3:$P3&amp;"-",{"-","--","Y-"},{0,2,1})*{1,2,4,8,16,32,64,128,256})</f>
        <v>127</v>
      </c>
      <c r="F3" s="132"/>
      <c r="G3" s="133"/>
      <c r="H3" s="11" t="s">
        <v>6266</v>
      </c>
      <c r="I3" s="10" t="s">
        <v>6266</v>
      </c>
      <c r="J3" s="11" t="s">
        <v>6326</v>
      </c>
      <c r="K3" s="11" t="s">
        <v>6327</v>
      </c>
      <c r="L3" s="11" t="s">
        <v>6327</v>
      </c>
      <c r="M3" s="11" t="s">
        <v>6327</v>
      </c>
      <c r="N3" s="11" t="s">
        <v>6327</v>
      </c>
      <c r="O3" s="134"/>
      <c r="P3" s="135"/>
      <c r="Q3" s="136">
        <v>43426.416666666664</v>
      </c>
      <c r="R3" s="136">
        <v>43428</v>
      </c>
      <c r="S3" s="130">
        <v>43429</v>
      </c>
      <c r="T3" s="136"/>
      <c r="U3" s="12" t="s">
        <v>6267</v>
      </c>
      <c r="V3" s="3" t="s">
        <v>2276</v>
      </c>
      <c r="W3" s="137">
        <v>1</v>
      </c>
      <c r="X3" s="3" t="s">
        <v>6268</v>
      </c>
      <c r="Y3" s="6" t="s">
        <v>6269</v>
      </c>
      <c r="Z3" s="8" t="s">
        <v>6270</v>
      </c>
      <c r="AA3" s="9" t="s">
        <v>6271</v>
      </c>
      <c r="AB3" s="9" t="s">
        <v>6272</v>
      </c>
      <c r="AC3" s="140"/>
      <c r="AD3" s="139" t="s">
        <v>6323</v>
      </c>
      <c r="AE3" s="8" t="s">
        <v>6321</v>
      </c>
      <c r="AF3" s="139" t="s">
        <v>6322</v>
      </c>
      <c r="AG3" s="138"/>
    </row>
  </sheetData>
  <phoneticPr fontId="9" type="noConversion"/>
  <conditionalFormatting sqref="H2:P3">
    <cfRule type="expression" dxfId="115" priority="4" stopIfTrue="1">
      <formula>$H2=""</formula>
    </cfRule>
    <cfRule type="cellIs" dxfId="114" priority="5" stopIfTrue="1" operator="equal">
      <formula>"Y"</formula>
    </cfRule>
    <cfRule type="cellIs" dxfId="113" priority="6" operator="equal">
      <formula>"-"</formula>
    </cfRule>
  </conditionalFormatting>
  <conditionalFormatting sqref="Q2:T3">
    <cfRule type="expression" dxfId="112" priority="1">
      <formula>ROUND(Q2,1)&lt;TODAY()+3</formula>
    </cfRule>
  </conditionalFormatting>
  <dataValidations count="1">
    <dataValidation type="list" imeMode="off" allowBlank="1" showDropDown="1" showErrorMessage="1" errorTitle="数据限制" error="只能是“Y”、“-”或空白" sqref="H2:P3" xr:uid="{00000000-0002-0000-0400-000000000000}">
      <formula1>"Y,-"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13"/>
  <sheetViews>
    <sheetView workbookViewId="0">
      <selection activeCell="C129" sqref="C129"/>
    </sheetView>
  </sheetViews>
  <sheetFormatPr defaultColWidth="9" defaultRowHeight="14.25" x14ac:dyDescent="0.15"/>
  <cols>
    <col min="1" max="1" width="17.25" style="115" bestFit="1" customWidth="1"/>
    <col min="2" max="2" width="19.25" style="115" bestFit="1" customWidth="1"/>
    <col min="3" max="3" width="30.75" style="115" bestFit="1" customWidth="1"/>
    <col min="4" max="4" width="7.25" style="115" bestFit="1" customWidth="1"/>
    <col min="5" max="5" width="21.75" style="115" bestFit="1" customWidth="1"/>
    <col min="6" max="6" width="7.25" style="115" bestFit="1" customWidth="1"/>
    <col min="7" max="7" width="16.125" style="119" bestFit="1" customWidth="1"/>
    <col min="8" max="8" width="15" style="115" bestFit="1" customWidth="1"/>
    <col min="9" max="9" width="6.375" style="116" bestFit="1" customWidth="1"/>
    <col min="10" max="16384" width="9" style="116"/>
  </cols>
  <sheetData>
    <row r="1" spans="1:8" ht="15" customHeight="1" x14ac:dyDescent="0.15">
      <c r="A1" s="115" t="s">
        <v>2067</v>
      </c>
      <c r="B1" s="115" t="s">
        <v>2066</v>
      </c>
      <c r="C1" s="115" t="s">
        <v>2065</v>
      </c>
      <c r="D1" s="115" t="s">
        <v>2064</v>
      </c>
      <c r="E1" s="115" t="s">
        <v>2063</v>
      </c>
      <c r="F1" s="115" t="s">
        <v>2062</v>
      </c>
      <c r="G1" s="115" t="s">
        <v>2061</v>
      </c>
      <c r="H1" s="115" t="s">
        <v>2060</v>
      </c>
    </row>
    <row r="2" spans="1:8" hidden="1" x14ac:dyDescent="0.15">
      <c r="A2" s="115" t="s">
        <v>1763</v>
      </c>
      <c r="B2" s="115" t="s">
        <v>1762</v>
      </c>
      <c r="C2" s="115" t="s">
        <v>1761</v>
      </c>
      <c r="D2" s="115" t="s">
        <v>1760</v>
      </c>
      <c r="E2" s="117"/>
      <c r="G2" s="115" t="s">
        <v>1759</v>
      </c>
      <c r="H2" s="115" t="s">
        <v>2996</v>
      </c>
    </row>
    <row r="3" spans="1:8" hidden="1" x14ac:dyDescent="0.15">
      <c r="A3" s="115" t="s">
        <v>1763</v>
      </c>
      <c r="B3" s="115" t="s">
        <v>1767</v>
      </c>
      <c r="C3" s="115" t="s">
        <v>1766</v>
      </c>
      <c r="D3" s="115" t="s">
        <v>1765</v>
      </c>
      <c r="E3" s="117"/>
      <c r="G3" s="115" t="s">
        <v>1764</v>
      </c>
      <c r="H3" s="115" t="s">
        <v>2995</v>
      </c>
    </row>
    <row r="4" spans="1:8" hidden="1" x14ac:dyDescent="0.15">
      <c r="A4" s="115" t="s">
        <v>1763</v>
      </c>
      <c r="B4" s="115" t="s">
        <v>1770</v>
      </c>
      <c r="C4" s="115" t="s">
        <v>916</v>
      </c>
      <c r="D4" s="115" t="s">
        <v>1769</v>
      </c>
      <c r="E4" s="117" t="s">
        <v>2999</v>
      </c>
      <c r="G4" s="115" t="s">
        <v>1768</v>
      </c>
      <c r="H4" s="115" t="s">
        <v>2994</v>
      </c>
    </row>
    <row r="5" spans="1:8" hidden="1" x14ac:dyDescent="0.15">
      <c r="A5" s="115" t="s">
        <v>1763</v>
      </c>
      <c r="B5" s="115" t="s">
        <v>1774</v>
      </c>
      <c r="C5" s="115" t="s">
        <v>1773</v>
      </c>
      <c r="D5" s="115" t="s">
        <v>1772</v>
      </c>
      <c r="E5" s="117"/>
      <c r="G5" s="115" t="s">
        <v>1771</v>
      </c>
      <c r="H5" s="115" t="s">
        <v>2993</v>
      </c>
    </row>
    <row r="6" spans="1:8" hidden="1" x14ac:dyDescent="0.15">
      <c r="A6" s="115" t="s">
        <v>1763</v>
      </c>
      <c r="B6" s="115" t="s">
        <v>1774</v>
      </c>
      <c r="D6" s="115" t="s">
        <v>1776</v>
      </c>
      <c r="E6" s="117"/>
      <c r="G6" s="115" t="s">
        <v>1775</v>
      </c>
      <c r="H6" s="115" t="s">
        <v>2992</v>
      </c>
    </row>
    <row r="7" spans="1:8" hidden="1" x14ac:dyDescent="0.15">
      <c r="B7" s="115" t="s">
        <v>1780</v>
      </c>
      <c r="C7" s="115" t="s">
        <v>1779</v>
      </c>
      <c r="D7" s="115" t="s">
        <v>1778</v>
      </c>
      <c r="E7" s="117"/>
      <c r="G7" s="115" t="s">
        <v>1777</v>
      </c>
      <c r="H7" s="115" t="s">
        <v>2991</v>
      </c>
    </row>
    <row r="8" spans="1:8" hidden="1" x14ac:dyDescent="0.15">
      <c r="B8" s="115" t="s">
        <v>1784</v>
      </c>
      <c r="C8" s="115" t="s">
        <v>1783</v>
      </c>
      <c r="D8" s="115" t="s">
        <v>1782</v>
      </c>
      <c r="E8" s="117"/>
      <c r="G8" s="115" t="s">
        <v>1781</v>
      </c>
      <c r="H8" s="115" t="s">
        <v>2990</v>
      </c>
    </row>
    <row r="9" spans="1:8" hidden="1" x14ac:dyDescent="0.15">
      <c r="A9" s="115" t="s">
        <v>1789</v>
      </c>
      <c r="B9" s="115" t="s">
        <v>1788</v>
      </c>
      <c r="C9" s="115" t="s">
        <v>1787</v>
      </c>
      <c r="D9" s="115" t="s">
        <v>1786</v>
      </c>
      <c r="E9" s="117"/>
      <c r="G9" s="115" t="s">
        <v>1785</v>
      </c>
      <c r="H9" s="115" t="s">
        <v>2989</v>
      </c>
    </row>
    <row r="10" spans="1:8" hidden="1" x14ac:dyDescent="0.15">
      <c r="A10" s="115" t="s">
        <v>1763</v>
      </c>
      <c r="B10" s="115" t="s">
        <v>1794</v>
      </c>
      <c r="C10" s="115" t="s">
        <v>1793</v>
      </c>
      <c r="D10" s="115" t="s">
        <v>1792</v>
      </c>
      <c r="E10" s="117"/>
      <c r="F10" s="115" t="s">
        <v>1791</v>
      </c>
      <c r="G10" s="115" t="s">
        <v>1790</v>
      </c>
      <c r="H10" s="115" t="s">
        <v>2988</v>
      </c>
    </row>
    <row r="11" spans="1:8" hidden="1" x14ac:dyDescent="0.15">
      <c r="B11" s="115" t="s">
        <v>1797</v>
      </c>
      <c r="C11" s="115" t="s">
        <v>1796</v>
      </c>
      <c r="D11" s="115" t="s">
        <v>1795</v>
      </c>
      <c r="E11" s="117"/>
      <c r="G11" s="115"/>
      <c r="H11" s="115" t="s">
        <v>2987</v>
      </c>
    </row>
    <row r="12" spans="1:8" hidden="1" x14ac:dyDescent="0.15">
      <c r="A12" s="115" t="s">
        <v>1789</v>
      </c>
      <c r="B12" s="115" t="s">
        <v>1788</v>
      </c>
      <c r="C12" s="115" t="s">
        <v>1799</v>
      </c>
      <c r="D12" s="115" t="s">
        <v>1798</v>
      </c>
      <c r="E12" s="117"/>
      <c r="G12" s="115" t="s">
        <v>1785</v>
      </c>
      <c r="H12" s="115" t="s">
        <v>2986</v>
      </c>
    </row>
    <row r="13" spans="1:8" hidden="1" x14ac:dyDescent="0.15">
      <c r="A13" s="115" t="s">
        <v>1763</v>
      </c>
      <c r="B13" s="115" t="s">
        <v>1803</v>
      </c>
      <c r="C13" s="115" t="s">
        <v>1802</v>
      </c>
      <c r="D13" s="115" t="s">
        <v>1801</v>
      </c>
      <c r="E13" s="117"/>
      <c r="G13" s="115" t="s">
        <v>1800</v>
      </c>
      <c r="H13" s="115" t="s">
        <v>2985</v>
      </c>
    </row>
    <row r="14" spans="1:8" x14ac:dyDescent="0.15">
      <c r="A14" s="115" t="s">
        <v>1763</v>
      </c>
      <c r="B14" s="115" t="s">
        <v>1807</v>
      </c>
      <c r="C14" s="115" t="s">
        <v>1806</v>
      </c>
      <c r="D14" s="115" t="s">
        <v>1805</v>
      </c>
      <c r="E14" s="117" t="s">
        <v>3002</v>
      </c>
      <c r="G14" s="115" t="s">
        <v>1804</v>
      </c>
      <c r="H14" s="115" t="s">
        <v>2984</v>
      </c>
    </row>
    <row r="15" spans="1:8" hidden="1" x14ac:dyDescent="0.15">
      <c r="A15" s="115" t="s">
        <v>1812</v>
      </c>
      <c r="B15" s="115" t="s">
        <v>1811</v>
      </c>
      <c r="C15" s="115" t="s">
        <v>1810</v>
      </c>
      <c r="D15" s="115" t="s">
        <v>1809</v>
      </c>
      <c r="E15" s="117"/>
      <c r="G15" s="115" t="s">
        <v>1808</v>
      </c>
      <c r="H15" s="115" t="s">
        <v>2983</v>
      </c>
    </row>
    <row r="16" spans="1:8" hidden="1" x14ac:dyDescent="0.15">
      <c r="A16" s="115" t="s">
        <v>1763</v>
      </c>
      <c r="B16" s="115" t="s">
        <v>1770</v>
      </c>
      <c r="C16" s="115" t="s">
        <v>916</v>
      </c>
      <c r="D16" s="115" t="s">
        <v>1813</v>
      </c>
      <c r="E16" s="117" t="s">
        <v>2998</v>
      </c>
      <c r="G16" s="115" t="s">
        <v>1790</v>
      </c>
      <c r="H16" s="115" t="s">
        <v>2982</v>
      </c>
    </row>
    <row r="17" spans="1:8" hidden="1" x14ac:dyDescent="0.15">
      <c r="A17" s="115" t="s">
        <v>1763</v>
      </c>
      <c r="B17" s="115" t="s">
        <v>1770</v>
      </c>
      <c r="C17" s="115" t="s">
        <v>1816</v>
      </c>
      <c r="D17" s="115" t="s">
        <v>1815</v>
      </c>
      <c r="E17" s="117"/>
      <c r="G17" s="115" t="s">
        <v>1814</v>
      </c>
      <c r="H17" s="115" t="s">
        <v>2981</v>
      </c>
    </row>
    <row r="18" spans="1:8" hidden="1" x14ac:dyDescent="0.15">
      <c r="A18" s="115" t="s">
        <v>1820</v>
      </c>
      <c r="B18" s="115" t="s">
        <v>1819</v>
      </c>
      <c r="C18" s="115" t="s">
        <v>1818</v>
      </c>
      <c r="D18" s="115" t="s">
        <v>1817</v>
      </c>
      <c r="E18" s="117"/>
      <c r="G18" s="115"/>
      <c r="H18" s="115" t="s">
        <v>2980</v>
      </c>
    </row>
    <row r="19" spans="1:8" hidden="1" x14ac:dyDescent="0.15">
      <c r="A19" s="115" t="s">
        <v>1763</v>
      </c>
      <c r="B19" s="115" t="s">
        <v>1824</v>
      </c>
      <c r="C19" s="115" t="s">
        <v>1823</v>
      </c>
      <c r="D19" s="115" t="s">
        <v>1822</v>
      </c>
      <c r="E19" s="117"/>
      <c r="G19" s="115" t="s">
        <v>1821</v>
      </c>
      <c r="H19" s="115" t="s">
        <v>2979</v>
      </c>
    </row>
    <row r="20" spans="1:8" hidden="1" x14ac:dyDescent="0.15">
      <c r="A20" s="115" t="s">
        <v>1829</v>
      </c>
      <c r="B20" s="115" t="s">
        <v>1828</v>
      </c>
      <c r="C20" s="115" t="s">
        <v>1827</v>
      </c>
      <c r="D20" s="115" t="s">
        <v>1826</v>
      </c>
      <c r="E20" s="117"/>
      <c r="G20" s="115" t="s">
        <v>1825</v>
      </c>
      <c r="H20" s="115" t="s">
        <v>2978</v>
      </c>
    </row>
    <row r="21" spans="1:8" hidden="1" x14ac:dyDescent="0.15">
      <c r="A21" s="115" t="s">
        <v>1763</v>
      </c>
      <c r="B21" s="115" t="s">
        <v>1794</v>
      </c>
      <c r="C21" s="115" t="s">
        <v>1793</v>
      </c>
      <c r="D21" s="115" t="s">
        <v>1831</v>
      </c>
      <c r="E21" s="117"/>
      <c r="F21" s="115" t="s">
        <v>1791</v>
      </c>
      <c r="G21" s="115" t="s">
        <v>1830</v>
      </c>
      <c r="H21" s="115" t="s">
        <v>3049</v>
      </c>
    </row>
    <row r="22" spans="1:8" hidden="1" x14ac:dyDescent="0.15">
      <c r="A22" s="115" t="s">
        <v>1763</v>
      </c>
      <c r="B22" s="115" t="s">
        <v>1774</v>
      </c>
      <c r="D22" s="115" t="s">
        <v>1833</v>
      </c>
      <c r="E22" s="117" t="s">
        <v>3031</v>
      </c>
      <c r="G22" s="115" t="s">
        <v>1832</v>
      </c>
      <c r="H22" s="115" t="s">
        <v>2977</v>
      </c>
    </row>
    <row r="23" spans="1:8" hidden="1" x14ac:dyDescent="0.15">
      <c r="D23" s="115" t="s">
        <v>1834</v>
      </c>
      <c r="E23" s="118" t="s">
        <v>3008</v>
      </c>
      <c r="G23" s="115"/>
    </row>
    <row r="24" spans="1:8" hidden="1" x14ac:dyDescent="0.15">
      <c r="A24" s="115" t="s">
        <v>1763</v>
      </c>
      <c r="B24" s="115" t="s">
        <v>1794</v>
      </c>
      <c r="C24" s="115" t="s">
        <v>1837</v>
      </c>
      <c r="D24" s="115" t="s">
        <v>1836</v>
      </c>
      <c r="E24" s="117"/>
      <c r="G24" s="115" t="s">
        <v>1835</v>
      </c>
      <c r="H24" s="115" t="s">
        <v>2976</v>
      </c>
    </row>
    <row r="25" spans="1:8" hidden="1" x14ac:dyDescent="0.15">
      <c r="B25" s="115" t="s">
        <v>1784</v>
      </c>
      <c r="C25" s="115" t="s">
        <v>1840</v>
      </c>
      <c r="D25" s="115" t="s">
        <v>1839</v>
      </c>
      <c r="E25" s="117"/>
      <c r="G25" s="115" t="s">
        <v>1838</v>
      </c>
      <c r="H25" s="115" t="s">
        <v>2975</v>
      </c>
    </row>
    <row r="26" spans="1:8" hidden="1" x14ac:dyDescent="0.15">
      <c r="A26" s="115" t="s">
        <v>1763</v>
      </c>
      <c r="B26" s="115" t="s">
        <v>1803</v>
      </c>
      <c r="C26" s="115" t="s">
        <v>1843</v>
      </c>
      <c r="D26" s="115" t="s">
        <v>1842</v>
      </c>
      <c r="E26" s="117"/>
      <c r="G26" s="115" t="s">
        <v>1841</v>
      </c>
      <c r="H26" s="115" t="s">
        <v>2974</v>
      </c>
    </row>
    <row r="27" spans="1:8" hidden="1" x14ac:dyDescent="0.15">
      <c r="A27" s="115" t="s">
        <v>1763</v>
      </c>
      <c r="B27" s="115" t="s">
        <v>1847</v>
      </c>
      <c r="C27" s="115" t="s">
        <v>1846</v>
      </c>
      <c r="D27" s="115" t="s">
        <v>1845</v>
      </c>
      <c r="E27" s="117"/>
      <c r="G27" s="115" t="s">
        <v>1844</v>
      </c>
      <c r="H27" s="115" t="s">
        <v>2973</v>
      </c>
    </row>
    <row r="28" spans="1:8" hidden="1" x14ac:dyDescent="0.15">
      <c r="A28" s="115" t="s">
        <v>1763</v>
      </c>
      <c r="B28" s="115" t="s">
        <v>1851</v>
      </c>
      <c r="C28" s="115" t="s">
        <v>1850</v>
      </c>
      <c r="D28" s="115" t="s">
        <v>1849</v>
      </c>
      <c r="E28" s="117" t="s">
        <v>3015</v>
      </c>
      <c r="G28" s="115" t="s">
        <v>1848</v>
      </c>
      <c r="H28" s="115" t="s">
        <v>2972</v>
      </c>
    </row>
    <row r="29" spans="1:8" hidden="1" x14ac:dyDescent="0.15">
      <c r="A29" s="115" t="s">
        <v>1789</v>
      </c>
      <c r="B29" s="115" t="s">
        <v>1788</v>
      </c>
      <c r="C29" s="115" t="s">
        <v>1854</v>
      </c>
      <c r="D29" s="115" t="s">
        <v>1853</v>
      </c>
      <c r="E29" s="117"/>
      <c r="G29" s="115" t="s">
        <v>1852</v>
      </c>
      <c r="H29" s="115" t="s">
        <v>2971</v>
      </c>
    </row>
    <row r="30" spans="1:8" hidden="1" x14ac:dyDescent="0.15">
      <c r="A30" s="115" t="s">
        <v>1858</v>
      </c>
      <c r="B30" s="115" t="s">
        <v>1857</v>
      </c>
      <c r="C30" s="115" t="s">
        <v>1856</v>
      </c>
      <c r="D30" s="115" t="s">
        <v>1855</v>
      </c>
      <c r="E30" s="117"/>
      <c r="F30" s="115" t="s">
        <v>1791</v>
      </c>
      <c r="G30" s="115"/>
      <c r="H30" s="115" t="s">
        <v>2970</v>
      </c>
    </row>
    <row r="31" spans="1:8" hidden="1" x14ac:dyDescent="0.15">
      <c r="A31" s="115" t="s">
        <v>1763</v>
      </c>
      <c r="B31" s="115" t="s">
        <v>1774</v>
      </c>
      <c r="C31" s="115" t="s">
        <v>1861</v>
      </c>
      <c r="D31" s="115" t="s">
        <v>1860</v>
      </c>
      <c r="E31" s="117" t="s">
        <v>3016</v>
      </c>
      <c r="G31" s="115" t="s">
        <v>1859</v>
      </c>
      <c r="H31" s="115" t="s">
        <v>2969</v>
      </c>
    </row>
    <row r="32" spans="1:8" hidden="1" x14ac:dyDescent="0.15">
      <c r="B32" s="115" t="s">
        <v>1797</v>
      </c>
      <c r="C32" s="115" t="s">
        <v>1796</v>
      </c>
      <c r="D32" s="115" t="s">
        <v>2296</v>
      </c>
      <c r="E32" s="117"/>
      <c r="G32" s="115" t="s">
        <v>1862</v>
      </c>
      <c r="H32" s="115" t="s">
        <v>2968</v>
      </c>
    </row>
    <row r="33" spans="1:8" hidden="1" x14ac:dyDescent="0.15">
      <c r="A33" s="115" t="s">
        <v>1763</v>
      </c>
      <c r="B33" s="115" t="s">
        <v>1865</v>
      </c>
      <c r="C33" s="115" t="s">
        <v>1865</v>
      </c>
      <c r="D33" s="115" t="s">
        <v>1864</v>
      </c>
      <c r="E33" s="117" t="s">
        <v>3027</v>
      </c>
      <c r="G33" s="115" t="s">
        <v>1863</v>
      </c>
      <c r="H33" s="115" t="s">
        <v>2967</v>
      </c>
    </row>
    <row r="34" spans="1:8" hidden="1" x14ac:dyDescent="0.15">
      <c r="A34" s="115" t="s">
        <v>1763</v>
      </c>
      <c r="B34" s="115" t="s">
        <v>1774</v>
      </c>
      <c r="D34" s="115" t="s">
        <v>1867</v>
      </c>
      <c r="E34" s="117" t="s">
        <v>3018</v>
      </c>
      <c r="G34" s="115" t="s">
        <v>1866</v>
      </c>
      <c r="H34" s="115" t="s">
        <v>2966</v>
      </c>
    </row>
    <row r="35" spans="1:8" hidden="1" x14ac:dyDescent="0.15">
      <c r="A35" s="115" t="s">
        <v>1819</v>
      </c>
      <c r="B35" s="115" t="s">
        <v>1819</v>
      </c>
      <c r="C35" s="115" t="s">
        <v>1870</v>
      </c>
      <c r="D35" s="115" t="s">
        <v>1869</v>
      </c>
      <c r="E35" s="117" t="s">
        <v>3032</v>
      </c>
      <c r="G35" s="115" t="s">
        <v>1868</v>
      </c>
      <c r="H35" s="115" t="s">
        <v>2965</v>
      </c>
    </row>
    <row r="36" spans="1:8" hidden="1" x14ac:dyDescent="0.15">
      <c r="A36" s="115" t="s">
        <v>1874</v>
      </c>
      <c r="B36" s="115" t="s">
        <v>1873</v>
      </c>
      <c r="C36" s="115" t="s">
        <v>1872</v>
      </c>
      <c r="D36" s="115" t="s">
        <v>1871</v>
      </c>
      <c r="E36" s="117"/>
      <c r="F36" s="115" t="s">
        <v>1791</v>
      </c>
      <c r="G36" s="115"/>
      <c r="H36" s="115" t="s">
        <v>2964</v>
      </c>
    </row>
    <row r="37" spans="1:8" hidden="1" x14ac:dyDescent="0.15">
      <c r="A37" s="115" t="s">
        <v>1763</v>
      </c>
      <c r="B37" s="115" t="s">
        <v>1774</v>
      </c>
      <c r="D37" s="115" t="s">
        <v>1876</v>
      </c>
      <c r="E37" s="117" t="s">
        <v>3010</v>
      </c>
      <c r="G37" s="115" t="s">
        <v>1875</v>
      </c>
      <c r="H37" s="115" t="s">
        <v>2963</v>
      </c>
    </row>
    <row r="38" spans="1:8" hidden="1" x14ac:dyDescent="0.15">
      <c r="D38" s="115" t="s">
        <v>1877</v>
      </c>
      <c r="E38" s="118" t="s">
        <v>3019</v>
      </c>
      <c r="G38" s="115"/>
    </row>
    <row r="39" spans="1:8" hidden="1" x14ac:dyDescent="0.15">
      <c r="A39" s="115" t="s">
        <v>1789</v>
      </c>
      <c r="B39" s="115" t="s">
        <v>1788</v>
      </c>
      <c r="C39" s="115" t="s">
        <v>1787</v>
      </c>
      <c r="D39" s="115" t="s">
        <v>1878</v>
      </c>
      <c r="E39" s="117"/>
      <c r="G39" s="115" t="s">
        <v>1785</v>
      </c>
      <c r="H39" s="115" t="s">
        <v>2962</v>
      </c>
    </row>
    <row r="40" spans="1:8" hidden="1" x14ac:dyDescent="0.15">
      <c r="A40" s="115" t="s">
        <v>1763</v>
      </c>
      <c r="B40" s="115" t="s">
        <v>1807</v>
      </c>
      <c r="C40" s="115" t="s">
        <v>1881</v>
      </c>
      <c r="D40" s="115" t="s">
        <v>1880</v>
      </c>
      <c r="E40" s="117"/>
      <c r="G40" s="115" t="s">
        <v>1879</v>
      </c>
      <c r="H40" s="115" t="s">
        <v>2961</v>
      </c>
    </row>
    <row r="41" spans="1:8" hidden="1" x14ac:dyDescent="0.15">
      <c r="A41" s="115" t="s">
        <v>1763</v>
      </c>
      <c r="B41" s="115" t="s">
        <v>1774</v>
      </c>
      <c r="C41" s="115" t="s">
        <v>1883</v>
      </c>
      <c r="D41" s="115" t="s">
        <v>2295</v>
      </c>
      <c r="E41" s="117" t="s">
        <v>3022</v>
      </c>
      <c r="G41" s="115" t="s">
        <v>1882</v>
      </c>
      <c r="H41" s="115" t="s">
        <v>2960</v>
      </c>
    </row>
    <row r="42" spans="1:8" hidden="1" x14ac:dyDescent="0.15">
      <c r="A42" s="115" t="s">
        <v>1763</v>
      </c>
      <c r="B42" s="115" t="s">
        <v>1824</v>
      </c>
      <c r="C42" s="115" t="s">
        <v>1886</v>
      </c>
      <c r="D42" s="115" t="s">
        <v>1885</v>
      </c>
      <c r="E42" s="117" t="s">
        <v>3001</v>
      </c>
      <c r="G42" s="115" t="s">
        <v>1884</v>
      </c>
      <c r="H42" s="115" t="s">
        <v>2959</v>
      </c>
    </row>
    <row r="43" spans="1:8" hidden="1" x14ac:dyDescent="0.15">
      <c r="A43" s="115" t="s">
        <v>1763</v>
      </c>
      <c r="B43" s="115" t="s">
        <v>1770</v>
      </c>
      <c r="C43" s="115" t="s">
        <v>916</v>
      </c>
      <c r="D43" s="115" t="s">
        <v>1888</v>
      </c>
      <c r="E43" s="117"/>
      <c r="G43" s="115" t="s">
        <v>1887</v>
      </c>
      <c r="H43" s="115" t="s">
        <v>2958</v>
      </c>
    </row>
    <row r="44" spans="1:8" hidden="1" x14ac:dyDescent="0.15">
      <c r="A44" s="115" t="s">
        <v>1763</v>
      </c>
      <c r="B44" s="115" t="s">
        <v>1851</v>
      </c>
      <c r="C44" s="115" t="s">
        <v>1891</v>
      </c>
      <c r="D44" s="115" t="s">
        <v>1890</v>
      </c>
      <c r="E44" s="117" t="s">
        <v>3007</v>
      </c>
      <c r="F44" s="115" t="s">
        <v>1791</v>
      </c>
      <c r="G44" s="115" t="s">
        <v>1889</v>
      </c>
      <c r="H44" s="115" t="s">
        <v>2957</v>
      </c>
    </row>
    <row r="45" spans="1:8" hidden="1" x14ac:dyDescent="0.15">
      <c r="A45" s="115" t="s">
        <v>1763</v>
      </c>
      <c r="B45" s="115" t="s">
        <v>1895</v>
      </c>
      <c r="C45" s="115" t="s">
        <v>1894</v>
      </c>
      <c r="D45" s="115" t="s">
        <v>1893</v>
      </c>
      <c r="E45" s="117"/>
      <c r="G45" s="115" t="s">
        <v>1892</v>
      </c>
      <c r="H45" s="115" t="s">
        <v>2956</v>
      </c>
    </row>
    <row r="46" spans="1:8" hidden="1" x14ac:dyDescent="0.15">
      <c r="A46" s="115" t="s">
        <v>1763</v>
      </c>
      <c r="B46" s="115" t="s">
        <v>1824</v>
      </c>
      <c r="C46" s="115" t="s">
        <v>1823</v>
      </c>
      <c r="D46" s="115" t="s">
        <v>1897</v>
      </c>
      <c r="E46" s="117"/>
      <c r="G46" s="115" t="s">
        <v>1896</v>
      </c>
      <c r="H46" s="115" t="s">
        <v>2955</v>
      </c>
    </row>
    <row r="47" spans="1:8" hidden="1" x14ac:dyDescent="0.15">
      <c r="A47" s="115" t="s">
        <v>1763</v>
      </c>
      <c r="B47" s="115" t="s">
        <v>1767</v>
      </c>
      <c r="C47" s="115" t="s">
        <v>1900</v>
      </c>
      <c r="D47" s="115" t="s">
        <v>1899</v>
      </c>
      <c r="E47" s="117" t="s">
        <v>3012</v>
      </c>
      <c r="G47" s="115" t="s">
        <v>1898</v>
      </c>
      <c r="H47" s="115" t="s">
        <v>2954</v>
      </c>
    </row>
    <row r="48" spans="1:8" hidden="1" x14ac:dyDescent="0.15">
      <c r="A48" s="115" t="s">
        <v>1763</v>
      </c>
      <c r="B48" s="115" t="s">
        <v>1803</v>
      </c>
      <c r="C48" s="115" t="s">
        <v>1903</v>
      </c>
      <c r="D48" s="115" t="s">
        <v>1902</v>
      </c>
      <c r="E48" s="117" t="s">
        <v>3017</v>
      </c>
      <c r="G48" s="115" t="s">
        <v>1901</v>
      </c>
      <c r="H48" s="115" t="s">
        <v>2953</v>
      </c>
    </row>
    <row r="49" spans="1:8" hidden="1" x14ac:dyDescent="0.15">
      <c r="A49" s="115" t="s">
        <v>1763</v>
      </c>
      <c r="B49" s="115" t="s">
        <v>1803</v>
      </c>
      <c r="C49" s="115" t="s">
        <v>1906</v>
      </c>
      <c r="D49" s="115" t="s">
        <v>1905</v>
      </c>
      <c r="E49" s="117"/>
      <c r="G49" s="115" t="s">
        <v>1904</v>
      </c>
      <c r="H49" s="115" t="s">
        <v>2952</v>
      </c>
    </row>
    <row r="50" spans="1:8" hidden="1" x14ac:dyDescent="0.15">
      <c r="A50" s="115" t="s">
        <v>1763</v>
      </c>
      <c r="B50" s="115" t="s">
        <v>1895</v>
      </c>
      <c r="C50" s="115" t="s">
        <v>1909</v>
      </c>
      <c r="D50" s="115" t="s">
        <v>1908</v>
      </c>
      <c r="E50" s="117"/>
      <c r="G50" s="115" t="s">
        <v>1907</v>
      </c>
      <c r="H50" s="115" t="s">
        <v>2951</v>
      </c>
    </row>
    <row r="51" spans="1:8" hidden="1" x14ac:dyDescent="0.15">
      <c r="B51" s="115" t="s">
        <v>1784</v>
      </c>
      <c r="C51" s="115" t="s">
        <v>1912</v>
      </c>
      <c r="D51" s="115" t="s">
        <v>1911</v>
      </c>
      <c r="E51" s="117"/>
      <c r="G51" s="115" t="s">
        <v>1910</v>
      </c>
      <c r="H51" s="115" t="s">
        <v>2950</v>
      </c>
    </row>
    <row r="52" spans="1:8" hidden="1" x14ac:dyDescent="0.15">
      <c r="A52" s="115" t="s">
        <v>1763</v>
      </c>
      <c r="B52" s="115" t="s">
        <v>1767</v>
      </c>
      <c r="C52" s="115" t="s">
        <v>1783</v>
      </c>
      <c r="D52" s="115" t="s">
        <v>1914</v>
      </c>
      <c r="E52" s="117"/>
      <c r="G52" s="115" t="s">
        <v>1913</v>
      </c>
      <c r="H52" s="115" t="s">
        <v>2949</v>
      </c>
    </row>
    <row r="53" spans="1:8" hidden="1" x14ac:dyDescent="0.15">
      <c r="A53" s="115" t="s">
        <v>1763</v>
      </c>
      <c r="B53" s="115" t="s">
        <v>1767</v>
      </c>
      <c r="C53" s="115" t="s">
        <v>1917</v>
      </c>
      <c r="D53" s="115" t="s">
        <v>1916</v>
      </c>
      <c r="E53" s="117" t="s">
        <v>3000</v>
      </c>
      <c r="F53" s="115" t="s">
        <v>1791</v>
      </c>
      <c r="G53" s="115" t="s">
        <v>1915</v>
      </c>
      <c r="H53" s="115" t="s">
        <v>2948</v>
      </c>
    </row>
    <row r="54" spans="1:8" hidden="1" x14ac:dyDescent="0.15">
      <c r="A54" s="115" t="s">
        <v>1763</v>
      </c>
      <c r="B54" s="115" t="s">
        <v>1794</v>
      </c>
      <c r="C54" s="115" t="s">
        <v>1920</v>
      </c>
      <c r="D54" s="115" t="s">
        <v>1919</v>
      </c>
      <c r="E54" s="117"/>
      <c r="G54" s="115" t="s">
        <v>1918</v>
      </c>
      <c r="H54" s="115" t="s">
        <v>2947</v>
      </c>
    </row>
    <row r="55" spans="1:8" hidden="1" x14ac:dyDescent="0.15">
      <c r="A55" s="115" t="s">
        <v>1763</v>
      </c>
      <c r="B55" s="115" t="s">
        <v>1770</v>
      </c>
      <c r="C55" s="115" t="s">
        <v>1923</v>
      </c>
      <c r="D55" s="115" t="s">
        <v>1922</v>
      </c>
      <c r="E55" s="117" t="s">
        <v>3011</v>
      </c>
      <c r="G55" s="115" t="s">
        <v>1921</v>
      </c>
      <c r="H55" s="115" t="s">
        <v>2946</v>
      </c>
    </row>
    <row r="56" spans="1:8" hidden="1" x14ac:dyDescent="0.15">
      <c r="A56" s="115" t="s">
        <v>1763</v>
      </c>
      <c r="B56" s="115" t="s">
        <v>1803</v>
      </c>
      <c r="C56" s="115" t="s">
        <v>1925</v>
      </c>
      <c r="D56" s="115" t="s">
        <v>2294</v>
      </c>
      <c r="E56" s="117" t="s">
        <v>3021</v>
      </c>
      <c r="G56" s="115" t="s">
        <v>1924</v>
      </c>
      <c r="H56" s="115" t="s">
        <v>2945</v>
      </c>
    </row>
    <row r="57" spans="1:8" hidden="1" x14ac:dyDescent="0.15">
      <c r="A57" s="115" t="s">
        <v>1789</v>
      </c>
      <c r="B57" s="115" t="s">
        <v>1788</v>
      </c>
      <c r="C57" s="115" t="s">
        <v>1928</v>
      </c>
      <c r="D57" s="115" t="s">
        <v>1927</v>
      </c>
      <c r="E57" s="117" t="s">
        <v>3024</v>
      </c>
      <c r="G57" s="115" t="s">
        <v>1926</v>
      </c>
      <c r="H57" s="115" t="s">
        <v>2944</v>
      </c>
    </row>
    <row r="58" spans="1:8" hidden="1" x14ac:dyDescent="0.15">
      <c r="A58" s="115" t="s">
        <v>1763</v>
      </c>
      <c r="B58" s="115" t="s">
        <v>1931</v>
      </c>
      <c r="C58" s="115" t="s">
        <v>1931</v>
      </c>
      <c r="D58" s="115" t="s">
        <v>1930</v>
      </c>
      <c r="E58" s="117" t="s">
        <v>3004</v>
      </c>
      <c r="G58" s="115" t="s">
        <v>1929</v>
      </c>
      <c r="H58" s="115" t="s">
        <v>2943</v>
      </c>
    </row>
    <row r="59" spans="1:8" hidden="1" x14ac:dyDescent="0.15">
      <c r="A59" s="115" t="s">
        <v>1789</v>
      </c>
      <c r="B59" s="115" t="s">
        <v>1788</v>
      </c>
      <c r="C59" s="115" t="s">
        <v>916</v>
      </c>
      <c r="D59" s="115" t="s">
        <v>1933</v>
      </c>
      <c r="E59" s="117"/>
      <c r="G59" s="115" t="s">
        <v>1932</v>
      </c>
      <c r="H59" s="115" t="s">
        <v>2942</v>
      </c>
    </row>
    <row r="60" spans="1:8" hidden="1" x14ac:dyDescent="0.15">
      <c r="D60" s="115" t="s">
        <v>1934</v>
      </c>
      <c r="E60" s="117" t="s">
        <v>3029</v>
      </c>
      <c r="G60" s="115"/>
    </row>
    <row r="61" spans="1:8" hidden="1" x14ac:dyDescent="0.15">
      <c r="A61" s="115" t="s">
        <v>1763</v>
      </c>
      <c r="B61" s="115" t="s">
        <v>1794</v>
      </c>
      <c r="C61" s="115" t="s">
        <v>1793</v>
      </c>
      <c r="D61" s="115" t="s">
        <v>1936</v>
      </c>
      <c r="E61" s="117"/>
      <c r="F61" s="115" t="s">
        <v>1791</v>
      </c>
      <c r="G61" s="115" t="s">
        <v>1935</v>
      </c>
      <c r="H61" s="115" t="s">
        <v>2941</v>
      </c>
    </row>
    <row r="62" spans="1:8" hidden="1" x14ac:dyDescent="0.15">
      <c r="A62" s="115" t="s">
        <v>1763</v>
      </c>
      <c r="B62" s="115" t="s">
        <v>1851</v>
      </c>
      <c r="C62" s="115" t="s">
        <v>1937</v>
      </c>
      <c r="D62" s="115" t="s">
        <v>2293</v>
      </c>
      <c r="E62" s="117" t="s">
        <v>3028</v>
      </c>
      <c r="G62" s="115" t="s">
        <v>1889</v>
      </c>
      <c r="H62" s="115" t="s">
        <v>2940</v>
      </c>
    </row>
    <row r="63" spans="1:8" hidden="1" x14ac:dyDescent="0.15">
      <c r="B63" s="115" t="s">
        <v>1780</v>
      </c>
      <c r="C63" s="115" t="s">
        <v>1840</v>
      </c>
      <c r="D63" s="115" t="s">
        <v>1939</v>
      </c>
      <c r="E63" s="117"/>
      <c r="G63" s="115" t="s">
        <v>1938</v>
      </c>
      <c r="H63" s="115" t="s">
        <v>2939</v>
      </c>
    </row>
    <row r="64" spans="1:8" hidden="1" x14ac:dyDescent="0.15">
      <c r="A64" s="115" t="s">
        <v>1943</v>
      </c>
      <c r="B64" s="115" t="s">
        <v>1942</v>
      </c>
      <c r="C64" s="115" t="s">
        <v>1941</v>
      </c>
      <c r="D64" s="115" t="s">
        <v>1940</v>
      </c>
      <c r="E64" s="117"/>
      <c r="G64" s="115"/>
      <c r="H64" s="115" t="s">
        <v>2938</v>
      </c>
    </row>
    <row r="65" spans="1:8" hidden="1" x14ac:dyDescent="0.15">
      <c r="A65" s="115" t="s">
        <v>1829</v>
      </c>
      <c r="B65" s="115" t="s">
        <v>1947</v>
      </c>
      <c r="C65" s="115" t="s">
        <v>1946</v>
      </c>
      <c r="D65" s="115" t="s">
        <v>1945</v>
      </c>
      <c r="E65" s="117"/>
      <c r="G65" s="115" t="s">
        <v>1944</v>
      </c>
      <c r="H65" s="115" t="s">
        <v>2937</v>
      </c>
    </row>
    <row r="66" spans="1:8" hidden="1" x14ac:dyDescent="0.15">
      <c r="A66" s="115" t="s">
        <v>1763</v>
      </c>
      <c r="B66" s="115" t="s">
        <v>1774</v>
      </c>
      <c r="C66" s="115" t="s">
        <v>1950</v>
      </c>
      <c r="D66" s="115" t="s">
        <v>1949</v>
      </c>
      <c r="E66" s="117" t="s">
        <v>3030</v>
      </c>
      <c r="G66" s="115" t="s">
        <v>1948</v>
      </c>
      <c r="H66" s="115" t="s">
        <v>2936</v>
      </c>
    </row>
    <row r="67" spans="1:8" hidden="1" x14ac:dyDescent="0.15">
      <c r="A67" s="115" t="s">
        <v>1763</v>
      </c>
      <c r="B67" s="115" t="s">
        <v>1807</v>
      </c>
      <c r="C67" s="115" t="s">
        <v>1953</v>
      </c>
      <c r="D67" s="115" t="s">
        <v>1952</v>
      </c>
      <c r="E67" s="117" t="s">
        <v>3003</v>
      </c>
      <c r="G67" s="115" t="s">
        <v>1951</v>
      </c>
      <c r="H67" s="115" t="s">
        <v>2935</v>
      </c>
    </row>
    <row r="68" spans="1:8" hidden="1" x14ac:dyDescent="0.15">
      <c r="A68" s="115" t="s">
        <v>1858</v>
      </c>
      <c r="B68" s="115" t="s">
        <v>1857</v>
      </c>
      <c r="C68" s="115" t="s">
        <v>1783</v>
      </c>
      <c r="D68" s="115" t="s">
        <v>1954</v>
      </c>
      <c r="E68" s="117"/>
      <c r="G68" s="115"/>
      <c r="H68" s="115" t="s">
        <v>2934</v>
      </c>
    </row>
    <row r="69" spans="1:8" hidden="1" x14ac:dyDescent="0.15">
      <c r="A69" s="115" t="s">
        <v>1789</v>
      </c>
      <c r="B69" s="115" t="s">
        <v>1788</v>
      </c>
      <c r="C69" s="115" t="s">
        <v>1787</v>
      </c>
      <c r="D69" s="115" t="s">
        <v>1955</v>
      </c>
      <c r="E69" s="117"/>
      <c r="G69" s="115" t="s">
        <v>1785</v>
      </c>
      <c r="H69" s="115" t="s">
        <v>2933</v>
      </c>
    </row>
    <row r="70" spans="1:8" hidden="1" x14ac:dyDescent="0.15">
      <c r="A70" s="115" t="s">
        <v>1763</v>
      </c>
      <c r="B70" s="115" t="s">
        <v>1774</v>
      </c>
      <c r="D70" s="115" t="s">
        <v>1957</v>
      </c>
      <c r="E70" s="117" t="s">
        <v>3023</v>
      </c>
      <c r="G70" s="115" t="s">
        <v>1956</v>
      </c>
      <c r="H70" s="115" t="s">
        <v>2932</v>
      </c>
    </row>
    <row r="71" spans="1:8" hidden="1" x14ac:dyDescent="0.15">
      <c r="B71" s="115" t="s">
        <v>1784</v>
      </c>
      <c r="C71" s="115" t="s">
        <v>1960</v>
      </c>
      <c r="D71" s="115" t="s">
        <v>1959</v>
      </c>
      <c r="E71" s="117"/>
      <c r="F71" s="115" t="s">
        <v>1791</v>
      </c>
      <c r="G71" s="115" t="s">
        <v>1958</v>
      </c>
      <c r="H71" s="115" t="s">
        <v>2931</v>
      </c>
    </row>
    <row r="72" spans="1:8" hidden="1" x14ac:dyDescent="0.15">
      <c r="B72" s="115" t="s">
        <v>1797</v>
      </c>
      <c r="C72" s="115" t="s">
        <v>1961</v>
      </c>
      <c r="D72" s="115" t="s">
        <v>2292</v>
      </c>
      <c r="E72" s="117"/>
      <c r="G72" s="115" t="s">
        <v>1862</v>
      </c>
      <c r="H72" s="115" t="s">
        <v>2930</v>
      </c>
    </row>
    <row r="73" spans="1:8" hidden="1" x14ac:dyDescent="0.15">
      <c r="A73" s="115" t="s">
        <v>1763</v>
      </c>
      <c r="B73" s="115" t="s">
        <v>1807</v>
      </c>
      <c r="C73" s="115" t="s">
        <v>1964</v>
      </c>
      <c r="D73" s="115" t="s">
        <v>1963</v>
      </c>
      <c r="E73" s="117"/>
      <c r="G73" s="115" t="s">
        <v>1962</v>
      </c>
      <c r="H73" s="115" t="s">
        <v>2929</v>
      </c>
    </row>
    <row r="74" spans="1:8" hidden="1" x14ac:dyDescent="0.15">
      <c r="A74" s="115" t="s">
        <v>1789</v>
      </c>
      <c r="B74" s="115" t="s">
        <v>1788</v>
      </c>
      <c r="C74" s="115" t="s">
        <v>1783</v>
      </c>
      <c r="D74" s="115" t="s">
        <v>1965</v>
      </c>
      <c r="E74" s="117"/>
      <c r="G74" s="115" t="s">
        <v>1785</v>
      </c>
      <c r="H74" s="115" t="s">
        <v>2928</v>
      </c>
    </row>
    <row r="75" spans="1:8" hidden="1" x14ac:dyDescent="0.15">
      <c r="A75" s="115" t="s">
        <v>1812</v>
      </c>
      <c r="B75" s="115" t="s">
        <v>1811</v>
      </c>
      <c r="C75" s="115" t="s">
        <v>1968</v>
      </c>
      <c r="D75" s="115" t="s">
        <v>1967</v>
      </c>
      <c r="E75" s="117"/>
      <c r="G75" s="115" t="s">
        <v>1966</v>
      </c>
      <c r="H75" s="115" t="s">
        <v>2927</v>
      </c>
    </row>
    <row r="76" spans="1:8" hidden="1" x14ac:dyDescent="0.15">
      <c r="B76" s="115" t="s">
        <v>1784</v>
      </c>
      <c r="C76" s="115" t="s">
        <v>1971</v>
      </c>
      <c r="D76" s="115" t="s">
        <v>1970</v>
      </c>
      <c r="E76" s="117"/>
      <c r="G76" s="115" t="s">
        <v>1969</v>
      </c>
      <c r="H76" s="115" t="s">
        <v>2926</v>
      </c>
    </row>
    <row r="77" spans="1:8" hidden="1" x14ac:dyDescent="0.15">
      <c r="A77" s="115" t="s">
        <v>1763</v>
      </c>
      <c r="B77" s="115" t="s">
        <v>1824</v>
      </c>
      <c r="C77" s="115" t="s">
        <v>1974</v>
      </c>
      <c r="D77" s="115" t="s">
        <v>1973</v>
      </c>
      <c r="E77" s="117"/>
      <c r="G77" s="115" t="s">
        <v>1972</v>
      </c>
      <c r="H77" s="115" t="s">
        <v>2925</v>
      </c>
    </row>
    <row r="78" spans="1:8" hidden="1" x14ac:dyDescent="0.15">
      <c r="A78" s="115" t="s">
        <v>1829</v>
      </c>
      <c r="B78" s="115" t="s">
        <v>1978</v>
      </c>
      <c r="C78" s="115" t="s">
        <v>1977</v>
      </c>
      <c r="D78" s="115" t="s">
        <v>1976</v>
      </c>
      <c r="E78" s="117"/>
      <c r="G78" s="115" t="s">
        <v>1975</v>
      </c>
      <c r="H78" s="115" t="s">
        <v>2924</v>
      </c>
    </row>
    <row r="79" spans="1:8" hidden="1" x14ac:dyDescent="0.15">
      <c r="A79" s="115" t="s">
        <v>1763</v>
      </c>
      <c r="B79" s="115" t="s">
        <v>1774</v>
      </c>
      <c r="D79" s="115" t="s">
        <v>1980</v>
      </c>
      <c r="E79" s="117" t="s">
        <v>3013</v>
      </c>
      <c r="G79" s="115" t="s">
        <v>1979</v>
      </c>
      <c r="H79" s="115" t="s">
        <v>2923</v>
      </c>
    </row>
    <row r="80" spans="1:8" hidden="1" x14ac:dyDescent="0.15">
      <c r="B80" s="115" t="s">
        <v>1797</v>
      </c>
      <c r="C80" s="115" t="s">
        <v>1983</v>
      </c>
      <c r="D80" s="115" t="s">
        <v>1982</v>
      </c>
      <c r="E80" s="117"/>
      <c r="G80" s="115" t="s">
        <v>1981</v>
      </c>
      <c r="H80" s="115" t="s">
        <v>2922</v>
      </c>
    </row>
    <row r="81" spans="1:8" hidden="1" x14ac:dyDescent="0.15">
      <c r="A81" s="115" t="s">
        <v>1789</v>
      </c>
      <c r="B81" s="115" t="s">
        <v>1788</v>
      </c>
      <c r="C81" s="115" t="s">
        <v>1787</v>
      </c>
      <c r="D81" s="115" t="s">
        <v>1984</v>
      </c>
      <c r="E81" s="117"/>
      <c r="G81" s="115"/>
      <c r="H81" s="115" t="s">
        <v>2921</v>
      </c>
    </row>
    <row r="82" spans="1:8" hidden="1" x14ac:dyDescent="0.15">
      <c r="A82" s="115" t="s">
        <v>1763</v>
      </c>
      <c r="B82" s="115" t="s">
        <v>1774</v>
      </c>
      <c r="D82" s="115" t="s">
        <v>1986</v>
      </c>
      <c r="E82" s="117"/>
      <c r="G82" s="115" t="s">
        <v>1985</v>
      </c>
      <c r="H82" s="115" t="s">
        <v>2920</v>
      </c>
    </row>
    <row r="83" spans="1:8" hidden="1" x14ac:dyDescent="0.15">
      <c r="B83" s="115" t="s">
        <v>1797</v>
      </c>
      <c r="C83" s="115" t="s">
        <v>1988</v>
      </c>
      <c r="D83" s="115" t="s">
        <v>1987</v>
      </c>
      <c r="E83" s="117"/>
      <c r="G83" s="115" t="s">
        <v>1862</v>
      </c>
      <c r="H83" s="115" t="s">
        <v>2919</v>
      </c>
    </row>
    <row r="84" spans="1:8" hidden="1" x14ac:dyDescent="0.15">
      <c r="A84" s="115" t="s">
        <v>1763</v>
      </c>
      <c r="B84" s="115" t="s">
        <v>1803</v>
      </c>
      <c r="C84" s="115" t="s">
        <v>1991</v>
      </c>
      <c r="D84" s="115" t="s">
        <v>1990</v>
      </c>
      <c r="E84" s="117"/>
      <c r="G84" s="115" t="s">
        <v>1989</v>
      </c>
      <c r="H84" s="115" t="s">
        <v>2918</v>
      </c>
    </row>
    <row r="85" spans="1:8" hidden="1" x14ac:dyDescent="0.15">
      <c r="B85" s="115" t="s">
        <v>1780</v>
      </c>
      <c r="C85" s="115" t="s">
        <v>1787</v>
      </c>
      <c r="D85" s="115" t="s">
        <v>1992</v>
      </c>
      <c r="E85" s="117"/>
      <c r="G85" s="115"/>
      <c r="H85" s="115" t="s">
        <v>2917</v>
      </c>
    </row>
    <row r="86" spans="1:8" hidden="1" x14ac:dyDescent="0.15">
      <c r="A86" s="115" t="s">
        <v>1763</v>
      </c>
      <c r="B86" s="115" t="s">
        <v>1803</v>
      </c>
      <c r="C86" s="115" t="s">
        <v>1995</v>
      </c>
      <c r="D86" s="115" t="s">
        <v>1994</v>
      </c>
      <c r="E86" s="117"/>
      <c r="G86" s="115" t="s">
        <v>1993</v>
      </c>
      <c r="H86" s="115" t="s">
        <v>2916</v>
      </c>
    </row>
    <row r="87" spans="1:8" hidden="1" x14ac:dyDescent="0.15">
      <c r="A87" s="115" t="s">
        <v>1763</v>
      </c>
      <c r="B87" s="115" t="s">
        <v>1774</v>
      </c>
      <c r="D87" s="115" t="s">
        <v>1997</v>
      </c>
      <c r="E87" s="117" t="s">
        <v>3033</v>
      </c>
      <c r="G87" s="115" t="s">
        <v>1996</v>
      </c>
      <c r="H87" s="115" t="s">
        <v>2915</v>
      </c>
    </row>
    <row r="88" spans="1:8" hidden="1" x14ac:dyDescent="0.15">
      <c r="A88" s="115" t="s">
        <v>1789</v>
      </c>
      <c r="B88" s="115" t="s">
        <v>1788</v>
      </c>
      <c r="C88" s="115" t="s">
        <v>916</v>
      </c>
      <c r="D88" s="115" t="s">
        <v>1998</v>
      </c>
      <c r="E88" s="117"/>
      <c r="G88" s="115" t="s">
        <v>1785</v>
      </c>
      <c r="H88" s="115" t="s">
        <v>2914</v>
      </c>
    </row>
    <row r="89" spans="1:8" hidden="1" x14ac:dyDescent="0.15">
      <c r="A89" s="115" t="s">
        <v>1763</v>
      </c>
      <c r="B89" s="115" t="s">
        <v>1851</v>
      </c>
      <c r="C89" s="115" t="s">
        <v>2001</v>
      </c>
      <c r="D89" s="115" t="s">
        <v>2000</v>
      </c>
      <c r="E89" s="117" t="s">
        <v>3005</v>
      </c>
      <c r="G89" s="115" t="s">
        <v>1999</v>
      </c>
      <c r="H89" s="115" t="s">
        <v>2913</v>
      </c>
    </row>
    <row r="90" spans="1:8" hidden="1" x14ac:dyDescent="0.15">
      <c r="D90" s="115" t="s">
        <v>2002</v>
      </c>
      <c r="E90" s="117" t="s">
        <v>2997</v>
      </c>
      <c r="G90" s="115"/>
    </row>
    <row r="91" spans="1:8" hidden="1" x14ac:dyDescent="0.15">
      <c r="A91" s="115" t="s">
        <v>1763</v>
      </c>
      <c r="B91" s="115" t="s">
        <v>1770</v>
      </c>
      <c r="C91" s="115" t="s">
        <v>1816</v>
      </c>
      <c r="D91" s="115" t="s">
        <v>2004</v>
      </c>
      <c r="E91" s="117"/>
      <c r="G91" s="115" t="s">
        <v>2003</v>
      </c>
      <c r="H91" s="115" t="s">
        <v>2912</v>
      </c>
    </row>
    <row r="92" spans="1:8" hidden="1" x14ac:dyDescent="0.15">
      <c r="B92" s="115" t="s">
        <v>1797</v>
      </c>
      <c r="C92" s="115" t="s">
        <v>1787</v>
      </c>
      <c r="D92" s="115" t="s">
        <v>2006</v>
      </c>
      <c r="E92" s="117"/>
      <c r="G92" s="115" t="s">
        <v>2005</v>
      </c>
      <c r="H92" s="115" t="s">
        <v>2911</v>
      </c>
    </row>
    <row r="93" spans="1:8" hidden="1" x14ac:dyDescent="0.15">
      <c r="A93" s="115" t="s">
        <v>1789</v>
      </c>
      <c r="B93" s="115" t="s">
        <v>1788</v>
      </c>
      <c r="C93" s="115" t="s">
        <v>1787</v>
      </c>
      <c r="D93" s="115" t="s">
        <v>2007</v>
      </c>
      <c r="E93" s="117"/>
      <c r="G93" s="115" t="s">
        <v>1785</v>
      </c>
      <c r="H93" s="115" t="s">
        <v>2910</v>
      </c>
    </row>
    <row r="94" spans="1:8" hidden="1" x14ac:dyDescent="0.15">
      <c r="A94" s="115" t="s">
        <v>1874</v>
      </c>
      <c r="B94" s="115" t="s">
        <v>1873</v>
      </c>
      <c r="C94" s="115" t="s">
        <v>1783</v>
      </c>
      <c r="D94" s="115" t="s">
        <v>2008</v>
      </c>
      <c r="E94" s="117"/>
      <c r="G94" s="115"/>
      <c r="H94" s="115" t="s">
        <v>2909</v>
      </c>
    </row>
    <row r="95" spans="1:8" hidden="1" x14ac:dyDescent="0.15">
      <c r="A95" s="115" t="s">
        <v>1789</v>
      </c>
      <c r="B95" s="115" t="s">
        <v>1788</v>
      </c>
      <c r="C95" s="115" t="s">
        <v>1787</v>
      </c>
      <c r="D95" s="115" t="s">
        <v>2009</v>
      </c>
      <c r="E95" s="117"/>
      <c r="G95" s="115" t="s">
        <v>1785</v>
      </c>
      <c r="H95" s="115" t="s">
        <v>2908</v>
      </c>
    </row>
    <row r="96" spans="1:8" hidden="1" x14ac:dyDescent="0.15">
      <c r="A96" s="115" t="s">
        <v>1789</v>
      </c>
      <c r="B96" s="115" t="s">
        <v>1788</v>
      </c>
      <c r="C96" s="115" t="s">
        <v>1928</v>
      </c>
      <c r="D96" s="115" t="s">
        <v>2011</v>
      </c>
      <c r="E96" s="117"/>
      <c r="G96" s="115" t="s">
        <v>2010</v>
      </c>
      <c r="H96" s="115" t="s">
        <v>2907</v>
      </c>
    </row>
    <row r="97" spans="1:8" hidden="1" x14ac:dyDescent="0.15">
      <c r="A97" s="115" t="s">
        <v>1763</v>
      </c>
      <c r="B97" s="115" t="s">
        <v>1774</v>
      </c>
      <c r="D97" s="115" t="s">
        <v>2013</v>
      </c>
      <c r="E97" s="117"/>
      <c r="G97" s="115" t="s">
        <v>2012</v>
      </c>
      <c r="H97" s="115" t="s">
        <v>2906</v>
      </c>
    </row>
    <row r="98" spans="1:8" hidden="1" x14ac:dyDescent="0.15">
      <c r="A98" s="115" t="s">
        <v>1763</v>
      </c>
      <c r="B98" s="115" t="s">
        <v>1803</v>
      </c>
      <c r="C98" s="115" t="s">
        <v>2016</v>
      </c>
      <c r="D98" s="115" t="s">
        <v>2015</v>
      </c>
      <c r="E98" s="117" t="s">
        <v>3026</v>
      </c>
      <c r="G98" s="115" t="s">
        <v>2014</v>
      </c>
      <c r="H98" s="115" t="s">
        <v>2905</v>
      </c>
    </row>
    <row r="99" spans="1:8" hidden="1" x14ac:dyDescent="0.15">
      <c r="A99" s="115" t="s">
        <v>1763</v>
      </c>
      <c r="B99" s="115" t="s">
        <v>1803</v>
      </c>
      <c r="C99" s="115" t="s">
        <v>2019</v>
      </c>
      <c r="D99" s="115" t="s">
        <v>2018</v>
      </c>
      <c r="E99" s="117"/>
      <c r="G99" s="115" t="s">
        <v>2017</v>
      </c>
      <c r="H99" s="115" t="s">
        <v>2904</v>
      </c>
    </row>
    <row r="100" spans="1:8" hidden="1" x14ac:dyDescent="0.15">
      <c r="B100" s="115" t="s">
        <v>2022</v>
      </c>
      <c r="C100" s="115" t="s">
        <v>1787</v>
      </c>
      <c r="D100" s="115" t="s">
        <v>2021</v>
      </c>
      <c r="E100" s="117"/>
      <c r="G100" s="115" t="s">
        <v>2020</v>
      </c>
      <c r="H100" s="115" t="s">
        <v>2903</v>
      </c>
    </row>
    <row r="101" spans="1:8" hidden="1" x14ac:dyDescent="0.15">
      <c r="A101" s="115" t="s">
        <v>1763</v>
      </c>
      <c r="B101" s="115" t="s">
        <v>1770</v>
      </c>
      <c r="C101" s="115" t="s">
        <v>916</v>
      </c>
      <c r="D101" s="115" t="s">
        <v>2024</v>
      </c>
      <c r="E101" s="117" t="s">
        <v>3006</v>
      </c>
      <c r="G101" s="115" t="s">
        <v>2023</v>
      </c>
      <c r="H101" s="115" t="s">
        <v>2902</v>
      </c>
    </row>
    <row r="102" spans="1:8" hidden="1" x14ac:dyDescent="0.15">
      <c r="A102" s="115" t="s">
        <v>1763</v>
      </c>
      <c r="B102" s="115" t="s">
        <v>1794</v>
      </c>
      <c r="C102" s="115" t="s">
        <v>2027</v>
      </c>
      <c r="D102" s="115" t="s">
        <v>2026</v>
      </c>
      <c r="E102" s="117"/>
      <c r="G102" s="115" t="s">
        <v>2025</v>
      </c>
      <c r="H102" s="115" t="s">
        <v>3251</v>
      </c>
    </row>
    <row r="103" spans="1:8" hidden="1" x14ac:dyDescent="0.15">
      <c r="A103" s="115" t="s">
        <v>1763</v>
      </c>
      <c r="B103" s="115" t="s">
        <v>1767</v>
      </c>
      <c r="C103" s="115" t="s">
        <v>2030</v>
      </c>
      <c r="D103" s="115" t="s">
        <v>2029</v>
      </c>
      <c r="E103" s="117"/>
      <c r="G103" s="115" t="s">
        <v>2028</v>
      </c>
      <c r="H103" s="115" t="s">
        <v>2901</v>
      </c>
    </row>
    <row r="104" spans="1:8" hidden="1" x14ac:dyDescent="0.15">
      <c r="A104" s="115" t="s">
        <v>1763</v>
      </c>
      <c r="B104" s="115" t="s">
        <v>1803</v>
      </c>
      <c r="C104" s="115" t="s">
        <v>2033</v>
      </c>
      <c r="D104" s="115" t="s">
        <v>2032</v>
      </c>
      <c r="E104" s="117"/>
      <c r="G104" s="115" t="s">
        <v>2031</v>
      </c>
      <c r="H104" s="115" t="s">
        <v>2900</v>
      </c>
    </row>
    <row r="105" spans="1:8" hidden="1" x14ac:dyDescent="0.15">
      <c r="A105" s="115" t="s">
        <v>1763</v>
      </c>
      <c r="B105" s="115" t="s">
        <v>1770</v>
      </c>
      <c r="C105" s="115" t="s">
        <v>2036</v>
      </c>
      <c r="D105" s="115" t="s">
        <v>2035</v>
      </c>
      <c r="E105" s="117" t="s">
        <v>3009</v>
      </c>
      <c r="G105" s="115" t="s">
        <v>2034</v>
      </c>
      <c r="H105" s="115" t="s">
        <v>2899</v>
      </c>
    </row>
    <row r="106" spans="1:8" hidden="1" x14ac:dyDescent="0.15">
      <c r="A106" s="115" t="s">
        <v>2040</v>
      </c>
      <c r="B106" s="115" t="s">
        <v>2039</v>
      </c>
      <c r="C106" s="115" t="s">
        <v>2038</v>
      </c>
      <c r="D106" s="115" t="s">
        <v>2037</v>
      </c>
      <c r="E106" s="117"/>
      <c r="G106" s="115"/>
    </row>
    <row r="107" spans="1:8" hidden="1" x14ac:dyDescent="0.15">
      <c r="A107" s="115" t="s">
        <v>1763</v>
      </c>
      <c r="B107" s="115" t="s">
        <v>1851</v>
      </c>
      <c r="C107" s="115" t="s">
        <v>2043</v>
      </c>
      <c r="D107" s="115" t="s">
        <v>2042</v>
      </c>
      <c r="E107" s="117" t="s">
        <v>3034</v>
      </c>
      <c r="G107" s="115" t="s">
        <v>2041</v>
      </c>
      <c r="H107" s="115" t="s">
        <v>2898</v>
      </c>
    </row>
    <row r="108" spans="1:8" hidden="1" x14ac:dyDescent="0.15">
      <c r="A108" s="115" t="s">
        <v>1763</v>
      </c>
      <c r="B108" s="115" t="s">
        <v>2045</v>
      </c>
      <c r="C108" s="115" t="s">
        <v>2045</v>
      </c>
      <c r="D108" s="115" t="s">
        <v>2044</v>
      </c>
      <c r="E108" s="117" t="s">
        <v>3014</v>
      </c>
      <c r="G108" s="115"/>
      <c r="H108" s="115" t="s">
        <v>2897</v>
      </c>
    </row>
    <row r="109" spans="1:8" hidden="1" x14ac:dyDescent="0.15">
      <c r="A109" s="115" t="s">
        <v>1763</v>
      </c>
      <c r="B109" s="115" t="s">
        <v>1851</v>
      </c>
      <c r="C109" s="115" t="s">
        <v>2047</v>
      </c>
      <c r="D109" s="115" t="s">
        <v>2046</v>
      </c>
      <c r="E109" s="117" t="s">
        <v>3025</v>
      </c>
      <c r="G109" s="115" t="s">
        <v>2041</v>
      </c>
      <c r="H109" s="115" t="s">
        <v>2896</v>
      </c>
    </row>
    <row r="110" spans="1:8" hidden="1" x14ac:dyDescent="0.15">
      <c r="A110" s="115" t="s">
        <v>1763</v>
      </c>
      <c r="B110" s="115" t="s">
        <v>1803</v>
      </c>
      <c r="C110" s="115" t="s">
        <v>2050</v>
      </c>
      <c r="D110" s="115" t="s">
        <v>2049</v>
      </c>
      <c r="E110" s="117"/>
      <c r="G110" s="115" t="s">
        <v>2048</v>
      </c>
      <c r="H110" s="115" t="s">
        <v>2895</v>
      </c>
    </row>
    <row r="111" spans="1:8" hidden="1" x14ac:dyDescent="0.15">
      <c r="A111" s="115" t="s">
        <v>1789</v>
      </c>
      <c r="B111" s="115" t="s">
        <v>1788</v>
      </c>
      <c r="C111" s="115" t="s">
        <v>2053</v>
      </c>
      <c r="D111" s="115" t="s">
        <v>2052</v>
      </c>
      <c r="E111" s="117"/>
      <c r="F111" s="115" t="s">
        <v>1791</v>
      </c>
      <c r="G111" s="115" t="s">
        <v>2051</v>
      </c>
      <c r="H111" s="115" t="s">
        <v>2894</v>
      </c>
    </row>
    <row r="112" spans="1:8" hidden="1" x14ac:dyDescent="0.15">
      <c r="A112" s="115" t="s">
        <v>1763</v>
      </c>
      <c r="B112" s="115" t="s">
        <v>2056</v>
      </c>
      <c r="C112" s="115" t="s">
        <v>2056</v>
      </c>
      <c r="D112" s="115" t="s">
        <v>2055</v>
      </c>
      <c r="E112" s="117" t="s">
        <v>3020</v>
      </c>
      <c r="G112" s="115" t="s">
        <v>2054</v>
      </c>
      <c r="H112" s="115" t="s">
        <v>2893</v>
      </c>
    </row>
    <row r="113" spans="1:8" hidden="1" x14ac:dyDescent="0.15">
      <c r="A113" s="115" t="s">
        <v>1763</v>
      </c>
      <c r="B113" s="115" t="s">
        <v>1774</v>
      </c>
      <c r="C113" s="115" t="s">
        <v>2059</v>
      </c>
      <c r="D113" s="115" t="s">
        <v>2058</v>
      </c>
      <c r="E113" s="117"/>
      <c r="G113" s="115" t="s">
        <v>2057</v>
      </c>
      <c r="H113" s="115" t="s">
        <v>2892</v>
      </c>
    </row>
  </sheetData>
  <phoneticPr fontId="9" type="noConversion"/>
  <pageMargins left="0.5" right="0.59" top="0.35" bottom="0.26" header="0.5" footer="0.24"/>
  <pageSetup paperSize="9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D93"/>
  <sheetViews>
    <sheetView workbookViewId="0">
      <pane ySplit="1" topLeftCell="A80" activePane="bottomLeft" state="frozen"/>
      <selection pane="bottomLeft" activeCell="C100" sqref="C100"/>
    </sheetView>
  </sheetViews>
  <sheetFormatPr defaultColWidth="9" defaultRowHeight="14.25" x14ac:dyDescent="0.15"/>
  <cols>
    <col min="1" max="1" width="9.25" style="14" bestFit="1" customWidth="1"/>
    <col min="2" max="2" width="13" style="14" bestFit="1" customWidth="1"/>
    <col min="3" max="3" width="62.125" style="14" bestFit="1" customWidth="1"/>
    <col min="4" max="16384" width="9" style="14"/>
  </cols>
  <sheetData>
    <row r="1" spans="1:4" x14ac:dyDescent="0.15">
      <c r="A1" s="14" t="s">
        <v>4394</v>
      </c>
      <c r="B1" s="14" t="s">
        <v>731</v>
      </c>
      <c r="C1" s="14" t="s">
        <v>545</v>
      </c>
      <c r="D1" s="14" t="s">
        <v>5230</v>
      </c>
    </row>
    <row r="2" spans="1:4" x14ac:dyDescent="0.15">
      <c r="A2" s="112"/>
      <c r="B2" s="14" t="s">
        <v>2105</v>
      </c>
      <c r="C2" s="14" t="s">
        <v>4789</v>
      </c>
    </row>
    <row r="3" spans="1:4" x14ac:dyDescent="0.15">
      <c r="A3" s="112"/>
      <c r="B3" s="14" t="s">
        <v>3632</v>
      </c>
      <c r="C3" s="14" t="s">
        <v>4793</v>
      </c>
    </row>
    <row r="4" spans="1:4" x14ac:dyDescent="0.15">
      <c r="A4" s="112"/>
      <c r="B4" s="14" t="s">
        <v>3655</v>
      </c>
      <c r="C4" s="14" t="s">
        <v>4790</v>
      </c>
    </row>
    <row r="5" spans="1:4" x14ac:dyDescent="0.15">
      <c r="A5" s="112"/>
      <c r="B5" s="14" t="s">
        <v>2068</v>
      </c>
      <c r="C5" s="14" t="s">
        <v>2070</v>
      </c>
    </row>
    <row r="6" spans="1:4" x14ac:dyDescent="0.15">
      <c r="A6" s="112">
        <v>43409</v>
      </c>
      <c r="B6" s="14" t="s">
        <v>5649</v>
      </c>
      <c r="C6" s="14" t="s">
        <v>5650</v>
      </c>
    </row>
    <row r="7" spans="1:4" x14ac:dyDescent="0.15">
      <c r="A7" s="112"/>
      <c r="B7" s="14" t="s">
        <v>3631</v>
      </c>
      <c r="C7" s="14" t="s">
        <v>4791</v>
      </c>
    </row>
    <row r="8" spans="1:4" x14ac:dyDescent="0.15">
      <c r="A8" s="112"/>
      <c r="B8" s="14" t="s">
        <v>2069</v>
      </c>
      <c r="C8" s="14" t="s">
        <v>3482</v>
      </c>
    </row>
    <row r="9" spans="1:4" x14ac:dyDescent="0.15">
      <c r="A9" s="112"/>
      <c r="B9" s="14" t="s">
        <v>744</v>
      </c>
      <c r="C9" s="14" t="s">
        <v>744</v>
      </c>
    </row>
    <row r="10" spans="1:4" x14ac:dyDescent="0.15">
      <c r="A10" s="112"/>
      <c r="B10" s="14" t="s">
        <v>3640</v>
      </c>
      <c r="C10" s="14" t="s">
        <v>3641</v>
      </c>
    </row>
    <row r="11" spans="1:4" x14ac:dyDescent="0.15">
      <c r="A11" s="112"/>
      <c r="B11" s="14" t="s">
        <v>3637</v>
      </c>
      <c r="C11" s="14" t="s">
        <v>3638</v>
      </c>
    </row>
    <row r="12" spans="1:4" x14ac:dyDescent="0.15">
      <c r="A12" s="112">
        <v>43398</v>
      </c>
      <c r="B12" s="14" t="s">
        <v>5207</v>
      </c>
      <c r="C12" s="14" t="s">
        <v>5210</v>
      </c>
    </row>
    <row r="13" spans="1:4" x14ac:dyDescent="0.15">
      <c r="A13" s="112">
        <v>43389</v>
      </c>
      <c r="B13" s="14" t="s">
        <v>3748</v>
      </c>
      <c r="C13" s="14" t="s">
        <v>3749</v>
      </c>
    </row>
    <row r="14" spans="1:4" x14ac:dyDescent="0.15">
      <c r="A14" s="112">
        <v>43391</v>
      </c>
      <c r="B14" s="14" t="s">
        <v>3763</v>
      </c>
      <c r="C14" s="14" t="s">
        <v>3764</v>
      </c>
    </row>
    <row r="15" spans="1:4" x14ac:dyDescent="0.15">
      <c r="A15" s="112"/>
      <c r="B15" s="14" t="s">
        <v>3268</v>
      </c>
      <c r="C15" s="14" t="s">
        <v>3269</v>
      </c>
    </row>
    <row r="16" spans="1:4" x14ac:dyDescent="0.15">
      <c r="A16" s="112">
        <v>43403</v>
      </c>
      <c r="B16" s="14" t="s">
        <v>4926</v>
      </c>
      <c r="C16" s="14" t="s">
        <v>4947</v>
      </c>
    </row>
    <row r="17" spans="1:4" x14ac:dyDescent="0.15">
      <c r="A17" s="112">
        <v>43405</v>
      </c>
      <c r="B17" s="14" t="s">
        <v>5430</v>
      </c>
      <c r="C17" s="14" t="s">
        <v>5431</v>
      </c>
    </row>
    <row r="18" spans="1:4" x14ac:dyDescent="0.15">
      <c r="A18" s="112">
        <v>43398</v>
      </c>
      <c r="B18" s="14" t="s">
        <v>2079</v>
      </c>
      <c r="C18" s="14" t="s">
        <v>2116</v>
      </c>
      <c r="D18" s="14" t="s">
        <v>5229</v>
      </c>
    </row>
    <row r="19" spans="1:4" x14ac:dyDescent="0.15">
      <c r="A19" s="112">
        <v>43404</v>
      </c>
      <c r="B19" s="14" t="s">
        <v>5537</v>
      </c>
      <c r="C19" s="14" t="s">
        <v>5539</v>
      </c>
    </row>
    <row r="20" spans="1:4" x14ac:dyDescent="0.15">
      <c r="A20" s="112">
        <v>43404</v>
      </c>
      <c r="B20" s="14" t="s">
        <v>5552</v>
      </c>
      <c r="C20" s="14" t="s">
        <v>5564</v>
      </c>
    </row>
    <row r="21" spans="1:4" x14ac:dyDescent="0.15">
      <c r="A21" s="112">
        <v>43409</v>
      </c>
      <c r="B21" s="14" t="s">
        <v>5676</v>
      </c>
      <c r="C21" s="14" t="s">
        <v>5678</v>
      </c>
    </row>
    <row r="22" spans="1:4" x14ac:dyDescent="0.15">
      <c r="A22" s="112"/>
      <c r="B22" s="14" t="s">
        <v>3639</v>
      </c>
      <c r="C22" s="14" t="s">
        <v>4388</v>
      </c>
    </row>
    <row r="23" spans="1:4" x14ac:dyDescent="0.15">
      <c r="A23" s="112"/>
      <c r="B23" s="14" t="s">
        <v>4787</v>
      </c>
      <c r="C23" s="14" t="s">
        <v>4794</v>
      </c>
    </row>
    <row r="24" spans="1:4" x14ac:dyDescent="0.15">
      <c r="A24" s="112"/>
      <c r="B24" s="14" t="s">
        <v>2080</v>
      </c>
      <c r="C24" s="14" t="s">
        <v>2117</v>
      </c>
    </row>
    <row r="25" spans="1:4" x14ac:dyDescent="0.15">
      <c r="A25" s="112">
        <v>43398</v>
      </c>
      <c r="B25" s="14" t="s">
        <v>5577</v>
      </c>
      <c r="C25" s="14" t="s">
        <v>5578</v>
      </c>
    </row>
    <row r="26" spans="1:4" x14ac:dyDescent="0.15">
      <c r="A26" s="112">
        <v>43392</v>
      </c>
      <c r="B26" s="14" t="s">
        <v>3767</v>
      </c>
      <c r="C26" s="14" t="s">
        <v>3768</v>
      </c>
    </row>
    <row r="27" spans="1:4" x14ac:dyDescent="0.15">
      <c r="A27" s="112">
        <v>43392</v>
      </c>
      <c r="B27" s="14" t="s">
        <v>3661</v>
      </c>
      <c r="C27" s="14" t="s">
        <v>3777</v>
      </c>
    </row>
    <row r="28" spans="1:4" x14ac:dyDescent="0.15">
      <c r="A28" s="112"/>
      <c r="B28" s="14" t="s">
        <v>4945</v>
      </c>
      <c r="C28" s="14" t="s">
        <v>4946</v>
      </c>
    </row>
    <row r="29" spans="1:4" x14ac:dyDescent="0.15">
      <c r="A29" s="112"/>
      <c r="B29" s="14" t="s">
        <v>2167</v>
      </c>
      <c r="C29" s="14" t="s">
        <v>2168</v>
      </c>
    </row>
    <row r="30" spans="1:4" x14ac:dyDescent="0.15">
      <c r="A30" s="112">
        <v>43410</v>
      </c>
      <c r="B30" s="14" t="s">
        <v>5581</v>
      </c>
      <c r="C30" s="14" t="s">
        <v>5582</v>
      </c>
    </row>
    <row r="31" spans="1:4" x14ac:dyDescent="0.15">
      <c r="A31" s="112"/>
      <c r="B31" s="14" t="s">
        <v>2081</v>
      </c>
      <c r="C31" s="14" t="s">
        <v>736</v>
      </c>
    </row>
    <row r="32" spans="1:4" x14ac:dyDescent="0.15">
      <c r="A32" s="112"/>
      <c r="B32" s="14" t="s">
        <v>2082</v>
      </c>
      <c r="C32" s="14" t="s">
        <v>2118</v>
      </c>
    </row>
    <row r="33" spans="1:3" x14ac:dyDescent="0.15">
      <c r="A33" s="112">
        <v>43391</v>
      </c>
      <c r="B33" s="14" t="s">
        <v>2083</v>
      </c>
      <c r="C33" s="14" t="s">
        <v>2119</v>
      </c>
    </row>
    <row r="34" spans="1:3" x14ac:dyDescent="0.15">
      <c r="A34" s="112"/>
      <c r="B34" s="14" t="s">
        <v>3656</v>
      </c>
      <c r="C34" s="14" t="s">
        <v>3657</v>
      </c>
    </row>
    <row r="35" spans="1:3" x14ac:dyDescent="0.15">
      <c r="A35" s="112">
        <v>43403</v>
      </c>
      <c r="B35" s="14" t="s">
        <v>5283</v>
      </c>
      <c r="C35" s="14" t="s">
        <v>5310</v>
      </c>
    </row>
    <row r="36" spans="1:3" x14ac:dyDescent="0.15">
      <c r="A36" s="112">
        <v>43410</v>
      </c>
      <c r="B36" s="14" t="s">
        <v>5579</v>
      </c>
      <c r="C36" s="14" t="s">
        <v>5580</v>
      </c>
    </row>
    <row r="37" spans="1:3" x14ac:dyDescent="0.15">
      <c r="A37" s="112">
        <v>43392</v>
      </c>
      <c r="B37" s="14" t="s">
        <v>3771</v>
      </c>
      <c r="C37" s="14" t="s">
        <v>3772</v>
      </c>
    </row>
    <row r="38" spans="1:3" x14ac:dyDescent="0.15">
      <c r="A38" s="112">
        <v>43391</v>
      </c>
      <c r="B38" s="14" t="s">
        <v>495</v>
      </c>
      <c r="C38" s="14" t="s">
        <v>3762</v>
      </c>
    </row>
    <row r="39" spans="1:3" x14ac:dyDescent="0.15">
      <c r="A39" s="112"/>
      <c r="B39" s="14" t="s">
        <v>3658</v>
      </c>
      <c r="C39" s="14" t="s">
        <v>3659</v>
      </c>
    </row>
    <row r="40" spans="1:3" x14ac:dyDescent="0.15">
      <c r="A40" s="112"/>
      <c r="B40" s="14" t="s">
        <v>3634</v>
      </c>
      <c r="C40" s="14" t="s">
        <v>3636</v>
      </c>
    </row>
    <row r="41" spans="1:3" x14ac:dyDescent="0.15">
      <c r="A41" s="112">
        <v>43416</v>
      </c>
      <c r="B41" s="14" t="s">
        <v>2084</v>
      </c>
      <c r="C41" s="14" t="s">
        <v>2120</v>
      </c>
    </row>
    <row r="42" spans="1:3" x14ac:dyDescent="0.15">
      <c r="A42" s="112">
        <v>43392</v>
      </c>
      <c r="B42" s="14" t="s">
        <v>3775</v>
      </c>
      <c r="C42" s="14" t="s">
        <v>3776</v>
      </c>
    </row>
    <row r="43" spans="1:3" x14ac:dyDescent="0.15">
      <c r="A43" s="112"/>
      <c r="B43" s="14" t="s">
        <v>2085</v>
      </c>
      <c r="C43" s="14" t="s">
        <v>2121</v>
      </c>
    </row>
    <row r="44" spans="1:3" x14ac:dyDescent="0.15">
      <c r="A44" s="112">
        <v>43403</v>
      </c>
      <c r="B44" s="14" t="s">
        <v>5286</v>
      </c>
      <c r="C44" s="14" t="s">
        <v>5308</v>
      </c>
    </row>
    <row r="45" spans="1:3" x14ac:dyDescent="0.15">
      <c r="A45" s="112"/>
      <c r="B45" s="14" t="s">
        <v>2086</v>
      </c>
      <c r="C45" s="14" t="s">
        <v>2122</v>
      </c>
    </row>
    <row r="46" spans="1:3" x14ac:dyDescent="0.15">
      <c r="A46" s="112">
        <v>43383</v>
      </c>
      <c r="B46" s="14" t="s">
        <v>2094</v>
      </c>
      <c r="C46" s="14" t="s">
        <v>2123</v>
      </c>
    </row>
    <row r="47" spans="1:3" x14ac:dyDescent="0.15">
      <c r="A47" s="112">
        <v>43405</v>
      </c>
      <c r="B47" s="14" t="s">
        <v>737</v>
      </c>
      <c r="C47" s="14" t="s">
        <v>2124</v>
      </c>
    </row>
    <row r="48" spans="1:3" x14ac:dyDescent="0.15">
      <c r="A48" s="112"/>
      <c r="B48" s="14" t="s">
        <v>2087</v>
      </c>
      <c r="C48" s="14" t="s">
        <v>2125</v>
      </c>
    </row>
    <row r="49" spans="1:3" x14ac:dyDescent="0.15">
      <c r="A49" s="112">
        <v>43391</v>
      </c>
      <c r="B49" s="14" t="s">
        <v>3758</v>
      </c>
      <c r="C49" s="14" t="s">
        <v>3759</v>
      </c>
    </row>
    <row r="50" spans="1:3" x14ac:dyDescent="0.15">
      <c r="A50" s="112">
        <v>43416</v>
      </c>
      <c r="B50" s="14" t="s">
        <v>2088</v>
      </c>
      <c r="C50" s="14" t="s">
        <v>2126</v>
      </c>
    </row>
    <row r="51" spans="1:3" x14ac:dyDescent="0.15">
      <c r="A51" s="112">
        <v>43391</v>
      </c>
      <c r="B51" s="14" t="s">
        <v>3765</v>
      </c>
      <c r="C51" s="14" t="s">
        <v>3766</v>
      </c>
    </row>
    <row r="52" spans="1:3" x14ac:dyDescent="0.15">
      <c r="A52" s="112">
        <v>43390</v>
      </c>
      <c r="B52" s="14" t="s">
        <v>3752</v>
      </c>
      <c r="C52" s="14" t="s">
        <v>3753</v>
      </c>
    </row>
    <row r="53" spans="1:3" x14ac:dyDescent="0.15">
      <c r="A53" s="112">
        <v>43405</v>
      </c>
      <c r="B53" s="14" t="s">
        <v>734</v>
      </c>
      <c r="C53" s="14" t="s">
        <v>2127</v>
      </c>
    </row>
    <row r="54" spans="1:3" x14ac:dyDescent="0.15">
      <c r="A54" s="112"/>
      <c r="B54" s="14" t="s">
        <v>2090</v>
      </c>
      <c r="C54" s="14" t="s">
        <v>2071</v>
      </c>
    </row>
    <row r="55" spans="1:3" x14ac:dyDescent="0.15">
      <c r="A55" s="112">
        <v>43390</v>
      </c>
      <c r="B55" s="14" t="s">
        <v>3750</v>
      </c>
      <c r="C55" s="14" t="s">
        <v>3751</v>
      </c>
    </row>
    <row r="56" spans="1:3" x14ac:dyDescent="0.15">
      <c r="A56" s="112">
        <v>43409</v>
      </c>
      <c r="B56" s="14" t="s">
        <v>5651</v>
      </c>
      <c r="C56" s="14" t="s">
        <v>5652</v>
      </c>
    </row>
    <row r="57" spans="1:3" x14ac:dyDescent="0.15">
      <c r="A57" s="112"/>
      <c r="B57" s="14" t="s">
        <v>2091</v>
      </c>
      <c r="C57" s="14" t="s">
        <v>2128</v>
      </c>
    </row>
    <row r="58" spans="1:3" x14ac:dyDescent="0.15">
      <c r="A58" s="112"/>
      <c r="B58" s="14" t="s">
        <v>2092</v>
      </c>
      <c r="C58" s="14" t="s">
        <v>2072</v>
      </c>
    </row>
    <row r="59" spans="1:3" x14ac:dyDescent="0.15">
      <c r="A59" s="112">
        <v>43390</v>
      </c>
      <c r="B59" s="14" t="s">
        <v>3754</v>
      </c>
      <c r="C59" s="14" t="s">
        <v>3755</v>
      </c>
    </row>
    <row r="60" spans="1:3" x14ac:dyDescent="0.15">
      <c r="A60" s="112"/>
      <c r="B60" s="14" t="s">
        <v>728</v>
      </c>
      <c r="C60" s="14" t="s">
        <v>2129</v>
      </c>
    </row>
    <row r="61" spans="1:3" x14ac:dyDescent="0.15">
      <c r="A61" s="112"/>
      <c r="B61" s="14" t="s">
        <v>2093</v>
      </c>
      <c r="C61" s="14" t="s">
        <v>2073</v>
      </c>
    </row>
    <row r="62" spans="1:3" x14ac:dyDescent="0.15">
      <c r="A62" s="112">
        <v>43390</v>
      </c>
      <c r="B62" s="14" t="s">
        <v>730</v>
      </c>
      <c r="C62" s="14" t="s">
        <v>3756</v>
      </c>
    </row>
    <row r="63" spans="1:3" x14ac:dyDescent="0.15">
      <c r="A63" s="112"/>
      <c r="B63" s="14" t="s">
        <v>2385</v>
      </c>
      <c r="C63" s="14" t="s">
        <v>2386</v>
      </c>
    </row>
    <row r="64" spans="1:3" x14ac:dyDescent="0.15">
      <c r="A64" s="112">
        <v>43392</v>
      </c>
      <c r="B64" s="14" t="s">
        <v>3773</v>
      </c>
      <c r="C64" s="14" t="s">
        <v>3774</v>
      </c>
    </row>
    <row r="65" spans="1:3" x14ac:dyDescent="0.15">
      <c r="A65" s="112"/>
      <c r="B65" s="14" t="s">
        <v>2096</v>
      </c>
      <c r="C65" s="14" t="s">
        <v>2130</v>
      </c>
    </row>
    <row r="66" spans="1:3" x14ac:dyDescent="0.15">
      <c r="A66" s="112"/>
      <c r="B66" s="14" t="s">
        <v>2097</v>
      </c>
      <c r="C66" s="14" t="s">
        <v>2131</v>
      </c>
    </row>
    <row r="67" spans="1:3" x14ac:dyDescent="0.15">
      <c r="A67" s="112"/>
      <c r="B67" s="14" t="s">
        <v>2098</v>
      </c>
      <c r="C67" s="14" t="s">
        <v>2074</v>
      </c>
    </row>
    <row r="68" spans="1:3" x14ac:dyDescent="0.15">
      <c r="A68" s="112">
        <v>43392</v>
      </c>
      <c r="B68" s="14" t="s">
        <v>3769</v>
      </c>
      <c r="C68" s="14" t="s">
        <v>3770</v>
      </c>
    </row>
    <row r="69" spans="1:3" x14ac:dyDescent="0.15">
      <c r="A69" s="112"/>
      <c r="B69" s="14" t="s">
        <v>2112</v>
      </c>
      <c r="C69" s="14" t="s">
        <v>2132</v>
      </c>
    </row>
    <row r="70" spans="1:3" x14ac:dyDescent="0.15">
      <c r="A70" s="112"/>
      <c r="B70" s="14" t="s">
        <v>2099</v>
      </c>
      <c r="C70" s="14" t="s">
        <v>2075</v>
      </c>
    </row>
    <row r="71" spans="1:3" x14ac:dyDescent="0.15">
      <c r="A71" s="112"/>
      <c r="B71" s="14" t="s">
        <v>2100</v>
      </c>
      <c r="C71" s="14" t="s">
        <v>2133</v>
      </c>
    </row>
    <row r="72" spans="1:3" x14ac:dyDescent="0.15">
      <c r="A72" s="112">
        <v>43409</v>
      </c>
      <c r="B72" s="14" t="s">
        <v>2101</v>
      </c>
      <c r="C72" s="14" t="s">
        <v>2134</v>
      </c>
    </row>
    <row r="73" spans="1:3" x14ac:dyDescent="0.15">
      <c r="A73" s="112"/>
      <c r="B73" s="14" t="s">
        <v>2102</v>
      </c>
      <c r="C73" s="14" t="s">
        <v>2076</v>
      </c>
    </row>
    <row r="74" spans="1:3" x14ac:dyDescent="0.15">
      <c r="A74" s="112">
        <v>43403</v>
      </c>
      <c r="B74" s="14" t="s">
        <v>5299</v>
      </c>
      <c r="C74" s="14" t="s">
        <v>5309</v>
      </c>
    </row>
    <row r="75" spans="1:3" x14ac:dyDescent="0.15">
      <c r="A75" s="112">
        <v>43391</v>
      </c>
      <c r="B75" s="14" t="s">
        <v>3760</v>
      </c>
      <c r="C75" s="14" t="s">
        <v>3761</v>
      </c>
    </row>
    <row r="76" spans="1:3" x14ac:dyDescent="0.15">
      <c r="A76" s="112">
        <v>43404</v>
      </c>
      <c r="B76" s="14" t="s">
        <v>2103</v>
      </c>
      <c r="C76" s="14" t="s">
        <v>2135</v>
      </c>
    </row>
    <row r="77" spans="1:3" x14ac:dyDescent="0.15">
      <c r="A77" s="112">
        <v>43390</v>
      </c>
      <c r="B77" s="14" t="s">
        <v>3757</v>
      </c>
      <c r="C77" s="14" t="s">
        <v>2136</v>
      </c>
    </row>
    <row r="78" spans="1:3" x14ac:dyDescent="0.15">
      <c r="A78" s="112"/>
      <c r="B78" s="14" t="s">
        <v>2106</v>
      </c>
      <c r="C78" s="14" t="s">
        <v>2137</v>
      </c>
    </row>
    <row r="79" spans="1:3" x14ac:dyDescent="0.15">
      <c r="A79" s="112">
        <v>43403</v>
      </c>
      <c r="B79" s="14" t="s">
        <v>2174</v>
      </c>
      <c r="C79" s="14" t="s">
        <v>2175</v>
      </c>
    </row>
    <row r="80" spans="1:3" x14ac:dyDescent="0.15">
      <c r="A80" s="112"/>
      <c r="B80" s="14" t="s">
        <v>4788</v>
      </c>
      <c r="C80" s="14" t="s">
        <v>3630</v>
      </c>
    </row>
    <row r="81" spans="1:3" x14ac:dyDescent="0.15">
      <c r="A81" s="112"/>
      <c r="B81" s="14" t="s">
        <v>2107</v>
      </c>
      <c r="C81" s="14" t="s">
        <v>2138</v>
      </c>
    </row>
    <row r="82" spans="1:3" x14ac:dyDescent="0.15">
      <c r="A82" s="112"/>
      <c r="B82" s="14" t="s">
        <v>2108</v>
      </c>
      <c r="C82" s="14" t="s">
        <v>2077</v>
      </c>
    </row>
    <row r="83" spans="1:3" x14ac:dyDescent="0.15">
      <c r="A83" s="112">
        <v>43412</v>
      </c>
      <c r="B83" s="14" t="s">
        <v>5812</v>
      </c>
      <c r="C83" s="14" t="s">
        <v>5813</v>
      </c>
    </row>
    <row r="84" spans="1:3" x14ac:dyDescent="0.15">
      <c r="A84" s="112">
        <v>43413</v>
      </c>
      <c r="B84" s="14" t="s">
        <v>5906</v>
      </c>
      <c r="C84" s="14" t="s">
        <v>5909</v>
      </c>
    </row>
    <row r="85" spans="1:3" x14ac:dyDescent="0.15">
      <c r="A85" s="112">
        <v>43413</v>
      </c>
      <c r="B85" s="14" t="s">
        <v>5830</v>
      </c>
      <c r="C85" s="14" t="s">
        <v>5839</v>
      </c>
    </row>
    <row r="86" spans="1:3" x14ac:dyDescent="0.15">
      <c r="A86" s="112">
        <v>43413</v>
      </c>
      <c r="B86" s="14" t="s">
        <v>5831</v>
      </c>
      <c r="C86" s="14" t="s">
        <v>5838</v>
      </c>
    </row>
    <row r="87" spans="1:3" x14ac:dyDescent="0.15">
      <c r="A87" s="112">
        <v>43413</v>
      </c>
      <c r="B87" s="14" t="s">
        <v>5832</v>
      </c>
      <c r="C87" s="14" t="s">
        <v>5835</v>
      </c>
    </row>
    <row r="88" spans="1:3" x14ac:dyDescent="0.15">
      <c r="A88" s="112">
        <v>43413</v>
      </c>
      <c r="B88" s="14" t="s">
        <v>5833</v>
      </c>
      <c r="C88" s="14" t="s">
        <v>5836</v>
      </c>
    </row>
    <row r="89" spans="1:3" x14ac:dyDescent="0.15">
      <c r="A89" s="112">
        <v>43413</v>
      </c>
      <c r="B89" s="14" t="s">
        <v>5834</v>
      </c>
      <c r="C89" s="14" t="s">
        <v>5837</v>
      </c>
    </row>
    <row r="90" spans="1:3" x14ac:dyDescent="0.15">
      <c r="A90" s="112">
        <v>43413</v>
      </c>
      <c r="B90" s="14" t="s">
        <v>5905</v>
      </c>
      <c r="C90" s="14" t="s">
        <v>5907</v>
      </c>
    </row>
    <row r="91" spans="1:3" x14ac:dyDescent="0.15">
      <c r="A91" s="112">
        <v>43413</v>
      </c>
      <c r="B91" s="14" t="s">
        <v>5904</v>
      </c>
      <c r="C91" s="14" t="s">
        <v>5908</v>
      </c>
    </row>
    <row r="92" spans="1:3" x14ac:dyDescent="0.15">
      <c r="A92" s="112">
        <v>43424</v>
      </c>
      <c r="B92" s="14" t="s">
        <v>5911</v>
      </c>
      <c r="C92" s="14" t="s">
        <v>5910</v>
      </c>
    </row>
    <row r="93" spans="1:3" x14ac:dyDescent="0.15">
      <c r="A93" s="112">
        <v>43424</v>
      </c>
      <c r="B93" s="14" t="s">
        <v>6288</v>
      </c>
      <c r="C93" s="14" t="s">
        <v>6285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416"/>
  <sheetViews>
    <sheetView topLeftCell="A324" workbookViewId="0">
      <selection activeCell="D339" sqref="D339"/>
    </sheetView>
  </sheetViews>
  <sheetFormatPr defaultColWidth="9" defaultRowHeight="14.25" x14ac:dyDescent="0.15"/>
  <cols>
    <col min="1" max="1" width="9" style="14" bestFit="1" customWidth="1"/>
    <col min="2" max="2" width="7.125" style="14" bestFit="1" customWidth="1"/>
    <col min="3" max="3" width="9.625" style="14" customWidth="1"/>
    <col min="4" max="4" width="45.125" style="14" customWidth="1"/>
    <col min="5" max="5" width="13.625" style="14" bestFit="1" customWidth="1"/>
    <col min="6" max="6" width="7.125" style="14" bestFit="1" customWidth="1"/>
    <col min="7" max="7" width="27.375" style="14" customWidth="1"/>
    <col min="8" max="16384" width="9" style="14"/>
  </cols>
  <sheetData>
    <row r="1" spans="1:8" x14ac:dyDescent="0.15">
      <c r="A1" s="14" t="s">
        <v>739</v>
      </c>
      <c r="B1" s="14" t="s">
        <v>733</v>
      </c>
      <c r="C1" s="14" t="s">
        <v>4402</v>
      </c>
      <c r="D1" s="14" t="s">
        <v>545</v>
      </c>
      <c r="E1" s="14" t="s">
        <v>623</v>
      </c>
      <c r="F1" s="14" t="s">
        <v>4394</v>
      </c>
      <c r="G1" s="14" t="s">
        <v>740</v>
      </c>
      <c r="H1" s="14" t="s">
        <v>5195</v>
      </c>
    </row>
    <row r="2" spans="1:8" x14ac:dyDescent="0.15">
      <c r="A2" s="24" t="s">
        <v>596</v>
      </c>
      <c r="B2" s="25">
        <f>IF(OR(Customer[[#This Row],[地标]]="",COUNTIF(Landmark[地标],Customer[[#This Row],[地标]])=1),COUNTIF(Quotation[抬头],Customer[[#This Row],[抬头]]),"地标")</f>
        <v>0</v>
      </c>
      <c r="C2" s="24" t="s">
        <v>2105</v>
      </c>
      <c r="D2" s="26" t="s">
        <v>4795</v>
      </c>
      <c r="E2" s="26" t="s">
        <v>610</v>
      </c>
      <c r="F2" s="113"/>
      <c r="G2" s="26"/>
      <c r="H2" s="24">
        <f>COUNTIF(Customer[抬头],Customer[[#This Row],[抬头]])</f>
        <v>1</v>
      </c>
    </row>
    <row r="3" spans="1:8" x14ac:dyDescent="0.15">
      <c r="A3" s="24" t="s">
        <v>719</v>
      </c>
      <c r="B3" s="25">
        <f>IF(OR(Customer[[#This Row],[地标]]="",COUNTIF(Landmark[地标],Customer[[#This Row],[地标]])=1),COUNTIF(Quotation[抬头],Customer[[#This Row],[抬头]]),"地标")</f>
        <v>0</v>
      </c>
      <c r="C3" s="24"/>
      <c r="D3" s="26" t="s">
        <v>642</v>
      </c>
      <c r="E3" s="26" t="s">
        <v>642</v>
      </c>
      <c r="F3" s="113"/>
      <c r="G3" s="26"/>
      <c r="H3" s="24">
        <f>COUNTIF(Customer[抬头],Customer[[#This Row],[抬头]])</f>
        <v>1</v>
      </c>
    </row>
    <row r="4" spans="1:8" x14ac:dyDescent="0.15">
      <c r="A4" s="24" t="s">
        <v>4935</v>
      </c>
      <c r="B4" s="25">
        <f>IF(OR(Customer[[#This Row],[地标]]="",COUNTIF(Landmark[地标],Customer[[#This Row],[地标]])=1),COUNTIF(Quotation[抬头],Customer[[#This Row],[抬头]]),"地标")</f>
        <v>0</v>
      </c>
      <c r="C4" s="24" t="s">
        <v>3633</v>
      </c>
      <c r="D4" s="26" t="s">
        <v>4796</v>
      </c>
      <c r="E4" s="26" t="s">
        <v>3611</v>
      </c>
      <c r="F4" s="113"/>
      <c r="G4" s="26" t="s">
        <v>4872</v>
      </c>
      <c r="H4" s="24">
        <f>COUNTIF(Customer[抬头],Customer[[#This Row],[抬头]])</f>
        <v>1</v>
      </c>
    </row>
    <row r="5" spans="1:8" x14ac:dyDescent="0.15">
      <c r="A5" s="24" t="s">
        <v>4936</v>
      </c>
      <c r="B5" s="25">
        <f>IF(OR(Customer[[#This Row],[地标]]="",COUNTIF(Landmark[地标],Customer[[#This Row],[地标]])=1),COUNTIF(Quotation[抬头],Customer[[#This Row],[抬头]]),"地标")</f>
        <v>0</v>
      </c>
      <c r="C5" s="24" t="s">
        <v>3655</v>
      </c>
      <c r="D5" s="26" t="s">
        <v>4797</v>
      </c>
      <c r="E5" s="26" t="s">
        <v>3654</v>
      </c>
      <c r="F5" s="113"/>
      <c r="G5" s="26" t="s">
        <v>4871</v>
      </c>
      <c r="H5" s="24">
        <f>COUNTIF(Customer[抬头],Customer[[#This Row],[抬头]])</f>
        <v>1</v>
      </c>
    </row>
    <row r="6" spans="1:8" ht="28.5" x14ac:dyDescent="0.15">
      <c r="A6" s="24" t="s">
        <v>491</v>
      </c>
      <c r="B6" s="25">
        <f>IF(OR(Customer[[#This Row],[地标]]="",COUNTIF(Landmark[地标],Customer[[#This Row],[地标]])=1),COUNTIF(Quotation[抬头],Customer[[#This Row],[抬头]]),"地标")</f>
        <v>0</v>
      </c>
      <c r="C6" s="24" t="s">
        <v>2109</v>
      </c>
      <c r="D6" s="26" t="s">
        <v>4798</v>
      </c>
      <c r="E6" s="26" t="s">
        <v>610</v>
      </c>
      <c r="F6" s="113"/>
      <c r="G6" s="26" t="s">
        <v>4404</v>
      </c>
      <c r="H6" s="24">
        <f>COUNTIF(Customer[抬头],Customer[[#This Row],[抬头]])</f>
        <v>1</v>
      </c>
    </row>
    <row r="7" spans="1:8" x14ac:dyDescent="0.15">
      <c r="A7" s="24" t="s">
        <v>4937</v>
      </c>
      <c r="B7" s="25">
        <f>IF(OR(Customer[[#This Row],[地标]]="",COUNTIF(Landmark[地标],Customer[[#This Row],[地标]])=1),COUNTIF(Quotation[抬头],Customer[[#This Row],[抬头]]),"地标")</f>
        <v>0</v>
      </c>
      <c r="C7" s="24" t="s">
        <v>3631</v>
      </c>
      <c r="D7" s="26" t="s">
        <v>4799</v>
      </c>
      <c r="E7" s="26" t="s">
        <v>3611</v>
      </c>
      <c r="F7" s="113"/>
      <c r="G7" s="26" t="s">
        <v>4871</v>
      </c>
      <c r="H7" s="24">
        <f>COUNTIF(Customer[抬头],Customer[[#This Row],[抬头]])</f>
        <v>1</v>
      </c>
    </row>
    <row r="8" spans="1:8" x14ac:dyDescent="0.15">
      <c r="A8" s="24" t="s">
        <v>498</v>
      </c>
      <c r="B8" s="25">
        <f>IF(OR(Customer[[#This Row],[地标]]="",COUNTIF(Landmark[地标],Customer[[#This Row],[地标]])=1),COUNTIF(Quotation[抬头],Customer[[#This Row],[抬头]]),"地标")</f>
        <v>7</v>
      </c>
      <c r="C8" s="24" t="s">
        <v>2069</v>
      </c>
      <c r="D8" s="26" t="s">
        <v>4800</v>
      </c>
      <c r="E8" s="26" t="s">
        <v>610</v>
      </c>
      <c r="F8" s="113"/>
      <c r="G8" s="26"/>
      <c r="H8" s="24">
        <f>COUNTIF(Customer[抬头],Customer[[#This Row],[抬头]])</f>
        <v>1</v>
      </c>
    </row>
    <row r="9" spans="1:8" x14ac:dyDescent="0.15">
      <c r="A9" s="24" t="s">
        <v>616</v>
      </c>
      <c r="B9" s="25">
        <f>IF(OR(Customer[[#This Row],[地标]]="",COUNTIF(Landmark[地标],Customer[[#This Row],[地标]])=1),COUNTIF(Quotation[抬头],Customer[[#This Row],[抬头]]),"地标")</f>
        <v>0</v>
      </c>
      <c r="C9" s="24" t="s">
        <v>742</v>
      </c>
      <c r="D9" s="26" t="s">
        <v>743</v>
      </c>
      <c r="E9" s="26" t="s">
        <v>610</v>
      </c>
      <c r="F9" s="113"/>
      <c r="G9" s="26" t="s">
        <v>4467</v>
      </c>
      <c r="H9" s="24">
        <f>COUNTIF(Customer[抬头],Customer[[#This Row],[抬头]])</f>
        <v>1</v>
      </c>
    </row>
    <row r="10" spans="1:8" ht="28.5" x14ac:dyDescent="0.15">
      <c r="A10" s="24" t="s">
        <v>4938</v>
      </c>
      <c r="B10" s="25">
        <f>IF(OR(Customer[[#This Row],[地标]]="",COUNTIF(Landmark[地标],Customer[[#This Row],[地标]])=1),COUNTIF(Quotation[抬头],Customer[[#This Row],[抬头]]),"地标")</f>
        <v>0</v>
      </c>
      <c r="C10" s="24" t="s">
        <v>3640</v>
      </c>
      <c r="D10" s="26" t="s">
        <v>4801</v>
      </c>
      <c r="E10" s="26" t="s">
        <v>3611</v>
      </c>
      <c r="F10" s="113"/>
      <c r="G10" s="26" t="s">
        <v>4930</v>
      </c>
      <c r="H10" s="24">
        <f>COUNTIF(Customer[抬头],Customer[[#This Row],[抬头]])</f>
        <v>1</v>
      </c>
    </row>
    <row r="11" spans="1:8" x14ac:dyDescent="0.15">
      <c r="A11" s="24" t="s">
        <v>4939</v>
      </c>
      <c r="B11" s="25">
        <f>IF(OR(Customer[[#This Row],[地标]]="",COUNTIF(Landmark[地标],Customer[[#This Row],[地标]])=1),COUNTIF(Quotation[抬头],Customer[[#This Row],[抬头]]),"地标")</f>
        <v>1</v>
      </c>
      <c r="C11" s="24" t="s">
        <v>3637</v>
      </c>
      <c r="D11" s="26" t="s">
        <v>4802</v>
      </c>
      <c r="E11" s="26" t="s">
        <v>3611</v>
      </c>
      <c r="F11" s="113">
        <v>43420</v>
      </c>
      <c r="G11" s="26" t="s">
        <v>4871</v>
      </c>
      <c r="H11" s="24">
        <f>COUNTIF(Customer[抬头],Customer[[#This Row],[抬头]])</f>
        <v>1</v>
      </c>
    </row>
    <row r="12" spans="1:8" x14ac:dyDescent="0.15">
      <c r="A12" s="24" t="s">
        <v>3778</v>
      </c>
      <c r="B12" s="25">
        <f>IF(OR(Customer[[#This Row],[地标]]="",COUNTIF(Landmark[地标],Customer[[#This Row],[地标]])=1),COUNTIF(Quotation[抬头],Customer[[#This Row],[抬头]]),"地标")</f>
        <v>0</v>
      </c>
      <c r="C12" s="24" t="s">
        <v>3748</v>
      </c>
      <c r="D12" s="26" t="s">
        <v>3782</v>
      </c>
      <c r="E12" s="26" t="s">
        <v>4397</v>
      </c>
      <c r="F12" s="113">
        <v>43389</v>
      </c>
      <c r="G12" s="26"/>
      <c r="H12" s="24">
        <f>COUNTIF(Customer[抬头],Customer[[#This Row],[抬头]])</f>
        <v>1</v>
      </c>
    </row>
    <row r="13" spans="1:8" x14ac:dyDescent="0.15">
      <c r="A13" s="24" t="s">
        <v>3784</v>
      </c>
      <c r="B13" s="25">
        <f>IF(OR(Customer[[#This Row],[地标]]="",COUNTIF(Landmark[地标],Customer[[#This Row],[地标]])=1),COUNTIF(Quotation[抬头],Customer[[#This Row],[抬头]]),"地标")</f>
        <v>0</v>
      </c>
      <c r="C13" s="24" t="s">
        <v>3748</v>
      </c>
      <c r="D13" s="26" t="s">
        <v>4803</v>
      </c>
      <c r="E13" s="26" t="s">
        <v>4397</v>
      </c>
      <c r="F13" s="113">
        <v>43389</v>
      </c>
      <c r="G13" s="26"/>
      <c r="H13" s="24">
        <f>COUNTIF(Customer[抬头],Customer[[#This Row],[抬头]])</f>
        <v>1</v>
      </c>
    </row>
    <row r="14" spans="1:8" x14ac:dyDescent="0.15">
      <c r="A14" s="24" t="s">
        <v>554</v>
      </c>
      <c r="B14" s="25">
        <f>IF(OR(Customer[[#This Row],[地标]]="",COUNTIF(Landmark[地标],Customer[[#This Row],[地标]])=1),COUNTIF(Quotation[抬头],Customer[[#This Row],[抬头]]),"地标")</f>
        <v>0</v>
      </c>
      <c r="C14" s="24" t="s">
        <v>3748</v>
      </c>
      <c r="D14" s="26" t="s">
        <v>3791</v>
      </c>
      <c r="E14" s="26" t="s">
        <v>4397</v>
      </c>
      <c r="F14" s="113">
        <v>43389</v>
      </c>
      <c r="G14" s="26" t="s">
        <v>4405</v>
      </c>
      <c r="H14" s="24">
        <f>COUNTIF(Customer[抬头],Customer[[#This Row],[抬头]])</f>
        <v>1</v>
      </c>
    </row>
    <row r="15" spans="1:8" x14ac:dyDescent="0.15">
      <c r="A15" s="24" t="s">
        <v>3793</v>
      </c>
      <c r="B15" s="25">
        <f>IF(OR(Customer[[#This Row],[地标]]="",COUNTIF(Landmark[地标],Customer[[#This Row],[地标]])=1),COUNTIF(Quotation[抬头],Customer[[#This Row],[抬头]]),"地标")</f>
        <v>0</v>
      </c>
      <c r="C15" s="24" t="s">
        <v>3748</v>
      </c>
      <c r="D15" s="26" t="s">
        <v>3797</v>
      </c>
      <c r="E15" s="26" t="s">
        <v>4397</v>
      </c>
      <c r="F15" s="113">
        <v>43389</v>
      </c>
      <c r="G15" s="26"/>
      <c r="H15" s="24">
        <f>COUNTIF(Customer[抬头],Customer[[#This Row],[抬头]])</f>
        <v>1</v>
      </c>
    </row>
    <row r="16" spans="1:8" x14ac:dyDescent="0.15">
      <c r="A16" s="24" t="s">
        <v>3798</v>
      </c>
      <c r="B16" s="25">
        <f>IF(OR(Customer[[#This Row],[地标]]="",COUNTIF(Landmark[地标],Customer[[#This Row],[地标]])=1),COUNTIF(Quotation[抬头],Customer[[#This Row],[抬头]]),"地标")</f>
        <v>0</v>
      </c>
      <c r="C16" s="24" t="s">
        <v>3748</v>
      </c>
      <c r="D16" s="26" t="s">
        <v>3802</v>
      </c>
      <c r="E16" s="26" t="s">
        <v>4397</v>
      </c>
      <c r="F16" s="113">
        <v>43389</v>
      </c>
      <c r="G16" s="26"/>
      <c r="H16" s="24">
        <f>COUNTIF(Customer[抬头],Customer[[#This Row],[抬头]])</f>
        <v>1</v>
      </c>
    </row>
    <row r="17" spans="1:8" x14ac:dyDescent="0.15">
      <c r="A17" s="24" t="s">
        <v>3803</v>
      </c>
      <c r="B17" s="25">
        <f>IF(OR(Customer[[#This Row],[地标]]="",COUNTIF(Landmark[地标],Customer[[#This Row],[地标]])=1),COUNTIF(Quotation[抬头],Customer[[#This Row],[抬头]]),"地标")</f>
        <v>0</v>
      </c>
      <c r="C17" s="24" t="s">
        <v>3748</v>
      </c>
      <c r="D17" s="26" t="s">
        <v>4804</v>
      </c>
      <c r="E17" s="26" t="s">
        <v>4397</v>
      </c>
      <c r="F17" s="113">
        <v>43389</v>
      </c>
      <c r="G17" s="26"/>
      <c r="H17" s="24">
        <f>COUNTIF(Customer[抬头],Customer[[#This Row],[抬头]])</f>
        <v>1</v>
      </c>
    </row>
    <row r="18" spans="1:8" x14ac:dyDescent="0.15">
      <c r="A18" s="24" t="s">
        <v>3808</v>
      </c>
      <c r="B18" s="25">
        <f>IF(OR(Customer[[#This Row],[地标]]="",COUNTIF(Landmark[地标],Customer[[#This Row],[地标]])=1),COUNTIF(Quotation[抬头],Customer[[#This Row],[抬头]]),"地标")</f>
        <v>0</v>
      </c>
      <c r="C18" s="24" t="s">
        <v>3748</v>
      </c>
      <c r="D18" s="26" t="s">
        <v>3813</v>
      </c>
      <c r="E18" s="26" t="s">
        <v>4397</v>
      </c>
      <c r="F18" s="113">
        <v>43389</v>
      </c>
      <c r="G18" s="26"/>
      <c r="H18" s="24">
        <f>COUNTIF(Customer[抬头],Customer[[#This Row],[抬头]])</f>
        <v>1</v>
      </c>
    </row>
    <row r="19" spans="1:8" x14ac:dyDescent="0.15">
      <c r="A19" s="24" t="s">
        <v>3814</v>
      </c>
      <c r="B19" s="25">
        <f>IF(OR(Customer[[#This Row],[地标]]="",COUNTIF(Landmark[地标],Customer[[#This Row],[地标]])=1),COUNTIF(Quotation[抬头],Customer[[#This Row],[抬头]]),"地标")</f>
        <v>0</v>
      </c>
      <c r="C19" s="24" t="s">
        <v>3748</v>
      </c>
      <c r="D19" s="26" t="s">
        <v>3816</v>
      </c>
      <c r="E19" s="26" t="s">
        <v>4397</v>
      </c>
      <c r="F19" s="113">
        <v>43389</v>
      </c>
      <c r="G19" s="26"/>
      <c r="H19" s="24">
        <f>COUNTIF(Customer[抬头],Customer[[#This Row],[抬头]])</f>
        <v>1</v>
      </c>
    </row>
    <row r="20" spans="1:8" x14ac:dyDescent="0.15">
      <c r="A20" s="24" t="s">
        <v>3817</v>
      </c>
      <c r="B20" s="25">
        <f>IF(OR(Customer[[#This Row],[地标]]="",COUNTIF(Landmark[地标],Customer[[#This Row],[地标]])=1),COUNTIF(Quotation[抬头],Customer[[#This Row],[抬头]]),"地标")</f>
        <v>0</v>
      </c>
      <c r="C20" s="24" t="s">
        <v>3748</v>
      </c>
      <c r="D20" s="26" t="s">
        <v>3821</v>
      </c>
      <c r="E20" s="26" t="s">
        <v>4397</v>
      </c>
      <c r="F20" s="113">
        <v>43389</v>
      </c>
      <c r="G20" s="26"/>
      <c r="H20" s="24">
        <f>COUNTIF(Customer[抬头],Customer[[#This Row],[抬头]])</f>
        <v>1</v>
      </c>
    </row>
    <row r="21" spans="1:8" x14ac:dyDescent="0.15">
      <c r="A21" s="24" t="s">
        <v>3823</v>
      </c>
      <c r="B21" s="25">
        <f>IF(OR(Customer[[#This Row],[地标]]="",COUNTIF(Landmark[地标],Customer[[#This Row],[地标]])=1),COUNTIF(Quotation[抬头],Customer[[#This Row],[抬头]]),"地标")</f>
        <v>0</v>
      </c>
      <c r="C21" s="24" t="s">
        <v>3748</v>
      </c>
      <c r="D21" s="26" t="s">
        <v>3824</v>
      </c>
      <c r="E21" s="26" t="s">
        <v>4397</v>
      </c>
      <c r="F21" s="113">
        <v>43389</v>
      </c>
      <c r="G21" s="26"/>
      <c r="H21" s="24">
        <f>COUNTIF(Customer[抬头],Customer[[#This Row],[抬头]])</f>
        <v>1</v>
      </c>
    </row>
    <row r="22" spans="1:8" x14ac:dyDescent="0.15">
      <c r="A22" s="24" t="s">
        <v>3826</v>
      </c>
      <c r="B22" s="25">
        <f>IF(OR(Customer[[#This Row],[地标]]="",COUNTIF(Landmark[地标],Customer[[#This Row],[地标]])=1),COUNTIF(Quotation[抬头],Customer[[#This Row],[抬头]]),"地标")</f>
        <v>0</v>
      </c>
      <c r="C22" s="24" t="s">
        <v>3748</v>
      </c>
      <c r="D22" s="26" t="s">
        <v>3828</v>
      </c>
      <c r="E22" s="26" t="s">
        <v>4397</v>
      </c>
      <c r="F22" s="113">
        <v>43389</v>
      </c>
      <c r="G22" s="26"/>
      <c r="H22" s="24">
        <f>COUNTIF(Customer[抬头],Customer[[#This Row],[抬头]])</f>
        <v>1</v>
      </c>
    </row>
    <row r="23" spans="1:8" x14ac:dyDescent="0.15">
      <c r="A23" s="24" t="s">
        <v>608</v>
      </c>
      <c r="B23" s="25">
        <f>IF(OR(Customer[[#This Row],[地标]]="",COUNTIF(Landmark[地标],Customer[[#This Row],[地标]])=1),COUNTIF(Quotation[抬头],Customer[[#This Row],[抬头]]),"地标")</f>
        <v>0</v>
      </c>
      <c r="C23" s="24" t="s">
        <v>2078</v>
      </c>
      <c r="D23" s="26" t="s">
        <v>4805</v>
      </c>
      <c r="E23" s="26" t="s">
        <v>610</v>
      </c>
      <c r="F23" s="113">
        <v>43327</v>
      </c>
      <c r="G23" s="26" t="s">
        <v>741</v>
      </c>
      <c r="H23" s="24">
        <f>COUNTIF(Customer[抬头],Customer[[#This Row],[抬头]])</f>
        <v>1</v>
      </c>
    </row>
    <row r="24" spans="1:8" x14ac:dyDescent="0.15">
      <c r="A24" s="24" t="s">
        <v>3830</v>
      </c>
      <c r="B24" s="25">
        <f>IF(OR(Customer[[#This Row],[地标]]="",COUNTIF(Landmark[地标],Customer[[#This Row],[地标]])=1),COUNTIF(Quotation[抬头],Customer[[#This Row],[抬头]]),"地标")</f>
        <v>0</v>
      </c>
      <c r="C24" s="24" t="s">
        <v>3763</v>
      </c>
      <c r="D24" s="26" t="s">
        <v>3834</v>
      </c>
      <c r="E24" s="26" t="s">
        <v>4397</v>
      </c>
      <c r="F24" s="113">
        <v>43391</v>
      </c>
      <c r="G24" s="26" t="s">
        <v>4406</v>
      </c>
      <c r="H24" s="24">
        <f>COUNTIF(Customer[抬头],Customer[[#This Row],[抬头]])</f>
        <v>1</v>
      </c>
    </row>
    <row r="25" spans="1:8" ht="28.5" x14ac:dyDescent="0.15">
      <c r="A25" s="24" t="s">
        <v>2329</v>
      </c>
      <c r="B25" s="25">
        <f>IF(OR(Customer[[#This Row],[地标]]="",COUNTIF(Landmark[地标],Customer[[#This Row],[地标]])=1),COUNTIF(Quotation[抬头],Customer[[#This Row],[抬头]]),"地标")</f>
        <v>0</v>
      </c>
      <c r="C25" s="24" t="s">
        <v>3268</v>
      </c>
      <c r="D25" s="26" t="s">
        <v>3267</v>
      </c>
      <c r="E25" s="26" t="s">
        <v>692</v>
      </c>
      <c r="F25" s="113"/>
      <c r="G25" s="26"/>
      <c r="H25" s="24">
        <f>COUNTIF(Customer[抬头],Customer[[#This Row],[抬头]])</f>
        <v>1</v>
      </c>
    </row>
    <row r="26" spans="1:8" x14ac:dyDescent="0.15">
      <c r="A26" s="24" t="s">
        <v>592</v>
      </c>
      <c r="B26" s="25">
        <f>IF(OR(Customer[[#This Row],[地标]]="",COUNTIF(Landmark[地标],Customer[[#This Row],[地标]])=1),COUNTIF(Quotation[抬头],Customer[[#This Row],[抬头]]),"地标")</f>
        <v>0</v>
      </c>
      <c r="C26" s="24" t="s">
        <v>2079</v>
      </c>
      <c r="D26" s="26" t="s">
        <v>4806</v>
      </c>
      <c r="E26" s="26" t="s">
        <v>610</v>
      </c>
      <c r="F26" s="113"/>
      <c r="G26" s="26" t="s">
        <v>4407</v>
      </c>
      <c r="H26" s="24">
        <f>COUNTIF(Customer[抬头],Customer[[#This Row],[抬头]])</f>
        <v>1</v>
      </c>
    </row>
    <row r="27" spans="1:8" x14ac:dyDescent="0.15">
      <c r="A27" s="24" t="s">
        <v>4933</v>
      </c>
      <c r="B27" s="25">
        <f>IF(OR(Customer[[#This Row],[地标]]="",COUNTIF(Landmark[地标],Customer[[#This Row],[地标]])=1),COUNTIF(Quotation[抬头],Customer[[#This Row],[抬头]]),"地标")</f>
        <v>1</v>
      </c>
      <c r="C27" s="24" t="s">
        <v>3639</v>
      </c>
      <c r="D27" s="26" t="s">
        <v>4807</v>
      </c>
      <c r="E27" s="26" t="s">
        <v>3611</v>
      </c>
      <c r="F27" s="113"/>
      <c r="G27" s="26" t="s">
        <v>4872</v>
      </c>
      <c r="H27" s="24">
        <f>COUNTIF(Customer[抬头],Customer[[#This Row],[抬头]])</f>
        <v>1</v>
      </c>
    </row>
    <row r="28" spans="1:8" x14ac:dyDescent="0.15">
      <c r="A28" s="24" t="s">
        <v>4932</v>
      </c>
      <c r="B28" s="25">
        <f>IF(OR(Customer[[#This Row],[地标]]="",COUNTIF(Landmark[地标],Customer[[#This Row],[地标]])=1),COUNTIF(Quotation[抬头],Customer[[#This Row],[抬头]]),"地标")</f>
        <v>0</v>
      </c>
      <c r="C28" s="24" t="s">
        <v>4787</v>
      </c>
      <c r="D28" s="26" t="s">
        <v>4808</v>
      </c>
      <c r="E28" s="26" t="s">
        <v>3654</v>
      </c>
      <c r="F28" s="113"/>
      <c r="G28" s="26" t="s">
        <v>4872</v>
      </c>
      <c r="H28" s="24">
        <f>COUNTIF(Customer[抬头],Customer[[#This Row],[抬头]])</f>
        <v>1</v>
      </c>
    </row>
    <row r="29" spans="1:8" x14ac:dyDescent="0.15">
      <c r="A29" s="24" t="s">
        <v>3707</v>
      </c>
      <c r="B29" s="25">
        <f>IF(OR(Customer[[#This Row],[地标]]="",COUNTIF(Landmark[地标],Customer[[#This Row],[地标]])=1),COUNTIF(Quotation[抬头],Customer[[#This Row],[抬头]]),"地标")</f>
        <v>2</v>
      </c>
      <c r="C29" s="24"/>
      <c r="D29" s="26"/>
      <c r="E29" s="26" t="s">
        <v>3712</v>
      </c>
      <c r="F29" s="113"/>
      <c r="G29" s="26"/>
      <c r="H29" s="24">
        <f>COUNTIF(Customer[抬头],Customer[[#This Row],[抬头]])</f>
        <v>1</v>
      </c>
    </row>
    <row r="30" spans="1:8" ht="42.75" x14ac:dyDescent="0.15">
      <c r="A30" s="24" t="s">
        <v>559</v>
      </c>
      <c r="B30" s="25">
        <f>IF(OR(Customer[[#This Row],[地标]]="",COUNTIF(Landmark[地标],Customer[[#This Row],[地标]])=1),COUNTIF(Quotation[抬头],Customer[[#This Row],[抬头]]),"地标")</f>
        <v>12</v>
      </c>
      <c r="C30" s="24" t="s">
        <v>2080</v>
      </c>
      <c r="D30" s="26" t="s">
        <v>4809</v>
      </c>
      <c r="E30" s="26" t="s">
        <v>610</v>
      </c>
      <c r="F30" s="113"/>
      <c r="G30" s="26" t="s">
        <v>4408</v>
      </c>
      <c r="H30" s="24">
        <f>COUNTIF(Customer[抬头],Customer[[#This Row],[抬头]])</f>
        <v>1</v>
      </c>
    </row>
    <row r="31" spans="1:8" x14ac:dyDescent="0.15">
      <c r="A31" s="24" t="s">
        <v>3836</v>
      </c>
      <c r="B31" s="25">
        <f>IF(OR(Customer[[#This Row],[地标]]="",COUNTIF(Landmark[地标],Customer[[#This Row],[地标]])=1),COUNTIF(Quotation[抬头],Customer[[#This Row],[抬头]]),"地标")</f>
        <v>0</v>
      </c>
      <c r="C31" s="24" t="s">
        <v>3767</v>
      </c>
      <c r="D31" s="26" t="s">
        <v>3840</v>
      </c>
      <c r="E31" s="26" t="s">
        <v>4397</v>
      </c>
      <c r="F31" s="113">
        <v>43392</v>
      </c>
      <c r="G31" s="26"/>
      <c r="H31" s="24">
        <f>COUNTIF(Customer[抬头],Customer[[#This Row],[抬头]])</f>
        <v>1</v>
      </c>
    </row>
    <row r="32" spans="1:8" x14ac:dyDescent="0.15">
      <c r="A32" s="24" t="s">
        <v>3841</v>
      </c>
      <c r="B32" s="25">
        <f>IF(OR(Customer[[#This Row],[地标]]="",COUNTIF(Landmark[地标],Customer[[#This Row],[地标]])=1),COUNTIF(Quotation[抬头],Customer[[#This Row],[抬头]]),"地标")</f>
        <v>0</v>
      </c>
      <c r="C32" s="24" t="s">
        <v>3767</v>
      </c>
      <c r="D32" s="26" t="s">
        <v>3845</v>
      </c>
      <c r="E32" s="26" t="s">
        <v>4397</v>
      </c>
      <c r="F32" s="113">
        <v>43392</v>
      </c>
      <c r="G32" s="26"/>
      <c r="H32" s="24">
        <f>COUNTIF(Customer[抬头],Customer[[#This Row],[抬头]])</f>
        <v>1</v>
      </c>
    </row>
    <row r="33" spans="1:8" x14ac:dyDescent="0.15">
      <c r="A33" s="24" t="s">
        <v>4940</v>
      </c>
      <c r="B33" s="25">
        <f>IF(OR(Customer[[#This Row],[地标]]="",COUNTIF(Landmark[地标],Customer[[#This Row],[地标]])=1),COUNTIF(Quotation[抬头],Customer[[#This Row],[抬头]]),"地标")</f>
        <v>0</v>
      </c>
      <c r="C33" s="24" t="s">
        <v>3660</v>
      </c>
      <c r="D33" s="26" t="s">
        <v>4810</v>
      </c>
      <c r="E33" s="26" t="s">
        <v>3654</v>
      </c>
      <c r="F33" s="113"/>
      <c r="G33" s="26" t="s">
        <v>4871</v>
      </c>
      <c r="H33" s="24">
        <f>COUNTIF(Customer[抬头],Customer[[#This Row],[抬头]])</f>
        <v>1</v>
      </c>
    </row>
    <row r="34" spans="1:8" x14ac:dyDescent="0.15">
      <c r="A34" s="24" t="s">
        <v>2166</v>
      </c>
      <c r="B34" s="25">
        <f>IF(OR(Customer[[#This Row],[地标]]="",COUNTIF(Landmark[地标],Customer[[#This Row],[地标]])=1),COUNTIF(Quotation[抬头],Customer[[#This Row],[抬头]]),"地标")</f>
        <v>0</v>
      </c>
      <c r="C34" s="24" t="s">
        <v>2167</v>
      </c>
      <c r="D34" s="26" t="s">
        <v>4811</v>
      </c>
      <c r="E34" s="26" t="s">
        <v>631</v>
      </c>
      <c r="F34" s="113"/>
      <c r="G34" s="26"/>
      <c r="H34" s="24">
        <f>COUNTIF(Customer[抬头],Customer[[#This Row],[抬头]])</f>
        <v>1</v>
      </c>
    </row>
    <row r="35" spans="1:8" x14ac:dyDescent="0.15">
      <c r="A35" s="24" t="s">
        <v>4389</v>
      </c>
      <c r="B35" s="25">
        <f>IF(OR(Customer[[#This Row],[地标]]="",COUNTIF(Landmark[地标],Customer[[#This Row],[地标]])=1),COUNTIF(Quotation[抬头],Customer[[#This Row],[抬头]]),"地标")</f>
        <v>0</v>
      </c>
      <c r="C35" s="24" t="s">
        <v>2110</v>
      </c>
      <c r="D35" s="26" t="s">
        <v>4812</v>
      </c>
      <c r="E35" s="26" t="s">
        <v>610</v>
      </c>
      <c r="F35" s="113"/>
      <c r="G35" s="26"/>
      <c r="H35" s="24">
        <f>COUNTIF(Customer[抬头],Customer[[#This Row],[抬头]])</f>
        <v>2</v>
      </c>
    </row>
    <row r="36" spans="1:8" x14ac:dyDescent="0.15">
      <c r="A36" s="24" t="s">
        <v>607</v>
      </c>
      <c r="B36" s="25">
        <f>IF(OR(Customer[[#This Row],[地标]]="",COUNTIF(Landmark[地标],Customer[[#This Row],[地标]])=1),COUNTIF(Quotation[抬头],Customer[[#This Row],[抬头]]),"地标")</f>
        <v>0</v>
      </c>
      <c r="C36" s="24" t="s">
        <v>2082</v>
      </c>
      <c r="D36" s="26" t="s">
        <v>4813</v>
      </c>
      <c r="E36" s="26" t="s">
        <v>610</v>
      </c>
      <c r="F36" s="113">
        <v>43319</v>
      </c>
      <c r="G36" s="26"/>
      <c r="H36" s="24">
        <f>COUNTIF(Customer[抬头],Customer[[#This Row],[抬头]])</f>
        <v>1</v>
      </c>
    </row>
    <row r="37" spans="1:8" x14ac:dyDescent="0.15">
      <c r="A37" s="24" t="s">
        <v>560</v>
      </c>
      <c r="B37" s="25">
        <f>IF(OR(Customer[[#This Row],[地标]]="",COUNTIF(Landmark[地标],Customer[[#This Row],[地标]])=1),COUNTIF(Quotation[抬头],Customer[[#This Row],[抬头]]),"地标")</f>
        <v>0</v>
      </c>
      <c r="C37" s="24" t="s">
        <v>2083</v>
      </c>
      <c r="D37" s="26" t="s">
        <v>4814</v>
      </c>
      <c r="E37" s="26" t="s">
        <v>610</v>
      </c>
      <c r="F37" s="113">
        <v>43327</v>
      </c>
      <c r="G37" s="26"/>
      <c r="H37" s="24">
        <f>COUNTIF(Customer[抬头],Customer[[#This Row],[抬头]])</f>
        <v>1</v>
      </c>
    </row>
    <row r="38" spans="1:8" x14ac:dyDescent="0.15">
      <c r="A38" s="24" t="s">
        <v>4941</v>
      </c>
      <c r="B38" s="25">
        <f>IF(OR(Customer[[#This Row],[地标]]="",COUNTIF(Landmark[地标],Customer[[#This Row],[地标]])=1),COUNTIF(Quotation[抬头],Customer[[#This Row],[抬头]]),"地标")</f>
        <v>0</v>
      </c>
      <c r="C38" s="24" t="s">
        <v>3656</v>
      </c>
      <c r="D38" s="26" t="s">
        <v>4815</v>
      </c>
      <c r="E38" s="26" t="s">
        <v>3654</v>
      </c>
      <c r="F38" s="113"/>
      <c r="G38" s="26" t="s">
        <v>4871</v>
      </c>
      <c r="H38" s="24">
        <f>COUNTIF(Customer[抬头],Customer[[#This Row],[抬头]])</f>
        <v>1</v>
      </c>
    </row>
    <row r="39" spans="1:8" ht="28.5" x14ac:dyDescent="0.15">
      <c r="A39" s="24" t="s">
        <v>3846</v>
      </c>
      <c r="B39" s="25">
        <f>IF(OR(Customer[[#This Row],[地标]]="",COUNTIF(Landmark[地标],Customer[[#This Row],[地标]])=1),COUNTIF(Quotation[抬头],Customer[[#This Row],[抬头]]),"地标")</f>
        <v>0</v>
      </c>
      <c r="C39" s="24" t="s">
        <v>3771</v>
      </c>
      <c r="D39" s="26" t="s">
        <v>3850</v>
      </c>
      <c r="E39" s="26" t="s">
        <v>4397</v>
      </c>
      <c r="F39" s="113">
        <v>43392</v>
      </c>
      <c r="G39" s="26" t="s">
        <v>4409</v>
      </c>
      <c r="H39" s="24">
        <f>COUNTIF(Customer[抬头],Customer[[#This Row],[抬头]])</f>
        <v>1</v>
      </c>
    </row>
    <row r="40" spans="1:8" x14ac:dyDescent="0.15">
      <c r="A40" s="24" t="s">
        <v>3851</v>
      </c>
      <c r="B40" s="25">
        <f>IF(OR(Customer[[#This Row],[地标]]="",COUNTIF(Landmark[地标],Customer[[#This Row],[地标]])=1),COUNTIF(Quotation[抬头],Customer[[#This Row],[抬头]]),"地标")</f>
        <v>0</v>
      </c>
      <c r="C40" s="24" t="s">
        <v>3771</v>
      </c>
      <c r="D40" s="26" t="s">
        <v>3855</v>
      </c>
      <c r="E40" s="26" t="s">
        <v>4397</v>
      </c>
      <c r="F40" s="113">
        <v>43392</v>
      </c>
      <c r="G40" s="26"/>
      <c r="H40" s="24">
        <f>COUNTIF(Customer[抬头],Customer[[#This Row],[抬头]])</f>
        <v>1</v>
      </c>
    </row>
    <row r="41" spans="1:8" x14ac:dyDescent="0.15">
      <c r="A41" s="24" t="s">
        <v>561</v>
      </c>
      <c r="B41" s="25">
        <f>IF(OR(Customer[[#This Row],[地标]]="",COUNTIF(Landmark[地标],Customer[[#This Row],[地标]])=1),COUNTIF(Quotation[抬头],Customer[[#This Row],[抬头]]),"地标")</f>
        <v>0</v>
      </c>
      <c r="C41" s="24" t="s">
        <v>727</v>
      </c>
      <c r="D41" s="26" t="s">
        <v>4818</v>
      </c>
      <c r="E41" s="26" t="s">
        <v>610</v>
      </c>
      <c r="F41" s="113">
        <v>43327</v>
      </c>
      <c r="G41" s="26" t="s">
        <v>4410</v>
      </c>
      <c r="H41" s="24">
        <f>COUNTIF(Customer[抬头],Customer[[#This Row],[抬头]])</f>
        <v>1</v>
      </c>
    </row>
    <row r="42" spans="1:8" x14ac:dyDescent="0.15">
      <c r="A42" s="24" t="s">
        <v>3857</v>
      </c>
      <c r="B42" s="25">
        <f>IF(OR(Customer[[#This Row],[地标]]="",COUNTIF(Landmark[地标],Customer[[#This Row],[地标]])=1),COUNTIF(Quotation[抬头],Customer[[#This Row],[抬头]]),"地标")</f>
        <v>0</v>
      </c>
      <c r="C42" s="24" t="s">
        <v>3771</v>
      </c>
      <c r="D42" s="26" t="s">
        <v>3862</v>
      </c>
      <c r="E42" s="26" t="s">
        <v>4397</v>
      </c>
      <c r="F42" s="113">
        <v>43392</v>
      </c>
      <c r="G42" s="26"/>
      <c r="H42" s="24">
        <f>COUNTIF(Customer[抬头],Customer[[#This Row],[抬头]])</f>
        <v>1</v>
      </c>
    </row>
    <row r="43" spans="1:8" x14ac:dyDescent="0.15">
      <c r="A43" s="24" t="s">
        <v>3864</v>
      </c>
      <c r="B43" s="25">
        <f>IF(OR(Customer[[#This Row],[地标]]="",COUNTIF(Landmark[地标],Customer[[#This Row],[地标]])=1),COUNTIF(Quotation[抬头],Customer[[#This Row],[抬头]]),"地标")</f>
        <v>0</v>
      </c>
      <c r="C43" s="24" t="s">
        <v>3771</v>
      </c>
      <c r="D43" s="26" t="s">
        <v>3868</v>
      </c>
      <c r="E43" s="26" t="s">
        <v>4397</v>
      </c>
      <c r="F43" s="113">
        <v>43392</v>
      </c>
      <c r="G43" s="26"/>
      <c r="H43" s="24">
        <f>COUNTIF(Customer[抬头],Customer[[#This Row],[抬头]])</f>
        <v>1</v>
      </c>
    </row>
    <row r="44" spans="1:8" x14ac:dyDescent="0.15">
      <c r="A44" s="24" t="s">
        <v>503</v>
      </c>
      <c r="B44" s="25">
        <f>IF(OR(Customer[[#This Row],[地标]]="",COUNTIF(Landmark[地标],Customer[[#This Row],[地标]])=1),COUNTIF(Quotation[抬头],Customer[[#This Row],[抬头]]),"地标")</f>
        <v>5</v>
      </c>
      <c r="C44" s="24"/>
      <c r="D44" s="26" t="s">
        <v>5016</v>
      </c>
      <c r="E44" s="26" t="s">
        <v>610</v>
      </c>
      <c r="F44" s="113"/>
      <c r="G44" s="26"/>
      <c r="H44" s="24">
        <f>COUNTIF(Customer[抬头],Customer[[#This Row],[抬头]])</f>
        <v>1</v>
      </c>
    </row>
    <row r="45" spans="1:8" x14ac:dyDescent="0.15">
      <c r="A45" s="24" t="s">
        <v>3870</v>
      </c>
      <c r="B45" s="25">
        <f>IF(OR(Customer[[#This Row],[地标]]="",COUNTIF(Landmark[地标],Customer[[#This Row],[地标]])=1),COUNTIF(Quotation[抬头],Customer[[#This Row],[抬头]]),"地标")</f>
        <v>0</v>
      </c>
      <c r="C45" s="24" t="s">
        <v>3771</v>
      </c>
      <c r="D45" s="26" t="s">
        <v>3874</v>
      </c>
      <c r="E45" s="26" t="s">
        <v>4397</v>
      </c>
      <c r="F45" s="113">
        <v>43392</v>
      </c>
      <c r="G45" s="26"/>
      <c r="H45" s="24">
        <f>COUNTIF(Customer[抬头],Customer[[#This Row],[抬头]])</f>
        <v>1</v>
      </c>
    </row>
    <row r="46" spans="1:8" x14ac:dyDescent="0.15">
      <c r="A46" s="24" t="s">
        <v>3875</v>
      </c>
      <c r="B46" s="25">
        <f>IF(OR(Customer[[#This Row],[地标]]="",COUNTIF(Landmark[地标],Customer[[#This Row],[地标]])=1),COUNTIF(Quotation[抬头],Customer[[#This Row],[抬头]]),"地标")</f>
        <v>0</v>
      </c>
      <c r="C46" s="24" t="s">
        <v>3771</v>
      </c>
      <c r="D46" s="26" t="s">
        <v>3880</v>
      </c>
      <c r="E46" s="26" t="s">
        <v>4397</v>
      </c>
      <c r="F46" s="113">
        <v>43392</v>
      </c>
      <c r="G46" s="26"/>
      <c r="H46" s="24">
        <f>COUNTIF(Customer[抬头],Customer[[#This Row],[抬头]])</f>
        <v>1</v>
      </c>
    </row>
    <row r="47" spans="1:8" ht="28.5" x14ac:dyDescent="0.15">
      <c r="A47" s="24" t="s">
        <v>3882</v>
      </c>
      <c r="B47" s="25">
        <f>IF(OR(Customer[[#This Row],[地标]]="",COUNTIF(Landmark[地标],Customer[[#This Row],[地标]])=1),COUNTIF(Quotation[抬头],Customer[[#This Row],[抬头]]),"地标")</f>
        <v>0</v>
      </c>
      <c r="C47" s="24" t="s">
        <v>3771</v>
      </c>
      <c r="D47" s="26" t="s">
        <v>3886</v>
      </c>
      <c r="E47" s="26" t="s">
        <v>4397</v>
      </c>
      <c r="F47" s="113">
        <v>43392</v>
      </c>
      <c r="G47" s="26" t="s">
        <v>4411</v>
      </c>
      <c r="H47" s="24">
        <f>COUNTIF(Customer[抬头],Customer[[#This Row],[抬头]])</f>
        <v>1</v>
      </c>
    </row>
    <row r="48" spans="1:8" x14ac:dyDescent="0.15">
      <c r="A48" s="24" t="s">
        <v>3887</v>
      </c>
      <c r="B48" s="25">
        <f>IF(OR(Customer[[#This Row],[地标]]="",COUNTIF(Landmark[地标],Customer[[#This Row],[地标]])=1),COUNTIF(Quotation[抬头],Customer[[#This Row],[抬头]]),"地标")</f>
        <v>0</v>
      </c>
      <c r="C48" s="24" t="s">
        <v>3771</v>
      </c>
      <c r="D48" s="26" t="s">
        <v>4816</v>
      </c>
      <c r="E48" s="26" t="s">
        <v>4397</v>
      </c>
      <c r="F48" s="113">
        <v>43392</v>
      </c>
      <c r="G48" s="26"/>
      <c r="H48" s="24">
        <f>COUNTIF(Customer[抬头],Customer[[#This Row],[抬头]])</f>
        <v>1</v>
      </c>
    </row>
    <row r="49" spans="1:8" x14ac:dyDescent="0.15">
      <c r="A49" s="24" t="s">
        <v>648</v>
      </c>
      <c r="B49" s="25">
        <f>IF(OR(Customer[[#This Row],[地标]]="",COUNTIF(Landmark[地标],Customer[[#This Row],[地标]])=1),COUNTIF(Quotation[抬头],Customer[[#This Row],[抬头]]),"地标")</f>
        <v>1</v>
      </c>
      <c r="C49" s="24" t="s">
        <v>727</v>
      </c>
      <c r="D49" s="26" t="s">
        <v>4817</v>
      </c>
      <c r="E49" s="26" t="s">
        <v>610</v>
      </c>
      <c r="F49" s="113">
        <v>43327</v>
      </c>
      <c r="G49" s="26"/>
      <c r="H49" s="24">
        <f>COUNTIF(Customer[抬头],Customer[[#This Row],[抬头]])</f>
        <v>1</v>
      </c>
    </row>
    <row r="50" spans="1:8" x14ac:dyDescent="0.15">
      <c r="A50" s="24" t="s">
        <v>3892</v>
      </c>
      <c r="B50" s="25">
        <f>IF(OR(Customer[[#This Row],[地标]]="",COUNTIF(Landmark[地标],Customer[[#This Row],[地标]])=1),COUNTIF(Quotation[抬头],Customer[[#This Row],[抬头]]),"地标")</f>
        <v>0</v>
      </c>
      <c r="C50" s="24" t="s">
        <v>3771</v>
      </c>
      <c r="D50" s="26" t="s">
        <v>3896</v>
      </c>
      <c r="E50" s="26" t="s">
        <v>4397</v>
      </c>
      <c r="F50" s="113">
        <v>43392</v>
      </c>
      <c r="G50" s="26"/>
      <c r="H50" s="24">
        <f>COUNTIF(Customer[抬头],Customer[[#This Row],[抬头]])</f>
        <v>1</v>
      </c>
    </row>
    <row r="51" spans="1:8" x14ac:dyDescent="0.15">
      <c r="A51" s="24" t="s">
        <v>3898</v>
      </c>
      <c r="B51" s="25">
        <f>IF(OR(Customer[[#This Row],[地标]]="",COUNTIF(Landmark[地标],Customer[[#This Row],[地标]])=1),COUNTIF(Quotation[抬头],Customer[[#This Row],[抬头]]),"地标")</f>
        <v>0</v>
      </c>
      <c r="C51" s="24" t="s">
        <v>3771</v>
      </c>
      <c r="D51" s="26" t="s">
        <v>3902</v>
      </c>
      <c r="E51" s="26" t="s">
        <v>4397</v>
      </c>
      <c r="F51" s="113">
        <v>43392</v>
      </c>
      <c r="G51" s="26"/>
      <c r="H51" s="24">
        <f>COUNTIF(Customer[抬头],Customer[[#This Row],[抬头]])</f>
        <v>1</v>
      </c>
    </row>
    <row r="52" spans="1:8" x14ac:dyDescent="0.15">
      <c r="A52" s="24" t="s">
        <v>3904</v>
      </c>
      <c r="B52" s="25">
        <f>IF(OR(Customer[[#This Row],[地标]]="",COUNTIF(Landmark[地标],Customer[[#This Row],[地标]])=1),COUNTIF(Quotation[抬头],Customer[[#This Row],[抬头]]),"地标")</f>
        <v>0</v>
      </c>
      <c r="C52" s="24" t="s">
        <v>3771</v>
      </c>
      <c r="D52" s="26" t="s">
        <v>3906</v>
      </c>
      <c r="E52" s="26" t="s">
        <v>4397</v>
      </c>
      <c r="F52" s="113">
        <v>43392</v>
      </c>
      <c r="G52" s="26"/>
      <c r="H52" s="24">
        <f>COUNTIF(Customer[抬头],Customer[[#This Row],[抬头]])</f>
        <v>1</v>
      </c>
    </row>
    <row r="53" spans="1:8" x14ac:dyDescent="0.15">
      <c r="A53" s="24" t="s">
        <v>4399</v>
      </c>
      <c r="B53" s="25">
        <f>IF(OR(Customer[[#This Row],[地标]]="",COUNTIF(Landmark[地标],Customer[[#This Row],[地标]])=1),COUNTIF(Quotation[抬头],Customer[[#This Row],[抬头]]),"地标")</f>
        <v>0</v>
      </c>
      <c r="C53" s="24" t="s">
        <v>4400</v>
      </c>
      <c r="D53" s="26" t="s">
        <v>4818</v>
      </c>
      <c r="E53" s="26" t="s">
        <v>4397</v>
      </c>
      <c r="F53" s="113">
        <v>43327</v>
      </c>
      <c r="G53" s="26"/>
      <c r="H53" s="24">
        <f>COUNTIF(Customer[抬头],Customer[[#This Row],[抬头]])</f>
        <v>1</v>
      </c>
    </row>
    <row r="54" spans="1:8" x14ac:dyDescent="0.15">
      <c r="A54" s="24" t="s">
        <v>3908</v>
      </c>
      <c r="B54" s="25">
        <f>IF(OR(Customer[[#This Row],[地标]]="",COUNTIF(Landmark[地标],Customer[[#This Row],[地标]])=1),COUNTIF(Quotation[抬头],Customer[[#This Row],[抬头]]),"地标")</f>
        <v>0</v>
      </c>
      <c r="C54" s="24" t="s">
        <v>3771</v>
      </c>
      <c r="D54" s="26" t="s">
        <v>3913</v>
      </c>
      <c r="E54" s="26" t="s">
        <v>4397</v>
      </c>
      <c r="F54" s="113">
        <v>43392</v>
      </c>
      <c r="G54" s="26" t="s">
        <v>4406</v>
      </c>
      <c r="H54" s="24">
        <f>COUNTIF(Customer[抬头],Customer[[#This Row],[抬头]])</f>
        <v>1</v>
      </c>
    </row>
    <row r="55" spans="1:8" ht="28.5" x14ac:dyDescent="0.15">
      <c r="A55" s="24" t="s">
        <v>583</v>
      </c>
      <c r="B55" s="25">
        <f>IF(OR(Customer[[#This Row],[地标]]="",COUNTIF(Landmark[地标],Customer[[#This Row],[地标]])=1),COUNTIF(Quotation[抬头],Customer[[#This Row],[抬头]]),"地标")</f>
        <v>0</v>
      </c>
      <c r="C55" s="24" t="s">
        <v>495</v>
      </c>
      <c r="D55" s="26" t="s">
        <v>3918</v>
      </c>
      <c r="E55" s="26" t="s">
        <v>4397</v>
      </c>
      <c r="F55" s="113">
        <v>43391</v>
      </c>
      <c r="G55" s="26" t="s">
        <v>4412</v>
      </c>
      <c r="H55" s="24">
        <f>COUNTIF(Customer[抬头],Customer[[#This Row],[抬头]])</f>
        <v>1</v>
      </c>
    </row>
    <row r="56" spans="1:8" x14ac:dyDescent="0.15">
      <c r="A56" s="24" t="s">
        <v>3919</v>
      </c>
      <c r="B56" s="25">
        <f>IF(OR(Customer[[#This Row],[地标]]="",COUNTIF(Landmark[地标],Customer[[#This Row],[地标]])=1),COUNTIF(Quotation[抬头],Customer[[#This Row],[抬头]]),"地标")</f>
        <v>0</v>
      </c>
      <c r="C56" s="24" t="s">
        <v>495</v>
      </c>
      <c r="D56" s="26" t="s">
        <v>3924</v>
      </c>
      <c r="E56" s="26" t="s">
        <v>4397</v>
      </c>
      <c r="F56" s="113">
        <v>43391</v>
      </c>
      <c r="G56" s="26"/>
      <c r="H56" s="24">
        <f>COUNTIF(Customer[抬头],Customer[[#This Row],[抬头]])</f>
        <v>1</v>
      </c>
    </row>
    <row r="57" spans="1:8" x14ac:dyDescent="0.15">
      <c r="A57" s="24" t="s">
        <v>3925</v>
      </c>
      <c r="B57" s="25">
        <f>IF(OR(Customer[[#This Row],[地标]]="",COUNTIF(Landmark[地标],Customer[[#This Row],[地标]])=1),COUNTIF(Quotation[抬头],Customer[[#This Row],[抬头]]),"地标")</f>
        <v>0</v>
      </c>
      <c r="C57" s="24" t="s">
        <v>495</v>
      </c>
      <c r="D57" s="26" t="s">
        <v>3929</v>
      </c>
      <c r="E57" s="26" t="s">
        <v>4397</v>
      </c>
      <c r="F57" s="113">
        <v>43391</v>
      </c>
      <c r="G57" s="26"/>
      <c r="H57" s="24">
        <f>COUNTIF(Customer[抬头],Customer[[#This Row],[抬头]])</f>
        <v>1</v>
      </c>
    </row>
    <row r="58" spans="1:8" x14ac:dyDescent="0.15">
      <c r="A58" s="24" t="s">
        <v>3931</v>
      </c>
      <c r="B58" s="25">
        <f>IF(OR(Customer[[#This Row],[地标]]="",COUNTIF(Landmark[地标],Customer[[#This Row],[地标]])=1),COUNTIF(Quotation[抬头],Customer[[#This Row],[抬头]]),"地标")</f>
        <v>0</v>
      </c>
      <c r="C58" s="24" t="s">
        <v>495</v>
      </c>
      <c r="D58" s="26" t="s">
        <v>4390</v>
      </c>
      <c r="E58" s="26" t="s">
        <v>4397</v>
      </c>
      <c r="F58" s="113">
        <v>43391</v>
      </c>
      <c r="G58" s="26" t="s">
        <v>4413</v>
      </c>
      <c r="H58" s="24">
        <f>COUNTIF(Customer[抬头],Customer[[#This Row],[抬头]])</f>
        <v>1</v>
      </c>
    </row>
    <row r="59" spans="1:8" x14ac:dyDescent="0.15">
      <c r="A59" s="24" t="s">
        <v>4942</v>
      </c>
      <c r="B59" s="25">
        <f>IF(OR(Customer[[#This Row],[地标]]="",COUNTIF(Landmark[地标],Customer[[#This Row],[地标]])=1),COUNTIF(Quotation[抬头],Customer[[#This Row],[抬头]]),"地标")</f>
        <v>0</v>
      </c>
      <c r="C59" s="24" t="s">
        <v>3658</v>
      </c>
      <c r="D59" s="26" t="s">
        <v>4819</v>
      </c>
      <c r="E59" s="26" t="s">
        <v>3654</v>
      </c>
      <c r="F59" s="113"/>
      <c r="G59" s="26" t="s">
        <v>4871</v>
      </c>
      <c r="H59" s="24">
        <f>COUNTIF(Customer[抬头],Customer[[#This Row],[抬头]])</f>
        <v>1</v>
      </c>
    </row>
    <row r="60" spans="1:8" x14ac:dyDescent="0.15">
      <c r="A60" s="24" t="s">
        <v>4361</v>
      </c>
      <c r="B60" s="25">
        <f>IF(OR(Customer[[#This Row],[地标]]="",COUNTIF(Landmark[地标],Customer[[#This Row],[地标]])=1),COUNTIF(Quotation[抬头],Customer[[#This Row],[抬头]]),"地标")</f>
        <v>0</v>
      </c>
      <c r="C60" s="24"/>
      <c r="D60" s="26"/>
      <c r="E60" s="26"/>
      <c r="F60" s="113"/>
      <c r="G60" s="26"/>
      <c r="H60" s="24">
        <f>COUNTIF(Customer[抬头],Customer[[#This Row],[抬头]])</f>
        <v>1</v>
      </c>
    </row>
    <row r="61" spans="1:8" x14ac:dyDescent="0.15">
      <c r="A61" s="24" t="s">
        <v>4943</v>
      </c>
      <c r="B61" s="25">
        <f>IF(OR(Customer[[#This Row],[地标]]="",COUNTIF(Landmark[地标],Customer[[#This Row],[地标]])=1),COUNTIF(Quotation[抬头],Customer[[#This Row],[抬头]]),"地标")</f>
        <v>0</v>
      </c>
      <c r="C61" s="24" t="s">
        <v>3635</v>
      </c>
      <c r="D61" s="26" t="s">
        <v>4820</v>
      </c>
      <c r="E61" s="26" t="s">
        <v>3611</v>
      </c>
      <c r="F61" s="113"/>
      <c r="G61" s="26" t="s">
        <v>4929</v>
      </c>
      <c r="H61" s="24">
        <f>COUNTIF(Customer[抬头],Customer[[#This Row],[抬头]])</f>
        <v>1</v>
      </c>
    </row>
    <row r="62" spans="1:8" x14ac:dyDescent="0.15">
      <c r="A62" s="24" t="s">
        <v>605</v>
      </c>
      <c r="B62" s="25">
        <f>IF(OR(Customer[[#This Row],[地标]]="",COUNTIF(Landmark[地标],Customer[[#This Row],[地标]])=1),COUNTIF(Quotation[抬头],Customer[[#This Row],[抬头]]),"地标")</f>
        <v>0</v>
      </c>
      <c r="C62" s="24"/>
      <c r="D62" s="26" t="s">
        <v>606</v>
      </c>
      <c r="E62" s="26" t="s">
        <v>609</v>
      </c>
      <c r="F62" s="113"/>
      <c r="G62" s="26"/>
      <c r="H62" s="24">
        <f>COUNTIF(Customer[抬头],Customer[[#This Row],[抬头]])</f>
        <v>1</v>
      </c>
    </row>
    <row r="63" spans="1:8" ht="28.5" x14ac:dyDescent="0.15">
      <c r="A63" s="24" t="s">
        <v>691</v>
      </c>
      <c r="B63" s="25">
        <f>IF(OR(Customer[[#This Row],[地标]]="",COUNTIF(Landmark[地标],Customer[[#This Row],[地标]])=1),COUNTIF(Quotation[抬头],Customer[[#This Row],[抬头]]),"地标")</f>
        <v>0</v>
      </c>
      <c r="C63" s="24" t="s">
        <v>2084</v>
      </c>
      <c r="D63" s="26" t="s">
        <v>4821</v>
      </c>
      <c r="E63" s="26" t="s">
        <v>692</v>
      </c>
      <c r="F63" s="113"/>
      <c r="G63" s="26" t="s">
        <v>693</v>
      </c>
      <c r="H63" s="24">
        <f>COUNTIF(Customer[抬头],Customer[[#This Row],[抬头]])</f>
        <v>1</v>
      </c>
    </row>
    <row r="64" spans="1:8" x14ac:dyDescent="0.15">
      <c r="A64" s="24" t="s">
        <v>575</v>
      </c>
      <c r="B64" s="25">
        <f>IF(OR(Customer[[#This Row],[地标]]="",COUNTIF(Landmark[地标],Customer[[#This Row],[地标]])=1),COUNTIF(Quotation[抬头],Customer[[#This Row],[抬头]]),"地标")</f>
        <v>0</v>
      </c>
      <c r="C64" s="24" t="s">
        <v>2084</v>
      </c>
      <c r="D64" s="26" t="s">
        <v>4822</v>
      </c>
      <c r="E64" s="26" t="s">
        <v>610</v>
      </c>
      <c r="F64" s="113"/>
      <c r="G64" s="26"/>
      <c r="H64" s="24">
        <f>COUNTIF(Customer[抬头],Customer[[#This Row],[抬头]])</f>
        <v>1</v>
      </c>
    </row>
    <row r="65" spans="1:8" x14ac:dyDescent="0.15">
      <c r="A65" s="24" t="s">
        <v>3934</v>
      </c>
      <c r="B65" s="25">
        <f>IF(OR(Customer[[#This Row],[地标]]="",COUNTIF(Landmark[地标],Customer[[#This Row],[地标]])=1),COUNTIF(Quotation[抬头],Customer[[#This Row],[抬头]]),"地标")</f>
        <v>0</v>
      </c>
      <c r="C65" s="24" t="s">
        <v>3775</v>
      </c>
      <c r="D65" s="26" t="s">
        <v>4823</v>
      </c>
      <c r="E65" s="26" t="s">
        <v>4397</v>
      </c>
      <c r="F65" s="113">
        <v>43392</v>
      </c>
      <c r="G65" s="26"/>
      <c r="H65" s="24">
        <f>COUNTIF(Customer[抬头],Customer[[#This Row],[抬头]])</f>
        <v>1</v>
      </c>
    </row>
    <row r="66" spans="1:8" x14ac:dyDescent="0.15">
      <c r="A66" s="24" t="s">
        <v>3940</v>
      </c>
      <c r="B66" s="25">
        <f>IF(OR(Customer[[#This Row],[地标]]="",COUNTIF(Landmark[地标],Customer[[#This Row],[地标]])=1),COUNTIF(Quotation[抬头],Customer[[#This Row],[抬头]]),"地标")</f>
        <v>1</v>
      </c>
      <c r="C66" s="24" t="s">
        <v>3775</v>
      </c>
      <c r="D66" s="26" t="s">
        <v>4824</v>
      </c>
      <c r="E66" s="26" t="s">
        <v>4397</v>
      </c>
      <c r="F66" s="113">
        <v>43392</v>
      </c>
      <c r="G66" s="26"/>
      <c r="H66" s="24">
        <f>COUNTIF(Customer[抬头],Customer[[#This Row],[抬头]])</f>
        <v>1</v>
      </c>
    </row>
    <row r="67" spans="1:8" x14ac:dyDescent="0.15">
      <c r="A67" s="24" t="s">
        <v>598</v>
      </c>
      <c r="B67" s="25">
        <f>IF(OR(Customer[[#This Row],[地标]]="",COUNTIF(Landmark[地标],Customer[[#This Row],[地标]])=1),COUNTIF(Quotation[抬头],Customer[[#This Row],[抬头]]),"地标")</f>
        <v>0</v>
      </c>
      <c r="C67" s="24"/>
      <c r="D67" s="26" t="s">
        <v>602</v>
      </c>
      <c r="E67" s="26" t="s">
        <v>602</v>
      </c>
      <c r="F67" s="113"/>
      <c r="G67" s="26"/>
      <c r="H67" s="24">
        <f>COUNTIF(Customer[抬头],Customer[[#This Row],[抬头]])</f>
        <v>1</v>
      </c>
    </row>
    <row r="68" spans="1:8" x14ac:dyDescent="0.15">
      <c r="A68" s="24" t="s">
        <v>2156</v>
      </c>
      <c r="B68" s="25">
        <f>IF(OR(Customer[[#This Row],[地标]]="",COUNTIF(Landmark[地标],Customer[[#This Row],[地标]])=1),COUNTIF(Quotation[抬头],Customer[[#This Row],[抬头]]),"地标")</f>
        <v>0</v>
      </c>
      <c r="C68" s="24"/>
      <c r="D68" s="26" t="s">
        <v>2158</v>
      </c>
      <c r="E68" s="26" t="s">
        <v>2159</v>
      </c>
      <c r="F68" s="113"/>
      <c r="G68" s="26" t="s">
        <v>2157</v>
      </c>
      <c r="H68" s="24">
        <f>COUNTIF(Customer[抬头],Customer[[#This Row],[抬头]])</f>
        <v>1</v>
      </c>
    </row>
    <row r="69" spans="1:8" x14ac:dyDescent="0.15">
      <c r="A69" s="24" t="s">
        <v>595</v>
      </c>
      <c r="B69" s="25">
        <f>IF(OR(Customer[[#This Row],[地标]]="",COUNTIF(Landmark[地标],Customer[[#This Row],[地标]])=1),COUNTIF(Quotation[抬头],Customer[[#This Row],[抬头]]),"地标")</f>
        <v>0</v>
      </c>
      <c r="C69" s="24" t="s">
        <v>2085</v>
      </c>
      <c r="D69" s="26" t="s">
        <v>5787</v>
      </c>
      <c r="E69" s="26" t="s">
        <v>610</v>
      </c>
      <c r="F69" s="113"/>
      <c r="G69" s="26"/>
      <c r="H69" s="24">
        <f>COUNTIF(Customer[抬头],Customer[[#This Row],[抬头]])</f>
        <v>1</v>
      </c>
    </row>
    <row r="70" spans="1:8" x14ac:dyDescent="0.15">
      <c r="A70" s="24" t="s">
        <v>591</v>
      </c>
      <c r="B70" s="25">
        <f>IF(OR(Customer[[#This Row],[地标]]="",COUNTIF(Landmark[地标],Customer[[#This Row],[地标]])=1),COUNTIF(Quotation[抬头],Customer[[#This Row],[抬头]]),"地标")</f>
        <v>3</v>
      </c>
      <c r="C70" s="24" t="s">
        <v>2086</v>
      </c>
      <c r="D70" s="26" t="s">
        <v>4825</v>
      </c>
      <c r="E70" s="26" t="s">
        <v>610</v>
      </c>
      <c r="F70" s="113"/>
      <c r="G70" s="26"/>
      <c r="H70" s="24">
        <f>COUNTIF(Customer[抬头],Customer[[#This Row],[抬头]])</f>
        <v>1</v>
      </c>
    </row>
    <row r="71" spans="1:8" x14ac:dyDescent="0.15">
      <c r="A71" s="24" t="s">
        <v>544</v>
      </c>
      <c r="B71" s="25">
        <f>IF(OR(Customer[[#This Row],[地标]]="",COUNTIF(Landmark[地标],Customer[[#This Row],[地标]])=1),COUNTIF(Quotation[抬头],Customer[[#This Row],[抬头]]),"地标")</f>
        <v>0</v>
      </c>
      <c r="C71" s="24"/>
      <c r="D71" s="26" t="s">
        <v>602</v>
      </c>
      <c r="E71" s="26" t="s">
        <v>602</v>
      </c>
      <c r="F71" s="113"/>
      <c r="G71" s="26"/>
      <c r="H71" s="24">
        <f>COUNTIF(Customer[抬头],Customer[[#This Row],[抬头]])</f>
        <v>1</v>
      </c>
    </row>
    <row r="72" spans="1:8" x14ac:dyDescent="0.15">
      <c r="A72" s="24" t="s">
        <v>502</v>
      </c>
      <c r="B72" s="25">
        <f>IF(OR(Customer[[#This Row],[地标]]="",COUNTIF(Landmark[地标],Customer[[#This Row],[地标]])=1),COUNTIF(Quotation[抬头],Customer[[#This Row],[抬头]]),"地标")</f>
        <v>44</v>
      </c>
      <c r="C72" s="24" t="s">
        <v>2094</v>
      </c>
      <c r="D72" s="26" t="s">
        <v>4826</v>
      </c>
      <c r="E72" s="26" t="s">
        <v>610</v>
      </c>
      <c r="F72" s="113">
        <v>43383</v>
      </c>
      <c r="G72" s="26"/>
      <c r="H72" s="24">
        <f>COUNTIF(Customer[抬头],Customer[[#This Row],[抬头]])</f>
        <v>1</v>
      </c>
    </row>
    <row r="73" spans="1:8" x14ac:dyDescent="0.15">
      <c r="A73" s="24" t="s">
        <v>538</v>
      </c>
      <c r="B73" s="25">
        <f>IF(OR(Customer[[#This Row],[地标]]="",COUNTIF(Landmark[地标],Customer[[#This Row],[地标]])=1),COUNTIF(Quotation[抬头],Customer[[#This Row],[抬头]]),"地标")</f>
        <v>7</v>
      </c>
      <c r="C73" s="24" t="s">
        <v>737</v>
      </c>
      <c r="D73" s="26" t="s">
        <v>4827</v>
      </c>
      <c r="E73" s="26" t="s">
        <v>610</v>
      </c>
      <c r="F73" s="113">
        <v>43405</v>
      </c>
      <c r="G73" s="26" t="s">
        <v>5412</v>
      </c>
      <c r="H73" s="24">
        <f>COUNTIF(Customer[抬头],Customer[[#This Row],[抬头]])</f>
        <v>1</v>
      </c>
    </row>
    <row r="74" spans="1:8" x14ac:dyDescent="0.15">
      <c r="A74" s="24" t="s">
        <v>594</v>
      </c>
      <c r="B74" s="25">
        <f>IF(OR(Customer[[#This Row],[地标]]="",COUNTIF(Landmark[地标],Customer[[#This Row],[地标]])=1),COUNTIF(Quotation[抬头],Customer[[#This Row],[抬头]]),"地标")</f>
        <v>0</v>
      </c>
      <c r="C74" s="24" t="s">
        <v>2087</v>
      </c>
      <c r="D74" s="26" t="s">
        <v>4828</v>
      </c>
      <c r="E74" s="26" t="s">
        <v>610</v>
      </c>
      <c r="F74" s="113"/>
      <c r="G74" s="26" t="s">
        <v>4414</v>
      </c>
      <c r="H74" s="24">
        <f>COUNTIF(Customer[抬头],Customer[[#This Row],[抬头]])</f>
        <v>1</v>
      </c>
    </row>
    <row r="75" spans="1:8" x14ac:dyDescent="0.15">
      <c r="A75" s="24" t="s">
        <v>3944</v>
      </c>
      <c r="B75" s="25">
        <f>IF(OR(Customer[[#This Row],[地标]]="",COUNTIF(Landmark[地标],Customer[[#This Row],[地标]])=1),COUNTIF(Quotation[抬头],Customer[[#This Row],[抬头]]),"地标")</f>
        <v>0</v>
      </c>
      <c r="C75" s="24" t="s">
        <v>3758</v>
      </c>
      <c r="D75" s="26" t="s">
        <v>3949</v>
      </c>
      <c r="E75" s="26" t="s">
        <v>4397</v>
      </c>
      <c r="F75" s="113">
        <v>43391</v>
      </c>
      <c r="G75" s="26" t="s">
        <v>4415</v>
      </c>
      <c r="H75" s="24">
        <f>COUNTIF(Customer[抬头],Customer[[#This Row],[抬头]])</f>
        <v>1</v>
      </c>
    </row>
    <row r="76" spans="1:8" x14ac:dyDescent="0.15">
      <c r="A76" s="24" t="s">
        <v>3950</v>
      </c>
      <c r="B76" s="25">
        <f>IF(OR(Customer[[#This Row],[地标]]="",COUNTIF(Landmark[地标],Customer[[#This Row],[地标]])=1),COUNTIF(Quotation[抬头],Customer[[#This Row],[抬头]]),"地标")</f>
        <v>0</v>
      </c>
      <c r="C76" s="24" t="s">
        <v>3758</v>
      </c>
      <c r="D76" s="26" t="s">
        <v>3951</v>
      </c>
      <c r="E76" s="26" t="s">
        <v>4397</v>
      </c>
      <c r="F76" s="113">
        <v>43391</v>
      </c>
      <c r="G76" s="26" t="s">
        <v>4416</v>
      </c>
      <c r="H76" s="24">
        <f>COUNTIF(Customer[抬头],Customer[[#This Row],[抬头]])</f>
        <v>1</v>
      </c>
    </row>
    <row r="77" spans="1:8" ht="28.5" x14ac:dyDescent="0.15">
      <c r="A77" s="24" t="s">
        <v>574</v>
      </c>
      <c r="B77" s="25">
        <f>IF(OR(Customer[[#This Row],[地标]]="",COUNTIF(Landmark[地标],Customer[[#This Row],[地标]])=1),COUNTIF(Quotation[抬头],Customer[[#This Row],[抬头]]),"地标")</f>
        <v>0</v>
      </c>
      <c r="C77" s="24" t="s">
        <v>2088</v>
      </c>
      <c r="D77" s="26" t="s">
        <v>6090</v>
      </c>
      <c r="E77" s="26" t="s">
        <v>610</v>
      </c>
      <c r="F77" s="113"/>
      <c r="G77" s="26" t="s">
        <v>6098</v>
      </c>
      <c r="H77" s="24">
        <f>COUNTIF(Customer[抬头],Customer[[#This Row],[抬头]])</f>
        <v>1</v>
      </c>
    </row>
    <row r="78" spans="1:8" x14ac:dyDescent="0.15">
      <c r="A78" s="24" t="s">
        <v>613</v>
      </c>
      <c r="B78" s="25">
        <f>IF(OR(Customer[[#This Row],[地标]]="",COUNTIF(Landmark[地标],Customer[[#This Row],[地标]])=1),COUNTIF(Quotation[抬头],Customer[[#This Row],[抬头]]),"地标")</f>
        <v>1</v>
      </c>
      <c r="C78" s="24" t="s">
        <v>2089</v>
      </c>
      <c r="D78" s="26" t="s">
        <v>4829</v>
      </c>
      <c r="E78" s="26" t="s">
        <v>610</v>
      </c>
      <c r="F78" s="113">
        <v>43327</v>
      </c>
      <c r="G78" s="26" t="s">
        <v>4417</v>
      </c>
      <c r="H78" s="24">
        <f>COUNTIF(Customer[抬头],Customer[[#This Row],[抬头]])</f>
        <v>1</v>
      </c>
    </row>
    <row r="79" spans="1:8" x14ac:dyDescent="0.15">
      <c r="A79" s="24" t="s">
        <v>3953</v>
      </c>
      <c r="B79" s="25">
        <f>IF(OR(Customer[[#This Row],[地标]]="",COUNTIF(Landmark[地标],Customer[[#This Row],[地标]])=1),COUNTIF(Quotation[抬头],Customer[[#This Row],[抬头]]),"地标")</f>
        <v>1</v>
      </c>
      <c r="C79" s="24" t="s">
        <v>3765</v>
      </c>
      <c r="D79" s="26" t="s">
        <v>3957</v>
      </c>
      <c r="E79" s="26" t="s">
        <v>4397</v>
      </c>
      <c r="F79" s="113">
        <v>43391</v>
      </c>
      <c r="G79" s="26"/>
      <c r="H79" s="24">
        <f>COUNTIF(Customer[抬头],Customer[[#This Row],[抬头]])</f>
        <v>1</v>
      </c>
    </row>
    <row r="80" spans="1:8" x14ac:dyDescent="0.15">
      <c r="A80" s="24" t="s">
        <v>496</v>
      </c>
      <c r="B80" s="25">
        <f>IF(OR(Customer[[#This Row],[地标]]="",COUNTIF(Landmark[地标],Customer[[#This Row],[地标]])=1),COUNTIF(Quotation[抬头],Customer[[#This Row],[抬头]]),"地标")</f>
        <v>0</v>
      </c>
      <c r="C80" s="24" t="s">
        <v>3765</v>
      </c>
      <c r="D80" s="26" t="s">
        <v>4391</v>
      </c>
      <c r="E80" s="26" t="s">
        <v>4397</v>
      </c>
      <c r="F80" s="113">
        <v>43391</v>
      </c>
      <c r="G80" s="26"/>
      <c r="H80" s="24">
        <f>COUNTIF(Customer[抬头],Customer[[#This Row],[抬头]])</f>
        <v>1</v>
      </c>
    </row>
    <row r="81" spans="1:8" x14ac:dyDescent="0.15">
      <c r="A81" s="24" t="s">
        <v>3960</v>
      </c>
      <c r="B81" s="25">
        <f>IF(OR(Customer[[#This Row],[地标]]="",COUNTIF(Landmark[地标],Customer[[#This Row],[地标]])=1),COUNTIF(Quotation[抬头],Customer[[#This Row],[抬头]]),"地标")</f>
        <v>0</v>
      </c>
      <c r="C81" s="24" t="s">
        <v>3765</v>
      </c>
      <c r="D81" s="26" t="s">
        <v>4392</v>
      </c>
      <c r="E81" s="26" t="s">
        <v>4397</v>
      </c>
      <c r="F81" s="113">
        <v>43391</v>
      </c>
      <c r="G81" s="26"/>
      <c r="H81" s="24">
        <f>COUNTIF(Customer[抬头],Customer[[#This Row],[抬头]])</f>
        <v>1</v>
      </c>
    </row>
    <row r="82" spans="1:8" x14ac:dyDescent="0.15">
      <c r="A82" s="24" t="s">
        <v>2171</v>
      </c>
      <c r="B82" s="25">
        <f>IF(OR(Customer[[#This Row],[地标]]="",COUNTIF(Landmark[地标],Customer[[#This Row],[地标]])=1),COUNTIF(Quotation[抬头],Customer[[#This Row],[抬头]]),"地标")</f>
        <v>0</v>
      </c>
      <c r="C82" s="24"/>
      <c r="D82" s="26"/>
      <c r="E82" s="26" t="s">
        <v>2172</v>
      </c>
      <c r="F82" s="113"/>
      <c r="G82" s="26"/>
      <c r="H82" s="24">
        <f>COUNTIF(Customer[抬头],Customer[[#This Row],[抬头]])</f>
        <v>1</v>
      </c>
    </row>
    <row r="83" spans="1:8" x14ac:dyDescent="0.15">
      <c r="A83" s="24" t="s">
        <v>3965</v>
      </c>
      <c r="B83" s="25">
        <f>IF(OR(Customer[[#This Row],[地标]]="",COUNTIF(Landmark[地标],Customer[[#This Row],[地标]])=1),COUNTIF(Quotation[抬头],Customer[[#This Row],[抬头]]),"地标")</f>
        <v>0</v>
      </c>
      <c r="C83" s="24" t="s">
        <v>3765</v>
      </c>
      <c r="D83" s="26" t="s">
        <v>3969</v>
      </c>
      <c r="E83" s="26" t="s">
        <v>4397</v>
      </c>
      <c r="F83" s="113">
        <v>43391</v>
      </c>
      <c r="G83" s="26"/>
      <c r="H83" s="24">
        <f>COUNTIF(Customer[抬头],Customer[[#This Row],[抬头]])</f>
        <v>1</v>
      </c>
    </row>
    <row r="84" spans="1:8" x14ac:dyDescent="0.15">
      <c r="A84" s="24" t="s">
        <v>706</v>
      </c>
      <c r="B84" s="25">
        <f>IF(OR(Customer[[#This Row],[地标]]="",COUNTIF(Landmark[地标],Customer[[#This Row],[地标]])=1),COUNTIF(Quotation[抬头],Customer[[#This Row],[抬头]]),"地标")</f>
        <v>0</v>
      </c>
      <c r="C84" s="24"/>
      <c r="D84" s="26" t="s">
        <v>649</v>
      </c>
      <c r="E84" s="26" t="s">
        <v>649</v>
      </c>
      <c r="F84" s="113"/>
      <c r="G84" s="26"/>
      <c r="H84" s="24">
        <f>COUNTIF(Customer[抬头],Customer[[#This Row],[抬头]])</f>
        <v>1</v>
      </c>
    </row>
    <row r="85" spans="1:8" x14ac:dyDescent="0.15">
      <c r="A85" s="24" t="s">
        <v>3971</v>
      </c>
      <c r="B85" s="25">
        <f>IF(OR(Customer[[#This Row],[地标]]="",COUNTIF(Landmark[地标],Customer[[#This Row],[地标]])=1),COUNTIF(Quotation[抬头],Customer[[#This Row],[抬头]]),"地标")</f>
        <v>0</v>
      </c>
      <c r="C85" s="24" t="s">
        <v>3765</v>
      </c>
      <c r="D85" s="26" t="s">
        <v>3975</v>
      </c>
      <c r="E85" s="26" t="s">
        <v>4397</v>
      </c>
      <c r="F85" s="113">
        <v>43391</v>
      </c>
      <c r="G85" s="26" t="s">
        <v>4418</v>
      </c>
      <c r="H85" s="24">
        <f>COUNTIF(Customer[抬头],Customer[[#This Row],[抬头]])</f>
        <v>1</v>
      </c>
    </row>
    <row r="86" spans="1:8" x14ac:dyDescent="0.15">
      <c r="A86" s="24" t="s">
        <v>3575</v>
      </c>
      <c r="B86" s="25">
        <f>IF(OR(Customer[[#This Row],[地标]]="",COUNTIF(Landmark[地标],Customer[[#This Row],[地标]])=1),COUNTIF(Quotation[抬头],Customer[[#This Row],[抬头]]),"地标")</f>
        <v>1</v>
      </c>
      <c r="C86" s="24"/>
      <c r="D86" s="26"/>
      <c r="E86" s="26" t="s">
        <v>3582</v>
      </c>
      <c r="F86" s="113"/>
      <c r="G86" s="26"/>
      <c r="H86" s="24">
        <f>COUNTIF(Customer[抬头],Customer[[#This Row],[抬头]])</f>
        <v>1</v>
      </c>
    </row>
    <row r="87" spans="1:8" x14ac:dyDescent="0.15">
      <c r="A87" s="24" t="s">
        <v>3976</v>
      </c>
      <c r="B87" s="25">
        <f>IF(OR(Customer[[#This Row],[地标]]="",COUNTIF(Landmark[地标],Customer[[#This Row],[地标]])=1),COUNTIF(Quotation[抬头],Customer[[#This Row],[抬头]]),"地标")</f>
        <v>0</v>
      </c>
      <c r="C87" s="24" t="s">
        <v>3765</v>
      </c>
      <c r="D87" s="26" t="s">
        <v>3980</v>
      </c>
      <c r="E87" s="26" t="s">
        <v>4397</v>
      </c>
      <c r="F87" s="113">
        <v>43391</v>
      </c>
      <c r="G87" s="26"/>
      <c r="H87" s="24">
        <f>COUNTIF(Customer[抬头],Customer[[#This Row],[抬头]])</f>
        <v>1</v>
      </c>
    </row>
    <row r="88" spans="1:8" x14ac:dyDescent="0.15">
      <c r="A88" s="24" t="s">
        <v>3982</v>
      </c>
      <c r="B88" s="25">
        <f>IF(OR(Customer[[#This Row],[地标]]="",COUNTIF(Landmark[地标],Customer[[#This Row],[地标]])=1),COUNTIF(Quotation[抬头],Customer[[#This Row],[抬头]]),"地标")</f>
        <v>0</v>
      </c>
      <c r="C88" s="24" t="s">
        <v>3765</v>
      </c>
      <c r="D88" s="26" t="s">
        <v>3986</v>
      </c>
      <c r="E88" s="26" t="s">
        <v>4397</v>
      </c>
      <c r="F88" s="113">
        <v>43391</v>
      </c>
      <c r="G88" s="26"/>
      <c r="H88" s="24">
        <f>COUNTIF(Customer[抬头],Customer[[#This Row],[抬头]])</f>
        <v>1</v>
      </c>
    </row>
    <row r="89" spans="1:8" x14ac:dyDescent="0.15">
      <c r="A89" s="24" t="s">
        <v>3987</v>
      </c>
      <c r="B89" s="25">
        <f>IF(OR(Customer[[#This Row],[地标]]="",COUNTIF(Landmark[地标],Customer[[#This Row],[地标]])=1),COUNTIF(Quotation[抬头],Customer[[#This Row],[抬头]]),"地标")</f>
        <v>0</v>
      </c>
      <c r="C89" s="24" t="s">
        <v>3765</v>
      </c>
      <c r="D89" s="26" t="s">
        <v>3992</v>
      </c>
      <c r="E89" s="26" t="s">
        <v>4397</v>
      </c>
      <c r="F89" s="113">
        <v>43391</v>
      </c>
      <c r="G89" s="26"/>
      <c r="H89" s="24">
        <f>COUNTIF(Customer[抬头],Customer[[#This Row],[抬头]])</f>
        <v>1</v>
      </c>
    </row>
    <row r="90" spans="1:8" x14ac:dyDescent="0.15">
      <c r="A90" s="24" t="s">
        <v>3994</v>
      </c>
      <c r="B90" s="25">
        <f>IF(OR(Customer[[#This Row],[地标]]="",COUNTIF(Landmark[地标],Customer[[#This Row],[地标]])=1),COUNTIF(Quotation[抬头],Customer[[#This Row],[抬头]]),"地标")</f>
        <v>0</v>
      </c>
      <c r="C90" s="24" t="s">
        <v>3765</v>
      </c>
      <c r="D90" s="26" t="s">
        <v>4393</v>
      </c>
      <c r="E90" s="26" t="s">
        <v>4397</v>
      </c>
      <c r="F90" s="113">
        <v>43391</v>
      </c>
      <c r="G90" s="26" t="s">
        <v>4416</v>
      </c>
      <c r="H90" s="24">
        <f>COUNTIF(Customer[抬头],Customer[[#This Row],[抬头]])</f>
        <v>1</v>
      </c>
    </row>
    <row r="91" spans="1:8" x14ac:dyDescent="0.15">
      <c r="A91" s="24" t="s">
        <v>3998</v>
      </c>
      <c r="B91" s="25">
        <f>IF(OR(Customer[[#This Row],[地标]]="",COUNTIF(Landmark[地标],Customer[[#This Row],[地标]])=1),COUNTIF(Quotation[抬头],Customer[[#This Row],[抬头]]),"地标")</f>
        <v>0</v>
      </c>
      <c r="C91" s="24" t="s">
        <v>3765</v>
      </c>
      <c r="D91" s="26" t="s">
        <v>3999</v>
      </c>
      <c r="E91" s="26" t="s">
        <v>4397</v>
      </c>
      <c r="F91" s="113">
        <v>43391</v>
      </c>
      <c r="G91" s="26"/>
      <c r="H91" s="24">
        <f>COUNTIF(Customer[抬头],Customer[[#This Row],[抬头]])</f>
        <v>1</v>
      </c>
    </row>
    <row r="92" spans="1:8" x14ac:dyDescent="0.15">
      <c r="A92" s="24" t="s">
        <v>4001</v>
      </c>
      <c r="B92" s="25">
        <f>IF(OR(Customer[[#This Row],[地标]]="",COUNTIF(Landmark[地标],Customer[[#This Row],[地标]])=1),COUNTIF(Quotation[抬头],Customer[[#This Row],[抬头]]),"地标")</f>
        <v>0</v>
      </c>
      <c r="C92" s="24" t="s">
        <v>3765</v>
      </c>
      <c r="D92" s="26" t="s">
        <v>4005</v>
      </c>
      <c r="E92" s="26" t="s">
        <v>4397</v>
      </c>
      <c r="F92" s="113">
        <v>43391</v>
      </c>
      <c r="G92" s="26" t="s">
        <v>4419</v>
      </c>
      <c r="H92" s="24">
        <f>COUNTIF(Customer[抬头],Customer[[#This Row],[抬头]])</f>
        <v>1</v>
      </c>
    </row>
    <row r="93" spans="1:8" x14ac:dyDescent="0.15">
      <c r="A93" s="24" t="s">
        <v>4364</v>
      </c>
      <c r="B93" s="25">
        <f>IF(OR(Customer[[#This Row],[地标]]="",COUNTIF(Landmark[地标],Customer[[#This Row],[地标]])=1),COUNTIF(Quotation[抬头],Customer[[#This Row],[抬头]]),"地标")</f>
        <v>0</v>
      </c>
      <c r="C93" s="24"/>
      <c r="D93" s="26"/>
      <c r="E93" s="26"/>
      <c r="F93" s="113"/>
      <c r="G93" s="26" t="s">
        <v>4453</v>
      </c>
      <c r="H93" s="24">
        <f>COUNTIF(Customer[抬头],Customer[[#This Row],[抬头]])</f>
        <v>1</v>
      </c>
    </row>
    <row r="94" spans="1:8" x14ac:dyDescent="0.15">
      <c r="A94" s="24" t="s">
        <v>2382</v>
      </c>
      <c r="B94" s="25">
        <f>IF(OR(Customer[[#This Row],[地标]]="",COUNTIF(Landmark[地标],Customer[[#This Row],[地标]])=1),COUNTIF(Quotation[抬头],Customer[[#This Row],[抬头]]),"地标")</f>
        <v>0</v>
      </c>
      <c r="C94" s="24"/>
      <c r="D94" s="26"/>
      <c r="E94" s="26" t="s">
        <v>2383</v>
      </c>
      <c r="F94" s="113"/>
      <c r="G94" s="26"/>
      <c r="H94" s="24">
        <f>COUNTIF(Customer[抬头],Customer[[#This Row],[抬头]])</f>
        <v>1</v>
      </c>
    </row>
    <row r="95" spans="1:8" ht="28.5" x14ac:dyDescent="0.15">
      <c r="A95" s="24" t="s">
        <v>4006</v>
      </c>
      <c r="B95" s="25">
        <f>IF(OR(Customer[[#This Row],[地标]]="",COUNTIF(Landmark[地标],Customer[[#This Row],[地标]])=1),COUNTIF(Quotation[抬头],Customer[[#This Row],[抬头]]),"地标")</f>
        <v>0</v>
      </c>
      <c r="C95" s="24" t="s">
        <v>3752</v>
      </c>
      <c r="D95" s="26" t="s">
        <v>4011</v>
      </c>
      <c r="E95" s="26" t="s">
        <v>4397</v>
      </c>
      <c r="F95" s="113">
        <v>43390</v>
      </c>
      <c r="G95" s="26" t="s">
        <v>4420</v>
      </c>
      <c r="H95" s="24">
        <f>COUNTIF(Customer[抬头],Customer[[#This Row],[抬头]])</f>
        <v>1</v>
      </c>
    </row>
    <row r="96" spans="1:8" x14ac:dyDescent="0.15">
      <c r="A96" s="24" t="s">
        <v>576</v>
      </c>
      <c r="B96" s="25">
        <f>IF(OR(Customer[[#This Row],[地标]]="",COUNTIF(Landmark[地标],Customer[[#This Row],[地标]])=1),COUNTIF(Quotation[抬头],Customer[[#This Row],[抬头]]),"地标")</f>
        <v>0</v>
      </c>
      <c r="C96" s="24" t="s">
        <v>3752</v>
      </c>
      <c r="D96" s="26" t="s">
        <v>4015</v>
      </c>
      <c r="E96" s="26" t="s">
        <v>4397</v>
      </c>
      <c r="F96" s="113">
        <v>43390</v>
      </c>
      <c r="G96" s="26"/>
      <c r="H96" s="24">
        <f>COUNTIF(Customer[抬头],Customer[[#This Row],[抬头]])</f>
        <v>2</v>
      </c>
    </row>
    <row r="97" spans="1:8" x14ac:dyDescent="0.15">
      <c r="A97" s="24" t="s">
        <v>4017</v>
      </c>
      <c r="B97" s="25">
        <f>IF(OR(Customer[[#This Row],[地标]]="",COUNTIF(Landmark[地标],Customer[[#This Row],[地标]])=1),COUNTIF(Quotation[抬头],Customer[[#This Row],[抬头]]),"地标")</f>
        <v>0</v>
      </c>
      <c r="C97" s="24" t="s">
        <v>3752</v>
      </c>
      <c r="D97" s="26" t="s">
        <v>4019</v>
      </c>
      <c r="E97" s="26" t="s">
        <v>4397</v>
      </c>
      <c r="F97" s="113">
        <v>43390</v>
      </c>
      <c r="G97" s="26"/>
      <c r="H97" s="24">
        <f>COUNTIF(Customer[抬头],Customer[[#This Row],[抬头]])</f>
        <v>1</v>
      </c>
    </row>
    <row r="98" spans="1:8" x14ac:dyDescent="0.15">
      <c r="A98" s="24" t="s">
        <v>4021</v>
      </c>
      <c r="B98" s="25">
        <f>IF(OR(Customer[[#This Row],[地标]]="",COUNTIF(Landmark[地标],Customer[[#This Row],[地标]])=1),COUNTIF(Quotation[抬头],Customer[[#This Row],[抬头]]),"地标")</f>
        <v>0</v>
      </c>
      <c r="C98" s="24" t="s">
        <v>3752</v>
      </c>
      <c r="D98" s="26" t="s">
        <v>4395</v>
      </c>
      <c r="E98" s="26" t="s">
        <v>4397</v>
      </c>
      <c r="F98" s="113">
        <v>43390</v>
      </c>
      <c r="G98" s="26"/>
      <c r="H98" s="24">
        <f>COUNTIF(Customer[抬头],Customer[[#This Row],[抬头]])</f>
        <v>1</v>
      </c>
    </row>
    <row r="99" spans="1:8" x14ac:dyDescent="0.15">
      <c r="A99" s="24" t="s">
        <v>987</v>
      </c>
      <c r="B99" s="25">
        <f>IF(OR(Customer[[#This Row],[地标]]="",COUNTIF(Landmark[地标],Customer[[#This Row],[地标]])=1),COUNTIF(Quotation[抬头],Customer[[#This Row],[抬头]]),"地标")</f>
        <v>0</v>
      </c>
      <c r="C99" s="24" t="s">
        <v>3752</v>
      </c>
      <c r="D99" s="26" t="s">
        <v>4396</v>
      </c>
      <c r="E99" s="26" t="s">
        <v>4397</v>
      </c>
      <c r="F99" s="113">
        <v>43390</v>
      </c>
      <c r="G99" s="26"/>
      <c r="H99" s="24">
        <f>COUNTIF(Customer[抬头],Customer[[#This Row],[抬头]])</f>
        <v>1</v>
      </c>
    </row>
    <row r="100" spans="1:8" x14ac:dyDescent="0.15">
      <c r="A100" s="24" t="s">
        <v>4030</v>
      </c>
      <c r="B100" s="25">
        <f>IF(OR(Customer[[#This Row],[地标]]="",COUNTIF(Landmark[地标],Customer[[#This Row],[地标]])=1),COUNTIF(Quotation[抬头],Customer[[#This Row],[抬头]]),"地标")</f>
        <v>0</v>
      </c>
      <c r="C100" s="24" t="s">
        <v>3752</v>
      </c>
      <c r="D100" s="26" t="s">
        <v>4034</v>
      </c>
      <c r="E100" s="26" t="s">
        <v>4397</v>
      </c>
      <c r="F100" s="113">
        <v>43390</v>
      </c>
      <c r="G100" s="26"/>
      <c r="H100" s="24">
        <f>COUNTIF(Customer[抬头],Customer[[#This Row],[抬头]])</f>
        <v>1</v>
      </c>
    </row>
    <row r="101" spans="1:8" x14ac:dyDescent="0.15">
      <c r="A101" s="24" t="s">
        <v>4036</v>
      </c>
      <c r="B101" s="25">
        <f>IF(OR(Customer[[#This Row],[地标]]="",COUNTIF(Landmark[地标],Customer[[#This Row],[地标]])=1),COUNTIF(Quotation[抬头],Customer[[#This Row],[抬头]]),"地标")</f>
        <v>0</v>
      </c>
      <c r="C101" s="24" t="s">
        <v>3752</v>
      </c>
      <c r="D101" s="26" t="s">
        <v>4040</v>
      </c>
      <c r="E101" s="26" t="s">
        <v>4397</v>
      </c>
      <c r="F101" s="113">
        <v>43390</v>
      </c>
      <c r="G101" s="26" t="s">
        <v>4419</v>
      </c>
      <c r="H101" s="24">
        <f>COUNTIF(Customer[抬头],Customer[[#This Row],[抬头]])</f>
        <v>1</v>
      </c>
    </row>
    <row r="102" spans="1:8" ht="28.5" x14ac:dyDescent="0.15">
      <c r="A102" s="24" t="s">
        <v>641</v>
      </c>
      <c r="B102" s="25">
        <f>IF(OR(Customer[[#This Row],[地标]]="",COUNTIF(Landmark[地标],Customer[[#This Row],[地标]])=1),COUNTIF(Quotation[抬头],Customer[[#This Row],[抬头]]),"地标")</f>
        <v>0</v>
      </c>
      <c r="C102" s="24" t="s">
        <v>735</v>
      </c>
      <c r="D102" s="26" t="s">
        <v>4831</v>
      </c>
      <c r="E102" s="26" t="s">
        <v>610</v>
      </c>
      <c r="F102" s="113"/>
      <c r="G102" s="26" t="s">
        <v>4421</v>
      </c>
      <c r="H102" s="24">
        <f>COUNTIF(Customer[抬头],Customer[[#This Row],[抬头]])</f>
        <v>1</v>
      </c>
    </row>
    <row r="103" spans="1:8" x14ac:dyDescent="0.15">
      <c r="A103" s="24" t="s">
        <v>556</v>
      </c>
      <c r="B103" s="25">
        <f>IF(OR(Customer[[#This Row],[地标]]="",COUNTIF(Landmark[地标],Customer[[#This Row],[地标]])=1),COUNTIF(Quotation[抬头],Customer[[#This Row],[抬头]]),"地标")</f>
        <v>0</v>
      </c>
      <c r="C103" s="24" t="s">
        <v>735</v>
      </c>
      <c r="D103" s="26" t="s">
        <v>4832</v>
      </c>
      <c r="E103" s="26" t="s">
        <v>610</v>
      </c>
      <c r="F103" s="113">
        <v>43406</v>
      </c>
      <c r="G103" s="26" t="s">
        <v>5665</v>
      </c>
      <c r="H103" s="24">
        <f>COUNTIF(Customer[抬头],Customer[[#This Row],[抬头]])</f>
        <v>1</v>
      </c>
    </row>
    <row r="104" spans="1:8" x14ac:dyDescent="0.15">
      <c r="A104" s="24" t="s">
        <v>726</v>
      </c>
      <c r="B104" s="25">
        <f>IF(OR(Customer[[#This Row],[地标]]="",COUNTIF(Landmark[地标],Customer[[#This Row],[地标]])=1),COUNTIF(Quotation[抬头],Customer[[#This Row],[抬头]]),"地标")</f>
        <v>0</v>
      </c>
      <c r="C104" s="24" t="s">
        <v>735</v>
      </c>
      <c r="D104" s="26" t="s">
        <v>4830</v>
      </c>
      <c r="E104" s="26" t="s">
        <v>692</v>
      </c>
      <c r="F104" s="113"/>
      <c r="G104" s="26"/>
      <c r="H104" s="24">
        <f>COUNTIF(Customer[抬头],Customer[[#This Row],[抬头]])</f>
        <v>1</v>
      </c>
    </row>
    <row r="105" spans="1:8" x14ac:dyDescent="0.15">
      <c r="A105" s="24" t="s">
        <v>4042</v>
      </c>
      <c r="B105" s="25">
        <f>IF(OR(Customer[[#This Row],[地标]]="",COUNTIF(Landmark[地标],Customer[[#This Row],[地标]])=1),COUNTIF(Quotation[抬头],Customer[[#This Row],[抬头]]),"地标")</f>
        <v>0</v>
      </c>
      <c r="C105" s="24" t="s">
        <v>3750</v>
      </c>
      <c r="D105" s="26" t="s">
        <v>4046</v>
      </c>
      <c r="E105" s="26" t="s">
        <v>4397</v>
      </c>
      <c r="F105" s="113">
        <v>43390</v>
      </c>
      <c r="G105" s="26"/>
      <c r="H105" s="24">
        <f>COUNTIF(Customer[抬头],Customer[[#This Row],[抬头]])</f>
        <v>1</v>
      </c>
    </row>
    <row r="106" spans="1:8" x14ac:dyDescent="0.15">
      <c r="A106" s="24" t="s">
        <v>4048</v>
      </c>
      <c r="B106" s="25">
        <f>IF(OR(Customer[[#This Row],[地标]]="",COUNTIF(Landmark[地标],Customer[[#This Row],[地标]])=1),COUNTIF(Quotation[抬头],Customer[[#This Row],[抬头]]),"地标")</f>
        <v>0</v>
      </c>
      <c r="C106" s="24" t="s">
        <v>3750</v>
      </c>
      <c r="D106" s="26" t="s">
        <v>4052</v>
      </c>
      <c r="E106" s="26" t="s">
        <v>4397</v>
      </c>
      <c r="F106" s="113">
        <v>43390</v>
      </c>
      <c r="G106" s="26"/>
      <c r="H106" s="24">
        <f>COUNTIF(Customer[抬头],Customer[[#This Row],[抬头]])</f>
        <v>1</v>
      </c>
    </row>
    <row r="107" spans="1:8" x14ac:dyDescent="0.15">
      <c r="A107" s="24" t="s">
        <v>4053</v>
      </c>
      <c r="B107" s="25">
        <f>IF(OR(Customer[[#This Row],[地标]]="",COUNTIF(Landmark[地标],Customer[[#This Row],[地标]])=1),COUNTIF(Quotation[抬头],Customer[[#This Row],[抬头]]),"地标")</f>
        <v>0</v>
      </c>
      <c r="C107" s="24" t="s">
        <v>3750</v>
      </c>
      <c r="D107" s="26" t="s">
        <v>4057</v>
      </c>
      <c r="E107" s="26" t="s">
        <v>4397</v>
      </c>
      <c r="F107" s="113">
        <v>43390</v>
      </c>
      <c r="G107" s="26"/>
      <c r="H107" s="24">
        <f>COUNTIF(Customer[抬头],Customer[[#This Row],[抬头]])</f>
        <v>1</v>
      </c>
    </row>
    <row r="108" spans="1:8" x14ac:dyDescent="0.15">
      <c r="A108" s="24" t="s">
        <v>4058</v>
      </c>
      <c r="B108" s="25">
        <f>IF(OR(Customer[[#This Row],[地标]]="",COUNTIF(Landmark[地标],Customer[[#This Row],[地标]])=1),COUNTIF(Quotation[抬头],Customer[[#This Row],[抬头]]),"地标")</f>
        <v>0</v>
      </c>
      <c r="C108" s="24" t="s">
        <v>3750</v>
      </c>
      <c r="D108" s="26" t="s">
        <v>4063</v>
      </c>
      <c r="E108" s="26" t="s">
        <v>4397</v>
      </c>
      <c r="F108" s="113">
        <v>43390</v>
      </c>
      <c r="G108" s="26"/>
      <c r="H108" s="24">
        <f>COUNTIF(Customer[抬头],Customer[[#This Row],[抬头]])</f>
        <v>1</v>
      </c>
    </row>
    <row r="109" spans="1:8" x14ac:dyDescent="0.15">
      <c r="A109" s="24" t="s">
        <v>4064</v>
      </c>
      <c r="B109" s="25">
        <f>IF(OR(Customer[[#This Row],[地标]]="",COUNTIF(Landmark[地标],Customer[[#This Row],[地标]])=1),COUNTIF(Quotation[抬头],Customer[[#This Row],[抬头]]),"地标")</f>
        <v>0</v>
      </c>
      <c r="C109" s="24" t="s">
        <v>3750</v>
      </c>
      <c r="D109" s="26" t="s">
        <v>4069</v>
      </c>
      <c r="E109" s="26" t="s">
        <v>4397</v>
      </c>
      <c r="F109" s="113">
        <v>43390</v>
      </c>
      <c r="G109" s="26"/>
      <c r="H109" s="24">
        <f>COUNTIF(Customer[抬头],Customer[[#This Row],[抬头]])</f>
        <v>1</v>
      </c>
    </row>
    <row r="110" spans="1:8" x14ac:dyDescent="0.15">
      <c r="A110" s="24" t="s">
        <v>4071</v>
      </c>
      <c r="B110" s="25">
        <f>IF(OR(Customer[[#This Row],[地标]]="",COUNTIF(Landmark[地标],Customer[[#This Row],[地标]])=1),COUNTIF(Quotation[抬头],Customer[[#This Row],[抬头]]),"地标")</f>
        <v>0</v>
      </c>
      <c r="C110" s="24" t="s">
        <v>3750</v>
      </c>
      <c r="D110" s="26" t="s">
        <v>4076</v>
      </c>
      <c r="E110" s="26" t="s">
        <v>4397</v>
      </c>
      <c r="F110" s="113">
        <v>43390</v>
      </c>
      <c r="G110" s="26"/>
      <c r="H110" s="24">
        <f>COUNTIF(Customer[抬头],Customer[[#This Row],[抬头]])</f>
        <v>1</v>
      </c>
    </row>
    <row r="111" spans="1:8" x14ac:dyDescent="0.15">
      <c r="A111" s="24" t="s">
        <v>4077</v>
      </c>
      <c r="B111" s="25">
        <f>IF(OR(Customer[[#This Row],[地标]]="",COUNTIF(Landmark[地标],Customer[[#This Row],[地标]])=1),COUNTIF(Quotation[抬头],Customer[[#This Row],[抬头]]),"地标")</f>
        <v>0</v>
      </c>
      <c r="C111" s="24" t="s">
        <v>3750</v>
      </c>
      <c r="D111" s="26" t="s">
        <v>4082</v>
      </c>
      <c r="E111" s="26" t="s">
        <v>4397</v>
      </c>
      <c r="F111" s="113">
        <v>43390</v>
      </c>
      <c r="G111" s="26"/>
      <c r="H111" s="24">
        <f>COUNTIF(Customer[抬头],Customer[[#This Row],[抬头]])</f>
        <v>1</v>
      </c>
    </row>
    <row r="112" spans="1:8" x14ac:dyDescent="0.15">
      <c r="A112" s="24" t="s">
        <v>4084</v>
      </c>
      <c r="B112" s="25">
        <f>IF(OR(Customer[[#This Row],[地标]]="",COUNTIF(Landmark[地标],Customer[[#This Row],[地标]])=1),COUNTIF(Quotation[抬头],Customer[[#This Row],[抬头]]),"地标")</f>
        <v>0</v>
      </c>
      <c r="C112" s="24" t="s">
        <v>3750</v>
      </c>
      <c r="D112" s="26" t="s">
        <v>4088</v>
      </c>
      <c r="E112" s="26" t="s">
        <v>4397</v>
      </c>
      <c r="F112" s="113">
        <v>43390</v>
      </c>
      <c r="G112" s="26"/>
      <c r="H112" s="24">
        <f>COUNTIF(Customer[抬头],Customer[[#This Row],[抬头]])</f>
        <v>1</v>
      </c>
    </row>
    <row r="113" spans="1:8" x14ac:dyDescent="0.15">
      <c r="A113" s="24" t="s">
        <v>4089</v>
      </c>
      <c r="B113" s="25">
        <f>IF(OR(Customer[[#This Row],[地标]]="",COUNTIF(Landmark[地标],Customer[[#This Row],[地标]])=1),COUNTIF(Quotation[抬头],Customer[[#This Row],[抬头]]),"地标")</f>
        <v>0</v>
      </c>
      <c r="C113" s="24" t="s">
        <v>3750</v>
      </c>
      <c r="D113" s="26" t="s">
        <v>4093</v>
      </c>
      <c r="E113" s="26" t="s">
        <v>4397</v>
      </c>
      <c r="F113" s="113">
        <v>43390</v>
      </c>
      <c r="G113" s="26"/>
      <c r="H113" s="24">
        <f>COUNTIF(Customer[抬头],Customer[[#This Row],[抬头]])</f>
        <v>1</v>
      </c>
    </row>
    <row r="114" spans="1:8" x14ac:dyDescent="0.15">
      <c r="A114" s="24" t="s">
        <v>2325</v>
      </c>
      <c r="B114" s="25">
        <f>IF(OR(Customer[[#This Row],[地标]]="",COUNTIF(Landmark[地标],Customer[[#This Row],[地标]])=1),COUNTIF(Quotation[抬头],Customer[[#This Row],[抬头]]),"地标")</f>
        <v>0</v>
      </c>
      <c r="C114" s="24"/>
      <c r="D114" s="26"/>
      <c r="E114" s="26"/>
      <c r="F114" s="113"/>
      <c r="G114" s="26"/>
      <c r="H114" s="24">
        <f>COUNTIF(Customer[抬头],Customer[[#This Row],[抬头]])</f>
        <v>1</v>
      </c>
    </row>
    <row r="115" spans="1:8" x14ac:dyDescent="0.15">
      <c r="A115" s="24" t="s">
        <v>4095</v>
      </c>
      <c r="B115" s="25">
        <f>IF(OR(Customer[[#This Row],[地标]]="",COUNTIF(Landmark[地标],Customer[[#This Row],[地标]])=1),COUNTIF(Quotation[抬头],Customer[[#This Row],[抬头]]),"地标")</f>
        <v>0</v>
      </c>
      <c r="C115" s="24" t="s">
        <v>3750</v>
      </c>
      <c r="D115" s="26" t="s">
        <v>4098</v>
      </c>
      <c r="E115" s="26" t="s">
        <v>4397</v>
      </c>
      <c r="F115" s="113">
        <v>43390</v>
      </c>
      <c r="G115" s="26"/>
      <c r="H115" s="24">
        <f>COUNTIF(Customer[抬头],Customer[[#This Row],[抬头]])</f>
        <v>1</v>
      </c>
    </row>
    <row r="116" spans="1:8" x14ac:dyDescent="0.15">
      <c r="A116" s="24" t="s">
        <v>4099</v>
      </c>
      <c r="B116" s="25">
        <f>IF(OR(Customer[[#This Row],[地标]]="",COUNTIF(Landmark[地标],Customer[[#This Row],[地标]])=1),COUNTIF(Quotation[抬头],Customer[[#This Row],[抬头]]),"地标")</f>
        <v>0</v>
      </c>
      <c r="C116" s="24" t="s">
        <v>3750</v>
      </c>
      <c r="D116" s="26" t="s">
        <v>4103</v>
      </c>
      <c r="E116" s="26" t="s">
        <v>4397</v>
      </c>
      <c r="F116" s="113">
        <v>43390</v>
      </c>
      <c r="G116" s="26"/>
      <c r="H116" s="24">
        <f>COUNTIF(Customer[抬头],Customer[[#This Row],[抬头]])</f>
        <v>1</v>
      </c>
    </row>
    <row r="117" spans="1:8" x14ac:dyDescent="0.15">
      <c r="A117" s="24" t="s">
        <v>4104</v>
      </c>
      <c r="B117" s="25">
        <f>IF(OR(Customer[[#This Row],[地标]]="",COUNTIF(Landmark[地标],Customer[[#This Row],[地标]])=1),COUNTIF(Quotation[抬头],Customer[[#This Row],[抬头]]),"地标")</f>
        <v>0</v>
      </c>
      <c r="C117" s="24" t="s">
        <v>3750</v>
      </c>
      <c r="D117" s="26" t="s">
        <v>4108</v>
      </c>
      <c r="E117" s="26" t="s">
        <v>4397</v>
      </c>
      <c r="F117" s="113">
        <v>43390</v>
      </c>
      <c r="G117" s="26" t="s">
        <v>4422</v>
      </c>
      <c r="H117" s="24">
        <f>COUNTIF(Customer[抬头],Customer[[#This Row],[抬头]])</f>
        <v>1</v>
      </c>
    </row>
    <row r="118" spans="1:8" x14ac:dyDescent="0.15">
      <c r="A118" s="24" t="s">
        <v>4109</v>
      </c>
      <c r="B118" s="25">
        <f>IF(OR(Customer[[#This Row],[地标]]="",COUNTIF(Landmark[地标],Customer[[#This Row],[地标]])=1),COUNTIF(Quotation[抬头],Customer[[#This Row],[抬头]]),"地标")</f>
        <v>0</v>
      </c>
      <c r="C118" s="24" t="s">
        <v>3750</v>
      </c>
      <c r="D118" s="26" t="s">
        <v>4113</v>
      </c>
      <c r="E118" s="26" t="s">
        <v>4397</v>
      </c>
      <c r="F118" s="113">
        <v>43390</v>
      </c>
      <c r="G118" s="26"/>
      <c r="H118" s="24">
        <f>COUNTIF(Customer[抬头],Customer[[#This Row],[抬头]])</f>
        <v>1</v>
      </c>
    </row>
    <row r="119" spans="1:8" x14ac:dyDescent="0.15">
      <c r="A119" s="24" t="s">
        <v>4114</v>
      </c>
      <c r="B119" s="25">
        <f>IF(OR(Customer[[#This Row],[地标]]="",COUNTIF(Landmark[地标],Customer[[#This Row],[地标]])=1),COUNTIF(Quotation[抬头],Customer[[#This Row],[抬头]]),"地标")</f>
        <v>0</v>
      </c>
      <c r="C119" s="24" t="s">
        <v>3750</v>
      </c>
      <c r="D119" s="26" t="s">
        <v>4118</v>
      </c>
      <c r="E119" s="26" t="s">
        <v>4397</v>
      </c>
      <c r="F119" s="113">
        <v>43390</v>
      </c>
      <c r="G119" s="26"/>
      <c r="H119" s="24">
        <f>COUNTIF(Customer[抬头],Customer[[#This Row],[抬头]])</f>
        <v>1</v>
      </c>
    </row>
    <row r="120" spans="1:8" x14ac:dyDescent="0.15">
      <c r="A120" s="24" t="s">
        <v>4120</v>
      </c>
      <c r="B120" s="25">
        <f>IF(OR(Customer[[#This Row],[地标]]="",COUNTIF(Landmark[地标],Customer[[#This Row],[地标]])=1),COUNTIF(Quotation[抬头],Customer[[#This Row],[抬头]]),"地标")</f>
        <v>0</v>
      </c>
      <c r="C120" s="24" t="s">
        <v>3750</v>
      </c>
      <c r="D120" s="26" t="s">
        <v>4124</v>
      </c>
      <c r="E120" s="26" t="s">
        <v>4397</v>
      </c>
      <c r="F120" s="113">
        <v>43390</v>
      </c>
      <c r="G120" s="26" t="s">
        <v>4423</v>
      </c>
      <c r="H120" s="24">
        <f>COUNTIF(Customer[抬头],Customer[[#This Row],[抬头]])</f>
        <v>1</v>
      </c>
    </row>
    <row r="121" spans="1:8" x14ac:dyDescent="0.15">
      <c r="A121" s="24" t="s">
        <v>4125</v>
      </c>
      <c r="B121" s="25">
        <f>IF(OR(Customer[[#This Row],[地标]]="",COUNTIF(Landmark[地标],Customer[[#This Row],[地标]])=1),COUNTIF(Quotation[抬头],Customer[[#This Row],[抬头]]),"地标")</f>
        <v>0</v>
      </c>
      <c r="C121" s="24" t="s">
        <v>3750</v>
      </c>
      <c r="D121" s="26" t="s">
        <v>4129</v>
      </c>
      <c r="E121" s="26" t="s">
        <v>4397</v>
      </c>
      <c r="F121" s="113">
        <v>43390</v>
      </c>
      <c r="G121" s="26"/>
      <c r="H121" s="24">
        <f>COUNTIF(Customer[抬头],Customer[[#This Row],[抬头]])</f>
        <v>1</v>
      </c>
    </row>
    <row r="122" spans="1:8" x14ac:dyDescent="0.15">
      <c r="A122" s="24" t="s">
        <v>704</v>
      </c>
      <c r="B122" s="25">
        <f>IF(OR(Customer[[#This Row],[地标]]="",COUNTIF(Landmark[地标],Customer[[#This Row],[地标]])=1),COUNTIF(Quotation[抬头],Customer[[#This Row],[抬头]]),"地标")</f>
        <v>0</v>
      </c>
      <c r="C122" s="24"/>
      <c r="D122" s="26" t="s">
        <v>671</v>
      </c>
      <c r="E122" s="26" t="s">
        <v>671</v>
      </c>
      <c r="F122" s="113"/>
      <c r="G122" s="26"/>
      <c r="H122" s="24">
        <f>COUNTIF(Customer[抬头],Customer[[#This Row],[抬头]])</f>
        <v>1</v>
      </c>
    </row>
    <row r="123" spans="1:8" x14ac:dyDescent="0.15">
      <c r="A123" s="24" t="s">
        <v>3536</v>
      </c>
      <c r="B123" s="25">
        <f>IF(OR(Customer[[#This Row],[地标]]="",COUNTIF(Landmark[地标],Customer[[#This Row],[地标]])=1),COUNTIF(Quotation[抬头],Customer[[#This Row],[抬头]]),"地标")</f>
        <v>3</v>
      </c>
      <c r="C123" s="24"/>
      <c r="D123" s="26"/>
      <c r="E123" s="26" t="s">
        <v>3550</v>
      </c>
      <c r="F123" s="113"/>
      <c r="G123" s="26"/>
      <c r="H123" s="24">
        <f>COUNTIF(Customer[抬头],Customer[[#This Row],[抬头]])</f>
        <v>1</v>
      </c>
    </row>
    <row r="124" spans="1:8" x14ac:dyDescent="0.15">
      <c r="A124" s="24" t="s">
        <v>697</v>
      </c>
      <c r="B124" s="25">
        <f>IF(OR(Customer[[#This Row],[地标]]="",COUNTIF(Landmark[地标],Customer[[#This Row],[地标]])=1),COUNTIF(Quotation[抬头],Customer[[#This Row],[抬头]]),"地标")</f>
        <v>0</v>
      </c>
      <c r="C124" s="24"/>
      <c r="D124" s="26" t="s">
        <v>603</v>
      </c>
      <c r="E124" s="26" t="s">
        <v>603</v>
      </c>
      <c r="F124" s="113"/>
      <c r="G124" s="26"/>
      <c r="H124" s="24">
        <f>COUNTIF(Customer[抬头],Customer[[#This Row],[抬头]])</f>
        <v>1</v>
      </c>
    </row>
    <row r="125" spans="1:8" x14ac:dyDescent="0.15">
      <c r="A125" s="27" t="s">
        <v>2794</v>
      </c>
      <c r="B125" s="25">
        <f>IF(OR(Customer[[#This Row],[地标]]="",COUNTIF(Landmark[地标],Customer[[#This Row],[地标]])=1),COUNTIF(Quotation[抬头],Customer[[#This Row],[抬头]]),"地标")</f>
        <v>0</v>
      </c>
      <c r="C125" s="24"/>
      <c r="D125" s="26"/>
      <c r="E125" s="26" t="s">
        <v>2795</v>
      </c>
      <c r="F125" s="113"/>
      <c r="G125" s="26"/>
      <c r="H125" s="24">
        <f>COUNTIF(Customer[抬头],Customer[[#This Row],[抬头]])</f>
        <v>1</v>
      </c>
    </row>
    <row r="126" spans="1:8" x14ac:dyDescent="0.15">
      <c r="A126" s="95" t="s">
        <v>3718</v>
      </c>
      <c r="B126" s="96">
        <f>IF(OR(Customer[[#This Row],[地标]]="",COUNTIF(Landmark[地标],Customer[[#This Row],[地标]])=1),COUNTIF(Quotation[抬头],Customer[[#This Row],[抬头]]),"地标")</f>
        <v>1</v>
      </c>
      <c r="C126" s="95"/>
      <c r="D126" s="97"/>
      <c r="E126" s="97" t="s">
        <v>3722</v>
      </c>
      <c r="F126" s="114"/>
      <c r="G126" s="26"/>
      <c r="H126" s="24">
        <f>COUNTIF(Customer[抬头],Customer[[#This Row],[抬头]])</f>
        <v>1</v>
      </c>
    </row>
    <row r="127" spans="1:8" x14ac:dyDescent="0.15">
      <c r="A127" s="24" t="s">
        <v>701</v>
      </c>
      <c r="B127" s="25">
        <f>IF(OR(Customer[[#This Row],[地标]]="",COUNTIF(Landmark[地标],Customer[[#This Row],[地标]])=1),COUNTIF(Quotation[抬头],Customer[[#This Row],[抬头]]),"地标")</f>
        <v>1</v>
      </c>
      <c r="C127" s="24"/>
      <c r="D127" s="26" t="s">
        <v>603</v>
      </c>
      <c r="E127" s="26" t="s">
        <v>603</v>
      </c>
      <c r="F127" s="113"/>
      <c r="G127" s="26"/>
      <c r="H127" s="24">
        <f>COUNTIF(Customer[抬头],Customer[[#This Row],[抬头]])</f>
        <v>1</v>
      </c>
    </row>
    <row r="128" spans="1:8" ht="28.5" x14ac:dyDescent="0.15">
      <c r="A128" s="24" t="s">
        <v>2162</v>
      </c>
      <c r="B128" s="25">
        <f>IF(OR(Customer[[#This Row],[地标]]="",COUNTIF(Landmark[地标],Customer[[#This Row],[地标]])=1),COUNTIF(Quotation[抬头],Customer[[#This Row],[抬头]]),"地标")</f>
        <v>0</v>
      </c>
      <c r="C128" s="24"/>
      <c r="D128" s="26" t="s">
        <v>2163</v>
      </c>
      <c r="E128" s="26" t="s">
        <v>2161</v>
      </c>
      <c r="F128" s="113"/>
      <c r="G128" s="26"/>
      <c r="H128" s="24">
        <f>COUNTIF(Customer[抬头],Customer[[#This Row],[抬头]])</f>
        <v>1</v>
      </c>
    </row>
    <row r="129" spans="1:8" x14ac:dyDescent="0.15">
      <c r="A129" s="24" t="s">
        <v>3555</v>
      </c>
      <c r="B129" s="25">
        <f>IF(OR(Customer[[#This Row],[地标]]="",COUNTIF(Landmark[地标],Customer[[#This Row],[地标]])=1),COUNTIF(Quotation[抬头],Customer[[#This Row],[抬头]]),"地标")</f>
        <v>1</v>
      </c>
      <c r="C129" s="24"/>
      <c r="D129" s="26"/>
      <c r="E129" s="26" t="s">
        <v>3561</v>
      </c>
      <c r="F129" s="113"/>
      <c r="G129" s="26"/>
      <c r="H129" s="24">
        <f>COUNTIF(Customer[抬头],Customer[[#This Row],[抬头]])</f>
        <v>1</v>
      </c>
    </row>
    <row r="130" spans="1:8" x14ac:dyDescent="0.15">
      <c r="A130" s="24" t="s">
        <v>714</v>
      </c>
      <c r="B130" s="25">
        <f>IF(OR(Customer[[#This Row],[地标]]="",COUNTIF(Landmark[地标],Customer[[#This Row],[地标]])=1),COUNTIF(Quotation[抬头],Customer[[#This Row],[抬头]]),"地标")</f>
        <v>0</v>
      </c>
      <c r="C130" s="24"/>
      <c r="D130" s="26" t="s">
        <v>603</v>
      </c>
      <c r="E130" s="26" t="s">
        <v>603</v>
      </c>
      <c r="F130" s="113"/>
      <c r="G130" s="26"/>
      <c r="H130" s="24">
        <f>COUNTIF(Customer[抬头],Customer[[#This Row],[抬头]])</f>
        <v>1</v>
      </c>
    </row>
    <row r="131" spans="1:8" x14ac:dyDescent="0.15">
      <c r="A131" s="24" t="s">
        <v>718</v>
      </c>
      <c r="B131" s="25">
        <f>IF(OR(Customer[[#This Row],[地标]]="",COUNTIF(Landmark[地标],Customer[[#This Row],[地标]])=1),COUNTIF(Quotation[抬头],Customer[[#This Row],[抬头]]),"地标")</f>
        <v>0</v>
      </c>
      <c r="C131" s="24"/>
      <c r="D131" s="26" t="s">
        <v>603</v>
      </c>
      <c r="E131" s="26" t="s">
        <v>603</v>
      </c>
      <c r="F131" s="113"/>
      <c r="G131" s="26"/>
      <c r="H131" s="24">
        <f>COUNTIF(Customer[抬头],Customer[[#This Row],[抬头]])</f>
        <v>1</v>
      </c>
    </row>
    <row r="132" spans="1:8" x14ac:dyDescent="0.15">
      <c r="A132" s="24" t="s">
        <v>2160</v>
      </c>
      <c r="B132" s="25">
        <f>IF(OR(Customer[[#This Row],[地标]]="",COUNTIF(Landmark[地标],Customer[[#This Row],[地标]])=1),COUNTIF(Quotation[抬头],Customer[[#This Row],[抬头]]),"地标")</f>
        <v>0</v>
      </c>
      <c r="C132" s="24"/>
      <c r="D132" s="26"/>
      <c r="E132" s="26" t="s">
        <v>2161</v>
      </c>
      <c r="F132" s="113"/>
      <c r="G132" s="26"/>
      <c r="H132" s="24">
        <f>COUNTIF(Customer[抬头],Customer[[#This Row],[抬头]])</f>
        <v>1</v>
      </c>
    </row>
    <row r="133" spans="1:8" x14ac:dyDescent="0.15">
      <c r="A133" s="24" t="s">
        <v>721</v>
      </c>
      <c r="B133" s="25">
        <f>IF(OR(Customer[[#This Row],[地标]]="",COUNTIF(Landmark[地标],Customer[[#This Row],[地标]])=1),COUNTIF(Quotation[抬头],Customer[[#This Row],[抬头]]),"地标")</f>
        <v>0</v>
      </c>
      <c r="C133" s="24"/>
      <c r="D133" s="26" t="s">
        <v>603</v>
      </c>
      <c r="E133" s="26" t="s">
        <v>603</v>
      </c>
      <c r="F133" s="113"/>
      <c r="G133" s="26"/>
      <c r="H133" s="24">
        <f>COUNTIF(Customer[抬头],Customer[[#This Row],[抬头]])</f>
        <v>1</v>
      </c>
    </row>
    <row r="134" spans="1:8" x14ac:dyDescent="0.15">
      <c r="A134" s="24" t="s">
        <v>582</v>
      </c>
      <c r="B134" s="25">
        <f>IF(OR(Customer[[#This Row],[地标]]="",COUNTIF(Landmark[地标],Customer[[#This Row],[地标]])=1),COUNTIF(Quotation[抬头],Customer[[#This Row],[抬头]]),"地标")</f>
        <v>5</v>
      </c>
      <c r="C134" s="24" t="s">
        <v>729</v>
      </c>
      <c r="D134" s="26" t="s">
        <v>4833</v>
      </c>
      <c r="E134" s="26" t="s">
        <v>610</v>
      </c>
      <c r="F134" s="113"/>
      <c r="G134" s="26" t="s">
        <v>4424</v>
      </c>
      <c r="H134" s="24">
        <f>COUNTIF(Customer[抬头],Customer[[#This Row],[抬头]])</f>
        <v>1</v>
      </c>
    </row>
    <row r="135" spans="1:8" ht="28.5" x14ac:dyDescent="0.15">
      <c r="A135" s="24" t="s">
        <v>748</v>
      </c>
      <c r="B135" s="25">
        <f>IF(OR(Customer[[#This Row],[地标]]="",COUNTIF(Landmark[地标],Customer[[#This Row],[地标]])=1),COUNTIF(Quotation[抬头],Customer[[#This Row],[抬头]]),"地标")</f>
        <v>0</v>
      </c>
      <c r="C135" s="24" t="s">
        <v>2092</v>
      </c>
      <c r="D135" s="26" t="s">
        <v>4834</v>
      </c>
      <c r="E135" s="26" t="s">
        <v>692</v>
      </c>
      <c r="F135" s="113"/>
      <c r="G135" s="26" t="s">
        <v>749</v>
      </c>
      <c r="H135" s="24">
        <f>COUNTIF(Customer[抬头],Customer[[#This Row],[抬头]])</f>
        <v>1</v>
      </c>
    </row>
    <row r="136" spans="1:8" ht="71.25" x14ac:dyDescent="0.15">
      <c r="A136" s="24" t="s">
        <v>543</v>
      </c>
      <c r="B136" s="25">
        <f>IF(OR(Customer[[#This Row],[地标]]="",COUNTIF(Landmark[地标],Customer[[#This Row],[地标]])=1),COUNTIF(Quotation[抬头],Customer[[#This Row],[抬头]]),"地标")</f>
        <v>0</v>
      </c>
      <c r="C136" s="24" t="s">
        <v>2092</v>
      </c>
      <c r="D136" s="26" t="s">
        <v>4835</v>
      </c>
      <c r="E136" s="26" t="s">
        <v>610</v>
      </c>
      <c r="F136" s="113"/>
      <c r="G136" s="26" t="s">
        <v>4425</v>
      </c>
      <c r="H136" s="24">
        <f>COUNTIF(Customer[抬头],Customer[[#This Row],[抬头]])</f>
        <v>1</v>
      </c>
    </row>
    <row r="137" spans="1:8" x14ac:dyDescent="0.15">
      <c r="A137" s="24" t="s">
        <v>816</v>
      </c>
      <c r="B137" s="25">
        <f>IF(OR(Customer[[#This Row],[地标]]="",COUNTIF(Landmark[地标],Customer[[#This Row],[地标]])=1),COUNTIF(Quotation[抬头],Customer[[#This Row],[抬头]]),"地标")</f>
        <v>0</v>
      </c>
      <c r="C137" s="24" t="s">
        <v>3754</v>
      </c>
      <c r="D137" s="26" t="s">
        <v>4838</v>
      </c>
      <c r="E137" s="26" t="s">
        <v>4397</v>
      </c>
      <c r="F137" s="113">
        <v>43390</v>
      </c>
      <c r="G137" s="26"/>
      <c r="H137" s="24">
        <f>COUNTIF(Customer[抬头],Customer[[#This Row],[抬头]])</f>
        <v>1</v>
      </c>
    </row>
    <row r="138" spans="1:8" ht="28.5" x14ac:dyDescent="0.15">
      <c r="A138" s="24" t="s">
        <v>4136</v>
      </c>
      <c r="B138" s="25">
        <f>IF(OR(Customer[[#This Row],[地标]]="",COUNTIF(Landmark[地标],Customer[[#This Row],[地标]])=1),COUNTIF(Quotation[抬头],Customer[[#This Row],[抬头]]),"地标")</f>
        <v>0</v>
      </c>
      <c r="C138" s="24" t="s">
        <v>3754</v>
      </c>
      <c r="D138" s="26" t="s">
        <v>4137</v>
      </c>
      <c r="E138" s="26" t="s">
        <v>4397</v>
      </c>
      <c r="F138" s="113">
        <v>43390</v>
      </c>
      <c r="G138" s="26" t="s">
        <v>4426</v>
      </c>
      <c r="H138" s="24">
        <f>COUNTIF(Customer[抬头],Customer[[#This Row],[抬头]])</f>
        <v>1</v>
      </c>
    </row>
    <row r="139" spans="1:8" ht="28.5" x14ac:dyDescent="0.15">
      <c r="A139" s="24" t="s">
        <v>4138</v>
      </c>
      <c r="B139" s="25">
        <f>IF(OR(Customer[[#This Row],[地标]]="",COUNTIF(Landmark[地标],Customer[[#This Row],[地标]])=1),COUNTIF(Quotation[抬头],Customer[[#This Row],[抬头]]),"地标")</f>
        <v>0</v>
      </c>
      <c r="C139" s="24" t="s">
        <v>3754</v>
      </c>
      <c r="D139" s="26" t="s">
        <v>4836</v>
      </c>
      <c r="E139" s="26" t="s">
        <v>4397</v>
      </c>
      <c r="F139" s="113">
        <v>43390</v>
      </c>
      <c r="G139" s="26" t="s">
        <v>4427</v>
      </c>
      <c r="H139" s="24">
        <f>COUNTIF(Customer[抬头],Customer[[#This Row],[抬头]])</f>
        <v>1</v>
      </c>
    </row>
    <row r="140" spans="1:8" x14ac:dyDescent="0.15">
      <c r="A140" s="24" t="s">
        <v>708</v>
      </c>
      <c r="B140" s="25">
        <f>IF(OR(Customer[[#This Row],[地标]]="",COUNTIF(Landmark[地标],Customer[[#This Row],[地标]])=1),COUNTIF(Quotation[抬头],Customer[[#This Row],[抬头]]),"地标")</f>
        <v>0</v>
      </c>
      <c r="C140" s="24"/>
      <c r="D140" s="26" t="s">
        <v>634</v>
      </c>
      <c r="E140" s="26" t="s">
        <v>634</v>
      </c>
      <c r="F140" s="113"/>
      <c r="G140" s="26"/>
      <c r="H140" s="24">
        <f>COUNTIF(Customer[抬头],Customer[[#This Row],[抬头]])</f>
        <v>1</v>
      </c>
    </row>
    <row r="141" spans="1:8" x14ac:dyDescent="0.15">
      <c r="A141" s="24" t="s">
        <v>2317</v>
      </c>
      <c r="B141" s="25">
        <f>IF(OR(Customer[[#This Row],[地标]]="",COUNTIF(Landmark[地标],Customer[[#This Row],[地标]])=1),COUNTIF(Quotation[抬头],Customer[[#This Row],[抬头]]),"地标")</f>
        <v>0</v>
      </c>
      <c r="C141" s="24"/>
      <c r="D141" s="26" t="s">
        <v>2318</v>
      </c>
      <c r="E141" s="26" t="s">
        <v>2318</v>
      </c>
      <c r="F141" s="113"/>
      <c r="G141" s="26"/>
      <c r="H141" s="24">
        <f>COUNTIF(Customer[抬头],Customer[[#This Row],[抬头]])</f>
        <v>1</v>
      </c>
    </row>
    <row r="142" spans="1:8" x14ac:dyDescent="0.15">
      <c r="A142" s="24" t="s">
        <v>710</v>
      </c>
      <c r="B142" s="25">
        <f>IF(OR(Customer[[#This Row],[地标]]="",COUNTIF(Landmark[地标],Customer[[#This Row],[地标]])=1),COUNTIF(Quotation[抬头],Customer[[#This Row],[抬头]]),"地标")</f>
        <v>0</v>
      </c>
      <c r="C142" s="24"/>
      <c r="D142" s="26" t="s">
        <v>634</v>
      </c>
      <c r="E142" s="26" t="s">
        <v>634</v>
      </c>
      <c r="F142" s="113"/>
      <c r="G142" s="26"/>
      <c r="H142" s="24">
        <f>COUNTIF(Customer[抬头],Customer[[#This Row],[抬头]])</f>
        <v>1</v>
      </c>
    </row>
    <row r="143" spans="1:8" x14ac:dyDescent="0.15">
      <c r="A143" s="24" t="s">
        <v>723</v>
      </c>
      <c r="B143" s="25">
        <f>IF(OR(Customer[[#This Row],[地标]]="",COUNTIF(Landmark[地标],Customer[[#This Row],[地标]])=1),COUNTIF(Quotation[抬头],Customer[[#This Row],[抬头]]),"地标")</f>
        <v>0</v>
      </c>
      <c r="C143" s="24"/>
      <c r="D143" s="26" t="s">
        <v>634</v>
      </c>
      <c r="E143" s="26" t="s">
        <v>634</v>
      </c>
      <c r="F143" s="113"/>
      <c r="G143" s="26"/>
      <c r="H143" s="24">
        <f>COUNTIF(Customer[抬头],Customer[[#This Row],[抬头]])</f>
        <v>1</v>
      </c>
    </row>
    <row r="144" spans="1:8" x14ac:dyDescent="0.15">
      <c r="A144" s="24" t="s">
        <v>4143</v>
      </c>
      <c r="B144" s="25">
        <f>IF(OR(Customer[[#This Row],[地标]]="",COUNTIF(Landmark[地标],Customer[[#This Row],[地标]])=1),COUNTIF(Quotation[抬头],Customer[[#This Row],[抬头]]),"地标")</f>
        <v>0</v>
      </c>
      <c r="C144" s="24" t="s">
        <v>3754</v>
      </c>
      <c r="D144" s="26" t="s">
        <v>4837</v>
      </c>
      <c r="E144" s="26" t="s">
        <v>4397</v>
      </c>
      <c r="F144" s="113">
        <v>43390</v>
      </c>
      <c r="G144" s="26" t="s">
        <v>4416</v>
      </c>
      <c r="H144" s="24">
        <f>COUNTIF(Customer[抬头],Customer[[#This Row],[抬头]])</f>
        <v>1</v>
      </c>
    </row>
    <row r="145" spans="1:8" ht="42.75" x14ac:dyDescent="0.15">
      <c r="A145" s="24" t="s">
        <v>493</v>
      </c>
      <c r="B145" s="25">
        <f>IF(OR(Customer[[#This Row],[地标]]="",COUNTIF(Landmark[地标],Customer[[#This Row],[地标]])=1),COUNTIF(Quotation[抬头],Customer[[#This Row],[抬头]]),"地标")</f>
        <v>1</v>
      </c>
      <c r="C145" s="24" t="s">
        <v>728</v>
      </c>
      <c r="D145" s="26" t="s">
        <v>4839</v>
      </c>
      <c r="E145" s="26" t="s">
        <v>610</v>
      </c>
      <c r="F145" s="113"/>
      <c r="G145" s="26" t="s">
        <v>4428</v>
      </c>
      <c r="H145" s="24">
        <f>COUNTIF(Customer[抬头],Customer[[#This Row],[抬头]])</f>
        <v>1</v>
      </c>
    </row>
    <row r="146" spans="1:8" x14ac:dyDescent="0.15">
      <c r="A146" s="24" t="s">
        <v>601</v>
      </c>
      <c r="B146" s="25">
        <f>IF(OR(Customer[[#This Row],[地标]]="",COUNTIF(Landmark[地标],Customer[[#This Row],[地标]])=1),COUNTIF(Quotation[抬头],Customer[[#This Row],[抬头]]),"地标")</f>
        <v>0</v>
      </c>
      <c r="C146" s="24" t="s">
        <v>2093</v>
      </c>
      <c r="D146" s="26" t="s">
        <v>4840</v>
      </c>
      <c r="E146" s="26" t="s">
        <v>610</v>
      </c>
      <c r="F146" s="113"/>
      <c r="G146" s="26" t="s">
        <v>4429</v>
      </c>
      <c r="H146" s="24">
        <f>COUNTIF(Customer[抬头],Customer[[#This Row],[抬头]])</f>
        <v>1</v>
      </c>
    </row>
    <row r="147" spans="1:8" x14ac:dyDescent="0.15">
      <c r="A147" s="24" t="s">
        <v>590</v>
      </c>
      <c r="B147" s="25">
        <f>IF(OR(Customer[[#This Row],[地标]]="",COUNTIF(Landmark[地标],Customer[[#This Row],[地标]])=1),COUNTIF(Quotation[抬头],Customer[[#This Row],[抬头]]),"地标")</f>
        <v>0</v>
      </c>
      <c r="C147" s="24"/>
      <c r="D147" s="26" t="s">
        <v>602</v>
      </c>
      <c r="E147" s="26" t="s">
        <v>602</v>
      </c>
      <c r="F147" s="113"/>
      <c r="G147" s="26"/>
      <c r="H147" s="24">
        <f>COUNTIF(Customer[抬头],Customer[[#This Row],[抬头]])</f>
        <v>1</v>
      </c>
    </row>
    <row r="148" spans="1:8" ht="28.5" x14ac:dyDescent="0.15">
      <c r="A148" s="24" t="s">
        <v>614</v>
      </c>
      <c r="B148" s="25">
        <f>IF(OR(Customer[[#This Row],[地标]]="",COUNTIF(Landmark[地标],Customer[[#This Row],[地标]])=1),COUNTIF(Quotation[抬头],Customer[[#This Row],[抬头]]),"地标")</f>
        <v>0</v>
      </c>
      <c r="C148" s="24" t="s">
        <v>732</v>
      </c>
      <c r="D148" s="26" t="s">
        <v>4842</v>
      </c>
      <c r="E148" s="26" t="s">
        <v>610</v>
      </c>
      <c r="F148" s="113">
        <v>43390</v>
      </c>
      <c r="G148" s="26" t="s">
        <v>4843</v>
      </c>
      <c r="H148" s="24">
        <f>COUNTIF(Customer[抬头],Customer[[#This Row],[抬头]])</f>
        <v>1</v>
      </c>
    </row>
    <row r="149" spans="1:8" x14ac:dyDescent="0.15">
      <c r="A149" s="24" t="s">
        <v>4147</v>
      </c>
      <c r="B149" s="25">
        <f>IF(OR(Customer[[#This Row],[地标]]="",COUNTIF(Landmark[地标],Customer[[#This Row],[地标]])=1),COUNTIF(Quotation[抬头],Customer[[#This Row],[抬头]]),"地标")</f>
        <v>0</v>
      </c>
      <c r="C149" s="24" t="s">
        <v>730</v>
      </c>
      <c r="D149" s="26" t="s">
        <v>4152</v>
      </c>
      <c r="E149" s="26" t="s">
        <v>4397</v>
      </c>
      <c r="F149" s="113">
        <v>43390</v>
      </c>
      <c r="G149" s="26"/>
      <c r="H149" s="24">
        <f>COUNTIF(Customer[抬头],Customer[[#This Row],[抬头]])</f>
        <v>1</v>
      </c>
    </row>
    <row r="150" spans="1:8" x14ac:dyDescent="0.15">
      <c r="A150" s="24" t="s">
        <v>4154</v>
      </c>
      <c r="B150" s="25">
        <f>IF(OR(Customer[[#This Row],[地标]]="",COUNTIF(Landmark[地标],Customer[[#This Row],[地标]])=1),COUNTIF(Quotation[抬头],Customer[[#This Row],[抬头]]),"地标")</f>
        <v>0</v>
      </c>
      <c r="C150" s="24" t="s">
        <v>730</v>
      </c>
      <c r="D150" s="26" t="s">
        <v>4841</v>
      </c>
      <c r="E150" s="26" t="s">
        <v>4397</v>
      </c>
      <c r="F150" s="113">
        <v>43390</v>
      </c>
      <c r="G150" s="26"/>
      <c r="H150" s="24">
        <f>COUNTIF(Customer[抬头],Customer[[#This Row],[抬头]])</f>
        <v>1</v>
      </c>
    </row>
    <row r="151" spans="1:8" x14ac:dyDescent="0.15">
      <c r="A151" s="24" t="s">
        <v>4160</v>
      </c>
      <c r="B151" s="25">
        <f>IF(OR(Customer[[#This Row],[地标]]="",COUNTIF(Landmark[地标],Customer[[#This Row],[地标]])=1),COUNTIF(Quotation[抬头],Customer[[#This Row],[抬头]]),"地标")</f>
        <v>0</v>
      </c>
      <c r="C151" s="24" t="s">
        <v>730</v>
      </c>
      <c r="D151" s="26" t="s">
        <v>4164</v>
      </c>
      <c r="E151" s="26" t="s">
        <v>4397</v>
      </c>
      <c r="F151" s="113">
        <v>43390</v>
      </c>
      <c r="G151" s="26"/>
      <c r="H151" s="24">
        <f>COUNTIF(Customer[抬头],Customer[[#This Row],[抬头]])</f>
        <v>1</v>
      </c>
    </row>
    <row r="152" spans="1:8" x14ac:dyDescent="0.15">
      <c r="A152" s="24" t="s">
        <v>4166</v>
      </c>
      <c r="B152" s="25">
        <f>IF(OR(Customer[[#This Row],[地标]]="",COUNTIF(Landmark[地标],Customer[[#This Row],[地标]])=1),COUNTIF(Quotation[抬头],Customer[[#This Row],[抬头]]),"地标")</f>
        <v>0</v>
      </c>
      <c r="C152" s="24" t="s">
        <v>730</v>
      </c>
      <c r="D152" s="26" t="s">
        <v>4170</v>
      </c>
      <c r="E152" s="26" t="s">
        <v>4397</v>
      </c>
      <c r="F152" s="113">
        <v>43390</v>
      </c>
      <c r="G152" s="26"/>
      <c r="H152" s="24">
        <f>COUNTIF(Customer[抬头],Customer[[#This Row],[抬头]])</f>
        <v>1</v>
      </c>
    </row>
    <row r="153" spans="1:8" x14ac:dyDescent="0.15">
      <c r="A153" s="24" t="s">
        <v>4172</v>
      </c>
      <c r="B153" s="25">
        <f>IF(OR(Customer[[#This Row],[地标]]="",COUNTIF(Landmark[地标],Customer[[#This Row],[地标]])=1),COUNTIF(Quotation[抬头],Customer[[#This Row],[抬头]]),"地标")</f>
        <v>1</v>
      </c>
      <c r="C153" s="24" t="s">
        <v>730</v>
      </c>
      <c r="D153" s="26" t="s">
        <v>4176</v>
      </c>
      <c r="E153" s="26" t="s">
        <v>4397</v>
      </c>
      <c r="F153" s="113">
        <v>43390</v>
      </c>
      <c r="G153" s="26"/>
      <c r="H153" s="24">
        <f>COUNTIF(Customer[抬头],Customer[[#This Row],[抬头]])</f>
        <v>1</v>
      </c>
    </row>
    <row r="154" spans="1:8" x14ac:dyDescent="0.15">
      <c r="A154" s="24" t="s">
        <v>4178</v>
      </c>
      <c r="B154" s="25">
        <f>IF(OR(Customer[[#This Row],[地标]]="",COUNTIF(Landmark[地标],Customer[[#This Row],[地标]])=1),COUNTIF(Quotation[抬头],Customer[[#This Row],[抬头]]),"地标")</f>
        <v>0</v>
      </c>
      <c r="C154" s="24" t="s">
        <v>730</v>
      </c>
      <c r="D154" s="26" t="s">
        <v>4182</v>
      </c>
      <c r="E154" s="26" t="s">
        <v>4397</v>
      </c>
      <c r="F154" s="113">
        <v>43390</v>
      </c>
      <c r="G154" s="26"/>
      <c r="H154" s="24">
        <f>COUNTIF(Customer[抬头],Customer[[#This Row],[抬头]])</f>
        <v>1</v>
      </c>
    </row>
    <row r="155" spans="1:8" x14ac:dyDescent="0.15">
      <c r="A155" s="24" t="s">
        <v>4184</v>
      </c>
      <c r="B155" s="25">
        <f>IF(OR(Customer[[#This Row],[地标]]="",COUNTIF(Landmark[地标],Customer[[#This Row],[地标]])=1),COUNTIF(Quotation[抬头],Customer[[#This Row],[抬头]]),"地标")</f>
        <v>2</v>
      </c>
      <c r="C155" s="24" t="s">
        <v>730</v>
      </c>
      <c r="D155" s="26" t="s">
        <v>4187</v>
      </c>
      <c r="E155" s="26" t="s">
        <v>4397</v>
      </c>
      <c r="F155" s="113">
        <v>43390</v>
      </c>
      <c r="G155" s="26"/>
      <c r="H155" s="24">
        <f>COUNTIF(Customer[抬头],Customer[[#This Row],[抬头]])</f>
        <v>1</v>
      </c>
    </row>
    <row r="156" spans="1:8" x14ac:dyDescent="0.15">
      <c r="A156" s="24" t="s">
        <v>4188</v>
      </c>
      <c r="B156" s="25">
        <f>IF(OR(Customer[[#This Row],[地标]]="",COUNTIF(Landmark[地标],Customer[[#This Row],[地标]])=1),COUNTIF(Quotation[抬头],Customer[[#This Row],[抬头]]),"地标")</f>
        <v>0</v>
      </c>
      <c r="C156" s="24" t="s">
        <v>730</v>
      </c>
      <c r="D156" s="26" t="s">
        <v>4190</v>
      </c>
      <c r="E156" s="26" t="s">
        <v>4397</v>
      </c>
      <c r="F156" s="113">
        <v>43390</v>
      </c>
      <c r="G156" s="26"/>
      <c r="H156" s="24">
        <f>COUNTIF(Customer[抬头],Customer[[#This Row],[抬头]])</f>
        <v>1</v>
      </c>
    </row>
    <row r="157" spans="1:8" x14ac:dyDescent="0.15">
      <c r="A157" s="24" t="s">
        <v>4191</v>
      </c>
      <c r="B157" s="25">
        <f>IF(OR(Customer[[#This Row],[地标]]="",COUNTIF(Landmark[地标],Customer[[#This Row],[地标]])=1),COUNTIF(Quotation[抬头],Customer[[#This Row],[抬头]]),"地标")</f>
        <v>0</v>
      </c>
      <c r="C157" s="24" t="s">
        <v>730</v>
      </c>
      <c r="D157" s="26" t="s">
        <v>4194</v>
      </c>
      <c r="E157" s="26" t="s">
        <v>4397</v>
      </c>
      <c r="F157" s="113">
        <v>43390</v>
      </c>
      <c r="G157" s="26" t="s">
        <v>4416</v>
      </c>
      <c r="H157" s="24">
        <f>COUNTIF(Customer[抬头],Customer[[#This Row],[抬头]])</f>
        <v>1</v>
      </c>
    </row>
    <row r="158" spans="1:8" ht="28.5" x14ac:dyDescent="0.15">
      <c r="A158" s="24" t="s">
        <v>501</v>
      </c>
      <c r="B158" s="25">
        <f>IF(OR(Customer[[#This Row],[地标]]="",COUNTIF(Landmark[地标],Customer[[#This Row],[地标]])=1),COUNTIF(Quotation[抬头],Customer[[#This Row],[抬头]]),"地标")</f>
        <v>0</v>
      </c>
      <c r="C158" s="24" t="s">
        <v>2384</v>
      </c>
      <c r="D158" s="26" t="s">
        <v>4792</v>
      </c>
      <c r="E158" s="26" t="s">
        <v>610</v>
      </c>
      <c r="F158" s="113">
        <v>43321</v>
      </c>
      <c r="G158" s="26" t="s">
        <v>3052</v>
      </c>
      <c r="H158" s="24">
        <f>COUNTIF(Customer[抬头],Customer[[#This Row],[抬头]])</f>
        <v>1</v>
      </c>
    </row>
    <row r="159" spans="1:8" x14ac:dyDescent="0.15">
      <c r="A159" s="24" t="s">
        <v>4196</v>
      </c>
      <c r="B159" s="25">
        <f>IF(OR(Customer[[#This Row],[地标]]="",COUNTIF(Landmark[地标],Customer[[#This Row],[地标]])=1),COUNTIF(Quotation[抬头],Customer[[#This Row],[抬头]]),"地标")</f>
        <v>0</v>
      </c>
      <c r="C159" s="24" t="s">
        <v>3773</v>
      </c>
      <c r="D159" s="26" t="s">
        <v>4200</v>
      </c>
      <c r="E159" s="26" t="s">
        <v>4397</v>
      </c>
      <c r="F159" s="113">
        <v>43392</v>
      </c>
      <c r="G159" s="26"/>
      <c r="H159" s="24">
        <f>COUNTIF(Customer[抬头],Customer[[#This Row],[抬头]])</f>
        <v>1</v>
      </c>
    </row>
    <row r="160" spans="1:8" x14ac:dyDescent="0.15">
      <c r="A160" s="24" t="s">
        <v>4201</v>
      </c>
      <c r="B160" s="25">
        <f>IF(OR(Customer[[#This Row],[地标]]="",COUNTIF(Landmark[地标],Customer[[#This Row],[地标]])=1),COUNTIF(Quotation[抬头],Customer[[#This Row],[抬头]]),"地标")</f>
        <v>0</v>
      </c>
      <c r="C160" s="24" t="s">
        <v>3773</v>
      </c>
      <c r="D160" s="26" t="s">
        <v>4202</v>
      </c>
      <c r="E160" s="26" t="s">
        <v>4397</v>
      </c>
      <c r="F160" s="113">
        <v>43392</v>
      </c>
      <c r="G160" s="26"/>
      <c r="H160" s="24">
        <f>COUNTIF(Customer[抬头],Customer[[#This Row],[抬头]])</f>
        <v>1</v>
      </c>
    </row>
    <row r="161" spans="1:8" x14ac:dyDescent="0.15">
      <c r="A161" s="24" t="s">
        <v>638</v>
      </c>
      <c r="B161" s="25">
        <f>IF(OR(Customer[[#This Row],[地标]]="",COUNTIF(Landmark[地标],Customer[[#This Row],[地标]])=1),COUNTIF(Quotation[抬头],Customer[[#This Row],[抬头]]),"地标")</f>
        <v>0</v>
      </c>
      <c r="C161" s="26" t="s">
        <v>2111</v>
      </c>
      <c r="D161" s="26" t="s">
        <v>4844</v>
      </c>
      <c r="E161" s="26" t="s">
        <v>610</v>
      </c>
      <c r="F161" s="113">
        <v>43327</v>
      </c>
      <c r="G161" s="26" t="s">
        <v>4430</v>
      </c>
      <c r="H161" s="24">
        <f>COUNTIF(Customer[抬头],Customer[[#This Row],[抬头]])</f>
        <v>1</v>
      </c>
    </row>
    <row r="162" spans="1:8" x14ac:dyDescent="0.15">
      <c r="A162" s="24" t="s">
        <v>4203</v>
      </c>
      <c r="B162" s="25">
        <f>IF(OR(Customer[[#This Row],[地标]]="",COUNTIF(Landmark[地标],Customer[[#This Row],[地标]])=1),COUNTIF(Quotation[抬头],Customer[[#This Row],[抬头]]),"地标")</f>
        <v>0</v>
      </c>
      <c r="C162" s="24" t="s">
        <v>3773</v>
      </c>
      <c r="D162" s="26" t="s">
        <v>4207</v>
      </c>
      <c r="E162" s="26" t="s">
        <v>4397</v>
      </c>
      <c r="F162" s="113">
        <v>43392</v>
      </c>
      <c r="G162" s="26"/>
      <c r="H162" s="24">
        <f>COUNTIF(Customer[抬头],Customer[[#This Row],[抬头]])</f>
        <v>1</v>
      </c>
    </row>
    <row r="163" spans="1:8" x14ac:dyDescent="0.15">
      <c r="A163" s="24" t="s">
        <v>4208</v>
      </c>
      <c r="B163" s="25">
        <f>IF(OR(Customer[[#This Row],[地标]]="",COUNTIF(Landmark[地标],Customer[[#This Row],[地标]])=1),COUNTIF(Quotation[抬头],Customer[[#This Row],[抬头]]),"地标")</f>
        <v>0</v>
      </c>
      <c r="C163" s="24" t="s">
        <v>3773</v>
      </c>
      <c r="D163" s="26" t="s">
        <v>4212</v>
      </c>
      <c r="E163" s="26" t="s">
        <v>4397</v>
      </c>
      <c r="F163" s="113">
        <v>43392</v>
      </c>
      <c r="G163" s="26"/>
      <c r="H163" s="24">
        <f>COUNTIF(Customer[抬头],Customer[[#This Row],[抬头]])</f>
        <v>1</v>
      </c>
    </row>
    <row r="164" spans="1:8" x14ac:dyDescent="0.15">
      <c r="A164" s="24" t="s">
        <v>699</v>
      </c>
      <c r="B164" s="25">
        <f>IF(OR(Customer[[#This Row],[地标]]="",COUNTIF(Landmark[地标],Customer[[#This Row],[地标]])=1),COUNTIF(Quotation[抬头],Customer[[#This Row],[抬头]]),"地标")</f>
        <v>0</v>
      </c>
      <c r="C164" s="24"/>
      <c r="D164" s="26" t="s">
        <v>602</v>
      </c>
      <c r="E164" s="26" t="s">
        <v>602</v>
      </c>
      <c r="F164" s="113"/>
      <c r="G164" s="26"/>
      <c r="H164" s="24">
        <f>COUNTIF(Customer[抬头],Customer[[#This Row],[抬头]])</f>
        <v>1</v>
      </c>
    </row>
    <row r="165" spans="1:8" x14ac:dyDescent="0.15">
      <c r="A165" s="24" t="s">
        <v>1266</v>
      </c>
      <c r="B165" s="25">
        <f>IF(OR(Customer[[#This Row],[地标]]="",COUNTIF(Landmark[地标],Customer[[#This Row],[地标]])=1),COUNTIF(Quotation[抬头],Customer[[#This Row],[抬头]]),"地标")</f>
        <v>1</v>
      </c>
      <c r="C165" s="24"/>
      <c r="D165" s="26"/>
      <c r="E165" s="26" t="s">
        <v>3276</v>
      </c>
      <c r="F165" s="113"/>
      <c r="G165" s="26"/>
      <c r="H165" s="24">
        <f>COUNTIF(Customer[抬头],Customer[[#This Row],[抬头]])</f>
        <v>1</v>
      </c>
    </row>
    <row r="166" spans="1:8" x14ac:dyDescent="0.15">
      <c r="A166" s="24" t="s">
        <v>1505</v>
      </c>
      <c r="B166" s="25">
        <f>IF(OR(Customer[[#This Row],[地标]]="",COUNTIF(Landmark[地标],Customer[[#This Row],[地标]])=1),COUNTIF(Quotation[抬头],Customer[[#This Row],[抬头]]),"地标")</f>
        <v>0</v>
      </c>
      <c r="C166" s="24"/>
      <c r="D166" s="26"/>
      <c r="E166" s="26" t="s">
        <v>3041</v>
      </c>
      <c r="F166" s="113"/>
      <c r="G166" s="26"/>
      <c r="H166" s="24">
        <f>COUNTIF(Customer[抬头],Customer[[#This Row],[抬头]])</f>
        <v>1</v>
      </c>
    </row>
    <row r="167" spans="1:8" x14ac:dyDescent="0.15">
      <c r="A167" s="24" t="s">
        <v>716</v>
      </c>
      <c r="B167" s="25">
        <f>IF(OR(Customer[[#This Row],[地标]]="",COUNTIF(Landmark[地标],Customer[[#This Row],[地标]])=1),COUNTIF(Quotation[抬头],Customer[[#This Row],[抬头]]),"地标")</f>
        <v>0</v>
      </c>
      <c r="C167" s="24"/>
      <c r="D167" s="26" t="s">
        <v>602</v>
      </c>
      <c r="E167" s="26" t="s">
        <v>602</v>
      </c>
      <c r="F167" s="113"/>
      <c r="G167" s="26"/>
      <c r="H167" s="24">
        <f>COUNTIF(Customer[抬头],Customer[[#This Row],[抬头]])</f>
        <v>1</v>
      </c>
    </row>
    <row r="168" spans="1:8" x14ac:dyDescent="0.15">
      <c r="A168" s="24" t="s">
        <v>4213</v>
      </c>
      <c r="B168" s="25">
        <f>IF(OR(Customer[[#This Row],[地标]]="",COUNTIF(Landmark[地标],Customer[[#This Row],[地标]])=1),COUNTIF(Quotation[抬头],Customer[[#This Row],[抬头]]),"地标")</f>
        <v>0</v>
      </c>
      <c r="C168" s="24" t="s">
        <v>3773</v>
      </c>
      <c r="D168" s="26" t="s">
        <v>4217</v>
      </c>
      <c r="E168" s="26" t="s">
        <v>4397</v>
      </c>
      <c r="F168" s="113">
        <v>43392</v>
      </c>
      <c r="G168" s="26"/>
      <c r="H168" s="24">
        <f>COUNTIF(Customer[抬头],Customer[[#This Row],[抬头]])</f>
        <v>1</v>
      </c>
    </row>
    <row r="169" spans="1:8" ht="28.5" x14ac:dyDescent="0.15">
      <c r="A169" s="24" t="s">
        <v>4218</v>
      </c>
      <c r="B169" s="25">
        <f>IF(OR(Customer[[#This Row],[地标]]="",COUNTIF(Landmark[地标],Customer[[#This Row],[地标]])=1),COUNTIF(Quotation[抬头],Customer[[#This Row],[抬头]]),"地标")</f>
        <v>0</v>
      </c>
      <c r="C169" s="24" t="s">
        <v>3773</v>
      </c>
      <c r="D169" s="26" t="s">
        <v>4846</v>
      </c>
      <c r="E169" s="26" t="s">
        <v>4397</v>
      </c>
      <c r="F169" s="113">
        <v>43392</v>
      </c>
      <c r="G169" s="26" t="s">
        <v>5798</v>
      </c>
      <c r="H169" s="24">
        <f>COUNTIF(Customer[抬头],Customer[[#This Row],[抬头]])</f>
        <v>1</v>
      </c>
    </row>
    <row r="170" spans="1:8" x14ac:dyDescent="0.15">
      <c r="A170" s="24" t="s">
        <v>4227</v>
      </c>
      <c r="B170" s="25">
        <f>IF(OR(Customer[[#This Row],[地标]]="",COUNTIF(Landmark[地标],Customer[[#This Row],[地标]])=1),COUNTIF(Quotation[抬头],Customer[[#This Row],[抬头]]),"地标")</f>
        <v>0</v>
      </c>
      <c r="C170" s="24" t="s">
        <v>3773</v>
      </c>
      <c r="D170" s="26" t="s">
        <v>4231</v>
      </c>
      <c r="E170" s="26" t="s">
        <v>4397</v>
      </c>
      <c r="F170" s="113">
        <v>43392</v>
      </c>
      <c r="G170" s="26" t="s">
        <v>4416</v>
      </c>
      <c r="H170" s="24">
        <f>COUNTIF(Customer[抬头],Customer[[#This Row],[抬头]])</f>
        <v>1</v>
      </c>
    </row>
    <row r="171" spans="1:8" x14ac:dyDescent="0.15">
      <c r="A171" s="24" t="s">
        <v>4235</v>
      </c>
      <c r="B171" s="25">
        <f>IF(OR(Customer[[#This Row],[地标]]="",COUNTIF(Landmark[地标],Customer[[#This Row],[地标]])=1),COUNTIF(Quotation[抬头],Customer[[#This Row],[抬头]]),"地标")</f>
        <v>0</v>
      </c>
      <c r="C171" s="24" t="s">
        <v>3773</v>
      </c>
      <c r="D171" s="26" t="s">
        <v>4239</v>
      </c>
      <c r="E171" s="26" t="s">
        <v>4397</v>
      </c>
      <c r="F171" s="113">
        <v>43392</v>
      </c>
      <c r="G171" s="26"/>
      <c r="H171" s="24">
        <f>COUNTIF(Customer[抬头],Customer[[#This Row],[抬头]])</f>
        <v>1</v>
      </c>
    </row>
    <row r="172" spans="1:8" x14ac:dyDescent="0.15">
      <c r="A172" s="24" t="s">
        <v>565</v>
      </c>
      <c r="B172" s="25">
        <f>IF(OR(Customer[[#This Row],[地标]]="",COUNTIF(Landmark[地标],Customer[[#This Row],[地标]])=1),COUNTIF(Quotation[抬头],Customer[[#This Row],[抬头]]),"地标")</f>
        <v>0</v>
      </c>
      <c r="C172" s="24"/>
      <c r="D172" s="26" t="s">
        <v>602</v>
      </c>
      <c r="E172" s="26" t="s">
        <v>602</v>
      </c>
      <c r="F172" s="113"/>
      <c r="G172" s="26"/>
      <c r="H172" s="24">
        <f>COUNTIF(Customer[抬头],Customer[[#This Row],[抬头]])</f>
        <v>1</v>
      </c>
    </row>
    <row r="173" spans="1:8" ht="28.5" x14ac:dyDescent="0.15">
      <c r="A173" s="24" t="s">
        <v>566</v>
      </c>
      <c r="B173" s="25">
        <f>IF(OR(Customer[[#This Row],[地标]]="",COUNTIF(Landmark[地标],Customer[[#This Row],[地标]])=1),COUNTIF(Quotation[抬头],Customer[[#This Row],[抬头]]),"地标")</f>
        <v>0</v>
      </c>
      <c r="C173" s="24"/>
      <c r="D173" s="26"/>
      <c r="E173" s="26"/>
      <c r="F173" s="113"/>
      <c r="G173" s="26" t="s">
        <v>4459</v>
      </c>
      <c r="H173" s="24">
        <f>COUNTIF(Customer[抬头],Customer[[#This Row],[抬头]])</f>
        <v>1</v>
      </c>
    </row>
    <row r="174" spans="1:8" x14ac:dyDescent="0.15">
      <c r="A174" s="24" t="s">
        <v>4240</v>
      </c>
      <c r="B174" s="25">
        <f>IF(OR(Customer[[#This Row],[地标]]="",COUNTIF(Landmark[地标],Customer[[#This Row],[地标]])=1),COUNTIF(Quotation[抬头],Customer[[#This Row],[抬头]]),"地标")</f>
        <v>1</v>
      </c>
      <c r="C174" s="24" t="s">
        <v>3773</v>
      </c>
      <c r="D174" s="26" t="s">
        <v>4244</v>
      </c>
      <c r="E174" s="26" t="s">
        <v>4397</v>
      </c>
      <c r="F174" s="113">
        <v>43392</v>
      </c>
      <c r="G174" s="26" t="s">
        <v>5567</v>
      </c>
      <c r="H174" s="24">
        <f>COUNTIF(Customer[抬头],Customer[[#This Row],[抬头]])</f>
        <v>1</v>
      </c>
    </row>
    <row r="175" spans="1:8" x14ac:dyDescent="0.15">
      <c r="A175" s="24" t="s">
        <v>4245</v>
      </c>
      <c r="B175" s="25">
        <f>IF(OR(Customer[[#This Row],[地标]]="",COUNTIF(Landmark[地标],Customer[[#This Row],[地标]])=1),COUNTIF(Quotation[抬头],Customer[[#This Row],[抬头]]),"地标")</f>
        <v>0</v>
      </c>
      <c r="C175" s="24" t="s">
        <v>3773</v>
      </c>
      <c r="D175" s="26" t="s">
        <v>4249</v>
      </c>
      <c r="E175" s="26" t="s">
        <v>4397</v>
      </c>
      <c r="F175" s="113">
        <v>43392</v>
      </c>
      <c r="G175" s="26"/>
      <c r="H175" s="24">
        <f>COUNTIF(Customer[抬头],Customer[[#This Row],[抬头]])</f>
        <v>1</v>
      </c>
    </row>
    <row r="176" spans="1:8" x14ac:dyDescent="0.15">
      <c r="A176" s="24" t="s">
        <v>4250</v>
      </c>
      <c r="B176" s="25">
        <f>IF(OR(Customer[[#This Row],[地标]]="",COUNTIF(Landmark[地标],Customer[[#This Row],[地标]])=1),COUNTIF(Quotation[抬头],Customer[[#This Row],[抬头]]),"地标")</f>
        <v>0</v>
      </c>
      <c r="C176" s="24" t="s">
        <v>3773</v>
      </c>
      <c r="D176" s="26" t="s">
        <v>4254</v>
      </c>
      <c r="E176" s="26" t="s">
        <v>4397</v>
      </c>
      <c r="F176" s="113">
        <v>43392</v>
      </c>
      <c r="G176" s="26"/>
      <c r="H176" s="24">
        <f>COUNTIF(Customer[抬头],Customer[[#This Row],[抬头]])</f>
        <v>1</v>
      </c>
    </row>
    <row r="177" spans="1:8" x14ac:dyDescent="0.15">
      <c r="A177" s="24" t="s">
        <v>4255</v>
      </c>
      <c r="B177" s="25">
        <f>IF(OR(Customer[[#This Row],[地标]]="",COUNTIF(Landmark[地标],Customer[[#This Row],[地标]])=1),COUNTIF(Quotation[抬头],Customer[[#This Row],[抬头]]),"地标")</f>
        <v>0</v>
      </c>
      <c r="C177" s="24" t="s">
        <v>3773</v>
      </c>
      <c r="D177" s="26" t="s">
        <v>4259</v>
      </c>
      <c r="E177" s="26" t="s">
        <v>4397</v>
      </c>
      <c r="F177" s="113">
        <v>43392</v>
      </c>
      <c r="G177" s="26"/>
      <c r="H177" s="24">
        <f>COUNTIF(Customer[抬头],Customer[[#This Row],[抬头]])</f>
        <v>1</v>
      </c>
    </row>
    <row r="178" spans="1:8" ht="28.5" x14ac:dyDescent="0.15">
      <c r="A178" s="24" t="s">
        <v>4260</v>
      </c>
      <c r="B178" s="25">
        <f>IF(OR(Customer[[#This Row],[地标]]="",COUNTIF(Landmark[地标],Customer[[#This Row],[地标]])=1),COUNTIF(Quotation[抬头],Customer[[#This Row],[抬头]]),"地标")</f>
        <v>0</v>
      </c>
      <c r="C178" s="24" t="s">
        <v>3773</v>
      </c>
      <c r="D178" s="26" t="s">
        <v>4265</v>
      </c>
      <c r="E178" s="26" t="s">
        <v>4397</v>
      </c>
      <c r="F178" s="113">
        <v>43392</v>
      </c>
      <c r="G178" s="26" t="s">
        <v>4431</v>
      </c>
      <c r="H178" s="24">
        <f>COUNTIF(Customer[抬头],Customer[[#This Row],[抬头]])</f>
        <v>1</v>
      </c>
    </row>
    <row r="179" spans="1:8" ht="28.5" x14ac:dyDescent="0.15">
      <c r="A179" s="24" t="s">
        <v>724</v>
      </c>
      <c r="B179" s="25">
        <f>IF(OR(Customer[[#This Row],[地标]]="",COUNTIF(Landmark[地标],Customer[[#This Row],[地标]])=1),COUNTIF(Quotation[抬头],Customer[[#This Row],[抬头]]),"地标")</f>
        <v>0</v>
      </c>
      <c r="C179" s="24" t="s">
        <v>2095</v>
      </c>
      <c r="D179" s="26" t="s">
        <v>4845</v>
      </c>
      <c r="E179" s="26" t="s">
        <v>692</v>
      </c>
      <c r="F179" s="113"/>
      <c r="G179" s="26" t="s">
        <v>725</v>
      </c>
      <c r="H179" s="24">
        <f>COUNTIF(Customer[抬头],Customer[[#This Row],[抬头]])</f>
        <v>1</v>
      </c>
    </row>
    <row r="180" spans="1:8" x14ac:dyDescent="0.15">
      <c r="A180" s="24" t="s">
        <v>4266</v>
      </c>
      <c r="B180" s="25">
        <f>IF(OR(Customer[[#This Row],[地标]]="",COUNTIF(Landmark[地标],Customer[[#This Row],[地标]])=1),COUNTIF(Quotation[抬头],Customer[[#This Row],[抬头]]),"地标")</f>
        <v>0</v>
      </c>
      <c r="C180" s="24" t="s">
        <v>3773</v>
      </c>
      <c r="D180" s="26" t="s">
        <v>4270</v>
      </c>
      <c r="E180" s="26" t="s">
        <v>4397</v>
      </c>
      <c r="F180" s="113">
        <v>43392</v>
      </c>
      <c r="G180" s="26"/>
      <c r="H180" s="24">
        <f>COUNTIF(Customer[抬头],Customer[[#This Row],[抬头]])</f>
        <v>1</v>
      </c>
    </row>
    <row r="181" spans="1:8" x14ac:dyDescent="0.15">
      <c r="A181" s="24" t="s">
        <v>4271</v>
      </c>
      <c r="B181" s="25">
        <f>IF(OR(Customer[[#This Row],[地标]]="",COUNTIF(Landmark[地标],Customer[[#This Row],[地标]])=1),COUNTIF(Quotation[抬头],Customer[[#This Row],[抬头]]),"地标")</f>
        <v>0</v>
      </c>
      <c r="C181" s="24" t="s">
        <v>3773</v>
      </c>
      <c r="D181" s="26" t="s">
        <v>4275</v>
      </c>
      <c r="E181" s="26" t="s">
        <v>4397</v>
      </c>
      <c r="F181" s="113">
        <v>43392</v>
      </c>
      <c r="G181" s="26"/>
      <c r="H181" s="24">
        <f>COUNTIF(Customer[抬头],Customer[[#This Row],[抬头]])</f>
        <v>1</v>
      </c>
    </row>
    <row r="182" spans="1:8" ht="28.5" x14ac:dyDescent="0.15">
      <c r="A182" s="24" t="s">
        <v>4282</v>
      </c>
      <c r="B182" s="25">
        <f>IF(OR(Customer[[#This Row],[地标]]="",COUNTIF(Landmark[地标],Customer[[#This Row],[地标]])=1),COUNTIF(Quotation[抬头],Customer[[#This Row],[抬头]]),"地标")</f>
        <v>0</v>
      </c>
      <c r="C182" s="24" t="s">
        <v>3773</v>
      </c>
      <c r="D182" s="26" t="s">
        <v>4284</v>
      </c>
      <c r="E182" s="26" t="s">
        <v>4397</v>
      </c>
      <c r="F182" s="113">
        <v>43392</v>
      </c>
      <c r="G182" s="26" t="s">
        <v>4432</v>
      </c>
      <c r="H182" s="24">
        <f>COUNTIF(Customer[抬头],Customer[[#This Row],[抬头]])</f>
        <v>1</v>
      </c>
    </row>
    <row r="183" spans="1:8" x14ac:dyDescent="0.15">
      <c r="A183" s="24" t="s">
        <v>588</v>
      </c>
      <c r="B183" s="25">
        <f>IF(OR(Customer[[#This Row],[地标]]="",COUNTIF(Landmark[地标],Customer[[#This Row],[地标]])=1),COUNTIF(Quotation[抬头],Customer[[#This Row],[抬头]]),"地标")</f>
        <v>0</v>
      </c>
      <c r="C183" s="24" t="s">
        <v>2096</v>
      </c>
      <c r="D183" s="26" t="s">
        <v>4847</v>
      </c>
      <c r="E183" s="26" t="s">
        <v>610</v>
      </c>
      <c r="F183" s="113"/>
      <c r="G183" s="26" t="s">
        <v>4433</v>
      </c>
      <c r="H183" s="24">
        <f>COUNTIF(Customer[抬头],Customer[[#This Row],[抬头]])</f>
        <v>1</v>
      </c>
    </row>
    <row r="184" spans="1:8" x14ac:dyDescent="0.15">
      <c r="A184" s="24" t="s">
        <v>703</v>
      </c>
      <c r="B184" s="25">
        <f>IF(OR(Customer[[#This Row],[地标]]="",COUNTIF(Landmark[地标],Customer[[#This Row],[地标]])=1),COUNTIF(Quotation[抬头],Customer[[#This Row],[抬头]]),"地标")</f>
        <v>0</v>
      </c>
      <c r="C184" s="24"/>
      <c r="D184" s="26" t="s">
        <v>633</v>
      </c>
      <c r="E184" s="26" t="s">
        <v>633</v>
      </c>
      <c r="F184" s="113"/>
      <c r="G184" s="26"/>
      <c r="H184" s="24">
        <f>COUNTIF(Customer[抬头],Customer[[#This Row],[抬头]])</f>
        <v>1</v>
      </c>
    </row>
    <row r="185" spans="1:8" x14ac:dyDescent="0.15">
      <c r="A185" s="24" t="s">
        <v>571</v>
      </c>
      <c r="B185" s="25">
        <f>IF(OR(Customer[[#This Row],[地标]]="",COUNTIF(Landmark[地标],Customer[[#This Row],[地标]])=1),COUNTIF(Quotation[抬头],Customer[[#This Row],[抬头]]),"地标")</f>
        <v>0</v>
      </c>
      <c r="C185" s="24" t="s">
        <v>2096</v>
      </c>
      <c r="D185" s="26" t="s">
        <v>4848</v>
      </c>
      <c r="E185" s="26" t="s">
        <v>610</v>
      </c>
      <c r="F185" s="113"/>
      <c r="G185" s="26" t="s">
        <v>4434</v>
      </c>
      <c r="H185" s="24">
        <f>COUNTIF(Customer[抬头],Customer[[#This Row],[抬头]])</f>
        <v>1</v>
      </c>
    </row>
    <row r="186" spans="1:8" x14ac:dyDescent="0.15">
      <c r="A186" s="24" t="s">
        <v>587</v>
      </c>
      <c r="B186" s="25">
        <f>IF(OR(Customer[[#This Row],[地标]]="",COUNTIF(Landmark[地标],Customer[[#This Row],[地标]])=1),COUNTIF(Quotation[抬头],Customer[[#This Row],[抬头]]),"地标")</f>
        <v>0</v>
      </c>
      <c r="C186" s="24" t="s">
        <v>2096</v>
      </c>
      <c r="D186" s="26" t="s">
        <v>4849</v>
      </c>
      <c r="E186" s="26" t="s">
        <v>610</v>
      </c>
      <c r="F186" s="113">
        <v>43319</v>
      </c>
      <c r="G186" s="26"/>
      <c r="H186" s="24">
        <f>COUNTIF(Customer[抬头],Customer[[#This Row],[抬头]])</f>
        <v>1</v>
      </c>
    </row>
    <row r="187" spans="1:8" x14ac:dyDescent="0.15">
      <c r="A187" s="24" t="s">
        <v>492</v>
      </c>
      <c r="B187" s="25">
        <f>IF(OR(Customer[[#This Row],[地标]]="",COUNTIF(Landmark[地标],Customer[[#This Row],[地标]])=1),COUNTIF(Quotation[抬头],Customer[[#This Row],[抬头]]),"地标")</f>
        <v>0</v>
      </c>
      <c r="C187" s="24" t="s">
        <v>2097</v>
      </c>
      <c r="D187" s="26" t="s">
        <v>4850</v>
      </c>
      <c r="E187" s="26" t="s">
        <v>610</v>
      </c>
      <c r="F187" s="113">
        <v>43320</v>
      </c>
      <c r="G187" s="26"/>
      <c r="H187" s="24">
        <f>COUNTIF(Customer[抬头],Customer[[#This Row],[抬头]])</f>
        <v>1</v>
      </c>
    </row>
    <row r="188" spans="1:8" x14ac:dyDescent="0.15">
      <c r="A188" s="24" t="s">
        <v>500</v>
      </c>
      <c r="B188" s="25">
        <f>IF(OR(Customer[[#This Row],[地标]]="",COUNTIF(Landmark[地标],Customer[[#This Row],[地标]])=1),COUNTIF(Quotation[抬头],Customer[[#This Row],[抬头]]),"地标")</f>
        <v>0</v>
      </c>
      <c r="C188" s="24" t="s">
        <v>2098</v>
      </c>
      <c r="D188" s="26" t="s">
        <v>4851</v>
      </c>
      <c r="E188" s="26" t="s">
        <v>610</v>
      </c>
      <c r="F188" s="113"/>
      <c r="G188" s="26" t="s">
        <v>4435</v>
      </c>
      <c r="H188" s="24">
        <f>COUNTIF(Customer[抬头],Customer[[#This Row],[抬头]])</f>
        <v>1</v>
      </c>
    </row>
    <row r="189" spans="1:8" x14ac:dyDescent="0.15">
      <c r="A189" s="24" t="s">
        <v>4285</v>
      </c>
      <c r="B189" s="25">
        <f>IF(OR(Customer[[#This Row],[地标]]="",COUNTIF(Landmark[地标],Customer[[#This Row],[地标]])=1),COUNTIF(Quotation[抬头],Customer[[#This Row],[抬头]]),"地标")</f>
        <v>0</v>
      </c>
      <c r="C189" s="24" t="s">
        <v>3769</v>
      </c>
      <c r="D189" s="26" t="s">
        <v>4289</v>
      </c>
      <c r="E189" s="26" t="s">
        <v>4397</v>
      </c>
      <c r="F189" s="113">
        <v>43392</v>
      </c>
      <c r="G189" s="26"/>
      <c r="H189" s="24">
        <f>COUNTIF(Customer[抬头],Customer[[#This Row],[抬头]])</f>
        <v>1</v>
      </c>
    </row>
    <row r="190" spans="1:8" ht="28.5" x14ac:dyDescent="0.15">
      <c r="A190" s="24" t="s">
        <v>4291</v>
      </c>
      <c r="B190" s="25">
        <f>IF(OR(Customer[[#This Row],[地标]]="",COUNTIF(Landmark[地标],Customer[[#This Row],[地标]])=1),COUNTIF(Quotation[抬头],Customer[[#This Row],[抬头]]),"地标")</f>
        <v>0</v>
      </c>
      <c r="C190" s="24" t="s">
        <v>3769</v>
      </c>
      <c r="D190" s="26" t="s">
        <v>4295</v>
      </c>
      <c r="E190" s="26" t="s">
        <v>4397</v>
      </c>
      <c r="F190" s="113">
        <v>43392</v>
      </c>
      <c r="G190" s="26" t="s">
        <v>4436</v>
      </c>
      <c r="H190" s="24">
        <f>COUNTIF(Customer[抬头],Customer[[#This Row],[抬头]])</f>
        <v>1</v>
      </c>
    </row>
    <row r="191" spans="1:8" x14ac:dyDescent="0.15">
      <c r="A191" s="24" t="s">
        <v>745</v>
      </c>
      <c r="B191" s="25">
        <f>IF(OR(Customer[[#This Row],[地标]]="",COUNTIF(Landmark[地标],Customer[[#This Row],[地标]])=1),COUNTIF(Quotation[抬头],Customer[[#This Row],[抬头]]),"地标")</f>
        <v>2</v>
      </c>
      <c r="C191" s="24" t="s">
        <v>2112</v>
      </c>
      <c r="D191" s="26" t="s">
        <v>4852</v>
      </c>
      <c r="E191" s="26" t="s">
        <v>692</v>
      </c>
      <c r="F191" s="113"/>
      <c r="G191" s="26"/>
      <c r="H191" s="24">
        <f>COUNTIF(Customer[抬头],Customer[[#This Row],[抬头]])</f>
        <v>1</v>
      </c>
    </row>
    <row r="192" spans="1:8" x14ac:dyDescent="0.15">
      <c r="A192" s="24" t="s">
        <v>546</v>
      </c>
      <c r="B192" s="25">
        <f>IF(OR(Customer[[#This Row],[地标]]="",COUNTIF(Landmark[地标],Customer[[#This Row],[地标]])=1),COUNTIF(Quotation[抬头],Customer[[#This Row],[抬头]]),"地标")</f>
        <v>0</v>
      </c>
      <c r="C192" s="24" t="s">
        <v>2113</v>
      </c>
      <c r="D192" s="26" t="s">
        <v>4853</v>
      </c>
      <c r="E192" s="26" t="s">
        <v>610</v>
      </c>
      <c r="F192" s="113"/>
      <c r="G192" s="26" t="s">
        <v>4437</v>
      </c>
      <c r="H192" s="24">
        <f>COUNTIF(Customer[抬头],Customer[[#This Row],[抬头]])</f>
        <v>1</v>
      </c>
    </row>
    <row r="193" spans="1:8" x14ac:dyDescent="0.15">
      <c r="A193" s="24" t="s">
        <v>499</v>
      </c>
      <c r="B193" s="25">
        <f>IF(OR(Customer[[#This Row],[地标]]="",COUNTIF(Landmark[地标],Customer[[#This Row],[地标]])=1),COUNTIF(Quotation[抬头],Customer[[#This Row],[抬头]]),"地标")</f>
        <v>0</v>
      </c>
      <c r="C193" s="24" t="s">
        <v>2100</v>
      </c>
      <c r="D193" s="26" t="s">
        <v>4854</v>
      </c>
      <c r="E193" s="26" t="s">
        <v>610</v>
      </c>
      <c r="F193" s="113"/>
      <c r="G193" s="26"/>
      <c r="H193" s="24">
        <f>COUNTIF(Customer[抬头],Customer[[#This Row],[抬头]])</f>
        <v>1</v>
      </c>
    </row>
    <row r="194" spans="1:8" x14ac:dyDescent="0.15">
      <c r="A194" s="24" t="s">
        <v>611</v>
      </c>
      <c r="B194" s="25">
        <f>IF(OR(Customer[[#This Row],[地标]]="",COUNTIF(Landmark[地标],Customer[[#This Row],[地标]])=1),COUNTIF(Quotation[抬头],Customer[[#This Row],[抬头]]),"地标")</f>
        <v>0</v>
      </c>
      <c r="C194" s="24" t="s">
        <v>2101</v>
      </c>
      <c r="D194" s="26" t="s">
        <v>4855</v>
      </c>
      <c r="E194" s="26" t="s">
        <v>610</v>
      </c>
      <c r="F194" s="113"/>
      <c r="G194" s="26"/>
      <c r="H194" s="24">
        <f>COUNTIF(Customer[抬头],Customer[[#This Row],[抬头]])</f>
        <v>1</v>
      </c>
    </row>
    <row r="195" spans="1:8" ht="57" x14ac:dyDescent="0.15">
      <c r="A195" s="24" t="s">
        <v>551</v>
      </c>
      <c r="B195" s="25">
        <f>IF(OR(Customer[[#This Row],[地标]]="",COUNTIF(Landmark[地标],Customer[[#This Row],[地标]])=1),COUNTIF(Quotation[抬头],Customer[[#This Row],[抬头]]),"地标")</f>
        <v>0</v>
      </c>
      <c r="C195" s="24" t="s">
        <v>2102</v>
      </c>
      <c r="D195" s="26" t="s">
        <v>4856</v>
      </c>
      <c r="E195" s="26" t="s">
        <v>610</v>
      </c>
      <c r="F195" s="113"/>
      <c r="G195" s="26" t="s">
        <v>4438</v>
      </c>
      <c r="H195" s="24">
        <f>COUNTIF(Customer[抬头],Customer[[#This Row],[抬头]])</f>
        <v>1</v>
      </c>
    </row>
    <row r="196" spans="1:8" x14ac:dyDescent="0.15">
      <c r="A196" s="24" t="s">
        <v>4296</v>
      </c>
      <c r="B196" s="25">
        <f>IF(OR(Customer[[#This Row],[地标]]="",COUNTIF(Landmark[地标],Customer[[#This Row],[地标]])=1),COUNTIF(Quotation[抬头],Customer[[#This Row],[抬头]]),"地标")</f>
        <v>0</v>
      </c>
      <c r="C196" s="24" t="s">
        <v>3760</v>
      </c>
      <c r="D196" s="26" t="s">
        <v>4300</v>
      </c>
      <c r="E196" s="26" t="s">
        <v>4397</v>
      </c>
      <c r="F196" s="113">
        <v>43391</v>
      </c>
      <c r="G196" s="26"/>
      <c r="H196" s="24">
        <f>COUNTIF(Customer[抬头],Customer[[#This Row],[抬头]])</f>
        <v>1</v>
      </c>
    </row>
    <row r="197" spans="1:8" x14ac:dyDescent="0.15">
      <c r="A197" s="24" t="s">
        <v>746</v>
      </c>
      <c r="B197" s="25">
        <f>IF(OR(Customer[[#This Row],[地标]]="",COUNTIF(Landmark[地标],Customer[[#This Row],[地标]])=1),COUNTIF(Quotation[抬头],Customer[[#This Row],[抬头]]),"地标")</f>
        <v>0</v>
      </c>
      <c r="C197" s="24"/>
      <c r="D197" s="26"/>
      <c r="E197" s="26" t="s">
        <v>747</v>
      </c>
      <c r="F197" s="113"/>
      <c r="G197" s="26"/>
      <c r="H197" s="24">
        <f>COUNTIF(Customer[抬头],Customer[[#This Row],[抬头]])</f>
        <v>1</v>
      </c>
    </row>
    <row r="198" spans="1:8" x14ac:dyDescent="0.15">
      <c r="A198" s="24" t="s">
        <v>549</v>
      </c>
      <c r="B198" s="25">
        <f>IF(OR(Customer[[#This Row],[地标]]="",COUNTIF(Landmark[地标],Customer[[#This Row],[地标]])=1),COUNTIF(Quotation[抬头],Customer[[#This Row],[抬头]]),"地标")</f>
        <v>0</v>
      </c>
      <c r="C198" s="24"/>
      <c r="D198" s="26" t="s">
        <v>603</v>
      </c>
      <c r="E198" s="26" t="s">
        <v>603</v>
      </c>
      <c r="F198" s="113"/>
      <c r="G198" s="26"/>
      <c r="H198" s="24">
        <f>COUNTIF(Customer[抬头],Customer[[#This Row],[抬头]])</f>
        <v>1</v>
      </c>
    </row>
    <row r="199" spans="1:8" x14ac:dyDescent="0.15">
      <c r="A199" s="24" t="s">
        <v>4302</v>
      </c>
      <c r="B199" s="25">
        <f>IF(OR(Customer[[#This Row],[地标]]="",COUNTIF(Landmark[地标],Customer[[#This Row],[地标]])=1),COUNTIF(Quotation[抬头],Customer[[#This Row],[抬头]]),"地标")</f>
        <v>0</v>
      </c>
      <c r="C199" s="24" t="s">
        <v>3760</v>
      </c>
      <c r="D199" s="26" t="s">
        <v>4307</v>
      </c>
      <c r="E199" s="26" t="s">
        <v>4397</v>
      </c>
      <c r="F199" s="113">
        <v>43391</v>
      </c>
      <c r="G199" s="26"/>
      <c r="H199" s="24">
        <f>COUNTIF(Customer[抬头],Customer[[#This Row],[抬头]])</f>
        <v>1</v>
      </c>
    </row>
    <row r="200" spans="1:8" x14ac:dyDescent="0.15">
      <c r="A200" s="24" t="s">
        <v>4308</v>
      </c>
      <c r="B200" s="25">
        <f>IF(OR(Customer[[#This Row],[地标]]="",COUNTIF(Landmark[地标],Customer[[#This Row],[地标]])=1),COUNTIF(Quotation[抬头],Customer[[#This Row],[抬头]]),"地标")</f>
        <v>0</v>
      </c>
      <c r="C200" s="24" t="s">
        <v>3760</v>
      </c>
      <c r="D200" s="26" t="s">
        <v>4310</v>
      </c>
      <c r="E200" s="26" t="s">
        <v>4397</v>
      </c>
      <c r="F200" s="113">
        <v>43391</v>
      </c>
      <c r="G200" s="26"/>
      <c r="H200" s="24">
        <f>COUNTIF(Customer[抬头],Customer[[#This Row],[抬头]])</f>
        <v>1</v>
      </c>
    </row>
    <row r="201" spans="1:8" x14ac:dyDescent="0.15">
      <c r="A201" s="24" t="s">
        <v>4311</v>
      </c>
      <c r="B201" s="25">
        <f>IF(OR(Customer[[#This Row],[地标]]="",COUNTIF(Landmark[地标],Customer[[#This Row],[地标]])=1),COUNTIF(Quotation[抬头],Customer[[#This Row],[抬头]]),"地标")</f>
        <v>0</v>
      </c>
      <c r="C201" s="24" t="s">
        <v>3760</v>
      </c>
      <c r="D201" s="26" t="s">
        <v>4315</v>
      </c>
      <c r="E201" s="26" t="s">
        <v>4397</v>
      </c>
      <c r="F201" s="113">
        <v>43391</v>
      </c>
      <c r="G201" s="26"/>
      <c r="H201" s="24">
        <f>COUNTIF(Customer[抬头],Customer[[#This Row],[抬头]])</f>
        <v>1</v>
      </c>
    </row>
    <row r="202" spans="1:8" x14ac:dyDescent="0.15">
      <c r="A202" s="24" t="s">
        <v>4317</v>
      </c>
      <c r="B202" s="25">
        <f>IF(OR(Customer[[#This Row],[地标]]="",COUNTIF(Landmark[地标],Customer[[#This Row],[地标]])=1),COUNTIF(Quotation[抬头],Customer[[#This Row],[抬头]]),"地标")</f>
        <v>0</v>
      </c>
      <c r="C202" s="24" t="s">
        <v>3760</v>
      </c>
      <c r="D202" s="26" t="s">
        <v>4322</v>
      </c>
      <c r="E202" s="26" t="s">
        <v>4397</v>
      </c>
      <c r="F202" s="113">
        <v>43391</v>
      </c>
      <c r="G202" s="26"/>
      <c r="H202" s="24">
        <f>COUNTIF(Customer[抬头],Customer[[#This Row],[抬头]])</f>
        <v>1</v>
      </c>
    </row>
    <row r="203" spans="1:8" x14ac:dyDescent="0.15">
      <c r="A203" s="24" t="s">
        <v>4323</v>
      </c>
      <c r="B203" s="25">
        <f>IF(OR(Customer[[#This Row],[地标]]="",COUNTIF(Landmark[地标],Customer[[#This Row],[地标]])=1),COUNTIF(Quotation[抬头],Customer[[#This Row],[抬头]]),"地标")</f>
        <v>0</v>
      </c>
      <c r="C203" s="24" t="s">
        <v>3760</v>
      </c>
      <c r="D203" s="26" t="s">
        <v>4328</v>
      </c>
      <c r="E203" s="26" t="s">
        <v>4397</v>
      </c>
      <c r="F203" s="113">
        <v>43391</v>
      </c>
      <c r="G203" s="26" t="s">
        <v>4439</v>
      </c>
      <c r="H203" s="24">
        <f>COUNTIF(Customer[抬头],Customer[[#This Row],[抬头]])</f>
        <v>1</v>
      </c>
    </row>
    <row r="204" spans="1:8" x14ac:dyDescent="0.15">
      <c r="A204" s="24" t="s">
        <v>4329</v>
      </c>
      <c r="B204" s="25">
        <f>IF(OR(Customer[[#This Row],[地标]]="",COUNTIF(Landmark[地标],Customer[[#This Row],[地标]])=1),COUNTIF(Quotation[抬头],Customer[[#This Row],[抬头]]),"地标")</f>
        <v>0</v>
      </c>
      <c r="C204" s="24" t="s">
        <v>3760</v>
      </c>
      <c r="D204" s="26" t="s">
        <v>4333</v>
      </c>
      <c r="E204" s="26" t="s">
        <v>4397</v>
      </c>
      <c r="F204" s="113">
        <v>43391</v>
      </c>
      <c r="G204" s="26"/>
      <c r="H204" s="24">
        <f>COUNTIF(Customer[抬头],Customer[[#This Row],[抬头]])</f>
        <v>1</v>
      </c>
    </row>
    <row r="205" spans="1:8" x14ac:dyDescent="0.15">
      <c r="A205" s="24" t="s">
        <v>4335</v>
      </c>
      <c r="B205" s="25">
        <f>IF(OR(Customer[[#This Row],[地标]]="",COUNTIF(Landmark[地标],Customer[[#This Row],[地标]])=1),COUNTIF(Quotation[抬头],Customer[[#This Row],[抬头]]),"地标")</f>
        <v>0</v>
      </c>
      <c r="C205" s="24" t="s">
        <v>3760</v>
      </c>
      <c r="D205" s="26" t="s">
        <v>4339</v>
      </c>
      <c r="E205" s="26" t="s">
        <v>4397</v>
      </c>
      <c r="F205" s="113">
        <v>43391</v>
      </c>
      <c r="G205" s="26"/>
      <c r="H205" s="24">
        <f>COUNTIF(Customer[抬头],Customer[[#This Row],[抬头]])</f>
        <v>1</v>
      </c>
    </row>
    <row r="206" spans="1:8" x14ac:dyDescent="0.15">
      <c r="A206" s="24" t="s">
        <v>2326</v>
      </c>
      <c r="B206" s="25">
        <f>IF(OR(Customer[[#This Row],[地标]]="",COUNTIF(Landmark[地标],Customer[[#This Row],[地标]])=1),COUNTIF(Quotation[抬头],Customer[[#This Row],[抬头]]),"地标")</f>
        <v>0</v>
      </c>
      <c r="C206" s="24" t="s">
        <v>3760</v>
      </c>
      <c r="D206" s="26" t="s">
        <v>4345</v>
      </c>
      <c r="E206" s="26" t="s">
        <v>4397</v>
      </c>
      <c r="F206" s="113">
        <v>43391</v>
      </c>
      <c r="G206" s="26"/>
      <c r="H206" s="24">
        <f>COUNTIF(Customer[抬头],Customer[[#This Row],[抬头]])</f>
        <v>1</v>
      </c>
    </row>
    <row r="207" spans="1:8" x14ac:dyDescent="0.15">
      <c r="A207" s="24" t="s">
        <v>4346</v>
      </c>
      <c r="B207" s="25">
        <f>IF(OR(Customer[[#This Row],[地标]]="",COUNTIF(Landmark[地标],Customer[[#This Row],[地标]])=1),COUNTIF(Quotation[抬头],Customer[[#This Row],[抬头]]),"地标")</f>
        <v>0</v>
      </c>
      <c r="C207" s="24" t="s">
        <v>3760</v>
      </c>
      <c r="D207" s="26" t="s">
        <v>4349</v>
      </c>
      <c r="E207" s="26" t="s">
        <v>4397</v>
      </c>
      <c r="F207" s="113">
        <v>43391</v>
      </c>
      <c r="G207" s="26"/>
      <c r="H207" s="24">
        <f>COUNTIF(Customer[抬头],Customer[[#This Row],[抬头]])</f>
        <v>1</v>
      </c>
    </row>
    <row r="208" spans="1:8" x14ac:dyDescent="0.15">
      <c r="A208" s="24" t="s">
        <v>680</v>
      </c>
      <c r="B208" s="25">
        <f>IF(OR(Customer[[#This Row],[地标]]="",COUNTIF(Landmark[地标],Customer[[#This Row],[地标]])=1),COUNTIF(Quotation[抬头],Customer[[#This Row],[抬头]]),"地标")</f>
        <v>0</v>
      </c>
      <c r="C208" s="24" t="s">
        <v>2114</v>
      </c>
      <c r="D208" s="26" t="s">
        <v>4857</v>
      </c>
      <c r="E208" s="26" t="s">
        <v>610</v>
      </c>
      <c r="F208" s="113"/>
      <c r="G208" s="26"/>
      <c r="H208" s="24">
        <f>COUNTIF(Customer[抬头],Customer[[#This Row],[抬头]])</f>
        <v>1</v>
      </c>
    </row>
    <row r="209" spans="1:8" x14ac:dyDescent="0.15">
      <c r="A209" s="24" t="s">
        <v>4350</v>
      </c>
      <c r="B209" s="25">
        <f>IF(OR(Customer[[#This Row],[地标]]="",COUNTIF(Landmark[地标],Customer[[#This Row],[地标]])=1),COUNTIF(Quotation[抬头],Customer[[#This Row],[抬头]]),"地标")</f>
        <v>0</v>
      </c>
      <c r="C209" s="24" t="s">
        <v>3757</v>
      </c>
      <c r="D209" s="26" t="s">
        <v>4858</v>
      </c>
      <c r="E209" s="26" t="s">
        <v>4397</v>
      </c>
      <c r="F209" s="113">
        <v>43390</v>
      </c>
      <c r="G209" s="26"/>
      <c r="H209" s="24">
        <f>COUNTIF(Customer[抬头],Customer[[#This Row],[抬头]])</f>
        <v>1</v>
      </c>
    </row>
    <row r="210" spans="1:8" x14ac:dyDescent="0.15">
      <c r="A210" s="24" t="s">
        <v>2297</v>
      </c>
      <c r="B210" s="25">
        <f>IF(OR(Customer[[#This Row],[地标]]="",COUNTIF(Landmark[地标],Customer[[#This Row],[地标]])=1),COUNTIF(Quotation[抬头],Customer[[#This Row],[抬头]]),"地标")</f>
        <v>0</v>
      </c>
      <c r="C210" s="24"/>
      <c r="D210" s="26"/>
      <c r="E210" s="26" t="s">
        <v>634</v>
      </c>
      <c r="F210" s="113"/>
      <c r="G210" s="26"/>
      <c r="H210" s="24">
        <f>COUNTIF(Customer[抬头],Customer[[#This Row],[抬头]])</f>
        <v>1</v>
      </c>
    </row>
    <row r="211" spans="1:8" x14ac:dyDescent="0.15">
      <c r="A211" s="24" t="s">
        <v>3492</v>
      </c>
      <c r="B211" s="25">
        <f>IF(OR(Customer[[#This Row],[地标]]="",COUNTIF(Landmark[地标],Customer[[#This Row],[地标]])=1),COUNTIF(Quotation[抬头],Customer[[#This Row],[抬头]]),"地标")</f>
        <v>3</v>
      </c>
      <c r="C211" s="24"/>
      <c r="D211" s="26"/>
      <c r="E211" s="26" t="s">
        <v>3498</v>
      </c>
      <c r="F211" s="113"/>
      <c r="G211" s="26"/>
      <c r="H211" s="24">
        <f>COUNTIF(Customer[抬头],Customer[[#This Row],[抬头]])</f>
        <v>1</v>
      </c>
    </row>
    <row r="212" spans="1:8" x14ac:dyDescent="0.15">
      <c r="A212" s="24" t="s">
        <v>562</v>
      </c>
      <c r="B212" s="25">
        <f>IF(OR(Customer[[#This Row],[地标]]="",COUNTIF(Landmark[地标],Customer[[#This Row],[地标]])=1),COUNTIF(Quotation[抬头],Customer[[#This Row],[抬头]]),"地标")</f>
        <v>0</v>
      </c>
      <c r="C212" s="24" t="s">
        <v>2104</v>
      </c>
      <c r="D212" s="26" t="s">
        <v>4859</v>
      </c>
      <c r="E212" s="26" t="s">
        <v>610</v>
      </c>
      <c r="F212" s="113"/>
      <c r="G212" s="26" t="s">
        <v>4440</v>
      </c>
      <c r="H212" s="24">
        <f>COUNTIF(Customer[抬头],Customer[[#This Row],[抬头]])</f>
        <v>1</v>
      </c>
    </row>
    <row r="213" spans="1:8" x14ac:dyDescent="0.15">
      <c r="A213" s="24" t="s">
        <v>4355</v>
      </c>
      <c r="B213" s="25">
        <f>IF(OR(Customer[[#This Row],[地标]]="",COUNTIF(Landmark[地标],Customer[[#This Row],[地标]])=1),COUNTIF(Quotation[抬头],Customer[[#This Row],[抬头]]),"地标")</f>
        <v>0</v>
      </c>
      <c r="C213" s="24" t="s">
        <v>3757</v>
      </c>
      <c r="D213" s="26" t="s">
        <v>4359</v>
      </c>
      <c r="E213" s="26" t="s">
        <v>4397</v>
      </c>
      <c r="F213" s="113">
        <v>43390</v>
      </c>
      <c r="G213" s="26"/>
      <c r="H213" s="24">
        <f>COUNTIF(Customer[抬头],Customer[[#This Row],[抬头]])</f>
        <v>2</v>
      </c>
    </row>
    <row r="214" spans="1:8" x14ac:dyDescent="0.15">
      <c r="A214" s="24" t="s">
        <v>584</v>
      </c>
      <c r="B214" s="25">
        <f>IF(OR(Customer[[#This Row],[地标]]="",COUNTIF(Landmark[地标],Customer[[#This Row],[地标]])=1),COUNTIF(Quotation[抬头],Customer[[#This Row],[抬头]]),"地标")</f>
        <v>0</v>
      </c>
      <c r="C214" s="24" t="s">
        <v>2106</v>
      </c>
      <c r="D214" s="26" t="s">
        <v>4860</v>
      </c>
      <c r="E214" s="26" t="s">
        <v>610</v>
      </c>
      <c r="F214" s="113"/>
      <c r="G214" s="26" t="s">
        <v>4441</v>
      </c>
      <c r="H214" s="24">
        <f>COUNTIF(Customer[抬头],Customer[[#This Row],[抬头]])</f>
        <v>1</v>
      </c>
    </row>
    <row r="215" spans="1:8" ht="28.5" x14ac:dyDescent="0.15">
      <c r="A215" s="24" t="s">
        <v>568</v>
      </c>
      <c r="B215" s="25">
        <f>IF(OR(Customer[[#This Row],[地标]]="",COUNTIF(Landmark[地标],Customer[[#This Row],[地标]])=1),COUNTIF(Quotation[抬头],Customer[[#This Row],[抬头]]),"地标")</f>
        <v>0</v>
      </c>
      <c r="C215" s="24" t="s">
        <v>2174</v>
      </c>
      <c r="D215" s="26" t="s">
        <v>4401</v>
      </c>
      <c r="E215" s="26" t="s">
        <v>610</v>
      </c>
      <c r="F215" s="113">
        <v>43335</v>
      </c>
      <c r="G215" s="26" t="s">
        <v>2320</v>
      </c>
      <c r="H215" s="24">
        <f>COUNTIF(Customer[抬头],Customer[[#This Row],[抬头]])</f>
        <v>1</v>
      </c>
    </row>
    <row r="216" spans="1:8" x14ac:dyDescent="0.15">
      <c r="A216" s="24" t="s">
        <v>4944</v>
      </c>
      <c r="B216" s="25">
        <f>IF(OR(Customer[[#This Row],[地标]]="",COUNTIF(Landmark[地标],Customer[[#This Row],[地标]])=1),COUNTIF(Quotation[抬头],Customer[[#This Row],[抬头]]),"地标")</f>
        <v>1</v>
      </c>
      <c r="C216" s="24" t="s">
        <v>4788</v>
      </c>
      <c r="D216" s="26" t="s">
        <v>4861</v>
      </c>
      <c r="E216" s="26" t="s">
        <v>3611</v>
      </c>
      <c r="F216" s="113"/>
      <c r="G216" s="26" t="s">
        <v>4934</v>
      </c>
      <c r="H216" s="24">
        <f>COUNTIF(Customer[抬头],Customer[[#This Row],[抬头]])</f>
        <v>1</v>
      </c>
    </row>
    <row r="217" spans="1:8" x14ac:dyDescent="0.15">
      <c r="A217" s="24" t="s">
        <v>548</v>
      </c>
      <c r="B217" s="25">
        <f>IF(OR(Customer[[#This Row],[地标]]="",COUNTIF(Landmark[地标],Customer[[#This Row],[地标]])=1),COUNTIF(Quotation[抬头],Customer[[#This Row],[抬头]]),"地标")</f>
        <v>1</v>
      </c>
      <c r="C217" s="24" t="s">
        <v>2107</v>
      </c>
      <c r="D217" s="26" t="s">
        <v>4862</v>
      </c>
      <c r="E217" s="26" t="s">
        <v>610</v>
      </c>
      <c r="F217" s="113"/>
      <c r="G217" s="26" t="s">
        <v>4442</v>
      </c>
      <c r="H217" s="24">
        <f>COUNTIF(Customer[抬头],Customer[[#This Row],[抬头]])</f>
        <v>1</v>
      </c>
    </row>
    <row r="218" spans="1:8" x14ac:dyDescent="0.15">
      <c r="A218" s="24" t="s">
        <v>593</v>
      </c>
      <c r="B218" s="25">
        <f>IF(OR(Customer[[#This Row],[地标]]="",COUNTIF(Landmark[地标],Customer[[#This Row],[地标]])=1),COUNTIF(Quotation[抬头],Customer[[#This Row],[抬头]]),"地标")</f>
        <v>0</v>
      </c>
      <c r="C218" s="24" t="s">
        <v>2115</v>
      </c>
      <c r="D218" s="26" t="s">
        <v>4863</v>
      </c>
      <c r="E218" s="26" t="s">
        <v>610</v>
      </c>
      <c r="F218" s="113"/>
      <c r="G218" s="26" t="s">
        <v>4443</v>
      </c>
      <c r="H218" s="24">
        <f>COUNTIF(Customer[抬头],Customer[[#This Row],[抬头]])</f>
        <v>1</v>
      </c>
    </row>
    <row r="219" spans="1:8" x14ac:dyDescent="0.15">
      <c r="A219" s="24" t="s">
        <v>3483</v>
      </c>
      <c r="B219" s="25">
        <f>IF(OR(Customer[[#This Row],[地标]]="",COUNTIF(Landmark[地标],Customer[[#This Row],[地标]])=1),COUNTIF(Quotation[抬头],Customer[[#This Row],[抬头]]),"地标")</f>
        <v>0</v>
      </c>
      <c r="C219" s="24"/>
      <c r="D219" s="26"/>
      <c r="E219" s="26" t="s">
        <v>2170</v>
      </c>
      <c r="F219" s="113"/>
      <c r="G219" s="26"/>
      <c r="H219" s="24">
        <f>COUNTIF(Customer[抬头],Customer[[#This Row],[抬头]])</f>
        <v>1</v>
      </c>
    </row>
    <row r="220" spans="1:8" ht="57" x14ac:dyDescent="0.15">
      <c r="A220" s="24" t="s">
        <v>585</v>
      </c>
      <c r="B220" s="25">
        <f>IF(OR(Customer[[#This Row],[地标]]="",COUNTIF(Landmark[地标],Customer[[#This Row],[地标]])=1),COUNTIF(Quotation[抬头],Customer[[#This Row],[抬头]]),"地标")</f>
        <v>0</v>
      </c>
      <c r="C220" s="24"/>
      <c r="D220" s="26" t="s">
        <v>678</v>
      </c>
      <c r="E220" s="26" t="s">
        <v>670</v>
      </c>
      <c r="F220" s="113"/>
      <c r="G220" s="26" t="s">
        <v>4444</v>
      </c>
      <c r="H220" s="24">
        <f>COUNTIF(Customer[抬头],Customer[[#This Row],[抬头]])</f>
        <v>1</v>
      </c>
    </row>
    <row r="221" spans="1:8" x14ac:dyDescent="0.15">
      <c r="A221" s="24" t="s">
        <v>579</v>
      </c>
      <c r="B221" s="25">
        <f>IF(OR(Customer[[#This Row],[地标]]="",COUNTIF(Landmark[地标],Customer[[#This Row],[地标]])=1),COUNTIF(Quotation[抬头],Customer[[#This Row],[抬头]]),"地标")</f>
        <v>0</v>
      </c>
      <c r="C221" s="24"/>
      <c r="D221" s="26" t="s">
        <v>626</v>
      </c>
      <c r="E221" s="26" t="s">
        <v>624</v>
      </c>
      <c r="F221" s="113"/>
      <c r="G221" s="26"/>
      <c r="H221" s="24">
        <f>COUNTIF(Customer[抬头],Customer[[#This Row],[抬头]])</f>
        <v>1</v>
      </c>
    </row>
    <row r="222" spans="1:8" x14ac:dyDescent="0.15">
      <c r="A222" s="24" t="s">
        <v>497</v>
      </c>
      <c r="B222" s="25">
        <f>IF(OR(Customer[[#This Row],[地标]]="",COUNTIF(Landmark[地标],Customer[[#This Row],[地标]])=1),COUNTIF(Quotation[抬头],Customer[[#This Row],[抬头]]),"地标")</f>
        <v>0</v>
      </c>
      <c r="C222" s="24"/>
      <c r="D222" s="26" t="s">
        <v>627</v>
      </c>
      <c r="E222" s="26" t="s">
        <v>624</v>
      </c>
      <c r="F222" s="113"/>
      <c r="G222" s="26" t="s">
        <v>4445</v>
      </c>
      <c r="H222" s="24">
        <f>COUNTIF(Customer[抬头],Customer[[#This Row],[抬头]])</f>
        <v>1</v>
      </c>
    </row>
    <row r="223" spans="1:8" x14ac:dyDescent="0.15">
      <c r="A223" s="24" t="s">
        <v>558</v>
      </c>
      <c r="B223" s="25">
        <f>IF(OR(Customer[[#This Row],[地标]]="",COUNTIF(Landmark[地标],Customer[[#This Row],[地标]])=1),COUNTIF(Quotation[抬头],Customer[[#This Row],[抬头]]),"地标")</f>
        <v>0</v>
      </c>
      <c r="C223" s="24"/>
      <c r="D223" s="26" t="s">
        <v>628</v>
      </c>
      <c r="E223" s="26" t="s">
        <v>625</v>
      </c>
      <c r="F223" s="113"/>
      <c r="G223" s="26" t="s">
        <v>4446</v>
      </c>
      <c r="H223" s="24">
        <f>COUNTIF(Customer[抬头],Customer[[#This Row],[抬头]])</f>
        <v>1</v>
      </c>
    </row>
    <row r="224" spans="1:8" x14ac:dyDescent="0.15">
      <c r="A224" s="24" t="s">
        <v>567</v>
      </c>
      <c r="B224" s="25">
        <f>IF(OR(Customer[[#This Row],[地标]]="",COUNTIF(Landmark[地标],Customer[[#This Row],[地标]])=1),COUNTIF(Quotation[抬头],Customer[[#This Row],[抬头]]),"地标")</f>
        <v>0</v>
      </c>
      <c r="C224" s="24"/>
      <c r="D224" s="26" t="s">
        <v>629</v>
      </c>
      <c r="E224" s="26" t="s">
        <v>631</v>
      </c>
      <c r="F224" s="113"/>
      <c r="G224" s="26" t="s">
        <v>4447</v>
      </c>
      <c r="H224" s="24">
        <f>COUNTIF(Customer[抬头],Customer[[#This Row],[抬头]])</f>
        <v>1</v>
      </c>
    </row>
    <row r="225" spans="1:8" x14ac:dyDescent="0.15">
      <c r="A225" s="24" t="s">
        <v>3035</v>
      </c>
      <c r="B225" s="25">
        <f>IF(OR(Customer[[#This Row],[地标]]="",COUNTIF(Landmark[地标],Customer[[#This Row],[地标]])=1),COUNTIF(Quotation[抬头],Customer[[#This Row],[抬头]]),"地标")</f>
        <v>0</v>
      </c>
      <c r="C225" s="24"/>
      <c r="D225" s="26"/>
      <c r="E225" s="26" t="s">
        <v>3218</v>
      </c>
      <c r="F225" s="113"/>
      <c r="G225" s="26"/>
      <c r="H225" s="24">
        <f>COUNTIF(Customer[抬头],Customer[[#This Row],[抬头]])</f>
        <v>1</v>
      </c>
    </row>
    <row r="226" spans="1:8" x14ac:dyDescent="0.15">
      <c r="A226" s="24" t="s">
        <v>547</v>
      </c>
      <c r="B226" s="25">
        <f>IF(OR(Customer[[#This Row],[地标]]="",COUNTIF(Landmark[地标],Customer[[#This Row],[地标]])=1),COUNTIF(Quotation[抬头],Customer[[#This Row],[抬头]]),"地标")</f>
        <v>0</v>
      </c>
      <c r="C226" s="24"/>
      <c r="D226" s="26" t="s">
        <v>630</v>
      </c>
      <c r="E226" s="26" t="s">
        <v>631</v>
      </c>
      <c r="F226" s="113"/>
      <c r="G226" s="26" t="s">
        <v>4448</v>
      </c>
      <c r="H226" s="24">
        <f>COUNTIF(Customer[抬头],Customer[[#This Row],[抬头]])</f>
        <v>1</v>
      </c>
    </row>
    <row r="227" spans="1:8" x14ac:dyDescent="0.15">
      <c r="A227" s="24" t="s">
        <v>550</v>
      </c>
      <c r="B227" s="25">
        <f>IF(OR(Customer[[#This Row],[地标]]="",COUNTIF(Landmark[地标],Customer[[#This Row],[地标]])=1),COUNTIF(Quotation[抬头],Customer[[#This Row],[抬头]]),"地标")</f>
        <v>0</v>
      </c>
      <c r="C227" s="24"/>
      <c r="D227" s="26" t="s">
        <v>632</v>
      </c>
      <c r="E227" s="26" t="s">
        <v>625</v>
      </c>
      <c r="F227" s="113"/>
      <c r="G227" s="26"/>
      <c r="H227" s="24">
        <f>COUNTIF(Customer[抬头],Customer[[#This Row],[抬头]])</f>
        <v>1</v>
      </c>
    </row>
    <row r="228" spans="1:8" x14ac:dyDescent="0.15">
      <c r="A228" s="24" t="s">
        <v>665</v>
      </c>
      <c r="B228" s="25">
        <f>IF(OR(Customer[[#This Row],[地标]]="",COUNTIF(Landmark[地标],Customer[[#This Row],[地标]])=1),COUNTIF(Quotation[抬头],Customer[[#This Row],[抬头]]),"地标")</f>
        <v>0</v>
      </c>
      <c r="C228" s="24"/>
      <c r="D228" s="26" t="s">
        <v>667</v>
      </c>
      <c r="E228" s="26" t="s">
        <v>666</v>
      </c>
      <c r="F228" s="113"/>
      <c r="G228" s="26"/>
      <c r="H228" s="24">
        <f>COUNTIF(Customer[抬头],Customer[[#This Row],[抬头]])</f>
        <v>1</v>
      </c>
    </row>
    <row r="229" spans="1:8" x14ac:dyDescent="0.15">
      <c r="A229" s="24" t="s">
        <v>552</v>
      </c>
      <c r="B229" s="25">
        <f>IF(OR(Customer[[#This Row],[地标]]="",COUNTIF(Landmark[地标],Customer[[#This Row],[地标]])=1),COUNTIF(Quotation[抬头],Customer[[#This Row],[抬头]]),"地标")</f>
        <v>0</v>
      </c>
      <c r="C229" s="24"/>
      <c r="D229" s="26" t="s">
        <v>682</v>
      </c>
      <c r="E229" s="26" t="s">
        <v>681</v>
      </c>
      <c r="F229" s="113"/>
      <c r="G229" s="26"/>
      <c r="H229" s="24">
        <f>COUNTIF(Customer[抬头],Customer[[#This Row],[抬头]])</f>
        <v>1</v>
      </c>
    </row>
    <row r="230" spans="1:8" ht="42.75" x14ac:dyDescent="0.15">
      <c r="A230" s="24" t="s">
        <v>597</v>
      </c>
      <c r="B230" s="25">
        <f>IF(OR(Customer[[#This Row],[地标]]="",COUNTIF(Landmark[地标],Customer[[#This Row],[地标]])=1),COUNTIF(Quotation[抬头],Customer[[#This Row],[抬头]]),"地标")</f>
        <v>0</v>
      </c>
      <c r="C230" s="24"/>
      <c r="D230" s="26" t="s">
        <v>635</v>
      </c>
      <c r="E230" s="26" t="s">
        <v>676</v>
      </c>
      <c r="F230" s="113"/>
      <c r="G230" s="26" t="s">
        <v>4449</v>
      </c>
      <c r="H230" s="24">
        <f>COUNTIF(Customer[抬头],Customer[[#This Row],[抬头]])</f>
        <v>1</v>
      </c>
    </row>
    <row r="231" spans="1:8" x14ac:dyDescent="0.15">
      <c r="A231" s="24" t="s">
        <v>576</v>
      </c>
      <c r="B231" s="25">
        <f>IF(OR(Customer[[#This Row],[地标]]="",COUNTIF(Landmark[地标],Customer[[#This Row],[地标]])=1),COUNTIF(Quotation[抬头],Customer[[#This Row],[抬头]]),"地标")</f>
        <v>0</v>
      </c>
      <c r="C231" s="24"/>
      <c r="D231" s="26" t="s">
        <v>684</v>
      </c>
      <c r="E231" s="26" t="s">
        <v>625</v>
      </c>
      <c r="F231" s="113"/>
      <c r="G231" s="26" t="s">
        <v>4450</v>
      </c>
      <c r="H231" s="24">
        <f>COUNTIF(Customer[抬头],Customer[[#This Row],[抬头]])</f>
        <v>2</v>
      </c>
    </row>
    <row r="232" spans="1:8" x14ac:dyDescent="0.15">
      <c r="A232" s="24" t="s">
        <v>599</v>
      </c>
      <c r="B232" s="25">
        <f>IF(OR(Customer[[#This Row],[地标]]="",COUNTIF(Landmark[地标],Customer[[#This Row],[地标]])=1),COUNTIF(Quotation[抬头],Customer[[#This Row],[抬头]]),"地标")</f>
        <v>0</v>
      </c>
      <c r="C232" s="24"/>
      <c r="D232" s="26" t="s">
        <v>636</v>
      </c>
      <c r="E232" s="26" t="s">
        <v>624</v>
      </c>
      <c r="F232" s="113"/>
      <c r="G232" s="26" t="s">
        <v>4451</v>
      </c>
      <c r="H232" s="24">
        <f>COUNTIF(Customer[抬头],Customer[[#This Row],[抬头]])</f>
        <v>1</v>
      </c>
    </row>
    <row r="233" spans="1:8" x14ac:dyDescent="0.15">
      <c r="A233" s="24" t="s">
        <v>621</v>
      </c>
      <c r="B233" s="25">
        <f>IF(OR(Customer[[#This Row],[地标]]="",COUNTIF(Landmark[地标],Customer[[#This Row],[地标]])=1),COUNTIF(Quotation[抬头],Customer[[#This Row],[抬头]]),"地标")</f>
        <v>0</v>
      </c>
      <c r="C233" s="24"/>
      <c r="D233" s="26" t="s">
        <v>622</v>
      </c>
      <c r="E233" s="26" t="s">
        <v>624</v>
      </c>
      <c r="F233" s="113"/>
      <c r="G233" s="26"/>
      <c r="H233" s="24">
        <f>COUNTIF(Customer[抬头],Customer[[#This Row],[抬头]])</f>
        <v>1</v>
      </c>
    </row>
    <row r="234" spans="1:8" x14ac:dyDescent="0.15">
      <c r="A234" s="24" t="s">
        <v>564</v>
      </c>
      <c r="B234" s="25">
        <f>IF(OR(Customer[[#This Row],[地标]]="",COUNTIF(Landmark[地标],Customer[[#This Row],[地标]])=1),COUNTIF(Quotation[抬头],Customer[[#This Row],[抬头]]),"地标")</f>
        <v>0</v>
      </c>
      <c r="C234" s="24"/>
      <c r="D234" s="26"/>
      <c r="E234" s="26"/>
      <c r="F234" s="113"/>
      <c r="G234" s="26"/>
      <c r="H234" s="24">
        <f>COUNTIF(Customer[抬头],Customer[[#This Row],[抬头]])</f>
        <v>1</v>
      </c>
    </row>
    <row r="235" spans="1:8" ht="28.5" x14ac:dyDescent="0.15">
      <c r="A235" s="24" t="s">
        <v>673</v>
      </c>
      <c r="B235" s="25">
        <f>IF(OR(Customer[[#This Row],[地标]]="",COUNTIF(Landmark[地标],Customer[[#This Row],[地标]])=1),COUNTIF(Quotation[抬头],Customer[[#This Row],[抬头]]),"地标")</f>
        <v>0</v>
      </c>
      <c r="C235" s="24"/>
      <c r="D235" s="26" t="s">
        <v>674</v>
      </c>
      <c r="E235" s="26" t="s">
        <v>675</v>
      </c>
      <c r="F235" s="113"/>
      <c r="G235" s="26" t="s">
        <v>4452</v>
      </c>
      <c r="H235" s="24">
        <f>COUNTIF(Customer[抬头],Customer[[#This Row],[抬头]])</f>
        <v>1</v>
      </c>
    </row>
    <row r="236" spans="1:8" ht="28.5" x14ac:dyDescent="0.15">
      <c r="A236" s="24" t="s">
        <v>495</v>
      </c>
      <c r="B236" s="25">
        <f>IF(OR(Customer[[#This Row],[地标]]="",COUNTIF(Landmark[地标],Customer[[#This Row],[地标]])=1),COUNTIF(Quotation[抬头],Customer[[#This Row],[抬头]]),"地标")</f>
        <v>0</v>
      </c>
      <c r="C236" s="24"/>
      <c r="D236" s="26" t="s">
        <v>694</v>
      </c>
      <c r="E236" s="26" t="s">
        <v>610</v>
      </c>
      <c r="F236" s="113"/>
      <c r="G236" s="26"/>
      <c r="H236" s="24">
        <f>COUNTIF(Customer[抬头],Customer[[#This Row],[抬头]])</f>
        <v>1</v>
      </c>
    </row>
    <row r="237" spans="1:8" ht="28.5" x14ac:dyDescent="0.15">
      <c r="A237" s="24" t="s">
        <v>494</v>
      </c>
      <c r="B237" s="25">
        <f>IF(OR(Customer[[#This Row],[地标]]="",COUNTIF(Landmark[地标],Customer[[#This Row],[地标]])=1),COUNTIF(Quotation[抬头],Customer[[#This Row],[抬头]]),"地标")</f>
        <v>0</v>
      </c>
      <c r="C237" s="24"/>
      <c r="D237" s="26" t="s">
        <v>643</v>
      </c>
      <c r="E237" s="26" t="s">
        <v>639</v>
      </c>
      <c r="F237" s="113"/>
      <c r="G237" s="26" t="s">
        <v>4454</v>
      </c>
      <c r="H237" s="24">
        <f>COUNTIF(Customer[抬头],Customer[[#This Row],[抬头]])</f>
        <v>1</v>
      </c>
    </row>
    <row r="238" spans="1:8" x14ac:dyDescent="0.15">
      <c r="A238" s="24" t="s">
        <v>612</v>
      </c>
      <c r="B238" s="25">
        <f>IF(OR(Customer[[#This Row],[地标]]="",COUNTIF(Landmark[地标],Customer[[#This Row],[地标]])=1),COUNTIF(Quotation[抬头],Customer[[#This Row],[抬头]]),"地标")</f>
        <v>0</v>
      </c>
      <c r="C238" s="24"/>
      <c r="D238" s="26" t="s">
        <v>4398</v>
      </c>
      <c r="E238" s="26" t="s">
        <v>610</v>
      </c>
      <c r="F238" s="113">
        <v>43327</v>
      </c>
      <c r="G238" s="26" t="s">
        <v>4455</v>
      </c>
      <c r="H238" s="24">
        <f>COUNTIF(Customer[抬头],Customer[[#This Row],[抬头]])</f>
        <v>1</v>
      </c>
    </row>
    <row r="239" spans="1:8" x14ac:dyDescent="0.15">
      <c r="A239" s="24" t="s">
        <v>2281</v>
      </c>
      <c r="B239" s="25">
        <f>IF(OR(Customer[[#This Row],[地标]]="",COUNTIF(Landmark[地标],Customer[[#This Row],[地标]])=1),COUNTIF(Quotation[抬头],Customer[[#This Row],[抬头]]),"地标")</f>
        <v>0</v>
      </c>
      <c r="C239" s="24"/>
      <c r="D239" s="26" t="s">
        <v>2283</v>
      </c>
      <c r="E239" s="26" t="s">
        <v>631</v>
      </c>
      <c r="F239" s="113"/>
      <c r="G239" s="26" t="s">
        <v>2282</v>
      </c>
      <c r="H239" s="24">
        <f>COUNTIF(Customer[抬头],Customer[[#This Row],[抬头]])</f>
        <v>1</v>
      </c>
    </row>
    <row r="240" spans="1:8" ht="42.75" x14ac:dyDescent="0.15">
      <c r="A240" s="24" t="s">
        <v>553</v>
      </c>
      <c r="B240" s="25">
        <f>IF(OR(Customer[[#This Row],[地标]]="",COUNTIF(Landmark[地标],Customer[[#This Row],[地标]])=1),COUNTIF(Quotation[抬头],Customer[[#This Row],[抬头]]),"地标")</f>
        <v>0</v>
      </c>
      <c r="C240" s="24"/>
      <c r="D240" s="26" t="s">
        <v>677</v>
      </c>
      <c r="E240" s="26" t="s">
        <v>650</v>
      </c>
      <c r="F240" s="113"/>
      <c r="G240" s="26" t="s">
        <v>4456</v>
      </c>
      <c r="H240" s="24">
        <f>COUNTIF(Customer[抬头],Customer[[#This Row],[抬头]])</f>
        <v>1</v>
      </c>
    </row>
    <row r="241" spans="1:8" x14ac:dyDescent="0.15">
      <c r="A241" s="24" t="s">
        <v>569</v>
      </c>
      <c r="B241" s="25">
        <f>IF(OR(Customer[[#This Row],[地标]]="",COUNTIF(Landmark[地标],Customer[[#This Row],[地标]])=1),COUNTIF(Quotation[抬头],Customer[[#This Row],[抬头]]),"地标")</f>
        <v>0</v>
      </c>
      <c r="C241" s="24"/>
      <c r="D241" s="26" t="s">
        <v>652</v>
      </c>
      <c r="E241" s="26" t="s">
        <v>652</v>
      </c>
      <c r="F241" s="113"/>
      <c r="G241" s="26"/>
      <c r="H241" s="24">
        <f>COUNTIF(Customer[抬头],Customer[[#This Row],[抬头]])</f>
        <v>1</v>
      </c>
    </row>
    <row r="242" spans="1:8" x14ac:dyDescent="0.15">
      <c r="A242" s="24" t="s">
        <v>578</v>
      </c>
      <c r="B242" s="25">
        <f>IF(OR(Customer[[#This Row],[地标]]="",COUNTIF(Landmark[地标],Customer[[#This Row],[地标]])=1),COUNTIF(Quotation[抬头],Customer[[#This Row],[抬头]]),"地标")</f>
        <v>0</v>
      </c>
      <c r="C242" s="24"/>
      <c r="D242" s="26" t="s">
        <v>634</v>
      </c>
      <c r="E242" s="26" t="s">
        <v>634</v>
      </c>
      <c r="F242" s="113"/>
      <c r="G242" s="26"/>
      <c r="H242" s="24">
        <f>COUNTIF(Customer[抬头],Customer[[#This Row],[抬头]])</f>
        <v>1</v>
      </c>
    </row>
    <row r="243" spans="1:8" ht="57" x14ac:dyDescent="0.15">
      <c r="A243" s="24" t="s">
        <v>577</v>
      </c>
      <c r="B243" s="25">
        <f>IF(OR(Customer[[#This Row],[地标]]="",COUNTIF(Landmark[地标],Customer[[#This Row],[地标]])=1),COUNTIF(Quotation[抬头],Customer[[#This Row],[抬头]]),"地标")</f>
        <v>0</v>
      </c>
      <c r="C243" s="24"/>
      <c r="D243" s="26" t="s">
        <v>654</v>
      </c>
      <c r="E243" s="26" t="s">
        <v>655</v>
      </c>
      <c r="F243" s="113"/>
      <c r="G243" s="26" t="s">
        <v>4457</v>
      </c>
      <c r="H243" s="24">
        <f>COUNTIF(Customer[抬头],Customer[[#This Row],[抬头]])</f>
        <v>1</v>
      </c>
    </row>
    <row r="244" spans="1:8" x14ac:dyDescent="0.15">
      <c r="A244" s="24" t="s">
        <v>690</v>
      </c>
      <c r="B244" s="25">
        <f>IF(OR(Customer[[#This Row],[地标]]="",COUNTIF(Landmark[地标],Customer[[#This Row],[地标]])=1),COUNTIF(Quotation[抬头],Customer[[#This Row],[抬头]]),"地标")</f>
        <v>0</v>
      </c>
      <c r="C244" s="24"/>
      <c r="D244" s="26" t="s">
        <v>695</v>
      </c>
      <c r="E244" s="26" t="s">
        <v>610</v>
      </c>
      <c r="F244" s="113"/>
      <c r="G244" s="26"/>
      <c r="H244" s="24">
        <f>COUNTIF(Customer[抬头],Customer[[#This Row],[抬头]])</f>
        <v>1</v>
      </c>
    </row>
    <row r="245" spans="1:8" x14ac:dyDescent="0.15">
      <c r="A245" s="24" t="s">
        <v>589</v>
      </c>
      <c r="B245" s="25">
        <f>IF(OR(Customer[[#This Row],[地标]]="",COUNTIF(Landmark[地标],Customer[[#This Row],[地标]])=1),COUNTIF(Quotation[抬头],Customer[[#This Row],[抬头]]),"地标")</f>
        <v>0</v>
      </c>
      <c r="C245" s="24"/>
      <c r="D245" s="26" t="s">
        <v>686</v>
      </c>
      <c r="E245" s="26" t="s">
        <v>656</v>
      </c>
      <c r="F245" s="113"/>
      <c r="G245" s="26" t="s">
        <v>4458</v>
      </c>
      <c r="H245" s="24">
        <f>COUNTIF(Customer[抬头],Customer[[#This Row],[抬头]])</f>
        <v>1</v>
      </c>
    </row>
    <row r="246" spans="1:8" ht="28.5" x14ac:dyDescent="0.15">
      <c r="A246" s="24" t="s">
        <v>1319</v>
      </c>
      <c r="B246" s="25">
        <f>IF(OR(Customer[[#This Row],[地标]]="",COUNTIF(Landmark[地标],Customer[[#This Row],[地标]])=1),COUNTIF(Quotation[抬头],Customer[[#This Row],[抬头]]),"地标")</f>
        <v>2</v>
      </c>
      <c r="C246" s="24"/>
      <c r="D246" s="26" t="s">
        <v>3622</v>
      </c>
      <c r="E246" s="26" t="s">
        <v>3611</v>
      </c>
      <c r="F246" s="113"/>
      <c r="G246" s="26" t="s">
        <v>3623</v>
      </c>
      <c r="H246" s="24">
        <f>COUNTIF(Customer[抬头],Customer[[#This Row],[抬头]])</f>
        <v>1</v>
      </c>
    </row>
    <row r="247" spans="1:8" ht="28.5" x14ac:dyDescent="0.15">
      <c r="A247" s="24" t="s">
        <v>570</v>
      </c>
      <c r="B247" s="25">
        <f>IF(OR(Customer[[#This Row],[地标]]="",COUNTIF(Landmark[地标],Customer[[#This Row],[地标]])=1),COUNTIF(Quotation[抬头],Customer[[#This Row],[抬头]]),"地标")</f>
        <v>0</v>
      </c>
      <c r="C247" s="24"/>
      <c r="D247" s="26" t="s">
        <v>657</v>
      </c>
      <c r="E247" s="26" t="s">
        <v>658</v>
      </c>
      <c r="F247" s="113"/>
      <c r="G247" s="26" t="s">
        <v>4460</v>
      </c>
      <c r="H247" s="24">
        <f>COUNTIF(Customer[抬头],Customer[[#This Row],[抬头]])</f>
        <v>1</v>
      </c>
    </row>
    <row r="248" spans="1:8" x14ac:dyDescent="0.15">
      <c r="A248" s="24" t="s">
        <v>3245</v>
      </c>
      <c r="B248" s="25">
        <f>IF(OR(Customer[[#This Row],[地标]]="",COUNTIF(Landmark[地标],Customer[[#This Row],[地标]])=1),COUNTIF(Quotation[抬头],Customer[[#This Row],[抬头]]),"地标")</f>
        <v>0</v>
      </c>
      <c r="C248" s="24"/>
      <c r="D248" s="26" t="s">
        <v>3246</v>
      </c>
      <c r="E248" s="26" t="s">
        <v>3247</v>
      </c>
      <c r="F248" s="113"/>
      <c r="G248" s="26"/>
      <c r="H248" s="24">
        <f>COUNTIF(Customer[抬头],Customer[[#This Row],[抬头]])</f>
        <v>1</v>
      </c>
    </row>
    <row r="249" spans="1:8" x14ac:dyDescent="0.15">
      <c r="A249" s="24" t="s">
        <v>573</v>
      </c>
      <c r="B249" s="25">
        <f>IF(OR(Customer[[#This Row],[地标]]="",COUNTIF(Landmark[地标],Customer[[#This Row],[地标]])=1),COUNTIF(Quotation[抬头],Customer[[#This Row],[抬头]]),"地标")</f>
        <v>0</v>
      </c>
      <c r="C249" s="24"/>
      <c r="D249" s="26"/>
      <c r="E249" s="26"/>
      <c r="F249" s="113"/>
      <c r="G249" s="26"/>
      <c r="H249" s="24">
        <f>COUNTIF(Customer[抬头],Customer[[#This Row],[抬头]])</f>
        <v>1</v>
      </c>
    </row>
    <row r="250" spans="1:8" x14ac:dyDescent="0.15">
      <c r="A250" s="24" t="s">
        <v>712</v>
      </c>
      <c r="B250" s="25">
        <f>IF(OR(Customer[[#This Row],[地标]]="",COUNTIF(Landmark[地标],Customer[[#This Row],[地标]])=1),COUNTIF(Quotation[抬头],Customer[[#This Row],[抬头]]),"地标")</f>
        <v>0</v>
      </c>
      <c r="C250" s="24"/>
      <c r="D250" s="26" t="s">
        <v>653</v>
      </c>
      <c r="E250" s="26" t="s">
        <v>653</v>
      </c>
      <c r="F250" s="113"/>
      <c r="G250" s="26"/>
      <c r="H250" s="24">
        <f>COUNTIF(Customer[抬头],Customer[[#This Row],[抬头]])</f>
        <v>1</v>
      </c>
    </row>
    <row r="251" spans="1:8" ht="42.75" x14ac:dyDescent="0.15">
      <c r="A251" s="24" t="s">
        <v>555</v>
      </c>
      <c r="B251" s="25">
        <f>IF(OR(Customer[[#This Row],[地标]]="",COUNTIF(Landmark[地标],Customer[[#This Row],[地标]])=1),COUNTIF(Quotation[抬头],Customer[[#This Row],[抬头]]),"地标")</f>
        <v>0</v>
      </c>
      <c r="C251" s="24"/>
      <c r="D251" s="26" t="s">
        <v>659</v>
      </c>
      <c r="E251" s="26" t="s">
        <v>660</v>
      </c>
      <c r="F251" s="113"/>
      <c r="G251" s="26" t="s">
        <v>4461</v>
      </c>
      <c r="H251" s="24">
        <f>COUNTIF(Customer[抬头],Customer[[#This Row],[抬头]])</f>
        <v>1</v>
      </c>
    </row>
    <row r="252" spans="1:8" x14ac:dyDescent="0.15">
      <c r="A252" s="24" t="s">
        <v>490</v>
      </c>
      <c r="B252" s="25">
        <f>IF(OR(Customer[[#This Row],[地标]]="",COUNTIF(Landmark[地标],Customer[[#This Row],[地标]])=1),COUNTIF(Quotation[抬头],Customer[[#This Row],[抬头]]),"地标")</f>
        <v>0</v>
      </c>
      <c r="C252" s="24"/>
      <c r="D252" s="26" t="s">
        <v>661</v>
      </c>
      <c r="E252" s="26" t="s">
        <v>662</v>
      </c>
      <c r="F252" s="113"/>
      <c r="G252" s="26" t="s">
        <v>4462</v>
      </c>
      <c r="H252" s="24">
        <f>COUNTIF(Customer[抬头],Customer[[#This Row],[抬头]])</f>
        <v>1</v>
      </c>
    </row>
    <row r="253" spans="1:8" x14ac:dyDescent="0.15">
      <c r="A253" s="24" t="s">
        <v>586</v>
      </c>
      <c r="B253" s="25">
        <f>IF(OR(Customer[[#This Row],[地标]]="",COUNTIF(Landmark[地标],Customer[[#This Row],[地标]])=1),COUNTIF(Quotation[抬头],Customer[[#This Row],[抬头]]),"地标")</f>
        <v>0</v>
      </c>
      <c r="C253" s="24"/>
      <c r="D253" s="26" t="s">
        <v>663</v>
      </c>
      <c r="E253" s="26" t="s">
        <v>651</v>
      </c>
      <c r="F253" s="113"/>
      <c r="G253" s="26" t="s">
        <v>4463</v>
      </c>
      <c r="H253" s="24">
        <f>COUNTIF(Customer[抬头],Customer[[#This Row],[抬头]])</f>
        <v>1</v>
      </c>
    </row>
    <row r="254" spans="1:8" ht="28.5" x14ac:dyDescent="0.15">
      <c r="A254" s="24" t="s">
        <v>557</v>
      </c>
      <c r="B254" s="25">
        <f>IF(OR(Customer[[#This Row],[地标]]="",COUNTIF(Landmark[地标],Customer[[#This Row],[地标]])=1),COUNTIF(Quotation[抬头],Customer[[#This Row],[抬头]]),"地标")</f>
        <v>0</v>
      </c>
      <c r="C254" s="24"/>
      <c r="D254" s="26" t="s">
        <v>2183</v>
      </c>
      <c r="E254" s="26" t="s">
        <v>610</v>
      </c>
      <c r="F254" s="113"/>
      <c r="G254" s="26" t="s">
        <v>4464</v>
      </c>
      <c r="H254" s="24">
        <f>COUNTIF(Customer[抬头],Customer[[#This Row],[抬头]])</f>
        <v>1</v>
      </c>
    </row>
    <row r="255" spans="1:8" ht="42.75" x14ac:dyDescent="0.15">
      <c r="A255" s="24" t="s">
        <v>600</v>
      </c>
      <c r="B255" s="25">
        <f>IF(OR(Customer[[#This Row],[地标]]="",COUNTIF(Landmark[地标],Customer[[#This Row],[地标]])=1),COUNTIF(Quotation[抬头],Customer[[#This Row],[抬头]]),"地标")</f>
        <v>0</v>
      </c>
      <c r="C255" s="24"/>
      <c r="D255" s="26" t="s">
        <v>685</v>
      </c>
      <c r="E255" s="26" t="s">
        <v>681</v>
      </c>
      <c r="F255" s="113"/>
      <c r="G255" s="26" t="s">
        <v>4465</v>
      </c>
      <c r="H255" s="24">
        <f>COUNTIF(Customer[抬头],Customer[[#This Row],[抬头]])</f>
        <v>1</v>
      </c>
    </row>
    <row r="256" spans="1:8" ht="28.5" x14ac:dyDescent="0.15">
      <c r="A256" s="24" t="s">
        <v>580</v>
      </c>
      <c r="B256" s="25">
        <f>IF(OR(Customer[[#This Row],[地标]]="",COUNTIF(Landmark[地标],Customer[[#This Row],[地标]])=1),COUNTIF(Quotation[抬头],Customer[[#This Row],[抬头]]),"地标")</f>
        <v>0</v>
      </c>
      <c r="C256" s="24"/>
      <c r="D256" s="26" t="s">
        <v>683</v>
      </c>
      <c r="E256" s="26" t="s">
        <v>668</v>
      </c>
      <c r="F256" s="113"/>
      <c r="G256" s="26" t="s">
        <v>4466</v>
      </c>
      <c r="H256" s="24">
        <f>COUNTIF(Customer[抬头],Customer[[#This Row],[抬头]])</f>
        <v>1</v>
      </c>
    </row>
    <row r="257" spans="1:8" x14ac:dyDescent="0.15">
      <c r="A257" s="24" t="s">
        <v>572</v>
      </c>
      <c r="B257" s="25">
        <f>IF(OR(Customer[[#This Row],[地标]]="",COUNTIF(Landmark[地标],Customer[[#This Row],[地标]])=1),COUNTIF(Quotation[抬头],Customer[[#This Row],[抬头]]),"地标")</f>
        <v>1</v>
      </c>
      <c r="C257" s="24"/>
      <c r="D257" s="26"/>
      <c r="E257" s="26" t="s">
        <v>681</v>
      </c>
      <c r="F257" s="113"/>
      <c r="G257" s="26" t="s">
        <v>687</v>
      </c>
      <c r="H257" s="24">
        <f>COUNTIF(Customer[抬头],Customer[[#This Row],[抬头]])</f>
        <v>1</v>
      </c>
    </row>
    <row r="258" spans="1:8" x14ac:dyDescent="0.15">
      <c r="A258" s="24" t="s">
        <v>4870</v>
      </c>
      <c r="B258" s="25">
        <f>IF(OR(Customer[[#This Row],[地标]]="",COUNTIF(Landmark[地标],Customer[[#This Row],[地标]])=1),COUNTIF(Quotation[抬头],Customer[[#This Row],[抬头]]),"地标")</f>
        <v>0</v>
      </c>
      <c r="C258" s="24"/>
      <c r="D258" s="26" t="s">
        <v>4927</v>
      </c>
      <c r="E258" s="26" t="s">
        <v>4928</v>
      </c>
      <c r="F258" s="113"/>
      <c r="G258" s="26" t="s">
        <v>4872</v>
      </c>
      <c r="H258" s="24">
        <f>COUNTIF(Customer[抬头],Customer[[#This Row],[抬头]])</f>
        <v>1</v>
      </c>
    </row>
    <row r="259" spans="1:8" x14ac:dyDescent="0.15">
      <c r="A259" s="24" t="s">
        <v>4896</v>
      </c>
      <c r="B259" s="25">
        <f>IF(OR(Customer[[#This Row],[地标]]="",COUNTIF(Landmark[地标],Customer[[#This Row],[地标]])=1),COUNTIF(Quotation[抬头],Customer[[#This Row],[抬头]]),"地标")</f>
        <v>0</v>
      </c>
      <c r="C259" s="24" t="s">
        <v>6200</v>
      </c>
      <c r="D259" s="26" t="s">
        <v>4948</v>
      </c>
      <c r="E259" s="26" t="s">
        <v>4928</v>
      </c>
      <c r="F259" s="113"/>
      <c r="G259" s="26" t="s">
        <v>4872</v>
      </c>
      <c r="H259" s="24">
        <f>COUNTIF(Customer[抬头],Customer[[#This Row],[抬头]])</f>
        <v>1</v>
      </c>
    </row>
    <row r="260" spans="1:8" x14ac:dyDescent="0.15">
      <c r="A260" s="24" t="s">
        <v>5171</v>
      </c>
      <c r="B260" s="25">
        <f>IF(OR(Customer[[#This Row],[地标]]="",COUNTIF(Landmark[地标],Customer[[#This Row],[地标]])=1),COUNTIF(Quotation[抬头],Customer[[#This Row],[抬头]]),"地标")</f>
        <v>0</v>
      </c>
      <c r="C260" s="24" t="s">
        <v>2079</v>
      </c>
      <c r="D260" s="26" t="s">
        <v>5190</v>
      </c>
      <c r="E260" s="26" t="s">
        <v>5191</v>
      </c>
      <c r="F260" s="113">
        <v>43398</v>
      </c>
      <c r="G260" s="26"/>
      <c r="H260" s="24">
        <f>COUNTIF(Customer[抬头],Customer[[#This Row],[抬头]])</f>
        <v>1</v>
      </c>
    </row>
    <row r="261" spans="1:8" x14ac:dyDescent="0.15">
      <c r="A261" s="24" t="s">
        <v>5165</v>
      </c>
      <c r="B261" s="25">
        <f>IF(OR(Customer[[#This Row],[地标]]="",COUNTIF(Landmark[地标],Customer[[#This Row],[地标]])=1),COUNTIF(Quotation[抬头],Customer[[#This Row],[抬头]]),"地标")</f>
        <v>0</v>
      </c>
      <c r="C261" s="24" t="s">
        <v>2079</v>
      </c>
      <c r="D261" s="26" t="s">
        <v>5192</v>
      </c>
      <c r="E261" s="26" t="s">
        <v>5191</v>
      </c>
      <c r="F261" s="113">
        <v>43398</v>
      </c>
      <c r="G261" s="26"/>
      <c r="H261" s="24">
        <f>COUNTIF(Customer[抬头],Customer[[#This Row],[抬头]])</f>
        <v>1</v>
      </c>
    </row>
    <row r="262" spans="1:8" x14ac:dyDescent="0.15">
      <c r="A262" s="24" t="s">
        <v>5161</v>
      </c>
      <c r="B262" s="25">
        <f>IF(OR(Customer[[#This Row],[地标]]="",COUNTIF(Landmark[地标],Customer[[#This Row],[地标]])=1),COUNTIF(Quotation[抬头],Customer[[#This Row],[抬头]]),"地标")</f>
        <v>0</v>
      </c>
      <c r="C262" s="24" t="s">
        <v>2079</v>
      </c>
      <c r="D262" s="26" t="s">
        <v>5193</v>
      </c>
      <c r="E262" s="26" t="s">
        <v>5191</v>
      </c>
      <c r="F262" s="113">
        <v>43398</v>
      </c>
      <c r="G262" s="26"/>
      <c r="H262" s="24">
        <f>COUNTIF(Customer[抬头],Customer[[#This Row],[抬头]])</f>
        <v>1</v>
      </c>
    </row>
    <row r="263" spans="1:8" x14ac:dyDescent="0.15">
      <c r="A263" s="24" t="s">
        <v>5155</v>
      </c>
      <c r="B263" s="25">
        <f>IF(OR(Customer[[#This Row],[地标]]="",COUNTIF(Landmark[地标],Customer[[#This Row],[地标]])=1),COUNTIF(Quotation[抬头],Customer[[#This Row],[抬头]]),"地标")</f>
        <v>0</v>
      </c>
      <c r="C263" s="24" t="s">
        <v>2079</v>
      </c>
      <c r="D263" s="26" t="s">
        <v>5194</v>
      </c>
      <c r="E263" s="26" t="s">
        <v>5191</v>
      </c>
      <c r="F263" s="113">
        <v>43398</v>
      </c>
      <c r="G263" s="26"/>
      <c r="H263" s="24">
        <f>COUNTIF(Customer[抬头],Customer[[#This Row],[抬头]])</f>
        <v>1</v>
      </c>
    </row>
    <row r="264" spans="1:8" x14ac:dyDescent="0.15">
      <c r="A264" s="24" t="s">
        <v>5149</v>
      </c>
      <c r="B264" s="25">
        <f>IF(OR(Customer[[#This Row],[地标]]="",COUNTIF(Landmark[地标],Customer[[#This Row],[地标]])=1),COUNTIF(Quotation[抬头],Customer[[#This Row],[抬头]]),"地标")</f>
        <v>0</v>
      </c>
      <c r="C264" s="24" t="s">
        <v>2079</v>
      </c>
      <c r="D264" s="26" t="s">
        <v>5196</v>
      </c>
      <c r="E264" s="26" t="s">
        <v>5191</v>
      </c>
      <c r="F264" s="113">
        <v>43398</v>
      </c>
      <c r="G264" s="26"/>
      <c r="H264" s="24">
        <f>COUNTIF(Customer[抬头],Customer[[#This Row],[抬头]])</f>
        <v>1</v>
      </c>
    </row>
    <row r="265" spans="1:8" x14ac:dyDescent="0.15">
      <c r="A265" s="24" t="s">
        <v>5144</v>
      </c>
      <c r="B265" s="25">
        <f>IF(OR(Customer[[#This Row],[地标]]="",COUNTIF(Landmark[地标],Customer[[#This Row],[地标]])=1),COUNTIF(Quotation[抬头],Customer[[#This Row],[抬头]]),"地标")</f>
        <v>0</v>
      </c>
      <c r="C265" s="24" t="s">
        <v>2079</v>
      </c>
      <c r="D265" s="26" t="s">
        <v>5197</v>
      </c>
      <c r="E265" s="26" t="s">
        <v>5191</v>
      </c>
      <c r="F265" s="113">
        <v>43398</v>
      </c>
      <c r="G265" s="26"/>
      <c r="H265" s="24">
        <f>COUNTIF(Customer[抬头],Customer[[#This Row],[抬头]])</f>
        <v>1</v>
      </c>
    </row>
    <row r="266" spans="1:8" x14ac:dyDescent="0.15">
      <c r="A266" s="24" t="s">
        <v>5139</v>
      </c>
      <c r="B266" s="25">
        <f>IF(OR(Customer[[#This Row],[地标]]="",COUNTIF(Landmark[地标],Customer[[#This Row],[地标]])=1),COUNTIF(Quotation[抬头],Customer[[#This Row],[抬头]]),"地标")</f>
        <v>0</v>
      </c>
      <c r="C266" s="24" t="s">
        <v>2079</v>
      </c>
      <c r="D266" s="26" t="s">
        <v>5198</v>
      </c>
      <c r="E266" s="26" t="s">
        <v>5191</v>
      </c>
      <c r="F266" s="113">
        <v>43398</v>
      </c>
      <c r="G266" s="26"/>
      <c r="H266" s="24">
        <f>COUNTIF(Customer[抬头],Customer[[#This Row],[抬头]])</f>
        <v>1</v>
      </c>
    </row>
    <row r="267" spans="1:8" x14ac:dyDescent="0.15">
      <c r="A267" s="24" t="s">
        <v>5134</v>
      </c>
      <c r="B267" s="25">
        <f>IF(OR(Customer[[#This Row],[地标]]="",COUNTIF(Landmark[地标],Customer[[#This Row],[地标]])=1),COUNTIF(Quotation[抬头],Customer[[#This Row],[抬头]]),"地标")</f>
        <v>0</v>
      </c>
      <c r="C267" s="24" t="s">
        <v>2079</v>
      </c>
      <c r="D267" s="26" t="s">
        <v>5199</v>
      </c>
      <c r="E267" s="26" t="s">
        <v>5191</v>
      </c>
      <c r="F267" s="113">
        <v>43398</v>
      </c>
      <c r="G267" s="26"/>
      <c r="H267" s="24">
        <f>COUNTIF(Customer[抬头],Customer[[#This Row],[抬头]])</f>
        <v>1</v>
      </c>
    </row>
    <row r="268" spans="1:8" x14ac:dyDescent="0.15">
      <c r="A268" s="24" t="s">
        <v>5120</v>
      </c>
      <c r="B268" s="25">
        <f>IF(OR(Customer[[#This Row],[地标]]="",COUNTIF(Landmark[地标],Customer[[#This Row],[地标]])=1),COUNTIF(Quotation[抬头],Customer[[#This Row],[抬头]]),"地标")</f>
        <v>0</v>
      </c>
      <c r="C268" s="24" t="s">
        <v>2079</v>
      </c>
      <c r="D268" s="26" t="s">
        <v>5200</v>
      </c>
      <c r="E268" s="26" t="s">
        <v>5191</v>
      </c>
      <c r="F268" s="113">
        <v>43398</v>
      </c>
      <c r="G268" s="26"/>
      <c r="H268" s="24">
        <f>COUNTIF(Customer[抬头],Customer[[#This Row],[抬头]])</f>
        <v>1</v>
      </c>
    </row>
    <row r="269" spans="1:8" x14ac:dyDescent="0.15">
      <c r="A269" s="24" t="s">
        <v>5114</v>
      </c>
      <c r="B269" s="25">
        <f>IF(OR(Customer[[#This Row],[地标]]="",COUNTIF(Landmark[地标],Customer[[#This Row],[地标]])=1),COUNTIF(Quotation[抬头],Customer[[#This Row],[抬头]]),"地标")</f>
        <v>0</v>
      </c>
      <c r="C269" s="24" t="s">
        <v>5201</v>
      </c>
      <c r="D269" s="26" t="s">
        <v>5202</v>
      </c>
      <c r="E269" s="26" t="s">
        <v>5191</v>
      </c>
      <c r="F269" s="113">
        <v>43398</v>
      </c>
      <c r="G269" s="26"/>
      <c r="H269" s="24">
        <f>COUNTIF(Customer[抬头],Customer[[#This Row],[抬头]])</f>
        <v>1</v>
      </c>
    </row>
    <row r="270" spans="1:8" x14ac:dyDescent="0.15">
      <c r="A270" s="24" t="s">
        <v>5104</v>
      </c>
      <c r="B270" s="25">
        <f>IF(OR(Customer[[#This Row],[地标]]="",COUNTIF(Landmark[地标],Customer[[#This Row],[地标]])=1),COUNTIF(Quotation[抬头],Customer[[#This Row],[抬头]]),"地标")</f>
        <v>0</v>
      </c>
      <c r="C270" s="24" t="s">
        <v>2079</v>
      </c>
      <c r="D270" s="26" t="s">
        <v>5203</v>
      </c>
      <c r="E270" s="26" t="s">
        <v>5191</v>
      </c>
      <c r="F270" s="113">
        <v>43398</v>
      </c>
      <c r="G270" s="26"/>
      <c r="H270" s="24">
        <f>COUNTIF(Customer[抬头],Customer[[#This Row],[抬头]])</f>
        <v>1</v>
      </c>
    </row>
    <row r="271" spans="1:8" x14ac:dyDescent="0.15">
      <c r="A271" s="24" t="s">
        <v>5101</v>
      </c>
      <c r="B271" s="25">
        <f>IF(OR(Customer[[#This Row],[地标]]="",COUNTIF(Landmark[地标],Customer[[#This Row],[地标]])=1),COUNTIF(Quotation[抬头],Customer[[#This Row],[抬头]]),"地标")</f>
        <v>0</v>
      </c>
      <c r="C271" s="24" t="s">
        <v>5201</v>
      </c>
      <c r="D271" s="26" t="s">
        <v>5204</v>
      </c>
      <c r="E271" s="26" t="s">
        <v>5191</v>
      </c>
      <c r="F271" s="113">
        <v>43398</v>
      </c>
      <c r="G271" s="26"/>
      <c r="H271" s="24">
        <f>COUNTIF(Customer[抬头],Customer[[#This Row],[抬头]])</f>
        <v>1</v>
      </c>
    </row>
    <row r="272" spans="1:8" x14ac:dyDescent="0.15">
      <c r="A272" s="24" t="s">
        <v>5205</v>
      </c>
      <c r="B272" s="25">
        <f>IF(OR(Customer[[#This Row],[地标]]="",COUNTIF(Landmark[地标],Customer[[#This Row],[地标]])=1),COUNTIF(Quotation[抬头],Customer[[#This Row],[抬头]]),"地标")</f>
        <v>0</v>
      </c>
      <c r="C272" s="24" t="s">
        <v>5201</v>
      </c>
      <c r="D272" s="26" t="s">
        <v>5206</v>
      </c>
      <c r="E272" s="26" t="s">
        <v>5191</v>
      </c>
      <c r="F272" s="113">
        <v>43398</v>
      </c>
      <c r="G272" s="26"/>
      <c r="H272" s="24">
        <f>COUNTIF(Customer[抬头],Customer[[#This Row],[抬头]])</f>
        <v>1</v>
      </c>
    </row>
    <row r="273" spans="1:8" x14ac:dyDescent="0.15">
      <c r="A273" s="24" t="s">
        <v>5098</v>
      </c>
      <c r="B273" s="25">
        <f>IF(OR(Customer[[#This Row],[地标]]="",COUNTIF(Landmark[地标],Customer[[#This Row],[地标]])=1),COUNTIF(Quotation[抬头],Customer[[#This Row],[抬头]]),"地标")</f>
        <v>0</v>
      </c>
      <c r="C273" s="24" t="s">
        <v>5207</v>
      </c>
      <c r="D273" s="26" t="s">
        <v>5208</v>
      </c>
      <c r="E273" s="26" t="s">
        <v>5191</v>
      </c>
      <c r="F273" s="113">
        <v>43398</v>
      </c>
      <c r="G273" s="26"/>
      <c r="H273" s="24">
        <f>COUNTIF(Customer[抬头],Customer[[#This Row],[抬头]])</f>
        <v>1</v>
      </c>
    </row>
    <row r="274" spans="1:8" x14ac:dyDescent="0.15">
      <c r="A274" s="24" t="s">
        <v>5093</v>
      </c>
      <c r="B274" s="25">
        <f>IF(OR(Customer[[#This Row],[地标]]="",COUNTIF(Landmark[地标],Customer[[#This Row],[地标]])=1),COUNTIF(Quotation[抬头],Customer[[#This Row],[抬头]]),"地标")</f>
        <v>0</v>
      </c>
      <c r="C274" s="24" t="s">
        <v>5207</v>
      </c>
      <c r="D274" s="26" t="s">
        <v>5209</v>
      </c>
      <c r="E274" s="26" t="s">
        <v>5191</v>
      </c>
      <c r="F274" s="113">
        <v>43398</v>
      </c>
      <c r="G274" s="26"/>
      <c r="H274" s="24">
        <f>COUNTIF(Customer[抬头],Customer[[#This Row],[抬头]])</f>
        <v>1</v>
      </c>
    </row>
    <row r="275" spans="1:8" x14ac:dyDescent="0.15">
      <c r="A275" s="24" t="s">
        <v>5089</v>
      </c>
      <c r="B275" s="25">
        <f>IF(OR(Customer[[#This Row],[地标]]="",COUNTIF(Landmark[地标],Customer[[#This Row],[地标]])=1),COUNTIF(Quotation[抬头],Customer[[#This Row],[抬头]]),"地标")</f>
        <v>0</v>
      </c>
      <c r="C275" s="24" t="s">
        <v>5207</v>
      </c>
      <c r="D275" s="26" t="s">
        <v>5211</v>
      </c>
      <c r="E275" s="26" t="s">
        <v>5191</v>
      </c>
      <c r="F275" s="113">
        <v>43398</v>
      </c>
      <c r="G275" s="26" t="s">
        <v>5212</v>
      </c>
      <c r="H275" s="24">
        <f>COUNTIF(Customer[抬头],Customer[[#This Row],[抬头]])</f>
        <v>1</v>
      </c>
    </row>
    <row r="276" spans="1:8" x14ac:dyDescent="0.15">
      <c r="A276" s="24" t="s">
        <v>5213</v>
      </c>
      <c r="B276" s="25">
        <f>IF(OR(Customer[[#This Row],[地标]]="",COUNTIF(Landmark[地标],Customer[[#This Row],[地标]])=1),COUNTIF(Quotation[抬头],Customer[[#This Row],[抬头]]),"地标")</f>
        <v>0</v>
      </c>
      <c r="C276" s="24" t="s">
        <v>5207</v>
      </c>
      <c r="D276" s="26" t="s">
        <v>5214</v>
      </c>
      <c r="E276" s="26" t="s">
        <v>5191</v>
      </c>
      <c r="F276" s="113">
        <v>43398</v>
      </c>
      <c r="G276" s="26" t="s">
        <v>5215</v>
      </c>
      <c r="H276" s="24">
        <f>COUNTIF(Customer[抬头],Customer[[#This Row],[抬头]])</f>
        <v>1</v>
      </c>
    </row>
    <row r="277" spans="1:8" x14ac:dyDescent="0.15">
      <c r="A277" s="24" t="s">
        <v>5216</v>
      </c>
      <c r="B277" s="25">
        <f>IF(OR(Customer[[#This Row],[地标]]="",COUNTIF(Landmark[地标],Customer[[#This Row],[地标]])=1),COUNTIF(Quotation[抬头],Customer[[#This Row],[抬头]]),"地标")</f>
        <v>0</v>
      </c>
      <c r="C277" s="24" t="s">
        <v>5207</v>
      </c>
      <c r="D277" s="26" t="s">
        <v>5217</v>
      </c>
      <c r="E277" s="26" t="s">
        <v>5191</v>
      </c>
      <c r="F277" s="113">
        <v>43398</v>
      </c>
      <c r="G277" s="26"/>
      <c r="H277" s="24">
        <f>COUNTIF(Customer[抬头],Customer[[#This Row],[抬头]])</f>
        <v>1</v>
      </c>
    </row>
    <row r="278" spans="1:8" x14ac:dyDescent="0.15">
      <c r="A278" s="24" t="s">
        <v>5218</v>
      </c>
      <c r="B278" s="25">
        <f>IF(OR(Customer[[#This Row],[地标]]="",COUNTIF(Landmark[地标],Customer[[#This Row],[地标]])=1),COUNTIF(Quotation[抬头],Customer[[#This Row],[抬头]]),"地标")</f>
        <v>0</v>
      </c>
      <c r="C278" s="24" t="s">
        <v>5222</v>
      </c>
      <c r="D278" s="26" t="s">
        <v>5223</v>
      </c>
      <c r="E278" s="26" t="s">
        <v>5191</v>
      </c>
      <c r="F278" s="113">
        <v>43398</v>
      </c>
      <c r="G278" s="26" t="s">
        <v>5219</v>
      </c>
      <c r="H278" s="24">
        <f>COUNTIF(Customer[抬头],Customer[[#This Row],[抬头]])</f>
        <v>1</v>
      </c>
    </row>
    <row r="279" spans="1:8" ht="28.5" x14ac:dyDescent="0.15">
      <c r="A279" s="24" t="s">
        <v>5065</v>
      </c>
      <c r="B279" s="25">
        <f>IF(OR(Customer[[#This Row],[地标]]="",COUNTIF(Landmark[地标],Customer[[#This Row],[地标]])=1),COUNTIF(Quotation[抬头],Customer[[#This Row],[抬头]]),"地标")</f>
        <v>0</v>
      </c>
      <c r="C279" s="24" t="s">
        <v>5201</v>
      </c>
      <c r="D279" s="26" t="s">
        <v>5228</v>
      </c>
      <c r="E279" s="26" t="s">
        <v>5191</v>
      </c>
      <c r="F279" s="113">
        <v>43398</v>
      </c>
      <c r="G279" s="26" t="s">
        <v>5220</v>
      </c>
      <c r="H279" s="24">
        <f>COUNTIF(Customer[抬头],Customer[[#This Row],[抬头]])</f>
        <v>1</v>
      </c>
    </row>
    <row r="280" spans="1:8" ht="28.5" x14ac:dyDescent="0.15">
      <c r="A280" s="24" t="s">
        <v>5059</v>
      </c>
      <c r="B280" s="25">
        <f>IF(OR(Customer[[#This Row],[地标]]="",COUNTIF(Landmark[地标],Customer[[#This Row],[地标]])=1),COUNTIF(Quotation[抬头],Customer[[#This Row],[抬头]]),"地标")</f>
        <v>0</v>
      </c>
      <c r="C280" s="24" t="s">
        <v>2079</v>
      </c>
      <c r="D280" s="26" t="s">
        <v>5224</v>
      </c>
      <c r="E280" s="26" t="s">
        <v>5191</v>
      </c>
      <c r="F280" s="113">
        <v>43398</v>
      </c>
      <c r="G280" s="26" t="s">
        <v>5221</v>
      </c>
      <c r="H280" s="24">
        <f>COUNTIF(Customer[抬头],Customer[[#This Row],[抬头]])</f>
        <v>1</v>
      </c>
    </row>
    <row r="281" spans="1:8" ht="28.5" x14ac:dyDescent="0.15">
      <c r="A281" s="24" t="s">
        <v>5054</v>
      </c>
      <c r="B281" s="25">
        <f>IF(OR(Customer[[#This Row],[地标]]="",COUNTIF(Landmark[地标],Customer[[#This Row],[地标]])=1),COUNTIF(Quotation[抬头],Customer[[#This Row],[抬头]]),"地标")</f>
        <v>0</v>
      </c>
      <c r="C281" s="24" t="s">
        <v>2079</v>
      </c>
      <c r="D281" s="26" t="s">
        <v>5225</v>
      </c>
      <c r="E281" s="26" t="s">
        <v>5191</v>
      </c>
      <c r="F281" s="113">
        <v>43398</v>
      </c>
      <c r="G281" s="26" t="s">
        <v>5226</v>
      </c>
      <c r="H281" s="24">
        <f>COUNTIF(Customer[抬头],Customer[[#This Row],[抬头]])</f>
        <v>1</v>
      </c>
    </row>
    <row r="282" spans="1:8" x14ac:dyDescent="0.15">
      <c r="A282" s="24" t="s">
        <v>5047</v>
      </c>
      <c r="B282" s="25">
        <f>IF(OR(Customer[[#This Row],[地标]]="",COUNTIF(Landmark[地标],Customer[[#This Row],[地标]])=1),COUNTIF(Quotation[抬头],Customer[[#This Row],[抬头]]),"地标")</f>
        <v>0</v>
      </c>
      <c r="C282" s="24" t="s">
        <v>2079</v>
      </c>
      <c r="D282" s="26" t="s">
        <v>5227</v>
      </c>
      <c r="E282" s="26" t="s">
        <v>5191</v>
      </c>
      <c r="F282" s="113">
        <v>43398</v>
      </c>
      <c r="G282" s="26"/>
      <c r="H282" s="24">
        <f>COUNTIF(Customer[抬头],Customer[[#This Row],[抬头]])</f>
        <v>1</v>
      </c>
    </row>
    <row r="283" spans="1:8" x14ac:dyDescent="0.15">
      <c r="A283" s="24" t="s">
        <v>5278</v>
      </c>
      <c r="B283" s="25">
        <f>IF(OR(Customer[[#This Row],[地标]]="",COUNTIF(Landmark[地标],Customer[[#This Row],[地标]])=1),COUNTIF(Quotation[抬头],Customer[[#This Row],[抬头]]),"地标")</f>
        <v>0</v>
      </c>
      <c r="C283" s="24" t="s">
        <v>5284</v>
      </c>
      <c r="D283" s="26" t="s">
        <v>5290</v>
      </c>
      <c r="E283" s="26" t="s">
        <v>692</v>
      </c>
      <c r="F283" s="113">
        <v>43403</v>
      </c>
      <c r="G283" s="26" t="s">
        <v>5285</v>
      </c>
      <c r="H283" s="24">
        <f>COUNTIF(Customer[抬头],Customer[[#This Row],[抬头]])</f>
        <v>1</v>
      </c>
    </row>
    <row r="284" spans="1:8" ht="28.5" x14ac:dyDescent="0.15">
      <c r="A284" s="24" t="s">
        <v>5276</v>
      </c>
      <c r="B284" s="25">
        <f>IF(OR(Customer[[#This Row],[地标]]="",COUNTIF(Landmark[地标],Customer[[#This Row],[地标]])=1),COUNTIF(Quotation[抬头],Customer[[#This Row],[抬头]]),"地标")</f>
        <v>0</v>
      </c>
      <c r="C284" s="24" t="s">
        <v>5287</v>
      </c>
      <c r="D284" s="26" t="s">
        <v>5307</v>
      </c>
      <c r="E284" s="26" t="s">
        <v>692</v>
      </c>
      <c r="F284" s="113">
        <v>43403</v>
      </c>
      <c r="G284" s="26" t="s">
        <v>5288</v>
      </c>
      <c r="H284" s="24">
        <f>COUNTIF(Customer[抬头],Customer[[#This Row],[抬头]])</f>
        <v>1</v>
      </c>
    </row>
    <row r="285" spans="1:8" x14ac:dyDescent="0.15">
      <c r="A285" s="24" t="s">
        <v>5270</v>
      </c>
      <c r="B285" s="25">
        <f>IF(OR(Customer[[#This Row],[地标]]="",COUNTIF(Landmark[地标],Customer[[#This Row],[地标]])=1),COUNTIF(Quotation[抬头],Customer[[#This Row],[抬头]]),"地标")</f>
        <v>0</v>
      </c>
      <c r="C285" s="24" t="s">
        <v>5284</v>
      </c>
      <c r="D285" s="26" t="s">
        <v>5289</v>
      </c>
      <c r="E285" s="26" t="s">
        <v>692</v>
      </c>
      <c r="F285" s="113">
        <v>43403</v>
      </c>
      <c r="G285" s="26"/>
      <c r="H285" s="24">
        <f>COUNTIF(Customer[抬头],Customer[[#This Row],[抬头]])</f>
        <v>1</v>
      </c>
    </row>
    <row r="286" spans="1:8" x14ac:dyDescent="0.15">
      <c r="A286" s="24" t="s">
        <v>5291</v>
      </c>
      <c r="B286" s="25">
        <f>IF(OR(Customer[[#This Row],[地标]]="",COUNTIF(Landmark[地标],Customer[[#This Row],[地标]])=1),COUNTIF(Quotation[抬头],Customer[[#This Row],[抬头]]),"地标")</f>
        <v>0</v>
      </c>
      <c r="C286" s="24"/>
      <c r="D286" s="26"/>
      <c r="E286" s="26" t="s">
        <v>692</v>
      </c>
      <c r="F286" s="113">
        <v>43403</v>
      </c>
      <c r="G286" s="26" t="s">
        <v>5292</v>
      </c>
      <c r="H286" s="24">
        <f>COUNTIF(Customer[抬头],Customer[[#This Row],[抬头]])</f>
        <v>1</v>
      </c>
    </row>
    <row r="287" spans="1:8" x14ac:dyDescent="0.15">
      <c r="A287" s="24" t="s">
        <v>5265</v>
      </c>
      <c r="B287" s="25">
        <f>IF(OR(Customer[[#This Row],[地标]]="",COUNTIF(Landmark[地标],Customer[[#This Row],[地标]])=1),COUNTIF(Quotation[抬头],Customer[[#This Row],[抬头]]),"地标")</f>
        <v>0</v>
      </c>
      <c r="C287" s="24" t="s">
        <v>5293</v>
      </c>
      <c r="D287" s="26" t="s">
        <v>5294</v>
      </c>
      <c r="E287" s="26" t="s">
        <v>692</v>
      </c>
      <c r="F287" s="113">
        <v>43403</v>
      </c>
      <c r="G287" s="26" t="s">
        <v>5295</v>
      </c>
      <c r="H287" s="24">
        <f>COUNTIF(Customer[抬头],Customer[[#This Row],[抬头]])</f>
        <v>1</v>
      </c>
    </row>
    <row r="288" spans="1:8" x14ac:dyDescent="0.15">
      <c r="A288" s="24" t="s">
        <v>5259</v>
      </c>
      <c r="B288" s="25">
        <f>IF(OR(Customer[[#This Row],[地标]]="",COUNTIF(Landmark[地标],Customer[[#This Row],[地标]])=1),COUNTIF(Quotation[抬头],Customer[[#This Row],[抬头]]),"地标")</f>
        <v>0</v>
      </c>
      <c r="C288" s="24" t="s">
        <v>5293</v>
      </c>
      <c r="D288" s="26" t="s">
        <v>5294</v>
      </c>
      <c r="E288" s="26" t="s">
        <v>692</v>
      </c>
      <c r="F288" s="113">
        <v>43403</v>
      </c>
      <c r="G288" s="26" t="s">
        <v>5296</v>
      </c>
      <c r="H288" s="24">
        <f>COUNTIF(Customer[抬头],Customer[[#This Row],[抬头]])</f>
        <v>1</v>
      </c>
    </row>
    <row r="289" spans="1:8" x14ac:dyDescent="0.15">
      <c r="A289" s="24" t="s">
        <v>5253</v>
      </c>
      <c r="B289" s="25">
        <f>IF(OR(Customer[[#This Row],[地标]]="",COUNTIF(Landmark[地标],Customer[[#This Row],[地标]])=1),COUNTIF(Quotation[抬头],Customer[[#This Row],[抬头]]),"地标")</f>
        <v>0</v>
      </c>
      <c r="C289" s="24" t="s">
        <v>5293</v>
      </c>
      <c r="D289" s="26" t="s">
        <v>5297</v>
      </c>
      <c r="E289" s="26" t="s">
        <v>692</v>
      </c>
      <c r="F289" s="113">
        <v>43403</v>
      </c>
      <c r="G289" s="26"/>
      <c r="H289" s="24">
        <f>COUNTIF(Customer[抬头],Customer[[#This Row],[抬头]])</f>
        <v>1</v>
      </c>
    </row>
    <row r="290" spans="1:8" x14ac:dyDescent="0.15">
      <c r="A290" s="24" t="s">
        <v>5298</v>
      </c>
      <c r="B290" s="25">
        <f>IF(OR(Customer[[#This Row],[地标]]="",COUNTIF(Landmark[地标],Customer[[#This Row],[地标]])=1),COUNTIF(Quotation[抬头],Customer[[#This Row],[抬头]]),"地标")</f>
        <v>0</v>
      </c>
      <c r="C290" s="24" t="s">
        <v>5300</v>
      </c>
      <c r="D290" s="26" t="s">
        <v>5301</v>
      </c>
      <c r="E290" s="26" t="s">
        <v>692</v>
      </c>
      <c r="F290" s="113">
        <v>43403</v>
      </c>
      <c r="G290" s="26" t="s">
        <v>5302</v>
      </c>
      <c r="H290" s="24">
        <f>COUNTIF(Customer[抬头],Customer[[#This Row],[抬头]])</f>
        <v>1</v>
      </c>
    </row>
    <row r="291" spans="1:8" x14ac:dyDescent="0.15">
      <c r="A291" s="24" t="s">
        <v>5241</v>
      </c>
      <c r="B291" s="25">
        <f>IF(OR(Customer[[#This Row],[地标]]="",COUNTIF(Landmark[地标],Customer[[#This Row],[地标]])=1),COUNTIF(Quotation[抬头],Customer[[#This Row],[抬头]]),"地标")</f>
        <v>0</v>
      </c>
      <c r="C291" s="24" t="s">
        <v>5287</v>
      </c>
      <c r="D291" s="26" t="s">
        <v>5303</v>
      </c>
      <c r="E291" s="26" t="s">
        <v>692</v>
      </c>
      <c r="F291" s="113">
        <v>43403</v>
      </c>
      <c r="G291" s="26" t="s">
        <v>5304</v>
      </c>
      <c r="H291" s="24">
        <f>COUNTIF(Customer[抬头],Customer[[#This Row],[抬头]])</f>
        <v>1</v>
      </c>
    </row>
    <row r="292" spans="1:8" x14ac:dyDescent="0.15">
      <c r="A292" s="24" t="s">
        <v>5235</v>
      </c>
      <c r="B292" s="25">
        <f>IF(OR(Customer[[#This Row],[地标]]="",COUNTIF(Landmark[地标],Customer[[#This Row],[地标]])=1),COUNTIF(Quotation[抬头],Customer[[#This Row],[抬头]]),"地标")</f>
        <v>0</v>
      </c>
      <c r="C292" s="24" t="s">
        <v>5287</v>
      </c>
      <c r="D292" s="26" t="s">
        <v>5305</v>
      </c>
      <c r="E292" s="26" t="s">
        <v>692</v>
      </c>
      <c r="F292" s="113">
        <v>43403</v>
      </c>
      <c r="G292" s="26" t="s">
        <v>5306</v>
      </c>
      <c r="H292" s="24">
        <f>COUNTIF(Customer[抬头],Customer[[#This Row],[抬头]])</f>
        <v>1</v>
      </c>
    </row>
    <row r="293" spans="1:8" ht="28.5" x14ac:dyDescent="0.15">
      <c r="A293" s="24" t="s">
        <v>5368</v>
      </c>
      <c r="B293" s="25">
        <f>IF(OR(Customer[[#This Row],[地标]]="",COUNTIF(Landmark[地标],Customer[[#This Row],[地标]])=1),COUNTIF(Quotation[抬头],Customer[[#This Row],[抬头]]),"地标")</f>
        <v>0</v>
      </c>
      <c r="C293" s="24" t="s">
        <v>737</v>
      </c>
      <c r="D293" s="26" t="s">
        <v>5375</v>
      </c>
      <c r="E293" s="26" t="s">
        <v>5376</v>
      </c>
      <c r="F293" s="113">
        <v>43405</v>
      </c>
      <c r="G293" s="26" t="s">
        <v>5377</v>
      </c>
      <c r="H293" s="24">
        <f>COUNTIF(Customer[抬头],Customer[[#This Row],[抬头]])</f>
        <v>1</v>
      </c>
    </row>
    <row r="294" spans="1:8" x14ac:dyDescent="0.15">
      <c r="A294" s="24" t="s">
        <v>5403</v>
      </c>
      <c r="B294" s="25">
        <f>IF(OR(Customer[[#This Row],[地标]]="",COUNTIF(Landmark[地标],Customer[[#This Row],[地标]])=1),COUNTIF(Quotation[抬头],Customer[[#This Row],[抬头]]),"地标")</f>
        <v>0</v>
      </c>
      <c r="C294" s="24" t="s">
        <v>737</v>
      </c>
      <c r="D294" s="26" t="s">
        <v>5409</v>
      </c>
      <c r="E294" s="26" t="s">
        <v>5376</v>
      </c>
      <c r="F294" s="113">
        <v>43405</v>
      </c>
      <c r="G294" s="26" t="s">
        <v>5410</v>
      </c>
      <c r="H294" s="24">
        <f>COUNTIF(Customer[抬头],Customer[[#This Row],[抬头]])</f>
        <v>1</v>
      </c>
    </row>
    <row r="295" spans="1:8" x14ac:dyDescent="0.15">
      <c r="A295" s="24" t="s">
        <v>5393</v>
      </c>
      <c r="B295" s="25">
        <f>IF(OR(Customer[[#This Row],[地标]]="",COUNTIF(Landmark[地标],Customer[[#This Row],[地标]])=1),COUNTIF(Quotation[抬头],Customer[[#This Row],[抬头]]),"地标")</f>
        <v>0</v>
      </c>
      <c r="C295" s="24" t="s">
        <v>737</v>
      </c>
      <c r="D295" s="26" t="s">
        <v>5413</v>
      </c>
      <c r="E295" s="26" t="s">
        <v>5376</v>
      </c>
      <c r="F295" s="113">
        <v>43405</v>
      </c>
      <c r="G295" s="26" t="s">
        <v>5414</v>
      </c>
      <c r="H295" s="24">
        <f>COUNTIF(Customer[抬头],Customer[[#This Row],[抬头]])</f>
        <v>1</v>
      </c>
    </row>
    <row r="296" spans="1:8" ht="28.5" x14ac:dyDescent="0.15">
      <c r="A296" s="24" t="s">
        <v>5363</v>
      </c>
      <c r="B296" s="25">
        <f>IF(OR(Customer[[#This Row],[地标]]="",COUNTIF(Landmark[地标],Customer[[#This Row],[地标]])=1),COUNTIF(Quotation[抬头],Customer[[#This Row],[抬头]]),"地标")</f>
        <v>0</v>
      </c>
      <c r="C296" s="24" t="s">
        <v>737</v>
      </c>
      <c r="D296" s="26" t="s">
        <v>5415</v>
      </c>
      <c r="E296" s="26" t="s">
        <v>5376</v>
      </c>
      <c r="F296" s="113">
        <v>43405</v>
      </c>
      <c r="G296" s="26" t="s">
        <v>5423</v>
      </c>
      <c r="H296" s="24">
        <f>COUNTIF(Customer[抬头],Customer[[#This Row],[抬头]])</f>
        <v>1</v>
      </c>
    </row>
    <row r="297" spans="1:8" x14ac:dyDescent="0.15">
      <c r="A297" s="24" t="s">
        <v>5385</v>
      </c>
      <c r="B297" s="25">
        <f>IF(OR(Customer[[#This Row],[地标]]="",COUNTIF(Landmark[地标],Customer[[#This Row],[地标]])=1),COUNTIF(Quotation[抬头],Customer[[#This Row],[抬头]]),"地标")</f>
        <v>0</v>
      </c>
      <c r="C297" s="24" t="s">
        <v>737</v>
      </c>
      <c r="D297" s="26" t="s">
        <v>5416</v>
      </c>
      <c r="E297" s="26" t="s">
        <v>5376</v>
      </c>
      <c r="F297" s="113">
        <v>43405</v>
      </c>
      <c r="G297" s="26"/>
      <c r="H297" s="24">
        <f>COUNTIF(Customer[抬头],Customer[[#This Row],[抬头]])</f>
        <v>1</v>
      </c>
    </row>
    <row r="298" spans="1:8" ht="28.5" x14ac:dyDescent="0.15">
      <c r="A298" s="24" t="s">
        <v>5380</v>
      </c>
      <c r="B298" s="25">
        <f>IF(OR(Customer[[#This Row],[地标]]="",COUNTIF(Landmark[地标],Customer[[#This Row],[地标]])=1),COUNTIF(Quotation[抬头],Customer[[#This Row],[抬头]]),"地标")</f>
        <v>0</v>
      </c>
      <c r="C298" s="24" t="s">
        <v>737</v>
      </c>
      <c r="D298" s="26" t="s">
        <v>5418</v>
      </c>
      <c r="E298" s="26" t="s">
        <v>5376</v>
      </c>
      <c r="F298" s="113">
        <v>43405</v>
      </c>
      <c r="G298" s="26" t="s">
        <v>5419</v>
      </c>
      <c r="H298" s="24">
        <f>COUNTIF(Customer[抬头],Customer[[#This Row],[抬头]])</f>
        <v>1</v>
      </c>
    </row>
    <row r="299" spans="1:8" x14ac:dyDescent="0.15">
      <c r="A299" s="24" t="s">
        <v>5420</v>
      </c>
      <c r="B299" s="25">
        <f>IF(OR(Customer[[#This Row],[地标]]="",COUNTIF(Landmark[地标],Customer[[#This Row],[地标]])=1),COUNTIF(Quotation[抬头],Customer[[#This Row],[抬头]]),"地标")</f>
        <v>0</v>
      </c>
      <c r="C299" s="24" t="s">
        <v>737</v>
      </c>
      <c r="D299" s="26" t="s">
        <v>5421</v>
      </c>
      <c r="E299" s="26" t="s">
        <v>5376</v>
      </c>
      <c r="F299" s="113">
        <v>43405</v>
      </c>
      <c r="G299" s="26" t="s">
        <v>5422</v>
      </c>
      <c r="H299" s="24">
        <f>COUNTIF(Customer[抬头],Customer[[#This Row],[抬头]])</f>
        <v>1</v>
      </c>
    </row>
    <row r="300" spans="1:8" ht="28.5" x14ac:dyDescent="0.15">
      <c r="A300" s="24" t="s">
        <v>5357</v>
      </c>
      <c r="B300" s="25">
        <f>IF(OR(Customer[[#This Row],[地标]]="",COUNTIF(Landmark[地标],Customer[[#This Row],[地标]])=1),COUNTIF(Quotation[抬头],Customer[[#This Row],[抬头]]),"地标")</f>
        <v>0</v>
      </c>
      <c r="C300" s="24" t="s">
        <v>5424</v>
      </c>
      <c r="D300" s="26" t="s">
        <v>5425</v>
      </c>
      <c r="E300" s="26" t="s">
        <v>5376</v>
      </c>
      <c r="F300" s="113">
        <v>43404</v>
      </c>
      <c r="G300" s="26" t="s">
        <v>5426</v>
      </c>
      <c r="H300" s="24">
        <f>COUNTIF(Customer[抬头],Customer[[#This Row],[抬头]])</f>
        <v>1</v>
      </c>
    </row>
    <row r="301" spans="1:8" x14ac:dyDescent="0.15">
      <c r="A301" s="24" t="s">
        <v>5353</v>
      </c>
      <c r="B301" s="25">
        <f>IF(OR(Customer[[#This Row],[地标]]="",COUNTIF(Landmark[地标],Customer[[#This Row],[地标]])=1),COUNTIF(Quotation[抬头],Customer[[#This Row],[抬头]]),"地标")</f>
        <v>0</v>
      </c>
      <c r="C301" s="24" t="s">
        <v>735</v>
      </c>
      <c r="D301" s="26" t="s">
        <v>5427</v>
      </c>
      <c r="E301" s="26" t="s">
        <v>5376</v>
      </c>
      <c r="F301" s="113">
        <v>43405</v>
      </c>
      <c r="G301" s="26"/>
      <c r="H301" s="24">
        <f>COUNTIF(Customer[抬头],Customer[[#This Row],[抬头]])</f>
        <v>1</v>
      </c>
    </row>
    <row r="302" spans="1:8" x14ac:dyDescent="0.15">
      <c r="A302" s="24" t="s">
        <v>5349</v>
      </c>
      <c r="B302" s="25">
        <f>IF(OR(Customer[[#This Row],[地标]]="",COUNTIF(Landmark[地标],Customer[[#This Row],[地标]])=1),COUNTIF(Quotation[抬头],Customer[[#This Row],[抬头]]),"地标")</f>
        <v>0</v>
      </c>
      <c r="C302" s="24" t="s">
        <v>735</v>
      </c>
      <c r="D302" s="26" t="s">
        <v>5428</v>
      </c>
      <c r="E302" s="26" t="s">
        <v>5376</v>
      </c>
      <c r="F302" s="113">
        <v>43405</v>
      </c>
      <c r="G302" s="26"/>
      <c r="H302" s="24">
        <f>COUNTIF(Customer[抬头],Customer[[#This Row],[抬头]])</f>
        <v>1</v>
      </c>
    </row>
    <row r="303" spans="1:8" x14ac:dyDescent="0.15">
      <c r="A303" s="24" t="s">
        <v>5342</v>
      </c>
      <c r="B303" s="25">
        <f>IF(OR(Customer[[#This Row],[地标]]="",COUNTIF(Landmark[地标],Customer[[#This Row],[地标]])=1),COUNTIF(Quotation[抬头],Customer[[#This Row],[抬头]]),"地标")</f>
        <v>0</v>
      </c>
      <c r="C303" s="24" t="s">
        <v>735</v>
      </c>
      <c r="D303" s="26" t="s">
        <v>5429</v>
      </c>
      <c r="E303" s="26" t="s">
        <v>5376</v>
      </c>
      <c r="F303" s="113">
        <v>43405</v>
      </c>
      <c r="G303" s="26"/>
      <c r="H303" s="24">
        <f>COUNTIF(Customer[抬头],Customer[[#This Row],[抬头]])</f>
        <v>1</v>
      </c>
    </row>
    <row r="304" spans="1:8" x14ac:dyDescent="0.15">
      <c r="A304" s="24" t="s">
        <v>5335</v>
      </c>
      <c r="B304" s="25">
        <f>IF(OR(Customer[[#This Row],[地标]]="",COUNTIF(Landmark[地标],Customer[[#This Row],[地标]])=1),COUNTIF(Quotation[抬头],Customer[[#This Row],[抬头]]),"地标")</f>
        <v>0</v>
      </c>
      <c r="C304" s="24" t="s">
        <v>5430</v>
      </c>
      <c r="D304" s="26" t="s">
        <v>5432</v>
      </c>
      <c r="E304" s="26" t="s">
        <v>5376</v>
      </c>
      <c r="F304" s="113">
        <v>43405</v>
      </c>
      <c r="G304" s="26"/>
      <c r="H304" s="24">
        <f>COUNTIF(Customer[抬头],Customer[[#This Row],[抬头]])</f>
        <v>1</v>
      </c>
    </row>
    <row r="305" spans="1:8" ht="28.5" x14ac:dyDescent="0.15">
      <c r="A305" s="24" t="s">
        <v>5433</v>
      </c>
      <c r="B305" s="25">
        <f>IF(OR(Customer[[#This Row],[地标]]="",COUNTIF(Landmark[地标],Customer[[#This Row],[地标]])=1),COUNTIF(Quotation[抬头],Customer[[#This Row],[抬头]]),"地标")</f>
        <v>0</v>
      </c>
      <c r="C305" s="24" t="s">
        <v>5430</v>
      </c>
      <c r="D305" s="26" t="s">
        <v>5434</v>
      </c>
      <c r="E305" s="26" t="s">
        <v>5376</v>
      </c>
      <c r="F305" s="113">
        <v>43405</v>
      </c>
      <c r="G305" s="26" t="s">
        <v>5435</v>
      </c>
      <c r="H305" s="24">
        <f>COUNTIF(Customer[抬头],Customer[[#This Row],[抬头]])</f>
        <v>1</v>
      </c>
    </row>
    <row r="306" spans="1:8" x14ac:dyDescent="0.15">
      <c r="A306" s="24" t="s">
        <v>5327</v>
      </c>
      <c r="B306" s="25">
        <f>IF(OR(Customer[[#This Row],[地标]]="",COUNTIF(Landmark[地标],Customer[[#This Row],[地标]])=1),COUNTIF(Quotation[抬头],Customer[[#This Row],[抬头]]),"地标")</f>
        <v>0</v>
      </c>
      <c r="C306" s="24" t="s">
        <v>5430</v>
      </c>
      <c r="D306" s="26" t="s">
        <v>5436</v>
      </c>
      <c r="E306" s="26" t="s">
        <v>5376</v>
      </c>
      <c r="F306" s="113">
        <v>43405</v>
      </c>
      <c r="G306" s="26"/>
      <c r="H306" s="24">
        <f>COUNTIF(Customer[抬头],Customer[[#This Row],[抬头]])</f>
        <v>1</v>
      </c>
    </row>
    <row r="307" spans="1:8" x14ac:dyDescent="0.15">
      <c r="A307" s="24" t="s">
        <v>5323</v>
      </c>
      <c r="B307" s="25">
        <f>IF(OR(Customer[[#This Row],[地标]]="",COUNTIF(Landmark[地标],Customer[[#This Row],[地标]])=1),COUNTIF(Quotation[抬头],Customer[[#This Row],[抬头]]),"地标")</f>
        <v>0</v>
      </c>
      <c r="C307" s="24" t="s">
        <v>735</v>
      </c>
      <c r="D307" s="26" t="s">
        <v>5437</v>
      </c>
      <c r="E307" s="26" t="s">
        <v>5376</v>
      </c>
      <c r="F307" s="113">
        <v>43405</v>
      </c>
      <c r="G307" s="26"/>
      <c r="H307" s="24">
        <f>COUNTIF(Customer[抬头],Customer[[#This Row],[抬头]])</f>
        <v>1</v>
      </c>
    </row>
    <row r="308" spans="1:8" x14ac:dyDescent="0.15">
      <c r="A308" s="24" t="s">
        <v>5316</v>
      </c>
      <c r="B308" s="25">
        <f>IF(OR(Customer[[#This Row],[地标]]="",COUNTIF(Landmark[地标],Customer[[#This Row],[地标]])=1),COUNTIF(Quotation[抬头],Customer[[#This Row],[抬头]]),"地标")</f>
        <v>0</v>
      </c>
      <c r="C308" s="24" t="s">
        <v>737</v>
      </c>
      <c r="D308" s="26" t="s">
        <v>5438</v>
      </c>
      <c r="E308" s="26" t="s">
        <v>5376</v>
      </c>
      <c r="F308" s="113">
        <v>43405</v>
      </c>
      <c r="G308" s="26"/>
      <c r="H308" s="24">
        <f>COUNTIF(Customer[抬头],Customer[[#This Row],[抬头]])</f>
        <v>1</v>
      </c>
    </row>
    <row r="309" spans="1:8" x14ac:dyDescent="0.15">
      <c r="A309" s="24" t="s">
        <v>5439</v>
      </c>
      <c r="B309" s="25">
        <f>IF(OR(Customer[[#This Row],[地标]]="",COUNTIF(Landmark[地标],Customer[[#This Row],[地标]])=1),COUNTIF(Quotation[抬头],Customer[[#This Row],[抬头]]),"地标")</f>
        <v>0</v>
      </c>
      <c r="C309" s="24" t="s">
        <v>5440</v>
      </c>
      <c r="D309" s="26" t="s">
        <v>5441</v>
      </c>
      <c r="E309" s="26" t="s">
        <v>5376</v>
      </c>
      <c r="F309" s="113">
        <v>43391</v>
      </c>
      <c r="G309" s="26" t="s">
        <v>5442</v>
      </c>
      <c r="H309" s="24">
        <f>COUNTIF(Customer[抬头],Customer[[#This Row],[抬头]])</f>
        <v>1</v>
      </c>
    </row>
    <row r="310" spans="1:8" ht="28.5" x14ac:dyDescent="0.15">
      <c r="A310" s="24" t="s">
        <v>5529</v>
      </c>
      <c r="B310" s="25">
        <f>IF(OR(Customer[[#This Row],[地标]]="",COUNTIF(Landmark[地标],Customer[[#This Row],[地标]])=1),COUNTIF(Quotation[抬头],Customer[[#This Row],[抬头]]),"地标")</f>
        <v>0</v>
      </c>
      <c r="C310" s="24" t="s">
        <v>5424</v>
      </c>
      <c r="D310" s="26" t="s">
        <v>5535</v>
      </c>
      <c r="E310" s="26" t="s">
        <v>5376</v>
      </c>
      <c r="F310" s="113">
        <v>43404</v>
      </c>
      <c r="G310" s="26" t="s">
        <v>5536</v>
      </c>
      <c r="H310" s="24">
        <f>COUNTIF(Customer[抬头],Customer[[#This Row],[抬头]])</f>
        <v>1</v>
      </c>
    </row>
    <row r="311" spans="1:8" x14ac:dyDescent="0.15">
      <c r="A311" s="24" t="s">
        <v>5523</v>
      </c>
      <c r="B311" s="25">
        <f>IF(OR(Customer[[#This Row],[地标]]="",COUNTIF(Landmark[地标],Customer[[#This Row],[地标]])=1),COUNTIF(Quotation[抬头],Customer[[#This Row],[抬头]]),"地标")</f>
        <v>0</v>
      </c>
      <c r="C311" s="24" t="s">
        <v>5537</v>
      </c>
      <c r="D311" s="26" t="s">
        <v>5538</v>
      </c>
      <c r="E311" s="26" t="s">
        <v>5376</v>
      </c>
      <c r="F311" s="113">
        <v>43404</v>
      </c>
      <c r="G311" s="26"/>
      <c r="H311" s="24">
        <f>COUNTIF(Customer[抬头],Customer[[#This Row],[抬头]])</f>
        <v>1</v>
      </c>
    </row>
    <row r="312" spans="1:8" x14ac:dyDescent="0.15">
      <c r="A312" s="24" t="s">
        <v>5519</v>
      </c>
      <c r="B312" s="25">
        <f>IF(OR(Customer[[#This Row],[地标]]="",COUNTIF(Landmark[地标],Customer[[#This Row],[地标]])=1),COUNTIF(Quotation[抬头],Customer[[#This Row],[抬头]]),"地标")</f>
        <v>0</v>
      </c>
      <c r="C312" s="24" t="s">
        <v>5540</v>
      </c>
      <c r="D312" s="26" t="s">
        <v>5541</v>
      </c>
      <c r="E312" s="26" t="s">
        <v>5376</v>
      </c>
      <c r="F312" s="113">
        <v>43403</v>
      </c>
      <c r="G312" s="26"/>
      <c r="H312" s="24">
        <f>COUNTIF(Customer[抬头],Customer[[#This Row],[抬头]])</f>
        <v>1</v>
      </c>
    </row>
    <row r="313" spans="1:8" x14ac:dyDescent="0.15">
      <c r="A313" s="24" t="s">
        <v>5516</v>
      </c>
      <c r="B313" s="25">
        <f>IF(OR(Customer[[#This Row],[地标]]="",COUNTIF(Landmark[地标],Customer[[#This Row],[地标]])=1),COUNTIF(Quotation[抬头],Customer[[#This Row],[抬头]]),"地标")</f>
        <v>0</v>
      </c>
      <c r="C313" s="24" t="s">
        <v>5424</v>
      </c>
      <c r="D313" s="26" t="s">
        <v>5543</v>
      </c>
      <c r="E313" s="26" t="s">
        <v>5376</v>
      </c>
      <c r="F313" s="113">
        <v>43404</v>
      </c>
      <c r="G313" s="26"/>
      <c r="H313" s="24">
        <f>COUNTIF(Customer[抬头],Customer[[#This Row],[抬头]])</f>
        <v>1</v>
      </c>
    </row>
    <row r="314" spans="1:8" x14ac:dyDescent="0.15">
      <c r="A314" s="24" t="s">
        <v>5510</v>
      </c>
      <c r="B314" s="25">
        <f>IF(OR(Customer[[#This Row],[地标]]="",COUNTIF(Landmark[地标],Customer[[#This Row],[地标]])=1),COUNTIF(Quotation[抬头],Customer[[#This Row],[抬头]]),"地标")</f>
        <v>0</v>
      </c>
      <c r="C314" s="24" t="s">
        <v>5537</v>
      </c>
      <c r="D314" s="26" t="s">
        <v>5544</v>
      </c>
      <c r="E314" s="26" t="s">
        <v>5376</v>
      </c>
      <c r="F314" s="113">
        <v>43404</v>
      </c>
      <c r="G314" s="26" t="s">
        <v>5515</v>
      </c>
      <c r="H314" s="24">
        <f>COUNTIF(Customer[抬头],Customer[[#This Row],[抬头]])</f>
        <v>1</v>
      </c>
    </row>
    <row r="315" spans="1:8" ht="28.5" x14ac:dyDescent="0.15">
      <c r="A315" s="24" t="s">
        <v>5505</v>
      </c>
      <c r="B315" s="25">
        <f>IF(OR(Customer[[#This Row],[地标]]="",COUNTIF(Landmark[地标],Customer[[#This Row],[地标]])=1),COUNTIF(Quotation[抬头],Customer[[#This Row],[抬头]]),"地标")</f>
        <v>0</v>
      </c>
      <c r="C315" s="24" t="s">
        <v>5424</v>
      </c>
      <c r="D315" s="26" t="s">
        <v>5545</v>
      </c>
      <c r="E315" s="26" t="s">
        <v>5376</v>
      </c>
      <c r="F315" s="113">
        <v>43404</v>
      </c>
      <c r="G315" s="26" t="s">
        <v>5509</v>
      </c>
      <c r="H315" s="24">
        <f>COUNTIF(Customer[抬头],Customer[[#This Row],[抬头]])</f>
        <v>1</v>
      </c>
    </row>
    <row r="316" spans="1:8" x14ac:dyDescent="0.15">
      <c r="A316" s="24" t="s">
        <v>5499</v>
      </c>
      <c r="B316" s="25">
        <f>IF(OR(Customer[[#This Row],[地标]]="",COUNTIF(Landmark[地标],Customer[[#This Row],[地标]])=1),COUNTIF(Quotation[抬头],Customer[[#This Row],[抬头]]),"地标")</f>
        <v>0</v>
      </c>
      <c r="C316" s="24" t="s">
        <v>5537</v>
      </c>
      <c r="D316" s="26" t="s">
        <v>5546</v>
      </c>
      <c r="E316" s="26" t="s">
        <v>5376</v>
      </c>
      <c r="F316" s="113">
        <v>43404</v>
      </c>
      <c r="G316" s="26"/>
      <c r="H316" s="24">
        <f>COUNTIF(Customer[抬头],Customer[[#This Row],[抬头]])</f>
        <v>1</v>
      </c>
    </row>
    <row r="317" spans="1:8" ht="28.5" x14ac:dyDescent="0.15">
      <c r="A317" s="24" t="s">
        <v>5494</v>
      </c>
      <c r="B317" s="25">
        <f>IF(OR(Customer[[#This Row],[地标]]="",COUNTIF(Landmark[地标],Customer[[#This Row],[地标]])=1),COUNTIF(Quotation[抬头],Customer[[#This Row],[抬头]]),"地标")</f>
        <v>0</v>
      </c>
      <c r="C317" s="24" t="s">
        <v>5537</v>
      </c>
      <c r="D317" s="26" t="s">
        <v>5547</v>
      </c>
      <c r="E317" s="26" t="s">
        <v>5376</v>
      </c>
      <c r="F317" s="113">
        <v>43404</v>
      </c>
      <c r="G317" s="26" t="s">
        <v>5548</v>
      </c>
      <c r="H317" s="24">
        <f>COUNTIF(Customer[抬头],Customer[[#This Row],[抬头]])</f>
        <v>1</v>
      </c>
    </row>
    <row r="318" spans="1:8" ht="28.5" x14ac:dyDescent="0.15">
      <c r="A318" s="24" t="s">
        <v>5486</v>
      </c>
      <c r="B318" s="25">
        <f>IF(OR(Customer[[#This Row],[地标]]="",COUNTIF(Landmark[地标],Customer[[#This Row],[地标]])=1),COUNTIF(Quotation[抬头],Customer[[#This Row],[抬头]]),"地标")</f>
        <v>0</v>
      </c>
      <c r="C318" s="24" t="s">
        <v>5549</v>
      </c>
      <c r="D318" s="26" t="s">
        <v>5550</v>
      </c>
      <c r="E318" s="26" t="s">
        <v>5376</v>
      </c>
      <c r="F318" s="113">
        <v>43404</v>
      </c>
      <c r="G318" s="26" t="s">
        <v>5551</v>
      </c>
      <c r="H318" s="24">
        <f>COUNTIF(Customer[抬头],Customer[[#This Row],[抬头]])</f>
        <v>1</v>
      </c>
    </row>
    <row r="319" spans="1:8" x14ac:dyDescent="0.15">
      <c r="A319" s="24" t="s">
        <v>5481</v>
      </c>
      <c r="B319" s="25">
        <f>IF(OR(Customer[[#This Row],[地标]]="",COUNTIF(Landmark[地标],Customer[[#This Row],[地标]])=1),COUNTIF(Quotation[抬头],Customer[[#This Row],[抬头]]),"地标")</f>
        <v>0</v>
      </c>
      <c r="C319" s="24" t="s">
        <v>5553</v>
      </c>
      <c r="D319" s="26" t="s">
        <v>5554</v>
      </c>
      <c r="E319" s="26" t="s">
        <v>5376</v>
      </c>
      <c r="F319" s="113">
        <v>43404</v>
      </c>
      <c r="G319" s="26"/>
      <c r="H319" s="24">
        <f>COUNTIF(Customer[抬头],Customer[[#This Row],[抬头]])</f>
        <v>1</v>
      </c>
    </row>
    <row r="320" spans="1:8" ht="28.5" x14ac:dyDescent="0.15">
      <c r="A320" s="24" t="s">
        <v>5476</v>
      </c>
      <c r="B320" s="25">
        <f>IF(OR(Customer[[#This Row],[地标]]="",COUNTIF(Landmark[地标],Customer[[#This Row],[地标]])=1),COUNTIF(Quotation[抬头],Customer[[#This Row],[抬头]]),"地标")</f>
        <v>0</v>
      </c>
      <c r="C320" s="24"/>
      <c r="D320" s="26"/>
      <c r="E320" s="26"/>
      <c r="F320" s="113">
        <v>43404</v>
      </c>
      <c r="G320" s="26" t="s">
        <v>5555</v>
      </c>
      <c r="H320" s="24">
        <f>COUNTIF(Customer[抬头],Customer[[#This Row],[抬头]])</f>
        <v>1</v>
      </c>
    </row>
    <row r="321" spans="1:8" x14ac:dyDescent="0.15">
      <c r="A321" s="24" t="s">
        <v>5472</v>
      </c>
      <c r="B321" s="25">
        <f>IF(OR(Customer[[#This Row],[地标]]="",COUNTIF(Landmark[地标],Customer[[#This Row],[地标]])=1),COUNTIF(Quotation[抬头],Customer[[#This Row],[抬头]]),"地标")</f>
        <v>0</v>
      </c>
      <c r="C321" s="24" t="s">
        <v>5424</v>
      </c>
      <c r="D321" s="26" t="s">
        <v>5556</v>
      </c>
      <c r="E321" s="26" t="s">
        <v>5376</v>
      </c>
      <c r="F321" s="113">
        <v>43404</v>
      </c>
      <c r="G321" s="26"/>
      <c r="H321" s="24">
        <f>COUNTIF(Customer[抬头],Customer[[#This Row],[抬头]])</f>
        <v>1</v>
      </c>
    </row>
    <row r="322" spans="1:8" x14ac:dyDescent="0.15">
      <c r="A322" s="24" t="s">
        <v>5467</v>
      </c>
      <c r="B322" s="25">
        <f>IF(OR(Customer[[#This Row],[地标]]="",COUNTIF(Landmark[地标],Customer[[#This Row],[地标]])=1),COUNTIF(Quotation[抬头],Customer[[#This Row],[抬头]]),"地标")</f>
        <v>0</v>
      </c>
      <c r="C322" s="24" t="s">
        <v>5424</v>
      </c>
      <c r="D322" s="26" t="s">
        <v>5557</v>
      </c>
      <c r="E322" s="26" t="s">
        <v>5376</v>
      </c>
      <c r="F322" s="113">
        <v>43404</v>
      </c>
      <c r="G322" s="26" t="s">
        <v>5558</v>
      </c>
      <c r="H322" s="24">
        <f>COUNTIF(Customer[抬头],Customer[[#This Row],[抬头]])</f>
        <v>1</v>
      </c>
    </row>
    <row r="323" spans="1:8" ht="28.5" x14ac:dyDescent="0.15">
      <c r="A323" s="24" t="s">
        <v>5461</v>
      </c>
      <c r="B323" s="25">
        <f>IF(OR(Customer[[#This Row],[地标]]="",COUNTIF(Landmark[地标],Customer[[#This Row],[地标]])=1),COUNTIF(Quotation[抬头],Customer[[#This Row],[抬头]]),"地标")</f>
        <v>0</v>
      </c>
      <c r="C323" s="24" t="s">
        <v>5424</v>
      </c>
      <c r="D323" s="26" t="s">
        <v>5559</v>
      </c>
      <c r="E323" s="26" t="s">
        <v>5376</v>
      </c>
      <c r="F323" s="113">
        <v>43404</v>
      </c>
      <c r="G323" s="26" t="s">
        <v>5560</v>
      </c>
      <c r="H323" s="24">
        <f>COUNTIF(Customer[抬头],Customer[[#This Row],[抬头]])</f>
        <v>1</v>
      </c>
    </row>
    <row r="324" spans="1:8" x14ac:dyDescent="0.15">
      <c r="A324" s="24" t="s">
        <v>5456</v>
      </c>
      <c r="B324" s="25">
        <f>IF(OR(Customer[[#This Row],[地标]]="",COUNTIF(Landmark[地标],Customer[[#This Row],[地标]])=1),COUNTIF(Quotation[抬头],Customer[[#This Row],[抬头]]),"地标")</f>
        <v>0</v>
      </c>
      <c r="C324" s="24" t="s">
        <v>5424</v>
      </c>
      <c r="D324" s="26" t="s">
        <v>5561</v>
      </c>
      <c r="E324" s="26" t="s">
        <v>5376</v>
      </c>
      <c r="F324" s="113">
        <v>43404</v>
      </c>
      <c r="G324" s="26" t="s">
        <v>5460</v>
      </c>
      <c r="H324" s="24">
        <f>COUNTIF(Customer[抬头],Customer[[#This Row],[抬头]])</f>
        <v>1</v>
      </c>
    </row>
    <row r="325" spans="1:8" ht="28.5" x14ac:dyDescent="0.15">
      <c r="A325" s="24" t="s">
        <v>5450</v>
      </c>
      <c r="B325" s="25">
        <f>IF(OR(Customer[[#This Row],[地标]]="",COUNTIF(Landmark[地标],Customer[[#This Row],[地标]])=1),COUNTIF(Quotation[抬头],Customer[[#This Row],[抬头]]),"地标")</f>
        <v>0</v>
      </c>
      <c r="C325" s="24" t="s">
        <v>5424</v>
      </c>
      <c r="D325" s="26" t="s">
        <v>5562</v>
      </c>
      <c r="E325" s="26" t="s">
        <v>5376</v>
      </c>
      <c r="F325" s="113">
        <v>43404</v>
      </c>
      <c r="G325" s="26" t="s">
        <v>5563</v>
      </c>
      <c r="H325" s="24">
        <f>COUNTIF(Customer[抬头],Customer[[#This Row],[抬头]])</f>
        <v>1</v>
      </c>
    </row>
    <row r="326" spans="1:8" x14ac:dyDescent="0.15">
      <c r="A326" s="24" t="s">
        <v>5583</v>
      </c>
      <c r="B326" s="25">
        <f>IF(OR(Customer[[#This Row],[地标]]="",COUNTIF(Landmark[地标],Customer[[#This Row],[地标]])=1),COUNTIF(Quotation[抬头],Customer[[#This Row],[抬头]]),"地标")</f>
        <v>0</v>
      </c>
      <c r="C326" s="24" t="s">
        <v>5579</v>
      </c>
      <c r="D326" s="26" t="s">
        <v>5584</v>
      </c>
      <c r="E326" s="26" t="s">
        <v>5585</v>
      </c>
      <c r="F326" s="113">
        <v>43410</v>
      </c>
      <c r="G326" s="26" t="s">
        <v>5586</v>
      </c>
      <c r="H326" s="24">
        <f>COUNTIF(Customer[抬头],Customer[[#This Row],[抬头]])</f>
        <v>1</v>
      </c>
    </row>
    <row r="327" spans="1:8" x14ac:dyDescent="0.15">
      <c r="A327" s="24" t="s">
        <v>5587</v>
      </c>
      <c r="B327" s="25">
        <f>IF(OR(Customer[[#This Row],[地标]]="",COUNTIF(Landmark[地标],Customer[[#This Row],[地标]])=1),COUNTIF(Quotation[抬头],Customer[[#This Row],[抬头]]),"地标")</f>
        <v>0</v>
      </c>
      <c r="C327" s="24" t="s">
        <v>5579</v>
      </c>
      <c r="D327" s="26" t="s">
        <v>5588</v>
      </c>
      <c r="E327" s="26" t="s">
        <v>5585</v>
      </c>
      <c r="F327" s="113">
        <v>43410</v>
      </c>
      <c r="G327" s="26"/>
      <c r="H327" s="24">
        <f>COUNTIF(Customer[抬头],Customer[[#This Row],[抬头]])</f>
        <v>1</v>
      </c>
    </row>
    <row r="328" spans="1:8" x14ac:dyDescent="0.15">
      <c r="A328" s="24" t="s">
        <v>5589</v>
      </c>
      <c r="B328" s="25">
        <f>IF(OR(Customer[[#This Row],[地标]]="",COUNTIF(Landmark[地标],Customer[[#This Row],[地标]])=1),COUNTIF(Quotation[抬头],Customer[[#This Row],[抬头]]),"地标")</f>
        <v>0</v>
      </c>
      <c r="C328" s="24" t="s">
        <v>5579</v>
      </c>
      <c r="D328" s="26" t="s">
        <v>5590</v>
      </c>
      <c r="E328" s="26" t="s">
        <v>5585</v>
      </c>
      <c r="F328" s="113">
        <v>43410</v>
      </c>
      <c r="G328" s="26" t="s">
        <v>5591</v>
      </c>
      <c r="H328" s="24">
        <f>COUNTIF(Customer[抬头],Customer[[#This Row],[抬头]])</f>
        <v>1</v>
      </c>
    </row>
    <row r="329" spans="1:8" x14ac:dyDescent="0.15">
      <c r="A329" s="24" t="s">
        <v>5592</v>
      </c>
      <c r="B329" s="25">
        <f>IF(OR(Customer[[#This Row],[地标]]="",COUNTIF(Landmark[地标],Customer[[#This Row],[地标]])=1),COUNTIF(Quotation[抬头],Customer[[#This Row],[抬头]]),"地标")</f>
        <v>0</v>
      </c>
      <c r="C329" s="24" t="s">
        <v>5581</v>
      </c>
      <c r="D329" s="26" t="s">
        <v>5593</v>
      </c>
      <c r="E329" s="26" t="s">
        <v>5585</v>
      </c>
      <c r="F329" s="113">
        <v>43410</v>
      </c>
      <c r="G329" s="26" t="s">
        <v>5596</v>
      </c>
      <c r="H329" s="24">
        <f>COUNTIF(Customer[抬头],Customer[[#This Row],[抬头]])</f>
        <v>1</v>
      </c>
    </row>
    <row r="330" spans="1:8" x14ac:dyDescent="0.15">
      <c r="A330" s="24" t="s">
        <v>5594</v>
      </c>
      <c r="B330" s="25">
        <f>IF(OR(Customer[[#This Row],[地标]]="",COUNTIF(Landmark[地标],Customer[[#This Row],[地标]])=1),COUNTIF(Quotation[抬头],Customer[[#This Row],[抬头]]),"地标")</f>
        <v>0</v>
      </c>
      <c r="C330" s="24" t="s">
        <v>5581</v>
      </c>
      <c r="D330" s="26" t="s">
        <v>5593</v>
      </c>
      <c r="E330" s="26" t="s">
        <v>5585</v>
      </c>
      <c r="F330" s="113">
        <v>43410</v>
      </c>
      <c r="G330" s="26" t="s">
        <v>5595</v>
      </c>
      <c r="H330" s="24">
        <f>COUNTIF(Customer[抬头],Customer[[#This Row],[抬头]])</f>
        <v>1</v>
      </c>
    </row>
    <row r="331" spans="1:8" x14ac:dyDescent="0.15">
      <c r="A331" s="24" t="s">
        <v>5597</v>
      </c>
      <c r="B331" s="25">
        <f>IF(OR(Customer[[#This Row],[地标]]="",COUNTIF(Landmark[地标],Customer[[#This Row],[地标]])=1),COUNTIF(Quotation[抬头],Customer[[#This Row],[抬头]]),"地标")</f>
        <v>0</v>
      </c>
      <c r="C331" s="24" t="s">
        <v>5581</v>
      </c>
      <c r="D331" s="26" t="s">
        <v>5598</v>
      </c>
      <c r="E331" s="26" t="s">
        <v>5585</v>
      </c>
      <c r="F331" s="113">
        <v>43410</v>
      </c>
      <c r="G331" s="26" t="s">
        <v>5599</v>
      </c>
      <c r="H331" s="24">
        <f>COUNTIF(Customer[抬头],Customer[[#This Row],[抬头]])</f>
        <v>1</v>
      </c>
    </row>
    <row r="332" spans="1:8" ht="28.5" x14ac:dyDescent="0.15">
      <c r="A332" s="24" t="s">
        <v>5600</v>
      </c>
      <c r="B332" s="25">
        <f>IF(OR(Customer[[#This Row],[地标]]="",COUNTIF(Landmark[地标],Customer[[#This Row],[地标]])=1),COUNTIF(Quotation[抬头],Customer[[#This Row],[抬头]]),"地标")</f>
        <v>0</v>
      </c>
      <c r="C332" s="24" t="s">
        <v>5581</v>
      </c>
      <c r="D332" s="26" t="s">
        <v>5601</v>
      </c>
      <c r="E332" s="26" t="s">
        <v>5585</v>
      </c>
      <c r="F332" s="113">
        <v>43410</v>
      </c>
      <c r="G332" s="26" t="s">
        <v>5602</v>
      </c>
      <c r="H332" s="24">
        <f>COUNTIF(Customer[抬头],Customer[[#This Row],[抬头]])</f>
        <v>1</v>
      </c>
    </row>
    <row r="333" spans="1:8" x14ac:dyDescent="0.15">
      <c r="A333" s="24" t="s">
        <v>5603</v>
      </c>
      <c r="B333" s="25">
        <f>IF(OR(Customer[[#This Row],[地标]]="",COUNTIF(Landmark[地标],Customer[[#This Row],[地标]])=1),COUNTIF(Quotation[抬头],Customer[[#This Row],[抬头]]),"地标")</f>
        <v>0</v>
      </c>
      <c r="C333" s="24" t="s">
        <v>5581</v>
      </c>
      <c r="D333" s="26" t="s">
        <v>5604</v>
      </c>
      <c r="E333" s="26" t="s">
        <v>5585</v>
      </c>
      <c r="F333" s="113">
        <v>43410</v>
      </c>
      <c r="G333" s="26" t="s">
        <v>5219</v>
      </c>
      <c r="H333" s="24">
        <f>COUNTIF(Customer[抬头],Customer[[#This Row],[抬头]])</f>
        <v>1</v>
      </c>
    </row>
    <row r="334" spans="1:8" x14ac:dyDescent="0.15">
      <c r="A334" s="24" t="s">
        <v>5605</v>
      </c>
      <c r="B334" s="25">
        <f>IF(OR(Customer[[#This Row],[地标]]="",COUNTIF(Landmark[地标],Customer[[#This Row],[地标]])=1),COUNTIF(Quotation[抬头],Customer[[#This Row],[抬头]]),"地标")</f>
        <v>0</v>
      </c>
      <c r="C334" s="24" t="s">
        <v>5581</v>
      </c>
      <c r="D334" s="26" t="s">
        <v>5606</v>
      </c>
      <c r="E334" s="26" t="s">
        <v>5585</v>
      </c>
      <c r="F334" s="113">
        <v>43410</v>
      </c>
      <c r="G334" s="26" t="s">
        <v>5607</v>
      </c>
      <c r="H334" s="24">
        <f>COUNTIF(Customer[抬头],Customer[[#This Row],[抬头]])</f>
        <v>1</v>
      </c>
    </row>
    <row r="335" spans="1:8" x14ac:dyDescent="0.15">
      <c r="A335" s="24" t="s">
        <v>5608</v>
      </c>
      <c r="B335" s="25">
        <f>IF(OR(Customer[[#This Row],[地标]]="",COUNTIF(Landmark[地标],Customer[[#This Row],[地标]])=1),COUNTIF(Quotation[抬头],Customer[[#This Row],[抬头]]),"地标")</f>
        <v>0</v>
      </c>
      <c r="C335" s="24" t="s">
        <v>5581</v>
      </c>
      <c r="D335" s="26" t="s">
        <v>5609</v>
      </c>
      <c r="E335" s="26" t="s">
        <v>5585</v>
      </c>
      <c r="F335" s="113">
        <v>43410</v>
      </c>
      <c r="G335" s="26"/>
      <c r="H335" s="24">
        <f>COUNTIF(Customer[抬头],Customer[[#This Row],[抬头]])</f>
        <v>1</v>
      </c>
    </row>
    <row r="336" spans="1:8" x14ac:dyDescent="0.15">
      <c r="A336" s="24" t="s">
        <v>5653</v>
      </c>
      <c r="B336" s="25">
        <f>IF(OR(Customer[[#This Row],[地标]]="",COUNTIF(Landmark[地标],Customer[[#This Row],[地标]])=1),COUNTIF(Quotation[抬头],Customer[[#This Row],[抬头]]),"地标")</f>
        <v>0</v>
      </c>
      <c r="C336" s="24" t="s">
        <v>5579</v>
      </c>
      <c r="D336" s="26" t="s">
        <v>5654</v>
      </c>
      <c r="E336" s="26" t="s">
        <v>5585</v>
      </c>
      <c r="F336" s="113">
        <v>43406</v>
      </c>
      <c r="G336" s="26" t="s">
        <v>5655</v>
      </c>
      <c r="H336" s="24">
        <f>COUNTIF(Customer[抬头],Customer[[#This Row],[抬头]])</f>
        <v>1</v>
      </c>
    </row>
    <row r="337" spans="1:8" x14ac:dyDescent="0.15">
      <c r="A337" s="24" t="s">
        <v>5656</v>
      </c>
      <c r="B337" s="25">
        <f>IF(OR(Customer[[#This Row],[地标]]="",COUNTIF(Landmark[地标],Customer[[#This Row],[地标]])=1),COUNTIF(Quotation[抬头],Customer[[#This Row],[抬头]]),"地标")</f>
        <v>0</v>
      </c>
      <c r="C337" s="24" t="s">
        <v>5657</v>
      </c>
      <c r="D337" s="26" t="s">
        <v>5667</v>
      </c>
      <c r="E337" s="26" t="s">
        <v>5585</v>
      </c>
      <c r="F337" s="113">
        <v>43406</v>
      </c>
      <c r="G337" s="26" t="s">
        <v>5658</v>
      </c>
      <c r="H337" s="24">
        <f>COUNTIF(Customer[抬头],Customer[[#This Row],[抬头]])</f>
        <v>1</v>
      </c>
    </row>
    <row r="338" spans="1:8" x14ac:dyDescent="0.15">
      <c r="A338" s="24" t="s">
        <v>5659</v>
      </c>
      <c r="B338" s="25">
        <f>IF(OR(Customer[[#This Row],[地标]]="",COUNTIF(Landmark[地标],Customer[[#This Row],[地标]])=1),COUNTIF(Quotation[抬头],Customer[[#This Row],[抬头]]),"地标")</f>
        <v>0</v>
      </c>
      <c r="C338" s="24" t="s">
        <v>735</v>
      </c>
      <c r="D338" s="26" t="s">
        <v>5668</v>
      </c>
      <c r="E338" s="26" t="s">
        <v>5585</v>
      </c>
      <c r="F338" s="113">
        <v>43406</v>
      </c>
      <c r="G338" s="26" t="s">
        <v>5660</v>
      </c>
      <c r="H338" s="24">
        <f>COUNTIF(Customer[抬头],Customer[[#This Row],[抬头]])</f>
        <v>1</v>
      </c>
    </row>
    <row r="339" spans="1:8" x14ac:dyDescent="0.15">
      <c r="A339" s="24" t="s">
        <v>5661</v>
      </c>
      <c r="B339" s="25">
        <f>IF(OR(Customer[[#This Row],[地标]]="",COUNTIF(Landmark[地标],Customer[[#This Row],[地标]])=1),COUNTIF(Quotation[抬头],Customer[[#This Row],[抬头]]),"地标")</f>
        <v>0</v>
      </c>
      <c r="C339" s="24" t="s">
        <v>735</v>
      </c>
      <c r="D339" s="26" t="s">
        <v>5669</v>
      </c>
      <c r="E339" s="26" t="s">
        <v>5585</v>
      </c>
      <c r="F339" s="113">
        <v>43406</v>
      </c>
      <c r="G339" s="26" t="s">
        <v>5662</v>
      </c>
      <c r="H339" s="24">
        <f>COUNTIF(Customer[抬头],Customer[[#This Row],[抬头]])</f>
        <v>1</v>
      </c>
    </row>
    <row r="340" spans="1:8" x14ac:dyDescent="0.15">
      <c r="A340" s="24" t="s">
        <v>5663</v>
      </c>
      <c r="B340" s="25">
        <f>IF(OR(Customer[[#This Row],[地标]]="",COUNTIF(Landmark[地标],Customer[[#This Row],[地标]])=1),COUNTIF(Quotation[抬头],Customer[[#This Row],[抬头]]),"地标")</f>
        <v>0</v>
      </c>
      <c r="C340" s="24" t="s">
        <v>735</v>
      </c>
      <c r="D340" s="26" t="s">
        <v>5670</v>
      </c>
      <c r="E340" s="26" t="s">
        <v>5585</v>
      </c>
      <c r="F340" s="113">
        <v>43406</v>
      </c>
      <c r="G340" s="26" t="s">
        <v>5664</v>
      </c>
      <c r="H340" s="24">
        <f>COUNTIF(Customer[抬头],Customer[[#This Row],[抬头]])</f>
        <v>1</v>
      </c>
    </row>
    <row r="341" spans="1:8" x14ac:dyDescent="0.15">
      <c r="A341" s="24" t="s">
        <v>5666</v>
      </c>
      <c r="B341" s="25">
        <f>IF(OR(Customer[[#This Row],[地标]]="",COUNTIF(Landmark[地标],Customer[[#This Row],[地标]])=1),COUNTIF(Quotation[抬头],Customer[[#This Row],[抬头]]),"地标")</f>
        <v>0</v>
      </c>
      <c r="C341" s="24" t="s">
        <v>735</v>
      </c>
      <c r="D341" s="26" t="s">
        <v>5671</v>
      </c>
      <c r="E341" s="26" t="s">
        <v>5585</v>
      </c>
      <c r="F341" s="113">
        <v>43406</v>
      </c>
      <c r="G341" s="26" t="s">
        <v>5672</v>
      </c>
      <c r="H341" s="24">
        <f>COUNTIF(Customer[抬头],Customer[[#This Row],[抬头]])</f>
        <v>1</v>
      </c>
    </row>
    <row r="342" spans="1:8" x14ac:dyDescent="0.15">
      <c r="A342" s="24" t="s">
        <v>5673</v>
      </c>
      <c r="B342" s="25">
        <f>IF(OR(Customer[[#This Row],[地标]]="",COUNTIF(Landmark[地标],Customer[[#This Row],[地标]])=1),COUNTIF(Quotation[抬头],Customer[[#This Row],[抬头]]),"地标")</f>
        <v>0</v>
      </c>
      <c r="C342" s="24" t="s">
        <v>735</v>
      </c>
      <c r="D342" s="26" t="s">
        <v>5671</v>
      </c>
      <c r="E342" s="26" t="s">
        <v>5585</v>
      </c>
      <c r="F342" s="113">
        <v>43406</v>
      </c>
      <c r="G342" s="26" t="s">
        <v>5674</v>
      </c>
      <c r="H342" s="24">
        <f>COUNTIF(Customer[抬头],Customer[[#This Row],[抬头]])</f>
        <v>1</v>
      </c>
    </row>
    <row r="343" spans="1:8" x14ac:dyDescent="0.15">
      <c r="A343" s="24" t="s">
        <v>5675</v>
      </c>
      <c r="B343" s="25">
        <f>IF(OR(Customer[[#This Row],[地标]]="",COUNTIF(Landmark[地标],Customer[[#This Row],[地标]])=1),COUNTIF(Quotation[抬头],Customer[[#This Row],[抬头]]),"地标")</f>
        <v>0</v>
      </c>
      <c r="C343" s="24" t="s">
        <v>5676</v>
      </c>
      <c r="D343" s="26" t="s">
        <v>5677</v>
      </c>
      <c r="E343" s="26" t="s">
        <v>5585</v>
      </c>
      <c r="F343" s="113">
        <v>43409</v>
      </c>
      <c r="G343" s="26"/>
      <c r="H343" s="24">
        <f>COUNTIF(Customer[抬头],Customer[[#This Row],[抬头]])</f>
        <v>1</v>
      </c>
    </row>
    <row r="344" spans="1:8" ht="28.5" x14ac:dyDescent="0.15">
      <c r="A344" s="24" t="s">
        <v>5679</v>
      </c>
      <c r="B344" s="25">
        <f>IF(OR(Customer[[#This Row],[地标]]="",COUNTIF(Landmark[地标],Customer[[#This Row],[地标]])=1),COUNTIF(Quotation[抬头],Customer[[#This Row],[抬头]]),"地标")</f>
        <v>0</v>
      </c>
      <c r="C344" s="24" t="s">
        <v>5651</v>
      </c>
      <c r="D344" s="26" t="s">
        <v>5680</v>
      </c>
      <c r="E344" s="26" t="s">
        <v>5585</v>
      </c>
      <c r="F344" s="113">
        <v>43409</v>
      </c>
      <c r="G344" s="26" t="s">
        <v>5681</v>
      </c>
      <c r="H344" s="24">
        <f>COUNTIF(Customer[抬头],Customer[[#This Row],[抬头]])</f>
        <v>1</v>
      </c>
    </row>
    <row r="345" spans="1:8" x14ac:dyDescent="0.15">
      <c r="A345" s="24" t="s">
        <v>5682</v>
      </c>
      <c r="B345" s="25">
        <f>IF(OR(Customer[[#This Row],[地标]]="",COUNTIF(Landmark[地标],Customer[[#This Row],[地标]])=1),COUNTIF(Quotation[抬头],Customer[[#This Row],[抬头]]),"地标")</f>
        <v>0</v>
      </c>
      <c r="C345" s="24" t="s">
        <v>5649</v>
      </c>
      <c r="D345" s="26" t="s">
        <v>5683</v>
      </c>
      <c r="E345" s="26" t="s">
        <v>5585</v>
      </c>
      <c r="F345" s="113">
        <v>43409</v>
      </c>
      <c r="G345" s="26"/>
      <c r="H345" s="24">
        <f>COUNTIF(Customer[抬头],Customer[[#This Row],[抬头]])</f>
        <v>1</v>
      </c>
    </row>
    <row r="346" spans="1:8" x14ac:dyDescent="0.15">
      <c r="A346" s="24" t="s">
        <v>5684</v>
      </c>
      <c r="B346" s="25">
        <f>IF(OR(Customer[[#This Row],[地标]]="",COUNTIF(Landmark[地标],Customer[[#This Row],[地标]])=1),COUNTIF(Quotation[抬头],Customer[[#This Row],[抬头]]),"地标")</f>
        <v>0</v>
      </c>
      <c r="C346" s="24" t="s">
        <v>5649</v>
      </c>
      <c r="D346" s="26" t="s">
        <v>5685</v>
      </c>
      <c r="E346" s="26" t="s">
        <v>5585</v>
      </c>
      <c r="F346" s="113">
        <v>43409</v>
      </c>
      <c r="G346" s="26" t="s">
        <v>5723</v>
      </c>
      <c r="H346" s="24">
        <f>COUNTIF(Customer[抬头],Customer[[#This Row],[抬头]])</f>
        <v>1</v>
      </c>
    </row>
    <row r="347" spans="1:8" x14ac:dyDescent="0.15">
      <c r="A347" s="24" t="s">
        <v>5686</v>
      </c>
      <c r="B347" s="25">
        <f>IF(OR(Customer[[#This Row],[地标]]="",COUNTIF(Landmark[地标],Customer[[#This Row],[地标]])=1),COUNTIF(Quotation[抬头],Customer[[#This Row],[抬头]]),"地标")</f>
        <v>0</v>
      </c>
      <c r="C347" s="24" t="s">
        <v>5649</v>
      </c>
      <c r="D347" s="26" t="s">
        <v>5687</v>
      </c>
      <c r="E347" s="26" t="s">
        <v>5585</v>
      </c>
      <c r="F347" s="113">
        <v>43409</v>
      </c>
      <c r="G347" s="26"/>
      <c r="H347" s="24">
        <f>COUNTIF(Customer[抬头],Customer[[#This Row],[抬头]])</f>
        <v>1</v>
      </c>
    </row>
    <row r="348" spans="1:8" x14ac:dyDescent="0.15">
      <c r="A348" s="24" t="s">
        <v>5688</v>
      </c>
      <c r="B348" s="25">
        <f>IF(OR(Customer[[#This Row],[地标]]="",COUNTIF(Landmark[地标],Customer[[#This Row],[地标]])=1),COUNTIF(Quotation[抬头],Customer[[#This Row],[抬头]]),"地标")</f>
        <v>0</v>
      </c>
      <c r="C348" s="24" t="s">
        <v>5648</v>
      </c>
      <c r="D348" s="26" t="s">
        <v>5689</v>
      </c>
      <c r="E348" s="26" t="s">
        <v>5585</v>
      </c>
      <c r="F348" s="113">
        <v>43409</v>
      </c>
      <c r="G348" s="26" t="s">
        <v>5690</v>
      </c>
      <c r="H348" s="24">
        <f>COUNTIF(Customer[抬头],Customer[[#This Row],[抬头]])</f>
        <v>1</v>
      </c>
    </row>
    <row r="349" spans="1:8" x14ac:dyDescent="0.15">
      <c r="A349" s="24" t="s">
        <v>5691</v>
      </c>
      <c r="B349" s="25">
        <f>IF(OR(Customer[[#This Row],[地标]]="",COUNTIF(Landmark[地标],Customer[[#This Row],[地标]])=1),COUNTIF(Quotation[抬头],Customer[[#This Row],[抬头]]),"地标")</f>
        <v>0</v>
      </c>
      <c r="C349" s="24" t="s">
        <v>5648</v>
      </c>
      <c r="D349" s="26" t="s">
        <v>5692</v>
      </c>
      <c r="E349" s="26" t="s">
        <v>5585</v>
      </c>
      <c r="F349" s="113">
        <v>43409</v>
      </c>
      <c r="G349" s="26"/>
      <c r="H349" s="24">
        <f>COUNTIF(Customer[抬头],Customer[[#This Row],[抬头]])</f>
        <v>1</v>
      </c>
    </row>
    <row r="350" spans="1:8" ht="28.5" x14ac:dyDescent="0.15">
      <c r="A350" s="24" t="s">
        <v>5693</v>
      </c>
      <c r="B350" s="25">
        <f>IF(OR(Customer[[#This Row],[地标]]="",COUNTIF(Landmark[地标],Customer[[#This Row],[地标]])=1),COUNTIF(Quotation[抬头],Customer[[#This Row],[抬头]]),"地标")</f>
        <v>0</v>
      </c>
      <c r="C350" s="24" t="s">
        <v>5648</v>
      </c>
      <c r="D350" s="26" t="s">
        <v>5694</v>
      </c>
      <c r="E350" s="26" t="s">
        <v>5585</v>
      </c>
      <c r="F350" s="113">
        <v>43409</v>
      </c>
      <c r="G350" s="26" t="s">
        <v>5695</v>
      </c>
      <c r="H350" s="24">
        <f>COUNTIF(Customer[抬头],Customer[[#This Row],[抬头]])</f>
        <v>1</v>
      </c>
    </row>
    <row r="351" spans="1:8" x14ac:dyDescent="0.15">
      <c r="A351" s="24" t="s">
        <v>5696</v>
      </c>
      <c r="B351" s="25">
        <f>IF(OR(Customer[[#This Row],[地标]]="",COUNTIF(Landmark[地标],Customer[[#This Row],[地标]])=1),COUNTIF(Quotation[抬头],Customer[[#This Row],[抬头]]),"地标")</f>
        <v>0</v>
      </c>
      <c r="C351" s="24" t="s">
        <v>5648</v>
      </c>
      <c r="D351" s="26" t="s">
        <v>5697</v>
      </c>
      <c r="E351" s="26" t="s">
        <v>5585</v>
      </c>
      <c r="F351" s="113">
        <v>43409</v>
      </c>
      <c r="G351" s="26"/>
      <c r="H351" s="24">
        <f>COUNTIF(Customer[抬头],Customer[[#This Row],[抬头]])</f>
        <v>1</v>
      </c>
    </row>
    <row r="352" spans="1:8" x14ac:dyDescent="0.15">
      <c r="A352" s="24" t="s">
        <v>5774</v>
      </c>
      <c r="B352" s="25">
        <f>IF(OR(Customer[[#This Row],[地标]]="",COUNTIF(Landmark[地标],Customer[[#This Row],[地标]])=1),COUNTIF(Quotation[抬头],Customer[[#This Row],[抬头]]),"地标")</f>
        <v>0</v>
      </c>
      <c r="C352" s="24" t="s">
        <v>5775</v>
      </c>
      <c r="D352" s="26" t="s">
        <v>5776</v>
      </c>
      <c r="E352" s="26" t="s">
        <v>5585</v>
      </c>
      <c r="F352" s="113">
        <v>43406</v>
      </c>
      <c r="G352" s="26" t="s">
        <v>5777</v>
      </c>
      <c r="H352" s="24">
        <f>COUNTIF(Customer[抬头],Customer[[#This Row],[抬头]])</f>
        <v>1</v>
      </c>
    </row>
    <row r="353" spans="1:8" x14ac:dyDescent="0.15">
      <c r="A353" s="24" t="s">
        <v>5783</v>
      </c>
      <c r="B353" s="25">
        <f>IF(OR(Customer[[#This Row],[地标]]="",COUNTIF(Landmark[地标],Customer[[#This Row],[地标]])=1),COUNTIF(Quotation[抬头],Customer[[#This Row],[抬头]]),"地标")</f>
        <v>0</v>
      </c>
      <c r="C353" s="24" t="s">
        <v>5784</v>
      </c>
      <c r="D353" s="26" t="s">
        <v>5788</v>
      </c>
      <c r="E353" s="26" t="s">
        <v>5585</v>
      </c>
      <c r="F353" s="113"/>
      <c r="G353" s="26" t="s">
        <v>5785</v>
      </c>
      <c r="H353" s="24">
        <f>COUNTIF(Customer[抬头],Customer[[#This Row],[抬头]])</f>
        <v>1</v>
      </c>
    </row>
    <row r="354" spans="1:8" x14ac:dyDescent="0.15">
      <c r="A354" s="24" t="s">
        <v>5786</v>
      </c>
      <c r="B354" s="25">
        <f>IF(OR(Customer[[#This Row],[地标]]="",COUNTIF(Landmark[地标],Customer[[#This Row],[地标]])=1),COUNTIF(Quotation[抬头],Customer[[#This Row],[抬头]]),"地标")</f>
        <v>0</v>
      </c>
      <c r="C354" s="24" t="s">
        <v>5784</v>
      </c>
      <c r="D354" s="26" t="s">
        <v>5789</v>
      </c>
      <c r="E354" s="26" t="s">
        <v>5585</v>
      </c>
      <c r="F354" s="113"/>
      <c r="G354" s="26" t="s">
        <v>5790</v>
      </c>
      <c r="H354" s="24">
        <f>COUNTIF(Customer[抬头],Customer[[#This Row],[抬头]])</f>
        <v>1</v>
      </c>
    </row>
    <row r="355" spans="1:8" x14ac:dyDescent="0.15">
      <c r="A355" s="24" t="s">
        <v>5791</v>
      </c>
      <c r="B355" s="25" t="str">
        <f>IF(OR(Customer[[#This Row],[地标]]="",COUNTIF(Landmark[地标],Customer[[#This Row],[地标]])=1),COUNTIF(Quotation[抬头],Customer[[#This Row],[抬头]]),"地标")</f>
        <v>地标</v>
      </c>
      <c r="C355" s="24" t="s">
        <v>5792</v>
      </c>
      <c r="D355" s="26" t="s">
        <v>5793</v>
      </c>
      <c r="E355" s="26" t="s">
        <v>5585</v>
      </c>
      <c r="F355" s="113"/>
      <c r="G355" s="26" t="s">
        <v>5794</v>
      </c>
      <c r="H355" s="24">
        <f>COUNTIF(Customer[抬头],Customer[[#This Row],[抬头]])</f>
        <v>1</v>
      </c>
    </row>
    <row r="356" spans="1:8" x14ac:dyDescent="0.15">
      <c r="A356" s="24" t="s">
        <v>5795</v>
      </c>
      <c r="B356" s="25" t="str">
        <f>IF(OR(Customer[[#This Row],[地标]]="",COUNTIF(Landmark[地标],Customer[[#This Row],[地标]])=1),COUNTIF(Quotation[抬头],Customer[[#This Row],[抬头]]),"地标")</f>
        <v>地标</v>
      </c>
      <c r="C356" s="24" t="s">
        <v>5592</v>
      </c>
      <c r="D356" s="26" t="s">
        <v>5796</v>
      </c>
      <c r="E356" s="26" t="s">
        <v>5585</v>
      </c>
      <c r="F356" s="113"/>
      <c r="G356" s="26" t="s">
        <v>5797</v>
      </c>
      <c r="H356" s="24">
        <f>COUNTIF(Customer[抬头],Customer[[#This Row],[抬头]])</f>
        <v>1</v>
      </c>
    </row>
    <row r="357" spans="1:8" x14ac:dyDescent="0.15">
      <c r="A357" s="24" t="s">
        <v>5799</v>
      </c>
      <c r="B357" s="25">
        <f>IF(OR(Customer[[#This Row],[地标]]="",COUNTIF(Landmark[地标],Customer[[#This Row],[地标]])=1),COUNTIF(Quotation[抬头],Customer[[#This Row],[抬头]]),"地标")</f>
        <v>0</v>
      </c>
      <c r="C357" s="24" t="s">
        <v>5800</v>
      </c>
      <c r="D357" s="26" t="s">
        <v>5801</v>
      </c>
      <c r="E357" s="26" t="s">
        <v>5585</v>
      </c>
      <c r="F357" s="113"/>
      <c r="G357" s="26"/>
      <c r="H357" s="24">
        <f>COUNTIF(Customer[抬头],Customer[[#This Row],[抬头]])</f>
        <v>1</v>
      </c>
    </row>
    <row r="358" spans="1:8" x14ac:dyDescent="0.15">
      <c r="A358" s="24" t="s">
        <v>5802</v>
      </c>
      <c r="B358" s="25">
        <f>IF(OR(Customer[[#This Row],[地标]]="",COUNTIF(Landmark[地标],Customer[[#This Row],[地标]])=1),COUNTIF(Quotation[抬头],Customer[[#This Row],[抬头]]),"地标")</f>
        <v>0</v>
      </c>
      <c r="C358" s="24" t="s">
        <v>5804</v>
      </c>
      <c r="D358" s="26" t="s">
        <v>5803</v>
      </c>
      <c r="E358" s="26" t="s">
        <v>5585</v>
      </c>
      <c r="F358" s="113"/>
      <c r="G358" s="26"/>
      <c r="H358" s="24">
        <f>COUNTIF(Customer[抬头],Customer[[#This Row],[抬头]])</f>
        <v>1</v>
      </c>
    </row>
    <row r="359" spans="1:8" x14ac:dyDescent="0.15">
      <c r="A359" s="24" t="s">
        <v>5805</v>
      </c>
      <c r="B359" s="25">
        <f>IF(OR(Customer[[#This Row],[地标]]="",COUNTIF(Landmark[地标],Customer[[#This Row],[地标]])=1),COUNTIF(Quotation[抬头],Customer[[#This Row],[抬头]]),"地标")</f>
        <v>0</v>
      </c>
      <c r="C359" s="24" t="s">
        <v>5804</v>
      </c>
      <c r="D359" s="26" t="s">
        <v>5806</v>
      </c>
      <c r="E359" s="26" t="s">
        <v>5585</v>
      </c>
      <c r="F359" s="113"/>
      <c r="G359" s="26" t="s">
        <v>5807</v>
      </c>
      <c r="H359" s="24">
        <f>COUNTIF(Customer[抬头],Customer[[#This Row],[抬头]])</f>
        <v>1</v>
      </c>
    </row>
    <row r="360" spans="1:8" x14ac:dyDescent="0.15">
      <c r="A360" s="24" t="s">
        <v>5808</v>
      </c>
      <c r="B360" s="25" t="str">
        <f>IF(OR(Customer[[#This Row],[地标]]="",COUNTIF(Landmark[地标],Customer[[#This Row],[地标]])=1),COUNTIF(Quotation[抬头],Customer[[#This Row],[抬头]]),"地标")</f>
        <v>地标</v>
      </c>
      <c r="C360" s="24" t="s">
        <v>5810</v>
      </c>
      <c r="D360" s="26" t="s">
        <v>5809</v>
      </c>
      <c r="E360" s="26" t="s">
        <v>5585</v>
      </c>
      <c r="F360" s="113"/>
      <c r="G360" s="26"/>
      <c r="H360" s="24">
        <f>COUNTIF(Customer[抬头],Customer[[#This Row],[抬头]])</f>
        <v>1</v>
      </c>
    </row>
    <row r="361" spans="1:8" x14ac:dyDescent="0.15">
      <c r="A361" s="24" t="s">
        <v>5814</v>
      </c>
      <c r="B361" s="25">
        <f>IF(OR(Customer[[#This Row],[地标]]="",COUNTIF(Landmark[地标],Customer[[#This Row],[地标]])=1),COUNTIF(Quotation[抬头],Customer[[#This Row],[抬头]]),"地标")</f>
        <v>0</v>
      </c>
      <c r="C361" s="24" t="s">
        <v>5812</v>
      </c>
      <c r="D361" s="26" t="s">
        <v>5815</v>
      </c>
      <c r="E361" s="26" t="s">
        <v>692</v>
      </c>
      <c r="F361" s="113">
        <v>43412</v>
      </c>
      <c r="G361" s="26"/>
      <c r="H361" s="24">
        <f>COUNTIF(Customer[抬头],Customer[[#This Row],[抬头]])</f>
        <v>1</v>
      </c>
    </row>
    <row r="362" spans="1:8" x14ac:dyDescent="0.15">
      <c r="A362" s="24" t="s">
        <v>5817</v>
      </c>
      <c r="B362" s="25">
        <f>IF(OR(Customer[[#This Row],[地标]]="",COUNTIF(Landmark[地标],Customer[[#This Row],[地标]])=1),COUNTIF(Quotation[抬头],Customer[[#This Row],[抬头]]),"地标")</f>
        <v>0</v>
      </c>
      <c r="C362" s="24" t="s">
        <v>5812</v>
      </c>
      <c r="D362" s="26" t="s">
        <v>5818</v>
      </c>
      <c r="E362" s="26" t="s">
        <v>692</v>
      </c>
      <c r="F362" s="113">
        <v>43412</v>
      </c>
      <c r="G362" s="26"/>
      <c r="H362" s="24">
        <f>COUNTIF(Customer[抬头],Customer[[#This Row],[抬头]])</f>
        <v>1</v>
      </c>
    </row>
    <row r="363" spans="1:8" x14ac:dyDescent="0.15">
      <c r="A363" s="24" t="s">
        <v>5819</v>
      </c>
      <c r="B363" s="25">
        <f>IF(OR(Customer[[#This Row],[地标]]="",COUNTIF(Landmark[地标],Customer[[#This Row],[地标]])=1),COUNTIF(Quotation[抬头],Customer[[#This Row],[抬头]]),"地标")</f>
        <v>0</v>
      </c>
      <c r="C363" s="24" t="s">
        <v>5812</v>
      </c>
      <c r="D363" s="26" t="s">
        <v>5820</v>
      </c>
      <c r="E363" s="26" t="s">
        <v>692</v>
      </c>
      <c r="F363" s="113">
        <v>43412</v>
      </c>
      <c r="G363" s="26"/>
      <c r="H363" s="24">
        <f>COUNTIF(Customer[抬头],Customer[[#This Row],[抬头]])</f>
        <v>1</v>
      </c>
    </row>
    <row r="364" spans="1:8" x14ac:dyDescent="0.15">
      <c r="A364" s="24" t="s">
        <v>5840</v>
      </c>
      <c r="B364" s="25">
        <f>IF(OR(Customer[[#This Row],[地标]]="",COUNTIF(Landmark[地标],Customer[[#This Row],[地标]])=1),COUNTIF(Quotation[抬头],Customer[[#This Row],[抬头]]),"地标")</f>
        <v>0</v>
      </c>
      <c r="C364" s="24" t="s">
        <v>5904</v>
      </c>
      <c r="D364" s="26" t="s">
        <v>5912</v>
      </c>
      <c r="E364" s="26" t="s">
        <v>692</v>
      </c>
      <c r="F364" s="113">
        <v>43413</v>
      </c>
      <c r="G364" s="26"/>
      <c r="H364" s="24">
        <f>COUNTIF(Customer[抬头],Customer[[#This Row],[抬头]])</f>
        <v>1</v>
      </c>
    </row>
    <row r="365" spans="1:8" x14ac:dyDescent="0.15">
      <c r="A365" s="24" t="s">
        <v>5841</v>
      </c>
      <c r="B365" s="25">
        <f>IF(OR(Customer[[#This Row],[地标]]="",COUNTIF(Landmark[地标],Customer[[#This Row],[地标]])=1),COUNTIF(Quotation[抬头],Customer[[#This Row],[抬头]]),"地标")</f>
        <v>0</v>
      </c>
      <c r="C365" s="24" t="s">
        <v>5905</v>
      </c>
      <c r="D365" s="26" t="s">
        <v>5913</v>
      </c>
      <c r="E365" s="26" t="s">
        <v>692</v>
      </c>
      <c r="F365" s="113">
        <v>43413</v>
      </c>
      <c r="G365" s="26" t="s">
        <v>5842</v>
      </c>
      <c r="H365" s="24">
        <f>COUNTIF(Customer[抬头],Customer[[#This Row],[抬头]])</f>
        <v>1</v>
      </c>
    </row>
    <row r="366" spans="1:8" x14ac:dyDescent="0.15">
      <c r="A366" s="24" t="s">
        <v>5843</v>
      </c>
      <c r="B366" s="25">
        <f>IF(OR(Customer[[#This Row],[地标]]="",COUNTIF(Landmark[地标],Customer[[#This Row],[地标]])=1),COUNTIF(Quotation[抬头],Customer[[#This Row],[抬头]]),"地标")</f>
        <v>0</v>
      </c>
      <c r="C366" s="24" t="s">
        <v>5905</v>
      </c>
      <c r="D366" s="26" t="s">
        <v>5914</v>
      </c>
      <c r="E366" s="26" t="s">
        <v>692</v>
      </c>
      <c r="F366" s="113">
        <v>43413</v>
      </c>
      <c r="G366" s="26"/>
      <c r="H366" s="24">
        <f>COUNTIF(Customer[抬头],Customer[[#This Row],[抬头]])</f>
        <v>1</v>
      </c>
    </row>
    <row r="367" spans="1:8" ht="28.5" x14ac:dyDescent="0.15">
      <c r="A367" s="24" t="s">
        <v>5845</v>
      </c>
      <c r="B367" s="25">
        <f>IF(OR(Customer[[#This Row],[地标]]="",COUNTIF(Landmark[地标],Customer[[#This Row],[地标]])=1),COUNTIF(Quotation[抬头],Customer[[#This Row],[抬头]]),"地标")</f>
        <v>0</v>
      </c>
      <c r="C367" s="24" t="s">
        <v>5905</v>
      </c>
      <c r="D367" s="26" t="s">
        <v>5915</v>
      </c>
      <c r="E367" s="26" t="s">
        <v>692</v>
      </c>
      <c r="F367" s="113">
        <v>43413</v>
      </c>
      <c r="G367" s="26" t="s">
        <v>6079</v>
      </c>
      <c r="H367" s="24">
        <f>COUNTIF(Customer[抬头],Customer[[#This Row],[抬头]])</f>
        <v>1</v>
      </c>
    </row>
    <row r="368" spans="1:8" x14ac:dyDescent="0.15">
      <c r="A368" s="24" t="s">
        <v>5846</v>
      </c>
      <c r="B368" s="25">
        <f>IF(OR(Customer[[#This Row],[地标]]="",COUNTIF(Landmark[地标],Customer[[#This Row],[地标]])=1),COUNTIF(Quotation[抬头],Customer[[#This Row],[抬头]]),"地标")</f>
        <v>0</v>
      </c>
      <c r="C368" s="24" t="s">
        <v>5905</v>
      </c>
      <c r="D368" s="26" t="s">
        <v>5916</v>
      </c>
      <c r="E368" s="26" t="s">
        <v>692</v>
      </c>
      <c r="F368" s="113">
        <v>43413</v>
      </c>
      <c r="G368" s="26" t="s">
        <v>6077</v>
      </c>
      <c r="H368" s="24">
        <f>COUNTIF(Customer[抬头],Customer[[#This Row],[抬头]])</f>
        <v>1</v>
      </c>
    </row>
    <row r="369" spans="1:8" x14ac:dyDescent="0.15">
      <c r="A369" s="24" t="s">
        <v>5847</v>
      </c>
      <c r="B369" s="25">
        <f>IF(OR(Customer[[#This Row],[地标]]="",COUNTIF(Landmark[地标],Customer[[#This Row],[地标]])=1),COUNTIF(Quotation[抬头],Customer[[#This Row],[抬头]]),"地标")</f>
        <v>0</v>
      </c>
      <c r="C369" s="24" t="s">
        <v>5905</v>
      </c>
      <c r="D369" s="26" t="s">
        <v>5917</v>
      </c>
      <c r="E369" s="26" t="s">
        <v>692</v>
      </c>
      <c r="F369" s="113">
        <v>43413</v>
      </c>
      <c r="G369" s="26" t="s">
        <v>6074</v>
      </c>
      <c r="H369" s="24">
        <f>COUNTIF(Customer[抬头],Customer[[#This Row],[抬头]])</f>
        <v>1</v>
      </c>
    </row>
    <row r="370" spans="1:8" x14ac:dyDescent="0.15">
      <c r="A370" s="24" t="s">
        <v>5848</v>
      </c>
      <c r="B370" s="25">
        <f>IF(OR(Customer[[#This Row],[地标]]="",COUNTIF(Landmark[地标],Customer[[#This Row],[地标]])=1),COUNTIF(Quotation[抬头],Customer[[#This Row],[抬头]]),"地标")</f>
        <v>0</v>
      </c>
      <c r="C370" s="24" t="s">
        <v>5905</v>
      </c>
      <c r="D370" s="26" t="s">
        <v>5918</v>
      </c>
      <c r="E370" s="26" t="s">
        <v>692</v>
      </c>
      <c r="F370" s="113">
        <v>43413</v>
      </c>
      <c r="G370" s="26" t="s">
        <v>5849</v>
      </c>
      <c r="H370" s="24">
        <f>COUNTIF(Customer[抬头],Customer[[#This Row],[抬头]])</f>
        <v>1</v>
      </c>
    </row>
    <row r="371" spans="1:8" x14ac:dyDescent="0.15">
      <c r="A371" s="24" t="s">
        <v>5850</v>
      </c>
      <c r="B371" s="25">
        <f>IF(OR(Customer[[#This Row],[地标]]="",COUNTIF(Landmark[地标],Customer[[#This Row],[地标]])=1),COUNTIF(Quotation[抬头],Customer[[#This Row],[抬头]]),"地标")</f>
        <v>0</v>
      </c>
      <c r="C371" s="24" t="s">
        <v>5905</v>
      </c>
      <c r="D371" s="26" t="s">
        <v>5919</v>
      </c>
      <c r="E371" s="26" t="s">
        <v>692</v>
      </c>
      <c r="F371" s="113">
        <v>43413</v>
      </c>
      <c r="G371" s="26"/>
      <c r="H371" s="24">
        <f>COUNTIF(Customer[抬头],Customer[[#This Row],[抬头]])</f>
        <v>1</v>
      </c>
    </row>
    <row r="372" spans="1:8" x14ac:dyDescent="0.15">
      <c r="A372" s="24" t="s">
        <v>5851</v>
      </c>
      <c r="B372" s="25">
        <f>IF(OR(Customer[[#This Row],[地标]]="",COUNTIF(Landmark[地标],Customer[[#This Row],[地标]])=1),COUNTIF(Quotation[抬头],Customer[[#This Row],[抬头]]),"地标")</f>
        <v>0</v>
      </c>
      <c r="C372" s="24" t="s">
        <v>5904</v>
      </c>
      <c r="D372" s="26" t="s">
        <v>5920</v>
      </c>
      <c r="E372" s="26" t="s">
        <v>692</v>
      </c>
      <c r="F372" s="113">
        <v>43413</v>
      </c>
      <c r="G372" s="26" t="s">
        <v>6076</v>
      </c>
      <c r="H372" s="24">
        <f>COUNTIF(Customer[抬头],Customer[[#This Row],[抬头]])</f>
        <v>1</v>
      </c>
    </row>
    <row r="373" spans="1:8" x14ac:dyDescent="0.15">
      <c r="A373" s="24" t="s">
        <v>5852</v>
      </c>
      <c r="B373" s="25">
        <f>IF(OR(Customer[[#This Row],[地标]]="",COUNTIF(Landmark[地标],Customer[[#This Row],[地标]])=1),COUNTIF(Quotation[抬头],Customer[[#This Row],[抬头]]),"地标")</f>
        <v>0</v>
      </c>
      <c r="C373" s="24" t="s">
        <v>5904</v>
      </c>
      <c r="D373" s="26" t="s">
        <v>5921</v>
      </c>
      <c r="E373" s="26" t="s">
        <v>692</v>
      </c>
      <c r="F373" s="113">
        <v>43413</v>
      </c>
      <c r="G373" s="26" t="s">
        <v>5853</v>
      </c>
      <c r="H373" s="24">
        <f>COUNTIF(Customer[抬头],Customer[[#This Row],[抬头]])</f>
        <v>1</v>
      </c>
    </row>
    <row r="374" spans="1:8" x14ac:dyDescent="0.15">
      <c r="A374" s="24" t="s">
        <v>5854</v>
      </c>
      <c r="B374" s="25">
        <f>IF(OR(Customer[[#This Row],[地标]]="",COUNTIF(Landmark[地标],Customer[[#This Row],[地标]])=1),COUNTIF(Quotation[抬头],Customer[[#This Row],[抬头]]),"地标")</f>
        <v>0</v>
      </c>
      <c r="C374" s="24" t="s">
        <v>5904</v>
      </c>
      <c r="D374" s="26" t="s">
        <v>5922</v>
      </c>
      <c r="E374" s="26" t="s">
        <v>692</v>
      </c>
      <c r="F374" s="113">
        <v>43413</v>
      </c>
      <c r="G374" s="26" t="s">
        <v>5855</v>
      </c>
      <c r="H374" s="24">
        <f>COUNTIF(Customer[抬头],Customer[[#This Row],[抬头]])</f>
        <v>1</v>
      </c>
    </row>
    <row r="375" spans="1:8" x14ac:dyDescent="0.15">
      <c r="A375" s="24" t="s">
        <v>5856</v>
      </c>
      <c r="B375" s="25">
        <f>IF(OR(Customer[[#This Row],[地标]]="",COUNTIF(Landmark[地标],Customer[[#This Row],[地标]])=1),COUNTIF(Quotation[抬头],Customer[[#This Row],[抬头]]),"地标")</f>
        <v>0</v>
      </c>
      <c r="C375" s="24" t="s">
        <v>5904</v>
      </c>
      <c r="D375" s="26" t="s">
        <v>5923</v>
      </c>
      <c r="E375" s="26" t="s">
        <v>692</v>
      </c>
      <c r="F375" s="113">
        <v>43413</v>
      </c>
      <c r="G375" s="26" t="s">
        <v>5857</v>
      </c>
      <c r="H375" s="24">
        <f>COUNTIF(Customer[抬头],Customer[[#This Row],[抬头]])</f>
        <v>1</v>
      </c>
    </row>
    <row r="376" spans="1:8" x14ac:dyDescent="0.15">
      <c r="A376" s="24" t="s">
        <v>5858</v>
      </c>
      <c r="B376" s="25">
        <f>IF(OR(Customer[[#This Row],[地标]]="",COUNTIF(Landmark[地标],Customer[[#This Row],[地标]])=1),COUNTIF(Quotation[抬头],Customer[[#This Row],[抬头]]),"地标")</f>
        <v>0</v>
      </c>
      <c r="C376" s="24" t="s">
        <v>5904</v>
      </c>
      <c r="D376" s="26" t="s">
        <v>5924</v>
      </c>
      <c r="E376" s="26" t="s">
        <v>692</v>
      </c>
      <c r="F376" s="113">
        <v>43413</v>
      </c>
      <c r="G376" s="26" t="s">
        <v>5859</v>
      </c>
      <c r="H376" s="24">
        <f>COUNTIF(Customer[抬头],Customer[[#This Row],[抬头]])</f>
        <v>1</v>
      </c>
    </row>
    <row r="377" spans="1:8" x14ac:dyDescent="0.15">
      <c r="A377" s="24" t="s">
        <v>5860</v>
      </c>
      <c r="B377" s="25">
        <f>IF(OR(Customer[[#This Row],[地标]]="",COUNTIF(Landmark[地标],Customer[[#This Row],[地标]])=1),COUNTIF(Quotation[抬头],Customer[[#This Row],[抬头]]),"地标")</f>
        <v>0</v>
      </c>
      <c r="C377" s="24" t="s">
        <v>5904</v>
      </c>
      <c r="D377" s="26" t="s">
        <v>5924</v>
      </c>
      <c r="E377" s="26" t="s">
        <v>692</v>
      </c>
      <c r="F377" s="113">
        <v>43413</v>
      </c>
      <c r="G377" s="26" t="s">
        <v>5861</v>
      </c>
      <c r="H377" s="24">
        <f>COUNTIF(Customer[抬头],Customer[[#This Row],[抬头]])</f>
        <v>1</v>
      </c>
    </row>
    <row r="378" spans="1:8" x14ac:dyDescent="0.15">
      <c r="A378" s="24" t="s">
        <v>5862</v>
      </c>
      <c r="B378" s="25">
        <f>IF(OR(Customer[[#This Row],[地标]]="",COUNTIF(Landmark[地标],Customer[[#This Row],[地标]])=1),COUNTIF(Quotation[抬头],Customer[[#This Row],[抬头]]),"地标")</f>
        <v>0</v>
      </c>
      <c r="C378" s="24" t="s">
        <v>5904</v>
      </c>
      <c r="D378" s="26" t="s">
        <v>5925</v>
      </c>
      <c r="E378" s="26" t="s">
        <v>692</v>
      </c>
      <c r="F378" s="113">
        <v>43413</v>
      </c>
      <c r="G378" s="26"/>
      <c r="H378" s="24">
        <f>COUNTIF(Customer[抬头],Customer[[#This Row],[抬头]])</f>
        <v>1</v>
      </c>
    </row>
    <row r="379" spans="1:8" x14ac:dyDescent="0.15">
      <c r="A379" s="24" t="s">
        <v>5863</v>
      </c>
      <c r="B379" s="25">
        <f>IF(OR(Customer[[#This Row],[地标]]="",COUNTIF(Landmark[地标],Customer[[#This Row],[地标]])=1),COUNTIF(Quotation[抬头],Customer[[#This Row],[抬头]]),"地标")</f>
        <v>0</v>
      </c>
      <c r="C379" s="24" t="s">
        <v>5904</v>
      </c>
      <c r="D379" s="26" t="s">
        <v>5926</v>
      </c>
      <c r="E379" s="26" t="s">
        <v>692</v>
      </c>
      <c r="F379" s="113">
        <v>43413</v>
      </c>
      <c r="G379" s="26"/>
      <c r="H379" s="24">
        <f>COUNTIF(Customer[抬头],Customer[[#This Row],[抬头]])</f>
        <v>1</v>
      </c>
    </row>
    <row r="380" spans="1:8" x14ac:dyDescent="0.15">
      <c r="A380" s="24" t="s">
        <v>5864</v>
      </c>
      <c r="B380" s="25">
        <f>IF(OR(Customer[[#This Row],[地标]]="",COUNTIF(Landmark[地标],Customer[[#This Row],[地标]])=1),COUNTIF(Quotation[抬头],Customer[[#This Row],[抬头]]),"地标")</f>
        <v>0</v>
      </c>
      <c r="C380" s="24" t="s">
        <v>5904</v>
      </c>
      <c r="D380" s="26" t="s">
        <v>5927</v>
      </c>
      <c r="E380" s="26" t="s">
        <v>692</v>
      </c>
      <c r="F380" s="113">
        <v>43413</v>
      </c>
      <c r="G380" s="26" t="s">
        <v>6075</v>
      </c>
      <c r="H380" s="24">
        <f>COUNTIF(Customer[抬头],Customer[[#This Row],[抬头]])</f>
        <v>1</v>
      </c>
    </row>
    <row r="381" spans="1:8" x14ac:dyDescent="0.15">
      <c r="A381" s="24" t="s">
        <v>5865</v>
      </c>
      <c r="B381" s="25">
        <f>IF(OR(Customer[[#This Row],[地标]]="",COUNTIF(Landmark[地标],Customer[[#This Row],[地标]])=1),COUNTIF(Quotation[抬头],Customer[[#This Row],[抬头]]),"地标")</f>
        <v>0</v>
      </c>
      <c r="C381" s="24" t="s">
        <v>5904</v>
      </c>
      <c r="D381" s="26" t="s">
        <v>5928</v>
      </c>
      <c r="E381" s="26" t="s">
        <v>692</v>
      </c>
      <c r="F381" s="113">
        <v>43413</v>
      </c>
      <c r="G381" s="26"/>
      <c r="H381" s="24">
        <f>COUNTIF(Customer[抬头],Customer[[#This Row],[抬头]])</f>
        <v>1</v>
      </c>
    </row>
    <row r="382" spans="1:8" x14ac:dyDescent="0.15">
      <c r="A382" s="24" t="s">
        <v>5866</v>
      </c>
      <c r="B382" s="25">
        <f>IF(OR(Customer[[#This Row],[地标]]="",COUNTIF(Landmark[地标],Customer[[#This Row],[地标]])=1),COUNTIF(Quotation[抬头],Customer[[#This Row],[抬头]]),"地标")</f>
        <v>0</v>
      </c>
      <c r="C382" s="24" t="s">
        <v>5904</v>
      </c>
      <c r="D382" s="26" t="s">
        <v>5929</v>
      </c>
      <c r="E382" s="26" t="s">
        <v>692</v>
      </c>
      <c r="F382" s="113">
        <v>43413</v>
      </c>
      <c r="G382" s="26" t="s">
        <v>5867</v>
      </c>
      <c r="H382" s="24">
        <f>COUNTIF(Customer[抬头],Customer[[#This Row],[抬头]])</f>
        <v>1</v>
      </c>
    </row>
    <row r="383" spans="1:8" x14ac:dyDescent="0.15">
      <c r="A383" s="24" t="s">
        <v>5868</v>
      </c>
      <c r="B383" s="25">
        <f>IF(OR(Customer[[#This Row],[地标]]="",COUNTIF(Landmark[地标],Customer[[#This Row],[地标]])=1),COUNTIF(Quotation[抬头],Customer[[#This Row],[抬头]]),"地标")</f>
        <v>0</v>
      </c>
      <c r="C383" s="24" t="s">
        <v>5904</v>
      </c>
      <c r="D383" s="26" t="s">
        <v>5930</v>
      </c>
      <c r="E383" s="26" t="s">
        <v>692</v>
      </c>
      <c r="F383" s="113">
        <v>43413</v>
      </c>
      <c r="G383" s="26" t="s">
        <v>6073</v>
      </c>
      <c r="H383" s="24">
        <f>COUNTIF(Customer[抬头],Customer[[#This Row],[抬头]])</f>
        <v>1</v>
      </c>
    </row>
    <row r="384" spans="1:8" x14ac:dyDescent="0.15">
      <c r="A384" s="24" t="s">
        <v>5869</v>
      </c>
      <c r="B384" s="25">
        <f>IF(OR(Customer[[#This Row],[地标]]="",COUNTIF(Landmark[地标],Customer[[#This Row],[地标]])=1),COUNTIF(Quotation[抬头],Customer[[#This Row],[抬头]]),"地标")</f>
        <v>0</v>
      </c>
      <c r="C384" s="24" t="s">
        <v>5904</v>
      </c>
      <c r="D384" s="26" t="s">
        <v>5931</v>
      </c>
      <c r="E384" s="26" t="s">
        <v>692</v>
      </c>
      <c r="F384" s="113">
        <v>43413</v>
      </c>
      <c r="G384" s="26" t="s">
        <v>5870</v>
      </c>
      <c r="H384" s="24">
        <f>COUNTIF(Customer[抬头],Customer[[#This Row],[抬头]])</f>
        <v>1</v>
      </c>
    </row>
    <row r="385" spans="1:8" x14ac:dyDescent="0.15">
      <c r="A385" s="24" t="s">
        <v>5871</v>
      </c>
      <c r="B385" s="25">
        <f>IF(OR(Customer[[#This Row],[地标]]="",COUNTIF(Landmark[地标],Customer[[#This Row],[地标]])=1),COUNTIF(Quotation[抬头],Customer[[#This Row],[抬头]]),"地标")</f>
        <v>0</v>
      </c>
      <c r="C385" s="24" t="s">
        <v>5904</v>
      </c>
      <c r="D385" s="26" t="s">
        <v>5932</v>
      </c>
      <c r="E385" s="26" t="s">
        <v>692</v>
      </c>
      <c r="F385" s="113">
        <v>43413</v>
      </c>
      <c r="G385" s="26" t="s">
        <v>5872</v>
      </c>
      <c r="H385" s="24">
        <f>COUNTIF(Customer[抬头],Customer[[#This Row],[抬头]])</f>
        <v>1</v>
      </c>
    </row>
    <row r="386" spans="1:8" x14ac:dyDescent="0.15">
      <c r="A386" s="24" t="s">
        <v>5873</v>
      </c>
      <c r="B386" s="25">
        <f>IF(OR(Customer[[#This Row],[地标]]="",COUNTIF(Landmark[地标],Customer[[#This Row],[地标]])=1),COUNTIF(Quotation[抬头],Customer[[#This Row],[抬头]]),"地标")</f>
        <v>0</v>
      </c>
      <c r="C386" s="24" t="s">
        <v>5904</v>
      </c>
      <c r="D386" s="26" t="s">
        <v>5933</v>
      </c>
      <c r="E386" s="26" t="s">
        <v>692</v>
      </c>
      <c r="F386" s="113">
        <v>43413</v>
      </c>
      <c r="G386" s="26"/>
      <c r="H386" s="24">
        <f>COUNTIF(Customer[抬头],Customer[[#This Row],[抬头]])</f>
        <v>1</v>
      </c>
    </row>
    <row r="387" spans="1:8" x14ac:dyDescent="0.15">
      <c r="A387" s="24" t="s">
        <v>5874</v>
      </c>
      <c r="B387" s="25">
        <f>IF(OR(Customer[[#This Row],[地标]]="",COUNTIF(Landmark[地标],Customer[[#This Row],[地标]])=1),COUNTIF(Quotation[抬头],Customer[[#This Row],[抬头]]),"地标")</f>
        <v>0</v>
      </c>
      <c r="C387" s="24" t="s">
        <v>5906</v>
      </c>
      <c r="D387" s="26" t="s">
        <v>5934</v>
      </c>
      <c r="E387" s="26" t="s">
        <v>692</v>
      </c>
      <c r="F387" s="113">
        <v>43413</v>
      </c>
      <c r="G387" s="26"/>
      <c r="H387" s="24">
        <f>COUNTIF(Customer[抬头],Customer[[#This Row],[抬头]])</f>
        <v>1</v>
      </c>
    </row>
    <row r="388" spans="1:8" x14ac:dyDescent="0.15">
      <c r="A388" s="24" t="s">
        <v>5875</v>
      </c>
      <c r="B388" s="25">
        <f>IF(OR(Customer[[#This Row],[地标]]="",COUNTIF(Landmark[地标],Customer[[#This Row],[地标]])=1),COUNTIF(Quotation[抬头],Customer[[#This Row],[抬头]]),"地标")</f>
        <v>0</v>
      </c>
      <c r="C388" s="24" t="s">
        <v>5831</v>
      </c>
      <c r="D388" s="26" t="s">
        <v>5876</v>
      </c>
      <c r="E388" s="26" t="s">
        <v>692</v>
      </c>
      <c r="F388" s="113">
        <v>43413</v>
      </c>
      <c r="G388" s="26" t="s">
        <v>5877</v>
      </c>
      <c r="H388" s="24">
        <f>COUNTIF(Customer[抬头],Customer[[#This Row],[抬头]])</f>
        <v>1</v>
      </c>
    </row>
    <row r="389" spans="1:8" x14ac:dyDescent="0.15">
      <c r="A389" s="24" t="s">
        <v>5878</v>
      </c>
      <c r="B389" s="25">
        <f>IF(OR(Customer[[#This Row],[地标]]="",COUNTIF(Landmark[地标],Customer[[#This Row],[地标]])=1),COUNTIF(Quotation[抬头],Customer[[#This Row],[抬头]]),"地标")</f>
        <v>1</v>
      </c>
      <c r="C389" s="24" t="s">
        <v>5833</v>
      </c>
      <c r="D389" s="26" t="s">
        <v>5879</v>
      </c>
      <c r="E389" s="26" t="s">
        <v>692</v>
      </c>
      <c r="F389" s="113">
        <v>43413</v>
      </c>
      <c r="G389" s="26" t="s">
        <v>6073</v>
      </c>
      <c r="H389" s="24">
        <f>COUNTIF(Customer[抬头],Customer[[#This Row],[抬头]])</f>
        <v>1</v>
      </c>
    </row>
    <row r="390" spans="1:8" x14ac:dyDescent="0.15">
      <c r="A390" s="24" t="s">
        <v>5880</v>
      </c>
      <c r="B390" s="25">
        <f>IF(OR(Customer[[#This Row],[地标]]="",COUNTIF(Landmark[地标],Customer[[#This Row],[地标]])=1),COUNTIF(Quotation[抬头],Customer[[#This Row],[抬头]]),"地标")</f>
        <v>0</v>
      </c>
      <c r="C390" s="24" t="s">
        <v>5833</v>
      </c>
      <c r="D390" s="26" t="s">
        <v>5881</v>
      </c>
      <c r="E390" s="26" t="s">
        <v>692</v>
      </c>
      <c r="F390" s="113">
        <v>43413</v>
      </c>
      <c r="G390" s="26"/>
      <c r="H390" s="24">
        <f>COUNTIF(Customer[抬头],Customer[[#This Row],[抬头]])</f>
        <v>1</v>
      </c>
    </row>
    <row r="391" spans="1:8" x14ac:dyDescent="0.15">
      <c r="A391" s="24" t="s">
        <v>5882</v>
      </c>
      <c r="B391" s="25">
        <f>IF(OR(Customer[[#This Row],[地标]]="",COUNTIF(Landmark[地标],Customer[[#This Row],[地标]])=1),COUNTIF(Quotation[抬头],Customer[[#This Row],[抬头]]),"地标")</f>
        <v>0</v>
      </c>
      <c r="C391" s="24" t="s">
        <v>5833</v>
      </c>
      <c r="D391" s="26" t="s">
        <v>5883</v>
      </c>
      <c r="E391" s="26" t="s">
        <v>692</v>
      </c>
      <c r="F391" s="113">
        <v>43413</v>
      </c>
      <c r="G391" s="26"/>
      <c r="H391" s="24">
        <f>COUNTIF(Customer[抬头],Customer[[#This Row],[抬头]])</f>
        <v>1</v>
      </c>
    </row>
    <row r="392" spans="1:8" x14ac:dyDescent="0.15">
      <c r="A392" s="24" t="s">
        <v>5884</v>
      </c>
      <c r="B392" s="25">
        <f>IF(OR(Customer[[#This Row],[地标]]="",COUNTIF(Landmark[地标],Customer[[#This Row],[地标]])=1),COUNTIF(Quotation[抬头],Customer[[#This Row],[抬头]]),"地标")</f>
        <v>0</v>
      </c>
      <c r="C392" s="24" t="s">
        <v>5833</v>
      </c>
      <c r="D392" s="26" t="s">
        <v>5885</v>
      </c>
      <c r="E392" s="26" t="s">
        <v>692</v>
      </c>
      <c r="F392" s="113">
        <v>43413</v>
      </c>
      <c r="G392" s="26" t="s">
        <v>6073</v>
      </c>
      <c r="H392" s="24">
        <f>COUNTIF(Customer[抬头],Customer[[#This Row],[抬头]])</f>
        <v>1</v>
      </c>
    </row>
    <row r="393" spans="1:8" x14ac:dyDescent="0.15">
      <c r="A393" s="24" t="s">
        <v>5886</v>
      </c>
      <c r="B393" s="25">
        <f>IF(OR(Customer[[#This Row],[地标]]="",COUNTIF(Landmark[地标],Customer[[#This Row],[地标]])=1),COUNTIF(Quotation[抬头],Customer[[#This Row],[抬头]]),"地标")</f>
        <v>0</v>
      </c>
      <c r="C393" s="24" t="s">
        <v>5834</v>
      </c>
      <c r="D393" s="26" t="s">
        <v>5887</v>
      </c>
      <c r="E393" s="26" t="s">
        <v>692</v>
      </c>
      <c r="F393" s="113">
        <v>43413</v>
      </c>
      <c r="G393" s="26"/>
      <c r="H393" s="24">
        <f>COUNTIF(Customer[抬头],Customer[[#This Row],[抬头]])</f>
        <v>1</v>
      </c>
    </row>
    <row r="394" spans="1:8" x14ac:dyDescent="0.15">
      <c r="A394" s="24" t="s">
        <v>5888</v>
      </c>
      <c r="B394" s="25">
        <f>IF(OR(Customer[[#This Row],[地标]]="",COUNTIF(Landmark[地标],Customer[[#This Row],[地标]])=1),COUNTIF(Quotation[抬头],Customer[[#This Row],[抬头]]),"地标")</f>
        <v>0</v>
      </c>
      <c r="C394" s="24" t="s">
        <v>5834</v>
      </c>
      <c r="D394" s="26" t="s">
        <v>5889</v>
      </c>
      <c r="E394" s="26" t="s">
        <v>692</v>
      </c>
      <c r="F394" s="113">
        <v>43413</v>
      </c>
      <c r="G394" s="26"/>
      <c r="H394" s="24">
        <f>COUNTIF(Customer[抬头],Customer[[#This Row],[抬头]])</f>
        <v>1</v>
      </c>
    </row>
    <row r="395" spans="1:8" ht="28.5" x14ac:dyDescent="0.15">
      <c r="A395" s="24" t="s">
        <v>5890</v>
      </c>
      <c r="B395" s="25">
        <f>IF(OR(Customer[[#This Row],[地标]]="",COUNTIF(Landmark[地标],Customer[[#This Row],[地标]])=1),COUNTIF(Quotation[抬头],Customer[[#This Row],[抬头]]),"地标")</f>
        <v>0</v>
      </c>
      <c r="C395" s="24" t="s">
        <v>5834</v>
      </c>
      <c r="D395" s="26" t="s">
        <v>5891</v>
      </c>
      <c r="E395" s="26" t="s">
        <v>692</v>
      </c>
      <c r="F395" s="113">
        <v>43413</v>
      </c>
      <c r="G395" s="26" t="s">
        <v>5893</v>
      </c>
      <c r="H395" s="24">
        <f>COUNTIF(Customer[抬头],Customer[[#This Row],[抬头]])</f>
        <v>1</v>
      </c>
    </row>
    <row r="396" spans="1:8" x14ac:dyDescent="0.15">
      <c r="A396" s="24" t="s">
        <v>5892</v>
      </c>
      <c r="B396" s="25">
        <f>IF(OR(Customer[[#This Row],[地标]]="",COUNTIF(Landmark[地标],Customer[[#This Row],[地标]])=1),COUNTIF(Quotation[抬头],Customer[[#This Row],[抬头]]),"地标")</f>
        <v>0</v>
      </c>
      <c r="C396" s="24" t="s">
        <v>5834</v>
      </c>
      <c r="D396" s="26" t="s">
        <v>5894</v>
      </c>
      <c r="E396" s="26" t="s">
        <v>692</v>
      </c>
      <c r="F396" s="113">
        <v>43413</v>
      </c>
      <c r="G396" s="26" t="s">
        <v>5895</v>
      </c>
      <c r="H396" s="24">
        <f>COUNTIF(Customer[抬头],Customer[[#This Row],[抬头]])</f>
        <v>1</v>
      </c>
    </row>
    <row r="397" spans="1:8" x14ac:dyDescent="0.15">
      <c r="A397" s="24" t="s">
        <v>5896</v>
      </c>
      <c r="B397" s="25">
        <f>IF(OR(Customer[[#This Row],[地标]]="",COUNTIF(Landmark[地标],Customer[[#This Row],[地标]])=1),COUNTIF(Quotation[抬头],Customer[[#This Row],[抬头]]),"地标")</f>
        <v>0</v>
      </c>
      <c r="C397" s="24" t="s">
        <v>5830</v>
      </c>
      <c r="D397" s="26" t="s">
        <v>5897</v>
      </c>
      <c r="E397" s="26" t="s">
        <v>692</v>
      </c>
      <c r="F397" s="113">
        <v>43413</v>
      </c>
      <c r="G397" s="26" t="s">
        <v>5898</v>
      </c>
      <c r="H397" s="24">
        <f>COUNTIF(Customer[抬头],Customer[[#This Row],[抬头]])</f>
        <v>1</v>
      </c>
    </row>
    <row r="398" spans="1:8" x14ac:dyDescent="0.15">
      <c r="A398" s="24" t="s">
        <v>5899</v>
      </c>
      <c r="B398" s="25">
        <f>IF(OR(Customer[[#This Row],[地标]]="",COUNTIF(Landmark[地标],Customer[[#This Row],[地标]])=1),COUNTIF(Quotation[抬头],Customer[[#This Row],[抬头]]),"地标")</f>
        <v>0</v>
      </c>
      <c r="C398" s="24" t="s">
        <v>5830</v>
      </c>
      <c r="D398" s="26" t="s">
        <v>5900</v>
      </c>
      <c r="E398" s="26" t="s">
        <v>692</v>
      </c>
      <c r="F398" s="113">
        <v>43413</v>
      </c>
      <c r="G398" s="26" t="s">
        <v>5901</v>
      </c>
      <c r="H398" s="24">
        <f>COUNTIF(Customer[抬头],Customer[[#This Row],[抬头]])</f>
        <v>1</v>
      </c>
    </row>
    <row r="399" spans="1:8" x14ac:dyDescent="0.15">
      <c r="A399" s="24" t="s">
        <v>5902</v>
      </c>
      <c r="B399" s="25">
        <f>IF(OR(Customer[[#This Row],[地标]]="",COUNTIF(Landmark[地标],Customer[[#This Row],[地标]])=1),COUNTIF(Quotation[抬头],Customer[[#This Row],[抬头]]),"地标")</f>
        <v>0</v>
      </c>
      <c r="C399" s="24" t="s">
        <v>5830</v>
      </c>
      <c r="D399" s="26" t="s">
        <v>5903</v>
      </c>
      <c r="E399" s="26" t="s">
        <v>692</v>
      </c>
      <c r="F399" s="113">
        <v>43413</v>
      </c>
      <c r="G399" s="26"/>
      <c r="H399" s="24">
        <f>COUNTIF(Customer[抬头],Customer[[#This Row],[抬头]])</f>
        <v>1</v>
      </c>
    </row>
    <row r="400" spans="1:8" x14ac:dyDescent="0.15">
      <c r="A400" s="24" t="s">
        <v>6067</v>
      </c>
      <c r="B400" s="25">
        <f>IF(OR(Customer[[#This Row],[地标]]="",COUNTIF(Landmark[地标],Customer[[#This Row],[地标]])=1),COUNTIF(Quotation[抬头],Customer[[#This Row],[抬头]]),"地标")</f>
        <v>0</v>
      </c>
      <c r="C400" s="24" t="s">
        <v>5904</v>
      </c>
      <c r="D400" s="26" t="s">
        <v>6069</v>
      </c>
      <c r="E400" s="26" t="s">
        <v>692</v>
      </c>
      <c r="F400" s="113">
        <v>43413</v>
      </c>
      <c r="G400" s="26" t="s">
        <v>6070</v>
      </c>
      <c r="H400" s="24">
        <f>COUNTIF(Customer[抬头],Customer[[#This Row],[抬头]])</f>
        <v>1</v>
      </c>
    </row>
    <row r="401" spans="1:8" ht="28.5" x14ac:dyDescent="0.15">
      <c r="A401" s="24" t="s">
        <v>6082</v>
      </c>
      <c r="B401" s="25">
        <f>IF(OR(Customer[[#This Row],[地标]]="",COUNTIF(Landmark[地标],Customer[[#This Row],[地标]])=1),COUNTIF(Quotation[抬头],Customer[[#This Row],[抬头]]),"地标")</f>
        <v>0</v>
      </c>
      <c r="C401" s="24" t="s">
        <v>6083</v>
      </c>
      <c r="D401" s="26" t="s">
        <v>6087</v>
      </c>
      <c r="E401" s="26" t="s">
        <v>692</v>
      </c>
      <c r="F401" s="113">
        <v>43416</v>
      </c>
      <c r="G401" s="26" t="s">
        <v>6084</v>
      </c>
      <c r="H401" s="24">
        <f>COUNTIF(Customer[抬头],Customer[[#This Row],[抬头]])</f>
        <v>1</v>
      </c>
    </row>
    <row r="402" spans="1:8" x14ac:dyDescent="0.15">
      <c r="A402" s="24" t="s">
        <v>6085</v>
      </c>
      <c r="B402" s="25">
        <f>IF(OR(Customer[[#This Row],[地标]]="",COUNTIF(Landmark[地标],Customer[[#This Row],[地标]])=1),COUNTIF(Quotation[抬头],Customer[[#This Row],[抬头]]),"地标")</f>
        <v>0</v>
      </c>
      <c r="C402" s="24" t="s">
        <v>6083</v>
      </c>
      <c r="D402" s="26" t="s">
        <v>6086</v>
      </c>
      <c r="E402" s="26" t="s">
        <v>692</v>
      </c>
      <c r="F402" s="113">
        <v>43416</v>
      </c>
      <c r="G402" s="26" t="s">
        <v>6088</v>
      </c>
      <c r="H402" s="24">
        <f>COUNTIF(Customer[抬头],Customer[[#This Row],[抬头]])</f>
        <v>1</v>
      </c>
    </row>
    <row r="403" spans="1:8" x14ac:dyDescent="0.15">
      <c r="A403" s="24" t="s">
        <v>6091</v>
      </c>
      <c r="B403" s="25">
        <f>IF(OR(Customer[[#This Row],[地标]]="",COUNTIF(Landmark[地标],Customer[[#This Row],[地标]])=1),COUNTIF(Quotation[抬头],Customer[[#This Row],[抬头]]),"地标")</f>
        <v>0</v>
      </c>
      <c r="C403" s="24" t="s">
        <v>6083</v>
      </c>
      <c r="D403" s="26" t="s">
        <v>6090</v>
      </c>
      <c r="E403" s="26" t="s">
        <v>692</v>
      </c>
      <c r="F403" s="113">
        <v>43416</v>
      </c>
      <c r="G403" s="26" t="s">
        <v>6092</v>
      </c>
      <c r="H403" s="24">
        <f>COUNTIF(Customer[抬头],Customer[[#This Row],[抬头]])</f>
        <v>1</v>
      </c>
    </row>
    <row r="404" spans="1:8" x14ac:dyDescent="0.15">
      <c r="A404" s="24" t="s">
        <v>6093</v>
      </c>
      <c r="B404" s="25">
        <f>IF(OR(Customer[[#This Row],[地标]]="",COUNTIF(Landmark[地标],Customer[[#This Row],[地标]])=1),COUNTIF(Quotation[抬头],Customer[[#This Row],[抬头]]),"地标")</f>
        <v>0</v>
      </c>
      <c r="C404" s="24" t="s">
        <v>6083</v>
      </c>
      <c r="D404" s="26" t="s">
        <v>6094</v>
      </c>
      <c r="E404" s="26" t="s">
        <v>692</v>
      </c>
      <c r="F404" s="113">
        <v>43416</v>
      </c>
      <c r="G404" s="26" t="s">
        <v>6095</v>
      </c>
      <c r="H404" s="24">
        <f>COUNTIF(Customer[抬头],Customer[[#This Row],[抬头]])</f>
        <v>1</v>
      </c>
    </row>
    <row r="405" spans="1:8" x14ac:dyDescent="0.15">
      <c r="A405" s="24" t="s">
        <v>6096</v>
      </c>
      <c r="B405" s="25">
        <f>IF(OR(Customer[[#This Row],[地标]]="",COUNTIF(Landmark[地标],Customer[[#This Row],[地标]])=1),COUNTIF(Quotation[抬头],Customer[[#This Row],[抬头]]),"地标")</f>
        <v>0</v>
      </c>
      <c r="C405" s="24" t="s">
        <v>6083</v>
      </c>
      <c r="D405" s="26" t="s">
        <v>6094</v>
      </c>
      <c r="E405" s="26" t="s">
        <v>692</v>
      </c>
      <c r="F405" s="113">
        <v>43416</v>
      </c>
      <c r="G405" s="26" t="s">
        <v>6097</v>
      </c>
      <c r="H405" s="24">
        <f>COUNTIF(Customer[抬头],Customer[[#This Row],[抬头]])</f>
        <v>1</v>
      </c>
    </row>
    <row r="406" spans="1:8" x14ac:dyDescent="0.15">
      <c r="A406" s="24" t="s">
        <v>6099</v>
      </c>
      <c r="B406" s="25">
        <f>IF(OR(Customer[[#This Row],[地标]]="",COUNTIF(Landmark[地标],Customer[[#This Row],[地标]])=1),COUNTIF(Quotation[抬头],Customer[[#This Row],[抬头]]),"地标")</f>
        <v>0</v>
      </c>
      <c r="C406" s="24" t="s">
        <v>6083</v>
      </c>
      <c r="D406" s="26" t="s">
        <v>6100</v>
      </c>
      <c r="E406" s="26" t="s">
        <v>692</v>
      </c>
      <c r="F406" s="113">
        <v>43416</v>
      </c>
      <c r="G406" s="26" t="s">
        <v>6101</v>
      </c>
      <c r="H406" s="24">
        <f>COUNTIF(Customer[抬头],Customer[[#This Row],[抬头]])</f>
        <v>1</v>
      </c>
    </row>
    <row r="407" spans="1:8" x14ac:dyDescent="0.15">
      <c r="A407" s="24" t="s">
        <v>6102</v>
      </c>
      <c r="B407" s="25">
        <f>IF(OR(Customer[[#This Row],[地标]]="",COUNTIF(Landmark[地标],Customer[[#This Row],[地标]])=1),COUNTIF(Quotation[抬头],Customer[[#This Row],[抬头]]),"地标")</f>
        <v>0</v>
      </c>
      <c r="C407" s="24" t="s">
        <v>6103</v>
      </c>
      <c r="D407" s="26" t="s">
        <v>6104</v>
      </c>
      <c r="E407" s="26" t="s">
        <v>692</v>
      </c>
      <c r="F407" s="113">
        <v>43416</v>
      </c>
      <c r="G407" s="26"/>
      <c r="H407" s="24">
        <f>COUNTIF(Customer[抬头],Customer[[#This Row],[抬头]])</f>
        <v>1</v>
      </c>
    </row>
    <row r="408" spans="1:8" x14ac:dyDescent="0.15">
      <c r="A408" s="24" t="s">
        <v>6105</v>
      </c>
      <c r="B408" s="25">
        <f>IF(OR(Customer[[#This Row],[地标]]="",COUNTIF(Landmark[地标],Customer[[#This Row],[地标]])=1),COUNTIF(Quotation[抬头],Customer[[#This Row],[抬头]]),"地标")</f>
        <v>0</v>
      </c>
      <c r="C408" s="24" t="s">
        <v>6103</v>
      </c>
      <c r="D408" s="26" t="s">
        <v>6106</v>
      </c>
      <c r="E408" s="26" t="s">
        <v>692</v>
      </c>
      <c r="F408" s="113">
        <v>43416</v>
      </c>
      <c r="G408" s="26" t="s">
        <v>6107</v>
      </c>
      <c r="H408" s="24">
        <f>COUNTIF(Customer[抬头],Customer[[#This Row],[抬头]])</f>
        <v>1</v>
      </c>
    </row>
    <row r="409" spans="1:8" ht="42.75" x14ac:dyDescent="0.15">
      <c r="A409" s="24" t="s">
        <v>6108</v>
      </c>
      <c r="B409" s="25">
        <f>IF(OR(Customer[[#This Row],[地标]]="",COUNTIF(Landmark[地标],Customer[[#This Row],[地标]])=1),COUNTIF(Quotation[抬头],Customer[[#This Row],[抬头]]),"地标")</f>
        <v>1</v>
      </c>
      <c r="C409" s="24" t="s">
        <v>6103</v>
      </c>
      <c r="D409" s="26" t="s">
        <v>6109</v>
      </c>
      <c r="E409" s="26" t="s">
        <v>692</v>
      </c>
      <c r="F409" s="113">
        <v>43416</v>
      </c>
      <c r="G409" s="26" t="s">
        <v>6114</v>
      </c>
      <c r="H409" s="24">
        <f>COUNTIF(Customer[抬头],Customer[[#This Row],[抬头]])</f>
        <v>1</v>
      </c>
    </row>
    <row r="410" spans="1:8" x14ac:dyDescent="0.15">
      <c r="A410" s="24" t="s">
        <v>6142</v>
      </c>
      <c r="B410" s="25">
        <f>IF(OR(Customer[[#This Row],[地标]]="",COUNTIF(Landmark[地标],Customer[[#This Row],[地标]])=1),COUNTIF(Quotation[抬头],Customer[[#This Row],[抬头]]),"地标")</f>
        <v>0</v>
      </c>
      <c r="C410" s="24" t="s">
        <v>6103</v>
      </c>
      <c r="D410" s="26" t="s">
        <v>6143</v>
      </c>
      <c r="E410" s="26" t="s">
        <v>692</v>
      </c>
      <c r="F410" s="113">
        <v>43416</v>
      </c>
      <c r="G410" s="26" t="s">
        <v>6145</v>
      </c>
      <c r="H410" s="24">
        <f>COUNTIF(Customer[抬头],Customer[[#This Row],[抬头]])</f>
        <v>1</v>
      </c>
    </row>
    <row r="411" spans="1:8" x14ac:dyDescent="0.15">
      <c r="A411" s="24" t="s">
        <v>6144</v>
      </c>
      <c r="B411" s="25">
        <f>IF(OR(Customer[[#This Row],[地标]]="",COUNTIF(Landmark[地标],Customer[[#This Row],[地标]])=1),COUNTIF(Quotation[抬头],Customer[[#This Row],[抬头]]),"地标")</f>
        <v>0</v>
      </c>
      <c r="C411" s="24" t="s">
        <v>6103</v>
      </c>
      <c r="D411" s="26" t="s">
        <v>6143</v>
      </c>
      <c r="E411" s="26" t="s">
        <v>692</v>
      </c>
      <c r="F411" s="113">
        <v>43416</v>
      </c>
      <c r="G411" s="26" t="s">
        <v>6146</v>
      </c>
      <c r="H411" s="24">
        <f>COUNTIF(Customer[抬头],Customer[[#This Row],[抬头]])</f>
        <v>1</v>
      </c>
    </row>
    <row r="412" spans="1:8" x14ac:dyDescent="0.15">
      <c r="A412" s="24" t="s">
        <v>6277</v>
      </c>
      <c r="B412" s="25">
        <f>IF(OR(Customer[[#This Row],[地标]]="",COUNTIF(Landmark[地标],Customer[[#This Row],[地标]])=1),COUNTIF(Quotation[抬头],Customer[[#This Row],[抬头]]),"地标")</f>
        <v>0</v>
      </c>
      <c r="C412" s="24" t="s">
        <v>6278</v>
      </c>
      <c r="D412" s="26" t="s">
        <v>6279</v>
      </c>
      <c r="E412" s="26" t="s">
        <v>6236</v>
      </c>
      <c r="F412" s="113">
        <v>43424</v>
      </c>
      <c r="G412" s="26" t="s">
        <v>6280</v>
      </c>
      <c r="H412" s="24">
        <f>COUNTIF(Customer[抬头],Customer[[#This Row],[抬头]])</f>
        <v>1</v>
      </c>
    </row>
    <row r="413" spans="1:8" x14ac:dyDescent="0.15">
      <c r="A413" s="24" t="s">
        <v>6281</v>
      </c>
      <c r="B413" s="25">
        <f>IF(OR(Customer[[#This Row],[地标]]="",COUNTIF(Landmark[地标],Customer[[#This Row],[地标]])=1),COUNTIF(Quotation[抬头],Customer[[#This Row],[抬头]]),"地标")</f>
        <v>0</v>
      </c>
      <c r="C413" s="24" t="s">
        <v>6278</v>
      </c>
      <c r="D413" s="26" t="s">
        <v>6282</v>
      </c>
      <c r="E413" s="26" t="s">
        <v>692</v>
      </c>
      <c r="F413" s="113">
        <v>43424</v>
      </c>
      <c r="G413" s="26"/>
      <c r="H413" s="24">
        <f>COUNTIF(Customer[抬头],Customer[[#This Row],[抬头]])</f>
        <v>1</v>
      </c>
    </row>
    <row r="414" spans="1:8" x14ac:dyDescent="0.15">
      <c r="A414" s="24" t="s">
        <v>6283</v>
      </c>
      <c r="B414" s="25">
        <f>IF(OR(Customer[[#This Row],[地标]]="",COUNTIF(Landmark[地标],Customer[[#This Row],[地标]])=1),COUNTIF(Quotation[抬头],Customer[[#This Row],[抬头]]),"地标")</f>
        <v>0</v>
      </c>
      <c r="C414" s="24" t="s">
        <v>6278</v>
      </c>
      <c r="D414" s="26" t="s">
        <v>6284</v>
      </c>
      <c r="E414" s="26" t="s">
        <v>692</v>
      </c>
      <c r="F414" s="113">
        <v>43424</v>
      </c>
      <c r="G414" s="26"/>
      <c r="H414" s="24">
        <f>COUNTIF(Customer[抬头],Customer[[#This Row],[抬头]])</f>
        <v>1</v>
      </c>
    </row>
    <row r="415" spans="1:8" x14ac:dyDescent="0.15">
      <c r="A415" s="24" t="s">
        <v>6287</v>
      </c>
      <c r="B415" s="25">
        <f>IF(OR(Customer[[#This Row],[地标]]="",COUNTIF(Landmark[地标],Customer[[#This Row],[地标]])=1),COUNTIF(Quotation[抬头],Customer[[#This Row],[抬头]]),"地标")</f>
        <v>1</v>
      </c>
      <c r="C415" s="24" t="s">
        <v>6288</v>
      </c>
      <c r="D415" s="26" t="s">
        <v>6289</v>
      </c>
      <c r="E415" s="26" t="s">
        <v>692</v>
      </c>
      <c r="F415" s="113">
        <v>43424</v>
      </c>
      <c r="G415" s="26"/>
      <c r="H415" s="24">
        <f>COUNTIF(Customer[抬头],Customer[[#This Row],[抬头]])</f>
        <v>1</v>
      </c>
    </row>
    <row r="416" spans="1:8" x14ac:dyDescent="0.15">
      <c r="A416" s="24" t="s">
        <v>6290</v>
      </c>
      <c r="B416" s="25">
        <f>IF(OR(Customer[[#This Row],[地标]]="",COUNTIF(Landmark[地标],Customer[[#This Row],[地标]])=1),COUNTIF(Quotation[抬头],Customer[[#This Row],[抬头]]),"地标")</f>
        <v>0</v>
      </c>
      <c r="C416" s="24" t="s">
        <v>6288</v>
      </c>
      <c r="D416" s="26" t="s">
        <v>6291</v>
      </c>
      <c r="E416" s="26" t="s">
        <v>692</v>
      </c>
      <c r="F416" s="113">
        <v>43424</v>
      </c>
      <c r="G416" s="26" t="s">
        <v>5219</v>
      </c>
      <c r="H416" s="24">
        <f>COUNTIF(Customer[抬头],Customer[[#This Row],[抬头]])</f>
        <v>1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1499"/>
  <sheetViews>
    <sheetView workbookViewId="0">
      <pane ySplit="1" topLeftCell="A1384" activePane="bottomLeft" state="frozen"/>
      <selection pane="bottomLeft" activeCell="J1406" sqref="J1406"/>
    </sheetView>
  </sheetViews>
  <sheetFormatPr defaultColWidth="9" defaultRowHeight="14.25" x14ac:dyDescent="0.15"/>
  <cols>
    <col min="1" max="1" width="11.375" style="15" customWidth="1"/>
    <col min="2" max="2" width="7.375" style="15" customWidth="1"/>
    <col min="3" max="3" width="11.375" style="15" customWidth="1"/>
    <col min="4" max="4" width="14.875" style="15" customWidth="1"/>
    <col min="5" max="5" width="7.25" style="15" bestFit="1" customWidth="1"/>
    <col min="6" max="6" width="11.75" style="15" bestFit="1" customWidth="1"/>
    <col min="7" max="7" width="13" style="15" bestFit="1" customWidth="1"/>
    <col min="8" max="8" width="15" style="15" customWidth="1"/>
    <col min="9" max="9" width="21.375" style="15" customWidth="1"/>
    <col min="10" max="10" width="35.875" style="15" bestFit="1" customWidth="1"/>
    <col min="11" max="16384" width="9" style="15"/>
  </cols>
  <sheetData>
    <row r="1" spans="1:11" x14ac:dyDescent="0.15">
      <c r="A1" s="15" t="s">
        <v>2165</v>
      </c>
      <c r="B1" s="15" t="s">
        <v>2390</v>
      </c>
      <c r="C1" s="15" t="s">
        <v>2391</v>
      </c>
      <c r="D1" s="15" t="s">
        <v>2528</v>
      </c>
      <c r="E1" s="15" t="s">
        <v>2524</v>
      </c>
      <c r="F1" s="15" t="s">
        <v>2717</v>
      </c>
      <c r="G1" s="15" t="s">
        <v>2718</v>
      </c>
      <c r="H1" s="15" t="s">
        <v>2525</v>
      </c>
      <c r="I1" s="15" t="s">
        <v>2526</v>
      </c>
      <c r="J1" s="15" t="s">
        <v>2527</v>
      </c>
      <c r="K1" s="15" t="s">
        <v>4914</v>
      </c>
    </row>
    <row r="2" spans="1:11" x14ac:dyDescent="0.15">
      <c r="A2" s="28" t="s">
        <v>619</v>
      </c>
      <c r="B2" s="15" t="s">
        <v>2521</v>
      </c>
      <c r="C2" s="15">
        <v>875468465</v>
      </c>
      <c r="D2" s="29" t="s">
        <v>793</v>
      </c>
      <c r="E2" s="129">
        <v>43313</v>
      </c>
      <c r="F2" s="15" t="s">
        <v>2747</v>
      </c>
      <c r="G2" s="15" t="s">
        <v>2748</v>
      </c>
      <c r="H2" s="15" t="s">
        <v>2884</v>
      </c>
      <c r="I2" s="28" t="s">
        <v>2749</v>
      </c>
      <c r="J2" s="30" t="s">
        <v>2750</v>
      </c>
      <c r="K2" s="15">
        <f>COUNTIF(Contacts[姓名],Contacts[[#This Row],[姓名]])</f>
        <v>1</v>
      </c>
    </row>
    <row r="3" spans="1:11" x14ac:dyDescent="0.15">
      <c r="A3" s="28" t="s">
        <v>669</v>
      </c>
      <c r="B3" s="15" t="s">
        <v>1750</v>
      </c>
      <c r="C3" s="15">
        <v>2370724775</v>
      </c>
      <c r="D3" s="29" t="s">
        <v>2779</v>
      </c>
      <c r="E3" s="129">
        <v>43319</v>
      </c>
      <c r="F3" s="15" t="s">
        <v>2757</v>
      </c>
      <c r="G3" s="15" t="s">
        <v>2562</v>
      </c>
      <c r="H3" s="15" t="s">
        <v>2839</v>
      </c>
      <c r="I3" s="28" t="s">
        <v>2758</v>
      </c>
      <c r="J3" s="30" t="s">
        <v>2549</v>
      </c>
      <c r="K3" s="15">
        <f>COUNTIF(Contacts[姓名],Contacts[[#This Row],[姓名]])</f>
        <v>1</v>
      </c>
    </row>
    <row r="4" spans="1:11" x14ac:dyDescent="0.15">
      <c r="A4" s="28" t="s">
        <v>587</v>
      </c>
      <c r="B4" s="15" t="s">
        <v>1750</v>
      </c>
      <c r="C4" s="15">
        <v>2850688058</v>
      </c>
      <c r="D4" s="29" t="s">
        <v>2703</v>
      </c>
      <c r="E4" s="129">
        <v>43319</v>
      </c>
      <c r="F4" s="15" t="s">
        <v>2787</v>
      </c>
      <c r="G4" s="15" t="s">
        <v>2562</v>
      </c>
      <c r="H4" s="15" t="s">
        <v>2845</v>
      </c>
      <c r="I4" s="28" t="s">
        <v>2786</v>
      </c>
      <c r="J4" s="30" t="s">
        <v>2785</v>
      </c>
      <c r="K4" s="15">
        <f>COUNTIF(Contacts[姓名],Contacts[[#This Row],[姓名]])</f>
        <v>1</v>
      </c>
    </row>
    <row r="5" spans="1:11" x14ac:dyDescent="0.15">
      <c r="A5" s="28" t="s">
        <v>492</v>
      </c>
      <c r="B5" s="15" t="s">
        <v>1750</v>
      </c>
      <c r="C5" s="15">
        <v>315521983</v>
      </c>
      <c r="D5" s="29" t="s">
        <v>1754</v>
      </c>
      <c r="E5" s="129">
        <v>43320</v>
      </c>
      <c r="F5" s="15" t="s">
        <v>2389</v>
      </c>
      <c r="G5" s="15" t="s">
        <v>2734</v>
      </c>
      <c r="H5" s="15" t="s">
        <v>2848</v>
      </c>
      <c r="I5" s="28" t="s">
        <v>2735</v>
      </c>
      <c r="J5" s="30"/>
      <c r="K5" s="15">
        <f>COUNTIF(Contacts[姓名],Contacts[[#This Row],[姓名]])</f>
        <v>1</v>
      </c>
    </row>
    <row r="6" spans="1:11" x14ac:dyDescent="0.15">
      <c r="A6" s="28" t="s">
        <v>492</v>
      </c>
      <c r="B6" s="15" t="s">
        <v>1750</v>
      </c>
      <c r="C6" s="15">
        <v>1643523734</v>
      </c>
      <c r="D6" s="29" t="s">
        <v>1755</v>
      </c>
      <c r="E6" s="129">
        <v>43320</v>
      </c>
      <c r="F6" s="15" t="s">
        <v>2755</v>
      </c>
      <c r="G6" s="15" t="s">
        <v>2729</v>
      </c>
      <c r="H6" s="15" t="s">
        <v>2873</v>
      </c>
      <c r="I6" s="28" t="s">
        <v>2756</v>
      </c>
      <c r="J6" s="30"/>
      <c r="K6" s="15">
        <f>COUNTIF(Contacts[姓名],Contacts[[#This Row],[姓名]])</f>
        <v>1</v>
      </c>
    </row>
    <row r="7" spans="1:11" x14ac:dyDescent="0.15">
      <c r="A7" s="28" t="s">
        <v>492</v>
      </c>
      <c r="B7" s="15" t="s">
        <v>1715</v>
      </c>
      <c r="C7" s="15">
        <v>3138361413</v>
      </c>
      <c r="D7" s="29" t="s">
        <v>1734</v>
      </c>
      <c r="E7" s="129" t="s">
        <v>5315</v>
      </c>
      <c r="F7" s="15" t="s">
        <v>6151</v>
      </c>
      <c r="I7" s="28"/>
      <c r="J7" s="30"/>
      <c r="K7" s="15">
        <f>COUNTIF(Contacts[姓名],Contacts[[#This Row],[姓名]])</f>
        <v>1</v>
      </c>
    </row>
    <row r="8" spans="1:11" x14ac:dyDescent="0.15">
      <c r="A8" s="28" t="s">
        <v>492</v>
      </c>
      <c r="B8" s="15" t="s">
        <v>1635</v>
      </c>
      <c r="C8" s="15">
        <v>845215368</v>
      </c>
      <c r="D8" s="29" t="s">
        <v>1752</v>
      </c>
      <c r="E8" s="129">
        <v>43320</v>
      </c>
      <c r="F8" s="15" t="s">
        <v>2743</v>
      </c>
      <c r="G8" s="15" t="s">
        <v>2744</v>
      </c>
      <c r="H8" s="15" t="s">
        <v>2837</v>
      </c>
      <c r="I8" s="28" t="s">
        <v>2745</v>
      </c>
      <c r="J8" s="30"/>
      <c r="K8" s="15">
        <f>COUNTIF(Contacts[姓名],Contacts[[#This Row],[姓名]])</f>
        <v>1</v>
      </c>
    </row>
    <row r="9" spans="1:11" x14ac:dyDescent="0.15">
      <c r="A9" s="28" t="s">
        <v>492</v>
      </c>
      <c r="B9" s="15" t="s">
        <v>1603</v>
      </c>
      <c r="C9" s="15">
        <v>2652802536</v>
      </c>
      <c r="D9" s="29" t="s">
        <v>1733</v>
      </c>
      <c r="E9" s="129">
        <v>43320</v>
      </c>
      <c r="F9" s="15" t="s">
        <v>2324</v>
      </c>
      <c r="G9" s="15" t="s">
        <v>2744</v>
      </c>
      <c r="H9" s="15" t="s">
        <v>2877</v>
      </c>
      <c r="I9" s="28" t="s">
        <v>2759</v>
      </c>
      <c r="J9" s="30" t="s">
        <v>2819</v>
      </c>
      <c r="K9" s="15">
        <f>COUNTIF(Contacts[姓名],Contacts[[#This Row],[姓名]])</f>
        <v>1</v>
      </c>
    </row>
    <row r="10" spans="1:11" x14ac:dyDescent="0.15">
      <c r="A10" s="28" t="s">
        <v>492</v>
      </c>
      <c r="B10" s="15" t="s">
        <v>2521</v>
      </c>
      <c r="C10" s="15">
        <v>627838125</v>
      </c>
      <c r="D10" s="29" t="s">
        <v>1753</v>
      </c>
      <c r="E10" s="129">
        <v>43320</v>
      </c>
      <c r="F10" s="15" t="s">
        <v>2302</v>
      </c>
      <c r="G10" s="15" t="s">
        <v>1946</v>
      </c>
      <c r="H10" s="15" t="s">
        <v>2876</v>
      </c>
      <c r="I10" s="28" t="s">
        <v>2738</v>
      </c>
      <c r="J10" s="30" t="s">
        <v>2739</v>
      </c>
      <c r="K10" s="15">
        <f>COUNTIF(Contacts[姓名],Contacts[[#This Row],[姓名]])</f>
        <v>1</v>
      </c>
    </row>
    <row r="11" spans="1:11" x14ac:dyDescent="0.15">
      <c r="A11" s="28" t="s">
        <v>492</v>
      </c>
      <c r="B11" s="15" t="s">
        <v>2521</v>
      </c>
      <c r="C11" s="15">
        <v>822126163</v>
      </c>
      <c r="D11" s="29" t="s">
        <v>788</v>
      </c>
      <c r="E11" s="129">
        <v>43320</v>
      </c>
      <c r="F11" s="15" t="s">
        <v>2179</v>
      </c>
      <c r="G11" s="15" t="s">
        <v>2740</v>
      </c>
      <c r="H11" s="15" t="s">
        <v>2875</v>
      </c>
      <c r="I11" s="28" t="s">
        <v>2741</v>
      </c>
      <c r="J11" s="30" t="s">
        <v>2742</v>
      </c>
      <c r="K11" s="15">
        <f>COUNTIF(Contacts[姓名],Contacts[[#This Row],[姓名]])</f>
        <v>1</v>
      </c>
    </row>
    <row r="12" spans="1:11" x14ac:dyDescent="0.15">
      <c r="A12" s="28" t="s">
        <v>492</v>
      </c>
      <c r="B12" s="15" t="s">
        <v>2521</v>
      </c>
      <c r="C12" s="15">
        <v>848499803</v>
      </c>
      <c r="D12" s="29" t="s">
        <v>1577</v>
      </c>
      <c r="E12" s="129">
        <v>43320</v>
      </c>
      <c r="F12" s="15" t="s">
        <v>2176</v>
      </c>
      <c r="G12" s="15" t="s">
        <v>2744</v>
      </c>
      <c r="H12" s="15" t="s">
        <v>2858</v>
      </c>
      <c r="I12" s="28" t="s">
        <v>2746</v>
      </c>
      <c r="J12" s="30"/>
      <c r="K12" s="15">
        <f>COUNTIF(Contacts[姓名],Contacts[[#This Row],[姓名]])</f>
        <v>1</v>
      </c>
    </row>
    <row r="13" spans="1:11" x14ac:dyDescent="0.15">
      <c r="A13" s="28" t="s">
        <v>555</v>
      </c>
      <c r="B13" s="15" t="s">
        <v>1603</v>
      </c>
      <c r="C13" s="15">
        <v>2880800192</v>
      </c>
      <c r="D13" s="29" t="s">
        <v>1607</v>
      </c>
      <c r="E13" s="129" t="s">
        <v>5315</v>
      </c>
      <c r="F13" s="15" t="s">
        <v>6152</v>
      </c>
      <c r="I13" s="28"/>
      <c r="J13" s="30"/>
      <c r="K13" s="15">
        <f>COUNTIF(Contacts[姓名],Contacts[[#This Row],[姓名]])</f>
        <v>1</v>
      </c>
    </row>
    <row r="14" spans="1:11" x14ac:dyDescent="0.15">
      <c r="A14" s="28" t="s">
        <v>4749</v>
      </c>
      <c r="B14" s="15" t="s">
        <v>2521</v>
      </c>
      <c r="C14" s="15">
        <v>3002255096</v>
      </c>
      <c r="D14" s="29" t="s">
        <v>796</v>
      </c>
      <c r="E14" s="129">
        <v>43321</v>
      </c>
      <c r="F14" s="15" t="s">
        <v>4915</v>
      </c>
      <c r="G14" s="15" t="s">
        <v>1810</v>
      </c>
      <c r="H14" s="15" t="s">
        <v>2878</v>
      </c>
      <c r="I14" s="28" t="s">
        <v>2774</v>
      </c>
      <c r="J14" s="30"/>
      <c r="K14" s="15">
        <f>COUNTIF(Contacts[姓名],Contacts[[#This Row],[姓名]])</f>
        <v>1</v>
      </c>
    </row>
    <row r="15" spans="1:11" x14ac:dyDescent="0.15">
      <c r="A15" s="28" t="s">
        <v>501</v>
      </c>
      <c r="B15" s="15" t="s">
        <v>1635</v>
      </c>
      <c r="C15" s="15">
        <v>3002208962</v>
      </c>
      <c r="D15" s="29" t="s">
        <v>1740</v>
      </c>
      <c r="E15" s="129">
        <v>43321</v>
      </c>
      <c r="F15" s="15" t="s">
        <v>2178</v>
      </c>
      <c r="G15" s="15" t="s">
        <v>1818</v>
      </c>
      <c r="H15" s="15" t="s">
        <v>2843</v>
      </c>
      <c r="I15" s="28" t="s">
        <v>2765</v>
      </c>
      <c r="J15" s="30" t="s">
        <v>2766</v>
      </c>
      <c r="K15" s="15">
        <f>COUNTIF(Contacts[姓名],Contacts[[#This Row],[姓名]])</f>
        <v>1</v>
      </c>
    </row>
    <row r="16" spans="1:11" x14ac:dyDescent="0.15">
      <c r="A16" s="28" t="s">
        <v>501</v>
      </c>
      <c r="B16" s="15" t="s">
        <v>1603</v>
      </c>
      <c r="C16" s="15">
        <v>3002227366</v>
      </c>
      <c r="D16" s="29" t="s">
        <v>1627</v>
      </c>
      <c r="E16" s="129">
        <v>43321</v>
      </c>
      <c r="F16" s="15" t="s">
        <v>2771</v>
      </c>
      <c r="G16" s="15" t="s">
        <v>1818</v>
      </c>
      <c r="H16" s="15" t="s">
        <v>2828</v>
      </c>
      <c r="I16" s="28" t="s">
        <v>2772</v>
      </c>
      <c r="J16" s="30"/>
      <c r="K16" s="15">
        <f>COUNTIF(Contacts[姓名],Contacts[[#This Row],[姓名]])</f>
        <v>1</v>
      </c>
    </row>
    <row r="17" spans="1:11" x14ac:dyDescent="0.15">
      <c r="A17" s="28" t="s">
        <v>501</v>
      </c>
      <c r="B17" s="15" t="s">
        <v>2521</v>
      </c>
      <c r="C17" s="15">
        <v>3002212595</v>
      </c>
      <c r="D17" s="29" t="s">
        <v>2778</v>
      </c>
      <c r="E17" s="129">
        <v>43321</v>
      </c>
      <c r="F17" s="15" t="s">
        <v>2182</v>
      </c>
      <c r="G17" s="15" t="s">
        <v>1810</v>
      </c>
      <c r="H17" s="15" t="s">
        <v>2860</v>
      </c>
      <c r="I17" s="28" t="s">
        <v>2767</v>
      </c>
      <c r="J17" s="30" t="s">
        <v>3037</v>
      </c>
      <c r="K17" s="15">
        <f>COUNTIF(Contacts[姓名],Contacts[[#This Row],[姓名]])</f>
        <v>1</v>
      </c>
    </row>
    <row r="18" spans="1:11" x14ac:dyDescent="0.15">
      <c r="A18" s="28" t="s">
        <v>501</v>
      </c>
      <c r="B18" s="15" t="s">
        <v>2521</v>
      </c>
      <c r="C18" s="15">
        <v>3002221278</v>
      </c>
      <c r="D18" s="29" t="s">
        <v>795</v>
      </c>
      <c r="E18" s="129">
        <v>43321</v>
      </c>
      <c r="F18" s="15" t="s">
        <v>2291</v>
      </c>
      <c r="G18" s="15" t="s">
        <v>1810</v>
      </c>
      <c r="H18" s="15" t="s">
        <v>2856</v>
      </c>
      <c r="I18" s="28" t="s">
        <v>2768</v>
      </c>
      <c r="J18" s="30"/>
      <c r="K18" s="15">
        <f>COUNTIF(Contacts[姓名],Contacts[[#This Row],[姓名]])</f>
        <v>1</v>
      </c>
    </row>
    <row r="19" spans="1:11" x14ac:dyDescent="0.15">
      <c r="A19" s="28" t="s">
        <v>501</v>
      </c>
      <c r="B19" s="15" t="s">
        <v>2521</v>
      </c>
      <c r="C19" s="15">
        <v>3002223569</v>
      </c>
      <c r="D19" s="29" t="s">
        <v>1629</v>
      </c>
      <c r="E19" s="129">
        <v>43321</v>
      </c>
      <c r="F19" s="15" t="s">
        <v>2769</v>
      </c>
      <c r="G19" s="15" t="s">
        <v>1810</v>
      </c>
      <c r="H19" s="15" t="s">
        <v>2889</v>
      </c>
      <c r="I19" s="28" t="s">
        <v>2770</v>
      </c>
      <c r="J19" s="30"/>
      <c r="K19" s="15">
        <f>COUNTIF(Contacts[姓名],Contacts[[#This Row],[姓名]])</f>
        <v>1</v>
      </c>
    </row>
    <row r="20" spans="1:11" x14ac:dyDescent="0.15">
      <c r="A20" s="28" t="s">
        <v>2480</v>
      </c>
      <c r="B20" s="15" t="s">
        <v>2521</v>
      </c>
      <c r="C20" s="15">
        <v>3002246833</v>
      </c>
      <c r="D20" s="29" t="s">
        <v>2458</v>
      </c>
      <c r="E20" s="129">
        <v>43321</v>
      </c>
      <c r="F20" s="15" t="s">
        <v>2181</v>
      </c>
      <c r="G20" s="15" t="s">
        <v>1810</v>
      </c>
      <c r="H20" s="15" t="s">
        <v>2886</v>
      </c>
      <c r="I20" s="28" t="s">
        <v>2773</v>
      </c>
      <c r="J20" s="30"/>
      <c r="K20" s="15">
        <f>COUNTIF(Contacts[姓名],Contacts[[#This Row],[姓名]])</f>
        <v>1</v>
      </c>
    </row>
    <row r="21" spans="1:11" x14ac:dyDescent="0.15">
      <c r="A21" s="28" t="s">
        <v>501</v>
      </c>
      <c r="B21" s="15" t="s">
        <v>2521</v>
      </c>
      <c r="C21" s="15">
        <v>3002274662</v>
      </c>
      <c r="D21" s="29" t="s">
        <v>1593</v>
      </c>
      <c r="E21" s="129">
        <v>43321</v>
      </c>
      <c r="F21" s="15" t="s">
        <v>2298</v>
      </c>
      <c r="G21" s="15" t="s">
        <v>1810</v>
      </c>
      <c r="H21" s="15" t="s">
        <v>2862</v>
      </c>
      <c r="I21" s="28" t="s">
        <v>2775</v>
      </c>
      <c r="J21" s="30"/>
      <c r="K21" s="15">
        <f>COUNTIF(Contacts[姓名],Contacts[[#This Row],[姓名]])</f>
        <v>1</v>
      </c>
    </row>
    <row r="22" spans="1:11" x14ac:dyDescent="0.15">
      <c r="A22" s="28" t="s">
        <v>501</v>
      </c>
      <c r="B22" s="15" t="s">
        <v>2521</v>
      </c>
      <c r="C22" s="15">
        <v>3002287926</v>
      </c>
      <c r="D22" s="29" t="s">
        <v>1592</v>
      </c>
      <c r="E22" s="129">
        <v>43321</v>
      </c>
      <c r="F22" s="15" t="s">
        <v>2323</v>
      </c>
      <c r="G22" s="15" t="s">
        <v>1810</v>
      </c>
      <c r="H22" s="15" t="s">
        <v>2887</v>
      </c>
      <c r="I22" s="28" t="s">
        <v>2776</v>
      </c>
      <c r="J22" s="30"/>
      <c r="K22" s="15">
        <f>COUNTIF(Contacts[姓名],Contacts[[#This Row],[姓名]])</f>
        <v>1</v>
      </c>
    </row>
    <row r="23" spans="1:11" x14ac:dyDescent="0.15">
      <c r="A23" s="28" t="s">
        <v>3322</v>
      </c>
      <c r="C23" s="31">
        <v>3002280040</v>
      </c>
      <c r="D23" s="29"/>
      <c r="E23" s="129">
        <v>43321</v>
      </c>
      <c r="F23" s="15" t="s">
        <v>4734</v>
      </c>
      <c r="G23" s="15" t="s">
        <v>2140</v>
      </c>
      <c r="H23" s="15" t="s">
        <v>2854</v>
      </c>
      <c r="I23" s="28" t="s">
        <v>2141</v>
      </c>
      <c r="J23" s="30" t="s">
        <v>2142</v>
      </c>
      <c r="K23" s="15">
        <f>COUNTIF(Contacts[姓名],Contacts[[#This Row],[姓名]])</f>
        <v>1</v>
      </c>
    </row>
    <row r="24" spans="1:11" x14ac:dyDescent="0.15">
      <c r="A24" s="28" t="s">
        <v>2490</v>
      </c>
      <c r="B24" s="15" t="s">
        <v>1715</v>
      </c>
      <c r="C24" s="15">
        <v>2880525335</v>
      </c>
      <c r="D24" s="29" t="s">
        <v>2405</v>
      </c>
      <c r="E24" s="129">
        <v>43327</v>
      </c>
      <c r="F24" s="15" t="s">
        <v>2763</v>
      </c>
      <c r="G24" s="15" t="s">
        <v>2736</v>
      </c>
      <c r="H24" s="15" t="s">
        <v>2844</v>
      </c>
      <c r="I24" s="28" t="s">
        <v>2764</v>
      </c>
      <c r="J24" s="30"/>
      <c r="K24" s="15">
        <f>COUNTIF(Contacts[姓名],Contacts[[#This Row],[姓名]])</f>
        <v>1</v>
      </c>
    </row>
    <row r="25" spans="1:11" x14ac:dyDescent="0.15">
      <c r="A25" s="28" t="s">
        <v>637</v>
      </c>
      <c r="B25" s="15" t="s">
        <v>1635</v>
      </c>
      <c r="C25" s="15">
        <v>1006397967</v>
      </c>
      <c r="D25" s="29" t="s">
        <v>2783</v>
      </c>
      <c r="E25" s="129">
        <v>43327</v>
      </c>
      <c r="F25" s="15" t="s">
        <v>2751</v>
      </c>
      <c r="H25" s="15" t="s">
        <v>2831</v>
      </c>
      <c r="I25" s="28" t="s">
        <v>2752</v>
      </c>
      <c r="J25" s="30" t="s">
        <v>2753</v>
      </c>
      <c r="K25" s="15">
        <f>COUNTIF(Contacts[姓名],Contacts[[#This Row],[姓名]])</f>
        <v>1</v>
      </c>
    </row>
    <row r="26" spans="1:11" x14ac:dyDescent="0.15">
      <c r="A26" s="28" t="s">
        <v>2507</v>
      </c>
      <c r="B26" s="15" t="s">
        <v>1635</v>
      </c>
      <c r="C26" s="15">
        <v>2850135779</v>
      </c>
      <c r="D26" s="29" t="s">
        <v>2429</v>
      </c>
      <c r="E26" s="129">
        <v>43327</v>
      </c>
      <c r="F26" s="15" t="s">
        <v>2760</v>
      </c>
      <c r="G26" s="15" t="s">
        <v>2761</v>
      </c>
      <c r="H26" s="15" t="s">
        <v>2859</v>
      </c>
      <c r="I26" s="28" t="s">
        <v>2762</v>
      </c>
      <c r="J26" s="30"/>
      <c r="K26" s="15">
        <f>COUNTIF(Contacts[姓名],Contacts[[#This Row],[姓名]])</f>
        <v>1</v>
      </c>
    </row>
    <row r="27" spans="1:11" x14ac:dyDescent="0.15">
      <c r="A27" s="28" t="s">
        <v>613</v>
      </c>
      <c r="B27" s="15" t="s">
        <v>2521</v>
      </c>
      <c r="C27" s="15">
        <v>289556410</v>
      </c>
      <c r="D27" s="29" t="s">
        <v>3673</v>
      </c>
      <c r="E27" s="129">
        <v>43327</v>
      </c>
      <c r="F27" s="15" t="s">
        <v>2177</v>
      </c>
      <c r="G27" s="15" t="s">
        <v>1810</v>
      </c>
      <c r="H27" s="15" t="s">
        <v>2861</v>
      </c>
      <c r="I27" s="28" t="s">
        <v>2731</v>
      </c>
      <c r="J27" s="30" t="s">
        <v>2732</v>
      </c>
      <c r="K27" s="15">
        <f>COUNTIF(Contacts[姓名],Contacts[[#This Row],[姓名]])</f>
        <v>1</v>
      </c>
    </row>
    <row r="28" spans="1:11" x14ac:dyDescent="0.15">
      <c r="A28" s="28" t="s">
        <v>561</v>
      </c>
      <c r="B28" s="15" t="s">
        <v>2521</v>
      </c>
      <c r="C28" s="15">
        <v>224937062</v>
      </c>
      <c r="D28" s="29" t="s">
        <v>1625</v>
      </c>
      <c r="E28" s="129">
        <v>43327</v>
      </c>
      <c r="F28" s="15" t="s">
        <v>2280</v>
      </c>
      <c r="G28" s="15" t="s">
        <v>2727</v>
      </c>
      <c r="H28" s="15" t="s">
        <v>2864</v>
      </c>
      <c r="I28" s="28"/>
      <c r="J28" s="30"/>
      <c r="K28" s="15">
        <f>COUNTIF(Contacts[姓名],Contacts[[#This Row],[姓名]])</f>
        <v>1</v>
      </c>
    </row>
    <row r="29" spans="1:11" x14ac:dyDescent="0.15">
      <c r="A29" s="28" t="s">
        <v>2493</v>
      </c>
      <c r="B29" s="15" t="s">
        <v>2521</v>
      </c>
      <c r="C29" s="15">
        <v>289515476</v>
      </c>
      <c r="D29" s="29" t="s">
        <v>2456</v>
      </c>
      <c r="E29" s="129">
        <v>43327</v>
      </c>
      <c r="F29" s="15" t="s">
        <v>2728</v>
      </c>
      <c r="G29" s="15" t="s">
        <v>2729</v>
      </c>
      <c r="H29" s="15" t="s">
        <v>2865</v>
      </c>
      <c r="I29" s="28" t="s">
        <v>2730</v>
      </c>
      <c r="J29" s="30"/>
      <c r="K29" s="15">
        <f>COUNTIF(Contacts[姓名],Contacts[[#This Row],[姓名]])</f>
        <v>1</v>
      </c>
    </row>
    <row r="30" spans="1:11" x14ac:dyDescent="0.15">
      <c r="A30" s="28" t="s">
        <v>2494</v>
      </c>
      <c r="B30" s="15" t="s">
        <v>2521</v>
      </c>
      <c r="C30" s="15">
        <v>18938067</v>
      </c>
      <c r="D30" s="29" t="s">
        <v>2782</v>
      </c>
      <c r="E30" s="129">
        <v>43327</v>
      </c>
      <c r="F30" s="15" t="s">
        <v>2719</v>
      </c>
      <c r="G30" s="15" t="s">
        <v>916</v>
      </c>
      <c r="H30" s="15" t="s">
        <v>2825</v>
      </c>
      <c r="I30" s="28" t="s">
        <v>2781</v>
      </c>
      <c r="J30" s="30" t="s">
        <v>2720</v>
      </c>
      <c r="K30" s="15">
        <f>COUNTIF(Contacts[姓名],Contacts[[#This Row],[姓名]])</f>
        <v>1</v>
      </c>
    </row>
    <row r="31" spans="1:11" x14ac:dyDescent="0.15">
      <c r="A31" s="28" t="s">
        <v>2498</v>
      </c>
      <c r="B31" s="15" t="s">
        <v>1635</v>
      </c>
      <c r="C31" s="15">
        <v>3003105680</v>
      </c>
      <c r="D31" s="29"/>
      <c r="E31" s="129">
        <v>43383</v>
      </c>
      <c r="F31" s="15" t="s">
        <v>4515</v>
      </c>
      <c r="H31" s="15" t="s">
        <v>3196</v>
      </c>
      <c r="I31" s="28"/>
      <c r="J31" s="30"/>
      <c r="K31" s="15">
        <f>COUNTIF(Contacts[姓名],Contacts[[#This Row],[姓名]])</f>
        <v>1</v>
      </c>
    </row>
    <row r="32" spans="1:11" x14ac:dyDescent="0.15">
      <c r="A32" s="28" t="s">
        <v>568</v>
      </c>
      <c r="B32" s="15" t="s">
        <v>1750</v>
      </c>
      <c r="C32" s="15">
        <v>121123674</v>
      </c>
      <c r="D32" s="29" t="s">
        <v>1608</v>
      </c>
      <c r="E32" s="129">
        <v>43335</v>
      </c>
      <c r="F32" s="15" t="s">
        <v>2724</v>
      </c>
      <c r="G32" s="15" t="s">
        <v>2562</v>
      </c>
      <c r="H32" s="15" t="s">
        <v>2846</v>
      </c>
      <c r="I32" s="28" t="s">
        <v>2725</v>
      </c>
      <c r="J32" s="30" t="s">
        <v>2726</v>
      </c>
      <c r="K32" s="15">
        <f>COUNTIF(Contacts[姓名],Contacts[[#This Row],[姓名]])</f>
        <v>1</v>
      </c>
    </row>
    <row r="33" spans="1:11" x14ac:dyDescent="0.15">
      <c r="A33" s="28" t="s">
        <v>502</v>
      </c>
      <c r="B33" s="15" t="s">
        <v>1750</v>
      </c>
      <c r="C33" s="15">
        <v>3003178802</v>
      </c>
      <c r="D33" s="29"/>
      <c r="E33" s="129">
        <v>43383</v>
      </c>
      <c r="F33" s="15" t="s">
        <v>4611</v>
      </c>
      <c r="G33" s="15" t="s">
        <v>2798</v>
      </c>
      <c r="H33" s="15" t="s">
        <v>2849</v>
      </c>
      <c r="I33" s="28" t="s">
        <v>2799</v>
      </c>
      <c r="J33" s="30"/>
      <c r="K33" s="15">
        <f>COUNTIF(Contacts[姓名],Contacts[[#This Row],[姓名]])</f>
        <v>1</v>
      </c>
    </row>
    <row r="34" spans="1:11" x14ac:dyDescent="0.15">
      <c r="A34" s="28" t="s">
        <v>554</v>
      </c>
      <c r="B34" s="15" t="s">
        <v>2521</v>
      </c>
      <c r="C34" s="15">
        <v>798468032</v>
      </c>
      <c r="D34" s="29" t="s">
        <v>1590</v>
      </c>
      <c r="E34" s="129">
        <v>43389</v>
      </c>
      <c r="F34" s="15" t="s">
        <v>3788</v>
      </c>
      <c r="G34" s="15" t="s">
        <v>1810</v>
      </c>
      <c r="H34" s="15" t="s">
        <v>3790</v>
      </c>
      <c r="I34" s="28" t="s">
        <v>3789</v>
      </c>
      <c r="J34" s="30" t="s">
        <v>3792</v>
      </c>
      <c r="K34" s="15">
        <f>COUNTIF(Contacts[姓名],Contacts[[#This Row],[姓名]])</f>
        <v>1</v>
      </c>
    </row>
    <row r="35" spans="1:11" x14ac:dyDescent="0.15">
      <c r="A35" s="28" t="s">
        <v>3778</v>
      </c>
      <c r="B35" s="15" t="s">
        <v>4379</v>
      </c>
      <c r="C35" s="15">
        <v>861094360</v>
      </c>
      <c r="D35" s="29"/>
      <c r="E35" s="129">
        <v>43389</v>
      </c>
      <c r="F35" s="15" t="s">
        <v>3779</v>
      </c>
      <c r="G35" s="15" t="s">
        <v>2729</v>
      </c>
      <c r="H35" s="15" t="s">
        <v>3781</v>
      </c>
      <c r="I35" s="28" t="s">
        <v>3780</v>
      </c>
      <c r="J35" s="30" t="s">
        <v>3783</v>
      </c>
      <c r="K35" s="15">
        <f>COUNTIF(Contacts[姓名],Contacts[[#This Row],[姓名]])</f>
        <v>1</v>
      </c>
    </row>
    <row r="36" spans="1:11" x14ac:dyDescent="0.15">
      <c r="A36" s="28" t="s">
        <v>3784</v>
      </c>
      <c r="B36" s="15" t="s">
        <v>4379</v>
      </c>
      <c r="D36" s="29"/>
      <c r="E36" s="129">
        <v>43389</v>
      </c>
      <c r="F36" s="15" t="s">
        <v>3785</v>
      </c>
      <c r="G36" s="15" t="s">
        <v>1787</v>
      </c>
      <c r="H36" s="15" t="s">
        <v>3787</v>
      </c>
      <c r="I36" s="28" t="s">
        <v>3786</v>
      </c>
      <c r="J36" s="30" t="s">
        <v>6274</v>
      </c>
      <c r="K36" s="15">
        <f>COUNTIF(Contacts[姓名],Contacts[[#This Row],[姓名]])</f>
        <v>1</v>
      </c>
    </row>
    <row r="37" spans="1:11" ht="28.5" x14ac:dyDescent="0.15">
      <c r="A37" s="28" t="s">
        <v>3793</v>
      </c>
      <c r="B37" s="15" t="s">
        <v>4379</v>
      </c>
      <c r="D37" s="29"/>
      <c r="E37" s="129">
        <v>43389</v>
      </c>
      <c r="F37" s="15" t="s">
        <v>3794</v>
      </c>
      <c r="G37" s="15" t="s">
        <v>2038</v>
      </c>
      <c r="H37" s="15" t="s">
        <v>3796</v>
      </c>
      <c r="I37" s="28" t="s">
        <v>3795</v>
      </c>
      <c r="J37" s="30" t="s">
        <v>6273</v>
      </c>
      <c r="K37" s="15">
        <f>COUNTIF(Contacts[姓名],Contacts[[#This Row],[姓名]])</f>
        <v>1</v>
      </c>
    </row>
    <row r="38" spans="1:11" x14ac:dyDescent="0.15">
      <c r="A38" s="28" t="s">
        <v>3798</v>
      </c>
      <c r="B38" s="15" t="s">
        <v>4379</v>
      </c>
      <c r="C38" s="15">
        <v>407217482</v>
      </c>
      <c r="D38" s="29"/>
      <c r="E38" s="129">
        <v>43389</v>
      </c>
      <c r="F38" s="15" t="s">
        <v>3799</v>
      </c>
      <c r="G38" s="15" t="s">
        <v>1810</v>
      </c>
      <c r="H38" s="15" t="s">
        <v>3801</v>
      </c>
      <c r="I38" s="28" t="s">
        <v>3800</v>
      </c>
      <c r="J38" s="30" t="s">
        <v>6275</v>
      </c>
      <c r="K38" s="15">
        <f>COUNTIF(Contacts[姓名],Contacts[[#This Row],[姓名]])</f>
        <v>1</v>
      </c>
    </row>
    <row r="39" spans="1:11" x14ac:dyDescent="0.15">
      <c r="A39" s="28" t="s">
        <v>3803</v>
      </c>
      <c r="B39" s="15" t="s">
        <v>4379</v>
      </c>
      <c r="C39" s="15">
        <v>2436892913</v>
      </c>
      <c r="D39" s="29"/>
      <c r="E39" s="129">
        <v>43389</v>
      </c>
      <c r="F39" s="15" t="s">
        <v>3804</v>
      </c>
      <c r="G39" s="15" t="s">
        <v>2562</v>
      </c>
      <c r="H39" s="15" t="s">
        <v>3806</v>
      </c>
      <c r="I39" s="28" t="s">
        <v>3805</v>
      </c>
      <c r="J39" s="30" t="s">
        <v>3807</v>
      </c>
      <c r="K39" s="15">
        <f>COUNTIF(Contacts[姓名],Contacts[[#This Row],[姓名]])</f>
        <v>1</v>
      </c>
    </row>
    <row r="40" spans="1:11" x14ac:dyDescent="0.15">
      <c r="A40" s="28" t="s">
        <v>3808</v>
      </c>
      <c r="B40" s="15" t="s">
        <v>4379</v>
      </c>
      <c r="C40" s="15">
        <v>2880128977</v>
      </c>
      <c r="D40" s="29"/>
      <c r="E40" s="129">
        <v>43389</v>
      </c>
      <c r="F40" s="15" t="s">
        <v>3809</v>
      </c>
      <c r="G40" s="15" t="s">
        <v>3810</v>
      </c>
      <c r="H40" s="15" t="s">
        <v>3812</v>
      </c>
      <c r="I40" s="28" t="s">
        <v>3811</v>
      </c>
      <c r="J40" s="30"/>
      <c r="K40" s="15">
        <f>COUNTIF(Contacts[姓名],Contacts[[#This Row],[姓名]])</f>
        <v>1</v>
      </c>
    </row>
    <row r="41" spans="1:11" x14ac:dyDescent="0.15">
      <c r="A41" s="28" t="s">
        <v>3814</v>
      </c>
      <c r="B41" s="15" t="s">
        <v>4379</v>
      </c>
      <c r="C41" s="15">
        <v>952614509</v>
      </c>
      <c r="D41" s="29"/>
      <c r="E41" s="129">
        <v>43389</v>
      </c>
      <c r="F41" s="15" t="s">
        <v>3815</v>
      </c>
      <c r="I41" s="28"/>
      <c r="J41" s="30"/>
      <c r="K41" s="15">
        <f>COUNTIF(Contacts[姓名],Contacts[[#This Row],[姓名]])</f>
        <v>1</v>
      </c>
    </row>
    <row r="42" spans="1:11" x14ac:dyDescent="0.15">
      <c r="A42" s="28" t="s">
        <v>3817</v>
      </c>
      <c r="B42" s="15" t="s">
        <v>4379</v>
      </c>
      <c r="C42" s="15">
        <v>3002735030</v>
      </c>
      <c r="D42" s="29"/>
      <c r="E42" s="129">
        <v>43389</v>
      </c>
      <c r="F42" s="15" t="s">
        <v>3818</v>
      </c>
      <c r="G42" s="15" t="s">
        <v>1810</v>
      </c>
      <c r="H42" s="15" t="s">
        <v>3820</v>
      </c>
      <c r="I42" s="28" t="s">
        <v>3819</v>
      </c>
      <c r="J42" s="30" t="s">
        <v>3822</v>
      </c>
      <c r="K42" s="15">
        <f>COUNTIF(Contacts[姓名],Contacts[[#This Row],[姓名]])</f>
        <v>1</v>
      </c>
    </row>
    <row r="43" spans="1:11" x14ac:dyDescent="0.15">
      <c r="A43" s="28" t="s">
        <v>3826</v>
      </c>
      <c r="B43" s="15" t="s">
        <v>4379</v>
      </c>
      <c r="C43" s="15">
        <v>551964908</v>
      </c>
      <c r="D43" s="29"/>
      <c r="E43" s="129">
        <v>43389</v>
      </c>
      <c r="F43" s="15" t="s">
        <v>3827</v>
      </c>
      <c r="I43" s="28"/>
      <c r="J43" s="30" t="s">
        <v>3829</v>
      </c>
      <c r="K43" s="15">
        <f>COUNTIF(Contacts[姓名],Contacts[[#This Row],[姓名]])</f>
        <v>1</v>
      </c>
    </row>
    <row r="44" spans="1:11" x14ac:dyDescent="0.15">
      <c r="A44" s="28" t="s">
        <v>3823</v>
      </c>
      <c r="B44" s="15" t="s">
        <v>4379</v>
      </c>
      <c r="C44" s="15">
        <v>3535908508</v>
      </c>
      <c r="D44" s="29"/>
      <c r="E44" s="129">
        <v>43389</v>
      </c>
      <c r="F44" s="15" t="s">
        <v>6172</v>
      </c>
      <c r="G44" s="15" t="s">
        <v>916</v>
      </c>
      <c r="I44" s="28"/>
      <c r="J44" s="30" t="s">
        <v>3825</v>
      </c>
      <c r="K44" s="15">
        <f>COUNTIF(Contacts[姓名],Contacts[[#This Row],[姓名]])</f>
        <v>1</v>
      </c>
    </row>
    <row r="45" spans="1:11" ht="28.5" x14ac:dyDescent="0.15">
      <c r="A45" s="28" t="s">
        <v>4350</v>
      </c>
      <c r="B45" s="15" t="s">
        <v>4379</v>
      </c>
      <c r="D45" s="29"/>
      <c r="E45" s="129">
        <v>43390</v>
      </c>
      <c r="F45" s="15" t="s">
        <v>4351</v>
      </c>
      <c r="G45" s="15" t="s">
        <v>4352</v>
      </c>
      <c r="H45" s="15" t="s">
        <v>4354</v>
      </c>
      <c r="I45" s="28" t="s">
        <v>4353</v>
      </c>
      <c r="J45" s="30" t="s">
        <v>4752</v>
      </c>
      <c r="K45" s="15">
        <f>COUNTIF(Contacts[姓名],Contacts[[#This Row],[姓名]])</f>
        <v>1</v>
      </c>
    </row>
    <row r="46" spans="1:11" x14ac:dyDescent="0.15">
      <c r="A46" s="28" t="s">
        <v>4042</v>
      </c>
      <c r="B46" s="15" t="s">
        <v>4379</v>
      </c>
      <c r="D46" s="29"/>
      <c r="E46" s="129">
        <v>43390</v>
      </c>
      <c r="F46" s="15" t="s">
        <v>4043</v>
      </c>
      <c r="G46" s="15" t="s">
        <v>2562</v>
      </c>
      <c r="H46" s="15" t="s">
        <v>4045</v>
      </c>
      <c r="I46" s="28" t="s">
        <v>4044</v>
      </c>
      <c r="J46" s="30" t="s">
        <v>4047</v>
      </c>
      <c r="K46" s="15">
        <f>COUNTIF(Contacts[姓名],Contacts[[#This Row],[姓名]])</f>
        <v>1</v>
      </c>
    </row>
    <row r="47" spans="1:11" x14ac:dyDescent="0.15">
      <c r="A47" s="28" t="s">
        <v>4048</v>
      </c>
      <c r="B47" s="15" t="s">
        <v>4379</v>
      </c>
      <c r="C47" s="15">
        <v>2975429109</v>
      </c>
      <c r="D47" s="29"/>
      <c r="E47" s="129">
        <v>43390</v>
      </c>
      <c r="F47" s="15" t="s">
        <v>4049</v>
      </c>
      <c r="G47" s="15" t="s">
        <v>1787</v>
      </c>
      <c r="H47" s="15" t="s">
        <v>4051</v>
      </c>
      <c r="I47" s="28" t="s">
        <v>4050</v>
      </c>
      <c r="J47" s="30"/>
      <c r="K47" s="15">
        <f>COUNTIF(Contacts[姓名],Contacts[[#This Row],[姓名]])</f>
        <v>1</v>
      </c>
    </row>
    <row r="48" spans="1:11" x14ac:dyDescent="0.15">
      <c r="A48" s="28" t="s">
        <v>816</v>
      </c>
      <c r="B48" s="15" t="s">
        <v>4379</v>
      </c>
      <c r="C48" s="15">
        <v>3002730453</v>
      </c>
      <c r="D48" s="29"/>
      <c r="E48" s="129">
        <v>43390</v>
      </c>
      <c r="F48" s="15" t="s">
        <v>4131</v>
      </c>
      <c r="G48" s="15" t="s">
        <v>4132</v>
      </c>
      <c r="H48" s="15" t="s">
        <v>4134</v>
      </c>
      <c r="I48" s="28" t="s">
        <v>4133</v>
      </c>
      <c r="J48" s="30" t="s">
        <v>4135</v>
      </c>
      <c r="K48" s="15">
        <f>COUNTIF(Contacts[姓名],Contacts[[#This Row],[姓名]])</f>
        <v>1</v>
      </c>
    </row>
    <row r="49" spans="1:11" ht="28.5" x14ac:dyDescent="0.15">
      <c r="A49" s="28" t="s">
        <v>4006</v>
      </c>
      <c r="B49" s="15" t="s">
        <v>4379</v>
      </c>
      <c r="C49" s="15">
        <v>1528179975</v>
      </c>
      <c r="D49" s="29"/>
      <c r="E49" s="129">
        <v>43390</v>
      </c>
      <c r="F49" s="15" t="s">
        <v>4007</v>
      </c>
      <c r="G49" s="15" t="s">
        <v>4008</v>
      </c>
      <c r="H49" s="15" t="s">
        <v>4010</v>
      </c>
      <c r="I49" s="28" t="s">
        <v>4009</v>
      </c>
      <c r="J49" s="30" t="s">
        <v>6244</v>
      </c>
      <c r="K49" s="15">
        <f>COUNTIF(Contacts[姓名],Contacts[[#This Row],[姓名]])</f>
        <v>1</v>
      </c>
    </row>
    <row r="50" spans="1:11" ht="28.5" x14ac:dyDescent="0.15">
      <c r="A50" s="28" t="s">
        <v>4136</v>
      </c>
      <c r="B50" s="15" t="s">
        <v>4379</v>
      </c>
      <c r="D50" s="29"/>
      <c r="E50" s="129">
        <v>43390</v>
      </c>
      <c r="F50" s="15" t="s">
        <v>4487</v>
      </c>
      <c r="I50" s="28"/>
      <c r="J50" s="30" t="s">
        <v>4476</v>
      </c>
      <c r="K50" s="15">
        <f>COUNTIF(Contacts[姓名],Contacts[[#This Row],[姓名]])</f>
        <v>874</v>
      </c>
    </row>
    <row r="51" spans="1:11" x14ac:dyDescent="0.15">
      <c r="A51" s="28" t="s">
        <v>4053</v>
      </c>
      <c r="B51" s="15" t="s">
        <v>4379</v>
      </c>
      <c r="C51" s="15">
        <v>1957335742</v>
      </c>
      <c r="D51" s="29"/>
      <c r="E51" s="129">
        <v>43390</v>
      </c>
      <c r="F51" s="15" t="s">
        <v>4054</v>
      </c>
      <c r="G51" s="15" t="s">
        <v>3877</v>
      </c>
      <c r="H51" s="15" t="s">
        <v>4056</v>
      </c>
      <c r="I51" s="28" t="s">
        <v>4055</v>
      </c>
      <c r="J51" s="30"/>
      <c r="K51" s="15">
        <f>COUNTIF(Contacts[姓名],Contacts[[#This Row],[姓名]])</f>
        <v>1</v>
      </c>
    </row>
    <row r="52" spans="1:11" x14ac:dyDescent="0.15">
      <c r="A52" s="28" t="s">
        <v>4147</v>
      </c>
      <c r="B52" s="15" t="s">
        <v>4379</v>
      </c>
      <c r="C52" s="15">
        <v>77640360</v>
      </c>
      <c r="D52" s="29"/>
      <c r="E52" s="129">
        <v>43390</v>
      </c>
      <c r="F52" s="15" t="s">
        <v>4148</v>
      </c>
      <c r="G52" s="15" t="s">
        <v>4149</v>
      </c>
      <c r="H52" s="15" t="s">
        <v>4151</v>
      </c>
      <c r="I52" s="28" t="s">
        <v>4150</v>
      </c>
      <c r="J52" s="30" t="s">
        <v>4153</v>
      </c>
      <c r="K52" s="15">
        <f>COUNTIF(Contacts[姓名],Contacts[[#This Row],[姓名]])</f>
        <v>1</v>
      </c>
    </row>
    <row r="53" spans="1:11" x14ac:dyDescent="0.15">
      <c r="A53" s="28" t="s">
        <v>576</v>
      </c>
      <c r="B53" s="15" t="s">
        <v>4379</v>
      </c>
      <c r="D53" s="29"/>
      <c r="E53" s="129">
        <v>43390</v>
      </c>
      <c r="F53" s="15" t="s">
        <v>4012</v>
      </c>
      <c r="G53" s="15" t="s">
        <v>1787</v>
      </c>
      <c r="H53" s="15" t="s">
        <v>4014</v>
      </c>
      <c r="I53" s="28" t="s">
        <v>4013</v>
      </c>
      <c r="J53" s="30" t="s">
        <v>4016</v>
      </c>
      <c r="K53" s="15">
        <f>COUNTIF(Contacts[姓名],Contacts[[#This Row],[姓名]])</f>
        <v>1</v>
      </c>
    </row>
    <row r="54" spans="1:11" x14ac:dyDescent="0.15">
      <c r="A54" s="28" t="s">
        <v>498</v>
      </c>
      <c r="B54" s="15" t="s">
        <v>2521</v>
      </c>
      <c r="C54" s="15">
        <v>2881725319</v>
      </c>
      <c r="D54" s="29" t="s">
        <v>1587</v>
      </c>
      <c r="E54" s="129" t="s">
        <v>5315</v>
      </c>
      <c r="F54" s="15" t="s">
        <v>4513</v>
      </c>
      <c r="H54" s="15" t="s">
        <v>3081</v>
      </c>
      <c r="I54" s="28" t="s">
        <v>3082</v>
      </c>
      <c r="J54" s="30"/>
      <c r="K54" s="15">
        <f>COUNTIF(Contacts[姓名],Contacts[[#This Row],[姓名]])</f>
        <v>1</v>
      </c>
    </row>
    <row r="55" spans="1:11" x14ac:dyDescent="0.15">
      <c r="A55" s="28" t="s">
        <v>4154</v>
      </c>
      <c r="B55" s="15" t="s">
        <v>4379</v>
      </c>
      <c r="C55" s="15">
        <v>3275916049</v>
      </c>
      <c r="D55" s="29"/>
      <c r="E55" s="129">
        <v>43390</v>
      </c>
      <c r="F55" s="15" t="s">
        <v>4155</v>
      </c>
      <c r="G55" s="15" t="s">
        <v>4156</v>
      </c>
      <c r="H55" s="15" t="s">
        <v>4158</v>
      </c>
      <c r="I55" s="28" t="s">
        <v>4157</v>
      </c>
      <c r="J55" s="30" t="s">
        <v>4159</v>
      </c>
      <c r="K55" s="15">
        <f>COUNTIF(Contacts[姓名],Contacts[[#This Row],[姓名]])</f>
        <v>1</v>
      </c>
    </row>
    <row r="56" spans="1:11" x14ac:dyDescent="0.15">
      <c r="A56" s="28" t="s">
        <v>4058</v>
      </c>
      <c r="B56" s="15" t="s">
        <v>4379</v>
      </c>
      <c r="C56" s="15">
        <v>1316633719</v>
      </c>
      <c r="D56" s="29"/>
      <c r="E56" s="129">
        <v>43390</v>
      </c>
      <c r="F56" s="15" t="s">
        <v>4059</v>
      </c>
      <c r="G56" s="15" t="s">
        <v>4060</v>
      </c>
      <c r="H56" s="15" t="s">
        <v>4062</v>
      </c>
      <c r="I56" s="28" t="s">
        <v>4061</v>
      </c>
      <c r="J56" s="30"/>
      <c r="K56" s="15">
        <f>COUNTIF(Contacts[姓名],Contacts[[#This Row],[姓名]])</f>
        <v>1</v>
      </c>
    </row>
    <row r="57" spans="1:11" x14ac:dyDescent="0.15">
      <c r="A57" s="28" t="s">
        <v>4138</v>
      </c>
      <c r="B57" s="15" t="s">
        <v>4379</v>
      </c>
      <c r="C57" s="15">
        <v>3002913021</v>
      </c>
      <c r="D57" s="29"/>
      <c r="E57" s="129">
        <v>43390</v>
      </c>
      <c r="F57" s="15" t="s">
        <v>4139</v>
      </c>
      <c r="G57" s="15" t="s">
        <v>1787</v>
      </c>
      <c r="H57" s="15" t="s">
        <v>4141</v>
      </c>
      <c r="I57" s="28" t="s">
        <v>4140</v>
      </c>
      <c r="J57" s="30" t="s">
        <v>4142</v>
      </c>
      <c r="K57" s="15">
        <f>COUNTIF(Contacts[姓名],Contacts[[#This Row],[姓名]])</f>
        <v>1</v>
      </c>
    </row>
    <row r="58" spans="1:11" x14ac:dyDescent="0.15">
      <c r="A58" s="28" t="s">
        <v>4021</v>
      </c>
      <c r="B58" s="15" t="s">
        <v>4379</v>
      </c>
      <c r="D58" s="29"/>
      <c r="E58" s="129">
        <v>43390</v>
      </c>
      <c r="F58" s="15" t="s">
        <v>4022</v>
      </c>
      <c r="H58" s="15" t="s">
        <v>4024</v>
      </c>
      <c r="I58" s="28" t="s">
        <v>4023</v>
      </c>
      <c r="J58" s="30"/>
      <c r="K58" s="15">
        <f>COUNTIF(Contacts[姓名],Contacts[[#This Row],[姓名]])</f>
        <v>1</v>
      </c>
    </row>
    <row r="59" spans="1:11" x14ac:dyDescent="0.15">
      <c r="A59" s="28" t="s">
        <v>4064</v>
      </c>
      <c r="B59" s="15" t="s">
        <v>4379</v>
      </c>
      <c r="D59" s="29"/>
      <c r="E59" s="129">
        <v>43390</v>
      </c>
      <c r="F59" s="15" t="s">
        <v>4065</v>
      </c>
      <c r="G59" s="15" t="s">
        <v>4066</v>
      </c>
      <c r="H59" s="15" t="s">
        <v>4068</v>
      </c>
      <c r="I59" s="28" t="s">
        <v>4067</v>
      </c>
      <c r="J59" s="30" t="s">
        <v>4070</v>
      </c>
      <c r="K59" s="15">
        <f>COUNTIF(Contacts[姓名],Contacts[[#This Row],[姓名]])</f>
        <v>1</v>
      </c>
    </row>
    <row r="60" spans="1:11" x14ac:dyDescent="0.15">
      <c r="A60" s="28" t="s">
        <v>4160</v>
      </c>
      <c r="B60" s="15" t="s">
        <v>4379</v>
      </c>
      <c r="C60" s="15">
        <v>2622351005</v>
      </c>
      <c r="D60" s="29"/>
      <c r="E60" s="129">
        <v>43390</v>
      </c>
      <c r="F60" s="15" t="s">
        <v>4161</v>
      </c>
      <c r="G60" s="15" t="s">
        <v>4073</v>
      </c>
      <c r="H60" s="15" t="s">
        <v>4163</v>
      </c>
      <c r="I60" s="28" t="s">
        <v>4162</v>
      </c>
      <c r="J60" s="30" t="s">
        <v>4165</v>
      </c>
      <c r="K60" s="15">
        <f>COUNTIF(Contacts[姓名],Contacts[[#This Row],[姓名]])</f>
        <v>1</v>
      </c>
    </row>
    <row r="61" spans="1:11" x14ac:dyDescent="0.15">
      <c r="A61" s="28" t="s">
        <v>4071</v>
      </c>
      <c r="B61" s="15" t="s">
        <v>4379</v>
      </c>
      <c r="C61" s="15">
        <v>3003373204</v>
      </c>
      <c r="D61" s="29"/>
      <c r="E61" s="129">
        <v>43390</v>
      </c>
      <c r="F61" s="15" t="s">
        <v>4072</v>
      </c>
      <c r="G61" s="15" t="s">
        <v>4073</v>
      </c>
      <c r="H61" s="15" t="s">
        <v>4075</v>
      </c>
      <c r="I61" s="28" t="s">
        <v>4074</v>
      </c>
      <c r="J61" s="30"/>
      <c r="K61" s="15">
        <f>COUNTIF(Contacts[姓名],Contacts[[#This Row],[姓名]])</f>
        <v>1</v>
      </c>
    </row>
    <row r="62" spans="1:11" x14ac:dyDescent="0.15">
      <c r="A62" s="28" t="s">
        <v>4077</v>
      </c>
      <c r="B62" s="15" t="s">
        <v>4379</v>
      </c>
      <c r="D62" s="29"/>
      <c r="E62" s="129">
        <v>43390</v>
      </c>
      <c r="F62" s="15" t="s">
        <v>4078</v>
      </c>
      <c r="G62" s="15" t="s">
        <v>4079</v>
      </c>
      <c r="H62" s="15" t="s">
        <v>4081</v>
      </c>
      <c r="I62" s="28" t="s">
        <v>4080</v>
      </c>
      <c r="J62" s="30" t="s">
        <v>4083</v>
      </c>
      <c r="K62" s="15">
        <f>COUNTIF(Contacts[姓名],Contacts[[#This Row],[姓名]])</f>
        <v>1</v>
      </c>
    </row>
    <row r="63" spans="1:11" x14ac:dyDescent="0.15">
      <c r="A63" s="28" t="s">
        <v>987</v>
      </c>
      <c r="B63" s="15" t="s">
        <v>4379</v>
      </c>
      <c r="C63" s="15">
        <v>2355816645</v>
      </c>
      <c r="D63" s="29"/>
      <c r="E63" s="129">
        <v>43390</v>
      </c>
      <c r="F63" s="15" t="s">
        <v>4025</v>
      </c>
      <c r="G63" s="15" t="s">
        <v>4026</v>
      </c>
      <c r="H63" s="15" t="s">
        <v>4028</v>
      </c>
      <c r="I63" s="28" t="s">
        <v>4027</v>
      </c>
      <c r="J63" s="30" t="s">
        <v>4029</v>
      </c>
      <c r="K63" s="15">
        <f>COUNTIF(Contacts[姓名],Contacts[[#This Row],[姓名]])</f>
        <v>1</v>
      </c>
    </row>
    <row r="64" spans="1:11" x14ac:dyDescent="0.15">
      <c r="A64" s="28" t="s">
        <v>4166</v>
      </c>
      <c r="B64" s="15" t="s">
        <v>4379</v>
      </c>
      <c r="D64" s="29"/>
      <c r="E64" s="129">
        <v>43390</v>
      </c>
      <c r="F64" s="15" t="s">
        <v>4167</v>
      </c>
      <c r="G64" s="15" t="s">
        <v>3936</v>
      </c>
      <c r="H64" s="15" t="s">
        <v>4169</v>
      </c>
      <c r="I64" s="28" t="s">
        <v>4168</v>
      </c>
      <c r="J64" s="30" t="s">
        <v>4171</v>
      </c>
      <c r="K64" s="15">
        <f>COUNTIF(Contacts[姓名],Contacts[[#This Row],[姓名]])</f>
        <v>1</v>
      </c>
    </row>
    <row r="65" spans="1:11" x14ac:dyDescent="0.15">
      <c r="A65" s="28" t="s">
        <v>4084</v>
      </c>
      <c r="B65" s="15" t="s">
        <v>4379</v>
      </c>
      <c r="C65" s="15">
        <v>2506381868</v>
      </c>
      <c r="D65" s="29"/>
      <c r="E65" s="129">
        <v>43390</v>
      </c>
      <c r="F65" s="15" t="s">
        <v>4085</v>
      </c>
      <c r="G65" s="15" t="s">
        <v>4073</v>
      </c>
      <c r="H65" s="15" t="s">
        <v>4087</v>
      </c>
      <c r="I65" s="28" t="s">
        <v>4086</v>
      </c>
      <c r="J65" s="30"/>
      <c r="K65" s="15">
        <f>COUNTIF(Contacts[姓名],Contacts[[#This Row],[姓名]])</f>
        <v>1</v>
      </c>
    </row>
    <row r="66" spans="1:11" x14ac:dyDescent="0.15">
      <c r="A66" s="28" t="s">
        <v>4030</v>
      </c>
      <c r="B66" s="15" t="s">
        <v>4379</v>
      </c>
      <c r="D66" s="29"/>
      <c r="E66" s="129">
        <v>43390</v>
      </c>
      <c r="F66" s="15" t="s">
        <v>4031</v>
      </c>
      <c r="H66" s="15" t="s">
        <v>4033</v>
      </c>
      <c r="I66" s="28" t="s">
        <v>4032</v>
      </c>
      <c r="J66" s="30" t="s">
        <v>4035</v>
      </c>
      <c r="K66" s="15">
        <f>COUNTIF(Contacts[姓名],Contacts[[#This Row],[姓名]])</f>
        <v>1</v>
      </c>
    </row>
    <row r="67" spans="1:11" x14ac:dyDescent="0.15">
      <c r="A67" s="28" t="s">
        <v>4089</v>
      </c>
      <c r="B67" s="15" t="s">
        <v>4379</v>
      </c>
      <c r="D67" s="29"/>
      <c r="E67" s="129">
        <v>43390</v>
      </c>
      <c r="F67" s="15" t="s">
        <v>4090</v>
      </c>
      <c r="H67" s="15" t="s">
        <v>4092</v>
      </c>
      <c r="I67" s="28" t="s">
        <v>4091</v>
      </c>
      <c r="J67" s="30" t="s">
        <v>4094</v>
      </c>
      <c r="K67" s="15">
        <f>COUNTIF(Contacts[姓名],Contacts[[#This Row],[姓名]])</f>
        <v>1</v>
      </c>
    </row>
    <row r="68" spans="1:11" x14ac:dyDescent="0.15">
      <c r="A68" s="28" t="s">
        <v>4095</v>
      </c>
      <c r="B68" s="15" t="s">
        <v>4379</v>
      </c>
      <c r="D68" s="29"/>
      <c r="E68" s="129">
        <v>43390</v>
      </c>
      <c r="F68" s="15" t="s">
        <v>4096</v>
      </c>
      <c r="H68" s="15" t="s">
        <v>6276</v>
      </c>
      <c r="I68" s="28" t="s">
        <v>4097</v>
      </c>
      <c r="J68" s="30"/>
      <c r="K68" s="15">
        <f>COUNTIF(Contacts[姓名],Contacts[[#This Row],[姓名]])</f>
        <v>1</v>
      </c>
    </row>
    <row r="69" spans="1:11" x14ac:dyDescent="0.15">
      <c r="A69" s="28" t="s">
        <v>4099</v>
      </c>
      <c r="B69" s="15" t="s">
        <v>4379</v>
      </c>
      <c r="C69" s="15">
        <v>2881332624</v>
      </c>
      <c r="D69" s="29"/>
      <c r="E69" s="129">
        <v>43390</v>
      </c>
      <c r="F69" s="15" t="s">
        <v>4100</v>
      </c>
      <c r="G69" s="15" t="s">
        <v>2562</v>
      </c>
      <c r="H69" s="15" t="s">
        <v>4102</v>
      </c>
      <c r="I69" s="28" t="s">
        <v>4101</v>
      </c>
      <c r="J69" s="30" t="s">
        <v>4041</v>
      </c>
      <c r="K69" s="15">
        <f>COUNTIF(Contacts[姓名],Contacts[[#This Row],[姓名]])</f>
        <v>1</v>
      </c>
    </row>
    <row r="70" spans="1:11" x14ac:dyDescent="0.15">
      <c r="A70" s="28" t="s">
        <v>4355</v>
      </c>
      <c r="B70" s="15" t="s">
        <v>4379</v>
      </c>
      <c r="C70" s="15">
        <v>1143651578</v>
      </c>
      <c r="D70" s="29"/>
      <c r="E70" s="129">
        <v>43390</v>
      </c>
      <c r="F70" s="15" t="s">
        <v>4356</v>
      </c>
      <c r="H70" s="15" t="s">
        <v>4358</v>
      </c>
      <c r="I70" s="28" t="s">
        <v>4357</v>
      </c>
      <c r="J70" s="30" t="s">
        <v>4360</v>
      </c>
      <c r="K70" s="15">
        <f>COUNTIF(Contacts[姓名],Contacts[[#This Row],[姓名]])</f>
        <v>1</v>
      </c>
    </row>
    <row r="71" spans="1:11" ht="28.5" x14ac:dyDescent="0.15">
      <c r="A71" s="28" t="s">
        <v>4104</v>
      </c>
      <c r="B71" s="15" t="s">
        <v>4379</v>
      </c>
      <c r="C71" s="15">
        <v>2851696079</v>
      </c>
      <c r="D71" s="29"/>
      <c r="E71" s="129">
        <v>43390</v>
      </c>
      <c r="F71" s="15" t="s">
        <v>4105</v>
      </c>
      <c r="G71" s="15" t="s">
        <v>3989</v>
      </c>
      <c r="H71" s="15" t="s">
        <v>4107</v>
      </c>
      <c r="I71" s="28" t="s">
        <v>4106</v>
      </c>
      <c r="J71" s="30" t="s">
        <v>4474</v>
      </c>
      <c r="K71" s="15">
        <f>COUNTIF(Contacts[姓名],Contacts[[#This Row],[姓名]])</f>
        <v>1</v>
      </c>
    </row>
    <row r="72" spans="1:11" x14ac:dyDescent="0.15">
      <c r="A72" s="28" t="s">
        <v>4172</v>
      </c>
      <c r="B72" s="15" t="s">
        <v>4379</v>
      </c>
      <c r="C72" s="15">
        <v>645267409</v>
      </c>
      <c r="D72" s="29"/>
      <c r="E72" s="129">
        <v>43390</v>
      </c>
      <c r="F72" s="15" t="s">
        <v>4173</v>
      </c>
      <c r="G72" s="15" t="s">
        <v>2789</v>
      </c>
      <c r="H72" s="15" t="s">
        <v>4175</v>
      </c>
      <c r="I72" s="28" t="s">
        <v>4174</v>
      </c>
      <c r="J72" s="30" t="s">
        <v>4177</v>
      </c>
      <c r="K72" s="15">
        <f>COUNTIF(Contacts[姓名],Contacts[[#This Row],[姓名]])</f>
        <v>1</v>
      </c>
    </row>
    <row r="73" spans="1:11" x14ac:dyDescent="0.15">
      <c r="A73" s="28" t="s">
        <v>4036</v>
      </c>
      <c r="B73" s="15" t="s">
        <v>4379</v>
      </c>
      <c r="D73" s="29"/>
      <c r="E73" s="129">
        <v>43390</v>
      </c>
      <c r="F73" s="15" t="s">
        <v>4037</v>
      </c>
      <c r="G73" s="15" t="s">
        <v>4038</v>
      </c>
      <c r="H73" s="15" t="s">
        <v>4039</v>
      </c>
      <c r="I73" s="28"/>
      <c r="J73" s="30" t="s">
        <v>4473</v>
      </c>
      <c r="K73" s="15">
        <f>COUNTIF(Contacts[姓名],Contacts[[#This Row],[姓名]])</f>
        <v>1</v>
      </c>
    </row>
    <row r="74" spans="1:11" x14ac:dyDescent="0.15">
      <c r="A74" s="28" t="s">
        <v>4143</v>
      </c>
      <c r="B74" s="15" t="s">
        <v>4379</v>
      </c>
      <c r="C74" s="15">
        <v>529228608</v>
      </c>
      <c r="D74" s="29"/>
      <c r="E74" s="129">
        <v>43390</v>
      </c>
      <c r="F74" s="15" t="s">
        <v>4144</v>
      </c>
      <c r="G74" s="15" t="s">
        <v>4026</v>
      </c>
      <c r="H74" s="15" t="s">
        <v>4146</v>
      </c>
      <c r="I74" s="28" t="s">
        <v>4145</v>
      </c>
      <c r="J74" s="30"/>
      <c r="K74" s="15">
        <f>COUNTIF(Contacts[姓名],Contacts[[#This Row],[姓名]])</f>
        <v>1</v>
      </c>
    </row>
    <row r="75" spans="1:11" x14ac:dyDescent="0.15">
      <c r="A75" s="28" t="s">
        <v>4178</v>
      </c>
      <c r="B75" s="15" t="s">
        <v>4379</v>
      </c>
      <c r="C75" s="15">
        <v>3004935988</v>
      </c>
      <c r="D75" s="29"/>
      <c r="E75" s="129">
        <v>43390</v>
      </c>
      <c r="F75" s="15" t="s">
        <v>4179</v>
      </c>
      <c r="H75" s="15" t="s">
        <v>4181</v>
      </c>
      <c r="I75" s="28" t="s">
        <v>4180</v>
      </c>
      <c r="J75" s="30" t="s">
        <v>4183</v>
      </c>
      <c r="K75" s="15">
        <f>COUNTIF(Contacts[姓名],Contacts[[#This Row],[姓名]])</f>
        <v>1</v>
      </c>
    </row>
    <row r="76" spans="1:11" x14ac:dyDescent="0.15">
      <c r="A76" s="28" t="s">
        <v>4109</v>
      </c>
      <c r="B76" s="15" t="s">
        <v>4379</v>
      </c>
      <c r="D76" s="29"/>
      <c r="E76" s="129">
        <v>43390</v>
      </c>
      <c r="F76" s="15" t="s">
        <v>4110</v>
      </c>
      <c r="G76" s="15" t="s">
        <v>1810</v>
      </c>
      <c r="H76" s="15" t="s">
        <v>4112</v>
      </c>
      <c r="I76" s="28" t="s">
        <v>4111</v>
      </c>
      <c r="J76" s="30" t="s">
        <v>4041</v>
      </c>
      <c r="K76" s="15">
        <f>COUNTIF(Contacts[姓名],Contacts[[#This Row],[姓名]])</f>
        <v>1</v>
      </c>
    </row>
    <row r="77" spans="1:11" x14ac:dyDescent="0.15">
      <c r="A77" s="28" t="s">
        <v>4184</v>
      </c>
      <c r="B77" s="15" t="s">
        <v>4379</v>
      </c>
      <c r="C77" s="15">
        <v>2071192663</v>
      </c>
      <c r="D77" s="29"/>
      <c r="E77" s="129">
        <v>43390</v>
      </c>
      <c r="F77" s="15" t="s">
        <v>3726</v>
      </c>
      <c r="G77" s="15" t="s">
        <v>1810</v>
      </c>
      <c r="H77" s="15" t="s">
        <v>4186</v>
      </c>
      <c r="I77" s="28" t="s">
        <v>4185</v>
      </c>
      <c r="J77" s="30" t="s">
        <v>898</v>
      </c>
      <c r="K77" s="15">
        <f>COUNTIF(Contacts[姓名],Contacts[[#This Row],[姓名]])</f>
        <v>1</v>
      </c>
    </row>
    <row r="78" spans="1:11" x14ac:dyDescent="0.15">
      <c r="A78" s="28" t="s">
        <v>4114</v>
      </c>
      <c r="B78" s="15" t="s">
        <v>4379</v>
      </c>
      <c r="D78" s="29"/>
      <c r="E78" s="129">
        <v>43390</v>
      </c>
      <c r="F78" s="15" t="s">
        <v>4115</v>
      </c>
      <c r="G78" s="15" t="s">
        <v>3989</v>
      </c>
      <c r="H78" s="15" t="s">
        <v>4117</v>
      </c>
      <c r="I78" s="28" t="s">
        <v>4116</v>
      </c>
      <c r="J78" s="30" t="s">
        <v>4119</v>
      </c>
      <c r="K78" s="15">
        <f>COUNTIF(Contacts[姓名],Contacts[[#This Row],[姓名]])</f>
        <v>1</v>
      </c>
    </row>
    <row r="79" spans="1:11" x14ac:dyDescent="0.15">
      <c r="A79" s="28" t="s">
        <v>4120</v>
      </c>
      <c r="B79" s="15" t="s">
        <v>4379</v>
      </c>
      <c r="D79" s="29"/>
      <c r="E79" s="129">
        <v>43390</v>
      </c>
      <c r="F79" s="15" t="s">
        <v>4121</v>
      </c>
      <c r="G79" s="15" t="s">
        <v>4073</v>
      </c>
      <c r="H79" s="15" t="s">
        <v>4123</v>
      </c>
      <c r="I79" s="28" t="s">
        <v>4122</v>
      </c>
      <c r="J79" s="30" t="s">
        <v>4475</v>
      </c>
      <c r="K79" s="15">
        <f>COUNTIF(Contacts[姓名],Contacts[[#This Row],[姓名]])</f>
        <v>1</v>
      </c>
    </row>
    <row r="80" spans="1:11" x14ac:dyDescent="0.15">
      <c r="A80" s="28" t="s">
        <v>4188</v>
      </c>
      <c r="B80" s="15" t="s">
        <v>4379</v>
      </c>
      <c r="C80" s="15">
        <v>754815103</v>
      </c>
      <c r="D80" s="29"/>
      <c r="E80" s="129">
        <v>43390</v>
      </c>
      <c r="F80" s="15" t="s">
        <v>4189</v>
      </c>
      <c r="I80" s="28"/>
      <c r="J80" s="30"/>
      <c r="K80" s="15">
        <f>COUNTIF(Contacts[姓名],Contacts[[#This Row],[姓名]])</f>
        <v>1</v>
      </c>
    </row>
    <row r="81" spans="1:11" x14ac:dyDescent="0.15">
      <c r="A81" s="28" t="s">
        <v>4191</v>
      </c>
      <c r="B81" s="15" t="s">
        <v>4379</v>
      </c>
      <c r="C81" s="15">
        <v>996933391</v>
      </c>
      <c r="D81" s="29"/>
      <c r="E81" s="129">
        <v>43390</v>
      </c>
      <c r="F81" s="15" t="s">
        <v>4192</v>
      </c>
      <c r="I81" s="28" t="s">
        <v>4193</v>
      </c>
      <c r="J81" s="30" t="s">
        <v>4195</v>
      </c>
      <c r="K81" s="15">
        <f>COUNTIF(Contacts[姓名],Contacts[[#This Row],[姓名]])</f>
        <v>1</v>
      </c>
    </row>
    <row r="82" spans="1:11" x14ac:dyDescent="0.15">
      <c r="A82" s="28" t="s">
        <v>4125</v>
      </c>
      <c r="B82" s="15" t="s">
        <v>4379</v>
      </c>
      <c r="D82" s="29"/>
      <c r="E82" s="129">
        <v>43390</v>
      </c>
      <c r="F82" s="15" t="s">
        <v>4126</v>
      </c>
      <c r="G82" s="15" t="s">
        <v>2729</v>
      </c>
      <c r="H82" s="15" t="s">
        <v>4128</v>
      </c>
      <c r="I82" s="28" t="s">
        <v>4127</v>
      </c>
      <c r="J82" s="30" t="s">
        <v>4130</v>
      </c>
      <c r="K82" s="15">
        <f>COUNTIF(Contacts[姓名],Contacts[[#This Row],[姓名]])</f>
        <v>1</v>
      </c>
    </row>
    <row r="83" spans="1:11" ht="28.5" x14ac:dyDescent="0.15">
      <c r="A83" s="28" t="s">
        <v>4017</v>
      </c>
      <c r="B83" s="15" t="s">
        <v>4379</v>
      </c>
      <c r="D83" s="29"/>
      <c r="E83" s="129">
        <v>43390</v>
      </c>
      <c r="F83" s="15" t="s">
        <v>6184</v>
      </c>
      <c r="I83" s="28" t="s">
        <v>4018</v>
      </c>
      <c r="J83" s="30" t="s">
        <v>4020</v>
      </c>
      <c r="K83" s="15">
        <f>COUNTIF(Contacts[姓名],Contacts[[#This Row],[姓名]])</f>
        <v>1</v>
      </c>
    </row>
    <row r="84" spans="1:11" x14ac:dyDescent="0.15">
      <c r="A84" s="28" t="s">
        <v>496</v>
      </c>
      <c r="B84" s="15" t="s">
        <v>2521</v>
      </c>
      <c r="C84" s="15">
        <v>2850179619</v>
      </c>
      <c r="D84" s="29" t="s">
        <v>1589</v>
      </c>
      <c r="E84" s="129">
        <v>43391</v>
      </c>
      <c r="F84" s="15" t="s">
        <v>3958</v>
      </c>
      <c r="G84" s="15" t="s">
        <v>2562</v>
      </c>
      <c r="H84" s="15" t="s">
        <v>3959</v>
      </c>
      <c r="I84" s="28" t="s">
        <v>3078</v>
      </c>
      <c r="J84" s="30"/>
      <c r="K84" s="15">
        <f>COUNTIF(Contacts[姓名],Contacts[[#This Row],[姓名]])</f>
        <v>1</v>
      </c>
    </row>
    <row r="85" spans="1:11" x14ac:dyDescent="0.15">
      <c r="A85" s="28" t="s">
        <v>4302</v>
      </c>
      <c r="B85" s="15" t="s">
        <v>4379</v>
      </c>
      <c r="D85" s="29"/>
      <c r="E85" s="129">
        <v>43391</v>
      </c>
      <c r="F85" s="15" t="s">
        <v>4303</v>
      </c>
      <c r="G85" s="15" t="s">
        <v>4304</v>
      </c>
      <c r="H85" s="15" t="s">
        <v>4306</v>
      </c>
      <c r="I85" s="28" t="s">
        <v>4305</v>
      </c>
      <c r="J85" s="30"/>
      <c r="K85" s="15">
        <f>COUNTIF(Contacts[姓名],Contacts[[#This Row],[姓名]])</f>
        <v>1</v>
      </c>
    </row>
    <row r="86" spans="1:11" x14ac:dyDescent="0.15">
      <c r="A86" s="28" t="s">
        <v>3944</v>
      </c>
      <c r="B86" s="15" t="s">
        <v>4379</v>
      </c>
      <c r="C86" s="15">
        <v>863716763</v>
      </c>
      <c r="D86" s="29"/>
      <c r="E86" s="129">
        <v>43391</v>
      </c>
      <c r="F86" s="15" t="s">
        <v>3945</v>
      </c>
      <c r="G86" s="15" t="s">
        <v>3946</v>
      </c>
      <c r="H86" s="15" t="s">
        <v>3948</v>
      </c>
      <c r="I86" s="28" t="s">
        <v>3947</v>
      </c>
      <c r="J86" s="30" t="s">
        <v>4470</v>
      </c>
      <c r="K86" s="15">
        <f>COUNTIF(Contacts[姓名],Contacts[[#This Row],[姓名]])</f>
        <v>1</v>
      </c>
    </row>
    <row r="87" spans="1:11" x14ac:dyDescent="0.15">
      <c r="A87" s="28" t="s">
        <v>3953</v>
      </c>
      <c r="B87" s="15" t="s">
        <v>4379</v>
      </c>
      <c r="C87" s="15">
        <v>47733440</v>
      </c>
      <c r="D87" s="29"/>
      <c r="E87" s="129">
        <v>43391</v>
      </c>
      <c r="F87" s="15" t="s">
        <v>3954</v>
      </c>
      <c r="H87" s="15" t="s">
        <v>3956</v>
      </c>
      <c r="I87" s="28" t="s">
        <v>3955</v>
      </c>
      <c r="J87" s="30"/>
      <c r="K87" s="15">
        <f>COUNTIF(Contacts[姓名],Contacts[[#This Row],[姓名]])</f>
        <v>1</v>
      </c>
    </row>
    <row r="88" spans="1:11" x14ac:dyDescent="0.15">
      <c r="A88" s="28" t="s">
        <v>4308</v>
      </c>
      <c r="B88" s="15" t="s">
        <v>4379</v>
      </c>
      <c r="C88" s="15">
        <v>2851319094</v>
      </c>
      <c r="D88" s="29"/>
      <c r="E88" s="129">
        <v>43391</v>
      </c>
      <c r="F88" s="15" t="s">
        <v>4309</v>
      </c>
      <c r="I88" s="28"/>
      <c r="J88" s="30"/>
      <c r="K88" s="15">
        <f>COUNTIF(Contacts[姓名],Contacts[[#This Row],[姓名]])</f>
        <v>1</v>
      </c>
    </row>
    <row r="89" spans="1:11" x14ac:dyDescent="0.15">
      <c r="A89" s="28" t="s">
        <v>3950</v>
      </c>
      <c r="B89" s="15" t="s">
        <v>4379</v>
      </c>
      <c r="D89" s="29"/>
      <c r="E89" s="129">
        <v>43391</v>
      </c>
      <c r="F89" s="15" t="s">
        <v>4487</v>
      </c>
      <c r="I89" s="28"/>
      <c r="J89" s="30" t="s">
        <v>3952</v>
      </c>
      <c r="K89" s="15">
        <f>COUNTIF(Contacts[姓名],Contacts[[#This Row],[姓名]])</f>
        <v>874</v>
      </c>
    </row>
    <row r="90" spans="1:11" x14ac:dyDescent="0.15">
      <c r="A90" s="28" t="s">
        <v>4311</v>
      </c>
      <c r="B90" s="15" t="s">
        <v>4379</v>
      </c>
      <c r="D90" s="29"/>
      <c r="E90" s="129">
        <v>43391</v>
      </c>
      <c r="F90" s="15" t="s">
        <v>4312</v>
      </c>
      <c r="G90" s="15" t="s">
        <v>1946</v>
      </c>
      <c r="H90" s="15" t="s">
        <v>4314</v>
      </c>
      <c r="I90" s="28" t="s">
        <v>4313</v>
      </c>
      <c r="J90" s="30" t="s">
        <v>4316</v>
      </c>
      <c r="K90" s="15">
        <f>COUNTIF(Contacts[姓名],Contacts[[#This Row],[姓名]])</f>
        <v>1</v>
      </c>
    </row>
    <row r="91" spans="1:11" x14ac:dyDescent="0.15">
      <c r="A91" s="28" t="s">
        <v>4317</v>
      </c>
      <c r="B91" s="15" t="s">
        <v>4379</v>
      </c>
      <c r="C91" s="15">
        <v>298114524</v>
      </c>
      <c r="D91" s="29"/>
      <c r="E91" s="129">
        <v>43391</v>
      </c>
      <c r="F91" s="15" t="s">
        <v>4318</v>
      </c>
      <c r="G91" s="15" t="s">
        <v>4319</v>
      </c>
      <c r="H91" s="15" t="s">
        <v>4321</v>
      </c>
      <c r="I91" s="28" t="s">
        <v>4320</v>
      </c>
      <c r="J91" s="30"/>
      <c r="K91" s="15">
        <f>COUNTIF(Contacts[姓名],Contacts[[#This Row],[姓名]])</f>
        <v>1</v>
      </c>
    </row>
    <row r="92" spans="1:11" x14ac:dyDescent="0.15">
      <c r="A92" s="28" t="s">
        <v>583</v>
      </c>
      <c r="B92" s="15" t="s">
        <v>4379</v>
      </c>
      <c r="D92" s="29"/>
      <c r="E92" s="129">
        <v>43391</v>
      </c>
      <c r="F92" s="15" t="s">
        <v>3915</v>
      </c>
      <c r="G92" s="15" t="s">
        <v>1787</v>
      </c>
      <c r="H92" s="15" t="s">
        <v>3917</v>
      </c>
      <c r="I92" s="28" t="s">
        <v>3916</v>
      </c>
      <c r="J92" s="30" t="s">
        <v>3897</v>
      </c>
      <c r="K92" s="15">
        <f>COUNTIF(Contacts[姓名],Contacts[[#This Row],[姓名]])</f>
        <v>1</v>
      </c>
    </row>
    <row r="93" spans="1:11" x14ac:dyDescent="0.15">
      <c r="A93" s="28" t="s">
        <v>3960</v>
      </c>
      <c r="B93" s="15" t="s">
        <v>4379</v>
      </c>
      <c r="C93" s="15">
        <v>2851397364</v>
      </c>
      <c r="D93" s="29"/>
      <c r="E93" s="129">
        <v>43391</v>
      </c>
      <c r="F93" s="15" t="s">
        <v>3961</v>
      </c>
      <c r="G93" s="15" t="s">
        <v>1810</v>
      </c>
      <c r="H93" s="15" t="s">
        <v>3963</v>
      </c>
      <c r="I93" s="28" t="s">
        <v>3962</v>
      </c>
      <c r="J93" s="30" t="s">
        <v>3964</v>
      </c>
      <c r="K93" s="15">
        <f>COUNTIF(Contacts[姓名],Contacts[[#This Row],[姓名]])</f>
        <v>1</v>
      </c>
    </row>
    <row r="94" spans="1:11" x14ac:dyDescent="0.15">
      <c r="A94" s="28" t="s">
        <v>3965</v>
      </c>
      <c r="B94" s="15" t="s">
        <v>4379</v>
      </c>
      <c r="C94" s="15">
        <v>2851288986</v>
      </c>
      <c r="D94" s="29"/>
      <c r="E94" s="129">
        <v>43391</v>
      </c>
      <c r="F94" s="15" t="s">
        <v>3966</v>
      </c>
      <c r="G94" s="15" t="s">
        <v>2748</v>
      </c>
      <c r="H94" s="15" t="s">
        <v>3968</v>
      </c>
      <c r="I94" s="28" t="s">
        <v>3967</v>
      </c>
      <c r="J94" s="30" t="s">
        <v>3970</v>
      </c>
      <c r="K94" s="15">
        <f>COUNTIF(Contacts[姓名],Contacts[[#This Row],[姓名]])</f>
        <v>1</v>
      </c>
    </row>
    <row r="95" spans="1:11" x14ac:dyDescent="0.15">
      <c r="A95" s="28" t="s">
        <v>3830</v>
      </c>
      <c r="B95" s="15" t="s">
        <v>4379</v>
      </c>
      <c r="C95" s="15">
        <v>1648157837</v>
      </c>
      <c r="D95" s="29"/>
      <c r="E95" s="129">
        <v>43391</v>
      </c>
      <c r="F95" s="15" t="s">
        <v>3831</v>
      </c>
      <c r="G95" s="15" t="s">
        <v>1787</v>
      </c>
      <c r="H95" s="15" t="s">
        <v>3833</v>
      </c>
      <c r="I95" s="28" t="s">
        <v>3832</v>
      </c>
      <c r="J95" s="30" t="s">
        <v>3835</v>
      </c>
      <c r="K95" s="15">
        <f>COUNTIF(Contacts[姓名],Contacts[[#This Row],[姓名]])</f>
        <v>1</v>
      </c>
    </row>
    <row r="96" spans="1:11" x14ac:dyDescent="0.15">
      <c r="A96" s="28" t="s">
        <v>4323</v>
      </c>
      <c r="B96" s="15" t="s">
        <v>4379</v>
      </c>
      <c r="C96" s="15">
        <v>3001261894</v>
      </c>
      <c r="D96" s="29"/>
      <c r="E96" s="129">
        <v>43391</v>
      </c>
      <c r="F96" s="15" t="s">
        <v>4324</v>
      </c>
      <c r="G96" s="15" t="s">
        <v>4325</v>
      </c>
      <c r="H96" s="15" t="s">
        <v>4327</v>
      </c>
      <c r="I96" s="28" t="s">
        <v>4326</v>
      </c>
      <c r="J96" s="30" t="s">
        <v>4480</v>
      </c>
      <c r="K96" s="15">
        <f>COUNTIF(Contacts[姓名],Contacts[[#This Row],[姓名]])</f>
        <v>1</v>
      </c>
    </row>
    <row r="97" spans="1:11" x14ac:dyDescent="0.15">
      <c r="A97" s="28" t="s">
        <v>4329</v>
      </c>
      <c r="B97" s="15" t="s">
        <v>4379</v>
      </c>
      <c r="C97" s="15">
        <v>2881407980</v>
      </c>
      <c r="D97" s="29"/>
      <c r="E97" s="129">
        <v>43391</v>
      </c>
      <c r="F97" s="15" t="s">
        <v>4330</v>
      </c>
      <c r="H97" s="15" t="s">
        <v>4332</v>
      </c>
      <c r="I97" s="28" t="s">
        <v>4331</v>
      </c>
      <c r="J97" s="30" t="s">
        <v>4334</v>
      </c>
      <c r="K97" s="15">
        <f>COUNTIF(Contacts[姓名],Contacts[[#This Row],[姓名]])</f>
        <v>1</v>
      </c>
    </row>
    <row r="98" spans="1:11" x14ac:dyDescent="0.15">
      <c r="A98" s="28" t="s">
        <v>3919</v>
      </c>
      <c r="B98" s="15" t="s">
        <v>4379</v>
      </c>
      <c r="C98" s="15">
        <v>2853262911</v>
      </c>
      <c r="D98" s="29"/>
      <c r="E98" s="129">
        <v>43391</v>
      </c>
      <c r="F98" s="15" t="s">
        <v>3920</v>
      </c>
      <c r="G98" s="15" t="s">
        <v>3921</v>
      </c>
      <c r="H98" s="15" t="s">
        <v>3923</v>
      </c>
      <c r="I98" s="28" t="s">
        <v>3922</v>
      </c>
      <c r="J98" s="30"/>
      <c r="K98" s="15">
        <f>COUNTIF(Contacts[姓名],Contacts[[#This Row],[姓名]])</f>
        <v>1</v>
      </c>
    </row>
    <row r="99" spans="1:11" x14ac:dyDescent="0.15">
      <c r="A99" s="28" t="s">
        <v>4335</v>
      </c>
      <c r="B99" s="15" t="s">
        <v>4379</v>
      </c>
      <c r="D99" s="29"/>
      <c r="E99" s="129">
        <v>43391</v>
      </c>
      <c r="F99" s="15" t="s">
        <v>4336</v>
      </c>
      <c r="G99" s="15" t="s">
        <v>4149</v>
      </c>
      <c r="H99" s="15" t="s">
        <v>4338</v>
      </c>
      <c r="I99" s="28" t="s">
        <v>4337</v>
      </c>
      <c r="J99" s="30" t="s">
        <v>4340</v>
      </c>
      <c r="K99" s="15">
        <f>COUNTIF(Contacts[姓名],Contacts[[#This Row],[姓名]])</f>
        <v>1</v>
      </c>
    </row>
    <row r="100" spans="1:11" x14ac:dyDescent="0.15">
      <c r="A100" s="28" t="s">
        <v>3976</v>
      </c>
      <c r="B100" s="15" t="s">
        <v>4379</v>
      </c>
      <c r="D100" s="29"/>
      <c r="E100" s="129">
        <v>43391</v>
      </c>
      <c r="F100" s="15" t="s">
        <v>3977</v>
      </c>
      <c r="G100" s="15" t="s">
        <v>2727</v>
      </c>
      <c r="H100" s="15" t="s">
        <v>3979</v>
      </c>
      <c r="I100" s="28" t="s">
        <v>3978</v>
      </c>
      <c r="J100" s="30" t="s">
        <v>3981</v>
      </c>
      <c r="K100" s="15">
        <f>COUNTIF(Contacts[姓名],Contacts[[#This Row],[姓名]])</f>
        <v>1</v>
      </c>
    </row>
    <row r="101" spans="1:11" x14ac:dyDescent="0.15">
      <c r="A101" s="28" t="s">
        <v>2326</v>
      </c>
      <c r="B101" s="15" t="s">
        <v>4379</v>
      </c>
      <c r="C101" s="15">
        <v>3003807653</v>
      </c>
      <c r="D101" s="29"/>
      <c r="E101" s="129">
        <v>43391</v>
      </c>
      <c r="F101" s="15" t="s">
        <v>4341</v>
      </c>
      <c r="G101" s="15" t="s">
        <v>4342</v>
      </c>
      <c r="H101" s="15" t="s">
        <v>4344</v>
      </c>
      <c r="I101" s="28" t="s">
        <v>4343</v>
      </c>
      <c r="J101" s="30"/>
      <c r="K101" s="15">
        <f>COUNTIF(Contacts[姓名],Contacts[[#This Row],[姓名]])</f>
        <v>1</v>
      </c>
    </row>
    <row r="102" spans="1:11" ht="28.5" x14ac:dyDescent="0.15">
      <c r="A102" s="28" t="s">
        <v>4471</v>
      </c>
      <c r="B102" s="15" t="s">
        <v>4379</v>
      </c>
      <c r="D102" s="29"/>
      <c r="E102" s="129">
        <v>43391</v>
      </c>
      <c r="F102" s="15" t="s">
        <v>3972</v>
      </c>
      <c r="G102" s="15" t="s">
        <v>2562</v>
      </c>
      <c r="H102" s="15" t="s">
        <v>3974</v>
      </c>
      <c r="I102" s="28" t="s">
        <v>3973</v>
      </c>
      <c r="J102" s="30" t="s">
        <v>4472</v>
      </c>
      <c r="K102" s="15">
        <f>COUNTIF(Contacts[姓名],Contacts[[#This Row],[姓名]])</f>
        <v>1</v>
      </c>
    </row>
    <row r="103" spans="1:11" x14ac:dyDescent="0.15">
      <c r="A103" s="28" t="s">
        <v>3994</v>
      </c>
      <c r="B103" s="15" t="s">
        <v>4379</v>
      </c>
      <c r="D103" s="29"/>
      <c r="E103" s="129">
        <v>43391</v>
      </c>
      <c r="F103" s="15" t="s">
        <v>3995</v>
      </c>
      <c r="H103" s="15" t="s">
        <v>3997</v>
      </c>
      <c r="I103" s="28" t="s">
        <v>3996</v>
      </c>
      <c r="J103" s="30" t="s">
        <v>1833</v>
      </c>
      <c r="K103" s="15">
        <f>COUNTIF(Contacts[姓名],Contacts[[#This Row],[姓名]])</f>
        <v>1</v>
      </c>
    </row>
    <row r="104" spans="1:11" x14ac:dyDescent="0.15">
      <c r="A104" s="28" t="s">
        <v>4346</v>
      </c>
      <c r="B104" s="15" t="s">
        <v>4379</v>
      </c>
      <c r="D104" s="29"/>
      <c r="E104" s="129">
        <v>43391</v>
      </c>
      <c r="F104" s="15" t="s">
        <v>4347</v>
      </c>
      <c r="G104" s="15" t="s">
        <v>4079</v>
      </c>
      <c r="I104" s="28" t="s">
        <v>4348</v>
      </c>
      <c r="J104" s="30"/>
      <c r="K104" s="15">
        <f>COUNTIF(Contacts[姓名],Contacts[[#This Row],[姓名]])</f>
        <v>1</v>
      </c>
    </row>
    <row r="105" spans="1:11" x14ac:dyDescent="0.15">
      <c r="A105" s="28" t="s">
        <v>3982</v>
      </c>
      <c r="B105" s="15" t="s">
        <v>4379</v>
      </c>
      <c r="C105" s="15">
        <v>979297288</v>
      </c>
      <c r="D105" s="29"/>
      <c r="E105" s="129">
        <v>43391</v>
      </c>
      <c r="F105" s="15" t="s">
        <v>3983</v>
      </c>
      <c r="G105" s="15" t="s">
        <v>2748</v>
      </c>
      <c r="H105" s="15" t="s">
        <v>3985</v>
      </c>
      <c r="I105" s="28" t="s">
        <v>3984</v>
      </c>
      <c r="J105" s="30"/>
      <c r="K105" s="15">
        <f>COUNTIF(Contacts[姓名],Contacts[[#This Row],[姓名]])</f>
        <v>1</v>
      </c>
    </row>
    <row r="106" spans="1:11" x14ac:dyDescent="0.15">
      <c r="A106" s="28" t="s">
        <v>3987</v>
      </c>
      <c r="B106" s="15" t="s">
        <v>4379</v>
      </c>
      <c r="C106" s="15">
        <v>58721211</v>
      </c>
      <c r="D106" s="29"/>
      <c r="E106" s="129">
        <v>43391</v>
      </c>
      <c r="F106" s="15" t="s">
        <v>3988</v>
      </c>
      <c r="G106" s="15" t="s">
        <v>3989</v>
      </c>
      <c r="H106" s="15" t="s">
        <v>3991</v>
      </c>
      <c r="I106" s="28" t="s">
        <v>3990</v>
      </c>
      <c r="J106" s="30" t="s">
        <v>3993</v>
      </c>
      <c r="K106" s="15">
        <f>COUNTIF(Contacts[姓名],Contacts[[#This Row],[姓名]])</f>
        <v>1</v>
      </c>
    </row>
    <row r="107" spans="1:11" x14ac:dyDescent="0.15">
      <c r="A107" s="28" t="s">
        <v>4296</v>
      </c>
      <c r="B107" s="15" t="s">
        <v>4379</v>
      </c>
      <c r="D107" s="29"/>
      <c r="E107" s="129">
        <v>43391</v>
      </c>
      <c r="F107" s="15" t="s">
        <v>4297</v>
      </c>
      <c r="G107" s="15" t="s">
        <v>2729</v>
      </c>
      <c r="H107" s="15" t="s">
        <v>4299</v>
      </c>
      <c r="I107" s="28" t="s">
        <v>4298</v>
      </c>
      <c r="J107" s="30" t="s">
        <v>4301</v>
      </c>
      <c r="K107" s="15">
        <f>COUNTIF(Contacts[姓名],Contacts[[#This Row],[姓名]])</f>
        <v>1</v>
      </c>
    </row>
    <row r="108" spans="1:11" x14ac:dyDescent="0.15">
      <c r="A108" s="28" t="s">
        <v>587</v>
      </c>
      <c r="B108" s="15" t="s">
        <v>4380</v>
      </c>
      <c r="C108" s="15">
        <v>2850688057</v>
      </c>
      <c r="D108" s="29" t="s">
        <v>1149</v>
      </c>
      <c r="E108" s="129" t="s">
        <v>5315</v>
      </c>
      <c r="F108" s="15" t="s">
        <v>6154</v>
      </c>
      <c r="H108" s="15" t="s">
        <v>3311</v>
      </c>
      <c r="I108" s="28" t="s">
        <v>3292</v>
      </c>
      <c r="J108" s="30"/>
      <c r="K108" s="15">
        <f>COUNTIF(Contacts[姓名],Contacts[[#This Row],[姓名]])</f>
        <v>1</v>
      </c>
    </row>
    <row r="109" spans="1:11" x14ac:dyDescent="0.15">
      <c r="A109" s="28" t="s">
        <v>493</v>
      </c>
      <c r="B109" s="15" t="s">
        <v>1635</v>
      </c>
      <c r="C109" s="15">
        <v>1713665714</v>
      </c>
      <c r="D109" s="29" t="s">
        <v>2693</v>
      </c>
      <c r="E109" s="129" t="s">
        <v>5315</v>
      </c>
      <c r="F109" s="15" t="s">
        <v>6155</v>
      </c>
      <c r="I109" s="28"/>
      <c r="J109" s="30" t="s">
        <v>2547</v>
      </c>
      <c r="K109" s="15">
        <f>COUNTIF(Contacts[姓名],Contacts[[#This Row],[姓名]])</f>
        <v>1</v>
      </c>
    </row>
    <row r="110" spans="1:11" ht="28.5" x14ac:dyDescent="0.15">
      <c r="A110" s="28" t="s">
        <v>3925</v>
      </c>
      <c r="B110" s="15" t="s">
        <v>4379</v>
      </c>
      <c r="C110" s="15">
        <v>510814941</v>
      </c>
      <c r="D110" s="29"/>
      <c r="E110" s="129">
        <v>43391</v>
      </c>
      <c r="F110" s="15" t="s">
        <v>3926</v>
      </c>
      <c r="G110" s="15" t="s">
        <v>1787</v>
      </c>
      <c r="H110" s="15" t="s">
        <v>3928</v>
      </c>
      <c r="I110" s="28" t="s">
        <v>3927</v>
      </c>
      <c r="J110" s="30" t="s">
        <v>3930</v>
      </c>
      <c r="K110" s="15">
        <f>COUNTIF(Contacts[姓名],Contacts[[#This Row],[姓名]])</f>
        <v>1</v>
      </c>
    </row>
    <row r="111" spans="1:11" x14ac:dyDescent="0.15">
      <c r="A111" s="28" t="s">
        <v>4001</v>
      </c>
      <c r="B111" s="15" t="s">
        <v>4379</v>
      </c>
      <c r="C111" s="15">
        <v>59635595</v>
      </c>
      <c r="D111" s="29"/>
      <c r="E111" s="129">
        <v>43391</v>
      </c>
      <c r="F111" s="15" t="s">
        <v>4002</v>
      </c>
      <c r="H111" s="15" t="s">
        <v>4004</v>
      </c>
      <c r="I111" s="28" t="s">
        <v>4003</v>
      </c>
      <c r="J111" s="30" t="s">
        <v>4403</v>
      </c>
      <c r="K111" s="15">
        <f>COUNTIF(Contacts[姓名],Contacts[[#This Row],[姓名]])</f>
        <v>1</v>
      </c>
    </row>
    <row r="112" spans="1:11" x14ac:dyDescent="0.15">
      <c r="A112" s="28" t="s">
        <v>3998</v>
      </c>
      <c r="B112" s="15" t="s">
        <v>4379</v>
      </c>
      <c r="C112" s="15">
        <v>1178391466</v>
      </c>
      <c r="D112" s="29"/>
      <c r="E112" s="129">
        <v>43391</v>
      </c>
      <c r="F112" s="15" t="s">
        <v>6173</v>
      </c>
      <c r="I112" s="28"/>
      <c r="J112" s="30" t="s">
        <v>4000</v>
      </c>
      <c r="K112" s="15">
        <f>COUNTIF(Contacts[姓名],Contacts[[#This Row],[姓名]])</f>
        <v>1</v>
      </c>
    </row>
    <row r="113" spans="1:11" ht="28.5" x14ac:dyDescent="0.15">
      <c r="A113" s="28" t="s">
        <v>3931</v>
      </c>
      <c r="B113" s="15" t="s">
        <v>4379</v>
      </c>
      <c r="D113" s="29"/>
      <c r="E113" s="129">
        <v>43391</v>
      </c>
      <c r="F113" s="15" t="s">
        <v>6190</v>
      </c>
      <c r="G113" s="15" t="s">
        <v>1810</v>
      </c>
      <c r="H113" s="15" t="s">
        <v>3933</v>
      </c>
      <c r="I113" s="28" t="s">
        <v>3932</v>
      </c>
      <c r="J113" s="30" t="s">
        <v>4469</v>
      </c>
      <c r="K113" s="15">
        <f>COUNTIF(Contacts[姓名],Contacts[[#This Row],[姓名]])</f>
        <v>1</v>
      </c>
    </row>
    <row r="114" spans="1:11" x14ac:dyDescent="0.15">
      <c r="A114" s="28" t="s">
        <v>586</v>
      </c>
      <c r="B114" s="15" t="s">
        <v>1635</v>
      </c>
      <c r="C114" s="15">
        <v>361681442</v>
      </c>
      <c r="D114" s="29" t="s">
        <v>1649</v>
      </c>
      <c r="E114" s="129" t="s">
        <v>5315</v>
      </c>
      <c r="F114" s="15" t="s">
        <v>6156</v>
      </c>
      <c r="H114" s="15" t="s">
        <v>3253</v>
      </c>
      <c r="I114" s="28" t="s">
        <v>3254</v>
      </c>
      <c r="J114" s="30" t="s">
        <v>3255</v>
      </c>
      <c r="K114" s="15">
        <f>COUNTIF(Contacts[姓名],Contacts[[#This Row],[姓名]])</f>
        <v>1</v>
      </c>
    </row>
    <row r="115" spans="1:11" ht="28.5" x14ac:dyDescent="0.15">
      <c r="A115" s="28" t="s">
        <v>3846</v>
      </c>
      <c r="B115" s="15" t="s">
        <v>4379</v>
      </c>
      <c r="C115" s="15">
        <v>490535232</v>
      </c>
      <c r="D115" s="29"/>
      <c r="E115" s="129">
        <v>43392</v>
      </c>
      <c r="F115" s="15" t="s">
        <v>3847</v>
      </c>
      <c r="G115" s="15" t="s">
        <v>1810</v>
      </c>
      <c r="H115" s="15" t="s">
        <v>3849</v>
      </c>
      <c r="I115" s="28" t="s">
        <v>3848</v>
      </c>
      <c r="J115" s="30" t="s">
        <v>4468</v>
      </c>
      <c r="K115" s="15">
        <f>COUNTIF(Contacts[姓名],Contacts[[#This Row],[姓名]])</f>
        <v>1</v>
      </c>
    </row>
    <row r="116" spans="1:11" x14ac:dyDescent="0.15">
      <c r="A116" s="28" t="s">
        <v>4196</v>
      </c>
      <c r="B116" s="15" t="s">
        <v>4379</v>
      </c>
      <c r="C116" s="15">
        <v>29918763</v>
      </c>
      <c r="D116" s="29"/>
      <c r="E116" s="129">
        <v>43392</v>
      </c>
      <c r="F116" s="15" t="s">
        <v>4197</v>
      </c>
      <c r="G116" s="15" t="s">
        <v>1810</v>
      </c>
      <c r="H116" s="15" t="s">
        <v>4199</v>
      </c>
      <c r="I116" s="28" t="s">
        <v>4198</v>
      </c>
      <c r="J116" s="30"/>
      <c r="K116" s="15">
        <f>COUNTIF(Contacts[姓名],Contacts[[#This Row],[姓名]])</f>
        <v>1</v>
      </c>
    </row>
    <row r="117" spans="1:11" x14ac:dyDescent="0.15">
      <c r="A117" s="28" t="s">
        <v>3851</v>
      </c>
      <c r="B117" s="15" t="s">
        <v>4379</v>
      </c>
      <c r="D117" s="29"/>
      <c r="E117" s="129">
        <v>43392</v>
      </c>
      <c r="F117" s="15" t="s">
        <v>3852</v>
      </c>
      <c r="G117" s="15" t="s">
        <v>2727</v>
      </c>
      <c r="H117" s="15" t="s">
        <v>3854</v>
      </c>
      <c r="I117" s="28" t="s">
        <v>3853</v>
      </c>
      <c r="J117" s="30" t="s">
        <v>3856</v>
      </c>
      <c r="K117" s="15">
        <f>COUNTIF(Contacts[姓名],Contacts[[#This Row],[姓名]])</f>
        <v>1</v>
      </c>
    </row>
    <row r="118" spans="1:11" x14ac:dyDescent="0.15">
      <c r="A118" s="28" t="s">
        <v>3857</v>
      </c>
      <c r="B118" s="15" t="s">
        <v>4379</v>
      </c>
      <c r="C118" s="15">
        <v>2850393501</v>
      </c>
      <c r="D118" s="29"/>
      <c r="E118" s="129">
        <v>43392</v>
      </c>
      <c r="F118" s="15" t="s">
        <v>3858</v>
      </c>
      <c r="G118" s="15" t="s">
        <v>3859</v>
      </c>
      <c r="H118" s="15" t="s">
        <v>3861</v>
      </c>
      <c r="I118" s="28" t="s">
        <v>3860</v>
      </c>
      <c r="J118" s="30" t="s">
        <v>3863</v>
      </c>
      <c r="K118" s="15">
        <f>COUNTIF(Contacts[姓名],Contacts[[#This Row],[姓名]])</f>
        <v>1</v>
      </c>
    </row>
    <row r="119" spans="1:11" x14ac:dyDescent="0.15">
      <c r="A119" s="28" t="s">
        <v>3864</v>
      </c>
      <c r="B119" s="15" t="s">
        <v>4379</v>
      </c>
      <c r="C119" s="15">
        <v>1205510687</v>
      </c>
      <c r="D119" s="29"/>
      <c r="E119" s="129">
        <v>43392</v>
      </c>
      <c r="F119" s="15" t="s">
        <v>3865</v>
      </c>
      <c r="H119" s="15" t="s">
        <v>3867</v>
      </c>
      <c r="I119" s="28" t="s">
        <v>3866</v>
      </c>
      <c r="J119" s="30" t="s">
        <v>3869</v>
      </c>
      <c r="K119" s="15">
        <f>COUNTIF(Contacts[姓名],Contacts[[#This Row],[姓名]])</f>
        <v>1</v>
      </c>
    </row>
    <row r="120" spans="1:11" x14ac:dyDescent="0.15">
      <c r="A120" s="28" t="s">
        <v>4208</v>
      </c>
      <c r="B120" s="15" t="s">
        <v>4379</v>
      </c>
      <c r="C120" s="15">
        <v>85517522</v>
      </c>
      <c r="D120" s="29"/>
      <c r="E120" s="129">
        <v>43392</v>
      </c>
      <c r="F120" s="15" t="s">
        <v>4209</v>
      </c>
      <c r="H120" s="15" t="s">
        <v>4211</v>
      </c>
      <c r="I120" s="28" t="s">
        <v>4210</v>
      </c>
      <c r="J120" s="30"/>
      <c r="K120" s="15">
        <f>COUNTIF(Contacts[姓名],Contacts[[#This Row],[姓名]])</f>
        <v>1</v>
      </c>
    </row>
    <row r="121" spans="1:11" x14ac:dyDescent="0.15">
      <c r="A121" s="28" t="s">
        <v>3836</v>
      </c>
      <c r="B121" s="15" t="s">
        <v>4379</v>
      </c>
      <c r="C121" s="15">
        <v>2850165919</v>
      </c>
      <c r="D121" s="29"/>
      <c r="E121" s="129">
        <v>43392</v>
      </c>
      <c r="F121" s="15" t="s">
        <v>3837</v>
      </c>
      <c r="G121" s="15" t="s">
        <v>1946</v>
      </c>
      <c r="H121" s="15" t="s">
        <v>3839</v>
      </c>
      <c r="I121" s="28" t="s">
        <v>3838</v>
      </c>
      <c r="J121" s="30"/>
      <c r="K121" s="15">
        <f>COUNTIF(Contacts[姓名],Contacts[[#This Row],[姓名]])</f>
        <v>1</v>
      </c>
    </row>
    <row r="122" spans="1:11" x14ac:dyDescent="0.15">
      <c r="A122" s="28" t="s">
        <v>4213</v>
      </c>
      <c r="B122" s="15" t="s">
        <v>4379</v>
      </c>
      <c r="C122" s="15">
        <v>463448933</v>
      </c>
      <c r="D122" s="29"/>
      <c r="E122" s="129">
        <v>43392</v>
      </c>
      <c r="F122" s="15" t="s">
        <v>4214</v>
      </c>
      <c r="G122" s="15" t="s">
        <v>2562</v>
      </c>
      <c r="H122" s="15" t="s">
        <v>4216</v>
      </c>
      <c r="I122" s="28" t="s">
        <v>4215</v>
      </c>
      <c r="J122" s="30"/>
      <c r="K122" s="15">
        <f>COUNTIF(Contacts[姓名],Contacts[[#This Row],[姓名]])</f>
        <v>1</v>
      </c>
    </row>
    <row r="123" spans="1:11" x14ac:dyDescent="0.15">
      <c r="A123" s="28" t="s">
        <v>4218</v>
      </c>
      <c r="B123" s="15" t="s">
        <v>4379</v>
      </c>
      <c r="C123" s="15">
        <v>1252567993</v>
      </c>
      <c r="D123" s="29"/>
      <c r="E123" s="129">
        <v>43392</v>
      </c>
      <c r="F123" s="15" t="s">
        <v>4219</v>
      </c>
      <c r="H123" s="15" t="s">
        <v>4221</v>
      </c>
      <c r="I123" s="28" t="s">
        <v>4220</v>
      </c>
      <c r="J123" s="30" t="s">
        <v>4222</v>
      </c>
      <c r="K123" s="15">
        <f>COUNTIF(Contacts[姓名],Contacts[[#This Row],[姓名]])</f>
        <v>2</v>
      </c>
    </row>
    <row r="124" spans="1:11" x14ac:dyDescent="0.15">
      <c r="A124" s="28" t="s">
        <v>4218</v>
      </c>
      <c r="B124" s="15" t="s">
        <v>4379</v>
      </c>
      <c r="C124" s="15">
        <v>314351575</v>
      </c>
      <c r="D124" s="29"/>
      <c r="E124" s="129">
        <v>43392</v>
      </c>
      <c r="F124" s="15" t="s">
        <v>4223</v>
      </c>
      <c r="H124" s="15" t="s">
        <v>4225</v>
      </c>
      <c r="I124" s="28" t="s">
        <v>4224</v>
      </c>
      <c r="J124" s="30" t="s">
        <v>4226</v>
      </c>
      <c r="K124" s="15">
        <f>COUNTIF(Contacts[姓名],Contacts[[#This Row],[姓名]])</f>
        <v>1</v>
      </c>
    </row>
    <row r="125" spans="1:11" x14ac:dyDescent="0.15">
      <c r="A125" s="28" t="s">
        <v>3870</v>
      </c>
      <c r="B125" s="15" t="s">
        <v>4379</v>
      </c>
      <c r="D125" s="29"/>
      <c r="E125" s="129">
        <v>43392</v>
      </c>
      <c r="F125" s="15" t="s">
        <v>3871</v>
      </c>
      <c r="G125" s="15" t="s">
        <v>1783</v>
      </c>
      <c r="H125" s="15" t="s">
        <v>3873</v>
      </c>
      <c r="I125" s="28" t="s">
        <v>3872</v>
      </c>
      <c r="J125" s="30" t="s">
        <v>3869</v>
      </c>
      <c r="K125" s="15">
        <f>COUNTIF(Contacts[姓名],Contacts[[#This Row],[姓名]])</f>
        <v>1</v>
      </c>
    </row>
    <row r="126" spans="1:11" x14ac:dyDescent="0.15">
      <c r="A126" s="28" t="s">
        <v>3934</v>
      </c>
      <c r="B126" s="15" t="s">
        <v>4379</v>
      </c>
      <c r="C126" s="15">
        <v>957259444</v>
      </c>
      <c r="D126" s="29"/>
      <c r="E126" s="129">
        <v>43392</v>
      </c>
      <c r="F126" s="15" t="s">
        <v>3935</v>
      </c>
      <c r="G126" s="15" t="s">
        <v>3936</v>
      </c>
      <c r="H126" s="15" t="s">
        <v>3938</v>
      </c>
      <c r="I126" s="28" t="s">
        <v>3937</v>
      </c>
      <c r="J126" s="30" t="s">
        <v>3939</v>
      </c>
      <c r="K126" s="15">
        <f>COUNTIF(Contacts[姓名],Contacts[[#This Row],[姓名]])</f>
        <v>1</v>
      </c>
    </row>
    <row r="127" spans="1:11" x14ac:dyDescent="0.15">
      <c r="A127" s="28" t="s">
        <v>4285</v>
      </c>
      <c r="B127" s="15" t="s">
        <v>4379</v>
      </c>
      <c r="C127" s="15">
        <v>1210474941</v>
      </c>
      <c r="D127" s="29"/>
      <c r="E127" s="129">
        <v>43392</v>
      </c>
      <c r="F127" s="15" t="s">
        <v>4286</v>
      </c>
      <c r="G127" s="15" t="s">
        <v>4149</v>
      </c>
      <c r="H127" s="15" t="s">
        <v>4288</v>
      </c>
      <c r="I127" s="28" t="s">
        <v>4287</v>
      </c>
      <c r="J127" s="30" t="s">
        <v>4290</v>
      </c>
      <c r="K127" s="15">
        <f>COUNTIF(Contacts[姓名],Contacts[[#This Row],[姓名]])</f>
        <v>1</v>
      </c>
    </row>
    <row r="128" spans="1:11" x14ac:dyDescent="0.15">
      <c r="A128" s="28" t="s">
        <v>4227</v>
      </c>
      <c r="B128" s="15" t="s">
        <v>4379</v>
      </c>
      <c r="C128" s="15">
        <v>39398882</v>
      </c>
      <c r="D128" s="29"/>
      <c r="E128" s="129">
        <v>43392</v>
      </c>
      <c r="F128" s="15" t="s">
        <v>4228</v>
      </c>
      <c r="H128" s="15" t="s">
        <v>4230</v>
      </c>
      <c r="I128" s="28" t="s">
        <v>4229</v>
      </c>
      <c r="J128" s="30"/>
      <c r="K128" s="15">
        <f>COUNTIF(Contacts[姓名],Contacts[[#This Row],[姓名]])</f>
        <v>1</v>
      </c>
    </row>
    <row r="129" spans="1:11" x14ac:dyDescent="0.15">
      <c r="A129" s="28" t="s">
        <v>4227</v>
      </c>
      <c r="B129" s="15" t="s">
        <v>4379</v>
      </c>
      <c r="D129" s="29"/>
      <c r="E129" s="129">
        <v>43392</v>
      </c>
      <c r="F129" s="15" t="s">
        <v>4232</v>
      </c>
      <c r="G129" s="15" t="s">
        <v>4149</v>
      </c>
      <c r="H129" s="15" t="s">
        <v>4234</v>
      </c>
      <c r="I129" s="28" t="s">
        <v>4233</v>
      </c>
      <c r="J129" s="30"/>
      <c r="K129" s="15">
        <f>COUNTIF(Contacts[姓名],Contacts[[#This Row],[姓名]])</f>
        <v>1</v>
      </c>
    </row>
    <row r="130" spans="1:11" x14ac:dyDescent="0.15">
      <c r="A130" s="28" t="s">
        <v>4235</v>
      </c>
      <c r="B130" s="15" t="s">
        <v>4379</v>
      </c>
      <c r="C130" s="15">
        <v>442875467</v>
      </c>
      <c r="D130" s="29"/>
      <c r="E130" s="129">
        <v>43392</v>
      </c>
      <c r="F130" s="15" t="s">
        <v>4236</v>
      </c>
      <c r="G130" s="15" t="s">
        <v>1818</v>
      </c>
      <c r="H130" s="15" t="s">
        <v>4238</v>
      </c>
      <c r="I130" s="28" t="s">
        <v>4237</v>
      </c>
      <c r="J130" s="30"/>
      <c r="K130" s="15">
        <f>COUNTIF(Contacts[姓名],Contacts[[#This Row],[姓名]])</f>
        <v>1</v>
      </c>
    </row>
    <row r="131" spans="1:11" x14ac:dyDescent="0.15">
      <c r="A131" s="28" t="s">
        <v>3940</v>
      </c>
      <c r="B131" s="15" t="s">
        <v>4379</v>
      </c>
      <c r="C131" s="15">
        <v>409265438</v>
      </c>
      <c r="D131" s="29"/>
      <c r="E131" s="129">
        <v>43392</v>
      </c>
      <c r="F131" s="15" t="s">
        <v>3941</v>
      </c>
      <c r="G131" s="15" t="s">
        <v>2562</v>
      </c>
      <c r="H131" s="15" t="s">
        <v>3943</v>
      </c>
      <c r="I131" s="28" t="s">
        <v>3942</v>
      </c>
      <c r="J131" s="30" t="s">
        <v>5568</v>
      </c>
      <c r="K131" s="15">
        <f>COUNTIF(Contacts[姓名],Contacts[[#This Row],[姓名]])</f>
        <v>1</v>
      </c>
    </row>
    <row r="132" spans="1:11" ht="28.5" x14ac:dyDescent="0.15">
      <c r="A132" s="28" t="s">
        <v>4291</v>
      </c>
      <c r="B132" s="15" t="s">
        <v>4379</v>
      </c>
      <c r="C132" s="15">
        <v>541457142</v>
      </c>
      <c r="D132" s="29"/>
      <c r="E132" s="129">
        <v>43392</v>
      </c>
      <c r="F132" s="15" t="s">
        <v>4292</v>
      </c>
      <c r="G132" s="15" t="s">
        <v>1810</v>
      </c>
      <c r="H132" s="15" t="s">
        <v>4294</v>
      </c>
      <c r="I132" s="28" t="s">
        <v>4293</v>
      </c>
      <c r="J132" s="30" t="s">
        <v>4479</v>
      </c>
      <c r="K132" s="15">
        <f>COUNTIF(Contacts[姓名],Contacts[[#This Row],[姓名]])</f>
        <v>1</v>
      </c>
    </row>
    <row r="133" spans="1:11" x14ac:dyDescent="0.15">
      <c r="A133" s="28" t="s">
        <v>3875</v>
      </c>
      <c r="B133" s="15" t="s">
        <v>4379</v>
      </c>
      <c r="C133" s="15">
        <v>125962221</v>
      </c>
      <c r="D133" s="29"/>
      <c r="E133" s="129">
        <v>43392</v>
      </c>
      <c r="F133" s="15" t="s">
        <v>3876</v>
      </c>
      <c r="G133" s="15" t="s">
        <v>3877</v>
      </c>
      <c r="H133" s="15" t="s">
        <v>3879</v>
      </c>
      <c r="I133" s="28" t="s">
        <v>3878</v>
      </c>
      <c r="J133" s="30" t="s">
        <v>3881</v>
      </c>
      <c r="K133" s="15">
        <f>COUNTIF(Contacts[姓名],Contacts[[#This Row],[姓名]])</f>
        <v>1</v>
      </c>
    </row>
    <row r="134" spans="1:11" x14ac:dyDescent="0.15">
      <c r="A134" s="28" t="s">
        <v>4240</v>
      </c>
      <c r="B134" s="15" t="s">
        <v>4379</v>
      </c>
      <c r="C134" s="15">
        <v>599796523</v>
      </c>
      <c r="D134" s="29"/>
      <c r="E134" s="129">
        <v>43392</v>
      </c>
      <c r="F134" s="15" t="s">
        <v>4241</v>
      </c>
      <c r="G134" s="15" t="s">
        <v>1810</v>
      </c>
      <c r="H134" s="15" t="s">
        <v>4243</v>
      </c>
      <c r="I134" s="28" t="s">
        <v>4242</v>
      </c>
      <c r="J134" s="30" t="s">
        <v>5568</v>
      </c>
      <c r="K134" s="15">
        <f>COUNTIF(Contacts[姓名],Contacts[[#This Row],[姓名]])</f>
        <v>1</v>
      </c>
    </row>
    <row r="135" spans="1:11" x14ac:dyDescent="0.15">
      <c r="A135" s="28" t="s">
        <v>4245</v>
      </c>
      <c r="B135" s="15" t="s">
        <v>4379</v>
      </c>
      <c r="C135" s="15">
        <v>49549908</v>
      </c>
      <c r="D135" s="29"/>
      <c r="E135" s="129">
        <v>43392</v>
      </c>
      <c r="F135" s="15" t="s">
        <v>4246</v>
      </c>
      <c r="G135" s="15" t="s">
        <v>2727</v>
      </c>
      <c r="H135" s="15" t="s">
        <v>4248</v>
      </c>
      <c r="I135" s="28" t="s">
        <v>4247</v>
      </c>
      <c r="J135" s="30"/>
      <c r="K135" s="15">
        <f>COUNTIF(Contacts[姓名],Contacts[[#This Row],[姓名]])</f>
        <v>1</v>
      </c>
    </row>
    <row r="136" spans="1:11" x14ac:dyDescent="0.15">
      <c r="A136" s="28" t="s">
        <v>3882</v>
      </c>
      <c r="B136" s="15" t="s">
        <v>4379</v>
      </c>
      <c r="C136" s="15">
        <v>17352118</v>
      </c>
      <c r="D136" s="29"/>
      <c r="E136" s="129">
        <v>43392</v>
      </c>
      <c r="F136" s="15" t="s">
        <v>3883</v>
      </c>
      <c r="H136" s="15" t="s">
        <v>3885</v>
      </c>
      <c r="I136" s="28" t="s">
        <v>3884</v>
      </c>
      <c r="J136" s="30"/>
      <c r="K136" s="15">
        <f>COUNTIF(Contacts[姓名],Contacts[[#This Row],[姓名]])</f>
        <v>1</v>
      </c>
    </row>
    <row r="137" spans="1:11" x14ac:dyDescent="0.15">
      <c r="A137" s="28" t="s">
        <v>4250</v>
      </c>
      <c r="B137" s="15" t="s">
        <v>4379</v>
      </c>
      <c r="C137" s="15">
        <v>114964355</v>
      </c>
      <c r="D137" s="29"/>
      <c r="E137" s="129">
        <v>43392</v>
      </c>
      <c r="F137" s="15" t="s">
        <v>4251</v>
      </c>
      <c r="G137" s="15" t="s">
        <v>2727</v>
      </c>
      <c r="H137" s="15" t="s">
        <v>4253</v>
      </c>
      <c r="I137" s="28" t="s">
        <v>4252</v>
      </c>
      <c r="J137" s="30"/>
      <c r="K137" s="15">
        <f>COUNTIF(Contacts[姓名],Contacts[[#This Row],[姓名]])</f>
        <v>1</v>
      </c>
    </row>
    <row r="138" spans="1:11" x14ac:dyDescent="0.15">
      <c r="A138" s="28" t="s">
        <v>3887</v>
      </c>
      <c r="B138" s="15" t="s">
        <v>4379</v>
      </c>
      <c r="C138" s="15">
        <v>2853795578</v>
      </c>
      <c r="D138" s="29"/>
      <c r="E138" s="129">
        <v>43392</v>
      </c>
      <c r="F138" s="15" t="s">
        <v>3888</v>
      </c>
      <c r="G138" s="15" t="s">
        <v>1787</v>
      </c>
      <c r="H138" s="15" t="s">
        <v>3890</v>
      </c>
      <c r="I138" s="28" t="s">
        <v>3889</v>
      </c>
      <c r="J138" s="30" t="s">
        <v>3891</v>
      </c>
      <c r="K138" s="15">
        <f>COUNTIF(Contacts[姓名],Contacts[[#This Row],[姓名]])</f>
        <v>1</v>
      </c>
    </row>
    <row r="139" spans="1:11" x14ac:dyDescent="0.15">
      <c r="A139" s="28" t="s">
        <v>3892</v>
      </c>
      <c r="B139" s="15" t="s">
        <v>4379</v>
      </c>
      <c r="D139" s="29"/>
      <c r="E139" s="129">
        <v>43392</v>
      </c>
      <c r="F139" s="15" t="s">
        <v>3893</v>
      </c>
      <c r="G139" s="15" t="s">
        <v>2729</v>
      </c>
      <c r="H139" s="15" t="s">
        <v>3895</v>
      </c>
      <c r="I139" s="28" t="s">
        <v>3894</v>
      </c>
      <c r="J139" s="30" t="s">
        <v>3897</v>
      </c>
      <c r="K139" s="15">
        <f>COUNTIF(Contacts[姓名],Contacts[[#This Row],[姓名]])</f>
        <v>1</v>
      </c>
    </row>
    <row r="140" spans="1:11" x14ac:dyDescent="0.15">
      <c r="A140" s="28" t="s">
        <v>3898</v>
      </c>
      <c r="B140" s="15" t="s">
        <v>4379</v>
      </c>
      <c r="C140" s="15">
        <v>1271353607</v>
      </c>
      <c r="D140" s="29"/>
      <c r="E140" s="129">
        <v>43392</v>
      </c>
      <c r="F140" s="15" t="s">
        <v>3899</v>
      </c>
      <c r="G140" s="15" t="s">
        <v>1946</v>
      </c>
      <c r="H140" s="15" t="s">
        <v>3901</v>
      </c>
      <c r="I140" s="28" t="s">
        <v>3900</v>
      </c>
      <c r="J140" s="30" t="s">
        <v>3903</v>
      </c>
      <c r="K140" s="15">
        <f>COUNTIF(Contacts[姓名],Contacts[[#This Row],[姓名]])</f>
        <v>1</v>
      </c>
    </row>
    <row r="141" spans="1:11" x14ac:dyDescent="0.15">
      <c r="A141" s="28" t="s">
        <v>3904</v>
      </c>
      <c r="B141" s="15" t="s">
        <v>4379</v>
      </c>
      <c r="C141" s="15">
        <v>995389202</v>
      </c>
      <c r="D141" s="29"/>
      <c r="E141" s="129">
        <v>43392</v>
      </c>
      <c r="F141" s="15" t="s">
        <v>3905</v>
      </c>
      <c r="I141" s="28"/>
      <c r="J141" s="30" t="s">
        <v>3907</v>
      </c>
      <c r="K141" s="15">
        <f>COUNTIF(Contacts[姓名],Contacts[[#This Row],[姓名]])</f>
        <v>1</v>
      </c>
    </row>
    <row r="142" spans="1:11" x14ac:dyDescent="0.15">
      <c r="A142" s="28" t="s">
        <v>3841</v>
      </c>
      <c r="B142" s="15" t="s">
        <v>4379</v>
      </c>
      <c r="C142" s="15">
        <v>1697156087</v>
      </c>
      <c r="D142" s="29"/>
      <c r="E142" s="129">
        <v>43392</v>
      </c>
      <c r="F142" s="15" t="s">
        <v>3842</v>
      </c>
      <c r="H142" s="15" t="s">
        <v>3844</v>
      </c>
      <c r="I142" s="28" t="s">
        <v>3843</v>
      </c>
      <c r="J142" s="30"/>
      <c r="K142" s="15">
        <f>COUNTIF(Contacts[姓名],Contacts[[#This Row],[姓名]])</f>
        <v>1</v>
      </c>
    </row>
    <row r="143" spans="1:11" x14ac:dyDescent="0.15">
      <c r="A143" s="28" t="s">
        <v>4255</v>
      </c>
      <c r="B143" s="15" t="s">
        <v>4379</v>
      </c>
      <c r="D143" s="29"/>
      <c r="E143" s="129">
        <v>43392</v>
      </c>
      <c r="F143" s="15" t="s">
        <v>4256</v>
      </c>
      <c r="G143" s="15" t="s">
        <v>2729</v>
      </c>
      <c r="H143" s="15" t="s">
        <v>4258</v>
      </c>
      <c r="I143" s="28" t="s">
        <v>4257</v>
      </c>
      <c r="J143" s="30"/>
      <c r="K143" s="15">
        <f>COUNTIF(Contacts[姓名],Contacts[[#This Row],[姓名]])</f>
        <v>1</v>
      </c>
    </row>
    <row r="144" spans="1:11" x14ac:dyDescent="0.15">
      <c r="A144" s="28" t="s">
        <v>4260</v>
      </c>
      <c r="B144" s="15" t="s">
        <v>4379</v>
      </c>
      <c r="C144" s="15">
        <v>2850365588</v>
      </c>
      <c r="D144" s="29"/>
      <c r="E144" s="129">
        <v>43392</v>
      </c>
      <c r="F144" s="15" t="s">
        <v>4261</v>
      </c>
      <c r="G144" s="15" t="s">
        <v>4262</v>
      </c>
      <c r="H144" s="15" t="s">
        <v>4264</v>
      </c>
      <c r="I144" s="28" t="s">
        <v>4263</v>
      </c>
      <c r="J144" s="30" t="s">
        <v>4477</v>
      </c>
      <c r="K144" s="15">
        <f>COUNTIF(Contacts[姓名],Contacts[[#This Row],[姓名]])</f>
        <v>1</v>
      </c>
    </row>
    <row r="145" spans="1:11" x14ac:dyDescent="0.15">
      <c r="A145" s="28" t="s">
        <v>4266</v>
      </c>
      <c r="B145" s="15" t="s">
        <v>4379</v>
      </c>
      <c r="C145" s="15">
        <v>625995795</v>
      </c>
      <c r="D145" s="29"/>
      <c r="E145" s="129">
        <v>43392</v>
      </c>
      <c r="F145" s="15" t="s">
        <v>4267</v>
      </c>
      <c r="G145" s="15" t="s">
        <v>2727</v>
      </c>
      <c r="H145" s="15" t="s">
        <v>4269</v>
      </c>
      <c r="I145" s="28" t="s">
        <v>4268</v>
      </c>
      <c r="J145" s="30"/>
      <c r="K145" s="15">
        <f>COUNTIF(Contacts[姓名],Contacts[[#This Row],[姓名]])</f>
        <v>1</v>
      </c>
    </row>
    <row r="146" spans="1:11" x14ac:dyDescent="0.15">
      <c r="A146" s="28" t="s">
        <v>4271</v>
      </c>
      <c r="B146" s="15" t="s">
        <v>4379</v>
      </c>
      <c r="C146" s="15">
        <v>242426443</v>
      </c>
      <c r="D146" s="29"/>
      <c r="E146" s="129">
        <v>43392</v>
      </c>
      <c r="F146" s="15" t="s">
        <v>4272</v>
      </c>
      <c r="G146" s="15" t="s">
        <v>2727</v>
      </c>
      <c r="H146" s="15" t="s">
        <v>4274</v>
      </c>
      <c r="I146" s="28" t="s">
        <v>4273</v>
      </c>
      <c r="J146" s="30"/>
      <c r="K146" s="15">
        <f>COUNTIF(Contacts[姓名],Contacts[[#This Row],[姓名]])</f>
        <v>1</v>
      </c>
    </row>
    <row r="147" spans="1:11" x14ac:dyDescent="0.15">
      <c r="A147" s="28" t="s">
        <v>4203</v>
      </c>
      <c r="B147" s="15" t="s">
        <v>4379</v>
      </c>
      <c r="D147" s="29"/>
      <c r="E147" s="129">
        <v>43392</v>
      </c>
      <c r="F147" s="15" t="s">
        <v>4204</v>
      </c>
      <c r="H147" s="15" t="s">
        <v>4206</v>
      </c>
      <c r="I147" s="28" t="s">
        <v>4205</v>
      </c>
      <c r="J147" s="30" t="s">
        <v>1876</v>
      </c>
      <c r="K147" s="15">
        <f>COUNTIF(Contacts[姓名],Contacts[[#This Row],[姓名]])</f>
        <v>1</v>
      </c>
    </row>
    <row r="148" spans="1:11" x14ac:dyDescent="0.15">
      <c r="A148" s="28" t="s">
        <v>4271</v>
      </c>
      <c r="B148" s="15" t="s">
        <v>4379</v>
      </c>
      <c r="C148" s="15">
        <v>1559009536</v>
      </c>
      <c r="D148" s="29"/>
      <c r="E148" s="129">
        <v>43392</v>
      </c>
      <c r="F148" s="15" t="s">
        <v>4276</v>
      </c>
      <c r="H148" s="15" t="s">
        <v>4278</v>
      </c>
      <c r="I148" s="28" t="s">
        <v>4277</v>
      </c>
      <c r="J148" s="30"/>
      <c r="K148" s="15">
        <f>COUNTIF(Contacts[姓名],Contacts[[#This Row],[姓名]])</f>
        <v>1</v>
      </c>
    </row>
    <row r="149" spans="1:11" x14ac:dyDescent="0.15">
      <c r="A149" s="28" t="s">
        <v>4271</v>
      </c>
      <c r="B149" s="15" t="s">
        <v>4379</v>
      </c>
      <c r="C149" s="15">
        <v>137687391</v>
      </c>
      <c r="D149" s="29"/>
      <c r="E149" s="129">
        <v>43392</v>
      </c>
      <c r="F149" s="15" t="s">
        <v>4279</v>
      </c>
      <c r="G149" s="15" t="s">
        <v>1810</v>
      </c>
      <c r="H149" s="15" t="s">
        <v>4281</v>
      </c>
      <c r="I149" s="28" t="s">
        <v>4280</v>
      </c>
      <c r="J149" s="30"/>
      <c r="K149" s="15">
        <f>COUNTIF(Contacts[姓名],Contacts[[#This Row],[姓名]])</f>
        <v>1</v>
      </c>
    </row>
    <row r="150" spans="1:11" x14ac:dyDescent="0.15">
      <c r="A150" s="28" t="s">
        <v>3908</v>
      </c>
      <c r="B150" s="15" t="s">
        <v>4379</v>
      </c>
      <c r="C150" s="15">
        <v>2851829893</v>
      </c>
      <c r="D150" s="29"/>
      <c r="E150" s="129">
        <v>43392</v>
      </c>
      <c r="F150" s="15" t="s">
        <v>3909</v>
      </c>
      <c r="G150" s="15" t="s">
        <v>3910</v>
      </c>
      <c r="H150" s="15" t="s">
        <v>3912</v>
      </c>
      <c r="I150" s="28" t="s">
        <v>3911</v>
      </c>
      <c r="J150" s="30" t="s">
        <v>3914</v>
      </c>
      <c r="K150" s="15">
        <f>COUNTIF(Contacts[姓名],Contacts[[#This Row],[姓名]])</f>
        <v>1</v>
      </c>
    </row>
    <row r="151" spans="1:11" x14ac:dyDescent="0.15">
      <c r="A151" s="28" t="s">
        <v>4282</v>
      </c>
      <c r="B151" s="15" t="s">
        <v>4379</v>
      </c>
      <c r="C151" s="15">
        <v>290361135</v>
      </c>
      <c r="D151" s="29"/>
      <c r="E151" s="129">
        <v>43392</v>
      </c>
      <c r="F151" s="15" t="s">
        <v>4283</v>
      </c>
      <c r="I151" s="28"/>
      <c r="J151" s="30" t="s">
        <v>4478</v>
      </c>
      <c r="K151" s="15">
        <f>COUNTIF(Contacts[姓名],Contacts[[#This Row],[姓名]])</f>
        <v>1</v>
      </c>
    </row>
    <row r="152" spans="1:11" x14ac:dyDescent="0.15">
      <c r="A152" s="28" t="s">
        <v>4385</v>
      </c>
      <c r="B152" s="15" t="s">
        <v>4379</v>
      </c>
      <c r="D152" s="29"/>
      <c r="E152" s="129">
        <v>43392</v>
      </c>
      <c r="F152" s="15" t="s">
        <v>4382</v>
      </c>
      <c r="H152" s="15" t="s">
        <v>4383</v>
      </c>
      <c r="I152" s="28" t="s">
        <v>4384</v>
      </c>
      <c r="J152" s="30" t="s">
        <v>4386</v>
      </c>
      <c r="K152" s="15">
        <f>COUNTIF(Contacts[姓名],Contacts[[#This Row],[姓名]])</f>
        <v>1</v>
      </c>
    </row>
    <row r="153" spans="1:11" x14ac:dyDescent="0.15">
      <c r="A153" s="28" t="s">
        <v>4201</v>
      </c>
      <c r="B153" s="15" t="s">
        <v>4379</v>
      </c>
      <c r="D153" s="29"/>
      <c r="E153" s="129">
        <v>43392</v>
      </c>
      <c r="F153" s="15" t="s">
        <v>6181</v>
      </c>
      <c r="I153" s="15" t="s">
        <v>4381</v>
      </c>
      <c r="J153" s="30"/>
      <c r="K153" s="15">
        <f>COUNTIF(Contacts[姓名],Contacts[[#This Row],[姓名]])</f>
        <v>1</v>
      </c>
    </row>
    <row r="154" spans="1:11" x14ac:dyDescent="0.15">
      <c r="A154" s="28" t="s">
        <v>5047</v>
      </c>
      <c r="B154" s="15" t="s">
        <v>5048</v>
      </c>
      <c r="D154" s="29"/>
      <c r="E154" s="129">
        <v>43398</v>
      </c>
      <c r="F154" s="15" t="s">
        <v>5049</v>
      </c>
      <c r="G154" s="15" t="s">
        <v>5050</v>
      </c>
      <c r="H154" s="15" t="s">
        <v>5051</v>
      </c>
      <c r="I154" s="28" t="s">
        <v>5052</v>
      </c>
      <c r="J154" s="30" t="s">
        <v>5053</v>
      </c>
      <c r="K154" s="15">
        <f>COUNTIF(Contacts[姓名],Contacts[[#This Row],[姓名]])</f>
        <v>1</v>
      </c>
    </row>
    <row r="155" spans="1:11" x14ac:dyDescent="0.15">
      <c r="A155" s="28" t="s">
        <v>5054</v>
      </c>
      <c r="B155" s="15" t="s">
        <v>5048</v>
      </c>
      <c r="C155" s="15">
        <v>3190379007</v>
      </c>
      <c r="D155" s="29"/>
      <c r="E155" s="129">
        <v>43398</v>
      </c>
      <c r="F155" s="15" t="s">
        <v>5055</v>
      </c>
      <c r="H155" s="15" t="s">
        <v>5056</v>
      </c>
      <c r="I155" s="28" t="s">
        <v>5057</v>
      </c>
      <c r="J155" s="30" t="s">
        <v>5058</v>
      </c>
      <c r="K155" s="15">
        <f>COUNTIF(Contacts[姓名],Contacts[[#This Row],[姓名]])</f>
        <v>1</v>
      </c>
    </row>
    <row r="156" spans="1:11" x14ac:dyDescent="0.15">
      <c r="A156" s="28" t="s">
        <v>5059</v>
      </c>
      <c r="B156" s="15" t="s">
        <v>5048</v>
      </c>
      <c r="C156" s="15">
        <v>190544070</v>
      </c>
      <c r="D156" s="29"/>
      <c r="E156" s="129">
        <v>43398</v>
      </c>
      <c r="F156" s="15" t="s">
        <v>5060</v>
      </c>
      <c r="G156" s="15" t="s">
        <v>5061</v>
      </c>
      <c r="H156" s="15" t="s">
        <v>5062</v>
      </c>
      <c r="I156" s="28" t="s">
        <v>5063</v>
      </c>
      <c r="J156" s="30" t="s">
        <v>5064</v>
      </c>
      <c r="K156" s="15">
        <f>COUNTIF(Contacts[姓名],Contacts[[#This Row],[姓名]])</f>
        <v>1</v>
      </c>
    </row>
    <row r="157" spans="1:11" x14ac:dyDescent="0.15">
      <c r="A157" s="28" t="s">
        <v>5065</v>
      </c>
      <c r="B157" s="15" t="s">
        <v>5048</v>
      </c>
      <c r="D157" s="29"/>
      <c r="E157" s="129">
        <v>43398</v>
      </c>
      <c r="F157" s="15" t="s">
        <v>5066</v>
      </c>
      <c r="G157" s="15" t="s">
        <v>5067</v>
      </c>
      <c r="H157" s="15" t="s">
        <v>5068</v>
      </c>
      <c r="I157" s="28" t="s">
        <v>5069</v>
      </c>
      <c r="J157" s="30" t="s">
        <v>5070</v>
      </c>
      <c r="K157" s="15">
        <f>COUNTIF(Contacts[姓名],Contacts[[#This Row],[姓名]])</f>
        <v>1</v>
      </c>
    </row>
    <row r="158" spans="1:11" x14ac:dyDescent="0.15">
      <c r="A158" s="28" t="s">
        <v>5071</v>
      </c>
      <c r="B158" s="15" t="s">
        <v>5048</v>
      </c>
      <c r="C158" s="15">
        <v>2568637</v>
      </c>
      <c r="D158" s="29"/>
      <c r="E158" s="129">
        <v>43398</v>
      </c>
      <c r="F158" s="15" t="s">
        <v>5072</v>
      </c>
      <c r="G158" s="15" t="s">
        <v>5073</v>
      </c>
      <c r="H158" s="15" t="s">
        <v>5074</v>
      </c>
      <c r="I158" s="28" t="s">
        <v>5075</v>
      </c>
      <c r="J158" s="30" t="s">
        <v>5076</v>
      </c>
      <c r="K158" s="15">
        <f>COUNTIF(Contacts[姓名],Contacts[[#This Row],[姓名]])</f>
        <v>1</v>
      </c>
    </row>
    <row r="159" spans="1:11" x14ac:dyDescent="0.15">
      <c r="A159" s="28" t="s">
        <v>5077</v>
      </c>
      <c r="B159" s="15" t="s">
        <v>5048</v>
      </c>
      <c r="D159" s="29"/>
      <c r="E159" s="129">
        <v>43398</v>
      </c>
      <c r="F159" s="15" t="s">
        <v>5078</v>
      </c>
      <c r="G159" s="15" t="s">
        <v>5079</v>
      </c>
      <c r="H159" s="15" t="s">
        <v>5080</v>
      </c>
      <c r="I159" s="28" t="s">
        <v>5081</v>
      </c>
      <c r="J159" s="30" t="s">
        <v>5082</v>
      </c>
      <c r="K159" s="15">
        <f>COUNTIF(Contacts[姓名],Contacts[[#This Row],[姓名]])</f>
        <v>1</v>
      </c>
    </row>
    <row r="160" spans="1:11" x14ac:dyDescent="0.15">
      <c r="A160" s="28" t="s">
        <v>5083</v>
      </c>
      <c r="B160" s="15" t="s">
        <v>5048</v>
      </c>
      <c r="D160" s="29"/>
      <c r="E160" s="129">
        <v>43398</v>
      </c>
      <c r="F160" s="15" t="s">
        <v>5084</v>
      </c>
      <c r="G160" s="15" t="s">
        <v>5085</v>
      </c>
      <c r="H160" s="15" t="s">
        <v>5086</v>
      </c>
      <c r="I160" s="28" t="s">
        <v>5087</v>
      </c>
      <c r="J160" s="30" t="s">
        <v>5088</v>
      </c>
      <c r="K160" s="15">
        <f>COUNTIF(Contacts[姓名],Contacts[[#This Row],[姓名]])</f>
        <v>1</v>
      </c>
    </row>
    <row r="161" spans="1:11" x14ac:dyDescent="0.15">
      <c r="A161" s="28" t="s">
        <v>5089</v>
      </c>
      <c r="B161" s="15" t="s">
        <v>5048</v>
      </c>
      <c r="C161" s="15">
        <v>2880096296</v>
      </c>
      <c r="D161" s="29"/>
      <c r="E161" s="129">
        <v>43398</v>
      </c>
      <c r="F161" s="15" t="s">
        <v>5090</v>
      </c>
      <c r="G161" s="15" t="s">
        <v>5061</v>
      </c>
      <c r="H161" s="15" t="s">
        <v>5091</v>
      </c>
      <c r="I161" s="28" t="s">
        <v>5092</v>
      </c>
      <c r="J161" s="30" t="s">
        <v>6242</v>
      </c>
      <c r="K161" s="15">
        <f>COUNTIF(Contacts[姓名],Contacts[[#This Row],[姓名]])</f>
        <v>1</v>
      </c>
    </row>
    <row r="162" spans="1:11" x14ac:dyDescent="0.15">
      <c r="A162" s="28" t="s">
        <v>5093</v>
      </c>
      <c r="B162" s="15" t="s">
        <v>5048</v>
      </c>
      <c r="C162" s="15">
        <v>799436072</v>
      </c>
      <c r="D162" s="29"/>
      <c r="E162" s="129">
        <v>43398</v>
      </c>
      <c r="F162" s="15" t="s">
        <v>5094</v>
      </c>
      <c r="G162" s="15" t="s">
        <v>5061</v>
      </c>
      <c r="H162" s="15" t="s">
        <v>5095</v>
      </c>
      <c r="I162" s="28" t="s">
        <v>5096</v>
      </c>
      <c r="J162" s="30" t="s">
        <v>5097</v>
      </c>
      <c r="K162" s="15">
        <f>COUNTIF(Contacts[姓名],Contacts[[#This Row],[姓名]])</f>
        <v>1</v>
      </c>
    </row>
    <row r="163" spans="1:11" x14ac:dyDescent="0.15">
      <c r="A163" s="28" t="s">
        <v>5098</v>
      </c>
      <c r="B163" s="15" t="s">
        <v>5048</v>
      </c>
      <c r="C163" s="15">
        <v>458017556</v>
      </c>
      <c r="D163" s="29"/>
      <c r="E163" s="129">
        <v>43398</v>
      </c>
      <c r="F163" s="15" t="s">
        <v>5099</v>
      </c>
      <c r="G163" s="15" t="s">
        <v>5100</v>
      </c>
      <c r="I163" s="28"/>
      <c r="J163" s="30" t="s">
        <v>5103</v>
      </c>
      <c r="K163" s="15">
        <f>COUNTIF(Contacts[姓名],Contacts[[#This Row],[姓名]])</f>
        <v>1</v>
      </c>
    </row>
    <row r="164" spans="1:11" x14ac:dyDescent="0.15">
      <c r="A164" s="28" t="s">
        <v>5101</v>
      </c>
      <c r="B164" s="15" t="s">
        <v>5048</v>
      </c>
      <c r="C164" s="15">
        <v>33775038</v>
      </c>
      <c r="D164" s="29"/>
      <c r="E164" s="129">
        <v>43398</v>
      </c>
      <c r="F164" s="15" t="s">
        <v>5102</v>
      </c>
      <c r="I164" s="28"/>
      <c r="J164" s="30" t="s">
        <v>5103</v>
      </c>
      <c r="K164" s="15">
        <f>COUNTIF(Contacts[姓名],Contacts[[#This Row],[姓名]])</f>
        <v>1</v>
      </c>
    </row>
    <row r="165" spans="1:11" x14ac:dyDescent="0.15">
      <c r="A165" s="28" t="s">
        <v>5104</v>
      </c>
      <c r="B165" s="15" t="s">
        <v>5048</v>
      </c>
      <c r="C165" s="15">
        <v>542790023</v>
      </c>
      <c r="D165" s="29"/>
      <c r="E165" s="129">
        <v>43398</v>
      </c>
      <c r="F165" s="15" t="s">
        <v>5105</v>
      </c>
      <c r="G165" s="15" t="s">
        <v>5106</v>
      </c>
      <c r="H165" s="15" t="s">
        <v>5107</v>
      </c>
      <c r="I165" s="28" t="s">
        <v>5108</v>
      </c>
      <c r="J165" s="30" t="s">
        <v>5109</v>
      </c>
      <c r="K165" s="15">
        <f>COUNTIF(Contacts[姓名],Contacts[[#This Row],[姓名]])</f>
        <v>1</v>
      </c>
    </row>
    <row r="166" spans="1:11" x14ac:dyDescent="0.15">
      <c r="A166" s="28" t="s">
        <v>5114</v>
      </c>
      <c r="B166" s="15" t="s">
        <v>5048</v>
      </c>
      <c r="D166" s="29"/>
      <c r="E166" s="129">
        <v>43398</v>
      </c>
      <c r="F166" s="15" t="s">
        <v>5115</v>
      </c>
      <c r="G166" s="15" t="s">
        <v>5116</v>
      </c>
      <c r="H166" s="15" t="s">
        <v>5117</v>
      </c>
      <c r="I166" s="28" t="s">
        <v>5118</v>
      </c>
      <c r="J166" s="30" t="s">
        <v>5119</v>
      </c>
      <c r="K166" s="15">
        <f>COUNTIF(Contacts[姓名],Contacts[[#This Row],[姓名]])</f>
        <v>1</v>
      </c>
    </row>
    <row r="167" spans="1:11" x14ac:dyDescent="0.15">
      <c r="A167" s="28" t="s">
        <v>5120</v>
      </c>
      <c r="B167" s="15" t="s">
        <v>5048</v>
      </c>
      <c r="C167" s="15">
        <v>2327894155</v>
      </c>
      <c r="D167" s="29"/>
      <c r="E167" s="129">
        <v>43398</v>
      </c>
      <c r="F167" s="15" t="s">
        <v>5121</v>
      </c>
      <c r="G167" s="15" t="s">
        <v>5122</v>
      </c>
      <c r="H167" s="15" t="s">
        <v>5123</v>
      </c>
      <c r="I167" s="28" t="s">
        <v>5124</v>
      </c>
      <c r="J167" s="30" t="s">
        <v>5125</v>
      </c>
      <c r="K167" s="15">
        <f>COUNTIF(Contacts[姓名],Contacts[[#This Row],[姓名]])</f>
        <v>1</v>
      </c>
    </row>
    <row r="168" spans="1:11" ht="28.5" x14ac:dyDescent="0.15">
      <c r="A168" s="28" t="s">
        <v>5126</v>
      </c>
      <c r="B168" s="15" t="s">
        <v>5048</v>
      </c>
      <c r="C168" s="15">
        <v>812303393</v>
      </c>
      <c r="D168" s="29"/>
      <c r="E168" s="129">
        <v>43398</v>
      </c>
      <c r="F168" s="15" t="s">
        <v>5127</v>
      </c>
      <c r="G168" s="15" t="s">
        <v>5128</v>
      </c>
      <c r="H168" s="15" t="s">
        <v>5129</v>
      </c>
      <c r="I168" s="28" t="s">
        <v>5130</v>
      </c>
      <c r="J168" s="30" t="s">
        <v>5131</v>
      </c>
      <c r="K168" s="15">
        <f>COUNTIF(Contacts[姓名],Contacts[[#This Row],[姓名]])</f>
        <v>1</v>
      </c>
    </row>
    <row r="169" spans="1:11" x14ac:dyDescent="0.15">
      <c r="A169" s="28" t="s">
        <v>5134</v>
      </c>
      <c r="B169" s="15" t="s">
        <v>5048</v>
      </c>
      <c r="C169" s="15">
        <v>378211544</v>
      </c>
      <c r="D169" s="29"/>
      <c r="E169" s="129">
        <v>43398</v>
      </c>
      <c r="F169" s="15" t="s">
        <v>5135</v>
      </c>
      <c r="H169" s="15" t="s">
        <v>5136</v>
      </c>
      <c r="I169" s="28" t="s">
        <v>5137</v>
      </c>
      <c r="J169" s="30" t="s">
        <v>5138</v>
      </c>
      <c r="K169" s="15">
        <f>COUNTIF(Contacts[姓名],Contacts[[#This Row],[姓名]])</f>
        <v>1</v>
      </c>
    </row>
    <row r="170" spans="1:11" x14ac:dyDescent="0.15">
      <c r="A170" s="28" t="s">
        <v>5139</v>
      </c>
      <c r="B170" s="15" t="s">
        <v>5048</v>
      </c>
      <c r="C170" s="15">
        <v>2851716303</v>
      </c>
      <c r="D170" s="29"/>
      <c r="E170" s="129">
        <v>43398</v>
      </c>
      <c r="F170" s="15" t="s">
        <v>5140</v>
      </c>
      <c r="G170" s="15" t="s">
        <v>5122</v>
      </c>
      <c r="H170" s="15" t="s">
        <v>5141</v>
      </c>
      <c r="I170" s="28" t="s">
        <v>5142</v>
      </c>
      <c r="J170" s="30" t="s">
        <v>5143</v>
      </c>
      <c r="K170" s="15">
        <f>COUNTIF(Contacts[姓名],Contacts[[#This Row],[姓名]])</f>
        <v>1</v>
      </c>
    </row>
    <row r="171" spans="1:11" x14ac:dyDescent="0.15">
      <c r="A171" s="28" t="s">
        <v>5144</v>
      </c>
      <c r="B171" s="15" t="s">
        <v>5048</v>
      </c>
      <c r="C171" s="15">
        <v>909748238</v>
      </c>
      <c r="D171" s="29"/>
      <c r="E171" s="129">
        <v>43398</v>
      </c>
      <c r="F171" s="15" t="s">
        <v>5145</v>
      </c>
      <c r="G171" s="15" t="s">
        <v>5073</v>
      </c>
      <c r="H171" s="15" t="s">
        <v>5146</v>
      </c>
      <c r="I171" s="28" t="s">
        <v>5147</v>
      </c>
      <c r="J171" s="30" t="s">
        <v>5148</v>
      </c>
      <c r="K171" s="15">
        <f>COUNTIF(Contacts[姓名],Contacts[[#This Row],[姓名]])</f>
        <v>1</v>
      </c>
    </row>
    <row r="172" spans="1:11" x14ac:dyDescent="0.15">
      <c r="A172" s="28" t="s">
        <v>5149</v>
      </c>
      <c r="B172" s="15" t="s">
        <v>5048</v>
      </c>
      <c r="C172" s="15">
        <v>2880693501</v>
      </c>
      <c r="D172" s="29"/>
      <c r="E172" s="129">
        <v>43398</v>
      </c>
      <c r="F172" s="15" t="s">
        <v>5150</v>
      </c>
      <c r="G172" s="15" t="s">
        <v>5151</v>
      </c>
      <c r="H172" s="15" t="s">
        <v>5152</v>
      </c>
      <c r="I172" s="28" t="s">
        <v>5153</v>
      </c>
      <c r="J172" s="30" t="s">
        <v>5154</v>
      </c>
      <c r="K172" s="15">
        <f>COUNTIF(Contacts[姓名],Contacts[[#This Row],[姓名]])</f>
        <v>1</v>
      </c>
    </row>
    <row r="173" spans="1:11" ht="28.5" x14ac:dyDescent="0.15">
      <c r="A173" s="28" t="s">
        <v>5155</v>
      </c>
      <c r="B173" s="15" t="s">
        <v>5048</v>
      </c>
      <c r="C173" s="15">
        <v>3471624399</v>
      </c>
      <c r="D173" s="29"/>
      <c r="E173" s="129">
        <v>43398</v>
      </c>
      <c r="F173" s="15" t="s">
        <v>5156</v>
      </c>
      <c r="G173" s="15" t="s">
        <v>5160</v>
      </c>
      <c r="H173" s="15" t="s">
        <v>5157</v>
      </c>
      <c r="I173" s="28" t="s">
        <v>5158</v>
      </c>
      <c r="J173" s="30" t="s">
        <v>5159</v>
      </c>
      <c r="K173" s="15">
        <f>COUNTIF(Contacts[姓名],Contacts[[#This Row],[姓名]])</f>
        <v>1</v>
      </c>
    </row>
    <row r="174" spans="1:11" x14ac:dyDescent="0.15">
      <c r="A174" s="28" t="s">
        <v>5161</v>
      </c>
      <c r="B174" s="15" t="s">
        <v>5048</v>
      </c>
      <c r="D174" s="29"/>
      <c r="E174" s="129">
        <v>43398</v>
      </c>
      <c r="F174" s="15" t="s">
        <v>5162</v>
      </c>
      <c r="G174" s="15" t="s">
        <v>5061</v>
      </c>
      <c r="H174" s="15" t="s">
        <v>5163</v>
      </c>
      <c r="I174" s="28"/>
      <c r="J174" s="30" t="s">
        <v>5164</v>
      </c>
      <c r="K174" s="15">
        <f>COUNTIF(Contacts[姓名],Contacts[[#This Row],[姓名]])</f>
        <v>1</v>
      </c>
    </row>
    <row r="175" spans="1:11" x14ac:dyDescent="0.15">
      <c r="A175" s="28" t="s">
        <v>5165</v>
      </c>
      <c r="B175" s="15" t="s">
        <v>5048</v>
      </c>
      <c r="D175" s="29"/>
      <c r="E175" s="129">
        <v>43398</v>
      </c>
      <c r="F175" s="15" t="s">
        <v>5166</v>
      </c>
      <c r="G175" s="15" t="s">
        <v>5167</v>
      </c>
      <c r="H175" s="15" t="s">
        <v>5168</v>
      </c>
      <c r="I175" s="28" t="s">
        <v>5169</v>
      </c>
      <c r="J175" s="30" t="s">
        <v>5170</v>
      </c>
      <c r="K175" s="15">
        <f>COUNTIF(Contacts[姓名],Contacts[[#This Row],[姓名]])</f>
        <v>1</v>
      </c>
    </row>
    <row r="176" spans="1:11" x14ac:dyDescent="0.15">
      <c r="A176" s="28" t="s">
        <v>5171</v>
      </c>
      <c r="B176" s="15" t="s">
        <v>5048</v>
      </c>
      <c r="D176" s="29"/>
      <c r="E176" s="129">
        <v>43398</v>
      </c>
      <c r="F176" s="15" t="s">
        <v>5172</v>
      </c>
      <c r="G176" s="15" t="s">
        <v>5173</v>
      </c>
      <c r="H176" s="15" t="s">
        <v>5174</v>
      </c>
      <c r="I176" s="28" t="s">
        <v>5175</v>
      </c>
      <c r="J176" s="30" t="s">
        <v>5176</v>
      </c>
      <c r="K176" s="15">
        <f>COUNTIF(Contacts[姓名],Contacts[[#This Row],[姓名]])</f>
        <v>1</v>
      </c>
    </row>
    <row r="177" spans="1:11" x14ac:dyDescent="0.15">
      <c r="A177" s="28" t="s">
        <v>5235</v>
      </c>
      <c r="B177" s="15" t="s">
        <v>5236</v>
      </c>
      <c r="C177" s="15">
        <v>390053469</v>
      </c>
      <c r="D177" s="29"/>
      <c r="E177" s="129">
        <v>43403</v>
      </c>
      <c r="F177" s="15" t="s">
        <v>5237</v>
      </c>
      <c r="H177" s="15" t="s">
        <v>5238</v>
      </c>
      <c r="I177" s="28" t="s">
        <v>5239</v>
      </c>
      <c r="J177" s="30" t="s">
        <v>5240</v>
      </c>
      <c r="K177" s="15">
        <f>COUNTIF(Contacts[姓名],Contacts[[#This Row],[姓名]])</f>
        <v>1</v>
      </c>
    </row>
    <row r="178" spans="1:11" x14ac:dyDescent="0.15">
      <c r="A178" s="28" t="s">
        <v>5241</v>
      </c>
      <c r="B178" s="15" t="s">
        <v>5236</v>
      </c>
      <c r="D178" s="29"/>
      <c r="E178" s="129">
        <v>43403</v>
      </c>
      <c r="F178" s="15" t="s">
        <v>5242</v>
      </c>
      <c r="G178" s="15" t="s">
        <v>5243</v>
      </c>
      <c r="H178" s="15" t="s">
        <v>5244</v>
      </c>
      <c r="I178" s="28" t="s">
        <v>5245</v>
      </c>
      <c r="J178" s="30" t="s">
        <v>5246</v>
      </c>
      <c r="K178" s="15">
        <f>COUNTIF(Contacts[姓名],Contacts[[#This Row],[姓名]])</f>
        <v>1</v>
      </c>
    </row>
    <row r="179" spans="1:11" x14ac:dyDescent="0.15">
      <c r="A179" s="28" t="s">
        <v>5247</v>
      </c>
      <c r="B179" s="15" t="s">
        <v>5236</v>
      </c>
      <c r="C179" s="15">
        <v>2880525255</v>
      </c>
      <c r="D179" s="29"/>
      <c r="E179" s="129">
        <v>43403</v>
      </c>
      <c r="F179" s="15" t="s">
        <v>5248</v>
      </c>
      <c r="G179" s="15" t="s">
        <v>5249</v>
      </c>
      <c r="H179" s="15" t="s">
        <v>5250</v>
      </c>
      <c r="I179" s="28" t="s">
        <v>5251</v>
      </c>
      <c r="J179" s="30" t="s">
        <v>5252</v>
      </c>
      <c r="K179" s="15">
        <f>COUNTIF(Contacts[姓名],Contacts[[#This Row],[姓名]])</f>
        <v>1</v>
      </c>
    </row>
    <row r="180" spans="1:11" x14ac:dyDescent="0.15">
      <c r="A180" s="28" t="s">
        <v>498</v>
      </c>
      <c r="B180" s="15" t="s">
        <v>2521</v>
      </c>
      <c r="C180" s="15">
        <v>2881536717</v>
      </c>
      <c r="D180" s="29" t="s">
        <v>1586</v>
      </c>
      <c r="E180" s="129" t="s">
        <v>5315</v>
      </c>
      <c r="F180" s="15" t="s">
        <v>6157</v>
      </c>
      <c r="H180" s="15" t="s">
        <v>3083</v>
      </c>
      <c r="I180" s="28"/>
      <c r="J180" s="30"/>
      <c r="K180" s="15">
        <f>COUNTIF(Contacts[姓名],Contacts[[#This Row],[姓名]])</f>
        <v>1</v>
      </c>
    </row>
    <row r="181" spans="1:11" x14ac:dyDescent="0.15">
      <c r="A181" s="28" t="s">
        <v>5253</v>
      </c>
      <c r="B181" s="15" t="s">
        <v>5236</v>
      </c>
      <c r="C181" s="15">
        <v>2855496520</v>
      </c>
      <c r="D181" s="29"/>
      <c r="E181" s="129">
        <v>43403</v>
      </c>
      <c r="F181" s="15" t="s">
        <v>5254</v>
      </c>
      <c r="G181" s="15" t="s">
        <v>5255</v>
      </c>
      <c r="H181" s="15" t="s">
        <v>5256</v>
      </c>
      <c r="I181" s="28" t="s">
        <v>5257</v>
      </c>
      <c r="J181" s="30" t="s">
        <v>5258</v>
      </c>
      <c r="K181" s="15">
        <f>COUNTIF(Contacts[姓名],Contacts[[#This Row],[姓名]])</f>
        <v>1</v>
      </c>
    </row>
    <row r="182" spans="1:11" x14ac:dyDescent="0.15">
      <c r="A182" s="28" t="s">
        <v>846</v>
      </c>
      <c r="B182" s="15" t="s">
        <v>818</v>
      </c>
      <c r="D182" s="29" t="s">
        <v>2572</v>
      </c>
      <c r="E182" s="129" t="s">
        <v>5315</v>
      </c>
      <c r="F182" s="15" t="s">
        <v>4487</v>
      </c>
      <c r="I182" s="28"/>
      <c r="J182" s="30"/>
      <c r="K182" s="15">
        <f>COUNTIF(Contacts[姓名],Contacts[[#This Row],[姓名]])</f>
        <v>874</v>
      </c>
    </row>
    <row r="183" spans="1:11" x14ac:dyDescent="0.15">
      <c r="A183" s="28" t="s">
        <v>812</v>
      </c>
      <c r="B183" s="15" t="s">
        <v>818</v>
      </c>
      <c r="D183" s="29" t="s">
        <v>845</v>
      </c>
      <c r="E183" s="129" t="s">
        <v>5315</v>
      </c>
      <c r="F183" s="15" t="s">
        <v>4487</v>
      </c>
      <c r="I183" s="28"/>
      <c r="J183" s="30"/>
      <c r="K183" s="15">
        <f>COUNTIF(Contacts[姓名],Contacts[[#This Row],[姓名]])</f>
        <v>874</v>
      </c>
    </row>
    <row r="184" spans="1:11" x14ac:dyDescent="0.15">
      <c r="A184" s="28" t="s">
        <v>907</v>
      </c>
      <c r="B184" s="15" t="s">
        <v>818</v>
      </c>
      <c r="D184" s="29" t="s">
        <v>2596</v>
      </c>
      <c r="E184" s="129" t="s">
        <v>5315</v>
      </c>
      <c r="F184" s="15" t="s">
        <v>4487</v>
      </c>
      <c r="I184" s="28"/>
      <c r="J184" s="30"/>
      <c r="K184" s="15">
        <f>COUNTIF(Contacts[姓名],Contacts[[#This Row],[姓名]])</f>
        <v>874</v>
      </c>
    </row>
    <row r="185" spans="1:11" x14ac:dyDescent="0.15">
      <c r="A185" s="28" t="s">
        <v>813</v>
      </c>
      <c r="B185" s="15" t="s">
        <v>818</v>
      </c>
      <c r="D185" s="29" t="s">
        <v>905</v>
      </c>
      <c r="E185" s="129" t="s">
        <v>5315</v>
      </c>
      <c r="F185" s="15" t="s">
        <v>4487</v>
      </c>
      <c r="I185" s="28"/>
      <c r="J185" s="30"/>
      <c r="K185" s="15">
        <f>COUNTIF(Contacts[姓名],Contacts[[#This Row],[姓名]])</f>
        <v>874</v>
      </c>
    </row>
    <row r="186" spans="1:11" x14ac:dyDescent="0.15">
      <c r="A186" s="28" t="s">
        <v>499</v>
      </c>
      <c r="B186" s="15" t="s">
        <v>818</v>
      </c>
      <c r="C186" s="15">
        <v>295754508</v>
      </c>
      <c r="D186" s="29" t="s">
        <v>2697</v>
      </c>
      <c r="E186" s="129" t="s">
        <v>5315</v>
      </c>
      <c r="F186" s="15" t="s">
        <v>4487</v>
      </c>
      <c r="I186" s="28"/>
      <c r="J186" s="30" t="s">
        <v>2552</v>
      </c>
      <c r="K186" s="15">
        <f>COUNTIF(Contacts[姓名],Contacts[[#This Row],[姓名]])</f>
        <v>874</v>
      </c>
    </row>
    <row r="187" spans="1:11" x14ac:dyDescent="0.15">
      <c r="A187" s="28" t="s">
        <v>499</v>
      </c>
      <c r="B187" s="15" t="s">
        <v>818</v>
      </c>
      <c r="C187" s="15">
        <v>2881601599</v>
      </c>
      <c r="D187" s="29" t="s">
        <v>2686</v>
      </c>
      <c r="E187" s="129" t="s">
        <v>5315</v>
      </c>
      <c r="F187" s="15" t="s">
        <v>4487</v>
      </c>
      <c r="I187" s="28"/>
      <c r="J187" s="30" t="s">
        <v>2538</v>
      </c>
      <c r="K187" s="15">
        <f>COUNTIF(Contacts[姓名],Contacts[[#This Row],[姓名]])</f>
        <v>874</v>
      </c>
    </row>
    <row r="188" spans="1:11" x14ac:dyDescent="0.15">
      <c r="A188" s="28" t="s">
        <v>889</v>
      </c>
      <c r="B188" s="15" t="s">
        <v>818</v>
      </c>
      <c r="C188" s="15">
        <v>120324616</v>
      </c>
      <c r="D188" s="29" t="s">
        <v>888</v>
      </c>
      <c r="E188" s="129" t="s">
        <v>5315</v>
      </c>
      <c r="F188" s="15" t="s">
        <v>4487</v>
      </c>
      <c r="I188" s="28"/>
      <c r="J188" s="30"/>
      <c r="K188" s="15">
        <f>COUNTIF(Contacts[姓名],Contacts[[#This Row],[姓名]])</f>
        <v>874</v>
      </c>
    </row>
    <row r="189" spans="1:11" x14ac:dyDescent="0.15">
      <c r="A189" s="28" t="s">
        <v>889</v>
      </c>
      <c r="B189" s="15" t="s">
        <v>818</v>
      </c>
      <c r="D189" s="29" t="s">
        <v>890</v>
      </c>
      <c r="E189" s="129" t="s">
        <v>5315</v>
      </c>
      <c r="F189" s="15" t="s">
        <v>4487</v>
      </c>
      <c r="I189" s="28"/>
      <c r="J189" s="30"/>
      <c r="K189" s="15">
        <f>COUNTIF(Contacts[姓名],Contacts[[#This Row],[姓名]])</f>
        <v>874</v>
      </c>
    </row>
    <row r="190" spans="1:11" x14ac:dyDescent="0.15">
      <c r="A190" s="28" t="s">
        <v>601</v>
      </c>
      <c r="B190" s="15" t="s">
        <v>818</v>
      </c>
      <c r="D190" s="29" t="s">
        <v>872</v>
      </c>
      <c r="E190" s="129" t="s">
        <v>5315</v>
      </c>
      <c r="F190" s="15" t="s">
        <v>4487</v>
      </c>
      <c r="I190" s="28"/>
      <c r="J190" s="30"/>
      <c r="K190" s="15">
        <f>COUNTIF(Contacts[姓名],Contacts[[#This Row],[姓名]])</f>
        <v>874</v>
      </c>
    </row>
    <row r="191" spans="1:11" x14ac:dyDescent="0.15">
      <c r="A191" s="28" t="s">
        <v>493</v>
      </c>
      <c r="B191" s="15" t="s">
        <v>818</v>
      </c>
      <c r="D191" s="29" t="s">
        <v>871</v>
      </c>
      <c r="E191" s="129" t="s">
        <v>5315</v>
      </c>
      <c r="F191" s="15" t="s">
        <v>4487</v>
      </c>
      <c r="I191" s="28"/>
      <c r="J191" s="30"/>
      <c r="K191" s="15">
        <f>COUNTIF(Contacts[姓名],Contacts[[#This Row],[姓名]])</f>
        <v>874</v>
      </c>
    </row>
    <row r="192" spans="1:11" x14ac:dyDescent="0.15">
      <c r="A192" s="28" t="s">
        <v>493</v>
      </c>
      <c r="B192" s="15" t="s">
        <v>818</v>
      </c>
      <c r="D192" s="29" t="s">
        <v>870</v>
      </c>
      <c r="E192" s="129" t="s">
        <v>5315</v>
      </c>
      <c r="F192" s="15" t="s">
        <v>4487</v>
      </c>
      <c r="I192" s="28"/>
      <c r="J192" s="30"/>
      <c r="K192" s="15">
        <f>COUNTIF(Contacts[姓名],Contacts[[#This Row],[姓名]])</f>
        <v>874</v>
      </c>
    </row>
    <row r="193" spans="1:11" x14ac:dyDescent="0.15">
      <c r="A193" s="28" t="s">
        <v>493</v>
      </c>
      <c r="B193" s="15" t="s">
        <v>818</v>
      </c>
      <c r="D193" s="29" t="s">
        <v>870</v>
      </c>
      <c r="E193" s="129" t="s">
        <v>5315</v>
      </c>
      <c r="F193" s="15" t="s">
        <v>4487</v>
      </c>
      <c r="I193" s="28"/>
      <c r="J193" s="30"/>
      <c r="K193" s="15">
        <f>COUNTIF(Contacts[姓名],Contacts[[#This Row],[姓名]])</f>
        <v>874</v>
      </c>
    </row>
    <row r="194" spans="1:11" x14ac:dyDescent="0.15">
      <c r="A194" s="28" t="s">
        <v>553</v>
      </c>
      <c r="B194" s="15" t="s">
        <v>818</v>
      </c>
      <c r="D194" s="29" t="s">
        <v>2623</v>
      </c>
      <c r="E194" s="129" t="s">
        <v>5315</v>
      </c>
      <c r="F194" s="15" t="s">
        <v>4487</v>
      </c>
      <c r="I194" s="28"/>
      <c r="J194" s="30"/>
      <c r="K194" s="15">
        <f>COUNTIF(Contacts[姓名],Contacts[[#This Row],[姓名]])</f>
        <v>874</v>
      </c>
    </row>
    <row r="195" spans="1:11" x14ac:dyDescent="0.15">
      <c r="A195" s="28" t="s">
        <v>583</v>
      </c>
      <c r="B195" s="15" t="s">
        <v>818</v>
      </c>
      <c r="D195" s="29" t="s">
        <v>868</v>
      </c>
      <c r="E195" s="129" t="s">
        <v>5315</v>
      </c>
      <c r="F195" s="15" t="s">
        <v>4487</v>
      </c>
      <c r="I195" s="28"/>
      <c r="J195" s="30"/>
      <c r="K195" s="15">
        <f>COUNTIF(Contacts[姓名],Contacts[[#This Row],[姓名]])</f>
        <v>874</v>
      </c>
    </row>
    <row r="196" spans="1:11" x14ac:dyDescent="0.15">
      <c r="A196" s="28" t="s">
        <v>583</v>
      </c>
      <c r="B196" s="15" t="s">
        <v>818</v>
      </c>
      <c r="D196" s="29" t="s">
        <v>2677</v>
      </c>
      <c r="E196" s="129" t="s">
        <v>5315</v>
      </c>
      <c r="F196" s="15" t="s">
        <v>4487</v>
      </c>
      <c r="I196" s="28"/>
      <c r="J196" s="30"/>
      <c r="K196" s="15">
        <f>COUNTIF(Contacts[姓名],Contacts[[#This Row],[姓名]])</f>
        <v>874</v>
      </c>
    </row>
    <row r="197" spans="1:11" x14ac:dyDescent="0.15">
      <c r="A197" s="28" t="s">
        <v>752</v>
      </c>
      <c r="B197" s="15" t="s">
        <v>818</v>
      </c>
      <c r="D197" s="29" t="s">
        <v>2676</v>
      </c>
      <c r="E197" s="129" t="s">
        <v>5315</v>
      </c>
      <c r="F197" s="15" t="s">
        <v>4487</v>
      </c>
      <c r="I197" s="28"/>
      <c r="J197" s="30"/>
      <c r="K197" s="15">
        <f>COUNTIF(Contacts[姓名],Contacts[[#This Row],[姓名]])</f>
        <v>874</v>
      </c>
    </row>
    <row r="198" spans="1:11" x14ac:dyDescent="0.15">
      <c r="A198" s="28" t="s">
        <v>569</v>
      </c>
      <c r="B198" s="15" t="s">
        <v>818</v>
      </c>
      <c r="C198" s="15">
        <v>948387789</v>
      </c>
      <c r="D198" s="29" t="s">
        <v>2688</v>
      </c>
      <c r="E198" s="129" t="s">
        <v>5315</v>
      </c>
      <c r="F198" s="15" t="s">
        <v>4487</v>
      </c>
      <c r="I198" s="28"/>
      <c r="J198" s="30" t="s">
        <v>2540</v>
      </c>
      <c r="K198" s="15">
        <f>COUNTIF(Contacts[姓名],Contacts[[#This Row],[姓名]])</f>
        <v>874</v>
      </c>
    </row>
    <row r="199" spans="1:11" x14ac:dyDescent="0.15">
      <c r="A199" s="28" t="s">
        <v>569</v>
      </c>
      <c r="B199" s="15" t="s">
        <v>818</v>
      </c>
      <c r="D199" s="29" t="s">
        <v>834</v>
      </c>
      <c r="E199" s="129" t="s">
        <v>5315</v>
      </c>
      <c r="F199" s="15" t="s">
        <v>4487</v>
      </c>
      <c r="I199" s="28"/>
      <c r="J199" s="30"/>
      <c r="K199" s="15">
        <f>COUNTIF(Contacts[姓名],Contacts[[#This Row],[姓名]])</f>
        <v>874</v>
      </c>
    </row>
    <row r="200" spans="1:11" x14ac:dyDescent="0.15">
      <c r="A200" s="28" t="s">
        <v>877</v>
      </c>
      <c r="B200" s="15" t="s">
        <v>818</v>
      </c>
      <c r="D200" s="29" t="s">
        <v>2653</v>
      </c>
      <c r="E200" s="129" t="s">
        <v>5315</v>
      </c>
      <c r="F200" s="15" t="s">
        <v>4487</v>
      </c>
      <c r="I200" s="28"/>
      <c r="J200" s="30"/>
      <c r="K200" s="15">
        <f>COUNTIF(Contacts[姓名],Contacts[[#This Row],[姓名]])</f>
        <v>874</v>
      </c>
    </row>
    <row r="201" spans="1:11" x14ac:dyDescent="0.15">
      <c r="A201" s="28" t="s">
        <v>858</v>
      </c>
      <c r="B201" s="15" t="s">
        <v>818</v>
      </c>
      <c r="D201" s="29" t="s">
        <v>857</v>
      </c>
      <c r="E201" s="129" t="s">
        <v>5315</v>
      </c>
      <c r="F201" s="15" t="s">
        <v>4487</v>
      </c>
      <c r="I201" s="28"/>
      <c r="J201" s="30"/>
      <c r="K201" s="15">
        <f>COUNTIF(Contacts[姓名],Contacts[[#This Row],[姓名]])</f>
        <v>874</v>
      </c>
    </row>
    <row r="202" spans="1:11" x14ac:dyDescent="0.15">
      <c r="A202" s="28" t="s">
        <v>589</v>
      </c>
      <c r="B202" s="15" t="s">
        <v>818</v>
      </c>
      <c r="D202" s="29" t="s">
        <v>864</v>
      </c>
      <c r="E202" s="129" t="s">
        <v>5315</v>
      </c>
      <c r="F202" s="15" t="s">
        <v>4487</v>
      </c>
      <c r="I202" s="28"/>
      <c r="J202" s="30"/>
      <c r="K202" s="15">
        <f>COUNTIF(Contacts[姓名],Contacts[[#This Row],[姓名]])</f>
        <v>874</v>
      </c>
    </row>
    <row r="203" spans="1:11" x14ac:dyDescent="0.15">
      <c r="A203" s="28" t="s">
        <v>556</v>
      </c>
      <c r="B203" s="15" t="s">
        <v>818</v>
      </c>
      <c r="D203" s="29" t="s">
        <v>863</v>
      </c>
      <c r="E203" s="129" t="s">
        <v>5315</v>
      </c>
      <c r="F203" s="15" t="s">
        <v>4487</v>
      </c>
      <c r="I203" s="28"/>
      <c r="J203" s="30"/>
      <c r="K203" s="15">
        <f>COUNTIF(Contacts[姓名],Contacts[[#This Row],[姓名]])</f>
        <v>874</v>
      </c>
    </row>
    <row r="204" spans="1:11" x14ac:dyDescent="0.15">
      <c r="A204" s="28" t="s">
        <v>566</v>
      </c>
      <c r="B204" s="15" t="s">
        <v>818</v>
      </c>
      <c r="C204" s="15">
        <v>2880608091</v>
      </c>
      <c r="D204" s="29" t="s">
        <v>2554</v>
      </c>
      <c r="E204" s="129" t="s">
        <v>5315</v>
      </c>
      <c r="F204" s="15" t="s">
        <v>4487</v>
      </c>
      <c r="I204" s="28"/>
      <c r="J204" s="30" t="s">
        <v>2553</v>
      </c>
      <c r="K204" s="15">
        <f>COUNTIF(Contacts[姓名],Contacts[[#This Row],[姓名]])</f>
        <v>874</v>
      </c>
    </row>
    <row r="205" spans="1:11" x14ac:dyDescent="0.15">
      <c r="A205" s="28" t="s">
        <v>566</v>
      </c>
      <c r="B205" s="15" t="s">
        <v>818</v>
      </c>
      <c r="D205" s="29" t="s">
        <v>851</v>
      </c>
      <c r="E205" s="129" t="s">
        <v>5315</v>
      </c>
      <c r="F205" s="15" t="s">
        <v>4487</v>
      </c>
      <c r="I205" s="28"/>
      <c r="J205" s="30"/>
      <c r="K205" s="15">
        <f>COUNTIF(Contacts[姓名],Contacts[[#This Row],[姓名]])</f>
        <v>874</v>
      </c>
    </row>
    <row r="206" spans="1:11" x14ac:dyDescent="0.15">
      <c r="A206" s="28" t="s">
        <v>492</v>
      </c>
      <c r="B206" s="15" t="s">
        <v>818</v>
      </c>
      <c r="D206" s="29" t="s">
        <v>861</v>
      </c>
      <c r="E206" s="129" t="s">
        <v>5315</v>
      </c>
      <c r="F206" s="15" t="s">
        <v>4487</v>
      </c>
      <c r="I206" s="28"/>
      <c r="J206" s="30"/>
      <c r="K206" s="15">
        <f>COUNTIF(Contacts[姓名],Contacts[[#This Row],[姓名]])</f>
        <v>874</v>
      </c>
    </row>
    <row r="207" spans="1:11" x14ac:dyDescent="0.15">
      <c r="A207" s="28" t="s">
        <v>492</v>
      </c>
      <c r="B207" s="15" t="s">
        <v>818</v>
      </c>
      <c r="D207" s="29" t="s">
        <v>854</v>
      </c>
      <c r="E207" s="129" t="s">
        <v>5315</v>
      </c>
      <c r="F207" s="15" t="s">
        <v>4487</v>
      </c>
      <c r="I207" s="28"/>
      <c r="J207" s="30"/>
      <c r="K207" s="15">
        <f>COUNTIF(Contacts[姓名],Contacts[[#This Row],[姓名]])</f>
        <v>874</v>
      </c>
    </row>
    <row r="208" spans="1:11" x14ac:dyDescent="0.15">
      <c r="A208" s="28" t="s">
        <v>492</v>
      </c>
      <c r="B208" s="15" t="s">
        <v>818</v>
      </c>
      <c r="D208" s="29" t="s">
        <v>853</v>
      </c>
      <c r="E208" s="129" t="s">
        <v>5315</v>
      </c>
      <c r="F208" s="15" t="s">
        <v>4487</v>
      </c>
      <c r="I208" s="28"/>
      <c r="J208" s="30"/>
      <c r="K208" s="15">
        <f>COUNTIF(Contacts[姓名],Contacts[[#This Row],[姓名]])</f>
        <v>874</v>
      </c>
    </row>
    <row r="209" spans="1:11" x14ac:dyDescent="0.15">
      <c r="A209" s="28" t="s">
        <v>492</v>
      </c>
      <c r="B209" s="15" t="s">
        <v>818</v>
      </c>
      <c r="D209" s="29" t="s">
        <v>852</v>
      </c>
      <c r="E209" s="129" t="s">
        <v>5315</v>
      </c>
      <c r="F209" s="15" t="s">
        <v>4487</v>
      </c>
      <c r="I209" s="28"/>
      <c r="J209" s="30"/>
      <c r="K209" s="15">
        <f>COUNTIF(Contacts[姓名],Contacts[[#This Row],[姓名]])</f>
        <v>874</v>
      </c>
    </row>
    <row r="210" spans="1:11" x14ac:dyDescent="0.15">
      <c r="A210" s="28" t="s">
        <v>492</v>
      </c>
      <c r="B210" s="15" t="s">
        <v>818</v>
      </c>
      <c r="D210" s="29" t="s">
        <v>778</v>
      </c>
      <c r="E210" s="129" t="s">
        <v>5315</v>
      </c>
      <c r="F210" s="15" t="s">
        <v>4487</v>
      </c>
      <c r="I210" s="28"/>
      <c r="J210" s="30"/>
      <c r="K210" s="15">
        <f>COUNTIF(Contacts[姓名],Contacts[[#This Row],[姓名]])</f>
        <v>874</v>
      </c>
    </row>
    <row r="211" spans="1:11" x14ac:dyDescent="0.15">
      <c r="A211" s="28" t="s">
        <v>571</v>
      </c>
      <c r="B211" s="15" t="s">
        <v>818</v>
      </c>
      <c r="D211" s="29" t="s">
        <v>1536</v>
      </c>
      <c r="E211" s="129" t="s">
        <v>5315</v>
      </c>
      <c r="F211" s="15" t="s">
        <v>4487</v>
      </c>
      <c r="I211" s="28"/>
      <c r="J211" s="30"/>
      <c r="K211" s="15">
        <f>COUNTIF(Contacts[姓名],Contacts[[#This Row],[姓名]])</f>
        <v>874</v>
      </c>
    </row>
    <row r="212" spans="1:11" x14ac:dyDescent="0.15">
      <c r="A212" s="28" t="s">
        <v>679</v>
      </c>
      <c r="B212" s="15" t="s">
        <v>818</v>
      </c>
      <c r="D212" s="29" t="s">
        <v>850</v>
      </c>
      <c r="E212" s="129" t="s">
        <v>5315</v>
      </c>
      <c r="F212" s="15" t="s">
        <v>4487</v>
      </c>
      <c r="I212" s="28"/>
      <c r="J212" s="30"/>
      <c r="K212" s="15">
        <f>COUNTIF(Contacts[姓名],Contacts[[#This Row],[姓名]])</f>
        <v>874</v>
      </c>
    </row>
    <row r="213" spans="1:11" x14ac:dyDescent="0.15">
      <c r="A213" s="28" t="s">
        <v>679</v>
      </c>
      <c r="B213" s="15" t="s">
        <v>818</v>
      </c>
      <c r="D213" s="29" t="s">
        <v>842</v>
      </c>
      <c r="E213" s="129" t="s">
        <v>5315</v>
      </c>
      <c r="F213" s="15" t="s">
        <v>4487</v>
      </c>
      <c r="I213" s="28"/>
      <c r="J213" s="30"/>
      <c r="K213" s="15">
        <f>COUNTIF(Contacts[姓名],Contacts[[#This Row],[姓名]])</f>
        <v>874</v>
      </c>
    </row>
    <row r="214" spans="1:11" x14ac:dyDescent="0.15">
      <c r="A214" s="28" t="s">
        <v>798</v>
      </c>
      <c r="B214" s="15" t="s">
        <v>818</v>
      </c>
      <c r="C214" s="15">
        <v>2686629632</v>
      </c>
      <c r="D214" s="29" t="s">
        <v>2559</v>
      </c>
      <c r="E214" s="129" t="s">
        <v>5315</v>
      </c>
      <c r="F214" s="15" t="s">
        <v>4487</v>
      </c>
      <c r="I214" s="28"/>
      <c r="J214" s="30" t="s">
        <v>2558</v>
      </c>
      <c r="K214" s="15">
        <f>COUNTIF(Contacts[姓名],Contacts[[#This Row],[姓名]])</f>
        <v>874</v>
      </c>
    </row>
    <row r="215" spans="1:11" x14ac:dyDescent="0.15">
      <c r="A215" s="28" t="s">
        <v>798</v>
      </c>
      <c r="B215" s="15" t="s">
        <v>818</v>
      </c>
      <c r="D215" s="29" t="s">
        <v>830</v>
      </c>
      <c r="E215" s="129" t="s">
        <v>5315</v>
      </c>
      <c r="F215" s="15" t="s">
        <v>4487</v>
      </c>
      <c r="I215" s="28"/>
      <c r="J215" s="30"/>
      <c r="K215" s="15">
        <f>COUNTIF(Contacts[姓名],Contacts[[#This Row],[姓名]])</f>
        <v>874</v>
      </c>
    </row>
    <row r="216" spans="1:11" x14ac:dyDescent="0.15">
      <c r="A216" s="28" t="s">
        <v>559</v>
      </c>
      <c r="B216" s="15" t="s">
        <v>818</v>
      </c>
      <c r="C216" s="15">
        <v>3002702568</v>
      </c>
      <c r="D216" s="29" t="s">
        <v>882</v>
      </c>
      <c r="E216" s="129" t="s">
        <v>5315</v>
      </c>
      <c r="F216" s="15" t="s">
        <v>4487</v>
      </c>
      <c r="I216" s="28"/>
      <c r="J216" s="30"/>
      <c r="K216" s="15">
        <f>COUNTIF(Contacts[姓名],Contacts[[#This Row],[姓名]])</f>
        <v>874</v>
      </c>
    </row>
    <row r="217" spans="1:11" x14ac:dyDescent="0.15">
      <c r="A217" s="28" t="s">
        <v>573</v>
      </c>
      <c r="B217" s="15" t="s">
        <v>818</v>
      </c>
      <c r="D217" s="29" t="s">
        <v>2684</v>
      </c>
      <c r="E217" s="129" t="s">
        <v>5315</v>
      </c>
      <c r="F217" s="15" t="s">
        <v>4487</v>
      </c>
      <c r="I217" s="28"/>
      <c r="J217" s="30" t="s">
        <v>2534</v>
      </c>
      <c r="K217" s="15">
        <f>COUNTIF(Contacts[姓名],Contacts[[#This Row],[姓名]])</f>
        <v>874</v>
      </c>
    </row>
    <row r="218" spans="1:11" x14ac:dyDescent="0.15">
      <c r="A218" s="28" t="s">
        <v>763</v>
      </c>
      <c r="B218" s="15" t="s">
        <v>818</v>
      </c>
      <c r="D218" s="29" t="s">
        <v>2621</v>
      </c>
      <c r="E218" s="129" t="s">
        <v>5315</v>
      </c>
      <c r="F218" s="15" t="s">
        <v>4487</v>
      </c>
      <c r="I218" s="28"/>
      <c r="J218" s="30"/>
      <c r="K218" s="15">
        <f>COUNTIF(Contacts[姓名],Contacts[[#This Row],[姓名]])</f>
        <v>874</v>
      </c>
    </row>
    <row r="219" spans="1:11" x14ac:dyDescent="0.15">
      <c r="A219" s="28" t="s">
        <v>763</v>
      </c>
      <c r="B219" s="15" t="s">
        <v>818</v>
      </c>
      <c r="D219" s="29" t="s">
        <v>2622</v>
      </c>
      <c r="E219" s="129" t="s">
        <v>5315</v>
      </c>
      <c r="F219" s="15" t="s">
        <v>4487</v>
      </c>
      <c r="I219" s="28"/>
      <c r="J219" s="30"/>
      <c r="K219" s="15">
        <f>COUNTIF(Contacts[姓名],Contacts[[#This Row],[姓名]])</f>
        <v>874</v>
      </c>
    </row>
    <row r="220" spans="1:11" x14ac:dyDescent="0.15">
      <c r="A220" s="28" t="s">
        <v>762</v>
      </c>
      <c r="B220" s="15" t="s">
        <v>818</v>
      </c>
      <c r="D220" s="29" t="s">
        <v>828</v>
      </c>
      <c r="E220" s="129" t="s">
        <v>5315</v>
      </c>
      <c r="F220" s="15" t="s">
        <v>4487</v>
      </c>
      <c r="I220" s="28"/>
      <c r="J220" s="30"/>
      <c r="K220" s="15">
        <f>COUNTIF(Contacts[姓名],Contacts[[#This Row],[姓名]])</f>
        <v>874</v>
      </c>
    </row>
    <row r="221" spans="1:11" x14ac:dyDescent="0.15">
      <c r="A221" s="28" t="s">
        <v>825</v>
      </c>
      <c r="B221" s="15" t="s">
        <v>818</v>
      </c>
      <c r="D221" s="29" t="s">
        <v>826</v>
      </c>
      <c r="E221" s="129" t="s">
        <v>5315</v>
      </c>
      <c r="F221" s="15" t="s">
        <v>4487</v>
      </c>
      <c r="I221" s="28"/>
      <c r="J221" s="30"/>
      <c r="K221" s="15">
        <f>COUNTIF(Contacts[姓名],Contacts[[#This Row],[姓名]])</f>
        <v>874</v>
      </c>
    </row>
    <row r="222" spans="1:11" x14ac:dyDescent="0.15">
      <c r="A222" s="28" t="s">
        <v>825</v>
      </c>
      <c r="B222" s="15" t="s">
        <v>818</v>
      </c>
      <c r="D222" s="29" t="s">
        <v>1247</v>
      </c>
      <c r="E222" s="129" t="s">
        <v>5315</v>
      </c>
      <c r="F222" s="15" t="s">
        <v>4487</v>
      </c>
      <c r="I222" s="28"/>
      <c r="J222" s="30"/>
      <c r="K222" s="15">
        <f>COUNTIF(Contacts[姓名],Contacts[[#This Row],[姓名]])</f>
        <v>874</v>
      </c>
    </row>
    <row r="223" spans="1:11" x14ac:dyDescent="0.15">
      <c r="A223" s="28" t="s">
        <v>825</v>
      </c>
      <c r="B223" s="15" t="s">
        <v>818</v>
      </c>
      <c r="D223" s="29" t="s">
        <v>824</v>
      </c>
      <c r="E223" s="129" t="s">
        <v>5315</v>
      </c>
      <c r="F223" s="15" t="s">
        <v>4487</v>
      </c>
      <c r="I223" s="28"/>
      <c r="J223" s="30"/>
      <c r="K223" s="15">
        <f>COUNTIF(Contacts[姓名],Contacts[[#This Row],[姓名]])</f>
        <v>874</v>
      </c>
    </row>
    <row r="224" spans="1:11" x14ac:dyDescent="0.15">
      <c r="A224" s="28" t="s">
        <v>823</v>
      </c>
      <c r="B224" s="15" t="s">
        <v>818</v>
      </c>
      <c r="D224" s="29" t="s">
        <v>2654</v>
      </c>
      <c r="E224" s="129" t="s">
        <v>5315</v>
      </c>
      <c r="F224" s="15" t="s">
        <v>4487</v>
      </c>
      <c r="I224" s="28"/>
      <c r="J224" s="30"/>
      <c r="K224" s="15">
        <f>COUNTIF(Contacts[姓名],Contacts[[#This Row],[姓名]])</f>
        <v>874</v>
      </c>
    </row>
    <row r="225" spans="1:11" x14ac:dyDescent="0.15">
      <c r="A225" s="28"/>
      <c r="B225" s="15" t="s">
        <v>818</v>
      </c>
      <c r="C225" s="15">
        <v>2851091435</v>
      </c>
      <c r="D225" s="29" t="s">
        <v>886</v>
      </c>
      <c r="E225" s="129" t="s">
        <v>5315</v>
      </c>
      <c r="F225" s="15" t="s">
        <v>4487</v>
      </c>
      <c r="I225" s="28"/>
      <c r="J225" s="30"/>
      <c r="K225" s="15">
        <f>COUNTIF(Contacts[姓名],Contacts[[#This Row],[姓名]])</f>
        <v>874</v>
      </c>
    </row>
    <row r="226" spans="1:11" x14ac:dyDescent="0.15">
      <c r="A226" s="28" t="s">
        <v>707</v>
      </c>
      <c r="B226" s="15" t="s">
        <v>1635</v>
      </c>
      <c r="C226" s="15">
        <v>331903049</v>
      </c>
      <c r="D226" s="29" t="s">
        <v>1706</v>
      </c>
      <c r="E226" s="129" t="s">
        <v>5315</v>
      </c>
      <c r="F226" s="15" t="s">
        <v>6158</v>
      </c>
      <c r="I226" s="28" t="s">
        <v>3141</v>
      </c>
      <c r="J226" s="30"/>
      <c r="K226" s="15">
        <f>COUNTIF(Contacts[姓名],Contacts[[#This Row],[姓名]])</f>
        <v>1</v>
      </c>
    </row>
    <row r="227" spans="1:11" x14ac:dyDescent="0.15">
      <c r="A227" s="28"/>
      <c r="B227" s="15" t="s">
        <v>818</v>
      </c>
      <c r="D227" s="29" t="s">
        <v>928</v>
      </c>
      <c r="E227" s="129" t="s">
        <v>5315</v>
      </c>
      <c r="F227" s="15" t="s">
        <v>4487</v>
      </c>
      <c r="I227" s="28"/>
      <c r="J227" s="30"/>
      <c r="K227" s="15">
        <f>COUNTIF(Contacts[姓名],Contacts[[#This Row],[姓名]])</f>
        <v>874</v>
      </c>
    </row>
    <row r="228" spans="1:11" x14ac:dyDescent="0.15">
      <c r="A228" s="28"/>
      <c r="B228" s="15" t="s">
        <v>818</v>
      </c>
      <c r="D228" s="29" t="s">
        <v>2467</v>
      </c>
      <c r="E228" s="129" t="s">
        <v>5315</v>
      </c>
      <c r="F228" s="15" t="s">
        <v>4487</v>
      </c>
      <c r="I228" s="28"/>
      <c r="J228" s="30"/>
      <c r="K228" s="15">
        <f>COUNTIF(Contacts[姓名],Contacts[[#This Row],[姓名]])</f>
        <v>874</v>
      </c>
    </row>
    <row r="229" spans="1:11" x14ac:dyDescent="0.15">
      <c r="A229" s="28"/>
      <c r="B229" s="15" t="s">
        <v>818</v>
      </c>
      <c r="D229" s="29" t="s">
        <v>926</v>
      </c>
      <c r="E229" s="129" t="s">
        <v>5315</v>
      </c>
      <c r="F229" s="15" t="s">
        <v>4487</v>
      </c>
      <c r="I229" s="28"/>
      <c r="J229" s="30"/>
      <c r="K229" s="15">
        <f>COUNTIF(Contacts[姓名],Contacts[[#This Row],[姓名]])</f>
        <v>874</v>
      </c>
    </row>
    <row r="230" spans="1:11" x14ac:dyDescent="0.15">
      <c r="A230" s="28"/>
      <c r="B230" s="15" t="s">
        <v>818</v>
      </c>
      <c r="D230" s="29" t="s">
        <v>924</v>
      </c>
      <c r="E230" s="129" t="s">
        <v>5315</v>
      </c>
      <c r="F230" s="15" t="s">
        <v>4487</v>
      </c>
      <c r="I230" s="28"/>
      <c r="J230" s="30"/>
      <c r="K230" s="15">
        <f>COUNTIF(Contacts[姓名],Contacts[[#This Row],[姓名]])</f>
        <v>874</v>
      </c>
    </row>
    <row r="231" spans="1:11" x14ac:dyDescent="0.15">
      <c r="A231" s="28"/>
      <c r="B231" s="15" t="s">
        <v>818</v>
      </c>
      <c r="D231" s="29" t="s">
        <v>922</v>
      </c>
      <c r="E231" s="129" t="s">
        <v>5315</v>
      </c>
      <c r="F231" s="15" t="s">
        <v>4487</v>
      </c>
      <c r="I231" s="28"/>
      <c r="J231" s="30"/>
      <c r="K231" s="15">
        <f>COUNTIF(Contacts[姓名],Contacts[[#This Row],[姓名]])</f>
        <v>874</v>
      </c>
    </row>
    <row r="232" spans="1:11" x14ac:dyDescent="0.15">
      <c r="A232" s="28"/>
      <c r="B232" s="15" t="s">
        <v>818</v>
      </c>
      <c r="D232" s="29" t="s">
        <v>921</v>
      </c>
      <c r="E232" s="129" t="s">
        <v>5315</v>
      </c>
      <c r="F232" s="15" t="s">
        <v>4487</v>
      </c>
      <c r="I232" s="28"/>
      <c r="J232" s="30"/>
      <c r="K232" s="15">
        <f>COUNTIF(Contacts[姓名],Contacts[[#This Row],[姓名]])</f>
        <v>874</v>
      </c>
    </row>
    <row r="233" spans="1:11" x14ac:dyDescent="0.15">
      <c r="A233" s="28"/>
      <c r="B233" s="15" t="s">
        <v>818</v>
      </c>
      <c r="D233" s="29" t="s">
        <v>920</v>
      </c>
      <c r="E233" s="129" t="s">
        <v>5315</v>
      </c>
      <c r="F233" s="15" t="s">
        <v>4487</v>
      </c>
      <c r="I233" s="28"/>
      <c r="J233" s="30"/>
      <c r="K233" s="15">
        <f>COUNTIF(Contacts[姓名],Contacts[[#This Row],[姓名]])</f>
        <v>874</v>
      </c>
    </row>
    <row r="234" spans="1:11" x14ac:dyDescent="0.15">
      <c r="A234" s="28"/>
      <c r="B234" s="15" t="s">
        <v>818</v>
      </c>
      <c r="D234" s="29" t="s">
        <v>919</v>
      </c>
      <c r="E234" s="129" t="s">
        <v>5315</v>
      </c>
      <c r="F234" s="15" t="s">
        <v>4487</v>
      </c>
      <c r="I234" s="28"/>
      <c r="J234" s="30"/>
      <c r="K234" s="15">
        <f>COUNTIF(Contacts[姓名],Contacts[[#This Row],[姓名]])</f>
        <v>874</v>
      </c>
    </row>
    <row r="235" spans="1:11" x14ac:dyDescent="0.15">
      <c r="A235" s="28"/>
      <c r="B235" s="15" t="s">
        <v>818</v>
      </c>
      <c r="D235" s="29" t="s">
        <v>918</v>
      </c>
      <c r="E235" s="129" t="s">
        <v>5315</v>
      </c>
      <c r="F235" s="15" t="s">
        <v>4487</v>
      </c>
      <c r="I235" s="28"/>
      <c r="J235" s="30"/>
      <c r="K235" s="15">
        <f>COUNTIF(Contacts[姓名],Contacts[[#This Row],[姓名]])</f>
        <v>874</v>
      </c>
    </row>
    <row r="236" spans="1:11" x14ac:dyDescent="0.15">
      <c r="A236" s="28"/>
      <c r="B236" s="15" t="s">
        <v>818</v>
      </c>
      <c r="D236" s="29" t="s">
        <v>917</v>
      </c>
      <c r="E236" s="129" t="s">
        <v>5315</v>
      </c>
      <c r="F236" s="15" t="s">
        <v>4487</v>
      </c>
      <c r="I236" s="28"/>
      <c r="J236" s="30"/>
      <c r="K236" s="15">
        <f>COUNTIF(Contacts[姓名],Contacts[[#This Row],[姓名]])</f>
        <v>874</v>
      </c>
    </row>
    <row r="237" spans="1:11" x14ac:dyDescent="0.15">
      <c r="A237" s="28"/>
      <c r="B237" s="15" t="s">
        <v>818</v>
      </c>
      <c r="D237" s="29" t="s">
        <v>916</v>
      </c>
      <c r="E237" s="129" t="s">
        <v>5315</v>
      </c>
      <c r="F237" s="15" t="s">
        <v>4487</v>
      </c>
      <c r="I237" s="28"/>
      <c r="J237" s="30"/>
      <c r="K237" s="15">
        <f>COUNTIF(Contacts[姓名],Contacts[[#This Row],[姓名]])</f>
        <v>874</v>
      </c>
    </row>
    <row r="238" spans="1:11" x14ac:dyDescent="0.15">
      <c r="A238" s="28"/>
      <c r="B238" s="15" t="s">
        <v>818</v>
      </c>
      <c r="D238" s="29" t="s">
        <v>915</v>
      </c>
      <c r="E238" s="129" t="s">
        <v>5315</v>
      </c>
      <c r="F238" s="15" t="s">
        <v>4487</v>
      </c>
      <c r="I238" s="28"/>
      <c r="J238" s="30"/>
      <c r="K238" s="15">
        <f>COUNTIF(Contacts[姓名],Contacts[[#This Row],[姓名]])</f>
        <v>874</v>
      </c>
    </row>
    <row r="239" spans="1:11" x14ac:dyDescent="0.15">
      <c r="A239" s="28"/>
      <c r="B239" s="15" t="s">
        <v>818</v>
      </c>
      <c r="D239" s="29" t="s">
        <v>914</v>
      </c>
      <c r="E239" s="129" t="s">
        <v>5315</v>
      </c>
      <c r="F239" s="15" t="s">
        <v>4487</v>
      </c>
      <c r="I239" s="28"/>
      <c r="J239" s="30"/>
      <c r="K239" s="15">
        <f>COUNTIF(Contacts[姓名],Contacts[[#This Row],[姓名]])</f>
        <v>874</v>
      </c>
    </row>
    <row r="240" spans="1:11" x14ac:dyDescent="0.15">
      <c r="A240" s="28"/>
      <c r="B240" s="15" t="s">
        <v>818</v>
      </c>
      <c r="D240" s="29" t="s">
        <v>913</v>
      </c>
      <c r="E240" s="129" t="s">
        <v>5315</v>
      </c>
      <c r="F240" s="15" t="s">
        <v>4487</v>
      </c>
      <c r="I240" s="28"/>
      <c r="J240" s="30"/>
      <c r="K240" s="15">
        <f>COUNTIF(Contacts[姓名],Contacts[[#This Row],[姓名]])</f>
        <v>874</v>
      </c>
    </row>
    <row r="241" spans="1:11" x14ac:dyDescent="0.15">
      <c r="A241" s="28"/>
      <c r="B241" s="15" t="s">
        <v>818</v>
      </c>
      <c r="D241" s="29" t="s">
        <v>910</v>
      </c>
      <c r="E241" s="129" t="s">
        <v>5315</v>
      </c>
      <c r="F241" s="15" t="s">
        <v>4487</v>
      </c>
      <c r="I241" s="28"/>
      <c r="J241" s="30"/>
      <c r="K241" s="15">
        <f>COUNTIF(Contacts[姓名],Contacts[[#This Row],[姓名]])</f>
        <v>874</v>
      </c>
    </row>
    <row r="242" spans="1:11" x14ac:dyDescent="0.15">
      <c r="A242" s="28"/>
      <c r="B242" s="15" t="s">
        <v>818</v>
      </c>
      <c r="D242" s="29" t="s">
        <v>2466</v>
      </c>
      <c r="E242" s="129" t="s">
        <v>5315</v>
      </c>
      <c r="F242" s="15" t="s">
        <v>4487</v>
      </c>
      <c r="I242" s="28"/>
      <c r="J242" s="30"/>
      <c r="K242" s="15">
        <f>COUNTIF(Contacts[姓名],Contacts[[#This Row],[姓名]])</f>
        <v>874</v>
      </c>
    </row>
    <row r="243" spans="1:11" x14ac:dyDescent="0.15">
      <c r="A243" s="28"/>
      <c r="B243" s="15" t="s">
        <v>818</v>
      </c>
      <c r="D243" s="29" t="s">
        <v>906</v>
      </c>
      <c r="E243" s="129" t="s">
        <v>5315</v>
      </c>
      <c r="F243" s="15" t="s">
        <v>4487</v>
      </c>
      <c r="I243" s="28"/>
      <c r="J243" s="30"/>
      <c r="K243" s="15">
        <f>COUNTIF(Contacts[姓名],Contacts[[#This Row],[姓名]])</f>
        <v>874</v>
      </c>
    </row>
    <row r="244" spans="1:11" x14ac:dyDescent="0.15">
      <c r="A244" s="28"/>
      <c r="B244" s="15" t="s">
        <v>818</v>
      </c>
      <c r="D244" s="29" t="s">
        <v>904</v>
      </c>
      <c r="E244" s="129" t="s">
        <v>5315</v>
      </c>
      <c r="F244" s="15" t="s">
        <v>4487</v>
      </c>
      <c r="I244" s="28"/>
      <c r="J244" s="30"/>
      <c r="K244" s="15">
        <f>COUNTIF(Contacts[姓名],Contacts[[#This Row],[姓名]])</f>
        <v>874</v>
      </c>
    </row>
    <row r="245" spans="1:11" x14ac:dyDescent="0.15">
      <c r="A245" s="28"/>
      <c r="B245" s="15" t="s">
        <v>818</v>
      </c>
      <c r="D245" s="29" t="s">
        <v>2701</v>
      </c>
      <c r="E245" s="129" t="s">
        <v>5315</v>
      </c>
      <c r="F245" s="15" t="s">
        <v>4487</v>
      </c>
      <c r="I245" s="28"/>
      <c r="J245" s="30" t="s">
        <v>2556</v>
      </c>
      <c r="K245" s="15">
        <f>COUNTIF(Contacts[姓名],Contacts[[#This Row],[姓名]])</f>
        <v>874</v>
      </c>
    </row>
    <row r="246" spans="1:11" x14ac:dyDescent="0.15">
      <c r="A246" s="28"/>
      <c r="B246" s="15" t="s">
        <v>818</v>
      </c>
      <c r="D246" s="29" t="s">
        <v>901</v>
      </c>
      <c r="E246" s="129" t="s">
        <v>5315</v>
      </c>
      <c r="F246" s="15" t="s">
        <v>4487</v>
      </c>
      <c r="I246" s="28"/>
      <c r="J246" s="30"/>
      <c r="K246" s="15">
        <f>COUNTIF(Contacts[姓名],Contacts[[#This Row],[姓名]])</f>
        <v>874</v>
      </c>
    </row>
    <row r="247" spans="1:11" x14ac:dyDescent="0.15">
      <c r="A247" s="28"/>
      <c r="B247" s="15" t="s">
        <v>818</v>
      </c>
      <c r="D247" s="29" t="s">
        <v>900</v>
      </c>
      <c r="E247" s="129" t="s">
        <v>5315</v>
      </c>
      <c r="F247" s="15" t="s">
        <v>4487</v>
      </c>
      <c r="I247" s="28"/>
      <c r="J247" s="30"/>
      <c r="K247" s="15">
        <f>COUNTIF(Contacts[姓名],Contacts[[#This Row],[姓名]])</f>
        <v>874</v>
      </c>
    </row>
    <row r="248" spans="1:11" x14ac:dyDescent="0.15">
      <c r="A248" s="28"/>
      <c r="B248" s="15" t="s">
        <v>818</v>
      </c>
      <c r="D248" s="29" t="s">
        <v>899</v>
      </c>
      <c r="E248" s="129" t="s">
        <v>5315</v>
      </c>
      <c r="F248" s="15" t="s">
        <v>4487</v>
      </c>
      <c r="I248" s="28"/>
      <c r="J248" s="30"/>
      <c r="K248" s="15">
        <f>COUNTIF(Contacts[姓名],Contacts[[#This Row],[姓名]])</f>
        <v>874</v>
      </c>
    </row>
    <row r="249" spans="1:11" x14ac:dyDescent="0.15">
      <c r="A249" s="28"/>
      <c r="B249" s="15" t="s">
        <v>818</v>
      </c>
      <c r="D249" s="29" t="s">
        <v>898</v>
      </c>
      <c r="E249" s="129" t="s">
        <v>5315</v>
      </c>
      <c r="F249" s="15" t="s">
        <v>4487</v>
      </c>
      <c r="I249" s="28"/>
      <c r="J249" s="30"/>
      <c r="K249" s="15">
        <f>COUNTIF(Contacts[姓名],Contacts[[#This Row],[姓名]])</f>
        <v>874</v>
      </c>
    </row>
    <row r="250" spans="1:11" x14ac:dyDescent="0.15">
      <c r="A250" s="28"/>
      <c r="B250" s="15" t="s">
        <v>818</v>
      </c>
      <c r="D250" s="29" t="s">
        <v>897</v>
      </c>
      <c r="E250" s="129" t="s">
        <v>5315</v>
      </c>
      <c r="F250" s="15" t="s">
        <v>4487</v>
      </c>
      <c r="I250" s="28"/>
      <c r="J250" s="30"/>
      <c r="K250" s="15">
        <f>COUNTIF(Contacts[姓名],Contacts[[#This Row],[姓名]])</f>
        <v>874</v>
      </c>
    </row>
    <row r="251" spans="1:11" x14ac:dyDescent="0.15">
      <c r="A251" s="28"/>
      <c r="B251" s="15" t="s">
        <v>818</v>
      </c>
      <c r="D251" s="29" t="s">
        <v>896</v>
      </c>
      <c r="E251" s="129" t="s">
        <v>5315</v>
      </c>
      <c r="F251" s="15" t="s">
        <v>4487</v>
      </c>
      <c r="I251" s="28"/>
      <c r="J251" s="30"/>
      <c r="K251" s="15">
        <f>COUNTIF(Contacts[姓名],Contacts[[#This Row],[姓名]])</f>
        <v>874</v>
      </c>
    </row>
    <row r="252" spans="1:11" x14ac:dyDescent="0.15">
      <c r="A252" s="28"/>
      <c r="B252" s="15" t="s">
        <v>818</v>
      </c>
      <c r="D252" s="29" t="s">
        <v>895</v>
      </c>
      <c r="E252" s="129" t="s">
        <v>5315</v>
      </c>
      <c r="F252" s="15" t="s">
        <v>4487</v>
      </c>
      <c r="I252" s="28"/>
      <c r="J252" s="30"/>
      <c r="K252" s="15">
        <f>COUNTIF(Contacts[姓名],Contacts[[#This Row],[姓名]])</f>
        <v>874</v>
      </c>
    </row>
    <row r="253" spans="1:11" x14ac:dyDescent="0.15">
      <c r="A253" s="28"/>
      <c r="B253" s="15" t="s">
        <v>818</v>
      </c>
      <c r="D253" s="29" t="s">
        <v>894</v>
      </c>
      <c r="E253" s="129" t="s">
        <v>5315</v>
      </c>
      <c r="F253" s="15" t="s">
        <v>4487</v>
      </c>
      <c r="I253" s="28"/>
      <c r="J253" s="30"/>
      <c r="K253" s="15">
        <f>COUNTIF(Contacts[姓名],Contacts[[#This Row],[姓名]])</f>
        <v>874</v>
      </c>
    </row>
    <row r="254" spans="1:11" x14ac:dyDescent="0.15">
      <c r="A254" s="28"/>
      <c r="B254" s="15" t="s">
        <v>818</v>
      </c>
      <c r="D254" s="29" t="s">
        <v>893</v>
      </c>
      <c r="E254" s="129" t="s">
        <v>5315</v>
      </c>
      <c r="F254" s="15" t="s">
        <v>4487</v>
      </c>
      <c r="I254" s="28"/>
      <c r="J254" s="30"/>
      <c r="K254" s="15">
        <f>COUNTIF(Contacts[姓名],Contacts[[#This Row],[姓名]])</f>
        <v>874</v>
      </c>
    </row>
    <row r="255" spans="1:11" x14ac:dyDescent="0.15">
      <c r="A255" s="28"/>
      <c r="B255" s="15" t="s">
        <v>818</v>
      </c>
      <c r="D255" s="29" t="s">
        <v>892</v>
      </c>
      <c r="E255" s="129" t="s">
        <v>5315</v>
      </c>
      <c r="F255" s="15" t="s">
        <v>4487</v>
      </c>
      <c r="I255" s="28"/>
      <c r="J255" s="30"/>
      <c r="K255" s="15">
        <f>COUNTIF(Contacts[姓名],Contacts[[#This Row],[姓名]])</f>
        <v>874</v>
      </c>
    </row>
    <row r="256" spans="1:11" x14ac:dyDescent="0.15">
      <c r="A256" s="28"/>
      <c r="B256" s="15" t="s">
        <v>818</v>
      </c>
      <c r="D256" s="29" t="s">
        <v>891</v>
      </c>
      <c r="E256" s="129" t="s">
        <v>5315</v>
      </c>
      <c r="F256" s="15" t="s">
        <v>4487</v>
      </c>
      <c r="I256" s="28"/>
      <c r="J256" s="30"/>
      <c r="K256" s="15">
        <f>COUNTIF(Contacts[姓名],Contacts[[#This Row],[姓名]])</f>
        <v>874</v>
      </c>
    </row>
    <row r="257" spans="1:11" x14ac:dyDescent="0.15">
      <c r="A257" s="28"/>
      <c r="B257" s="15" t="s">
        <v>818</v>
      </c>
      <c r="D257" s="29" t="s">
        <v>887</v>
      </c>
      <c r="E257" s="129" t="s">
        <v>5315</v>
      </c>
      <c r="F257" s="15" t="s">
        <v>4487</v>
      </c>
      <c r="I257" s="28"/>
      <c r="J257" s="30"/>
      <c r="K257" s="15">
        <f>COUNTIF(Contacts[姓名],Contacts[[#This Row],[姓名]])</f>
        <v>874</v>
      </c>
    </row>
    <row r="258" spans="1:11" x14ac:dyDescent="0.15">
      <c r="A258" s="28"/>
      <c r="B258" s="15" t="s">
        <v>818</v>
      </c>
      <c r="D258" s="29" t="s">
        <v>885</v>
      </c>
      <c r="E258" s="129" t="s">
        <v>5315</v>
      </c>
      <c r="F258" s="15" t="s">
        <v>4487</v>
      </c>
      <c r="I258" s="28"/>
      <c r="J258" s="30"/>
      <c r="K258" s="15">
        <f>COUNTIF(Contacts[姓名],Contacts[[#This Row],[姓名]])</f>
        <v>874</v>
      </c>
    </row>
    <row r="259" spans="1:11" x14ac:dyDescent="0.15">
      <c r="A259" s="28"/>
      <c r="B259" s="15" t="s">
        <v>818</v>
      </c>
      <c r="D259" s="29" t="s">
        <v>884</v>
      </c>
      <c r="E259" s="129" t="s">
        <v>5315</v>
      </c>
      <c r="F259" s="15" t="s">
        <v>4487</v>
      </c>
      <c r="I259" s="28"/>
      <c r="J259" s="30"/>
      <c r="K259" s="15">
        <f>COUNTIF(Contacts[姓名],Contacts[[#This Row],[姓名]])</f>
        <v>874</v>
      </c>
    </row>
    <row r="260" spans="1:11" x14ac:dyDescent="0.15">
      <c r="A260" s="28"/>
      <c r="B260" s="15" t="s">
        <v>818</v>
      </c>
      <c r="D260" s="29" t="s">
        <v>883</v>
      </c>
      <c r="E260" s="129" t="s">
        <v>5315</v>
      </c>
      <c r="F260" s="15" t="s">
        <v>4487</v>
      </c>
      <c r="I260" s="28"/>
      <c r="J260" s="30"/>
      <c r="K260" s="15">
        <f>COUNTIF(Contacts[姓名],Contacts[[#This Row],[姓名]])</f>
        <v>874</v>
      </c>
    </row>
    <row r="261" spans="1:11" x14ac:dyDescent="0.15">
      <c r="A261" s="28"/>
      <c r="B261" s="15" t="s">
        <v>818</v>
      </c>
      <c r="D261" s="29" t="s">
        <v>881</v>
      </c>
      <c r="E261" s="129" t="s">
        <v>5315</v>
      </c>
      <c r="F261" s="15" t="s">
        <v>4487</v>
      </c>
      <c r="I261" s="28"/>
      <c r="J261" s="30"/>
      <c r="K261" s="15">
        <f>COUNTIF(Contacts[姓名],Contacts[[#This Row],[姓名]])</f>
        <v>874</v>
      </c>
    </row>
    <row r="262" spans="1:11" x14ac:dyDescent="0.15">
      <c r="A262" s="28"/>
      <c r="B262" s="15" t="s">
        <v>818</v>
      </c>
      <c r="D262" s="29" t="s">
        <v>880</v>
      </c>
      <c r="E262" s="129" t="s">
        <v>5315</v>
      </c>
      <c r="F262" s="15" t="s">
        <v>4487</v>
      </c>
      <c r="I262" s="28"/>
      <c r="J262" s="30"/>
      <c r="K262" s="15">
        <f>COUNTIF(Contacts[姓名],Contacts[[#This Row],[姓名]])</f>
        <v>874</v>
      </c>
    </row>
    <row r="263" spans="1:11" x14ac:dyDescent="0.15">
      <c r="A263" s="28"/>
      <c r="B263" s="15" t="s">
        <v>818</v>
      </c>
      <c r="D263" s="29" t="s">
        <v>879</v>
      </c>
      <c r="E263" s="129" t="s">
        <v>5315</v>
      </c>
      <c r="F263" s="15" t="s">
        <v>4487</v>
      </c>
      <c r="I263" s="28"/>
      <c r="J263" s="30"/>
      <c r="K263" s="15">
        <f>COUNTIF(Contacts[姓名],Contacts[[#This Row],[姓名]])</f>
        <v>874</v>
      </c>
    </row>
    <row r="264" spans="1:11" x14ac:dyDescent="0.15">
      <c r="A264" s="28"/>
      <c r="B264" s="15" t="s">
        <v>818</v>
      </c>
      <c r="D264" s="29" t="s">
        <v>878</v>
      </c>
      <c r="E264" s="129" t="s">
        <v>5315</v>
      </c>
      <c r="F264" s="15" t="s">
        <v>4487</v>
      </c>
      <c r="I264" s="28"/>
      <c r="J264" s="30"/>
      <c r="K264" s="15">
        <f>COUNTIF(Contacts[姓名],Contacts[[#This Row],[姓名]])</f>
        <v>874</v>
      </c>
    </row>
    <row r="265" spans="1:11" x14ac:dyDescent="0.15">
      <c r="A265" s="28"/>
      <c r="B265" s="15" t="s">
        <v>818</v>
      </c>
      <c r="D265" s="29" t="s">
        <v>876</v>
      </c>
      <c r="E265" s="129" t="s">
        <v>5315</v>
      </c>
      <c r="F265" s="15" t="s">
        <v>4487</v>
      </c>
      <c r="I265" s="28"/>
      <c r="J265" s="30"/>
      <c r="K265" s="15">
        <f>COUNTIF(Contacts[姓名],Contacts[[#This Row],[姓名]])</f>
        <v>874</v>
      </c>
    </row>
    <row r="266" spans="1:11" x14ac:dyDescent="0.15">
      <c r="A266" s="28"/>
      <c r="B266" s="15" t="s">
        <v>818</v>
      </c>
      <c r="D266" s="29" t="s">
        <v>2595</v>
      </c>
      <c r="E266" s="129" t="s">
        <v>5315</v>
      </c>
      <c r="F266" s="15" t="s">
        <v>4487</v>
      </c>
      <c r="I266" s="28"/>
      <c r="J266" s="30"/>
      <c r="K266" s="15">
        <f>COUNTIF(Contacts[姓名],Contacts[[#This Row],[姓名]])</f>
        <v>874</v>
      </c>
    </row>
    <row r="267" spans="1:11" x14ac:dyDescent="0.15">
      <c r="A267" s="28"/>
      <c r="B267" s="15" t="s">
        <v>818</v>
      </c>
      <c r="D267" s="29" t="s">
        <v>875</v>
      </c>
      <c r="E267" s="129" t="s">
        <v>5315</v>
      </c>
      <c r="F267" s="15" t="s">
        <v>4487</v>
      </c>
      <c r="I267" s="28"/>
      <c r="J267" s="30"/>
      <c r="K267" s="15">
        <f>COUNTIF(Contacts[姓名],Contacts[[#This Row],[姓名]])</f>
        <v>874</v>
      </c>
    </row>
    <row r="268" spans="1:11" x14ac:dyDescent="0.15">
      <c r="A268" s="28"/>
      <c r="B268" s="15" t="s">
        <v>818</v>
      </c>
      <c r="D268" s="29" t="s">
        <v>874</v>
      </c>
      <c r="E268" s="129" t="s">
        <v>5315</v>
      </c>
      <c r="F268" s="15" t="s">
        <v>4487</v>
      </c>
      <c r="I268" s="28"/>
      <c r="J268" s="30"/>
      <c r="K268" s="15">
        <f>COUNTIF(Contacts[姓名],Contacts[[#This Row],[姓名]])</f>
        <v>874</v>
      </c>
    </row>
    <row r="269" spans="1:11" x14ac:dyDescent="0.15">
      <c r="A269" s="28"/>
      <c r="B269" s="15" t="s">
        <v>818</v>
      </c>
      <c r="D269" s="29" t="s">
        <v>873</v>
      </c>
      <c r="E269" s="129" t="s">
        <v>5315</v>
      </c>
      <c r="F269" s="15" t="s">
        <v>4487</v>
      </c>
      <c r="I269" s="28"/>
      <c r="J269" s="30"/>
      <c r="K269" s="15">
        <f>COUNTIF(Contacts[姓名],Contacts[[#This Row],[姓名]])</f>
        <v>874</v>
      </c>
    </row>
    <row r="270" spans="1:11" x14ac:dyDescent="0.15">
      <c r="A270" s="28"/>
      <c r="B270" s="15" t="s">
        <v>818</v>
      </c>
      <c r="D270" s="29" t="s">
        <v>2678</v>
      </c>
      <c r="E270" s="129" t="s">
        <v>5315</v>
      </c>
      <c r="F270" s="15" t="s">
        <v>4487</v>
      </c>
      <c r="I270" s="28"/>
      <c r="J270" s="30"/>
      <c r="K270" s="15">
        <f>COUNTIF(Contacts[姓名],Contacts[[#This Row],[姓名]])</f>
        <v>874</v>
      </c>
    </row>
    <row r="271" spans="1:11" x14ac:dyDescent="0.15">
      <c r="A271" s="28"/>
      <c r="B271" s="15" t="s">
        <v>818</v>
      </c>
      <c r="D271" s="29" t="s">
        <v>2625</v>
      </c>
      <c r="E271" s="129" t="s">
        <v>5315</v>
      </c>
      <c r="F271" s="15" t="s">
        <v>4487</v>
      </c>
      <c r="I271" s="28"/>
      <c r="J271" s="30"/>
      <c r="K271" s="15">
        <f>COUNTIF(Contacts[姓名],Contacts[[#This Row],[姓名]])</f>
        <v>874</v>
      </c>
    </row>
    <row r="272" spans="1:11" x14ac:dyDescent="0.15">
      <c r="A272" s="28"/>
      <c r="B272" s="15" t="s">
        <v>818</v>
      </c>
      <c r="D272" s="29" t="s">
        <v>869</v>
      </c>
      <c r="E272" s="129" t="s">
        <v>5315</v>
      </c>
      <c r="F272" s="15" t="s">
        <v>4487</v>
      </c>
      <c r="I272" s="28"/>
      <c r="J272" s="30"/>
      <c r="K272" s="15">
        <f>COUNTIF(Contacts[姓名],Contacts[[#This Row],[姓名]])</f>
        <v>874</v>
      </c>
    </row>
    <row r="273" spans="1:11" x14ac:dyDescent="0.15">
      <c r="A273" s="28"/>
      <c r="B273" s="15" t="s">
        <v>818</v>
      </c>
      <c r="D273" s="29" t="s">
        <v>867</v>
      </c>
      <c r="E273" s="129" t="s">
        <v>5315</v>
      </c>
      <c r="F273" s="15" t="s">
        <v>4487</v>
      </c>
      <c r="I273" s="28"/>
      <c r="J273" s="30"/>
      <c r="K273" s="15">
        <f>COUNTIF(Contacts[姓名],Contacts[[#This Row],[姓名]])</f>
        <v>874</v>
      </c>
    </row>
    <row r="274" spans="1:11" x14ac:dyDescent="0.15">
      <c r="A274" s="28"/>
      <c r="B274" s="15" t="s">
        <v>818</v>
      </c>
      <c r="D274" s="29" t="s">
        <v>866</v>
      </c>
      <c r="E274" s="129" t="s">
        <v>5315</v>
      </c>
      <c r="F274" s="15" t="s">
        <v>4487</v>
      </c>
      <c r="I274" s="28"/>
      <c r="J274" s="30"/>
      <c r="K274" s="15">
        <f>COUNTIF(Contacts[姓名],Contacts[[#This Row],[姓名]])</f>
        <v>874</v>
      </c>
    </row>
    <row r="275" spans="1:11" x14ac:dyDescent="0.15">
      <c r="A275" s="28"/>
      <c r="B275" s="15" t="s">
        <v>818</v>
      </c>
      <c r="D275" s="29" t="s">
        <v>865</v>
      </c>
      <c r="E275" s="129" t="s">
        <v>5315</v>
      </c>
      <c r="F275" s="15" t="s">
        <v>4487</v>
      </c>
      <c r="I275" s="28"/>
      <c r="J275" s="30"/>
      <c r="K275" s="15">
        <f>COUNTIF(Contacts[姓名],Contacts[[#This Row],[姓名]])</f>
        <v>874</v>
      </c>
    </row>
    <row r="276" spans="1:11" x14ac:dyDescent="0.15">
      <c r="A276" s="28"/>
      <c r="B276" s="15" t="s">
        <v>818</v>
      </c>
      <c r="D276" s="29" t="s">
        <v>862</v>
      </c>
      <c r="E276" s="129" t="s">
        <v>5315</v>
      </c>
      <c r="F276" s="15" t="s">
        <v>4487</v>
      </c>
      <c r="I276" s="28"/>
      <c r="J276" s="30"/>
      <c r="K276" s="15">
        <f>COUNTIF(Contacts[姓名],Contacts[[#This Row],[姓名]])</f>
        <v>874</v>
      </c>
    </row>
    <row r="277" spans="1:11" x14ac:dyDescent="0.15">
      <c r="A277" s="28"/>
      <c r="B277" s="15" t="s">
        <v>818</v>
      </c>
      <c r="D277" s="29" t="s">
        <v>1152</v>
      </c>
      <c r="E277" s="129" t="s">
        <v>5315</v>
      </c>
      <c r="F277" s="15" t="s">
        <v>4487</v>
      </c>
      <c r="I277" s="28"/>
      <c r="J277" s="30"/>
      <c r="K277" s="15">
        <f>COUNTIF(Contacts[姓名],Contacts[[#This Row],[姓名]])</f>
        <v>874</v>
      </c>
    </row>
    <row r="278" spans="1:11" x14ac:dyDescent="0.15">
      <c r="A278" s="28"/>
      <c r="B278" s="15" t="s">
        <v>818</v>
      </c>
      <c r="D278" s="29" t="s">
        <v>2679</v>
      </c>
      <c r="E278" s="129" t="s">
        <v>5315</v>
      </c>
      <c r="F278" s="15" t="s">
        <v>4487</v>
      </c>
      <c r="I278" s="28"/>
      <c r="J278" s="30"/>
      <c r="K278" s="15">
        <f>COUNTIF(Contacts[姓名],Contacts[[#This Row],[姓名]])</f>
        <v>874</v>
      </c>
    </row>
    <row r="279" spans="1:11" x14ac:dyDescent="0.15">
      <c r="A279" s="28"/>
      <c r="B279" s="15" t="s">
        <v>818</v>
      </c>
      <c r="D279" s="29" t="s">
        <v>2675</v>
      </c>
      <c r="E279" s="129" t="s">
        <v>5315</v>
      </c>
      <c r="F279" s="15" t="s">
        <v>4487</v>
      </c>
      <c r="I279" s="28"/>
      <c r="J279" s="30"/>
      <c r="K279" s="15">
        <f>COUNTIF(Contacts[姓名],Contacts[[#This Row],[姓名]])</f>
        <v>874</v>
      </c>
    </row>
    <row r="280" spans="1:11" x14ac:dyDescent="0.15">
      <c r="A280" s="28"/>
      <c r="B280" s="15" t="s">
        <v>818</v>
      </c>
      <c r="D280" s="29" t="s">
        <v>1150</v>
      </c>
      <c r="E280" s="129" t="s">
        <v>5315</v>
      </c>
      <c r="F280" s="15" t="s">
        <v>4487</v>
      </c>
      <c r="I280" s="28"/>
      <c r="J280" s="30"/>
      <c r="K280" s="15">
        <f>COUNTIF(Contacts[姓名],Contacts[[#This Row],[姓名]])</f>
        <v>874</v>
      </c>
    </row>
    <row r="281" spans="1:11" x14ac:dyDescent="0.15">
      <c r="A281" s="28"/>
      <c r="B281" s="15" t="s">
        <v>818</v>
      </c>
      <c r="D281" s="29" t="s">
        <v>860</v>
      </c>
      <c r="E281" s="129" t="s">
        <v>5315</v>
      </c>
      <c r="F281" s="15" t="s">
        <v>4487</v>
      </c>
      <c r="I281" s="28"/>
      <c r="J281" s="30"/>
      <c r="K281" s="15">
        <f>COUNTIF(Contacts[姓名],Contacts[[#This Row],[姓名]])</f>
        <v>874</v>
      </c>
    </row>
    <row r="282" spans="1:11" x14ac:dyDescent="0.15">
      <c r="A282" s="28"/>
      <c r="B282" s="15" t="s">
        <v>818</v>
      </c>
      <c r="D282" s="29" t="s">
        <v>2624</v>
      </c>
      <c r="E282" s="129" t="s">
        <v>5315</v>
      </c>
      <c r="F282" s="15" t="s">
        <v>4487</v>
      </c>
      <c r="I282" s="28"/>
      <c r="J282" s="30"/>
      <c r="K282" s="15">
        <f>COUNTIF(Contacts[姓名],Contacts[[#This Row],[姓名]])</f>
        <v>874</v>
      </c>
    </row>
    <row r="283" spans="1:11" x14ac:dyDescent="0.15">
      <c r="A283" s="28"/>
      <c r="B283" s="15" t="s">
        <v>818</v>
      </c>
      <c r="D283" s="29" t="s">
        <v>859</v>
      </c>
      <c r="E283" s="129" t="s">
        <v>5315</v>
      </c>
      <c r="F283" s="15" t="s">
        <v>4487</v>
      </c>
      <c r="I283" s="28"/>
      <c r="J283" s="30"/>
      <c r="K283" s="15">
        <f>COUNTIF(Contacts[姓名],Contacts[[#This Row],[姓名]])</f>
        <v>874</v>
      </c>
    </row>
    <row r="284" spans="1:11" x14ac:dyDescent="0.15">
      <c r="A284" s="28"/>
      <c r="B284" s="15" t="s">
        <v>818</v>
      </c>
      <c r="D284" s="29" t="s">
        <v>856</v>
      </c>
      <c r="E284" s="129" t="s">
        <v>5315</v>
      </c>
      <c r="F284" s="15" t="s">
        <v>4487</v>
      </c>
      <c r="I284" s="28"/>
      <c r="J284" s="30"/>
      <c r="K284" s="15">
        <f>COUNTIF(Contacts[姓名],Contacts[[#This Row],[姓名]])</f>
        <v>874</v>
      </c>
    </row>
    <row r="285" spans="1:11" x14ac:dyDescent="0.15">
      <c r="A285" s="28"/>
      <c r="B285" s="15" t="s">
        <v>818</v>
      </c>
      <c r="D285" s="29" t="s">
        <v>855</v>
      </c>
      <c r="E285" s="129" t="s">
        <v>5315</v>
      </c>
      <c r="F285" s="15" t="s">
        <v>4487</v>
      </c>
      <c r="I285" s="28"/>
      <c r="J285" s="30"/>
      <c r="K285" s="15">
        <f>COUNTIF(Contacts[姓名],Contacts[[#This Row],[姓名]])</f>
        <v>874</v>
      </c>
    </row>
    <row r="286" spans="1:11" x14ac:dyDescent="0.15">
      <c r="A286" s="28"/>
      <c r="B286" s="15" t="s">
        <v>818</v>
      </c>
      <c r="D286" s="29" t="s">
        <v>849</v>
      </c>
      <c r="E286" s="129" t="s">
        <v>5315</v>
      </c>
      <c r="F286" s="15" t="s">
        <v>4487</v>
      </c>
      <c r="I286" s="28"/>
      <c r="J286" s="30"/>
      <c r="K286" s="15">
        <f>COUNTIF(Contacts[姓名],Contacts[[#This Row],[姓名]])</f>
        <v>874</v>
      </c>
    </row>
    <row r="287" spans="1:11" x14ac:dyDescent="0.15">
      <c r="A287" s="28"/>
      <c r="B287" s="15" t="s">
        <v>818</v>
      </c>
      <c r="D287" s="29" t="s">
        <v>848</v>
      </c>
      <c r="E287" s="129" t="s">
        <v>5315</v>
      </c>
      <c r="F287" s="15" t="s">
        <v>4487</v>
      </c>
      <c r="I287" s="28"/>
      <c r="J287" s="30"/>
      <c r="K287" s="15">
        <f>COUNTIF(Contacts[姓名],Contacts[[#This Row],[姓名]])</f>
        <v>874</v>
      </c>
    </row>
    <row r="288" spans="1:11" x14ac:dyDescent="0.15">
      <c r="A288" s="28"/>
      <c r="B288" s="15" t="s">
        <v>818</v>
      </c>
      <c r="D288" s="29" t="s">
        <v>847</v>
      </c>
      <c r="E288" s="129" t="s">
        <v>5315</v>
      </c>
      <c r="F288" s="15" t="s">
        <v>4487</v>
      </c>
      <c r="I288" s="28"/>
      <c r="J288" s="30"/>
      <c r="K288" s="15">
        <f>COUNTIF(Contacts[姓名],Contacts[[#This Row],[姓名]])</f>
        <v>874</v>
      </c>
    </row>
    <row r="289" spans="1:11" x14ac:dyDescent="0.15">
      <c r="A289" s="28"/>
      <c r="B289" s="15" t="s">
        <v>818</v>
      </c>
      <c r="D289" s="29" t="s">
        <v>844</v>
      </c>
      <c r="E289" s="129" t="s">
        <v>5315</v>
      </c>
      <c r="F289" s="15" t="s">
        <v>4487</v>
      </c>
      <c r="I289" s="28"/>
      <c r="J289" s="30"/>
      <c r="K289" s="15">
        <f>COUNTIF(Contacts[姓名],Contacts[[#This Row],[姓名]])</f>
        <v>874</v>
      </c>
    </row>
    <row r="290" spans="1:11" x14ac:dyDescent="0.15">
      <c r="A290" s="28"/>
      <c r="B290" s="15" t="s">
        <v>818</v>
      </c>
      <c r="D290" s="29" t="s">
        <v>843</v>
      </c>
      <c r="E290" s="129" t="s">
        <v>5315</v>
      </c>
      <c r="F290" s="15" t="s">
        <v>4487</v>
      </c>
      <c r="I290" s="28"/>
      <c r="J290" s="30"/>
      <c r="K290" s="15">
        <f>COUNTIF(Contacts[姓名],Contacts[[#This Row],[姓名]])</f>
        <v>874</v>
      </c>
    </row>
    <row r="291" spans="1:11" x14ac:dyDescent="0.15">
      <c r="A291" s="28"/>
      <c r="B291" s="15" t="s">
        <v>818</v>
      </c>
      <c r="D291" s="29" t="s">
        <v>841</v>
      </c>
      <c r="E291" s="129" t="s">
        <v>5315</v>
      </c>
      <c r="F291" s="15" t="s">
        <v>4487</v>
      </c>
      <c r="I291" s="28"/>
      <c r="J291" s="30"/>
      <c r="K291" s="15">
        <f>COUNTIF(Contacts[姓名],Contacts[[#This Row],[姓名]])</f>
        <v>874</v>
      </c>
    </row>
    <row r="292" spans="1:11" x14ac:dyDescent="0.15">
      <c r="A292" s="28"/>
      <c r="B292" s="15" t="s">
        <v>818</v>
      </c>
      <c r="D292" s="29" t="s">
        <v>840</v>
      </c>
      <c r="E292" s="129" t="s">
        <v>5315</v>
      </c>
      <c r="F292" s="15" t="s">
        <v>4487</v>
      </c>
      <c r="I292" s="28"/>
      <c r="J292" s="30"/>
      <c r="K292" s="15">
        <f>COUNTIF(Contacts[姓名],Contacts[[#This Row],[姓名]])</f>
        <v>874</v>
      </c>
    </row>
    <row r="293" spans="1:11" x14ac:dyDescent="0.15">
      <c r="A293" s="28"/>
      <c r="B293" s="15" t="s">
        <v>818</v>
      </c>
      <c r="D293" s="29" t="s">
        <v>839</v>
      </c>
      <c r="E293" s="129" t="s">
        <v>5315</v>
      </c>
      <c r="F293" s="15" t="s">
        <v>4487</v>
      </c>
      <c r="I293" s="28"/>
      <c r="J293" s="30"/>
      <c r="K293" s="15">
        <f>COUNTIF(Contacts[姓名],Contacts[[#This Row],[姓名]])</f>
        <v>874</v>
      </c>
    </row>
    <row r="294" spans="1:11" x14ac:dyDescent="0.15">
      <c r="A294" s="28"/>
      <c r="B294" s="15" t="s">
        <v>818</v>
      </c>
      <c r="D294" s="29" t="s">
        <v>838</v>
      </c>
      <c r="E294" s="129" t="s">
        <v>5315</v>
      </c>
      <c r="F294" s="15" t="s">
        <v>4487</v>
      </c>
      <c r="I294" s="28"/>
      <c r="J294" s="30"/>
      <c r="K294" s="15">
        <f>COUNTIF(Contacts[姓名],Contacts[[#This Row],[姓名]])</f>
        <v>874</v>
      </c>
    </row>
    <row r="295" spans="1:11" x14ac:dyDescent="0.15">
      <c r="A295" s="28"/>
      <c r="B295" s="15" t="s">
        <v>818</v>
      </c>
      <c r="D295" s="29" t="s">
        <v>837</v>
      </c>
      <c r="E295" s="129" t="s">
        <v>5315</v>
      </c>
      <c r="F295" s="15" t="s">
        <v>4487</v>
      </c>
      <c r="I295" s="28"/>
      <c r="J295" s="30"/>
      <c r="K295" s="15">
        <f>COUNTIF(Contacts[姓名],Contacts[[#This Row],[姓名]])</f>
        <v>874</v>
      </c>
    </row>
    <row r="296" spans="1:11" x14ac:dyDescent="0.15">
      <c r="A296" s="28"/>
      <c r="B296" s="15" t="s">
        <v>818</v>
      </c>
      <c r="D296" s="29" t="s">
        <v>1092</v>
      </c>
      <c r="E296" s="129" t="s">
        <v>5315</v>
      </c>
      <c r="F296" s="15" t="s">
        <v>4487</v>
      </c>
      <c r="I296" s="28"/>
      <c r="J296" s="30"/>
      <c r="K296" s="15">
        <f>COUNTIF(Contacts[姓名],Contacts[[#This Row],[姓名]])</f>
        <v>874</v>
      </c>
    </row>
    <row r="297" spans="1:11" x14ac:dyDescent="0.15">
      <c r="A297" s="28"/>
      <c r="B297" s="15" t="s">
        <v>818</v>
      </c>
      <c r="D297" s="29" t="s">
        <v>836</v>
      </c>
      <c r="E297" s="129" t="s">
        <v>5315</v>
      </c>
      <c r="F297" s="15" t="s">
        <v>4487</v>
      </c>
      <c r="I297" s="28"/>
      <c r="J297" s="30"/>
      <c r="K297" s="15">
        <f>COUNTIF(Contacts[姓名],Contacts[[#This Row],[姓名]])</f>
        <v>874</v>
      </c>
    </row>
    <row r="298" spans="1:11" x14ac:dyDescent="0.15">
      <c r="A298" s="28"/>
      <c r="B298" s="15" t="s">
        <v>818</v>
      </c>
      <c r="D298" s="29" t="s">
        <v>835</v>
      </c>
      <c r="E298" s="129" t="s">
        <v>5315</v>
      </c>
      <c r="F298" s="15" t="s">
        <v>4487</v>
      </c>
      <c r="I298" s="28"/>
      <c r="J298" s="30"/>
      <c r="K298" s="15">
        <f>COUNTIF(Contacts[姓名],Contacts[[#This Row],[姓名]])</f>
        <v>874</v>
      </c>
    </row>
    <row r="299" spans="1:11" x14ac:dyDescent="0.15">
      <c r="A299" s="28"/>
      <c r="B299" s="15" t="s">
        <v>818</v>
      </c>
      <c r="D299" s="29" t="s">
        <v>833</v>
      </c>
      <c r="E299" s="129" t="s">
        <v>5315</v>
      </c>
      <c r="F299" s="15" t="s">
        <v>4487</v>
      </c>
      <c r="I299" s="28"/>
      <c r="J299" s="30"/>
      <c r="K299" s="15">
        <f>COUNTIF(Contacts[姓名],Contacts[[#This Row],[姓名]])</f>
        <v>874</v>
      </c>
    </row>
    <row r="300" spans="1:11" x14ac:dyDescent="0.15">
      <c r="A300" s="28"/>
      <c r="B300" s="15" t="s">
        <v>818</v>
      </c>
      <c r="D300" s="29" t="s">
        <v>832</v>
      </c>
      <c r="E300" s="129" t="s">
        <v>5315</v>
      </c>
      <c r="F300" s="15" t="s">
        <v>4487</v>
      </c>
      <c r="I300" s="28"/>
      <c r="J300" s="30"/>
      <c r="K300" s="15">
        <f>COUNTIF(Contacts[姓名],Contacts[[#This Row],[姓名]])</f>
        <v>874</v>
      </c>
    </row>
    <row r="301" spans="1:11" x14ac:dyDescent="0.15">
      <c r="A301" s="28"/>
      <c r="B301" s="15" t="s">
        <v>818</v>
      </c>
      <c r="D301" s="29" t="s">
        <v>831</v>
      </c>
      <c r="E301" s="129" t="s">
        <v>5315</v>
      </c>
      <c r="F301" s="15" t="s">
        <v>4487</v>
      </c>
      <c r="I301" s="28"/>
      <c r="J301" s="30"/>
      <c r="K301" s="15">
        <f>COUNTIF(Contacts[姓名],Contacts[[#This Row],[姓名]])</f>
        <v>874</v>
      </c>
    </row>
    <row r="302" spans="1:11" x14ac:dyDescent="0.15">
      <c r="A302" s="28"/>
      <c r="B302" s="15" t="s">
        <v>818</v>
      </c>
      <c r="D302" s="29" t="s">
        <v>2620</v>
      </c>
      <c r="E302" s="129" t="s">
        <v>5315</v>
      </c>
      <c r="F302" s="15" t="s">
        <v>4487</v>
      </c>
      <c r="I302" s="28"/>
      <c r="J302" s="30"/>
      <c r="K302" s="15">
        <f>COUNTIF(Contacts[姓名],Contacts[[#This Row],[姓名]])</f>
        <v>874</v>
      </c>
    </row>
    <row r="303" spans="1:11" x14ac:dyDescent="0.15">
      <c r="A303" s="28"/>
      <c r="B303" s="15" t="s">
        <v>818</v>
      </c>
      <c r="D303" s="29" t="s">
        <v>2652</v>
      </c>
      <c r="E303" s="129" t="s">
        <v>5315</v>
      </c>
      <c r="F303" s="15" t="s">
        <v>4487</v>
      </c>
      <c r="I303" s="28"/>
      <c r="J303" s="30"/>
      <c r="K303" s="15">
        <f>COUNTIF(Contacts[姓名],Contacts[[#This Row],[姓名]])</f>
        <v>874</v>
      </c>
    </row>
    <row r="304" spans="1:11" x14ac:dyDescent="0.15">
      <c r="A304" s="28"/>
      <c r="B304" s="15" t="s">
        <v>818</v>
      </c>
      <c r="D304" s="29" t="s">
        <v>829</v>
      </c>
      <c r="E304" s="129" t="s">
        <v>5315</v>
      </c>
      <c r="F304" s="15" t="s">
        <v>4487</v>
      </c>
      <c r="I304" s="28"/>
      <c r="J304" s="30"/>
      <c r="K304" s="15">
        <f>COUNTIF(Contacts[姓名],Contacts[[#This Row],[姓名]])</f>
        <v>874</v>
      </c>
    </row>
    <row r="305" spans="1:11" x14ac:dyDescent="0.15">
      <c r="A305" s="28"/>
      <c r="B305" s="15" t="s">
        <v>818</v>
      </c>
      <c r="D305" s="29" t="s">
        <v>827</v>
      </c>
      <c r="E305" s="129" t="s">
        <v>5315</v>
      </c>
      <c r="F305" s="15" t="s">
        <v>4487</v>
      </c>
      <c r="I305" s="28"/>
      <c r="J305" s="30"/>
      <c r="K305" s="15">
        <f>COUNTIF(Contacts[姓名],Contacts[[#This Row],[姓名]])</f>
        <v>874</v>
      </c>
    </row>
    <row r="306" spans="1:11" x14ac:dyDescent="0.15">
      <c r="A306" s="28"/>
      <c r="B306" s="15" t="s">
        <v>818</v>
      </c>
      <c r="D306" s="29" t="s">
        <v>822</v>
      </c>
      <c r="E306" s="129" t="s">
        <v>5315</v>
      </c>
      <c r="F306" s="15" t="s">
        <v>4487</v>
      </c>
      <c r="I306" s="28"/>
      <c r="J306" s="30"/>
      <c r="K306" s="15">
        <f>COUNTIF(Contacts[姓名],Contacts[[#This Row],[姓名]])</f>
        <v>874</v>
      </c>
    </row>
    <row r="307" spans="1:11" x14ac:dyDescent="0.15">
      <c r="A307" s="28"/>
      <c r="B307" s="15" t="s">
        <v>818</v>
      </c>
      <c r="D307" s="29" t="s">
        <v>821</v>
      </c>
      <c r="E307" s="129" t="s">
        <v>5315</v>
      </c>
      <c r="F307" s="15" t="s">
        <v>4487</v>
      </c>
      <c r="I307" s="28"/>
      <c r="J307" s="30"/>
      <c r="K307" s="15">
        <f>COUNTIF(Contacts[姓名],Contacts[[#This Row],[姓名]])</f>
        <v>874</v>
      </c>
    </row>
    <row r="308" spans="1:11" x14ac:dyDescent="0.15">
      <c r="A308" s="28"/>
      <c r="B308" s="15" t="s">
        <v>818</v>
      </c>
      <c r="D308" s="29" t="s">
        <v>820</v>
      </c>
      <c r="E308" s="129" t="s">
        <v>5315</v>
      </c>
      <c r="F308" s="15" t="s">
        <v>4487</v>
      </c>
      <c r="I308" s="28"/>
      <c r="J308" s="30"/>
      <c r="K308" s="15">
        <f>COUNTIF(Contacts[姓名],Contacts[[#This Row],[姓名]])</f>
        <v>874</v>
      </c>
    </row>
    <row r="309" spans="1:11" x14ac:dyDescent="0.15">
      <c r="A309" s="28"/>
      <c r="B309" s="15" t="s">
        <v>818</v>
      </c>
      <c r="D309" s="29" t="s">
        <v>819</v>
      </c>
      <c r="E309" s="129" t="s">
        <v>5315</v>
      </c>
      <c r="F309" s="15" t="s">
        <v>4487</v>
      </c>
      <c r="I309" s="28"/>
      <c r="J309" s="30"/>
      <c r="K309" s="15">
        <f>COUNTIF(Contacts[姓名],Contacts[[#This Row],[姓名]])</f>
        <v>874</v>
      </c>
    </row>
    <row r="310" spans="1:11" x14ac:dyDescent="0.15">
      <c r="A310" s="28"/>
      <c r="B310" s="15" t="s">
        <v>818</v>
      </c>
      <c r="D310" s="29" t="s">
        <v>817</v>
      </c>
      <c r="E310" s="129" t="s">
        <v>5315</v>
      </c>
      <c r="F310" s="15" t="s">
        <v>4487</v>
      </c>
      <c r="I310" s="28"/>
      <c r="J310" s="30"/>
      <c r="K310" s="15">
        <f>COUNTIF(Contacts[姓名],Contacts[[#This Row],[姓名]])</f>
        <v>874</v>
      </c>
    </row>
    <row r="311" spans="1:11" x14ac:dyDescent="0.15">
      <c r="A311" s="28" t="s">
        <v>812</v>
      </c>
      <c r="B311" s="15" t="s">
        <v>4380</v>
      </c>
      <c r="C311" s="15">
        <v>584892760</v>
      </c>
      <c r="D311" s="29" t="s">
        <v>812</v>
      </c>
      <c r="E311" s="129" t="s">
        <v>5315</v>
      </c>
      <c r="F311" s="15" t="s">
        <v>4487</v>
      </c>
      <c r="H311" s="15" t="s">
        <v>3315</v>
      </c>
      <c r="I311" s="28" t="s">
        <v>3278</v>
      </c>
      <c r="J311" s="30"/>
      <c r="K311" s="15">
        <f>COUNTIF(Contacts[姓名],Contacts[[#This Row],[姓名]])</f>
        <v>874</v>
      </c>
    </row>
    <row r="312" spans="1:11" x14ac:dyDescent="0.15">
      <c r="A312" s="28" t="s">
        <v>702</v>
      </c>
      <c r="B312" s="15" t="s">
        <v>1635</v>
      </c>
      <c r="C312" s="15">
        <v>1094573776</v>
      </c>
      <c r="D312" s="29" t="s">
        <v>1636</v>
      </c>
      <c r="E312" s="129" t="s">
        <v>5315</v>
      </c>
      <c r="F312" s="15" t="s">
        <v>6159</v>
      </c>
      <c r="I312" s="28"/>
      <c r="J312" s="30"/>
      <c r="K312" s="15">
        <f>COUNTIF(Contacts[姓名],Contacts[[#This Row],[姓名]])</f>
        <v>1</v>
      </c>
    </row>
    <row r="313" spans="1:11" x14ac:dyDescent="0.15">
      <c r="A313" s="28" t="s">
        <v>800</v>
      </c>
      <c r="B313" s="15" t="s">
        <v>4380</v>
      </c>
      <c r="D313" s="29" t="s">
        <v>1552</v>
      </c>
      <c r="E313" s="129" t="s">
        <v>5315</v>
      </c>
      <c r="F313" s="15" t="s">
        <v>4487</v>
      </c>
      <c r="I313" s="28"/>
      <c r="J313" s="30"/>
      <c r="K313" s="15">
        <f>COUNTIF(Contacts[姓名],Contacts[[#This Row],[姓名]])</f>
        <v>874</v>
      </c>
    </row>
    <row r="314" spans="1:11" x14ac:dyDescent="0.15">
      <c r="A314" s="28" t="s">
        <v>1549</v>
      </c>
      <c r="B314" s="15" t="s">
        <v>4380</v>
      </c>
      <c r="C314" s="15">
        <v>1256717488</v>
      </c>
      <c r="D314" s="29" t="s">
        <v>1548</v>
      </c>
      <c r="E314" s="129" t="s">
        <v>5315</v>
      </c>
      <c r="F314" s="15" t="s">
        <v>4487</v>
      </c>
      <c r="I314" s="28"/>
      <c r="J314" s="30"/>
      <c r="K314" s="15">
        <f>COUNTIF(Contacts[姓名],Contacts[[#This Row],[姓名]])</f>
        <v>874</v>
      </c>
    </row>
    <row r="315" spans="1:11" x14ac:dyDescent="0.15">
      <c r="A315" s="28" t="s">
        <v>551</v>
      </c>
      <c r="B315" s="15" t="s">
        <v>4380</v>
      </c>
      <c r="D315" s="29" t="s">
        <v>1104</v>
      </c>
      <c r="E315" s="129" t="s">
        <v>5315</v>
      </c>
      <c r="F315" s="15" t="s">
        <v>4487</v>
      </c>
      <c r="I315" s="28"/>
      <c r="J315" s="30"/>
      <c r="K315" s="15">
        <f>COUNTIF(Contacts[姓名],Contacts[[#This Row],[姓名]])</f>
        <v>874</v>
      </c>
    </row>
    <row r="316" spans="1:11" x14ac:dyDescent="0.15">
      <c r="A316" s="28" t="s">
        <v>1275</v>
      </c>
      <c r="B316" s="15" t="s">
        <v>4380</v>
      </c>
      <c r="D316" s="29" t="s">
        <v>1520</v>
      </c>
      <c r="E316" s="129" t="s">
        <v>5315</v>
      </c>
      <c r="F316" s="15" t="s">
        <v>4487</v>
      </c>
      <c r="I316" s="28"/>
      <c r="J316" s="30"/>
      <c r="K316" s="15">
        <f>COUNTIF(Contacts[姓名],Contacts[[#This Row],[姓名]])</f>
        <v>874</v>
      </c>
    </row>
    <row r="317" spans="1:11" x14ac:dyDescent="0.15">
      <c r="A317" s="28" t="s">
        <v>1164</v>
      </c>
      <c r="B317" s="15" t="s">
        <v>4380</v>
      </c>
      <c r="D317" s="29" t="s">
        <v>2626</v>
      </c>
      <c r="E317" s="129" t="s">
        <v>5315</v>
      </c>
      <c r="F317" s="15" t="s">
        <v>4487</v>
      </c>
      <c r="I317" s="28"/>
      <c r="J317" s="30"/>
      <c r="K317" s="15">
        <f>COUNTIF(Contacts[姓名],Contacts[[#This Row],[姓名]])</f>
        <v>874</v>
      </c>
    </row>
    <row r="318" spans="1:11" x14ac:dyDescent="0.15">
      <c r="A318" s="28" t="s">
        <v>1546</v>
      </c>
      <c r="B318" s="15" t="s">
        <v>4380</v>
      </c>
      <c r="C318" s="15">
        <v>1305263530</v>
      </c>
      <c r="D318" s="29" t="s">
        <v>2573</v>
      </c>
      <c r="E318" s="129" t="s">
        <v>5315</v>
      </c>
      <c r="F318" s="15" t="s">
        <v>4487</v>
      </c>
      <c r="I318" s="28"/>
      <c r="J318" s="30"/>
      <c r="K318" s="15">
        <f>COUNTIF(Contacts[姓名],Contacts[[#This Row],[姓名]])</f>
        <v>874</v>
      </c>
    </row>
    <row r="319" spans="1:11" x14ac:dyDescent="0.15">
      <c r="A319" s="28" t="s">
        <v>4896</v>
      </c>
      <c r="C319" s="15">
        <v>281960311</v>
      </c>
      <c r="D319" s="29"/>
      <c r="E319" s="129" t="s">
        <v>5315</v>
      </c>
      <c r="F319" s="15" t="s">
        <v>6160</v>
      </c>
      <c r="I319" s="28" t="s">
        <v>4897</v>
      </c>
      <c r="J319" s="30" t="s">
        <v>4872</v>
      </c>
      <c r="K319" s="15">
        <f>COUNTIF(Contacts[姓名],Contacts[[#This Row],[姓名]])</f>
        <v>1</v>
      </c>
    </row>
    <row r="320" spans="1:11" x14ac:dyDescent="0.15">
      <c r="A320" s="28" t="s">
        <v>576</v>
      </c>
      <c r="B320" s="15" t="s">
        <v>4380</v>
      </c>
      <c r="D320" s="29" t="s">
        <v>1519</v>
      </c>
      <c r="E320" s="129" t="s">
        <v>5315</v>
      </c>
      <c r="F320" s="15" t="s">
        <v>4487</v>
      </c>
      <c r="I320" s="28"/>
      <c r="J320" s="30"/>
      <c r="K320" s="15">
        <f>COUNTIF(Contacts[姓名],Contacts[[#This Row],[姓名]])</f>
        <v>874</v>
      </c>
    </row>
    <row r="321" spans="1:11" x14ac:dyDescent="0.15">
      <c r="A321" s="28" t="s">
        <v>499</v>
      </c>
      <c r="B321" s="15" t="s">
        <v>4380</v>
      </c>
      <c r="C321" s="15">
        <v>2881601596</v>
      </c>
      <c r="D321" s="29" t="s">
        <v>1537</v>
      </c>
      <c r="E321" s="129" t="s">
        <v>5315</v>
      </c>
      <c r="F321" s="15" t="s">
        <v>4488</v>
      </c>
      <c r="H321" s="15" t="s">
        <v>3316</v>
      </c>
      <c r="I321" s="28" t="s">
        <v>3282</v>
      </c>
      <c r="J321" s="30"/>
      <c r="K321" s="15">
        <f>COUNTIF(Contacts[姓名],Contacts[[#This Row],[姓名]])</f>
        <v>1</v>
      </c>
    </row>
    <row r="322" spans="1:11" x14ac:dyDescent="0.15">
      <c r="A322" s="28" t="s">
        <v>4898</v>
      </c>
      <c r="C322" s="15">
        <v>994755854</v>
      </c>
      <c r="D322" s="29"/>
      <c r="E322" s="129" t="s">
        <v>5315</v>
      </c>
      <c r="F322" s="15" t="s">
        <v>6161</v>
      </c>
      <c r="I322" s="28" t="s">
        <v>4899</v>
      </c>
      <c r="J322" s="30" t="s">
        <v>4872</v>
      </c>
      <c r="K322" s="15">
        <f>COUNTIF(Contacts[姓名],Contacts[[#This Row],[姓名]])</f>
        <v>1</v>
      </c>
    </row>
    <row r="323" spans="1:11" x14ac:dyDescent="0.15">
      <c r="A323" s="28" t="s">
        <v>501</v>
      </c>
      <c r="B323" s="15" t="s">
        <v>2521</v>
      </c>
      <c r="C323" s="15">
        <v>3002297227</v>
      </c>
      <c r="D323" s="29" t="s">
        <v>1594</v>
      </c>
      <c r="E323" s="129">
        <v>43321</v>
      </c>
      <c r="F323" s="15" t="s">
        <v>6162</v>
      </c>
      <c r="G323" s="15" t="s">
        <v>2562</v>
      </c>
      <c r="H323" s="15" t="s">
        <v>2879</v>
      </c>
      <c r="I323" s="28" t="s">
        <v>2777</v>
      </c>
      <c r="J323" s="30"/>
      <c r="K323" s="15">
        <f>COUNTIF(Contacts[姓名],Contacts[[#This Row],[姓名]])</f>
        <v>1</v>
      </c>
    </row>
    <row r="324" spans="1:11" x14ac:dyDescent="0.15">
      <c r="A324" s="28" t="s">
        <v>548</v>
      </c>
      <c r="B324" s="15" t="s">
        <v>4380</v>
      </c>
      <c r="C324" s="15">
        <v>3121305938</v>
      </c>
      <c r="D324" s="29" t="s">
        <v>1565</v>
      </c>
      <c r="E324" s="129" t="s">
        <v>5315</v>
      </c>
      <c r="F324" s="15" t="s">
        <v>4491</v>
      </c>
      <c r="H324" s="15" t="s">
        <v>3310</v>
      </c>
      <c r="I324" s="28"/>
      <c r="J324" s="30"/>
      <c r="K324" s="15">
        <f>COUNTIF(Contacts[姓名],Contacts[[#This Row],[姓名]])</f>
        <v>1</v>
      </c>
    </row>
    <row r="325" spans="1:11" x14ac:dyDescent="0.15">
      <c r="A325" s="28" t="s">
        <v>493</v>
      </c>
      <c r="B325" s="15" t="s">
        <v>4380</v>
      </c>
      <c r="D325" s="29" t="s">
        <v>1517</v>
      </c>
      <c r="E325" s="129" t="s">
        <v>5315</v>
      </c>
      <c r="F325" s="15" t="s">
        <v>4487</v>
      </c>
      <c r="I325" s="28"/>
      <c r="J325" s="30"/>
      <c r="K325" s="15">
        <f>COUNTIF(Contacts[姓名],Contacts[[#This Row],[姓名]])</f>
        <v>874</v>
      </c>
    </row>
    <row r="326" spans="1:11" x14ac:dyDescent="0.15">
      <c r="A326" s="28" t="s">
        <v>583</v>
      </c>
      <c r="B326" s="15" t="s">
        <v>4380</v>
      </c>
      <c r="D326" s="29" t="s">
        <v>1207</v>
      </c>
      <c r="E326" s="129" t="s">
        <v>5315</v>
      </c>
      <c r="F326" s="15" t="s">
        <v>4487</v>
      </c>
      <c r="I326" s="28"/>
      <c r="J326" s="30"/>
      <c r="K326" s="15">
        <f>COUNTIF(Contacts[姓名],Contacts[[#This Row],[姓名]])</f>
        <v>874</v>
      </c>
    </row>
    <row r="327" spans="1:11" x14ac:dyDescent="0.15">
      <c r="A327" s="28" t="s">
        <v>700</v>
      </c>
      <c r="B327" s="15" t="s">
        <v>4380</v>
      </c>
      <c r="D327" s="29" t="s">
        <v>1535</v>
      </c>
      <c r="E327" s="129" t="s">
        <v>5315</v>
      </c>
      <c r="F327" s="15" t="s">
        <v>4487</v>
      </c>
      <c r="I327" s="28"/>
      <c r="J327" s="30"/>
      <c r="K327" s="15">
        <f>COUNTIF(Contacts[姓名],Contacts[[#This Row],[姓名]])</f>
        <v>874</v>
      </c>
    </row>
    <row r="328" spans="1:11" x14ac:dyDescent="0.15">
      <c r="A328" s="28" t="s">
        <v>700</v>
      </c>
      <c r="B328" s="15" t="s">
        <v>4380</v>
      </c>
      <c r="D328" s="29" t="s">
        <v>1122</v>
      </c>
      <c r="E328" s="129" t="s">
        <v>5315</v>
      </c>
      <c r="F328" s="15" t="s">
        <v>4487</v>
      </c>
      <c r="I328" s="28"/>
      <c r="J328" s="30"/>
      <c r="K328" s="15">
        <f>COUNTIF(Contacts[姓名],Contacts[[#This Row],[姓名]])</f>
        <v>874</v>
      </c>
    </row>
    <row r="329" spans="1:11" x14ac:dyDescent="0.15">
      <c r="A329" s="28" t="s">
        <v>700</v>
      </c>
      <c r="B329" s="15" t="s">
        <v>4380</v>
      </c>
      <c r="D329" s="29" t="s">
        <v>1534</v>
      </c>
      <c r="E329" s="129" t="s">
        <v>5315</v>
      </c>
      <c r="F329" s="15" t="s">
        <v>4487</v>
      </c>
      <c r="I329" s="28"/>
      <c r="J329" s="30"/>
      <c r="K329" s="15">
        <f>COUNTIF(Contacts[姓名],Contacts[[#This Row],[姓名]])</f>
        <v>874</v>
      </c>
    </row>
    <row r="330" spans="1:11" x14ac:dyDescent="0.15">
      <c r="A330" s="28" t="s">
        <v>1533</v>
      </c>
      <c r="B330" s="15" t="s">
        <v>4380</v>
      </c>
      <c r="D330" s="29" t="s">
        <v>2603</v>
      </c>
      <c r="E330" s="129" t="s">
        <v>5315</v>
      </c>
      <c r="F330" s="15" t="s">
        <v>4487</v>
      </c>
      <c r="I330" s="28"/>
      <c r="J330" s="30"/>
      <c r="K330" s="15">
        <f>COUNTIF(Contacts[姓名],Contacts[[#This Row],[姓名]])</f>
        <v>874</v>
      </c>
    </row>
    <row r="331" spans="1:11" x14ac:dyDescent="0.15">
      <c r="A331" s="28" t="s">
        <v>1532</v>
      </c>
      <c r="B331" s="15" t="s">
        <v>4380</v>
      </c>
      <c r="D331" s="29" t="s">
        <v>1531</v>
      </c>
      <c r="E331" s="129" t="s">
        <v>5315</v>
      </c>
      <c r="F331" s="15" t="s">
        <v>4487</v>
      </c>
      <c r="I331" s="28"/>
      <c r="J331" s="30"/>
      <c r="K331" s="15">
        <f>COUNTIF(Contacts[姓名],Contacts[[#This Row],[姓名]])</f>
        <v>874</v>
      </c>
    </row>
    <row r="332" spans="1:11" x14ac:dyDescent="0.15">
      <c r="A332" s="28" t="s">
        <v>1530</v>
      </c>
      <c r="B332" s="15" t="s">
        <v>4380</v>
      </c>
      <c r="D332" s="29" t="s">
        <v>2658</v>
      </c>
      <c r="E332" s="129" t="s">
        <v>5315</v>
      </c>
      <c r="F332" s="15" t="s">
        <v>4487</v>
      </c>
      <c r="I332" s="28"/>
      <c r="J332" s="30"/>
      <c r="K332" s="15">
        <f>COUNTIF(Contacts[姓名],Contacts[[#This Row],[姓名]])</f>
        <v>874</v>
      </c>
    </row>
    <row r="333" spans="1:11" x14ac:dyDescent="0.15">
      <c r="A333" s="28" t="s">
        <v>3653</v>
      </c>
      <c r="B333" s="15" t="s">
        <v>4380</v>
      </c>
      <c r="C333" s="15">
        <v>33953713</v>
      </c>
      <c r="D333" s="29" t="s">
        <v>2607</v>
      </c>
      <c r="E333" s="129" t="s">
        <v>5315</v>
      </c>
      <c r="F333" s="15" t="s">
        <v>4492</v>
      </c>
      <c r="H333" s="15" t="s">
        <v>3306</v>
      </c>
      <c r="I333" s="28"/>
      <c r="J333" s="30"/>
      <c r="K333" s="15">
        <f>COUNTIF(Contacts[姓名],Contacts[[#This Row],[姓名]])</f>
        <v>1</v>
      </c>
    </row>
    <row r="334" spans="1:11" x14ac:dyDescent="0.15">
      <c r="A334" s="28" t="s">
        <v>1529</v>
      </c>
      <c r="B334" s="15" t="s">
        <v>4380</v>
      </c>
      <c r="D334" s="29" t="s">
        <v>1528</v>
      </c>
      <c r="E334" s="129" t="s">
        <v>5315</v>
      </c>
      <c r="F334" s="15" t="s">
        <v>4487</v>
      </c>
      <c r="I334" s="28"/>
      <c r="J334" s="30"/>
      <c r="K334" s="15">
        <f>COUNTIF(Contacts[姓名],Contacts[[#This Row],[姓名]])</f>
        <v>874</v>
      </c>
    </row>
    <row r="335" spans="1:11" x14ac:dyDescent="0.15">
      <c r="A335" s="28" t="s">
        <v>1527</v>
      </c>
      <c r="B335" s="15" t="s">
        <v>4380</v>
      </c>
      <c r="C335" s="15">
        <v>1211461356</v>
      </c>
      <c r="D335" s="29" t="s">
        <v>2659</v>
      </c>
      <c r="E335" s="129" t="s">
        <v>5315</v>
      </c>
      <c r="F335" s="15" t="s">
        <v>4493</v>
      </c>
      <c r="H335" s="15" t="s">
        <v>3301</v>
      </c>
      <c r="I335" s="28" t="s">
        <v>3283</v>
      </c>
      <c r="J335" s="30"/>
      <c r="K335" s="15">
        <f>COUNTIF(Contacts[姓名],Contacts[[#This Row],[姓名]])</f>
        <v>1</v>
      </c>
    </row>
    <row r="336" spans="1:11" x14ac:dyDescent="0.15">
      <c r="A336" s="28" t="s">
        <v>707</v>
      </c>
      <c r="B336" s="15" t="s">
        <v>4380</v>
      </c>
      <c r="C336" s="15">
        <v>2488645769</v>
      </c>
      <c r="D336" s="29" t="s">
        <v>2605</v>
      </c>
      <c r="E336" s="129" t="s">
        <v>5315</v>
      </c>
      <c r="F336" s="15" t="s">
        <v>4487</v>
      </c>
      <c r="I336" s="28" t="s">
        <v>3286</v>
      </c>
      <c r="J336" s="30"/>
      <c r="K336" s="15">
        <f>COUNTIF(Contacts[姓名],Contacts[[#This Row],[姓名]])</f>
        <v>874</v>
      </c>
    </row>
    <row r="337" spans="1:11" x14ac:dyDescent="0.15">
      <c r="A337" s="28" t="s">
        <v>1523</v>
      </c>
      <c r="B337" s="15" t="s">
        <v>4380</v>
      </c>
      <c r="C337" s="15">
        <v>2581269115</v>
      </c>
      <c r="D337" s="29" t="s">
        <v>1522</v>
      </c>
      <c r="E337" s="129" t="s">
        <v>5315</v>
      </c>
      <c r="F337" s="15" t="s">
        <v>4487</v>
      </c>
      <c r="I337" s="28"/>
      <c r="J337" s="30"/>
      <c r="K337" s="15">
        <f>COUNTIF(Contacts[姓名],Contacts[[#This Row],[姓名]])</f>
        <v>874</v>
      </c>
    </row>
    <row r="338" spans="1:11" x14ac:dyDescent="0.15">
      <c r="A338" s="28" t="s">
        <v>1506</v>
      </c>
      <c r="B338" s="15" t="s">
        <v>4380</v>
      </c>
      <c r="D338" s="29" t="s">
        <v>2604</v>
      </c>
      <c r="E338" s="129" t="s">
        <v>5315</v>
      </c>
      <c r="F338" s="15" t="s">
        <v>4487</v>
      </c>
      <c r="I338" s="28"/>
      <c r="J338" s="30"/>
      <c r="K338" s="15">
        <f>COUNTIF(Contacts[姓名],Contacts[[#This Row],[姓名]])</f>
        <v>874</v>
      </c>
    </row>
    <row r="339" spans="1:11" x14ac:dyDescent="0.15">
      <c r="A339" s="28" t="s">
        <v>1505</v>
      </c>
      <c r="B339" s="15" t="s">
        <v>4380</v>
      </c>
      <c r="C339" s="15">
        <v>31408969</v>
      </c>
      <c r="D339" s="29" t="s">
        <v>1504</v>
      </c>
      <c r="E339" s="129" t="s">
        <v>5315</v>
      </c>
      <c r="F339" s="15" t="s">
        <v>4487</v>
      </c>
      <c r="I339" s="28"/>
      <c r="J339" s="30"/>
      <c r="K339" s="15">
        <f>COUNTIF(Contacts[姓名],Contacts[[#This Row],[姓名]])</f>
        <v>874</v>
      </c>
    </row>
    <row r="340" spans="1:11" x14ac:dyDescent="0.15">
      <c r="A340" s="28" t="s">
        <v>1503</v>
      </c>
      <c r="B340" s="15" t="s">
        <v>4380</v>
      </c>
      <c r="C340" s="15">
        <v>1012875591</v>
      </c>
      <c r="D340" s="29" t="s">
        <v>1502</v>
      </c>
      <c r="E340" s="129" t="s">
        <v>5315</v>
      </c>
      <c r="F340" s="15" t="s">
        <v>4487</v>
      </c>
      <c r="I340" s="28" t="s">
        <v>3287</v>
      </c>
      <c r="J340" s="30"/>
      <c r="K340" s="15">
        <f>COUNTIF(Contacts[姓名],Contacts[[#This Row],[姓名]])</f>
        <v>874</v>
      </c>
    </row>
    <row r="341" spans="1:11" x14ac:dyDescent="0.15">
      <c r="A341" s="28" t="s">
        <v>815</v>
      </c>
      <c r="B341" s="15" t="s">
        <v>4380</v>
      </c>
      <c r="C341" s="15">
        <v>3002106716</v>
      </c>
      <c r="D341" s="29" t="s">
        <v>1563</v>
      </c>
      <c r="E341" s="129" t="s">
        <v>5315</v>
      </c>
      <c r="F341" s="15" t="s">
        <v>4494</v>
      </c>
      <c r="H341" s="15" t="s">
        <v>3318</v>
      </c>
      <c r="I341" s="28"/>
      <c r="J341" s="30"/>
      <c r="K341" s="15">
        <f>COUNTIF(Contacts[姓名],Contacts[[#This Row],[姓名]])</f>
        <v>1</v>
      </c>
    </row>
    <row r="342" spans="1:11" x14ac:dyDescent="0.15">
      <c r="A342" s="28" t="s">
        <v>566</v>
      </c>
      <c r="B342" s="15" t="s">
        <v>4380</v>
      </c>
      <c r="C342" s="15">
        <v>2880098551</v>
      </c>
      <c r="D342" s="29" t="s">
        <v>1562</v>
      </c>
      <c r="E342" s="129" t="s">
        <v>5315</v>
      </c>
      <c r="F342" s="15" t="s">
        <v>4495</v>
      </c>
      <c r="H342" s="15" t="s">
        <v>3293</v>
      </c>
      <c r="I342" s="28" t="s">
        <v>3277</v>
      </c>
      <c r="J342" s="30"/>
      <c r="K342" s="15">
        <f>COUNTIF(Contacts[姓名],Contacts[[#This Row],[姓名]])</f>
        <v>1</v>
      </c>
    </row>
    <row r="343" spans="1:11" x14ac:dyDescent="0.15">
      <c r="A343" s="28" t="s">
        <v>566</v>
      </c>
      <c r="B343" s="15" t="s">
        <v>4380</v>
      </c>
      <c r="D343" s="29" t="s">
        <v>1542</v>
      </c>
      <c r="E343" s="129" t="s">
        <v>5315</v>
      </c>
      <c r="F343" s="15" t="s">
        <v>4487</v>
      </c>
      <c r="I343" s="28"/>
      <c r="J343" s="30"/>
      <c r="K343" s="15">
        <f>COUNTIF(Contacts[姓名],Contacts[[#This Row],[姓名]])</f>
        <v>874</v>
      </c>
    </row>
    <row r="344" spans="1:11" x14ac:dyDescent="0.15">
      <c r="A344" s="28" t="s">
        <v>1259</v>
      </c>
      <c r="B344" s="15" t="s">
        <v>4380</v>
      </c>
      <c r="C344" s="15">
        <v>2881925817</v>
      </c>
      <c r="D344" s="29" t="s">
        <v>2705</v>
      </c>
      <c r="E344" s="129" t="s">
        <v>5315</v>
      </c>
      <c r="F344" s="15" t="s">
        <v>4487</v>
      </c>
      <c r="I344" s="28"/>
      <c r="J344" s="30" t="s">
        <v>2557</v>
      </c>
      <c r="K344" s="15">
        <f>COUNTIF(Contacts[姓名],Contacts[[#This Row],[姓名]])</f>
        <v>874</v>
      </c>
    </row>
    <row r="345" spans="1:11" x14ac:dyDescent="0.15">
      <c r="A345" s="28" t="s">
        <v>1259</v>
      </c>
      <c r="B345" s="15" t="s">
        <v>4380</v>
      </c>
      <c r="C345" s="15">
        <v>2881925821</v>
      </c>
      <c r="D345" s="29" t="s">
        <v>2702</v>
      </c>
      <c r="E345" s="129" t="s">
        <v>5315</v>
      </c>
      <c r="F345" s="15" t="s">
        <v>4487</v>
      </c>
      <c r="I345" s="28"/>
      <c r="J345" s="30" t="s">
        <v>2557</v>
      </c>
      <c r="K345" s="15">
        <f>COUNTIF(Contacts[姓名],Contacts[[#This Row],[姓名]])</f>
        <v>874</v>
      </c>
    </row>
    <row r="346" spans="1:11" x14ac:dyDescent="0.15">
      <c r="A346" s="28" t="s">
        <v>1105</v>
      </c>
      <c r="B346" s="15" t="s">
        <v>4380</v>
      </c>
      <c r="D346" s="29" t="s">
        <v>2655</v>
      </c>
      <c r="E346" s="129" t="s">
        <v>5315</v>
      </c>
      <c r="F346" s="15" t="s">
        <v>4487</v>
      </c>
      <c r="I346" s="28"/>
      <c r="J346" s="30"/>
      <c r="K346" s="15">
        <f>COUNTIF(Contacts[姓名],Contacts[[#This Row],[姓名]])</f>
        <v>874</v>
      </c>
    </row>
    <row r="347" spans="1:11" x14ac:dyDescent="0.15">
      <c r="A347" s="28" t="s">
        <v>1557</v>
      </c>
      <c r="B347" s="15" t="s">
        <v>4380</v>
      </c>
      <c r="C347" s="15">
        <v>1205584708</v>
      </c>
      <c r="D347" s="29" t="s">
        <v>1556</v>
      </c>
      <c r="E347" s="129" t="s">
        <v>5315</v>
      </c>
      <c r="F347" s="15" t="s">
        <v>4487</v>
      </c>
      <c r="H347" s="15" t="s">
        <v>3307</v>
      </c>
      <c r="I347" s="28"/>
      <c r="J347" s="30"/>
      <c r="K347" s="15">
        <f>COUNTIF(Contacts[姓名],Contacts[[#This Row],[姓名]])</f>
        <v>874</v>
      </c>
    </row>
    <row r="348" spans="1:11" x14ac:dyDescent="0.15">
      <c r="A348" s="28" t="s">
        <v>587</v>
      </c>
      <c r="B348" s="15" t="s">
        <v>4380</v>
      </c>
      <c r="C348" s="15">
        <v>2850688053</v>
      </c>
      <c r="D348" s="29" t="s">
        <v>1515</v>
      </c>
      <c r="E348" s="129" t="s">
        <v>5315</v>
      </c>
      <c r="F348" s="15" t="s">
        <v>4496</v>
      </c>
      <c r="H348" s="15" t="s">
        <v>3296</v>
      </c>
      <c r="I348" s="28"/>
      <c r="J348" s="30"/>
      <c r="K348" s="15">
        <f>COUNTIF(Contacts[姓名],Contacts[[#This Row],[姓名]])</f>
        <v>1</v>
      </c>
    </row>
    <row r="349" spans="1:11" x14ac:dyDescent="0.15">
      <c r="A349" s="28" t="s">
        <v>1497</v>
      </c>
      <c r="B349" s="15" t="s">
        <v>4380</v>
      </c>
      <c r="D349" s="29" t="s">
        <v>1496</v>
      </c>
      <c r="E349" s="129" t="s">
        <v>5315</v>
      </c>
      <c r="F349" s="15" t="s">
        <v>4487</v>
      </c>
      <c r="I349" s="28"/>
      <c r="J349" s="30"/>
      <c r="K349" s="15">
        <f>COUNTIF(Contacts[姓名],Contacts[[#This Row],[姓名]])</f>
        <v>874</v>
      </c>
    </row>
    <row r="350" spans="1:11" x14ac:dyDescent="0.15">
      <c r="A350" s="28" t="s">
        <v>1513</v>
      </c>
      <c r="B350" s="15" t="s">
        <v>4380</v>
      </c>
      <c r="C350" s="15">
        <v>1013621466</v>
      </c>
      <c r="D350" s="29" t="s">
        <v>1512</v>
      </c>
      <c r="E350" s="129" t="s">
        <v>5315</v>
      </c>
      <c r="F350" s="15" t="s">
        <v>4487</v>
      </c>
      <c r="I350" s="28"/>
      <c r="J350" s="30"/>
      <c r="K350" s="15">
        <f>COUNTIF(Contacts[姓名],Contacts[[#This Row],[姓名]])</f>
        <v>874</v>
      </c>
    </row>
    <row r="351" spans="1:11" x14ac:dyDescent="0.15">
      <c r="A351" s="28" t="s">
        <v>1495</v>
      </c>
      <c r="B351" s="15" t="s">
        <v>4380</v>
      </c>
      <c r="C351" s="15">
        <v>2476780763</v>
      </c>
      <c r="D351" s="29" t="s">
        <v>1494</v>
      </c>
      <c r="E351" s="129" t="s">
        <v>5315</v>
      </c>
      <c r="F351" s="15" t="s">
        <v>4487</v>
      </c>
      <c r="I351" s="28"/>
      <c r="J351" s="30"/>
      <c r="K351" s="15">
        <f>COUNTIF(Contacts[姓名],Contacts[[#This Row],[姓名]])</f>
        <v>874</v>
      </c>
    </row>
    <row r="352" spans="1:11" x14ac:dyDescent="0.15">
      <c r="A352" s="28" t="s">
        <v>559</v>
      </c>
      <c r="B352" s="15" t="s">
        <v>4380</v>
      </c>
      <c r="C352" s="15">
        <v>3002782916</v>
      </c>
      <c r="D352" s="29" t="s">
        <v>1511</v>
      </c>
      <c r="E352" s="129" t="s">
        <v>5315</v>
      </c>
      <c r="F352" s="15" t="s">
        <v>4497</v>
      </c>
      <c r="H352" s="15" t="s">
        <v>2869</v>
      </c>
      <c r="I352" s="28"/>
      <c r="J352" s="30"/>
      <c r="K352" s="15">
        <f>COUNTIF(Contacts[姓名],Contacts[[#This Row],[姓名]])</f>
        <v>1</v>
      </c>
    </row>
    <row r="353" spans="1:11" x14ac:dyDescent="0.15">
      <c r="A353" s="28" t="s">
        <v>1551</v>
      </c>
      <c r="B353" s="15" t="s">
        <v>4380</v>
      </c>
      <c r="C353" s="15">
        <v>1822097473</v>
      </c>
      <c r="D353" s="29" t="s">
        <v>2708</v>
      </c>
      <c r="E353" s="129" t="s">
        <v>5315</v>
      </c>
      <c r="F353" s="15" t="s">
        <v>4487</v>
      </c>
      <c r="I353" s="28" t="s">
        <v>3280</v>
      </c>
      <c r="J353" s="30"/>
      <c r="K353" s="15">
        <f>COUNTIF(Contacts[姓名],Contacts[[#This Row],[姓名]])</f>
        <v>874</v>
      </c>
    </row>
    <row r="354" spans="1:11" x14ac:dyDescent="0.15">
      <c r="A354" s="28" t="s">
        <v>1493</v>
      </c>
      <c r="B354" s="15" t="s">
        <v>4380</v>
      </c>
      <c r="D354" s="29" t="s">
        <v>2579</v>
      </c>
      <c r="E354" s="129" t="s">
        <v>5315</v>
      </c>
      <c r="F354" s="15" t="s">
        <v>4487</v>
      </c>
      <c r="I354" s="28"/>
      <c r="J354" s="30"/>
      <c r="K354" s="15">
        <f>COUNTIF(Contacts[姓名],Contacts[[#This Row],[姓名]])</f>
        <v>874</v>
      </c>
    </row>
    <row r="355" spans="1:11" x14ac:dyDescent="0.15">
      <c r="A355" s="28" t="s">
        <v>1253</v>
      </c>
      <c r="B355" s="15" t="s">
        <v>4380</v>
      </c>
      <c r="D355" s="29" t="s">
        <v>1492</v>
      </c>
      <c r="E355" s="129" t="s">
        <v>5315</v>
      </c>
      <c r="F355" s="15" t="s">
        <v>4487</v>
      </c>
      <c r="I355" s="28"/>
      <c r="J355" s="30"/>
      <c r="K355" s="15">
        <f>COUNTIF(Contacts[姓名],Contacts[[#This Row],[姓名]])</f>
        <v>874</v>
      </c>
    </row>
    <row r="356" spans="1:11" x14ac:dyDescent="0.15">
      <c r="A356" s="28" t="s">
        <v>543</v>
      </c>
      <c r="B356" s="15" t="s">
        <v>4380</v>
      </c>
      <c r="D356" s="29" t="s">
        <v>1491</v>
      </c>
      <c r="E356" s="129" t="s">
        <v>5315</v>
      </c>
      <c r="F356" s="15" t="s">
        <v>4487</v>
      </c>
      <c r="I356" s="28"/>
      <c r="J356" s="30"/>
      <c r="K356" s="15">
        <f>COUNTIF(Contacts[姓名],Contacts[[#This Row],[姓名]])</f>
        <v>874</v>
      </c>
    </row>
    <row r="357" spans="1:11" x14ac:dyDescent="0.15">
      <c r="A357" s="28" t="s">
        <v>1510</v>
      </c>
      <c r="B357" s="15" t="s">
        <v>4380</v>
      </c>
      <c r="D357" s="29" t="s">
        <v>1509</v>
      </c>
      <c r="E357" s="129" t="s">
        <v>5315</v>
      </c>
      <c r="F357" s="15" t="s">
        <v>4487</v>
      </c>
      <c r="I357" s="28"/>
      <c r="J357" s="30"/>
      <c r="K357" s="15">
        <f>COUNTIF(Contacts[姓名],Contacts[[#This Row],[姓名]])</f>
        <v>874</v>
      </c>
    </row>
    <row r="358" spans="1:11" x14ac:dyDescent="0.15">
      <c r="A358" s="28"/>
      <c r="B358" s="15" t="s">
        <v>4380</v>
      </c>
      <c r="C358" s="15">
        <v>46634690</v>
      </c>
      <c r="D358" s="29" t="s">
        <v>1521</v>
      </c>
      <c r="E358" s="129" t="s">
        <v>5315</v>
      </c>
      <c r="F358" s="15" t="s">
        <v>4487</v>
      </c>
      <c r="I358" s="28"/>
      <c r="J358" s="30"/>
      <c r="K358" s="15">
        <f>COUNTIF(Contacts[姓名],Contacts[[#This Row],[姓名]])</f>
        <v>874</v>
      </c>
    </row>
    <row r="359" spans="1:11" x14ac:dyDescent="0.15">
      <c r="A359" s="28"/>
      <c r="B359" s="15" t="s">
        <v>4380</v>
      </c>
      <c r="C359" s="15">
        <v>61358347</v>
      </c>
      <c r="D359" s="29" t="s">
        <v>2570</v>
      </c>
      <c r="E359" s="129" t="s">
        <v>5315</v>
      </c>
      <c r="F359" s="15" t="s">
        <v>4487</v>
      </c>
      <c r="I359" s="28"/>
      <c r="J359" s="30"/>
      <c r="K359" s="15">
        <f>COUNTIF(Contacts[姓名],Contacts[[#This Row],[姓名]])</f>
        <v>874</v>
      </c>
    </row>
    <row r="360" spans="1:11" x14ac:dyDescent="0.15">
      <c r="A360" s="28"/>
      <c r="B360" s="15" t="s">
        <v>4380</v>
      </c>
      <c r="C360" s="15">
        <v>176548410</v>
      </c>
      <c r="D360" s="29" t="s">
        <v>1560</v>
      </c>
      <c r="E360" s="129" t="s">
        <v>5315</v>
      </c>
      <c r="F360" s="15" t="s">
        <v>4487</v>
      </c>
      <c r="I360" s="28"/>
      <c r="J360" s="30"/>
      <c r="K360" s="15">
        <f>COUNTIF(Contacts[姓名],Contacts[[#This Row],[姓名]])</f>
        <v>874</v>
      </c>
    </row>
    <row r="361" spans="1:11" x14ac:dyDescent="0.15">
      <c r="A361" s="28"/>
      <c r="B361" s="15" t="s">
        <v>4380</v>
      </c>
      <c r="C361" s="15">
        <v>410365657</v>
      </c>
      <c r="D361" s="29" t="s">
        <v>1540</v>
      </c>
      <c r="E361" s="129" t="s">
        <v>5315</v>
      </c>
      <c r="F361" s="15" t="s">
        <v>4487</v>
      </c>
      <c r="I361" s="28"/>
      <c r="J361" s="30"/>
      <c r="K361" s="15">
        <f>COUNTIF(Contacts[姓名],Contacts[[#This Row],[姓名]])</f>
        <v>874</v>
      </c>
    </row>
    <row r="362" spans="1:11" x14ac:dyDescent="0.15">
      <c r="A362" s="28"/>
      <c r="B362" s="15" t="s">
        <v>4380</v>
      </c>
      <c r="C362" s="15">
        <v>532154223</v>
      </c>
      <c r="D362" s="29" t="s">
        <v>1553</v>
      </c>
      <c r="E362" s="129" t="s">
        <v>5315</v>
      </c>
      <c r="F362" s="15" t="s">
        <v>4487</v>
      </c>
      <c r="I362" s="28"/>
      <c r="J362" s="30"/>
      <c r="K362" s="15">
        <f>COUNTIF(Contacts[姓名],Contacts[[#This Row],[姓名]])</f>
        <v>874</v>
      </c>
    </row>
    <row r="363" spans="1:11" x14ac:dyDescent="0.15">
      <c r="A363" s="28"/>
      <c r="B363" s="15" t="s">
        <v>4380</v>
      </c>
      <c r="C363" s="15">
        <v>646351459</v>
      </c>
      <c r="D363" s="29" t="s">
        <v>1524</v>
      </c>
      <c r="E363" s="129" t="s">
        <v>5315</v>
      </c>
      <c r="F363" s="15" t="s">
        <v>4487</v>
      </c>
      <c r="I363" s="28"/>
      <c r="J363" s="30"/>
      <c r="K363" s="15">
        <f>COUNTIF(Contacts[姓名],Contacts[[#This Row],[姓名]])</f>
        <v>874</v>
      </c>
    </row>
    <row r="364" spans="1:11" x14ac:dyDescent="0.15">
      <c r="A364" s="28"/>
      <c r="B364" s="15" t="s">
        <v>4380</v>
      </c>
      <c r="C364" s="15">
        <v>707488583</v>
      </c>
      <c r="D364" s="29" t="s">
        <v>2628</v>
      </c>
      <c r="E364" s="129" t="s">
        <v>5315</v>
      </c>
      <c r="F364" s="15" t="s">
        <v>4487</v>
      </c>
      <c r="I364" s="28"/>
      <c r="J364" s="30"/>
      <c r="K364" s="15">
        <f>COUNTIF(Contacts[姓名],Contacts[[#This Row],[姓名]])</f>
        <v>874</v>
      </c>
    </row>
    <row r="365" spans="1:11" x14ac:dyDescent="0.15">
      <c r="A365" s="28"/>
      <c r="B365" s="15" t="s">
        <v>4380</v>
      </c>
      <c r="C365" s="15">
        <v>782684396</v>
      </c>
      <c r="D365" s="29" t="s">
        <v>1541</v>
      </c>
      <c r="E365" s="129" t="s">
        <v>5315</v>
      </c>
      <c r="F365" s="15" t="s">
        <v>4498</v>
      </c>
      <c r="H365" s="15" t="s">
        <v>3294</v>
      </c>
      <c r="I365" s="28" t="s">
        <v>3281</v>
      </c>
      <c r="J365" s="30"/>
      <c r="K365" s="15">
        <f>COUNTIF(Contacts[姓名],Contacts[[#This Row],[姓名]])</f>
        <v>1</v>
      </c>
    </row>
    <row r="366" spans="1:11" x14ac:dyDescent="0.15">
      <c r="A366" s="28"/>
      <c r="B366" s="15" t="s">
        <v>4380</v>
      </c>
      <c r="C366" s="15">
        <v>791193220</v>
      </c>
      <c r="D366" s="29" t="s">
        <v>2660</v>
      </c>
      <c r="E366" s="129" t="s">
        <v>5315</v>
      </c>
      <c r="F366" s="15" t="s">
        <v>4487</v>
      </c>
      <c r="I366" s="28" t="s">
        <v>3284</v>
      </c>
      <c r="J366" s="30"/>
      <c r="K366" s="15">
        <f>COUNTIF(Contacts[姓名],Contacts[[#This Row],[姓名]])</f>
        <v>874</v>
      </c>
    </row>
    <row r="367" spans="1:11" x14ac:dyDescent="0.15">
      <c r="A367" s="28"/>
      <c r="B367" s="15" t="s">
        <v>4380</v>
      </c>
      <c r="C367" s="15">
        <v>859560907</v>
      </c>
      <c r="D367" s="29" t="s">
        <v>1525</v>
      </c>
      <c r="E367" s="129" t="s">
        <v>5315</v>
      </c>
      <c r="F367" s="15" t="s">
        <v>4487</v>
      </c>
      <c r="I367" s="28"/>
      <c r="J367" s="30"/>
      <c r="K367" s="15">
        <f>COUNTIF(Contacts[姓名],Contacts[[#This Row],[姓名]])</f>
        <v>874</v>
      </c>
    </row>
    <row r="368" spans="1:11" x14ac:dyDescent="0.15">
      <c r="A368" s="28"/>
      <c r="B368" s="15" t="s">
        <v>4380</v>
      </c>
      <c r="C368" s="15">
        <v>948902976</v>
      </c>
      <c r="D368" s="29" t="s">
        <v>1507</v>
      </c>
      <c r="E368" s="129" t="s">
        <v>5315</v>
      </c>
      <c r="F368" s="15" t="s">
        <v>4487</v>
      </c>
      <c r="I368" s="28"/>
      <c r="J368" s="30"/>
      <c r="K368" s="15">
        <f>COUNTIF(Contacts[姓名],Contacts[[#This Row],[姓名]])</f>
        <v>874</v>
      </c>
    </row>
    <row r="369" spans="1:11" x14ac:dyDescent="0.15">
      <c r="A369" s="28"/>
      <c r="B369" s="15" t="s">
        <v>4380</v>
      </c>
      <c r="C369" s="15">
        <v>970248336</v>
      </c>
      <c r="D369" s="29" t="s">
        <v>1489</v>
      </c>
      <c r="E369" s="129" t="s">
        <v>5315</v>
      </c>
      <c r="F369" s="15" t="s">
        <v>4487</v>
      </c>
      <c r="I369" s="28"/>
      <c r="J369" s="30"/>
      <c r="K369" s="15">
        <f>COUNTIF(Contacts[姓名],Contacts[[#This Row],[姓名]])</f>
        <v>874</v>
      </c>
    </row>
    <row r="370" spans="1:11" x14ac:dyDescent="0.15">
      <c r="A370" s="28"/>
      <c r="B370" s="15" t="s">
        <v>4380</v>
      </c>
      <c r="C370" s="15">
        <v>1176491804</v>
      </c>
      <c r="D370" s="29" t="s">
        <v>1564</v>
      </c>
      <c r="E370" s="129" t="s">
        <v>5315</v>
      </c>
      <c r="F370" s="15" t="s">
        <v>4499</v>
      </c>
      <c r="H370" s="15" t="s">
        <v>3308</v>
      </c>
      <c r="I370" s="28"/>
      <c r="J370" s="30"/>
      <c r="K370" s="15">
        <f>COUNTIF(Contacts[姓名],Contacts[[#This Row],[姓名]])</f>
        <v>1</v>
      </c>
    </row>
    <row r="371" spans="1:11" x14ac:dyDescent="0.15">
      <c r="A371" s="28"/>
      <c r="B371" s="15" t="s">
        <v>4380</v>
      </c>
      <c r="C371" s="15">
        <v>1425240884</v>
      </c>
      <c r="D371" s="29" t="s">
        <v>1547</v>
      </c>
      <c r="E371" s="129" t="s">
        <v>5315</v>
      </c>
      <c r="F371" s="15" t="s">
        <v>4487</v>
      </c>
      <c r="I371" s="28"/>
      <c r="J371" s="30"/>
      <c r="K371" s="15">
        <f>COUNTIF(Contacts[姓名],Contacts[[#This Row],[姓名]])</f>
        <v>874</v>
      </c>
    </row>
    <row r="372" spans="1:11" x14ac:dyDescent="0.15">
      <c r="A372" s="28"/>
      <c r="B372" s="15" t="s">
        <v>4380</v>
      </c>
      <c r="C372" s="15">
        <v>2524292555</v>
      </c>
      <c r="D372" s="29" t="s">
        <v>1555</v>
      </c>
      <c r="E372" s="129" t="s">
        <v>5315</v>
      </c>
      <c r="F372" s="15" t="s">
        <v>1555</v>
      </c>
      <c r="H372" s="15" t="s">
        <v>3297</v>
      </c>
      <c r="I372" s="28"/>
      <c r="J372" s="30"/>
      <c r="K372" s="15">
        <f>COUNTIF(Contacts[姓名],Contacts[[#This Row],[姓名]])</f>
        <v>1</v>
      </c>
    </row>
    <row r="373" spans="1:11" x14ac:dyDescent="0.15">
      <c r="A373" s="28"/>
      <c r="B373" s="15" t="s">
        <v>4380</v>
      </c>
      <c r="C373" s="15">
        <v>2727505655</v>
      </c>
      <c r="D373" s="29" t="s">
        <v>2571</v>
      </c>
      <c r="E373" s="129" t="s">
        <v>5315</v>
      </c>
      <c r="F373" s="15" t="s">
        <v>4487</v>
      </c>
      <c r="I373" s="28" t="s">
        <v>3285</v>
      </c>
      <c r="J373" s="30"/>
      <c r="K373" s="15">
        <f>COUNTIF(Contacts[姓名],Contacts[[#This Row],[姓名]])</f>
        <v>874</v>
      </c>
    </row>
    <row r="374" spans="1:11" x14ac:dyDescent="0.15">
      <c r="A374" s="28"/>
      <c r="B374" s="15" t="s">
        <v>4380</v>
      </c>
      <c r="C374" s="15">
        <v>2850167561</v>
      </c>
      <c r="D374" s="29" t="s">
        <v>1561</v>
      </c>
      <c r="E374" s="129" t="s">
        <v>5315</v>
      </c>
      <c r="F374" s="15" t="s">
        <v>4500</v>
      </c>
      <c r="H374" s="15" t="s">
        <v>3317</v>
      </c>
      <c r="I374" s="28"/>
      <c r="J374" s="30"/>
      <c r="K374" s="15">
        <f>COUNTIF(Contacts[姓名],Contacts[[#This Row],[姓名]])</f>
        <v>1</v>
      </c>
    </row>
    <row r="375" spans="1:11" x14ac:dyDescent="0.15">
      <c r="A375" s="28"/>
      <c r="B375" s="15" t="s">
        <v>4380</v>
      </c>
      <c r="C375" s="15">
        <v>2850254661</v>
      </c>
      <c r="D375" s="29" t="s">
        <v>2606</v>
      </c>
      <c r="E375" s="129" t="s">
        <v>5315</v>
      </c>
      <c r="F375" s="15" t="s">
        <v>4487</v>
      </c>
      <c r="I375" s="28"/>
      <c r="J375" s="30"/>
      <c r="K375" s="15">
        <f>COUNTIF(Contacts[姓名],Contacts[[#This Row],[姓名]])</f>
        <v>874</v>
      </c>
    </row>
    <row r="376" spans="1:11" x14ac:dyDescent="0.15">
      <c r="A376" s="28"/>
      <c r="B376" s="15" t="s">
        <v>4380</v>
      </c>
      <c r="C376" s="15">
        <v>2850683174</v>
      </c>
      <c r="D376" s="29" t="s">
        <v>1559</v>
      </c>
      <c r="E376" s="129" t="s">
        <v>5315</v>
      </c>
      <c r="F376" s="15" t="s">
        <v>4501</v>
      </c>
      <c r="H376" s="15" t="s">
        <v>3305</v>
      </c>
      <c r="I376" s="28"/>
      <c r="J376" s="30"/>
      <c r="K376" s="15">
        <f>COUNTIF(Contacts[姓名],Contacts[[#This Row],[姓名]])</f>
        <v>1</v>
      </c>
    </row>
    <row r="377" spans="1:11" x14ac:dyDescent="0.15">
      <c r="A377" s="28"/>
      <c r="B377" s="15" t="s">
        <v>4380</v>
      </c>
      <c r="C377" s="15">
        <v>2865731047</v>
      </c>
      <c r="D377" s="29" t="s">
        <v>1508</v>
      </c>
      <c r="E377" s="129" t="s">
        <v>5315</v>
      </c>
      <c r="F377" s="15" t="s">
        <v>4487</v>
      </c>
      <c r="H377" s="15" t="s">
        <v>3309</v>
      </c>
      <c r="I377" s="28"/>
      <c r="J377" s="30"/>
      <c r="K377" s="15">
        <f>COUNTIF(Contacts[姓名],Contacts[[#This Row],[姓名]])</f>
        <v>874</v>
      </c>
    </row>
    <row r="378" spans="1:11" x14ac:dyDescent="0.15">
      <c r="A378" s="28"/>
      <c r="B378" s="15" t="s">
        <v>4380</v>
      </c>
      <c r="C378" s="15">
        <v>2880608131</v>
      </c>
      <c r="D378" s="29" t="s">
        <v>1500</v>
      </c>
      <c r="E378" s="129" t="s">
        <v>5315</v>
      </c>
      <c r="F378" s="15" t="s">
        <v>4502</v>
      </c>
      <c r="H378" s="15" t="s">
        <v>3299</v>
      </c>
      <c r="I378" s="28" t="s">
        <v>3288</v>
      </c>
      <c r="J378" s="30"/>
      <c r="K378" s="15">
        <f>COUNTIF(Contacts[姓名],Contacts[[#This Row],[姓名]])</f>
        <v>1</v>
      </c>
    </row>
    <row r="379" spans="1:11" x14ac:dyDescent="0.15">
      <c r="A379" s="28"/>
      <c r="B379" s="15" t="s">
        <v>4380</v>
      </c>
      <c r="C379" s="15">
        <v>2881952325</v>
      </c>
      <c r="D379" s="29" t="s">
        <v>1550</v>
      </c>
      <c r="E379" s="129" t="s">
        <v>5315</v>
      </c>
      <c r="F379" s="15" t="s">
        <v>4487</v>
      </c>
      <c r="I379" s="28"/>
      <c r="J379" s="30"/>
      <c r="K379" s="15">
        <f>COUNTIF(Contacts[姓名],Contacts[[#This Row],[姓名]])</f>
        <v>874</v>
      </c>
    </row>
    <row r="380" spans="1:11" x14ac:dyDescent="0.15">
      <c r="A380" s="28"/>
      <c r="B380" s="15" t="s">
        <v>4380</v>
      </c>
      <c r="D380" s="29" t="s">
        <v>1243</v>
      </c>
      <c r="E380" s="129" t="s">
        <v>5315</v>
      </c>
      <c r="F380" s="15" t="s">
        <v>4503</v>
      </c>
      <c r="I380" s="28"/>
      <c r="J380" s="30"/>
      <c r="K380" s="15">
        <f>COUNTIF(Contacts[姓名],Contacts[[#This Row],[姓名]])</f>
        <v>1</v>
      </c>
    </row>
    <row r="381" spans="1:11" x14ac:dyDescent="0.15">
      <c r="A381" s="28"/>
      <c r="B381" s="15" t="s">
        <v>4380</v>
      </c>
      <c r="D381" s="29" t="s">
        <v>1568</v>
      </c>
      <c r="E381" s="129" t="s">
        <v>5315</v>
      </c>
      <c r="F381" s="15" t="s">
        <v>4487</v>
      </c>
      <c r="I381" s="28"/>
      <c r="J381" s="30"/>
      <c r="K381" s="15">
        <f>COUNTIF(Contacts[姓名],Contacts[[#This Row],[姓名]])</f>
        <v>874</v>
      </c>
    </row>
    <row r="382" spans="1:11" x14ac:dyDescent="0.15">
      <c r="A382" s="28" t="s">
        <v>2401</v>
      </c>
      <c r="B382" s="15" t="s">
        <v>1715</v>
      </c>
      <c r="C382" s="15">
        <v>2623196576</v>
      </c>
      <c r="D382" s="29" t="s">
        <v>1743</v>
      </c>
      <c r="E382" s="129" t="s">
        <v>5315</v>
      </c>
      <c r="F382" s="15" t="s">
        <v>6163</v>
      </c>
      <c r="I382" s="28"/>
      <c r="J382" s="30"/>
      <c r="K382" s="15">
        <f>COUNTIF(Contacts[姓名],Contacts[[#This Row],[姓名]])</f>
        <v>1</v>
      </c>
    </row>
    <row r="383" spans="1:11" x14ac:dyDescent="0.15">
      <c r="A383" s="28"/>
      <c r="B383" s="15" t="s">
        <v>4380</v>
      </c>
      <c r="D383" s="29" t="s">
        <v>1566</v>
      </c>
      <c r="E383" s="129" t="s">
        <v>5315</v>
      </c>
      <c r="F383" s="15" t="s">
        <v>4487</v>
      </c>
      <c r="I383" s="28"/>
      <c r="J383" s="30"/>
      <c r="K383" s="15">
        <f>COUNTIF(Contacts[姓名],Contacts[[#This Row],[姓名]])</f>
        <v>874</v>
      </c>
    </row>
    <row r="384" spans="1:11" x14ac:dyDescent="0.15">
      <c r="A384" s="28"/>
      <c r="B384" s="15" t="s">
        <v>4380</v>
      </c>
      <c r="D384" s="29" t="s">
        <v>1482</v>
      </c>
      <c r="E384" s="129" t="s">
        <v>5315</v>
      </c>
      <c r="F384" s="15" t="s">
        <v>4487</v>
      </c>
      <c r="I384" s="28"/>
      <c r="J384" s="30"/>
      <c r="K384" s="15">
        <f>COUNTIF(Contacts[姓名],Contacts[[#This Row],[姓名]])</f>
        <v>874</v>
      </c>
    </row>
    <row r="385" spans="1:11" x14ac:dyDescent="0.15">
      <c r="A385" s="28"/>
      <c r="B385" s="15" t="s">
        <v>4380</v>
      </c>
      <c r="D385" s="29" t="s">
        <v>1558</v>
      </c>
      <c r="E385" s="129" t="s">
        <v>5315</v>
      </c>
      <c r="F385" s="15" t="s">
        <v>4487</v>
      </c>
      <c r="I385" s="28"/>
      <c r="J385" s="30"/>
      <c r="K385" s="15">
        <f>COUNTIF(Contacts[姓名],Contacts[[#This Row],[姓名]])</f>
        <v>874</v>
      </c>
    </row>
    <row r="386" spans="1:11" x14ac:dyDescent="0.15">
      <c r="A386" s="28"/>
      <c r="B386" s="15" t="s">
        <v>4380</v>
      </c>
      <c r="D386" s="29" t="s">
        <v>2461</v>
      </c>
      <c r="E386" s="129" t="s">
        <v>5315</v>
      </c>
      <c r="F386" s="15" t="s">
        <v>4487</v>
      </c>
      <c r="I386" s="28"/>
      <c r="J386" s="30"/>
      <c r="K386" s="15">
        <f>COUNTIF(Contacts[姓名],Contacts[[#This Row],[姓名]])</f>
        <v>874</v>
      </c>
    </row>
    <row r="387" spans="1:11" x14ac:dyDescent="0.15">
      <c r="A387" s="28"/>
      <c r="B387" s="15" t="s">
        <v>4380</v>
      </c>
      <c r="D387" s="29" t="s">
        <v>2462</v>
      </c>
      <c r="E387" s="129" t="s">
        <v>5315</v>
      </c>
      <c r="F387" s="15" t="s">
        <v>4487</v>
      </c>
      <c r="I387" s="28"/>
      <c r="J387" s="30"/>
      <c r="K387" s="15">
        <f>COUNTIF(Contacts[姓名],Contacts[[#This Row],[姓名]])</f>
        <v>874</v>
      </c>
    </row>
    <row r="388" spans="1:11" x14ac:dyDescent="0.15">
      <c r="A388" s="28"/>
      <c r="B388" s="15" t="s">
        <v>4380</v>
      </c>
      <c r="D388" s="29" t="s">
        <v>1228</v>
      </c>
      <c r="E388" s="129" t="s">
        <v>5315</v>
      </c>
      <c r="F388" s="15" t="s">
        <v>4487</v>
      </c>
      <c r="I388" s="28"/>
      <c r="J388" s="30"/>
      <c r="K388" s="15">
        <f>COUNTIF(Contacts[姓名],Contacts[[#This Row],[姓名]])</f>
        <v>874</v>
      </c>
    </row>
    <row r="389" spans="1:11" x14ac:dyDescent="0.15">
      <c r="A389" s="28"/>
      <c r="B389" s="15" t="s">
        <v>4380</v>
      </c>
      <c r="D389" s="29" t="s">
        <v>1544</v>
      </c>
      <c r="E389" s="129" t="s">
        <v>5315</v>
      </c>
      <c r="F389" s="15" t="s">
        <v>4487</v>
      </c>
      <c r="I389" s="28"/>
      <c r="J389" s="30"/>
      <c r="K389" s="15">
        <f>COUNTIF(Contacts[姓名],Contacts[[#This Row],[姓名]])</f>
        <v>874</v>
      </c>
    </row>
    <row r="390" spans="1:11" x14ac:dyDescent="0.15">
      <c r="A390" s="28"/>
      <c r="B390" s="15" t="s">
        <v>4380</v>
      </c>
      <c r="D390" s="29" t="s">
        <v>1539</v>
      </c>
      <c r="E390" s="129" t="s">
        <v>5315</v>
      </c>
      <c r="F390" s="15" t="s">
        <v>4487</v>
      </c>
      <c r="I390" s="28"/>
      <c r="J390" s="30"/>
      <c r="K390" s="15">
        <f>COUNTIF(Contacts[姓名],Contacts[[#This Row],[姓名]])</f>
        <v>874</v>
      </c>
    </row>
    <row r="391" spans="1:11" x14ac:dyDescent="0.15">
      <c r="A391" s="28"/>
      <c r="B391" s="15" t="s">
        <v>4380</v>
      </c>
      <c r="D391" s="29" t="s">
        <v>1538</v>
      </c>
      <c r="E391" s="129" t="s">
        <v>5315</v>
      </c>
      <c r="F391" s="15" t="s">
        <v>4487</v>
      </c>
      <c r="I391" s="28"/>
      <c r="J391" s="30"/>
      <c r="K391" s="15">
        <f>COUNTIF(Contacts[姓名],Contacts[[#This Row],[姓名]])</f>
        <v>874</v>
      </c>
    </row>
    <row r="392" spans="1:11" x14ac:dyDescent="0.15">
      <c r="A392" s="28"/>
      <c r="B392" s="15" t="s">
        <v>4380</v>
      </c>
      <c r="D392" s="29" t="s">
        <v>2657</v>
      </c>
      <c r="E392" s="129" t="s">
        <v>5315</v>
      </c>
      <c r="F392" s="15" t="s">
        <v>4487</v>
      </c>
      <c r="I392" s="28"/>
      <c r="J392" s="30"/>
      <c r="K392" s="15">
        <f>COUNTIF(Contacts[姓名],Contacts[[#This Row],[姓名]])</f>
        <v>874</v>
      </c>
    </row>
    <row r="393" spans="1:11" x14ac:dyDescent="0.15">
      <c r="A393" s="28"/>
      <c r="B393" s="15" t="s">
        <v>4380</v>
      </c>
      <c r="D393" s="29" t="s">
        <v>2656</v>
      </c>
      <c r="E393" s="129" t="s">
        <v>5315</v>
      </c>
      <c r="F393" s="15" t="s">
        <v>4487</v>
      </c>
      <c r="I393" s="28"/>
      <c r="J393" s="30"/>
      <c r="K393" s="15">
        <f>COUNTIF(Contacts[姓名],Contacts[[#This Row],[姓名]])</f>
        <v>874</v>
      </c>
    </row>
    <row r="394" spans="1:11" x14ac:dyDescent="0.15">
      <c r="A394" s="28"/>
      <c r="B394" s="15" t="s">
        <v>4380</v>
      </c>
      <c r="D394" s="29" t="s">
        <v>1526</v>
      </c>
      <c r="E394" s="129" t="s">
        <v>5315</v>
      </c>
      <c r="F394" s="15" t="s">
        <v>4487</v>
      </c>
      <c r="I394" s="28"/>
      <c r="J394" s="30"/>
      <c r="K394" s="15">
        <f>COUNTIF(Contacts[姓名],Contacts[[#This Row],[姓名]])</f>
        <v>874</v>
      </c>
    </row>
    <row r="395" spans="1:11" x14ac:dyDescent="0.15">
      <c r="A395" s="28"/>
      <c r="B395" s="15" t="s">
        <v>4380</v>
      </c>
      <c r="D395" s="29" t="s">
        <v>2627</v>
      </c>
      <c r="E395" s="129" t="s">
        <v>5315</v>
      </c>
      <c r="F395" s="15" t="s">
        <v>4487</v>
      </c>
      <c r="I395" s="28"/>
      <c r="J395" s="30"/>
      <c r="K395" s="15">
        <f>COUNTIF(Contacts[姓名],Contacts[[#This Row],[姓名]])</f>
        <v>874</v>
      </c>
    </row>
    <row r="396" spans="1:11" x14ac:dyDescent="0.15">
      <c r="A396" s="28"/>
      <c r="B396" s="15" t="s">
        <v>4380</v>
      </c>
      <c r="D396" s="29" t="s">
        <v>1516</v>
      </c>
      <c r="E396" s="129" t="s">
        <v>5315</v>
      </c>
      <c r="F396" s="15" t="s">
        <v>4487</v>
      </c>
      <c r="I396" s="28"/>
      <c r="J396" s="30"/>
      <c r="K396" s="15">
        <f>COUNTIF(Contacts[姓名],Contacts[[#This Row],[姓名]])</f>
        <v>874</v>
      </c>
    </row>
    <row r="397" spans="1:11" x14ac:dyDescent="0.15">
      <c r="A397" s="28"/>
      <c r="B397" s="15" t="s">
        <v>4380</v>
      </c>
      <c r="D397" s="29" t="s">
        <v>1514</v>
      </c>
      <c r="E397" s="129" t="s">
        <v>5315</v>
      </c>
      <c r="F397" s="15" t="s">
        <v>4487</v>
      </c>
      <c r="I397" s="28"/>
      <c r="J397" s="30"/>
      <c r="K397" s="15">
        <f>COUNTIF(Contacts[姓名],Contacts[[#This Row],[姓名]])</f>
        <v>874</v>
      </c>
    </row>
    <row r="398" spans="1:11" x14ac:dyDescent="0.15">
      <c r="A398" s="28"/>
      <c r="B398" s="15" t="s">
        <v>4380</v>
      </c>
      <c r="D398" s="29" t="s">
        <v>1501</v>
      </c>
      <c r="E398" s="129" t="s">
        <v>5315</v>
      </c>
      <c r="F398" s="15" t="s">
        <v>4487</v>
      </c>
      <c r="I398" s="28"/>
      <c r="J398" s="30"/>
      <c r="K398" s="15">
        <f>COUNTIF(Contacts[姓名],Contacts[[#This Row],[姓名]])</f>
        <v>874</v>
      </c>
    </row>
    <row r="399" spans="1:11" x14ac:dyDescent="0.15">
      <c r="A399" s="28"/>
      <c r="B399" s="15" t="s">
        <v>4380</v>
      </c>
      <c r="D399" s="29" t="s">
        <v>1108</v>
      </c>
      <c r="E399" s="129" t="s">
        <v>5315</v>
      </c>
      <c r="F399" s="15" t="s">
        <v>4487</v>
      </c>
      <c r="I399" s="28"/>
      <c r="J399" s="30"/>
      <c r="K399" s="15">
        <f>COUNTIF(Contacts[姓名],Contacts[[#This Row],[姓名]])</f>
        <v>874</v>
      </c>
    </row>
    <row r="400" spans="1:11" x14ac:dyDescent="0.15">
      <c r="A400" s="28"/>
      <c r="B400" s="15" t="s">
        <v>4380</v>
      </c>
      <c r="D400" s="29" t="s">
        <v>1499</v>
      </c>
      <c r="E400" s="129" t="s">
        <v>5315</v>
      </c>
      <c r="F400" s="15" t="s">
        <v>4487</v>
      </c>
      <c r="I400" s="28"/>
      <c r="J400" s="30"/>
      <c r="K400" s="15">
        <f>COUNTIF(Contacts[姓名],Contacts[[#This Row],[姓名]])</f>
        <v>874</v>
      </c>
    </row>
    <row r="401" spans="1:11" x14ac:dyDescent="0.15">
      <c r="A401" s="28"/>
      <c r="B401" s="15" t="s">
        <v>4380</v>
      </c>
      <c r="D401" s="29" t="s">
        <v>1101</v>
      </c>
      <c r="E401" s="129" t="s">
        <v>5315</v>
      </c>
      <c r="F401" s="15" t="s">
        <v>4487</v>
      </c>
      <c r="I401" s="28"/>
      <c r="J401" s="30"/>
      <c r="K401" s="15">
        <f>COUNTIF(Contacts[姓名],Contacts[[#This Row],[姓名]])</f>
        <v>874</v>
      </c>
    </row>
    <row r="402" spans="1:11" x14ac:dyDescent="0.15">
      <c r="A402" s="28"/>
      <c r="B402" s="15" t="s">
        <v>4380</v>
      </c>
      <c r="D402" s="29" t="s">
        <v>1093</v>
      </c>
      <c r="E402" s="129" t="s">
        <v>5315</v>
      </c>
      <c r="F402" s="15" t="s">
        <v>4487</v>
      </c>
      <c r="I402" s="28"/>
      <c r="J402" s="30"/>
      <c r="K402" s="15">
        <f>COUNTIF(Contacts[姓名],Contacts[[#This Row],[姓名]])</f>
        <v>874</v>
      </c>
    </row>
    <row r="403" spans="1:11" x14ac:dyDescent="0.15">
      <c r="A403" s="28"/>
      <c r="B403" s="15" t="s">
        <v>4380</v>
      </c>
      <c r="D403" s="29" t="s">
        <v>1498</v>
      </c>
      <c r="E403" s="129" t="s">
        <v>5315</v>
      </c>
      <c r="F403" s="15" t="s">
        <v>4487</v>
      </c>
      <c r="I403" s="28"/>
      <c r="J403" s="30"/>
      <c r="K403" s="15">
        <f>COUNTIF(Contacts[姓名],Contacts[[#This Row],[姓名]])</f>
        <v>874</v>
      </c>
    </row>
    <row r="404" spans="1:11" x14ac:dyDescent="0.15">
      <c r="A404" s="28"/>
      <c r="B404" s="15" t="s">
        <v>4380</v>
      </c>
      <c r="D404" s="29" t="s">
        <v>1490</v>
      </c>
      <c r="E404" s="129" t="s">
        <v>5315</v>
      </c>
      <c r="F404" s="15" t="s">
        <v>4487</v>
      </c>
      <c r="I404" s="28"/>
      <c r="J404" s="30"/>
      <c r="K404" s="15">
        <f>COUNTIF(Contacts[姓名],Contacts[[#This Row],[姓名]])</f>
        <v>874</v>
      </c>
    </row>
    <row r="405" spans="1:11" x14ac:dyDescent="0.15">
      <c r="A405" s="28"/>
      <c r="B405" s="15" t="s">
        <v>4380</v>
      </c>
      <c r="D405" s="29" t="s">
        <v>1488</v>
      </c>
      <c r="E405" s="129" t="s">
        <v>5315</v>
      </c>
      <c r="F405" s="15" t="s">
        <v>4487</v>
      </c>
      <c r="I405" s="28"/>
      <c r="J405" s="30"/>
      <c r="K405" s="15">
        <f>COUNTIF(Contacts[姓名],Contacts[[#This Row],[姓名]])</f>
        <v>874</v>
      </c>
    </row>
    <row r="406" spans="1:11" x14ac:dyDescent="0.15">
      <c r="A406" s="28" t="s">
        <v>497</v>
      </c>
      <c r="B406" s="15" t="s">
        <v>4380</v>
      </c>
      <c r="D406" s="29" t="s">
        <v>1484</v>
      </c>
      <c r="E406" s="129" t="s">
        <v>5315</v>
      </c>
      <c r="F406" s="15" t="s">
        <v>4487</v>
      </c>
      <c r="I406" s="28"/>
      <c r="J406" s="30"/>
      <c r="K406" s="15">
        <f>COUNTIF(Contacts[姓名],Contacts[[#This Row],[姓名]])</f>
        <v>874</v>
      </c>
    </row>
    <row r="407" spans="1:11" x14ac:dyDescent="0.15">
      <c r="A407" s="28" t="s">
        <v>501</v>
      </c>
      <c r="B407" s="15" t="s">
        <v>4380</v>
      </c>
      <c r="D407" s="29" t="s">
        <v>1464</v>
      </c>
      <c r="E407" s="129" t="s">
        <v>5315</v>
      </c>
      <c r="F407" s="15" t="s">
        <v>4487</v>
      </c>
      <c r="I407" s="28"/>
      <c r="J407" s="30"/>
      <c r="K407" s="15">
        <f>COUNTIF(Contacts[姓名],Contacts[[#This Row],[姓名]])</f>
        <v>874</v>
      </c>
    </row>
    <row r="408" spans="1:11" x14ac:dyDescent="0.15">
      <c r="A408" s="28" t="s">
        <v>584</v>
      </c>
      <c r="B408" s="15" t="s">
        <v>4380</v>
      </c>
      <c r="D408" s="29" t="s">
        <v>1446</v>
      </c>
      <c r="E408" s="129" t="s">
        <v>5315</v>
      </c>
      <c r="F408" s="15" t="s">
        <v>6195</v>
      </c>
      <c r="I408" s="28"/>
      <c r="J408" s="30"/>
      <c r="K408" s="15">
        <f>COUNTIF(Contacts[姓名],Contacts[[#This Row],[姓名]])</f>
        <v>1</v>
      </c>
    </row>
    <row r="409" spans="1:11" x14ac:dyDescent="0.15">
      <c r="A409" s="28" t="s">
        <v>584</v>
      </c>
      <c r="B409" s="15" t="s">
        <v>4380</v>
      </c>
      <c r="D409" s="29" t="s">
        <v>1445</v>
      </c>
      <c r="E409" s="129" t="s">
        <v>5315</v>
      </c>
      <c r="F409" s="15" t="s">
        <v>6196</v>
      </c>
      <c r="I409" s="28"/>
      <c r="J409" s="30"/>
      <c r="K409" s="15">
        <f>COUNTIF(Contacts[姓名],Contacts[[#This Row],[姓名]])</f>
        <v>1</v>
      </c>
    </row>
    <row r="410" spans="1:11" x14ac:dyDescent="0.15">
      <c r="A410" s="28" t="s">
        <v>599</v>
      </c>
      <c r="B410" s="15" t="s">
        <v>4380</v>
      </c>
      <c r="D410" s="29" t="s">
        <v>1430</v>
      </c>
      <c r="E410" s="129" t="s">
        <v>5315</v>
      </c>
      <c r="F410" s="15" t="s">
        <v>4487</v>
      </c>
      <c r="I410" s="28"/>
      <c r="J410" s="30"/>
      <c r="K410" s="15">
        <f>COUNTIF(Contacts[姓名],Contacts[[#This Row],[姓名]])</f>
        <v>874</v>
      </c>
    </row>
    <row r="411" spans="1:11" x14ac:dyDescent="0.15">
      <c r="A411" s="28" t="s">
        <v>499</v>
      </c>
      <c r="B411" s="15" t="s">
        <v>4380</v>
      </c>
      <c r="D411" s="29" t="s">
        <v>1487</v>
      </c>
      <c r="E411" s="129" t="s">
        <v>5315</v>
      </c>
      <c r="F411" s="15" t="s">
        <v>4487</v>
      </c>
      <c r="I411" s="28"/>
      <c r="J411" s="30"/>
      <c r="K411" s="15">
        <f>COUNTIF(Contacts[姓名],Contacts[[#This Row],[姓名]])</f>
        <v>874</v>
      </c>
    </row>
    <row r="412" spans="1:11" x14ac:dyDescent="0.15">
      <c r="A412" s="28" t="s">
        <v>499</v>
      </c>
      <c r="B412" s="15" t="s">
        <v>4380</v>
      </c>
      <c r="D412" s="29" t="s">
        <v>1483</v>
      </c>
      <c r="E412" s="129" t="s">
        <v>5315</v>
      </c>
      <c r="F412" s="15" t="s">
        <v>4487</v>
      </c>
      <c r="I412" s="28"/>
      <c r="J412" s="30"/>
      <c r="K412" s="15">
        <f>COUNTIF(Contacts[姓名],Contacts[[#This Row],[姓名]])</f>
        <v>874</v>
      </c>
    </row>
    <row r="413" spans="1:11" x14ac:dyDescent="0.15">
      <c r="A413" s="28" t="s">
        <v>499</v>
      </c>
      <c r="B413" s="15" t="s">
        <v>4380</v>
      </c>
      <c r="D413" s="29" t="s">
        <v>1478</v>
      </c>
      <c r="E413" s="129" t="s">
        <v>5315</v>
      </c>
      <c r="F413" s="15" t="s">
        <v>4487</v>
      </c>
      <c r="I413" s="28"/>
      <c r="J413" s="30"/>
      <c r="K413" s="15">
        <f>COUNTIF(Contacts[姓名],Contacts[[#This Row],[姓名]])</f>
        <v>874</v>
      </c>
    </row>
    <row r="414" spans="1:11" x14ac:dyDescent="0.15">
      <c r="A414" s="28" t="s">
        <v>499</v>
      </c>
      <c r="B414" s="15" t="s">
        <v>4380</v>
      </c>
      <c r="D414" s="29" t="s">
        <v>1436</v>
      </c>
      <c r="E414" s="129" t="s">
        <v>5315</v>
      </c>
      <c r="F414" s="15" t="s">
        <v>4487</v>
      </c>
      <c r="I414" s="28"/>
      <c r="J414" s="30"/>
      <c r="K414" s="15">
        <f>COUNTIF(Contacts[姓名],Contacts[[#This Row],[姓名]])</f>
        <v>874</v>
      </c>
    </row>
    <row r="415" spans="1:11" x14ac:dyDescent="0.15">
      <c r="A415" s="28" t="s">
        <v>499</v>
      </c>
      <c r="B415" s="15" t="s">
        <v>4380</v>
      </c>
      <c r="D415" s="29" t="s">
        <v>2598</v>
      </c>
      <c r="E415" s="129" t="s">
        <v>5315</v>
      </c>
      <c r="F415" s="15" t="s">
        <v>4487</v>
      </c>
      <c r="I415" s="28"/>
      <c r="J415" s="30"/>
      <c r="K415" s="15">
        <f>COUNTIF(Contacts[姓名],Contacts[[#This Row],[姓名]])</f>
        <v>874</v>
      </c>
    </row>
    <row r="416" spans="1:11" x14ac:dyDescent="0.15">
      <c r="A416" s="28" t="s">
        <v>499</v>
      </c>
      <c r="B416" s="15" t="s">
        <v>4380</v>
      </c>
      <c r="D416" s="29" t="s">
        <v>1426</v>
      </c>
      <c r="E416" s="129" t="s">
        <v>5315</v>
      </c>
      <c r="F416" s="15" t="s">
        <v>4487</v>
      </c>
      <c r="I416" s="28"/>
      <c r="J416" s="30"/>
      <c r="K416" s="15">
        <f>COUNTIF(Contacts[姓名],Contacts[[#This Row],[姓名]])</f>
        <v>874</v>
      </c>
    </row>
    <row r="417" spans="1:11" x14ac:dyDescent="0.15">
      <c r="A417" s="28" t="s">
        <v>499</v>
      </c>
      <c r="B417" s="15" t="s">
        <v>4380</v>
      </c>
      <c r="D417" s="29" t="s">
        <v>2661</v>
      </c>
      <c r="E417" s="129" t="s">
        <v>5315</v>
      </c>
      <c r="F417" s="15" t="s">
        <v>4487</v>
      </c>
      <c r="I417" s="28"/>
      <c r="J417" s="30"/>
      <c r="K417" s="15">
        <f>COUNTIF(Contacts[姓名],Contacts[[#This Row],[姓名]])</f>
        <v>874</v>
      </c>
    </row>
    <row r="418" spans="1:11" x14ac:dyDescent="0.15">
      <c r="A418" s="28" t="s">
        <v>705</v>
      </c>
      <c r="B418" s="15" t="s">
        <v>4380</v>
      </c>
      <c r="D418" s="29" t="s">
        <v>1432</v>
      </c>
      <c r="E418" s="129" t="s">
        <v>5315</v>
      </c>
      <c r="F418" s="15" t="s">
        <v>4487</v>
      </c>
      <c r="I418" s="28"/>
      <c r="J418" s="30"/>
      <c r="K418" s="15">
        <f>COUNTIF(Contacts[姓名],Contacts[[#This Row],[姓名]])</f>
        <v>874</v>
      </c>
    </row>
    <row r="419" spans="1:11" x14ac:dyDescent="0.15">
      <c r="A419" s="28" t="s">
        <v>601</v>
      </c>
      <c r="B419" s="15" t="s">
        <v>4380</v>
      </c>
      <c r="D419" s="29" t="s">
        <v>1469</v>
      </c>
      <c r="E419" s="129" t="s">
        <v>5315</v>
      </c>
      <c r="F419" s="15" t="s">
        <v>4487</v>
      </c>
      <c r="I419" s="28"/>
      <c r="J419" s="30"/>
      <c r="K419" s="15">
        <f>COUNTIF(Contacts[姓名],Contacts[[#This Row],[姓名]])</f>
        <v>874</v>
      </c>
    </row>
    <row r="420" spans="1:11" x14ac:dyDescent="0.15">
      <c r="A420" s="28" t="s">
        <v>696</v>
      </c>
      <c r="B420" s="15" t="s">
        <v>4380</v>
      </c>
      <c r="D420" s="29" t="s">
        <v>2583</v>
      </c>
      <c r="E420" s="129" t="s">
        <v>5315</v>
      </c>
      <c r="F420" s="15" t="s">
        <v>4487</v>
      </c>
      <c r="I420" s="28"/>
      <c r="J420" s="30"/>
      <c r="K420" s="15">
        <f>COUNTIF(Contacts[姓名],Contacts[[#This Row],[姓名]])</f>
        <v>874</v>
      </c>
    </row>
    <row r="421" spans="1:11" x14ac:dyDescent="0.15">
      <c r="A421" s="28" t="s">
        <v>498</v>
      </c>
      <c r="B421" s="15" t="s">
        <v>4380</v>
      </c>
      <c r="C421" s="15">
        <v>2881536715</v>
      </c>
      <c r="D421" s="29" t="s">
        <v>1543</v>
      </c>
      <c r="E421" s="129" t="s">
        <v>5315</v>
      </c>
      <c r="F421" s="15" t="s">
        <v>4487</v>
      </c>
      <c r="H421" s="15" t="s">
        <v>3304</v>
      </c>
      <c r="I421" s="28" t="s">
        <v>3289</v>
      </c>
      <c r="J421" s="30"/>
      <c r="K421" s="15">
        <f>COUNTIF(Contacts[姓名],Contacts[[#This Row],[姓名]])</f>
        <v>874</v>
      </c>
    </row>
    <row r="422" spans="1:11" x14ac:dyDescent="0.15">
      <c r="A422" s="28" t="s">
        <v>498</v>
      </c>
      <c r="B422" s="15" t="s">
        <v>4380</v>
      </c>
      <c r="D422" s="29" t="s">
        <v>1475</v>
      </c>
      <c r="E422" s="129" t="s">
        <v>5315</v>
      </c>
      <c r="F422" s="15" t="s">
        <v>4487</v>
      </c>
      <c r="I422" s="28"/>
      <c r="J422" s="30"/>
      <c r="K422" s="15">
        <f>COUNTIF(Contacts[姓名],Contacts[[#This Row],[姓名]])</f>
        <v>874</v>
      </c>
    </row>
    <row r="423" spans="1:11" x14ac:dyDescent="0.15">
      <c r="A423" s="28" t="s">
        <v>498</v>
      </c>
      <c r="B423" s="15" t="s">
        <v>4380</v>
      </c>
      <c r="D423" s="29" t="s">
        <v>1102</v>
      </c>
      <c r="E423" s="129" t="s">
        <v>5315</v>
      </c>
      <c r="F423" s="15" t="s">
        <v>4487</v>
      </c>
      <c r="I423" s="28"/>
      <c r="J423" s="30"/>
      <c r="K423" s="15">
        <f>COUNTIF(Contacts[姓名],Contacts[[#This Row],[姓名]])</f>
        <v>874</v>
      </c>
    </row>
    <row r="424" spans="1:11" x14ac:dyDescent="0.15">
      <c r="A424" s="28" t="s">
        <v>1423</v>
      </c>
      <c r="B424" s="15" t="s">
        <v>4380</v>
      </c>
      <c r="D424" s="29" t="s">
        <v>2611</v>
      </c>
      <c r="E424" s="129" t="s">
        <v>5315</v>
      </c>
      <c r="F424" s="15" t="s">
        <v>4487</v>
      </c>
      <c r="I424" s="28"/>
      <c r="J424" s="30"/>
      <c r="K424" s="15">
        <f>COUNTIF(Contacts[姓名],Contacts[[#This Row],[姓名]])</f>
        <v>874</v>
      </c>
    </row>
    <row r="425" spans="1:11" x14ac:dyDescent="0.15">
      <c r="A425" s="28" t="s">
        <v>858</v>
      </c>
      <c r="B425" s="15" t="s">
        <v>4380</v>
      </c>
      <c r="D425" s="29" t="s">
        <v>1463</v>
      </c>
      <c r="E425" s="129" t="s">
        <v>5315</v>
      </c>
      <c r="F425" s="15" t="s">
        <v>4487</v>
      </c>
      <c r="I425" s="28"/>
      <c r="J425" s="30"/>
      <c r="K425" s="15">
        <f>COUNTIF(Contacts[姓名],Contacts[[#This Row],[姓名]])</f>
        <v>874</v>
      </c>
    </row>
    <row r="426" spans="1:11" x14ac:dyDescent="0.15">
      <c r="A426" s="28" t="s">
        <v>858</v>
      </c>
      <c r="B426" s="15" t="s">
        <v>4380</v>
      </c>
      <c r="D426" s="29" t="s">
        <v>1462</v>
      </c>
      <c r="E426" s="129" t="s">
        <v>5315</v>
      </c>
      <c r="F426" s="15" t="s">
        <v>4487</v>
      </c>
      <c r="I426" s="28"/>
      <c r="J426" s="30"/>
      <c r="K426" s="15">
        <f>COUNTIF(Contacts[姓名],Contacts[[#This Row],[姓名]])</f>
        <v>874</v>
      </c>
    </row>
    <row r="427" spans="1:11" x14ac:dyDescent="0.15">
      <c r="A427" s="28" t="s">
        <v>1037</v>
      </c>
      <c r="B427" s="15" t="s">
        <v>4380</v>
      </c>
      <c r="D427" s="29" t="s">
        <v>1422</v>
      </c>
      <c r="E427" s="129" t="s">
        <v>5315</v>
      </c>
      <c r="F427" s="15" t="s">
        <v>4487</v>
      </c>
      <c r="I427" s="28"/>
      <c r="J427" s="30"/>
      <c r="K427" s="15">
        <f>COUNTIF(Contacts[姓名],Contacts[[#This Row],[姓名]])</f>
        <v>874</v>
      </c>
    </row>
    <row r="428" spans="1:11" x14ac:dyDescent="0.15">
      <c r="A428" s="28" t="s">
        <v>566</v>
      </c>
      <c r="B428" s="15" t="s">
        <v>4380</v>
      </c>
      <c r="C428" s="15">
        <v>2880098595</v>
      </c>
      <c r="D428" s="29" t="s">
        <v>1567</v>
      </c>
      <c r="E428" s="129" t="s">
        <v>5315</v>
      </c>
      <c r="F428" s="15" t="s">
        <v>4504</v>
      </c>
      <c r="H428" s="15" t="s">
        <v>3313</v>
      </c>
      <c r="I428" s="28"/>
      <c r="J428" s="30"/>
      <c r="K428" s="15">
        <f>COUNTIF(Contacts[姓名],Contacts[[#This Row],[姓名]])</f>
        <v>1</v>
      </c>
    </row>
    <row r="429" spans="1:11" x14ac:dyDescent="0.15">
      <c r="A429" s="28" t="s">
        <v>492</v>
      </c>
      <c r="B429" s="15" t="s">
        <v>4380</v>
      </c>
      <c r="C429" s="15">
        <v>2845718788</v>
      </c>
      <c r="D429" s="29" t="s">
        <v>1118</v>
      </c>
      <c r="E429" s="129" t="s">
        <v>5315</v>
      </c>
      <c r="F429" s="15" t="s">
        <v>4487</v>
      </c>
      <c r="I429" s="28"/>
      <c r="J429" s="30"/>
      <c r="K429" s="15">
        <f>COUNTIF(Contacts[姓名],Contacts[[#This Row],[姓名]])</f>
        <v>874</v>
      </c>
    </row>
    <row r="430" spans="1:11" x14ac:dyDescent="0.15">
      <c r="A430" s="28" t="s">
        <v>492</v>
      </c>
      <c r="B430" s="15" t="s">
        <v>4380</v>
      </c>
      <c r="D430" s="29" t="s">
        <v>1485</v>
      </c>
      <c r="E430" s="129" t="s">
        <v>5315</v>
      </c>
      <c r="F430" s="15" t="s">
        <v>4487</v>
      </c>
      <c r="I430" s="28"/>
      <c r="J430" s="30"/>
      <c r="K430" s="15">
        <f>COUNTIF(Contacts[姓名],Contacts[[#This Row],[姓名]])</f>
        <v>874</v>
      </c>
    </row>
    <row r="431" spans="1:11" x14ac:dyDescent="0.15">
      <c r="A431" s="28" t="s">
        <v>492</v>
      </c>
      <c r="B431" s="15" t="s">
        <v>4380</v>
      </c>
      <c r="D431" s="29" t="s">
        <v>1425</v>
      </c>
      <c r="E431" s="129" t="s">
        <v>5315</v>
      </c>
      <c r="F431" s="15" t="s">
        <v>4487</v>
      </c>
      <c r="I431" s="28"/>
      <c r="J431" s="30"/>
      <c r="K431" s="15">
        <f>COUNTIF(Contacts[姓名],Contacts[[#This Row],[姓名]])</f>
        <v>874</v>
      </c>
    </row>
    <row r="432" spans="1:11" x14ac:dyDescent="0.15">
      <c r="A432" s="28" t="s">
        <v>492</v>
      </c>
      <c r="B432" s="15" t="s">
        <v>4380</v>
      </c>
      <c r="D432" s="29" t="s">
        <v>1424</v>
      </c>
      <c r="E432" s="129" t="s">
        <v>5315</v>
      </c>
      <c r="F432" s="15" t="s">
        <v>4487</v>
      </c>
      <c r="I432" s="28"/>
      <c r="J432" s="30"/>
      <c r="K432" s="15">
        <f>COUNTIF(Contacts[姓名],Contacts[[#This Row],[姓名]])</f>
        <v>874</v>
      </c>
    </row>
    <row r="433" spans="1:11" x14ac:dyDescent="0.15">
      <c r="A433" s="28" t="s">
        <v>492</v>
      </c>
      <c r="B433" s="15" t="s">
        <v>4380</v>
      </c>
      <c r="D433" s="29" t="s">
        <v>1117</v>
      </c>
      <c r="E433" s="129" t="s">
        <v>5315</v>
      </c>
      <c r="F433" s="15" t="s">
        <v>4487</v>
      </c>
      <c r="I433" s="28"/>
      <c r="J433" s="30"/>
      <c r="K433" s="15">
        <f>COUNTIF(Contacts[姓名],Contacts[[#This Row],[姓名]])</f>
        <v>874</v>
      </c>
    </row>
    <row r="434" spans="1:11" x14ac:dyDescent="0.15">
      <c r="A434" s="28"/>
      <c r="B434" s="15" t="s">
        <v>4380</v>
      </c>
      <c r="D434" s="29" t="s">
        <v>1486</v>
      </c>
      <c r="E434" s="129" t="s">
        <v>5315</v>
      </c>
      <c r="F434" s="15" t="s">
        <v>4487</v>
      </c>
      <c r="I434" s="28"/>
      <c r="J434" s="30"/>
      <c r="K434" s="15">
        <f>COUNTIF(Contacts[姓名],Contacts[[#This Row],[姓名]])</f>
        <v>874</v>
      </c>
    </row>
    <row r="435" spans="1:11" x14ac:dyDescent="0.15">
      <c r="A435" s="28"/>
      <c r="B435" s="15" t="s">
        <v>4380</v>
      </c>
      <c r="D435" s="29" t="s">
        <v>1481</v>
      </c>
      <c r="E435" s="129" t="s">
        <v>5315</v>
      </c>
      <c r="F435" s="15" t="s">
        <v>4487</v>
      </c>
      <c r="I435" s="28"/>
      <c r="J435" s="30"/>
      <c r="K435" s="15">
        <f>COUNTIF(Contacts[姓名],Contacts[[#This Row],[姓名]])</f>
        <v>874</v>
      </c>
    </row>
    <row r="436" spans="1:11" x14ac:dyDescent="0.15">
      <c r="A436" s="28"/>
      <c r="B436" s="15" t="s">
        <v>4380</v>
      </c>
      <c r="D436" s="29" t="s">
        <v>1480</v>
      </c>
      <c r="E436" s="129" t="s">
        <v>5315</v>
      </c>
      <c r="F436" s="15" t="s">
        <v>4487</v>
      </c>
      <c r="I436" s="28"/>
      <c r="J436" s="30"/>
      <c r="K436" s="15">
        <f>COUNTIF(Contacts[姓名],Contacts[[#This Row],[姓名]])</f>
        <v>874</v>
      </c>
    </row>
    <row r="437" spans="1:11" x14ac:dyDescent="0.15">
      <c r="A437" s="28"/>
      <c r="B437" s="15" t="s">
        <v>4380</v>
      </c>
      <c r="D437" s="29" t="s">
        <v>1479</v>
      </c>
      <c r="E437" s="129" t="s">
        <v>5315</v>
      </c>
      <c r="F437" s="15" t="s">
        <v>4487</v>
      </c>
      <c r="I437" s="28"/>
      <c r="J437" s="30"/>
      <c r="K437" s="15">
        <f>COUNTIF(Contacts[姓名],Contacts[[#This Row],[姓名]])</f>
        <v>874</v>
      </c>
    </row>
    <row r="438" spans="1:11" x14ac:dyDescent="0.15">
      <c r="A438" s="28"/>
      <c r="B438" s="15" t="s">
        <v>4380</v>
      </c>
      <c r="D438" s="29" t="s">
        <v>1477</v>
      </c>
      <c r="E438" s="129" t="s">
        <v>5315</v>
      </c>
      <c r="F438" s="15" t="s">
        <v>4487</v>
      </c>
      <c r="I438" s="28"/>
      <c r="J438" s="30"/>
      <c r="K438" s="15">
        <f>COUNTIF(Contacts[姓名],Contacts[[#This Row],[姓名]])</f>
        <v>874</v>
      </c>
    </row>
    <row r="439" spans="1:11" x14ac:dyDescent="0.15">
      <c r="A439" s="28"/>
      <c r="B439" s="15" t="s">
        <v>4380</v>
      </c>
      <c r="D439" s="29" t="s">
        <v>1476</v>
      </c>
      <c r="E439" s="129" t="s">
        <v>5315</v>
      </c>
      <c r="F439" s="15" t="s">
        <v>4487</v>
      </c>
      <c r="I439" s="28"/>
      <c r="J439" s="30"/>
      <c r="K439" s="15">
        <f>COUNTIF(Contacts[姓名],Contacts[[#This Row],[姓名]])</f>
        <v>874</v>
      </c>
    </row>
    <row r="440" spans="1:11" x14ac:dyDescent="0.15">
      <c r="A440" s="28"/>
      <c r="B440" s="15" t="s">
        <v>4380</v>
      </c>
      <c r="D440" s="29" t="s">
        <v>2574</v>
      </c>
      <c r="E440" s="129" t="s">
        <v>5315</v>
      </c>
      <c r="F440" s="15" t="s">
        <v>4487</v>
      </c>
      <c r="I440" s="28"/>
      <c r="J440" s="30"/>
      <c r="K440" s="15">
        <f>COUNTIF(Contacts[姓名],Contacts[[#This Row],[姓名]])</f>
        <v>874</v>
      </c>
    </row>
    <row r="441" spans="1:11" x14ac:dyDescent="0.15">
      <c r="A441" s="28"/>
      <c r="B441" s="15" t="s">
        <v>4380</v>
      </c>
      <c r="D441" s="29" t="s">
        <v>1474</v>
      </c>
      <c r="E441" s="129" t="s">
        <v>5315</v>
      </c>
      <c r="F441" s="15" t="s">
        <v>4487</v>
      </c>
      <c r="I441" s="28"/>
      <c r="J441" s="30"/>
      <c r="K441" s="15">
        <f>COUNTIF(Contacts[姓名],Contacts[[#This Row],[姓名]])</f>
        <v>874</v>
      </c>
    </row>
    <row r="442" spans="1:11" x14ac:dyDescent="0.15">
      <c r="A442" s="28"/>
      <c r="B442" s="15" t="s">
        <v>4380</v>
      </c>
      <c r="D442" s="29" t="s">
        <v>1473</v>
      </c>
      <c r="E442" s="129" t="s">
        <v>5315</v>
      </c>
      <c r="F442" s="15" t="s">
        <v>4487</v>
      </c>
      <c r="I442" s="28"/>
      <c r="J442" s="30"/>
      <c r="K442" s="15">
        <f>COUNTIF(Contacts[姓名],Contacts[[#This Row],[姓名]])</f>
        <v>874</v>
      </c>
    </row>
    <row r="443" spans="1:11" x14ac:dyDescent="0.15">
      <c r="A443" s="28"/>
      <c r="B443" s="15" t="s">
        <v>4380</v>
      </c>
      <c r="D443" s="29" t="s">
        <v>1472</v>
      </c>
      <c r="E443" s="129" t="s">
        <v>5315</v>
      </c>
      <c r="F443" s="15" t="s">
        <v>4487</v>
      </c>
      <c r="I443" s="28"/>
      <c r="J443" s="30"/>
      <c r="K443" s="15">
        <f>COUNTIF(Contacts[姓名],Contacts[[#This Row],[姓名]])</f>
        <v>874</v>
      </c>
    </row>
    <row r="444" spans="1:11" x14ac:dyDescent="0.15">
      <c r="A444" s="28"/>
      <c r="B444" s="15" t="s">
        <v>4380</v>
      </c>
      <c r="D444" s="29" t="s">
        <v>1471</v>
      </c>
      <c r="E444" s="129" t="s">
        <v>5315</v>
      </c>
      <c r="F444" s="15" t="s">
        <v>4487</v>
      </c>
      <c r="I444" s="28"/>
      <c r="J444" s="30"/>
      <c r="K444" s="15">
        <f>COUNTIF(Contacts[姓名],Contacts[[#This Row],[姓名]])</f>
        <v>874</v>
      </c>
    </row>
    <row r="445" spans="1:11" x14ac:dyDescent="0.15">
      <c r="A445" s="28"/>
      <c r="B445" s="15" t="s">
        <v>4380</v>
      </c>
      <c r="D445" s="29" t="s">
        <v>1470</v>
      </c>
      <c r="E445" s="129" t="s">
        <v>5315</v>
      </c>
      <c r="F445" s="15" t="s">
        <v>4487</v>
      </c>
      <c r="I445" s="28"/>
      <c r="J445" s="30"/>
      <c r="K445" s="15">
        <f>COUNTIF(Contacts[姓名],Contacts[[#This Row],[姓名]])</f>
        <v>874</v>
      </c>
    </row>
    <row r="446" spans="1:11" x14ac:dyDescent="0.15">
      <c r="A446" s="28"/>
      <c r="B446" s="15" t="s">
        <v>4380</v>
      </c>
      <c r="D446" s="29" t="s">
        <v>1468</v>
      </c>
      <c r="E446" s="129" t="s">
        <v>5315</v>
      </c>
      <c r="F446" s="15" t="s">
        <v>4487</v>
      </c>
      <c r="I446" s="28"/>
      <c r="J446" s="30"/>
      <c r="K446" s="15">
        <f>COUNTIF(Contacts[姓名],Contacts[[#This Row],[姓名]])</f>
        <v>874</v>
      </c>
    </row>
    <row r="447" spans="1:11" x14ac:dyDescent="0.15">
      <c r="A447" s="28"/>
      <c r="B447" s="15" t="s">
        <v>4380</v>
      </c>
      <c r="D447" s="29" t="s">
        <v>1467</v>
      </c>
      <c r="E447" s="129" t="s">
        <v>5315</v>
      </c>
      <c r="F447" s="15" t="s">
        <v>4487</v>
      </c>
      <c r="I447" s="28"/>
      <c r="J447" s="30"/>
      <c r="K447" s="15">
        <f>COUNTIF(Contacts[姓名],Contacts[[#This Row],[姓名]])</f>
        <v>874</v>
      </c>
    </row>
    <row r="448" spans="1:11" x14ac:dyDescent="0.15">
      <c r="A448" s="28"/>
      <c r="B448" s="15" t="s">
        <v>4380</v>
      </c>
      <c r="D448" s="29" t="s">
        <v>2609</v>
      </c>
      <c r="E448" s="129" t="s">
        <v>5315</v>
      </c>
      <c r="F448" s="15" t="s">
        <v>4487</v>
      </c>
      <c r="I448" s="28"/>
      <c r="J448" s="30"/>
      <c r="K448" s="15">
        <f>COUNTIF(Contacts[姓名],Contacts[[#This Row],[姓名]])</f>
        <v>874</v>
      </c>
    </row>
    <row r="449" spans="1:11" x14ac:dyDescent="0.15">
      <c r="A449" s="28"/>
      <c r="B449" s="15" t="s">
        <v>4380</v>
      </c>
      <c r="D449" s="29" t="s">
        <v>1466</v>
      </c>
      <c r="E449" s="129" t="s">
        <v>5315</v>
      </c>
      <c r="F449" s="15" t="s">
        <v>4487</v>
      </c>
      <c r="I449" s="28"/>
      <c r="J449" s="30"/>
      <c r="K449" s="15">
        <f>COUNTIF(Contacts[姓名],Contacts[[#This Row],[姓名]])</f>
        <v>874</v>
      </c>
    </row>
    <row r="450" spans="1:11" x14ac:dyDescent="0.15">
      <c r="A450" s="28"/>
      <c r="B450" s="15" t="s">
        <v>4380</v>
      </c>
      <c r="D450" s="29" t="s">
        <v>1461</v>
      </c>
      <c r="E450" s="129" t="s">
        <v>5315</v>
      </c>
      <c r="F450" s="15" t="s">
        <v>4487</v>
      </c>
      <c r="I450" s="28"/>
      <c r="J450" s="30"/>
      <c r="K450" s="15">
        <f>COUNTIF(Contacts[姓名],Contacts[[#This Row],[姓名]])</f>
        <v>874</v>
      </c>
    </row>
    <row r="451" spans="1:11" x14ac:dyDescent="0.15">
      <c r="A451" s="28"/>
      <c r="B451" s="15" t="s">
        <v>4380</v>
      </c>
      <c r="D451" s="29" t="s">
        <v>1460</v>
      </c>
      <c r="E451" s="129" t="s">
        <v>5315</v>
      </c>
      <c r="F451" s="15" t="s">
        <v>4487</v>
      </c>
      <c r="I451" s="28"/>
      <c r="J451" s="30"/>
      <c r="K451" s="15">
        <f>COUNTIF(Contacts[姓名],Contacts[[#This Row],[姓名]])</f>
        <v>874</v>
      </c>
    </row>
    <row r="452" spans="1:11" x14ac:dyDescent="0.15">
      <c r="A452" s="28"/>
      <c r="B452" s="15" t="s">
        <v>4380</v>
      </c>
      <c r="D452" s="29" t="s">
        <v>1459</v>
      </c>
      <c r="E452" s="129" t="s">
        <v>5315</v>
      </c>
      <c r="F452" s="15" t="s">
        <v>4487</v>
      </c>
      <c r="I452" s="28"/>
      <c r="J452" s="30"/>
      <c r="K452" s="15">
        <f>COUNTIF(Contacts[姓名],Contacts[[#This Row],[姓名]])</f>
        <v>874</v>
      </c>
    </row>
    <row r="453" spans="1:11" x14ac:dyDescent="0.15">
      <c r="A453" s="28"/>
      <c r="B453" s="15" t="s">
        <v>4380</v>
      </c>
      <c r="D453" s="29" t="s">
        <v>1458</v>
      </c>
      <c r="E453" s="129" t="s">
        <v>5315</v>
      </c>
      <c r="F453" s="15" t="s">
        <v>4487</v>
      </c>
      <c r="I453" s="28"/>
      <c r="J453" s="30"/>
      <c r="K453" s="15">
        <f>COUNTIF(Contacts[姓名],Contacts[[#This Row],[姓名]])</f>
        <v>874</v>
      </c>
    </row>
    <row r="454" spans="1:11" x14ac:dyDescent="0.15">
      <c r="A454" s="28"/>
      <c r="B454" s="15" t="s">
        <v>4380</v>
      </c>
      <c r="D454" s="29" t="s">
        <v>1457</v>
      </c>
      <c r="E454" s="129" t="s">
        <v>5315</v>
      </c>
      <c r="F454" s="15" t="s">
        <v>4487</v>
      </c>
      <c r="I454" s="28"/>
      <c r="J454" s="30"/>
      <c r="K454" s="15">
        <f>COUNTIF(Contacts[姓名],Contacts[[#This Row],[姓名]])</f>
        <v>874</v>
      </c>
    </row>
    <row r="455" spans="1:11" x14ac:dyDescent="0.15">
      <c r="A455" s="28"/>
      <c r="B455" s="15" t="s">
        <v>4380</v>
      </c>
      <c r="D455" s="29" t="s">
        <v>1456</v>
      </c>
      <c r="E455" s="129" t="s">
        <v>5315</v>
      </c>
      <c r="F455" s="15" t="s">
        <v>4487</v>
      </c>
      <c r="I455" s="28"/>
      <c r="J455" s="30"/>
      <c r="K455" s="15">
        <f>COUNTIF(Contacts[姓名],Contacts[[#This Row],[姓名]])</f>
        <v>874</v>
      </c>
    </row>
    <row r="456" spans="1:11" x14ac:dyDescent="0.15">
      <c r="A456" s="28"/>
      <c r="B456" s="15" t="s">
        <v>4380</v>
      </c>
      <c r="D456" s="29" t="s">
        <v>1455</v>
      </c>
      <c r="E456" s="129" t="s">
        <v>5315</v>
      </c>
      <c r="F456" s="15" t="s">
        <v>4487</v>
      </c>
      <c r="I456" s="28"/>
      <c r="J456" s="30"/>
      <c r="K456" s="15">
        <f>COUNTIF(Contacts[姓名],Contacts[[#This Row],[姓名]])</f>
        <v>874</v>
      </c>
    </row>
    <row r="457" spans="1:11" x14ac:dyDescent="0.15">
      <c r="A457" s="28"/>
      <c r="B457" s="15" t="s">
        <v>4380</v>
      </c>
      <c r="D457" s="29" t="s">
        <v>1454</v>
      </c>
      <c r="E457" s="129" t="s">
        <v>5315</v>
      </c>
      <c r="F457" s="15" t="s">
        <v>4487</v>
      </c>
      <c r="I457" s="28"/>
      <c r="J457" s="30"/>
      <c r="K457" s="15">
        <f>COUNTIF(Contacts[姓名],Contacts[[#This Row],[姓名]])</f>
        <v>874</v>
      </c>
    </row>
    <row r="458" spans="1:11" x14ac:dyDescent="0.15">
      <c r="A458" s="28"/>
      <c r="B458" s="15" t="s">
        <v>4380</v>
      </c>
      <c r="D458" s="29" t="s">
        <v>2599</v>
      </c>
      <c r="E458" s="129" t="s">
        <v>5315</v>
      </c>
      <c r="F458" s="15" t="s">
        <v>4487</v>
      </c>
      <c r="I458" s="28"/>
      <c r="J458" s="30"/>
      <c r="K458" s="15">
        <f>COUNTIF(Contacts[姓名],Contacts[[#This Row],[姓名]])</f>
        <v>874</v>
      </c>
    </row>
    <row r="459" spans="1:11" x14ac:dyDescent="0.15">
      <c r="A459" s="28"/>
      <c r="B459" s="15" t="s">
        <v>4380</v>
      </c>
      <c r="D459" s="29" t="s">
        <v>1453</v>
      </c>
      <c r="E459" s="129" t="s">
        <v>5315</v>
      </c>
      <c r="F459" s="15" t="s">
        <v>4487</v>
      </c>
      <c r="I459" s="28"/>
      <c r="J459" s="30"/>
      <c r="K459" s="15">
        <f>COUNTIF(Contacts[姓名],Contacts[[#This Row],[姓名]])</f>
        <v>874</v>
      </c>
    </row>
    <row r="460" spans="1:11" x14ac:dyDescent="0.15">
      <c r="A460" s="28"/>
      <c r="B460" s="15" t="s">
        <v>4380</v>
      </c>
      <c r="D460" s="29" t="s">
        <v>1452</v>
      </c>
      <c r="E460" s="129" t="s">
        <v>5315</v>
      </c>
      <c r="F460" s="15" t="s">
        <v>4487</v>
      </c>
      <c r="I460" s="28"/>
      <c r="J460" s="30"/>
      <c r="K460" s="15">
        <f>COUNTIF(Contacts[姓名],Contacts[[#This Row],[姓名]])</f>
        <v>874</v>
      </c>
    </row>
    <row r="461" spans="1:11" x14ac:dyDescent="0.15">
      <c r="A461" s="28"/>
      <c r="B461" s="15" t="s">
        <v>4380</v>
      </c>
      <c r="D461" s="29" t="s">
        <v>1451</v>
      </c>
      <c r="E461" s="129" t="s">
        <v>5315</v>
      </c>
      <c r="F461" s="15" t="s">
        <v>4487</v>
      </c>
      <c r="I461" s="28"/>
      <c r="J461" s="30"/>
      <c r="K461" s="15">
        <f>COUNTIF(Contacts[姓名],Contacts[[#This Row],[姓名]])</f>
        <v>874</v>
      </c>
    </row>
    <row r="462" spans="1:11" x14ac:dyDescent="0.15">
      <c r="A462" s="28"/>
      <c r="B462" s="15" t="s">
        <v>4380</v>
      </c>
      <c r="D462" s="29" t="s">
        <v>1450</v>
      </c>
      <c r="E462" s="129" t="s">
        <v>5315</v>
      </c>
      <c r="F462" s="15" t="s">
        <v>4487</v>
      </c>
      <c r="I462" s="28"/>
      <c r="J462" s="30"/>
      <c r="K462" s="15">
        <f>COUNTIF(Contacts[姓名],Contacts[[#This Row],[姓名]])</f>
        <v>874</v>
      </c>
    </row>
    <row r="463" spans="1:11" x14ac:dyDescent="0.15">
      <c r="A463" s="28"/>
      <c r="B463" s="15" t="s">
        <v>4380</v>
      </c>
      <c r="D463" s="29" t="s">
        <v>1449</v>
      </c>
      <c r="E463" s="129" t="s">
        <v>5315</v>
      </c>
      <c r="F463" s="15" t="s">
        <v>4487</v>
      </c>
      <c r="I463" s="28"/>
      <c r="J463" s="30"/>
      <c r="K463" s="15">
        <f>COUNTIF(Contacts[姓名],Contacts[[#This Row],[姓名]])</f>
        <v>874</v>
      </c>
    </row>
    <row r="464" spans="1:11" x14ac:dyDescent="0.15">
      <c r="A464" s="28"/>
      <c r="B464" s="15" t="s">
        <v>4380</v>
      </c>
      <c r="D464" s="29" t="s">
        <v>1448</v>
      </c>
      <c r="E464" s="129" t="s">
        <v>5315</v>
      </c>
      <c r="F464" s="15" t="s">
        <v>4487</v>
      </c>
      <c r="I464" s="28"/>
      <c r="J464" s="30"/>
      <c r="K464" s="15">
        <f>COUNTIF(Contacts[姓名],Contacts[[#This Row],[姓名]])</f>
        <v>874</v>
      </c>
    </row>
    <row r="465" spans="1:11" x14ac:dyDescent="0.15">
      <c r="A465" s="28"/>
      <c r="B465" s="15" t="s">
        <v>4380</v>
      </c>
      <c r="D465" s="29" t="s">
        <v>1447</v>
      </c>
      <c r="E465" s="129" t="s">
        <v>5315</v>
      </c>
      <c r="F465" s="15" t="s">
        <v>4487</v>
      </c>
      <c r="I465" s="28"/>
      <c r="J465" s="30"/>
      <c r="K465" s="15">
        <f>COUNTIF(Contacts[姓名],Contacts[[#This Row],[姓名]])</f>
        <v>874</v>
      </c>
    </row>
    <row r="466" spans="1:11" x14ac:dyDescent="0.15">
      <c r="A466" s="28"/>
      <c r="B466" s="15" t="s">
        <v>4380</v>
      </c>
      <c r="D466" s="29" t="s">
        <v>1444</v>
      </c>
      <c r="E466" s="129" t="s">
        <v>5315</v>
      </c>
      <c r="F466" s="15" t="s">
        <v>4487</v>
      </c>
      <c r="I466" s="28"/>
      <c r="J466" s="30"/>
      <c r="K466" s="15">
        <f>COUNTIF(Contacts[姓名],Contacts[[#This Row],[姓名]])</f>
        <v>874</v>
      </c>
    </row>
    <row r="467" spans="1:11" x14ac:dyDescent="0.15">
      <c r="A467" s="28"/>
      <c r="B467" s="15" t="s">
        <v>4380</v>
      </c>
      <c r="D467" s="29" t="s">
        <v>1443</v>
      </c>
      <c r="E467" s="129" t="s">
        <v>5315</v>
      </c>
      <c r="F467" s="15" t="s">
        <v>4487</v>
      </c>
      <c r="I467" s="28"/>
      <c r="J467" s="30"/>
      <c r="K467" s="15">
        <f>COUNTIF(Contacts[姓名],Contacts[[#This Row],[姓名]])</f>
        <v>874</v>
      </c>
    </row>
    <row r="468" spans="1:11" x14ac:dyDescent="0.15">
      <c r="A468" s="28"/>
      <c r="B468" s="15" t="s">
        <v>4380</v>
      </c>
      <c r="D468" s="29" t="s">
        <v>1442</v>
      </c>
      <c r="E468" s="129" t="s">
        <v>5315</v>
      </c>
      <c r="F468" s="15" t="s">
        <v>4487</v>
      </c>
      <c r="I468" s="28"/>
      <c r="J468" s="30"/>
      <c r="K468" s="15">
        <f>COUNTIF(Contacts[姓名],Contacts[[#This Row],[姓名]])</f>
        <v>874</v>
      </c>
    </row>
    <row r="469" spans="1:11" x14ac:dyDescent="0.15">
      <c r="A469" s="28"/>
      <c r="B469" s="15" t="s">
        <v>4380</v>
      </c>
      <c r="D469" s="29" t="s">
        <v>1441</v>
      </c>
      <c r="E469" s="129" t="s">
        <v>5315</v>
      </c>
      <c r="F469" s="15" t="s">
        <v>4487</v>
      </c>
      <c r="I469" s="28"/>
      <c r="J469" s="30"/>
      <c r="K469" s="15">
        <f>COUNTIF(Contacts[姓名],Contacts[[#This Row],[姓名]])</f>
        <v>874</v>
      </c>
    </row>
    <row r="470" spans="1:11" x14ac:dyDescent="0.15">
      <c r="A470" s="28"/>
      <c r="B470" s="15" t="s">
        <v>4380</v>
      </c>
      <c r="D470" s="29" t="s">
        <v>1440</v>
      </c>
      <c r="E470" s="129" t="s">
        <v>5315</v>
      </c>
      <c r="F470" s="15" t="s">
        <v>4487</v>
      </c>
      <c r="I470" s="28"/>
      <c r="J470" s="30"/>
      <c r="K470" s="15">
        <f>COUNTIF(Contacts[姓名],Contacts[[#This Row],[姓名]])</f>
        <v>874</v>
      </c>
    </row>
    <row r="471" spans="1:11" x14ac:dyDescent="0.15">
      <c r="A471" s="28"/>
      <c r="B471" s="15" t="s">
        <v>4380</v>
      </c>
      <c r="D471" s="29" t="s">
        <v>1439</v>
      </c>
      <c r="E471" s="129" t="s">
        <v>5315</v>
      </c>
      <c r="F471" s="15" t="s">
        <v>4487</v>
      </c>
      <c r="I471" s="28"/>
      <c r="J471" s="30"/>
      <c r="K471" s="15">
        <f>COUNTIF(Contacts[姓名],Contacts[[#This Row],[姓名]])</f>
        <v>874</v>
      </c>
    </row>
    <row r="472" spans="1:11" x14ac:dyDescent="0.15">
      <c r="A472" s="28"/>
      <c r="B472" s="15" t="s">
        <v>4380</v>
      </c>
      <c r="D472" s="29" t="s">
        <v>1438</v>
      </c>
      <c r="E472" s="129" t="s">
        <v>5315</v>
      </c>
      <c r="F472" s="15" t="s">
        <v>4487</v>
      </c>
      <c r="I472" s="28"/>
      <c r="J472" s="30"/>
      <c r="K472" s="15">
        <f>COUNTIF(Contacts[姓名],Contacts[[#This Row],[姓名]])</f>
        <v>874</v>
      </c>
    </row>
    <row r="473" spans="1:11" x14ac:dyDescent="0.15">
      <c r="A473" s="28"/>
      <c r="B473" s="15" t="s">
        <v>4380</v>
      </c>
      <c r="D473" s="29" t="s">
        <v>1437</v>
      </c>
      <c r="E473" s="129" t="s">
        <v>5315</v>
      </c>
      <c r="F473" s="15" t="s">
        <v>4487</v>
      </c>
      <c r="I473" s="28"/>
      <c r="J473" s="30"/>
      <c r="K473" s="15">
        <f>COUNTIF(Contacts[姓名],Contacts[[#This Row],[姓名]])</f>
        <v>874</v>
      </c>
    </row>
    <row r="474" spans="1:11" x14ac:dyDescent="0.15">
      <c r="A474" s="28"/>
      <c r="B474" s="15" t="s">
        <v>4380</v>
      </c>
      <c r="D474" s="29" t="s">
        <v>1435</v>
      </c>
      <c r="E474" s="129" t="s">
        <v>5315</v>
      </c>
      <c r="F474" s="15" t="s">
        <v>4487</v>
      </c>
      <c r="I474" s="28"/>
      <c r="J474" s="30"/>
      <c r="K474" s="15">
        <f>COUNTIF(Contacts[姓名],Contacts[[#This Row],[姓名]])</f>
        <v>874</v>
      </c>
    </row>
    <row r="475" spans="1:11" x14ac:dyDescent="0.15">
      <c r="A475" s="28"/>
      <c r="B475" s="15" t="s">
        <v>4380</v>
      </c>
      <c r="D475" s="29" t="s">
        <v>1434</v>
      </c>
      <c r="E475" s="129" t="s">
        <v>5315</v>
      </c>
      <c r="F475" s="15" t="s">
        <v>4487</v>
      </c>
      <c r="I475" s="28"/>
      <c r="J475" s="30"/>
      <c r="K475" s="15">
        <f>COUNTIF(Contacts[姓名],Contacts[[#This Row],[姓名]])</f>
        <v>874</v>
      </c>
    </row>
    <row r="476" spans="1:11" x14ac:dyDescent="0.15">
      <c r="A476" s="28"/>
      <c r="B476" s="15" t="s">
        <v>4380</v>
      </c>
      <c r="D476" s="29" t="s">
        <v>1433</v>
      </c>
      <c r="E476" s="129" t="s">
        <v>5315</v>
      </c>
      <c r="F476" s="15" t="s">
        <v>4487</v>
      </c>
      <c r="I476" s="28"/>
      <c r="J476" s="30"/>
      <c r="K476" s="15">
        <f>COUNTIF(Contacts[姓名],Contacts[[#This Row],[姓名]])</f>
        <v>874</v>
      </c>
    </row>
    <row r="477" spans="1:11" x14ac:dyDescent="0.15">
      <c r="A477" s="28"/>
      <c r="B477" s="15" t="s">
        <v>4380</v>
      </c>
      <c r="D477" s="29" t="s">
        <v>1431</v>
      </c>
      <c r="E477" s="129" t="s">
        <v>5315</v>
      </c>
      <c r="F477" s="15" t="s">
        <v>4487</v>
      </c>
      <c r="I477" s="28"/>
      <c r="J477" s="30"/>
      <c r="K477" s="15">
        <f>COUNTIF(Contacts[姓名],Contacts[[#This Row],[姓名]])</f>
        <v>874</v>
      </c>
    </row>
    <row r="478" spans="1:11" x14ac:dyDescent="0.15">
      <c r="A478" s="28"/>
      <c r="B478" s="15" t="s">
        <v>4380</v>
      </c>
      <c r="D478" s="29" t="s">
        <v>2631</v>
      </c>
      <c r="E478" s="129" t="s">
        <v>5315</v>
      </c>
      <c r="F478" s="15" t="s">
        <v>4487</v>
      </c>
      <c r="I478" s="28"/>
      <c r="J478" s="30"/>
      <c r="K478" s="15">
        <f>COUNTIF(Contacts[姓名],Contacts[[#This Row],[姓名]])</f>
        <v>874</v>
      </c>
    </row>
    <row r="479" spans="1:11" x14ac:dyDescent="0.15">
      <c r="A479" s="28"/>
      <c r="B479" s="15" t="s">
        <v>4380</v>
      </c>
      <c r="D479" s="29" t="s">
        <v>1125</v>
      </c>
      <c r="E479" s="129" t="s">
        <v>5315</v>
      </c>
      <c r="F479" s="15" t="s">
        <v>4487</v>
      </c>
      <c r="I479" s="28"/>
      <c r="J479" s="30"/>
      <c r="K479" s="15">
        <f>COUNTIF(Contacts[姓名],Contacts[[#This Row],[姓名]])</f>
        <v>874</v>
      </c>
    </row>
    <row r="480" spans="1:11" x14ac:dyDescent="0.15">
      <c r="A480" s="28"/>
      <c r="B480" s="15" t="s">
        <v>4380</v>
      </c>
      <c r="D480" s="29" t="s">
        <v>1123</v>
      </c>
      <c r="E480" s="129" t="s">
        <v>5315</v>
      </c>
      <c r="F480" s="15" t="s">
        <v>4487</v>
      </c>
      <c r="I480" s="28"/>
      <c r="J480" s="30"/>
      <c r="K480" s="15">
        <f>COUNTIF(Contacts[姓名],Contacts[[#This Row],[姓名]])</f>
        <v>874</v>
      </c>
    </row>
    <row r="481" spans="1:11" x14ac:dyDescent="0.15">
      <c r="A481" s="28"/>
      <c r="B481" s="15" t="s">
        <v>4380</v>
      </c>
      <c r="D481" s="29" t="s">
        <v>1429</v>
      </c>
      <c r="E481" s="129" t="s">
        <v>5315</v>
      </c>
      <c r="F481" s="15" t="s">
        <v>4487</v>
      </c>
      <c r="I481" s="28"/>
      <c r="J481" s="30"/>
      <c r="K481" s="15">
        <f>COUNTIF(Contacts[姓名],Contacts[[#This Row],[姓名]])</f>
        <v>874</v>
      </c>
    </row>
    <row r="482" spans="1:11" x14ac:dyDescent="0.15">
      <c r="A482" s="28"/>
      <c r="B482" s="15" t="s">
        <v>4380</v>
      </c>
      <c r="D482" s="29" t="s">
        <v>1120</v>
      </c>
      <c r="E482" s="129" t="s">
        <v>5315</v>
      </c>
      <c r="F482" s="15" t="s">
        <v>4487</v>
      </c>
      <c r="I482" s="28"/>
      <c r="J482" s="30"/>
      <c r="K482" s="15">
        <f>COUNTIF(Contacts[姓名],Contacts[[#This Row],[姓名]])</f>
        <v>874</v>
      </c>
    </row>
    <row r="483" spans="1:11" x14ac:dyDescent="0.15">
      <c r="A483" s="28"/>
      <c r="B483" s="15" t="s">
        <v>4380</v>
      </c>
      <c r="D483" s="29" t="s">
        <v>1428</v>
      </c>
      <c r="E483" s="129" t="s">
        <v>5315</v>
      </c>
      <c r="F483" s="15" t="s">
        <v>4487</v>
      </c>
      <c r="I483" s="28"/>
      <c r="J483" s="30"/>
      <c r="K483" s="15">
        <f>COUNTIF(Contacts[姓名],Contacts[[#This Row],[姓名]])</f>
        <v>874</v>
      </c>
    </row>
    <row r="484" spans="1:11" x14ac:dyDescent="0.15">
      <c r="A484" s="28"/>
      <c r="B484" s="15" t="s">
        <v>4380</v>
      </c>
      <c r="D484" s="29" t="s">
        <v>1427</v>
      </c>
      <c r="E484" s="129" t="s">
        <v>5315</v>
      </c>
      <c r="F484" s="15" t="s">
        <v>4487</v>
      </c>
      <c r="I484" s="28"/>
      <c r="J484" s="30"/>
      <c r="K484" s="15">
        <f>COUNTIF(Contacts[姓名],Contacts[[#This Row],[姓名]])</f>
        <v>874</v>
      </c>
    </row>
    <row r="485" spans="1:11" x14ac:dyDescent="0.15">
      <c r="A485" s="28"/>
      <c r="B485" s="15" t="s">
        <v>4380</v>
      </c>
      <c r="D485" s="29" t="s">
        <v>2608</v>
      </c>
      <c r="E485" s="129" t="s">
        <v>5315</v>
      </c>
      <c r="F485" s="15" t="s">
        <v>4487</v>
      </c>
      <c r="I485" s="28"/>
      <c r="J485" s="30"/>
      <c r="K485" s="15">
        <f>COUNTIF(Contacts[姓名],Contacts[[#This Row],[姓名]])</f>
        <v>874</v>
      </c>
    </row>
    <row r="486" spans="1:11" x14ac:dyDescent="0.15">
      <c r="A486" s="28"/>
      <c r="B486" s="15" t="s">
        <v>4380</v>
      </c>
      <c r="D486" s="29" t="s">
        <v>2630</v>
      </c>
      <c r="E486" s="129" t="s">
        <v>5315</v>
      </c>
      <c r="F486" s="15" t="s">
        <v>4487</v>
      </c>
      <c r="I486" s="28"/>
      <c r="J486" s="30"/>
      <c r="K486" s="15">
        <f>COUNTIF(Contacts[姓名],Contacts[[#This Row],[姓名]])</f>
        <v>874</v>
      </c>
    </row>
    <row r="487" spans="1:11" x14ac:dyDescent="0.15">
      <c r="A487" s="28"/>
      <c r="B487" s="15" t="s">
        <v>4380</v>
      </c>
      <c r="D487" s="29" t="s">
        <v>2662</v>
      </c>
      <c r="E487" s="129" t="s">
        <v>5315</v>
      </c>
      <c r="F487" s="15" t="s">
        <v>4487</v>
      </c>
      <c r="I487" s="28"/>
      <c r="J487" s="30"/>
      <c r="K487" s="15">
        <f>COUNTIF(Contacts[姓名],Contacts[[#This Row],[姓名]])</f>
        <v>874</v>
      </c>
    </row>
    <row r="488" spans="1:11" x14ac:dyDescent="0.15">
      <c r="A488" s="28"/>
      <c r="B488" s="15" t="s">
        <v>4380</v>
      </c>
      <c r="D488" s="29" t="s">
        <v>1421</v>
      </c>
      <c r="E488" s="129" t="s">
        <v>5315</v>
      </c>
      <c r="F488" s="15" t="s">
        <v>4487</v>
      </c>
      <c r="I488" s="28"/>
      <c r="J488" s="30"/>
      <c r="K488" s="15">
        <f>COUNTIF(Contacts[姓名],Contacts[[#This Row],[姓名]])</f>
        <v>874</v>
      </c>
    </row>
    <row r="489" spans="1:11" x14ac:dyDescent="0.15">
      <c r="A489" s="28"/>
      <c r="B489" s="15" t="s">
        <v>4380</v>
      </c>
      <c r="D489" s="29" t="s">
        <v>2597</v>
      </c>
      <c r="E489" s="129" t="s">
        <v>5315</v>
      </c>
      <c r="F489" s="15" t="s">
        <v>4487</v>
      </c>
      <c r="I489" s="28"/>
      <c r="J489" s="30"/>
      <c r="K489" s="15">
        <f>COUNTIF(Contacts[姓名],Contacts[[#This Row],[姓名]])</f>
        <v>874</v>
      </c>
    </row>
    <row r="490" spans="1:11" x14ac:dyDescent="0.15">
      <c r="A490" s="28"/>
      <c r="B490" s="15" t="s">
        <v>4380</v>
      </c>
      <c r="D490" s="29" t="s">
        <v>2709</v>
      </c>
      <c r="E490" s="129" t="s">
        <v>5315</v>
      </c>
      <c r="F490" s="15" t="s">
        <v>4487</v>
      </c>
      <c r="I490" s="28"/>
      <c r="J490" s="30"/>
      <c r="K490" s="15">
        <f>COUNTIF(Contacts[姓名],Contacts[[#This Row],[姓名]])</f>
        <v>874</v>
      </c>
    </row>
    <row r="491" spans="1:11" x14ac:dyDescent="0.15">
      <c r="A491" s="28"/>
      <c r="B491" s="15" t="s">
        <v>4380</v>
      </c>
      <c r="D491" s="29" t="s">
        <v>1420</v>
      </c>
      <c r="E491" s="129" t="s">
        <v>5315</v>
      </c>
      <c r="F491" s="15" t="s">
        <v>4487</v>
      </c>
      <c r="I491" s="28"/>
      <c r="J491" s="30"/>
      <c r="K491" s="15">
        <f>COUNTIF(Contacts[姓名],Contacts[[#This Row],[姓名]])</f>
        <v>874</v>
      </c>
    </row>
    <row r="492" spans="1:11" x14ac:dyDescent="0.15">
      <c r="A492" s="28"/>
      <c r="B492" s="15" t="s">
        <v>4380</v>
      </c>
      <c r="D492" s="29" t="s">
        <v>1419</v>
      </c>
      <c r="E492" s="129" t="s">
        <v>5315</v>
      </c>
      <c r="F492" s="15" t="s">
        <v>4487</v>
      </c>
      <c r="I492" s="28"/>
      <c r="J492" s="30"/>
      <c r="K492" s="15">
        <f>COUNTIF(Contacts[姓名],Contacts[[#This Row],[姓名]])</f>
        <v>874</v>
      </c>
    </row>
    <row r="493" spans="1:11" x14ac:dyDescent="0.15">
      <c r="A493" s="28"/>
      <c r="B493" s="15" t="s">
        <v>4380</v>
      </c>
      <c r="D493" s="29" t="s">
        <v>2629</v>
      </c>
      <c r="E493" s="129" t="s">
        <v>5315</v>
      </c>
      <c r="F493" s="15" t="s">
        <v>4487</v>
      </c>
      <c r="I493" s="28"/>
      <c r="J493" s="30"/>
      <c r="K493" s="15">
        <f>COUNTIF(Contacts[姓名],Contacts[[#This Row],[姓名]])</f>
        <v>874</v>
      </c>
    </row>
    <row r="494" spans="1:11" x14ac:dyDescent="0.15">
      <c r="A494" s="28"/>
      <c r="B494" s="15" t="s">
        <v>4380</v>
      </c>
      <c r="D494" s="29" t="s">
        <v>2582</v>
      </c>
      <c r="E494" s="129" t="s">
        <v>5315</v>
      </c>
      <c r="F494" s="15" t="s">
        <v>4487</v>
      </c>
      <c r="I494" s="28"/>
      <c r="J494" s="30"/>
      <c r="K494" s="15">
        <f>COUNTIF(Contacts[姓名],Contacts[[#This Row],[姓名]])</f>
        <v>874</v>
      </c>
    </row>
    <row r="495" spans="1:11" x14ac:dyDescent="0.15">
      <c r="A495" s="28"/>
      <c r="B495" s="15" t="s">
        <v>4380</v>
      </c>
      <c r="D495" s="29" t="s">
        <v>2610</v>
      </c>
      <c r="E495" s="129" t="s">
        <v>5315</v>
      </c>
      <c r="F495" s="15" t="s">
        <v>4487</v>
      </c>
      <c r="I495" s="28"/>
      <c r="J495" s="30"/>
      <c r="K495" s="15">
        <f>COUNTIF(Contacts[姓名],Contacts[[#This Row],[姓名]])</f>
        <v>874</v>
      </c>
    </row>
    <row r="496" spans="1:11" x14ac:dyDescent="0.15">
      <c r="A496" s="28"/>
      <c r="B496" s="15" t="s">
        <v>4380</v>
      </c>
      <c r="D496" s="29" t="s">
        <v>1418</v>
      </c>
      <c r="E496" s="129" t="s">
        <v>5315</v>
      </c>
      <c r="F496" s="15" t="s">
        <v>4487</v>
      </c>
      <c r="I496" s="28"/>
      <c r="J496" s="30"/>
      <c r="K496" s="15">
        <f>COUNTIF(Contacts[姓名],Contacts[[#This Row],[姓名]])</f>
        <v>874</v>
      </c>
    </row>
    <row r="497" spans="1:11" x14ac:dyDescent="0.15">
      <c r="A497" s="28"/>
      <c r="B497" s="15" t="s">
        <v>4380</v>
      </c>
      <c r="D497" s="29" t="s">
        <v>1417</v>
      </c>
      <c r="E497" s="129" t="s">
        <v>5315</v>
      </c>
      <c r="F497" s="15" t="s">
        <v>4487</v>
      </c>
      <c r="I497" s="28"/>
      <c r="J497" s="30"/>
      <c r="K497" s="15">
        <f>COUNTIF(Contacts[姓名],Contacts[[#This Row],[姓名]])</f>
        <v>874</v>
      </c>
    </row>
    <row r="498" spans="1:11" x14ac:dyDescent="0.15">
      <c r="A498" s="28" t="s">
        <v>551</v>
      </c>
      <c r="B498" s="15" t="s">
        <v>4380</v>
      </c>
      <c r="C498" s="15">
        <v>2880265336</v>
      </c>
      <c r="D498" s="29" t="s">
        <v>1119</v>
      </c>
      <c r="E498" s="129" t="s">
        <v>5315</v>
      </c>
      <c r="F498" s="15" t="s">
        <v>4505</v>
      </c>
      <c r="I498" s="28"/>
      <c r="J498" s="30"/>
      <c r="K498" s="15">
        <f>COUNTIF(Contacts[姓名],Contacts[[#This Row],[姓名]])</f>
        <v>1</v>
      </c>
    </row>
    <row r="499" spans="1:11" x14ac:dyDescent="0.15">
      <c r="A499" s="28" t="s">
        <v>816</v>
      </c>
      <c r="B499" s="15" t="s">
        <v>4380</v>
      </c>
      <c r="D499" s="29" t="s">
        <v>2584</v>
      </c>
      <c r="E499" s="129" t="s">
        <v>5315</v>
      </c>
      <c r="F499" s="15" t="s">
        <v>4487</v>
      </c>
      <c r="I499" s="28"/>
      <c r="J499" s="30"/>
      <c r="K499" s="15">
        <f>COUNTIF(Contacts[姓名],Contacts[[#This Row],[姓名]])</f>
        <v>874</v>
      </c>
    </row>
    <row r="500" spans="1:11" x14ac:dyDescent="0.15">
      <c r="A500" s="28" t="s">
        <v>1046</v>
      </c>
      <c r="B500" s="15" t="s">
        <v>4380</v>
      </c>
      <c r="D500" s="29" t="s">
        <v>1398</v>
      </c>
      <c r="E500" s="129" t="s">
        <v>5315</v>
      </c>
      <c r="F500" s="15" t="s">
        <v>4487</v>
      </c>
      <c r="I500" s="28"/>
      <c r="J500" s="30"/>
      <c r="K500" s="15">
        <f>COUNTIF(Contacts[姓名],Contacts[[#This Row],[姓名]])</f>
        <v>874</v>
      </c>
    </row>
    <row r="501" spans="1:11" x14ac:dyDescent="0.15">
      <c r="A501" s="28" t="s">
        <v>584</v>
      </c>
      <c r="B501" s="15" t="s">
        <v>4380</v>
      </c>
      <c r="D501" s="29" t="s">
        <v>1396</v>
      </c>
      <c r="E501" s="129" t="s">
        <v>5315</v>
      </c>
      <c r="F501" s="15" t="s">
        <v>6197</v>
      </c>
      <c r="I501" s="28"/>
      <c r="J501" s="30"/>
      <c r="K501" s="15">
        <f>COUNTIF(Contacts[姓名],Contacts[[#This Row],[姓名]])</f>
        <v>1</v>
      </c>
    </row>
    <row r="502" spans="1:11" x14ac:dyDescent="0.15">
      <c r="A502" s="28" t="s">
        <v>499</v>
      </c>
      <c r="B502" s="15" t="s">
        <v>4380</v>
      </c>
      <c r="D502" s="29" t="s">
        <v>1361</v>
      </c>
      <c r="E502" s="129" t="s">
        <v>5315</v>
      </c>
      <c r="F502" s="15" t="s">
        <v>4487</v>
      </c>
      <c r="I502" s="28"/>
      <c r="J502" s="30"/>
      <c r="K502" s="15">
        <f>COUNTIF(Contacts[姓名],Contacts[[#This Row],[姓名]])</f>
        <v>874</v>
      </c>
    </row>
    <row r="503" spans="1:11" x14ac:dyDescent="0.15">
      <c r="A503" s="28" t="s">
        <v>499</v>
      </c>
      <c r="B503" s="15" t="s">
        <v>4380</v>
      </c>
      <c r="D503" s="29" t="s">
        <v>1360</v>
      </c>
      <c r="E503" s="129" t="s">
        <v>5315</v>
      </c>
      <c r="F503" s="15" t="s">
        <v>4487</v>
      </c>
      <c r="I503" s="28"/>
      <c r="J503" s="30"/>
      <c r="K503" s="15">
        <f>COUNTIF(Contacts[姓名],Contacts[[#This Row],[姓名]])</f>
        <v>874</v>
      </c>
    </row>
    <row r="504" spans="1:11" x14ac:dyDescent="0.15">
      <c r="A504" s="28" t="s">
        <v>493</v>
      </c>
      <c r="B504" s="15" t="s">
        <v>4380</v>
      </c>
      <c r="D504" s="29" t="s">
        <v>1387</v>
      </c>
      <c r="E504" s="129" t="s">
        <v>5315</v>
      </c>
      <c r="F504" s="15" t="s">
        <v>4487</v>
      </c>
      <c r="I504" s="28"/>
      <c r="J504" s="30"/>
      <c r="K504" s="15">
        <f>COUNTIF(Contacts[姓名],Contacts[[#This Row],[姓名]])</f>
        <v>874</v>
      </c>
    </row>
    <row r="505" spans="1:11" x14ac:dyDescent="0.15">
      <c r="A505" s="28" t="s">
        <v>553</v>
      </c>
      <c r="B505" s="15" t="s">
        <v>4380</v>
      </c>
      <c r="D505" s="29" t="s">
        <v>1385</v>
      </c>
      <c r="E505" s="129" t="s">
        <v>5315</v>
      </c>
      <c r="F505" s="15" t="s">
        <v>4487</v>
      </c>
      <c r="I505" s="28"/>
      <c r="J505" s="30"/>
      <c r="K505" s="15">
        <f>COUNTIF(Contacts[姓名],Contacts[[#This Row],[姓名]])</f>
        <v>874</v>
      </c>
    </row>
    <row r="506" spans="1:11" x14ac:dyDescent="0.15">
      <c r="A506" s="28" t="s">
        <v>1370</v>
      </c>
      <c r="B506" s="15" t="s">
        <v>4380</v>
      </c>
      <c r="D506" s="29" t="s">
        <v>1369</v>
      </c>
      <c r="E506" s="129" t="s">
        <v>5315</v>
      </c>
      <c r="F506" s="15" t="s">
        <v>4487</v>
      </c>
      <c r="I506" s="28"/>
      <c r="J506" s="30"/>
      <c r="K506" s="15">
        <f>COUNTIF(Contacts[姓名],Contacts[[#This Row],[姓名]])</f>
        <v>874</v>
      </c>
    </row>
    <row r="507" spans="1:11" x14ac:dyDescent="0.15">
      <c r="A507" s="28" t="s">
        <v>709</v>
      </c>
      <c r="B507" s="15" t="s">
        <v>4380</v>
      </c>
      <c r="D507" s="29" t="s">
        <v>2601</v>
      </c>
      <c r="E507" s="129" t="s">
        <v>5315</v>
      </c>
      <c r="F507" s="15" t="s">
        <v>4487</v>
      </c>
      <c r="I507" s="28"/>
      <c r="J507" s="30"/>
      <c r="K507" s="15">
        <f>COUNTIF(Contacts[姓名],Contacts[[#This Row],[姓名]])</f>
        <v>874</v>
      </c>
    </row>
    <row r="508" spans="1:11" x14ac:dyDescent="0.15">
      <c r="A508" s="28" t="s">
        <v>498</v>
      </c>
      <c r="B508" s="15" t="s">
        <v>4380</v>
      </c>
      <c r="C508" s="15">
        <v>2881536711</v>
      </c>
      <c r="D508" s="29" t="s">
        <v>1358</v>
      </c>
      <c r="E508" s="129" t="s">
        <v>5315</v>
      </c>
      <c r="F508" s="15" t="s">
        <v>4506</v>
      </c>
      <c r="H508" s="15" t="s">
        <v>3312</v>
      </c>
      <c r="I508" s="28" t="s">
        <v>3290</v>
      </c>
      <c r="J508" s="30"/>
      <c r="K508" s="15">
        <f>COUNTIF(Contacts[姓名],Contacts[[#This Row],[姓名]])</f>
        <v>1</v>
      </c>
    </row>
    <row r="509" spans="1:11" x14ac:dyDescent="0.15">
      <c r="A509" s="28" t="s">
        <v>498</v>
      </c>
      <c r="B509" s="15" t="s">
        <v>4380</v>
      </c>
      <c r="D509" s="29" t="s">
        <v>1374</v>
      </c>
      <c r="E509" s="129" t="s">
        <v>5315</v>
      </c>
      <c r="F509" s="15" t="s">
        <v>4487</v>
      </c>
      <c r="I509" s="28"/>
      <c r="J509" s="30"/>
      <c r="K509" s="15">
        <f>COUNTIF(Contacts[姓名],Contacts[[#This Row],[姓名]])</f>
        <v>874</v>
      </c>
    </row>
    <row r="510" spans="1:11" x14ac:dyDescent="0.15">
      <c r="A510" s="28" t="s">
        <v>498</v>
      </c>
      <c r="B510" s="15" t="s">
        <v>4380</v>
      </c>
      <c r="D510" s="29" t="s">
        <v>1373</v>
      </c>
      <c r="E510" s="129" t="s">
        <v>5315</v>
      </c>
      <c r="F510" s="15" t="s">
        <v>4487</v>
      </c>
      <c r="I510" s="28"/>
      <c r="J510" s="30"/>
      <c r="K510" s="15">
        <f>COUNTIF(Contacts[姓名],Contacts[[#This Row],[姓名]])</f>
        <v>874</v>
      </c>
    </row>
    <row r="511" spans="1:11" x14ac:dyDescent="0.15">
      <c r="A511" s="28" t="s">
        <v>498</v>
      </c>
      <c r="B511" s="15" t="s">
        <v>4380</v>
      </c>
      <c r="D511" s="29" t="s">
        <v>1345</v>
      </c>
      <c r="E511" s="129" t="s">
        <v>5315</v>
      </c>
      <c r="F511" s="15" t="s">
        <v>4487</v>
      </c>
      <c r="I511" s="28"/>
      <c r="J511" s="30"/>
      <c r="K511" s="15">
        <f>COUNTIF(Contacts[姓名],Contacts[[#This Row],[姓名]])</f>
        <v>874</v>
      </c>
    </row>
    <row r="512" spans="1:11" x14ac:dyDescent="0.15">
      <c r="A512" s="28" t="s">
        <v>858</v>
      </c>
      <c r="B512" s="15" t="s">
        <v>4380</v>
      </c>
      <c r="D512" s="29" t="s">
        <v>1268</v>
      </c>
      <c r="E512" s="129" t="s">
        <v>5315</v>
      </c>
      <c r="F512" s="15" t="s">
        <v>4487</v>
      </c>
      <c r="I512" s="28"/>
      <c r="J512" s="30"/>
      <c r="K512" s="15">
        <f>COUNTIF(Contacts[姓名],Contacts[[#This Row],[姓名]])</f>
        <v>874</v>
      </c>
    </row>
    <row r="513" spans="1:11" x14ac:dyDescent="0.15">
      <c r="A513" s="28" t="s">
        <v>492</v>
      </c>
      <c r="B513" s="15" t="s">
        <v>4380</v>
      </c>
      <c r="D513" s="29" t="s">
        <v>1394</v>
      </c>
      <c r="E513" s="129" t="s">
        <v>5315</v>
      </c>
      <c r="F513" s="15" t="s">
        <v>4487</v>
      </c>
      <c r="I513" s="28"/>
      <c r="J513" s="30"/>
      <c r="K513" s="15">
        <f>COUNTIF(Contacts[姓名],Contacts[[#This Row],[姓名]])</f>
        <v>874</v>
      </c>
    </row>
    <row r="514" spans="1:11" x14ac:dyDescent="0.15">
      <c r="A514" s="28" t="s">
        <v>492</v>
      </c>
      <c r="B514" s="15" t="s">
        <v>4380</v>
      </c>
      <c r="D514" s="29" t="s">
        <v>1352</v>
      </c>
      <c r="E514" s="129" t="s">
        <v>5315</v>
      </c>
      <c r="F514" s="15" t="s">
        <v>4487</v>
      </c>
      <c r="I514" s="28"/>
      <c r="J514" s="30"/>
      <c r="K514" s="15">
        <f>COUNTIF(Contacts[姓名],Contacts[[#This Row],[姓名]])</f>
        <v>874</v>
      </c>
    </row>
    <row r="515" spans="1:11" x14ac:dyDescent="0.15">
      <c r="A515" s="28" t="s">
        <v>492</v>
      </c>
      <c r="B515" s="15" t="s">
        <v>4380</v>
      </c>
      <c r="D515" s="29" t="s">
        <v>1351</v>
      </c>
      <c r="E515" s="129" t="s">
        <v>5315</v>
      </c>
      <c r="F515" s="15" t="s">
        <v>4487</v>
      </c>
      <c r="I515" s="28"/>
      <c r="J515" s="30"/>
      <c r="K515" s="15">
        <f>COUNTIF(Contacts[姓名],Contacts[[#This Row],[姓名]])</f>
        <v>874</v>
      </c>
    </row>
    <row r="516" spans="1:11" x14ac:dyDescent="0.15">
      <c r="A516" s="28" t="s">
        <v>811</v>
      </c>
      <c r="B516" s="15" t="s">
        <v>4380</v>
      </c>
      <c r="D516" s="29" t="s">
        <v>811</v>
      </c>
      <c r="E516" s="129" t="s">
        <v>5315</v>
      </c>
      <c r="F516" s="15" t="s">
        <v>4487</v>
      </c>
      <c r="I516" s="28"/>
      <c r="J516" s="30"/>
      <c r="K516" s="15">
        <f>COUNTIF(Contacts[姓名],Contacts[[#This Row],[姓名]])</f>
        <v>874</v>
      </c>
    </row>
    <row r="517" spans="1:11" x14ac:dyDescent="0.15">
      <c r="A517" s="28" t="s">
        <v>600</v>
      </c>
      <c r="B517" s="15" t="s">
        <v>4380</v>
      </c>
      <c r="C517" s="15">
        <v>370224259</v>
      </c>
      <c r="D517" s="29" t="s">
        <v>1646</v>
      </c>
      <c r="E517" s="129" t="s">
        <v>5315</v>
      </c>
      <c r="F517" s="15" t="s">
        <v>4507</v>
      </c>
      <c r="H517" s="15" t="s">
        <v>3300</v>
      </c>
      <c r="I517" s="28"/>
      <c r="J517" s="30"/>
      <c r="K517" s="15">
        <f>COUNTIF(Contacts[姓名],Contacts[[#This Row],[姓名]])</f>
        <v>1</v>
      </c>
    </row>
    <row r="518" spans="1:11" x14ac:dyDescent="0.15">
      <c r="A518" s="28" t="s">
        <v>1253</v>
      </c>
      <c r="B518" s="15" t="s">
        <v>4380</v>
      </c>
      <c r="D518" s="29" t="s">
        <v>2664</v>
      </c>
      <c r="E518" s="129" t="s">
        <v>5315</v>
      </c>
      <c r="F518" s="15" t="s">
        <v>4487</v>
      </c>
      <c r="I518" s="28"/>
      <c r="J518" s="30"/>
      <c r="K518" s="15">
        <f>COUNTIF(Contacts[姓名],Contacts[[#This Row],[姓名]])</f>
        <v>874</v>
      </c>
    </row>
    <row r="519" spans="1:11" x14ac:dyDescent="0.15">
      <c r="A519" s="28" t="s">
        <v>543</v>
      </c>
      <c r="B519" s="15" t="s">
        <v>4380</v>
      </c>
      <c r="D519" s="29" t="s">
        <v>1401</v>
      </c>
      <c r="E519" s="129" t="s">
        <v>5315</v>
      </c>
      <c r="F519" s="15" t="s">
        <v>4487</v>
      </c>
      <c r="I519" s="28"/>
      <c r="J519" s="30"/>
      <c r="K519" s="15">
        <f>COUNTIF(Contacts[姓名],Contacts[[#This Row],[姓名]])</f>
        <v>874</v>
      </c>
    </row>
    <row r="520" spans="1:11" x14ac:dyDescent="0.15">
      <c r="A520" s="28" t="s">
        <v>1342</v>
      </c>
      <c r="B520" s="15" t="s">
        <v>4380</v>
      </c>
      <c r="D520" s="29" t="s">
        <v>1341</v>
      </c>
      <c r="E520" s="129" t="s">
        <v>5315</v>
      </c>
      <c r="F520" s="15" t="s">
        <v>4487</v>
      </c>
      <c r="I520" s="28"/>
      <c r="J520" s="30"/>
      <c r="K520" s="15">
        <f>COUNTIF(Contacts[姓名],Contacts[[#This Row],[姓名]])</f>
        <v>874</v>
      </c>
    </row>
    <row r="521" spans="1:11" x14ac:dyDescent="0.15">
      <c r="A521" s="28" t="s">
        <v>823</v>
      </c>
      <c r="B521" s="15" t="s">
        <v>4380</v>
      </c>
      <c r="D521" s="29" t="s">
        <v>1340</v>
      </c>
      <c r="E521" s="129" t="s">
        <v>5315</v>
      </c>
      <c r="F521" s="15" t="s">
        <v>4487</v>
      </c>
      <c r="I521" s="28"/>
      <c r="J521" s="30"/>
      <c r="K521" s="15">
        <f>COUNTIF(Contacts[姓名],Contacts[[#This Row],[姓名]])</f>
        <v>874</v>
      </c>
    </row>
    <row r="522" spans="1:11" x14ac:dyDescent="0.15">
      <c r="A522" s="28"/>
      <c r="B522" s="15" t="s">
        <v>4380</v>
      </c>
      <c r="C522" s="15">
        <v>343154731</v>
      </c>
      <c r="D522" s="29" t="s">
        <v>1416</v>
      </c>
      <c r="E522" s="129" t="s">
        <v>5315</v>
      </c>
      <c r="F522" s="15" t="s">
        <v>4487</v>
      </c>
      <c r="I522" s="28"/>
      <c r="J522" s="30"/>
      <c r="K522" s="15">
        <f>COUNTIF(Contacts[姓名],Contacts[[#This Row],[姓名]])</f>
        <v>874</v>
      </c>
    </row>
    <row r="523" spans="1:11" x14ac:dyDescent="0.15">
      <c r="A523" s="28"/>
      <c r="B523" s="15" t="s">
        <v>4380</v>
      </c>
      <c r="D523" s="29" t="s">
        <v>1175</v>
      </c>
      <c r="E523" s="129" t="s">
        <v>5315</v>
      </c>
      <c r="F523" s="15" t="s">
        <v>4487</v>
      </c>
      <c r="I523" s="28"/>
      <c r="J523" s="30"/>
      <c r="K523" s="15">
        <f>COUNTIF(Contacts[姓名],Contacts[[#This Row],[姓名]])</f>
        <v>874</v>
      </c>
    </row>
    <row r="524" spans="1:11" x14ac:dyDescent="0.15">
      <c r="A524" s="28"/>
      <c r="B524" s="15" t="s">
        <v>4380</v>
      </c>
      <c r="D524" s="29" t="s">
        <v>1415</v>
      </c>
      <c r="E524" s="129" t="s">
        <v>5315</v>
      </c>
      <c r="F524" s="15" t="s">
        <v>4487</v>
      </c>
      <c r="I524" s="28"/>
      <c r="J524" s="30"/>
      <c r="K524" s="15">
        <f>COUNTIF(Contacts[姓名],Contacts[[#This Row],[姓名]])</f>
        <v>874</v>
      </c>
    </row>
    <row r="525" spans="1:11" x14ac:dyDescent="0.15">
      <c r="A525" s="28"/>
      <c r="B525" s="15" t="s">
        <v>4380</v>
      </c>
      <c r="D525" s="29" t="s">
        <v>1414</v>
      </c>
      <c r="E525" s="129" t="s">
        <v>5315</v>
      </c>
      <c r="F525" s="15" t="s">
        <v>4487</v>
      </c>
      <c r="I525" s="28"/>
      <c r="J525" s="30"/>
      <c r="K525" s="15">
        <f>COUNTIF(Contacts[姓名],Contacts[[#This Row],[姓名]])</f>
        <v>874</v>
      </c>
    </row>
    <row r="526" spans="1:11" x14ac:dyDescent="0.15">
      <c r="A526" s="28"/>
      <c r="B526" s="15" t="s">
        <v>4380</v>
      </c>
      <c r="D526" s="29" t="s">
        <v>1413</v>
      </c>
      <c r="E526" s="129" t="s">
        <v>5315</v>
      </c>
      <c r="F526" s="15" t="s">
        <v>4487</v>
      </c>
      <c r="I526" s="28"/>
      <c r="J526" s="30"/>
      <c r="K526" s="15">
        <f>COUNTIF(Contacts[姓名],Contacts[[#This Row],[姓名]])</f>
        <v>874</v>
      </c>
    </row>
    <row r="527" spans="1:11" x14ac:dyDescent="0.15">
      <c r="A527" s="28"/>
      <c r="B527" s="15" t="s">
        <v>4380</v>
      </c>
      <c r="D527" s="29" t="s">
        <v>1412</v>
      </c>
      <c r="E527" s="129" t="s">
        <v>5315</v>
      </c>
      <c r="F527" s="15" t="s">
        <v>4487</v>
      </c>
      <c r="I527" s="28"/>
      <c r="J527" s="30"/>
      <c r="K527" s="15">
        <f>COUNTIF(Contacts[姓名],Contacts[[#This Row],[姓名]])</f>
        <v>874</v>
      </c>
    </row>
    <row r="528" spans="1:11" x14ac:dyDescent="0.15">
      <c r="A528" s="28"/>
      <c r="B528" s="15" t="s">
        <v>4380</v>
      </c>
      <c r="D528" s="29" t="s">
        <v>1411</v>
      </c>
      <c r="E528" s="129" t="s">
        <v>5315</v>
      </c>
      <c r="F528" s="15" t="s">
        <v>4487</v>
      </c>
      <c r="I528" s="28"/>
      <c r="J528" s="30"/>
      <c r="K528" s="15">
        <f>COUNTIF(Contacts[姓名],Contacts[[#This Row],[姓名]])</f>
        <v>874</v>
      </c>
    </row>
    <row r="529" spans="1:11" x14ac:dyDescent="0.15">
      <c r="A529" s="28"/>
      <c r="B529" s="15" t="s">
        <v>4380</v>
      </c>
      <c r="D529" s="29" t="s">
        <v>1409</v>
      </c>
      <c r="E529" s="129" t="s">
        <v>5315</v>
      </c>
      <c r="F529" s="15" t="s">
        <v>4487</v>
      </c>
      <c r="I529" s="28"/>
      <c r="J529" s="30"/>
      <c r="K529" s="15">
        <f>COUNTIF(Contacts[姓名],Contacts[[#This Row],[姓名]])</f>
        <v>874</v>
      </c>
    </row>
    <row r="530" spans="1:11" x14ac:dyDescent="0.15">
      <c r="A530" s="28"/>
      <c r="B530" s="15" t="s">
        <v>4380</v>
      </c>
      <c r="D530" s="29" t="s">
        <v>1408</v>
      </c>
      <c r="E530" s="129" t="s">
        <v>5315</v>
      </c>
      <c r="F530" s="15" t="s">
        <v>4487</v>
      </c>
      <c r="I530" s="28"/>
      <c r="J530" s="30"/>
      <c r="K530" s="15">
        <f>COUNTIF(Contacts[姓名],Contacts[[#This Row],[姓名]])</f>
        <v>874</v>
      </c>
    </row>
    <row r="531" spans="1:11" x14ac:dyDescent="0.15">
      <c r="A531" s="28"/>
      <c r="B531" s="15" t="s">
        <v>4380</v>
      </c>
      <c r="D531" s="29" t="s">
        <v>1407</v>
      </c>
      <c r="E531" s="129" t="s">
        <v>5315</v>
      </c>
      <c r="F531" s="15" t="s">
        <v>4487</v>
      </c>
      <c r="I531" s="28"/>
      <c r="J531" s="30"/>
      <c r="K531" s="15">
        <f>COUNTIF(Contacts[姓名],Contacts[[#This Row],[姓名]])</f>
        <v>874</v>
      </c>
    </row>
    <row r="532" spans="1:11" x14ac:dyDescent="0.15">
      <c r="A532" s="28"/>
      <c r="B532" s="15" t="s">
        <v>4380</v>
      </c>
      <c r="D532" s="29" t="s">
        <v>1406</v>
      </c>
      <c r="E532" s="129" t="s">
        <v>5315</v>
      </c>
      <c r="F532" s="15" t="s">
        <v>4487</v>
      </c>
      <c r="I532" s="28"/>
      <c r="J532" s="30"/>
      <c r="K532" s="15">
        <f>COUNTIF(Contacts[姓名],Contacts[[#This Row],[姓名]])</f>
        <v>874</v>
      </c>
    </row>
    <row r="533" spans="1:11" x14ac:dyDescent="0.15">
      <c r="A533" s="28"/>
      <c r="B533" s="15" t="s">
        <v>4380</v>
      </c>
      <c r="D533" s="29" t="s">
        <v>2463</v>
      </c>
      <c r="E533" s="129" t="s">
        <v>5315</v>
      </c>
      <c r="F533" s="15" t="s">
        <v>4487</v>
      </c>
      <c r="I533" s="28"/>
      <c r="J533" s="30"/>
      <c r="K533" s="15">
        <f>COUNTIF(Contacts[姓名],Contacts[[#This Row],[姓名]])</f>
        <v>874</v>
      </c>
    </row>
    <row r="534" spans="1:11" x14ac:dyDescent="0.15">
      <c r="A534" s="28"/>
      <c r="B534" s="15" t="s">
        <v>4380</v>
      </c>
      <c r="D534" s="29" t="s">
        <v>1405</v>
      </c>
      <c r="E534" s="129" t="s">
        <v>5315</v>
      </c>
      <c r="F534" s="15" t="s">
        <v>4487</v>
      </c>
      <c r="I534" s="28"/>
      <c r="J534" s="30"/>
      <c r="K534" s="15">
        <f>COUNTIF(Contacts[姓名],Contacts[[#This Row],[姓名]])</f>
        <v>874</v>
      </c>
    </row>
    <row r="535" spans="1:11" x14ac:dyDescent="0.15">
      <c r="A535" s="28"/>
      <c r="B535" s="15" t="s">
        <v>4380</v>
      </c>
      <c r="D535" s="29" t="s">
        <v>1404</v>
      </c>
      <c r="E535" s="129" t="s">
        <v>5315</v>
      </c>
      <c r="F535" s="15" t="s">
        <v>4487</v>
      </c>
      <c r="I535" s="28"/>
      <c r="J535" s="30"/>
      <c r="K535" s="15">
        <f>COUNTIF(Contacts[姓名],Contacts[[#This Row],[姓名]])</f>
        <v>874</v>
      </c>
    </row>
    <row r="536" spans="1:11" x14ac:dyDescent="0.15">
      <c r="A536" s="28"/>
      <c r="B536" s="15" t="s">
        <v>4380</v>
      </c>
      <c r="D536" s="29" t="s">
        <v>1402</v>
      </c>
      <c r="E536" s="129" t="s">
        <v>5315</v>
      </c>
      <c r="F536" s="15" t="s">
        <v>4487</v>
      </c>
      <c r="I536" s="28"/>
      <c r="J536" s="30"/>
      <c r="K536" s="15">
        <f>COUNTIF(Contacts[姓名],Contacts[[#This Row],[姓名]])</f>
        <v>874</v>
      </c>
    </row>
    <row r="537" spans="1:11" x14ac:dyDescent="0.15">
      <c r="A537" s="28"/>
      <c r="B537" s="15" t="s">
        <v>4380</v>
      </c>
      <c r="D537" s="29" t="s">
        <v>1400</v>
      </c>
      <c r="E537" s="129" t="s">
        <v>5315</v>
      </c>
      <c r="F537" s="15" t="s">
        <v>4487</v>
      </c>
      <c r="I537" s="28"/>
      <c r="J537" s="30"/>
      <c r="K537" s="15">
        <f>COUNTIF(Contacts[姓名],Contacts[[#This Row],[姓名]])</f>
        <v>874</v>
      </c>
    </row>
    <row r="538" spans="1:11" x14ac:dyDescent="0.15">
      <c r="A538" s="28"/>
      <c r="B538" s="15" t="s">
        <v>4380</v>
      </c>
      <c r="D538" s="29" t="s">
        <v>1399</v>
      </c>
      <c r="E538" s="129" t="s">
        <v>5315</v>
      </c>
      <c r="F538" s="15" t="s">
        <v>4487</v>
      </c>
      <c r="I538" s="28"/>
      <c r="J538" s="30"/>
      <c r="K538" s="15">
        <f>COUNTIF(Contacts[姓名],Contacts[[#This Row],[姓名]])</f>
        <v>874</v>
      </c>
    </row>
    <row r="539" spans="1:11" x14ac:dyDescent="0.15">
      <c r="A539" s="28"/>
      <c r="B539" s="15" t="s">
        <v>4380</v>
      </c>
      <c r="D539" s="29" t="s">
        <v>2634</v>
      </c>
      <c r="E539" s="129" t="s">
        <v>5315</v>
      </c>
      <c r="F539" s="15" t="s">
        <v>4487</v>
      </c>
      <c r="I539" s="28"/>
      <c r="J539" s="30"/>
      <c r="K539" s="15">
        <f>COUNTIF(Contacts[姓名],Contacts[[#This Row],[姓名]])</f>
        <v>874</v>
      </c>
    </row>
    <row r="540" spans="1:11" x14ac:dyDescent="0.15">
      <c r="A540" s="28"/>
      <c r="B540" s="15" t="s">
        <v>4380</v>
      </c>
      <c r="D540" s="29" t="s">
        <v>1397</v>
      </c>
      <c r="E540" s="129" t="s">
        <v>5315</v>
      </c>
      <c r="F540" s="15" t="s">
        <v>4487</v>
      </c>
      <c r="I540" s="28"/>
      <c r="J540" s="30"/>
      <c r="K540" s="15">
        <f>COUNTIF(Contacts[姓名],Contacts[[#This Row],[姓名]])</f>
        <v>874</v>
      </c>
    </row>
    <row r="541" spans="1:11" x14ac:dyDescent="0.15">
      <c r="A541" s="28"/>
      <c r="B541" s="15" t="s">
        <v>4380</v>
      </c>
      <c r="D541" s="29" t="s">
        <v>1395</v>
      </c>
      <c r="E541" s="129" t="s">
        <v>5315</v>
      </c>
      <c r="F541" s="15" t="s">
        <v>4487</v>
      </c>
      <c r="I541" s="28"/>
      <c r="J541" s="30"/>
      <c r="K541" s="15">
        <f>COUNTIF(Contacts[姓名],Contacts[[#This Row],[姓名]])</f>
        <v>874</v>
      </c>
    </row>
    <row r="542" spans="1:11" x14ac:dyDescent="0.15">
      <c r="A542" s="28"/>
      <c r="B542" s="15" t="s">
        <v>4380</v>
      </c>
      <c r="D542" s="29" t="s">
        <v>1393</v>
      </c>
      <c r="E542" s="129" t="s">
        <v>5315</v>
      </c>
      <c r="F542" s="15" t="s">
        <v>4487</v>
      </c>
      <c r="I542" s="28"/>
      <c r="J542" s="30"/>
      <c r="K542" s="15">
        <f>COUNTIF(Contacts[姓名],Contacts[[#This Row],[姓名]])</f>
        <v>874</v>
      </c>
    </row>
    <row r="543" spans="1:11" x14ac:dyDescent="0.15">
      <c r="A543" s="28"/>
      <c r="B543" s="15" t="s">
        <v>4380</v>
      </c>
      <c r="D543" s="29" t="s">
        <v>1392</v>
      </c>
      <c r="E543" s="129" t="s">
        <v>5315</v>
      </c>
      <c r="F543" s="15" t="s">
        <v>4487</v>
      </c>
      <c r="I543" s="28"/>
      <c r="J543" s="30"/>
      <c r="K543" s="15">
        <f>COUNTIF(Contacts[姓名],Contacts[[#This Row],[姓名]])</f>
        <v>874</v>
      </c>
    </row>
    <row r="544" spans="1:11" x14ac:dyDescent="0.15">
      <c r="A544" s="28"/>
      <c r="B544" s="15" t="s">
        <v>4380</v>
      </c>
      <c r="D544" s="29" t="s">
        <v>1391</v>
      </c>
      <c r="E544" s="129" t="s">
        <v>5315</v>
      </c>
      <c r="F544" s="15" t="s">
        <v>4487</v>
      </c>
      <c r="I544" s="28"/>
      <c r="J544" s="30"/>
      <c r="K544" s="15">
        <f>COUNTIF(Contacts[姓名],Contacts[[#This Row],[姓名]])</f>
        <v>874</v>
      </c>
    </row>
    <row r="545" spans="1:11" x14ac:dyDescent="0.15">
      <c r="A545" s="28"/>
      <c r="B545" s="15" t="s">
        <v>4380</v>
      </c>
      <c r="D545" s="29" t="s">
        <v>1390</v>
      </c>
      <c r="E545" s="129" t="s">
        <v>5315</v>
      </c>
      <c r="F545" s="15" t="s">
        <v>4487</v>
      </c>
      <c r="I545" s="28"/>
      <c r="J545" s="30"/>
      <c r="K545" s="15">
        <f>COUNTIF(Contacts[姓名],Contacts[[#This Row],[姓名]])</f>
        <v>874</v>
      </c>
    </row>
    <row r="546" spans="1:11" x14ac:dyDescent="0.15">
      <c r="A546" s="28"/>
      <c r="B546" s="15" t="s">
        <v>4380</v>
      </c>
      <c r="D546" s="29" t="s">
        <v>1389</v>
      </c>
      <c r="E546" s="129" t="s">
        <v>5315</v>
      </c>
      <c r="F546" s="15" t="s">
        <v>4487</v>
      </c>
      <c r="I546" s="28"/>
      <c r="J546" s="30"/>
      <c r="K546" s="15">
        <f>COUNTIF(Contacts[姓名],Contacts[[#This Row],[姓名]])</f>
        <v>874</v>
      </c>
    </row>
    <row r="547" spans="1:11" x14ac:dyDescent="0.15">
      <c r="A547" s="28"/>
      <c r="B547" s="15" t="s">
        <v>4380</v>
      </c>
      <c r="D547" s="29" t="s">
        <v>1388</v>
      </c>
      <c r="E547" s="129" t="s">
        <v>5315</v>
      </c>
      <c r="F547" s="15" t="s">
        <v>4487</v>
      </c>
      <c r="I547" s="28"/>
      <c r="J547" s="30"/>
      <c r="K547" s="15">
        <f>COUNTIF(Contacts[姓名],Contacts[[#This Row],[姓名]])</f>
        <v>874</v>
      </c>
    </row>
    <row r="548" spans="1:11" x14ac:dyDescent="0.15">
      <c r="A548" s="28"/>
      <c r="B548" s="15" t="s">
        <v>4380</v>
      </c>
      <c r="D548" s="29" t="s">
        <v>1386</v>
      </c>
      <c r="E548" s="129" t="s">
        <v>5315</v>
      </c>
      <c r="F548" s="15" t="s">
        <v>4487</v>
      </c>
      <c r="I548" s="28"/>
      <c r="J548" s="30"/>
      <c r="K548" s="15">
        <f>COUNTIF(Contacts[姓名],Contacts[[#This Row],[姓名]])</f>
        <v>874</v>
      </c>
    </row>
    <row r="549" spans="1:11" x14ac:dyDescent="0.15">
      <c r="A549" s="28"/>
      <c r="B549" s="15" t="s">
        <v>4380</v>
      </c>
      <c r="D549" s="29" t="s">
        <v>1384</v>
      </c>
      <c r="E549" s="129" t="s">
        <v>5315</v>
      </c>
      <c r="F549" s="15" t="s">
        <v>4487</v>
      </c>
      <c r="I549" s="28"/>
      <c r="J549" s="30"/>
      <c r="K549" s="15">
        <f>COUNTIF(Contacts[姓名],Contacts[[#This Row],[姓名]])</f>
        <v>874</v>
      </c>
    </row>
    <row r="550" spans="1:11" x14ac:dyDescent="0.15">
      <c r="A550" s="28"/>
      <c r="B550" s="15" t="s">
        <v>4380</v>
      </c>
      <c r="D550" s="29" t="s">
        <v>1383</v>
      </c>
      <c r="E550" s="129" t="s">
        <v>5315</v>
      </c>
      <c r="F550" s="15" t="s">
        <v>4487</v>
      </c>
      <c r="I550" s="28"/>
      <c r="J550" s="30"/>
      <c r="K550" s="15">
        <f>COUNTIF(Contacts[姓名],Contacts[[#This Row],[姓名]])</f>
        <v>874</v>
      </c>
    </row>
    <row r="551" spans="1:11" x14ac:dyDescent="0.15">
      <c r="A551" s="28"/>
      <c r="B551" s="15" t="s">
        <v>4380</v>
      </c>
      <c r="D551" s="29" t="s">
        <v>1382</v>
      </c>
      <c r="E551" s="129" t="s">
        <v>5315</v>
      </c>
      <c r="F551" s="15" t="s">
        <v>4487</v>
      </c>
      <c r="I551" s="28"/>
      <c r="J551" s="30"/>
      <c r="K551" s="15">
        <f>COUNTIF(Contacts[姓名],Contacts[[#This Row],[姓名]])</f>
        <v>874</v>
      </c>
    </row>
    <row r="552" spans="1:11" x14ac:dyDescent="0.15">
      <c r="A552" s="28"/>
      <c r="B552" s="15" t="s">
        <v>4380</v>
      </c>
      <c r="D552" s="29" t="s">
        <v>1381</v>
      </c>
      <c r="E552" s="129" t="s">
        <v>5315</v>
      </c>
      <c r="F552" s="15" t="s">
        <v>4487</v>
      </c>
      <c r="I552" s="28"/>
      <c r="J552" s="30"/>
      <c r="K552" s="15">
        <f>COUNTIF(Contacts[姓名],Contacts[[#This Row],[姓名]])</f>
        <v>874</v>
      </c>
    </row>
    <row r="553" spans="1:11" x14ac:dyDescent="0.15">
      <c r="A553" s="28"/>
      <c r="B553" s="15" t="s">
        <v>4380</v>
      </c>
      <c r="D553" s="29" t="s">
        <v>1380</v>
      </c>
      <c r="E553" s="129" t="s">
        <v>5315</v>
      </c>
      <c r="F553" s="15" t="s">
        <v>4487</v>
      </c>
      <c r="I553" s="28"/>
      <c r="J553" s="30"/>
      <c r="K553" s="15">
        <f>COUNTIF(Contacts[姓名],Contacts[[#This Row],[姓名]])</f>
        <v>874</v>
      </c>
    </row>
    <row r="554" spans="1:11" x14ac:dyDescent="0.15">
      <c r="A554" s="28"/>
      <c r="B554" s="15" t="s">
        <v>4380</v>
      </c>
      <c r="D554" s="29" t="s">
        <v>1379</v>
      </c>
      <c r="E554" s="129" t="s">
        <v>5315</v>
      </c>
      <c r="F554" s="15" t="s">
        <v>4487</v>
      </c>
      <c r="I554" s="28"/>
      <c r="J554" s="30"/>
      <c r="K554" s="15">
        <f>COUNTIF(Contacts[姓名],Contacts[[#This Row],[姓名]])</f>
        <v>874</v>
      </c>
    </row>
    <row r="555" spans="1:11" x14ac:dyDescent="0.15">
      <c r="A555" s="28"/>
      <c r="B555" s="15" t="s">
        <v>4380</v>
      </c>
      <c r="D555" s="29" t="s">
        <v>1378</v>
      </c>
      <c r="E555" s="129" t="s">
        <v>5315</v>
      </c>
      <c r="F555" s="15" t="s">
        <v>4487</v>
      </c>
      <c r="I555" s="28"/>
      <c r="J555" s="30"/>
      <c r="K555" s="15">
        <f>COUNTIF(Contacts[姓名],Contacts[[#This Row],[姓名]])</f>
        <v>874</v>
      </c>
    </row>
    <row r="556" spans="1:11" x14ac:dyDescent="0.15">
      <c r="A556" s="28"/>
      <c r="B556" s="15" t="s">
        <v>4380</v>
      </c>
      <c r="D556" s="29" t="s">
        <v>1377</v>
      </c>
      <c r="E556" s="129" t="s">
        <v>5315</v>
      </c>
      <c r="F556" s="15" t="s">
        <v>4487</v>
      </c>
      <c r="I556" s="28"/>
      <c r="J556" s="30"/>
      <c r="K556" s="15">
        <f>COUNTIF(Contacts[姓名],Contacts[[#This Row],[姓名]])</f>
        <v>874</v>
      </c>
    </row>
    <row r="557" spans="1:11" x14ac:dyDescent="0.15">
      <c r="A557" s="28"/>
      <c r="B557" s="15" t="s">
        <v>4380</v>
      </c>
      <c r="D557" s="29" t="s">
        <v>1376</v>
      </c>
      <c r="E557" s="129" t="s">
        <v>5315</v>
      </c>
      <c r="F557" s="15" t="s">
        <v>4487</v>
      </c>
      <c r="I557" s="28"/>
      <c r="J557" s="30"/>
      <c r="K557" s="15">
        <f>COUNTIF(Contacts[姓名],Contacts[[#This Row],[姓名]])</f>
        <v>874</v>
      </c>
    </row>
    <row r="558" spans="1:11" x14ac:dyDescent="0.15">
      <c r="A558" s="28"/>
      <c r="B558" s="15" t="s">
        <v>4380</v>
      </c>
      <c r="D558" s="29" t="s">
        <v>1375</v>
      </c>
      <c r="E558" s="129" t="s">
        <v>5315</v>
      </c>
      <c r="F558" s="15" t="s">
        <v>4487</v>
      </c>
      <c r="I558" s="28"/>
      <c r="J558" s="30"/>
      <c r="K558" s="15">
        <f>COUNTIF(Contacts[姓名],Contacts[[#This Row],[姓名]])</f>
        <v>874</v>
      </c>
    </row>
    <row r="559" spans="1:11" x14ac:dyDescent="0.15">
      <c r="A559" s="28"/>
      <c r="B559" s="15" t="s">
        <v>4380</v>
      </c>
      <c r="D559" s="29" t="s">
        <v>1372</v>
      </c>
      <c r="E559" s="129" t="s">
        <v>5315</v>
      </c>
      <c r="F559" s="15" t="s">
        <v>4487</v>
      </c>
      <c r="I559" s="28"/>
      <c r="J559" s="30"/>
      <c r="K559" s="15">
        <f>COUNTIF(Contacts[姓名],Contacts[[#This Row],[姓名]])</f>
        <v>874</v>
      </c>
    </row>
    <row r="560" spans="1:11" x14ac:dyDescent="0.15">
      <c r="A560" s="28"/>
      <c r="B560" s="15" t="s">
        <v>4380</v>
      </c>
      <c r="D560" s="29" t="s">
        <v>2580</v>
      </c>
      <c r="E560" s="129" t="s">
        <v>5315</v>
      </c>
      <c r="F560" s="15" t="s">
        <v>4487</v>
      </c>
      <c r="I560" s="28"/>
      <c r="J560" s="30"/>
      <c r="K560" s="15">
        <f>COUNTIF(Contacts[姓名],Contacts[[#This Row],[姓名]])</f>
        <v>874</v>
      </c>
    </row>
    <row r="561" spans="1:11" x14ac:dyDescent="0.15">
      <c r="A561" s="28"/>
      <c r="B561" s="15" t="s">
        <v>4380</v>
      </c>
      <c r="D561" s="29" t="s">
        <v>1371</v>
      </c>
      <c r="E561" s="129" t="s">
        <v>5315</v>
      </c>
      <c r="F561" s="15" t="s">
        <v>4487</v>
      </c>
      <c r="I561" s="28"/>
      <c r="J561" s="30"/>
      <c r="K561" s="15">
        <f>COUNTIF(Contacts[姓名],Contacts[[#This Row],[姓名]])</f>
        <v>874</v>
      </c>
    </row>
    <row r="562" spans="1:11" x14ac:dyDescent="0.15">
      <c r="A562" s="28"/>
      <c r="B562" s="15" t="s">
        <v>4380</v>
      </c>
      <c r="D562" s="29" t="s">
        <v>1368</v>
      </c>
      <c r="E562" s="129" t="s">
        <v>5315</v>
      </c>
      <c r="F562" s="15" t="s">
        <v>4487</v>
      </c>
      <c r="I562" s="28"/>
      <c r="J562" s="30"/>
      <c r="K562" s="15">
        <f>COUNTIF(Contacts[姓名],Contacts[[#This Row],[姓名]])</f>
        <v>874</v>
      </c>
    </row>
    <row r="563" spans="1:11" x14ac:dyDescent="0.15">
      <c r="A563" s="28"/>
      <c r="B563" s="15" t="s">
        <v>4380</v>
      </c>
      <c r="D563" s="29" t="s">
        <v>2633</v>
      </c>
      <c r="E563" s="129" t="s">
        <v>5315</v>
      </c>
      <c r="F563" s="15" t="s">
        <v>4487</v>
      </c>
      <c r="I563" s="28"/>
      <c r="J563" s="30"/>
      <c r="K563" s="15">
        <f>COUNTIF(Contacts[姓名],Contacts[[#This Row],[姓名]])</f>
        <v>874</v>
      </c>
    </row>
    <row r="564" spans="1:11" x14ac:dyDescent="0.15">
      <c r="A564" s="28"/>
      <c r="B564" s="15" t="s">
        <v>4380</v>
      </c>
      <c r="D564" s="29" t="s">
        <v>2614</v>
      </c>
      <c r="E564" s="129" t="s">
        <v>5315</v>
      </c>
      <c r="F564" s="15" t="s">
        <v>4487</v>
      </c>
      <c r="I564" s="28"/>
      <c r="J564" s="30"/>
      <c r="K564" s="15">
        <f>COUNTIF(Contacts[姓名],Contacts[[#This Row],[姓名]])</f>
        <v>874</v>
      </c>
    </row>
    <row r="565" spans="1:11" x14ac:dyDescent="0.15">
      <c r="A565" s="28"/>
      <c r="B565" s="15" t="s">
        <v>4380</v>
      </c>
      <c r="D565" s="29" t="s">
        <v>1367</v>
      </c>
      <c r="E565" s="129" t="s">
        <v>5315</v>
      </c>
      <c r="F565" s="15" t="s">
        <v>4487</v>
      </c>
      <c r="I565" s="28"/>
      <c r="J565" s="30"/>
      <c r="K565" s="15">
        <f>COUNTIF(Contacts[姓名],Contacts[[#This Row],[姓名]])</f>
        <v>874</v>
      </c>
    </row>
    <row r="566" spans="1:11" x14ac:dyDescent="0.15">
      <c r="A566" s="28"/>
      <c r="B566" s="15" t="s">
        <v>4380</v>
      </c>
      <c r="D566" s="29" t="s">
        <v>1366</v>
      </c>
      <c r="E566" s="129" t="s">
        <v>5315</v>
      </c>
      <c r="F566" s="15" t="s">
        <v>4487</v>
      </c>
      <c r="I566" s="28"/>
      <c r="J566" s="30"/>
      <c r="K566" s="15">
        <f>COUNTIF(Contacts[姓名],Contacts[[#This Row],[姓名]])</f>
        <v>874</v>
      </c>
    </row>
    <row r="567" spans="1:11" x14ac:dyDescent="0.15">
      <c r="A567" s="28"/>
      <c r="B567" s="15" t="s">
        <v>4380</v>
      </c>
      <c r="D567" s="29" t="s">
        <v>1365</v>
      </c>
      <c r="E567" s="129" t="s">
        <v>5315</v>
      </c>
      <c r="F567" s="15" t="s">
        <v>4487</v>
      </c>
      <c r="I567" s="28"/>
      <c r="J567" s="30"/>
      <c r="K567" s="15">
        <f>COUNTIF(Contacts[姓名],Contacts[[#This Row],[姓名]])</f>
        <v>874</v>
      </c>
    </row>
    <row r="568" spans="1:11" x14ac:dyDescent="0.15">
      <c r="A568" s="28"/>
      <c r="B568" s="15" t="s">
        <v>4380</v>
      </c>
      <c r="D568" s="29" t="s">
        <v>1364</v>
      </c>
      <c r="E568" s="129" t="s">
        <v>5315</v>
      </c>
      <c r="F568" s="15" t="s">
        <v>4487</v>
      </c>
      <c r="I568" s="28"/>
      <c r="J568" s="30"/>
      <c r="K568" s="15">
        <f>COUNTIF(Contacts[姓名],Contacts[[#This Row],[姓名]])</f>
        <v>874</v>
      </c>
    </row>
    <row r="569" spans="1:11" x14ac:dyDescent="0.15">
      <c r="A569" s="28"/>
      <c r="B569" s="15" t="s">
        <v>4380</v>
      </c>
      <c r="D569" s="29" t="s">
        <v>2632</v>
      </c>
      <c r="E569" s="129" t="s">
        <v>5315</v>
      </c>
      <c r="F569" s="15" t="s">
        <v>4487</v>
      </c>
      <c r="I569" s="28"/>
      <c r="J569" s="30"/>
      <c r="K569" s="15">
        <f>COUNTIF(Contacts[姓名],Contacts[[#This Row],[姓名]])</f>
        <v>874</v>
      </c>
    </row>
    <row r="570" spans="1:11" x14ac:dyDescent="0.15">
      <c r="A570" s="28"/>
      <c r="B570" s="15" t="s">
        <v>4380</v>
      </c>
      <c r="D570" s="29" t="s">
        <v>1359</v>
      </c>
      <c r="E570" s="129" t="s">
        <v>5315</v>
      </c>
      <c r="F570" s="15" t="s">
        <v>4487</v>
      </c>
      <c r="I570" s="28"/>
      <c r="J570" s="30"/>
      <c r="K570" s="15">
        <f>COUNTIF(Contacts[姓名],Contacts[[#This Row],[姓名]])</f>
        <v>874</v>
      </c>
    </row>
    <row r="571" spans="1:11" x14ac:dyDescent="0.15">
      <c r="A571" s="28"/>
      <c r="B571" s="15" t="s">
        <v>4380</v>
      </c>
      <c r="D571" s="29" t="s">
        <v>1116</v>
      </c>
      <c r="E571" s="129" t="s">
        <v>5315</v>
      </c>
      <c r="F571" s="15" t="s">
        <v>4487</v>
      </c>
      <c r="I571" s="28"/>
      <c r="J571" s="30"/>
      <c r="K571" s="15">
        <f>COUNTIF(Contacts[姓名],Contacts[[#This Row],[姓名]])</f>
        <v>874</v>
      </c>
    </row>
    <row r="572" spans="1:11" x14ac:dyDescent="0.15">
      <c r="A572" s="28"/>
      <c r="B572" s="15" t="s">
        <v>4380</v>
      </c>
      <c r="D572" s="29" t="s">
        <v>1356</v>
      </c>
      <c r="E572" s="129" t="s">
        <v>5315</v>
      </c>
      <c r="F572" s="15" t="s">
        <v>4487</v>
      </c>
      <c r="I572" s="28"/>
      <c r="J572" s="30"/>
      <c r="K572" s="15">
        <f>COUNTIF(Contacts[姓名],Contacts[[#This Row],[姓名]])</f>
        <v>874</v>
      </c>
    </row>
    <row r="573" spans="1:11" x14ac:dyDescent="0.15">
      <c r="A573" s="28"/>
      <c r="B573" s="15" t="s">
        <v>4380</v>
      </c>
      <c r="D573" s="29" t="s">
        <v>2612</v>
      </c>
      <c r="E573" s="129" t="s">
        <v>5315</v>
      </c>
      <c r="F573" s="15" t="s">
        <v>4487</v>
      </c>
      <c r="I573" s="28"/>
      <c r="J573" s="30"/>
      <c r="K573" s="15">
        <f>COUNTIF(Contacts[姓名],Contacts[[#This Row],[姓名]])</f>
        <v>874</v>
      </c>
    </row>
    <row r="574" spans="1:11" x14ac:dyDescent="0.15">
      <c r="A574" s="28"/>
      <c r="B574" s="15" t="s">
        <v>4380</v>
      </c>
      <c r="D574" s="29" t="s">
        <v>1355</v>
      </c>
      <c r="E574" s="129" t="s">
        <v>5315</v>
      </c>
      <c r="F574" s="15" t="s">
        <v>4487</v>
      </c>
      <c r="I574" s="28"/>
      <c r="J574" s="30"/>
      <c r="K574" s="15">
        <f>COUNTIF(Contacts[姓名],Contacts[[#This Row],[姓名]])</f>
        <v>874</v>
      </c>
    </row>
    <row r="575" spans="1:11" x14ac:dyDescent="0.15">
      <c r="A575" s="28"/>
      <c r="B575" s="15" t="s">
        <v>4380</v>
      </c>
      <c r="D575" s="29" t="s">
        <v>1354</v>
      </c>
      <c r="E575" s="129" t="s">
        <v>5315</v>
      </c>
      <c r="F575" s="15" t="s">
        <v>4487</v>
      </c>
      <c r="I575" s="28"/>
      <c r="J575" s="30"/>
      <c r="K575" s="15">
        <f>COUNTIF(Contacts[姓名],Contacts[[#This Row],[姓名]])</f>
        <v>874</v>
      </c>
    </row>
    <row r="576" spans="1:11" x14ac:dyDescent="0.15">
      <c r="A576" s="28"/>
      <c r="B576" s="15" t="s">
        <v>4380</v>
      </c>
      <c r="D576" s="29" t="s">
        <v>1353</v>
      </c>
      <c r="E576" s="129" t="s">
        <v>5315</v>
      </c>
      <c r="F576" s="15" t="s">
        <v>4487</v>
      </c>
      <c r="I576" s="28"/>
      <c r="J576" s="30"/>
      <c r="K576" s="15">
        <f>COUNTIF(Contacts[姓名],Contacts[[#This Row],[姓名]])</f>
        <v>874</v>
      </c>
    </row>
    <row r="577" spans="1:11" x14ac:dyDescent="0.15">
      <c r="A577" s="28"/>
      <c r="B577" s="15" t="s">
        <v>4380</v>
      </c>
      <c r="D577" s="29" t="s">
        <v>2600</v>
      </c>
      <c r="E577" s="129" t="s">
        <v>5315</v>
      </c>
      <c r="F577" s="15" t="s">
        <v>4487</v>
      </c>
      <c r="I577" s="28"/>
      <c r="J577" s="30"/>
      <c r="K577" s="15">
        <f>COUNTIF(Contacts[姓名],Contacts[[#This Row],[姓名]])</f>
        <v>874</v>
      </c>
    </row>
    <row r="578" spans="1:11" x14ac:dyDescent="0.15">
      <c r="A578" s="28"/>
      <c r="B578" s="15" t="s">
        <v>4380</v>
      </c>
      <c r="D578" s="29" t="s">
        <v>1350</v>
      </c>
      <c r="E578" s="129" t="s">
        <v>5315</v>
      </c>
      <c r="F578" s="15" t="s">
        <v>4487</v>
      </c>
      <c r="I578" s="28"/>
      <c r="J578" s="30"/>
      <c r="K578" s="15">
        <f>COUNTIF(Contacts[姓名],Contacts[[#This Row],[姓名]])</f>
        <v>874</v>
      </c>
    </row>
    <row r="579" spans="1:11" x14ac:dyDescent="0.15">
      <c r="A579" s="28"/>
      <c r="B579" s="15" t="s">
        <v>4380</v>
      </c>
      <c r="D579" s="29" t="s">
        <v>2663</v>
      </c>
      <c r="E579" s="129" t="s">
        <v>5315</v>
      </c>
      <c r="F579" s="15" t="s">
        <v>4487</v>
      </c>
      <c r="I579" s="28"/>
      <c r="J579" s="30"/>
      <c r="K579" s="15">
        <f>COUNTIF(Contacts[姓名],Contacts[[#This Row],[姓名]])</f>
        <v>874</v>
      </c>
    </row>
    <row r="580" spans="1:11" x14ac:dyDescent="0.15">
      <c r="A580" s="28"/>
      <c r="B580" s="15" t="s">
        <v>4380</v>
      </c>
      <c r="D580" s="29" t="s">
        <v>1349</v>
      </c>
      <c r="E580" s="129" t="s">
        <v>5315</v>
      </c>
      <c r="F580" s="15" t="s">
        <v>4487</v>
      </c>
      <c r="I580" s="28"/>
      <c r="J580" s="30"/>
      <c r="K580" s="15">
        <f>COUNTIF(Contacts[姓名],Contacts[[#This Row],[姓名]])</f>
        <v>874</v>
      </c>
    </row>
    <row r="581" spans="1:11" x14ac:dyDescent="0.15">
      <c r="A581" s="28"/>
      <c r="B581" s="15" t="s">
        <v>4380</v>
      </c>
      <c r="D581" s="29" t="s">
        <v>1348</v>
      </c>
      <c r="E581" s="129" t="s">
        <v>5315</v>
      </c>
      <c r="F581" s="15" t="s">
        <v>4487</v>
      </c>
      <c r="I581" s="28"/>
      <c r="J581" s="30"/>
      <c r="K581" s="15">
        <f>COUNTIF(Contacts[姓名],Contacts[[#This Row],[姓名]])</f>
        <v>874</v>
      </c>
    </row>
    <row r="582" spans="1:11" x14ac:dyDescent="0.15">
      <c r="A582" s="28"/>
      <c r="B582" s="15" t="s">
        <v>4380</v>
      </c>
      <c r="D582" s="29" t="s">
        <v>1099</v>
      </c>
      <c r="E582" s="129" t="s">
        <v>5315</v>
      </c>
      <c r="F582" s="15" t="s">
        <v>4487</v>
      </c>
      <c r="I582" s="28"/>
      <c r="J582" s="30"/>
      <c r="K582" s="15">
        <f>COUNTIF(Contacts[姓名],Contacts[[#This Row],[姓名]])</f>
        <v>874</v>
      </c>
    </row>
    <row r="583" spans="1:11" x14ac:dyDescent="0.15">
      <c r="A583" s="28"/>
      <c r="B583" s="15" t="s">
        <v>4380</v>
      </c>
      <c r="D583" s="29" t="s">
        <v>1347</v>
      </c>
      <c r="E583" s="129" t="s">
        <v>5315</v>
      </c>
      <c r="F583" s="15" t="s">
        <v>4487</v>
      </c>
      <c r="I583" s="28"/>
      <c r="J583" s="30"/>
      <c r="K583" s="15">
        <f>COUNTIF(Contacts[姓名],Contacts[[#This Row],[姓名]])</f>
        <v>874</v>
      </c>
    </row>
    <row r="584" spans="1:11" x14ac:dyDescent="0.15">
      <c r="A584" s="28"/>
      <c r="B584" s="15" t="s">
        <v>4380</v>
      </c>
      <c r="D584" s="29" t="s">
        <v>1346</v>
      </c>
      <c r="E584" s="129" t="s">
        <v>5315</v>
      </c>
      <c r="F584" s="15" t="s">
        <v>4487</v>
      </c>
      <c r="I584" s="28"/>
      <c r="J584" s="30"/>
      <c r="K584" s="15">
        <f>COUNTIF(Contacts[姓名],Contacts[[#This Row],[姓名]])</f>
        <v>874</v>
      </c>
    </row>
    <row r="585" spans="1:11" x14ac:dyDescent="0.15">
      <c r="A585" s="28"/>
      <c r="B585" s="15" t="s">
        <v>4380</v>
      </c>
      <c r="D585" s="29" t="s">
        <v>1096</v>
      </c>
      <c r="E585" s="129" t="s">
        <v>5315</v>
      </c>
      <c r="F585" s="15" t="s">
        <v>4487</v>
      </c>
      <c r="I585" s="28"/>
      <c r="J585" s="30"/>
      <c r="K585" s="15">
        <f>COUNTIF(Contacts[姓名],Contacts[[#This Row],[姓名]])</f>
        <v>874</v>
      </c>
    </row>
    <row r="586" spans="1:11" x14ac:dyDescent="0.15">
      <c r="A586" s="28"/>
      <c r="B586" s="15" t="s">
        <v>4380</v>
      </c>
      <c r="D586" s="29" t="s">
        <v>1094</v>
      </c>
      <c r="E586" s="129" t="s">
        <v>5315</v>
      </c>
      <c r="F586" s="15" t="s">
        <v>4487</v>
      </c>
      <c r="I586" s="28"/>
      <c r="J586" s="30"/>
      <c r="K586" s="15">
        <f>COUNTIF(Contacts[姓名],Contacts[[#This Row],[姓名]])</f>
        <v>874</v>
      </c>
    </row>
    <row r="587" spans="1:11" x14ac:dyDescent="0.15">
      <c r="A587" s="28"/>
      <c r="B587" s="15" t="s">
        <v>4380</v>
      </c>
      <c r="D587" s="29" t="s">
        <v>1344</v>
      </c>
      <c r="E587" s="129" t="s">
        <v>5315</v>
      </c>
      <c r="F587" s="15" t="s">
        <v>4487</v>
      </c>
      <c r="I587" s="28"/>
      <c r="J587" s="30"/>
      <c r="K587" s="15">
        <f>COUNTIF(Contacts[姓名],Contacts[[#This Row],[姓名]])</f>
        <v>874</v>
      </c>
    </row>
    <row r="588" spans="1:11" x14ac:dyDescent="0.15">
      <c r="A588" s="28"/>
      <c r="B588" s="15" t="s">
        <v>4380</v>
      </c>
      <c r="D588" s="29" t="s">
        <v>1343</v>
      </c>
      <c r="E588" s="129" t="s">
        <v>5315</v>
      </c>
      <c r="F588" s="15" t="s">
        <v>4487</v>
      </c>
      <c r="I588" s="28"/>
      <c r="J588" s="30"/>
      <c r="K588" s="15">
        <f>COUNTIF(Contacts[姓名],Contacts[[#This Row],[姓名]])</f>
        <v>874</v>
      </c>
    </row>
    <row r="589" spans="1:11" x14ac:dyDescent="0.15">
      <c r="A589" s="28"/>
      <c r="B589" s="15" t="s">
        <v>4380</v>
      </c>
      <c r="D589" s="29" t="s">
        <v>2613</v>
      </c>
      <c r="E589" s="129" t="s">
        <v>5315</v>
      </c>
      <c r="F589" s="15" t="s">
        <v>4487</v>
      </c>
      <c r="I589" s="28"/>
      <c r="J589" s="30"/>
      <c r="K589" s="15">
        <f>COUNTIF(Contacts[姓名],Contacts[[#This Row],[姓名]])</f>
        <v>874</v>
      </c>
    </row>
    <row r="590" spans="1:11" x14ac:dyDescent="0.15">
      <c r="A590" s="28"/>
      <c r="B590" s="15" t="s">
        <v>4380</v>
      </c>
      <c r="D590" s="29" t="s">
        <v>1339</v>
      </c>
      <c r="E590" s="129" t="s">
        <v>5315</v>
      </c>
      <c r="F590" s="15" t="s">
        <v>4487</v>
      </c>
      <c r="I590" s="28"/>
      <c r="J590" s="30"/>
      <c r="K590" s="15">
        <f>COUNTIF(Contacts[姓名],Contacts[[#This Row],[姓名]])</f>
        <v>874</v>
      </c>
    </row>
    <row r="591" spans="1:11" x14ac:dyDescent="0.15">
      <c r="A591" s="28" t="s">
        <v>1295</v>
      </c>
      <c r="B591" s="15" t="s">
        <v>4380</v>
      </c>
      <c r="D591" s="29" t="s">
        <v>1294</v>
      </c>
      <c r="E591" s="129" t="s">
        <v>5315</v>
      </c>
      <c r="F591" s="15" t="s">
        <v>4487</v>
      </c>
      <c r="I591" s="28"/>
      <c r="J591" s="30"/>
      <c r="K591" s="15">
        <f>COUNTIF(Contacts[姓名],Contacts[[#This Row],[姓名]])</f>
        <v>874</v>
      </c>
    </row>
    <row r="592" spans="1:11" x14ac:dyDescent="0.15">
      <c r="A592" s="28" t="s">
        <v>1293</v>
      </c>
      <c r="B592" s="15" t="s">
        <v>4380</v>
      </c>
      <c r="D592" s="29" t="s">
        <v>1292</v>
      </c>
      <c r="E592" s="129" t="s">
        <v>5315</v>
      </c>
      <c r="F592" s="15" t="s">
        <v>4487</v>
      </c>
      <c r="I592" s="28"/>
      <c r="J592" s="30"/>
      <c r="K592" s="15">
        <f>COUNTIF(Contacts[姓名],Contacts[[#This Row],[姓名]])</f>
        <v>874</v>
      </c>
    </row>
    <row r="593" spans="1:11" x14ac:dyDescent="0.15">
      <c r="A593" s="28" t="s">
        <v>846</v>
      </c>
      <c r="B593" s="15" t="s">
        <v>4380</v>
      </c>
      <c r="D593" s="29" t="s">
        <v>2588</v>
      </c>
      <c r="E593" s="129" t="s">
        <v>5315</v>
      </c>
      <c r="F593" s="15" t="s">
        <v>4487</v>
      </c>
      <c r="I593" s="28"/>
      <c r="J593" s="30"/>
      <c r="K593" s="15">
        <f>COUNTIF(Contacts[姓名],Contacts[[#This Row],[姓名]])</f>
        <v>874</v>
      </c>
    </row>
    <row r="594" spans="1:11" x14ac:dyDescent="0.15">
      <c r="A594" s="28" t="s">
        <v>1326</v>
      </c>
      <c r="B594" s="15" t="s">
        <v>4380</v>
      </c>
      <c r="D594" s="29" t="s">
        <v>1325</v>
      </c>
      <c r="E594" s="129" t="s">
        <v>5315</v>
      </c>
      <c r="F594" s="15" t="s">
        <v>4487</v>
      </c>
      <c r="I594" s="28"/>
      <c r="J594" s="30"/>
      <c r="K594" s="15">
        <f>COUNTIF(Contacts[姓名],Contacts[[#This Row],[姓名]])</f>
        <v>874</v>
      </c>
    </row>
    <row r="595" spans="1:11" x14ac:dyDescent="0.15">
      <c r="A595" s="28" t="s">
        <v>551</v>
      </c>
      <c r="B595" s="15" t="s">
        <v>4380</v>
      </c>
      <c r="D595" s="29" t="s">
        <v>1338</v>
      </c>
      <c r="E595" s="129" t="s">
        <v>5315</v>
      </c>
      <c r="F595" s="15" t="s">
        <v>4487</v>
      </c>
      <c r="I595" s="28"/>
      <c r="J595" s="30"/>
      <c r="K595" s="15">
        <f>COUNTIF(Contacts[姓名],Contacts[[#This Row],[姓名]])</f>
        <v>874</v>
      </c>
    </row>
    <row r="596" spans="1:11" x14ac:dyDescent="0.15">
      <c r="A596" s="28" t="s">
        <v>551</v>
      </c>
      <c r="B596" s="15" t="s">
        <v>4380</v>
      </c>
      <c r="D596" s="29" t="s">
        <v>1291</v>
      </c>
      <c r="E596" s="129" t="s">
        <v>5315</v>
      </c>
      <c r="F596" s="15" t="s">
        <v>4487</v>
      </c>
      <c r="I596" s="28"/>
      <c r="J596" s="30"/>
      <c r="K596" s="15">
        <f>COUNTIF(Contacts[姓名],Contacts[[#This Row],[姓名]])</f>
        <v>874</v>
      </c>
    </row>
    <row r="597" spans="1:11" x14ac:dyDescent="0.15">
      <c r="A597" s="28" t="s">
        <v>551</v>
      </c>
      <c r="B597" s="15" t="s">
        <v>4380</v>
      </c>
      <c r="D597" s="29" t="s">
        <v>1291</v>
      </c>
      <c r="E597" s="129" t="s">
        <v>5315</v>
      </c>
      <c r="F597" s="15" t="s">
        <v>4487</v>
      </c>
      <c r="I597" s="28"/>
      <c r="J597" s="30"/>
      <c r="K597" s="15">
        <f>COUNTIF(Contacts[姓名],Contacts[[#This Row],[姓名]])</f>
        <v>874</v>
      </c>
    </row>
    <row r="598" spans="1:11" x14ac:dyDescent="0.15">
      <c r="A598" s="28" t="s">
        <v>551</v>
      </c>
      <c r="B598" s="15" t="s">
        <v>4380</v>
      </c>
      <c r="D598" s="29" t="s">
        <v>1290</v>
      </c>
      <c r="E598" s="129" t="s">
        <v>5315</v>
      </c>
      <c r="F598" s="15" t="s">
        <v>4487</v>
      </c>
      <c r="I598" s="28"/>
      <c r="J598" s="30"/>
      <c r="K598" s="15">
        <f>COUNTIF(Contacts[姓名],Contacts[[#This Row],[姓名]])</f>
        <v>874</v>
      </c>
    </row>
    <row r="599" spans="1:11" x14ac:dyDescent="0.15">
      <c r="A599" s="28" t="s">
        <v>551</v>
      </c>
      <c r="B599" s="15" t="s">
        <v>4380</v>
      </c>
      <c r="D599" s="29" t="s">
        <v>1289</v>
      </c>
      <c r="E599" s="129" t="s">
        <v>5315</v>
      </c>
      <c r="F599" s="15" t="s">
        <v>4487</v>
      </c>
      <c r="I599" s="28"/>
      <c r="J599" s="30"/>
      <c r="K599" s="15">
        <f>COUNTIF(Contacts[姓名],Contacts[[#This Row],[姓名]])</f>
        <v>874</v>
      </c>
    </row>
    <row r="600" spans="1:11" x14ac:dyDescent="0.15">
      <c r="A600" s="28" t="s">
        <v>551</v>
      </c>
      <c r="B600" s="15" t="s">
        <v>4380</v>
      </c>
      <c r="D600" s="29" t="s">
        <v>1288</v>
      </c>
      <c r="E600" s="129" t="s">
        <v>5315</v>
      </c>
      <c r="F600" s="15" t="s">
        <v>4487</v>
      </c>
      <c r="I600" s="28"/>
      <c r="J600" s="30"/>
      <c r="K600" s="15">
        <f>COUNTIF(Contacts[姓名],Contacts[[#This Row],[姓名]])</f>
        <v>874</v>
      </c>
    </row>
    <row r="601" spans="1:11" x14ac:dyDescent="0.15">
      <c r="A601" s="28" t="s">
        <v>1321</v>
      </c>
      <c r="B601" s="15" t="s">
        <v>4380</v>
      </c>
      <c r="D601" s="29" t="s">
        <v>1320</v>
      </c>
      <c r="E601" s="129" t="s">
        <v>5315</v>
      </c>
      <c r="F601" s="15" t="s">
        <v>4487</v>
      </c>
      <c r="I601" s="28"/>
      <c r="J601" s="30"/>
      <c r="K601" s="15">
        <f>COUNTIF(Contacts[姓名],Contacts[[#This Row],[姓名]])</f>
        <v>874</v>
      </c>
    </row>
    <row r="602" spans="1:11" x14ac:dyDescent="0.15">
      <c r="A602" s="28" t="s">
        <v>497</v>
      </c>
      <c r="B602" s="15" t="s">
        <v>4380</v>
      </c>
      <c r="C602" s="15">
        <v>2851230639</v>
      </c>
      <c r="D602" s="29" t="s">
        <v>1287</v>
      </c>
      <c r="E602" s="129" t="s">
        <v>5315</v>
      </c>
      <c r="F602" s="15" t="s">
        <v>4487</v>
      </c>
      <c r="I602" s="28"/>
      <c r="J602" s="30"/>
      <c r="K602" s="15">
        <f>COUNTIF(Contacts[姓名],Contacts[[#This Row],[姓名]])</f>
        <v>874</v>
      </c>
    </row>
    <row r="603" spans="1:11" x14ac:dyDescent="0.15">
      <c r="A603" s="28" t="s">
        <v>591</v>
      </c>
      <c r="B603" s="15" t="s">
        <v>4380</v>
      </c>
      <c r="D603" s="29" t="s">
        <v>1334</v>
      </c>
      <c r="E603" s="129" t="s">
        <v>5315</v>
      </c>
      <c r="F603" s="15" t="s">
        <v>4487</v>
      </c>
      <c r="I603" s="28"/>
      <c r="J603" s="30"/>
      <c r="K603" s="15">
        <f>COUNTIF(Contacts[姓名],Contacts[[#This Row],[姓名]])</f>
        <v>874</v>
      </c>
    </row>
    <row r="604" spans="1:11" x14ac:dyDescent="0.15">
      <c r="A604" s="28" t="s">
        <v>591</v>
      </c>
      <c r="B604" s="15" t="s">
        <v>4380</v>
      </c>
      <c r="D604" s="29" t="s">
        <v>1286</v>
      </c>
      <c r="E604" s="129" t="s">
        <v>5315</v>
      </c>
      <c r="F604" s="15" t="s">
        <v>4487</v>
      </c>
      <c r="I604" s="28"/>
      <c r="J604" s="30"/>
      <c r="K604" s="15">
        <f>COUNTIF(Contacts[姓名],Contacts[[#This Row],[姓名]])</f>
        <v>874</v>
      </c>
    </row>
    <row r="605" spans="1:11" x14ac:dyDescent="0.15">
      <c r="A605" s="28" t="s">
        <v>816</v>
      </c>
      <c r="B605" s="15" t="s">
        <v>4380</v>
      </c>
      <c r="D605" s="29" t="s">
        <v>1285</v>
      </c>
      <c r="E605" s="129" t="s">
        <v>5315</v>
      </c>
      <c r="F605" s="15" t="s">
        <v>4487</v>
      </c>
      <c r="I605" s="28"/>
      <c r="J605" s="30"/>
      <c r="K605" s="15">
        <f>COUNTIF(Contacts[姓名],Contacts[[#This Row],[姓名]])</f>
        <v>874</v>
      </c>
    </row>
    <row r="606" spans="1:11" x14ac:dyDescent="0.15">
      <c r="A606" s="28" t="s">
        <v>547</v>
      </c>
      <c r="B606" s="15" t="s">
        <v>4380</v>
      </c>
      <c r="D606" s="29" t="s">
        <v>1282</v>
      </c>
      <c r="E606" s="129" t="s">
        <v>5315</v>
      </c>
      <c r="F606" s="15" t="s">
        <v>4487</v>
      </c>
      <c r="I606" s="28"/>
      <c r="J606" s="30"/>
      <c r="K606" s="15">
        <f>COUNTIF(Contacts[姓名],Contacts[[#This Row],[姓名]])</f>
        <v>874</v>
      </c>
    </row>
    <row r="607" spans="1:11" x14ac:dyDescent="0.15">
      <c r="A607" s="28" t="s">
        <v>1281</v>
      </c>
      <c r="B607" s="15" t="s">
        <v>4380</v>
      </c>
      <c r="D607" s="29" t="s">
        <v>1280</v>
      </c>
      <c r="E607" s="129" t="s">
        <v>5315</v>
      </c>
      <c r="F607" s="15" t="s">
        <v>4487</v>
      </c>
      <c r="I607" s="28"/>
      <c r="J607" s="30"/>
      <c r="K607" s="15">
        <f>COUNTIF(Contacts[姓名],Contacts[[#This Row],[姓名]])</f>
        <v>874</v>
      </c>
    </row>
    <row r="608" spans="1:11" x14ac:dyDescent="0.15">
      <c r="A608" s="28" t="s">
        <v>1279</v>
      </c>
      <c r="B608" s="15" t="s">
        <v>4380</v>
      </c>
      <c r="D608" s="29" t="s">
        <v>1278</v>
      </c>
      <c r="E608" s="129" t="s">
        <v>5315</v>
      </c>
      <c r="F608" s="15" t="s">
        <v>4487</v>
      </c>
      <c r="I608" s="28"/>
      <c r="J608" s="30"/>
      <c r="K608" s="15">
        <f>COUNTIF(Contacts[姓名],Contacts[[#This Row],[姓名]])</f>
        <v>874</v>
      </c>
    </row>
    <row r="609" spans="1:11" x14ac:dyDescent="0.15">
      <c r="A609" s="28" t="s">
        <v>814</v>
      </c>
      <c r="B609" s="15" t="s">
        <v>4380</v>
      </c>
      <c r="D609" s="29" t="s">
        <v>2585</v>
      </c>
      <c r="E609" s="129" t="s">
        <v>5315</v>
      </c>
      <c r="F609" s="15" t="s">
        <v>4487</v>
      </c>
      <c r="I609" s="28"/>
      <c r="J609" s="30"/>
      <c r="K609" s="15">
        <f>COUNTIF(Contacts[姓名],Contacts[[#This Row],[姓名]])</f>
        <v>874</v>
      </c>
    </row>
    <row r="610" spans="1:11" x14ac:dyDescent="0.15">
      <c r="A610" s="28" t="s">
        <v>501</v>
      </c>
      <c r="B610" s="15" t="s">
        <v>4380</v>
      </c>
      <c r="D610" s="29" t="s">
        <v>1277</v>
      </c>
      <c r="E610" s="129" t="s">
        <v>5315</v>
      </c>
      <c r="F610" s="15" t="s">
        <v>4487</v>
      </c>
      <c r="I610" s="28"/>
      <c r="J610" s="30"/>
      <c r="K610" s="15">
        <f>COUNTIF(Contacts[姓名],Contacts[[#This Row],[姓名]])</f>
        <v>874</v>
      </c>
    </row>
    <row r="611" spans="1:11" x14ac:dyDescent="0.15">
      <c r="A611" s="28" t="s">
        <v>1275</v>
      </c>
      <c r="B611" s="15" t="s">
        <v>4380</v>
      </c>
      <c r="D611" s="29" t="s">
        <v>1274</v>
      </c>
      <c r="E611" s="129" t="s">
        <v>5315</v>
      </c>
      <c r="F611" s="15" t="s">
        <v>4487</v>
      </c>
      <c r="I611" s="28"/>
      <c r="J611" s="30"/>
      <c r="K611" s="15">
        <f>COUNTIF(Contacts[姓名],Contacts[[#This Row],[姓名]])</f>
        <v>874</v>
      </c>
    </row>
    <row r="612" spans="1:11" x14ac:dyDescent="0.15">
      <c r="A612" s="28" t="s">
        <v>1273</v>
      </c>
      <c r="B612" s="15" t="s">
        <v>4380</v>
      </c>
      <c r="D612" s="29" t="s">
        <v>2615</v>
      </c>
      <c r="E612" s="129" t="s">
        <v>5315</v>
      </c>
      <c r="F612" s="15" t="s">
        <v>4487</v>
      </c>
      <c r="I612" s="28"/>
      <c r="J612" s="30"/>
      <c r="K612" s="15">
        <f>COUNTIF(Contacts[姓名],Contacts[[#This Row],[姓名]])</f>
        <v>874</v>
      </c>
    </row>
    <row r="613" spans="1:11" x14ac:dyDescent="0.15">
      <c r="A613" s="28" t="s">
        <v>1272</v>
      </c>
      <c r="B613" s="15" t="s">
        <v>4380</v>
      </c>
      <c r="D613" s="29" t="s">
        <v>1271</v>
      </c>
      <c r="E613" s="129" t="s">
        <v>5315</v>
      </c>
      <c r="F613" s="15" t="s">
        <v>4487</v>
      </c>
      <c r="I613" s="28"/>
      <c r="J613" s="30"/>
      <c r="K613" s="15">
        <f>COUNTIF(Contacts[姓名],Contacts[[#This Row],[姓名]])</f>
        <v>874</v>
      </c>
    </row>
    <row r="614" spans="1:11" x14ac:dyDescent="0.15">
      <c r="A614" s="28" t="s">
        <v>1046</v>
      </c>
      <c r="B614" s="15" t="s">
        <v>4380</v>
      </c>
      <c r="D614" s="29" t="s">
        <v>1337</v>
      </c>
      <c r="E614" s="129" t="s">
        <v>5315</v>
      </c>
      <c r="F614" s="15" t="s">
        <v>4487</v>
      </c>
      <c r="I614" s="28"/>
      <c r="J614" s="30"/>
      <c r="K614" s="15">
        <f>COUNTIF(Contacts[姓名],Contacts[[#This Row],[姓名]])</f>
        <v>874</v>
      </c>
    </row>
    <row r="615" spans="1:11" x14ac:dyDescent="0.15">
      <c r="A615" s="28" t="s">
        <v>1164</v>
      </c>
      <c r="B615" s="15" t="s">
        <v>4380</v>
      </c>
      <c r="D615" s="29" t="s">
        <v>2666</v>
      </c>
      <c r="E615" s="129" t="s">
        <v>5315</v>
      </c>
      <c r="F615" s="15" t="s">
        <v>4487</v>
      </c>
      <c r="I615" s="28"/>
      <c r="J615" s="30"/>
      <c r="K615" s="15">
        <f>COUNTIF(Contacts[姓名],Contacts[[#This Row],[姓名]])</f>
        <v>874</v>
      </c>
    </row>
    <row r="616" spans="1:11" x14ac:dyDescent="0.15">
      <c r="A616" s="28" t="s">
        <v>907</v>
      </c>
      <c r="B616" s="15" t="s">
        <v>4380</v>
      </c>
      <c r="D616" s="29" t="s">
        <v>1318</v>
      </c>
      <c r="E616" s="129" t="s">
        <v>5315</v>
      </c>
      <c r="F616" s="15" t="s">
        <v>4487</v>
      </c>
      <c r="I616" s="28"/>
      <c r="J616" s="30"/>
      <c r="K616" s="15">
        <f>COUNTIF(Contacts[姓名],Contacts[[#This Row],[姓名]])</f>
        <v>874</v>
      </c>
    </row>
    <row r="617" spans="1:11" x14ac:dyDescent="0.15">
      <c r="A617" s="28" t="s">
        <v>597</v>
      </c>
      <c r="B617" s="15" t="s">
        <v>4380</v>
      </c>
      <c r="D617" s="29" t="s">
        <v>1270</v>
      </c>
      <c r="E617" s="129" t="s">
        <v>5315</v>
      </c>
      <c r="F617" s="15" t="s">
        <v>4487</v>
      </c>
      <c r="I617" s="28"/>
      <c r="J617" s="30"/>
      <c r="K617" s="15">
        <f>COUNTIF(Contacts[姓名],Contacts[[#This Row],[姓名]])</f>
        <v>874</v>
      </c>
    </row>
    <row r="618" spans="1:11" x14ac:dyDescent="0.15">
      <c r="A618" s="28" t="s">
        <v>499</v>
      </c>
      <c r="B618" s="15" t="s">
        <v>4380</v>
      </c>
      <c r="D618" s="29" t="s">
        <v>1317</v>
      </c>
      <c r="E618" s="129" t="s">
        <v>5315</v>
      </c>
      <c r="F618" s="15" t="s">
        <v>4487</v>
      </c>
      <c r="I618" s="28"/>
      <c r="J618" s="30"/>
      <c r="K618" s="15">
        <f>COUNTIF(Contacts[姓名],Contacts[[#This Row],[姓名]])</f>
        <v>874</v>
      </c>
    </row>
    <row r="619" spans="1:11" x14ac:dyDescent="0.15">
      <c r="A619" s="28" t="s">
        <v>499</v>
      </c>
      <c r="B619" s="15" t="s">
        <v>4380</v>
      </c>
      <c r="D619" s="29" t="s">
        <v>1317</v>
      </c>
      <c r="E619" s="129" t="s">
        <v>5315</v>
      </c>
      <c r="F619" s="15" t="s">
        <v>4487</v>
      </c>
      <c r="I619" s="28"/>
      <c r="J619" s="30"/>
      <c r="K619" s="15">
        <f>COUNTIF(Contacts[姓名],Contacts[[#This Row],[姓名]])</f>
        <v>874</v>
      </c>
    </row>
    <row r="620" spans="1:11" x14ac:dyDescent="0.15">
      <c r="A620" s="28" t="s">
        <v>499</v>
      </c>
      <c r="B620" s="15" t="s">
        <v>4380</v>
      </c>
      <c r="D620" s="29" t="s">
        <v>1313</v>
      </c>
      <c r="E620" s="129" t="s">
        <v>5315</v>
      </c>
      <c r="F620" s="15" t="s">
        <v>4487</v>
      </c>
      <c r="I620" s="28"/>
      <c r="J620" s="30"/>
      <c r="K620" s="15">
        <f>COUNTIF(Contacts[姓名],Contacts[[#This Row],[姓名]])</f>
        <v>874</v>
      </c>
    </row>
    <row r="621" spans="1:11" x14ac:dyDescent="0.15">
      <c r="A621" s="28" t="s">
        <v>499</v>
      </c>
      <c r="B621" s="15" t="s">
        <v>4380</v>
      </c>
      <c r="D621" s="29" t="s">
        <v>1269</v>
      </c>
      <c r="E621" s="129" t="s">
        <v>5315</v>
      </c>
      <c r="F621" s="15" t="s">
        <v>4487</v>
      </c>
      <c r="I621" s="28"/>
      <c r="J621" s="30"/>
      <c r="K621" s="15">
        <f>COUNTIF(Contacts[姓名],Contacts[[#This Row],[姓名]])</f>
        <v>874</v>
      </c>
    </row>
    <row r="622" spans="1:11" x14ac:dyDescent="0.15">
      <c r="A622" s="28" t="s">
        <v>493</v>
      </c>
      <c r="B622" s="15" t="s">
        <v>4380</v>
      </c>
      <c r="D622" s="29" t="s">
        <v>1316</v>
      </c>
      <c r="E622" s="129" t="s">
        <v>5315</v>
      </c>
      <c r="F622" s="15" t="s">
        <v>4487</v>
      </c>
      <c r="I622" s="28"/>
      <c r="J622" s="30"/>
      <c r="K622" s="15">
        <f>COUNTIF(Contacts[姓名],Contacts[[#This Row],[姓名]])</f>
        <v>874</v>
      </c>
    </row>
    <row r="623" spans="1:11" x14ac:dyDescent="0.15">
      <c r="A623" s="28" t="s">
        <v>1315</v>
      </c>
      <c r="B623" s="15" t="s">
        <v>4380</v>
      </c>
      <c r="D623" s="29" t="s">
        <v>2586</v>
      </c>
      <c r="E623" s="129" t="s">
        <v>5315</v>
      </c>
      <c r="F623" s="15" t="s">
        <v>4487</v>
      </c>
      <c r="I623" s="28"/>
      <c r="J623" s="30"/>
      <c r="K623" s="15">
        <f>COUNTIF(Contacts[姓名],Contacts[[#This Row],[姓名]])</f>
        <v>874</v>
      </c>
    </row>
    <row r="624" spans="1:11" x14ac:dyDescent="0.15">
      <c r="A624" s="28" t="s">
        <v>498</v>
      </c>
      <c r="B624" s="15" t="s">
        <v>4380</v>
      </c>
      <c r="D624" s="29" t="s">
        <v>1306</v>
      </c>
      <c r="E624" s="129" t="s">
        <v>5315</v>
      </c>
      <c r="F624" s="15" t="s">
        <v>4487</v>
      </c>
      <c r="I624" s="28"/>
      <c r="J624" s="30"/>
      <c r="K624" s="15">
        <f>COUNTIF(Contacts[姓名],Contacts[[#This Row],[姓名]])</f>
        <v>874</v>
      </c>
    </row>
    <row r="625" spans="1:11" x14ac:dyDescent="0.15">
      <c r="A625" s="28" t="s">
        <v>1305</v>
      </c>
      <c r="B625" s="15" t="s">
        <v>4380</v>
      </c>
      <c r="D625" s="29" t="s">
        <v>1304</v>
      </c>
      <c r="E625" s="129" t="s">
        <v>5315</v>
      </c>
      <c r="F625" s="15" t="s">
        <v>4487</v>
      </c>
      <c r="I625" s="28"/>
      <c r="J625" s="30"/>
      <c r="K625" s="15">
        <f>COUNTIF(Contacts[姓名],Contacts[[#This Row],[姓名]])</f>
        <v>874</v>
      </c>
    </row>
    <row r="626" spans="1:11" x14ac:dyDescent="0.15">
      <c r="A626" s="28" t="s">
        <v>976</v>
      </c>
      <c r="B626" s="15" t="s">
        <v>4380</v>
      </c>
      <c r="D626" s="29" t="s">
        <v>1303</v>
      </c>
      <c r="E626" s="129" t="s">
        <v>5315</v>
      </c>
      <c r="F626" s="15" t="s">
        <v>4487</v>
      </c>
      <c r="I626" s="28"/>
      <c r="J626" s="30"/>
      <c r="K626" s="15">
        <f>COUNTIF(Contacts[姓名],Contacts[[#This Row],[姓名]])</f>
        <v>874</v>
      </c>
    </row>
    <row r="627" spans="1:11" x14ac:dyDescent="0.15">
      <c r="A627" s="28" t="s">
        <v>1299</v>
      </c>
      <c r="B627" s="15" t="s">
        <v>4380</v>
      </c>
      <c r="D627" s="29" t="s">
        <v>2635</v>
      </c>
      <c r="E627" s="129" t="s">
        <v>5315</v>
      </c>
      <c r="F627" s="15" t="s">
        <v>4487</v>
      </c>
      <c r="I627" s="28"/>
      <c r="J627" s="30"/>
      <c r="K627" s="15">
        <f>COUNTIF(Contacts[姓名],Contacts[[#This Row],[姓名]])</f>
        <v>874</v>
      </c>
    </row>
    <row r="628" spans="1:11" x14ac:dyDescent="0.15">
      <c r="A628" s="28" t="s">
        <v>1298</v>
      </c>
      <c r="B628" s="15" t="s">
        <v>4380</v>
      </c>
      <c r="D628" s="29" t="s">
        <v>1297</v>
      </c>
      <c r="E628" s="129" t="s">
        <v>5315</v>
      </c>
      <c r="F628" s="15" t="s">
        <v>4487</v>
      </c>
      <c r="I628" s="28"/>
      <c r="J628" s="30"/>
      <c r="K628" s="15">
        <f>COUNTIF(Contacts[姓名],Contacts[[#This Row],[姓名]])</f>
        <v>874</v>
      </c>
    </row>
    <row r="629" spans="1:11" x14ac:dyDescent="0.15">
      <c r="A629" s="28" t="s">
        <v>1323</v>
      </c>
      <c r="B629" s="15" t="s">
        <v>4380</v>
      </c>
      <c r="D629" s="29" t="s">
        <v>1322</v>
      </c>
      <c r="E629" s="129" t="s">
        <v>5315</v>
      </c>
      <c r="F629" s="15" t="s">
        <v>4487</v>
      </c>
      <c r="I629" s="28"/>
      <c r="J629" s="30"/>
      <c r="K629" s="15">
        <f>COUNTIF(Contacts[姓名],Contacts[[#This Row],[姓名]])</f>
        <v>874</v>
      </c>
    </row>
    <row r="630" spans="1:11" x14ac:dyDescent="0.15">
      <c r="A630" s="28" t="s">
        <v>1301</v>
      </c>
      <c r="B630" s="15" t="s">
        <v>4380</v>
      </c>
      <c r="D630" s="29" t="s">
        <v>1300</v>
      </c>
      <c r="E630" s="129" t="s">
        <v>5315</v>
      </c>
      <c r="F630" s="15" t="s">
        <v>4487</v>
      </c>
      <c r="I630" s="28"/>
      <c r="J630" s="30"/>
      <c r="K630" s="15">
        <f>COUNTIF(Contacts[姓名],Contacts[[#This Row],[姓名]])</f>
        <v>874</v>
      </c>
    </row>
    <row r="631" spans="1:11" x14ac:dyDescent="0.15">
      <c r="A631" s="28" t="s">
        <v>858</v>
      </c>
      <c r="B631" s="15" t="s">
        <v>4380</v>
      </c>
      <c r="D631" s="29" t="s">
        <v>1276</v>
      </c>
      <c r="E631" s="129" t="s">
        <v>5315</v>
      </c>
      <c r="F631" s="15" t="s">
        <v>4487</v>
      </c>
      <c r="I631" s="28"/>
      <c r="J631" s="30"/>
      <c r="K631" s="15">
        <f>COUNTIF(Contacts[姓名],Contacts[[#This Row],[姓名]])</f>
        <v>874</v>
      </c>
    </row>
    <row r="632" spans="1:11" x14ac:dyDescent="0.15">
      <c r="A632" s="28" t="s">
        <v>858</v>
      </c>
      <c r="B632" s="15" t="s">
        <v>4380</v>
      </c>
      <c r="D632" s="29" t="s">
        <v>1268</v>
      </c>
      <c r="E632" s="129" t="s">
        <v>5315</v>
      </c>
      <c r="F632" s="15" t="s">
        <v>4487</v>
      </c>
      <c r="I632" s="28"/>
      <c r="J632" s="30"/>
      <c r="K632" s="15">
        <f>COUNTIF(Contacts[姓名],Contacts[[#This Row],[姓名]])</f>
        <v>874</v>
      </c>
    </row>
    <row r="633" spans="1:11" x14ac:dyDescent="0.15">
      <c r="A633" s="28" t="s">
        <v>858</v>
      </c>
      <c r="B633" s="15" t="s">
        <v>4380</v>
      </c>
      <c r="D633" s="29" t="s">
        <v>1267</v>
      </c>
      <c r="E633" s="129" t="s">
        <v>5315</v>
      </c>
      <c r="F633" s="15" t="s">
        <v>4487</v>
      </c>
      <c r="I633" s="28"/>
      <c r="J633" s="30"/>
      <c r="K633" s="15">
        <f>COUNTIF(Contacts[姓名],Contacts[[#This Row],[姓名]])</f>
        <v>874</v>
      </c>
    </row>
    <row r="634" spans="1:11" x14ac:dyDescent="0.15">
      <c r="A634" s="28" t="s">
        <v>1266</v>
      </c>
      <c r="B634" s="15" t="s">
        <v>4380</v>
      </c>
      <c r="D634" s="29" t="s">
        <v>1266</v>
      </c>
      <c r="E634" s="129" t="s">
        <v>5315</v>
      </c>
      <c r="F634" s="15" t="s">
        <v>4487</v>
      </c>
      <c r="I634" s="28"/>
      <c r="J634" s="30"/>
      <c r="K634" s="15">
        <f>COUNTIF(Contacts[姓名],Contacts[[#This Row],[姓名]])</f>
        <v>874</v>
      </c>
    </row>
    <row r="635" spans="1:11" x14ac:dyDescent="0.15">
      <c r="A635" s="28" t="s">
        <v>1265</v>
      </c>
      <c r="B635" s="15" t="s">
        <v>4380</v>
      </c>
      <c r="D635" s="29" t="s">
        <v>1264</v>
      </c>
      <c r="E635" s="129" t="s">
        <v>5315</v>
      </c>
      <c r="F635" s="15" t="s">
        <v>4487</v>
      </c>
      <c r="I635" s="28"/>
      <c r="J635" s="30"/>
      <c r="K635" s="15">
        <f>COUNTIF(Contacts[姓名],Contacts[[#This Row],[姓名]])</f>
        <v>874</v>
      </c>
    </row>
    <row r="636" spans="1:11" x14ac:dyDescent="0.15">
      <c r="A636" s="28" t="s">
        <v>1263</v>
      </c>
      <c r="B636" s="15" t="s">
        <v>4380</v>
      </c>
      <c r="D636" s="29" t="s">
        <v>1262</v>
      </c>
      <c r="E636" s="129" t="s">
        <v>5315</v>
      </c>
      <c r="F636" s="15" t="s">
        <v>4487</v>
      </c>
      <c r="I636" s="28"/>
      <c r="J636" s="30"/>
      <c r="K636" s="15">
        <f>COUNTIF(Contacts[姓名],Contacts[[#This Row],[姓名]])</f>
        <v>874</v>
      </c>
    </row>
    <row r="637" spans="1:11" x14ac:dyDescent="0.15">
      <c r="A637" s="28" t="s">
        <v>589</v>
      </c>
      <c r="B637" s="15" t="s">
        <v>4380</v>
      </c>
      <c r="D637" s="29" t="s">
        <v>1246</v>
      </c>
      <c r="E637" s="129" t="s">
        <v>5315</v>
      </c>
      <c r="F637" s="15" t="s">
        <v>4487</v>
      </c>
      <c r="I637" s="28"/>
      <c r="J637" s="30"/>
      <c r="K637" s="15">
        <f>COUNTIF(Contacts[姓名],Contacts[[#This Row],[姓名]])</f>
        <v>874</v>
      </c>
    </row>
    <row r="638" spans="1:11" x14ac:dyDescent="0.15">
      <c r="A638" s="28" t="s">
        <v>1261</v>
      </c>
      <c r="B638" s="15" t="s">
        <v>4380</v>
      </c>
      <c r="D638" s="29" t="s">
        <v>1260</v>
      </c>
      <c r="E638" s="129" t="s">
        <v>5315</v>
      </c>
      <c r="F638" s="15" t="s">
        <v>4487</v>
      </c>
      <c r="I638" s="28"/>
      <c r="J638" s="30"/>
      <c r="K638" s="15">
        <f>COUNTIF(Contacts[姓名],Contacts[[#This Row],[姓名]])</f>
        <v>874</v>
      </c>
    </row>
    <row r="639" spans="1:11" x14ac:dyDescent="0.15">
      <c r="A639" s="28" t="s">
        <v>1259</v>
      </c>
      <c r="B639" s="15" t="s">
        <v>4380</v>
      </c>
      <c r="D639" s="29" t="s">
        <v>1258</v>
      </c>
      <c r="E639" s="129" t="s">
        <v>5315</v>
      </c>
      <c r="F639" s="15" t="s">
        <v>4487</v>
      </c>
      <c r="I639" s="28"/>
      <c r="J639" s="30"/>
      <c r="K639" s="15">
        <f>COUNTIF(Contacts[姓名],Contacts[[#This Row],[姓名]])</f>
        <v>874</v>
      </c>
    </row>
    <row r="640" spans="1:11" x14ac:dyDescent="0.15">
      <c r="A640" s="28" t="s">
        <v>1312</v>
      </c>
      <c r="B640" s="15" t="s">
        <v>4380</v>
      </c>
      <c r="D640" s="29" t="s">
        <v>1311</v>
      </c>
      <c r="E640" s="129" t="s">
        <v>5315</v>
      </c>
      <c r="F640" s="15" t="s">
        <v>4487</v>
      </c>
      <c r="I640" s="28"/>
      <c r="J640" s="30"/>
      <c r="K640" s="15">
        <f>COUNTIF(Contacts[姓名],Contacts[[#This Row],[姓名]])</f>
        <v>874</v>
      </c>
    </row>
    <row r="641" spans="1:11" x14ac:dyDescent="0.15">
      <c r="A641" s="28" t="s">
        <v>1256</v>
      </c>
      <c r="B641" s="15" t="s">
        <v>4380</v>
      </c>
      <c r="D641" s="29" t="s">
        <v>1255</v>
      </c>
      <c r="E641" s="129" t="s">
        <v>5315</v>
      </c>
      <c r="F641" s="15" t="s">
        <v>4487</v>
      </c>
      <c r="I641" s="28"/>
      <c r="J641" s="30"/>
      <c r="K641" s="15">
        <f>COUNTIF(Contacts[姓名],Contacts[[#This Row],[姓名]])</f>
        <v>874</v>
      </c>
    </row>
    <row r="642" spans="1:11" x14ac:dyDescent="0.15">
      <c r="A642" s="28" t="s">
        <v>1251</v>
      </c>
      <c r="B642" s="15" t="s">
        <v>4380</v>
      </c>
      <c r="D642" s="29" t="s">
        <v>1251</v>
      </c>
      <c r="E642" s="129" t="s">
        <v>5315</v>
      </c>
      <c r="F642" s="15" t="s">
        <v>4487</v>
      </c>
      <c r="I642" s="28"/>
      <c r="J642" s="30"/>
      <c r="K642" s="15">
        <f>COUNTIF(Contacts[姓名],Contacts[[#This Row],[姓名]])</f>
        <v>874</v>
      </c>
    </row>
    <row r="643" spans="1:11" x14ac:dyDescent="0.15">
      <c r="A643" s="28" t="s">
        <v>1251</v>
      </c>
      <c r="B643" s="15" t="s">
        <v>4380</v>
      </c>
      <c r="D643" s="29" t="s">
        <v>1250</v>
      </c>
      <c r="E643" s="129" t="s">
        <v>5315</v>
      </c>
      <c r="F643" s="15" t="s">
        <v>4487</v>
      </c>
      <c r="I643" s="28"/>
      <c r="J643" s="30"/>
      <c r="K643" s="15">
        <f>COUNTIF(Contacts[姓名],Contacts[[#This Row],[姓名]])</f>
        <v>874</v>
      </c>
    </row>
    <row r="644" spans="1:11" x14ac:dyDescent="0.15">
      <c r="A644" s="28" t="s">
        <v>763</v>
      </c>
      <c r="B644" s="15" t="s">
        <v>4380</v>
      </c>
      <c r="D644" s="29" t="s">
        <v>2665</v>
      </c>
      <c r="E644" s="129" t="s">
        <v>5315</v>
      </c>
      <c r="F644" s="15" t="s">
        <v>4487</v>
      </c>
      <c r="I644" s="28"/>
      <c r="J644" s="30"/>
      <c r="K644" s="15">
        <f>COUNTIF(Contacts[姓名],Contacts[[#This Row],[姓名]])</f>
        <v>874</v>
      </c>
    </row>
    <row r="645" spans="1:11" x14ac:dyDescent="0.15">
      <c r="A645" s="28" t="s">
        <v>1145</v>
      </c>
      <c r="B645" s="15" t="s">
        <v>4380</v>
      </c>
      <c r="D645" s="29" t="s">
        <v>1249</v>
      </c>
      <c r="E645" s="129" t="s">
        <v>5315</v>
      </c>
      <c r="F645" s="15" t="s">
        <v>4487</v>
      </c>
      <c r="I645" s="28"/>
      <c r="J645" s="30"/>
      <c r="K645" s="15">
        <f>COUNTIF(Contacts[姓名],Contacts[[#This Row],[姓名]])</f>
        <v>874</v>
      </c>
    </row>
    <row r="646" spans="1:11" x14ac:dyDescent="0.15">
      <c r="A646" s="28" t="s">
        <v>1245</v>
      </c>
      <c r="B646" s="15" t="s">
        <v>4380</v>
      </c>
      <c r="D646" s="29" t="s">
        <v>1244</v>
      </c>
      <c r="E646" s="129" t="s">
        <v>5315</v>
      </c>
      <c r="F646" s="15" t="s">
        <v>4487</v>
      </c>
      <c r="I646" s="28"/>
      <c r="J646" s="30"/>
      <c r="K646" s="15">
        <f>COUNTIF(Contacts[姓名],Contacts[[#This Row],[姓名]])</f>
        <v>874</v>
      </c>
    </row>
    <row r="647" spans="1:11" x14ac:dyDescent="0.15">
      <c r="A647" s="28"/>
      <c r="B647" s="15" t="s">
        <v>4380</v>
      </c>
      <c r="C647" s="15">
        <v>915727135</v>
      </c>
      <c r="D647" s="29" t="s">
        <v>1600</v>
      </c>
      <c r="E647" s="129" t="s">
        <v>5315</v>
      </c>
      <c r="F647" s="15" t="s">
        <v>4487</v>
      </c>
      <c r="I647" s="28"/>
      <c r="J647" s="30"/>
      <c r="K647" s="15">
        <f>COUNTIF(Contacts[姓名],Contacts[[#This Row],[姓名]])</f>
        <v>874</v>
      </c>
    </row>
    <row r="648" spans="1:11" x14ac:dyDescent="0.15">
      <c r="A648" s="28"/>
      <c r="B648" s="15" t="s">
        <v>4380</v>
      </c>
      <c r="C648" s="15">
        <v>3003122811</v>
      </c>
      <c r="D648" s="29" t="s">
        <v>1336</v>
      </c>
      <c r="E648" s="129" t="s">
        <v>5315</v>
      </c>
      <c r="F648" s="15" t="s">
        <v>4508</v>
      </c>
      <c r="H648" s="15" t="s">
        <v>3314</v>
      </c>
      <c r="I648" s="28" t="s">
        <v>3291</v>
      </c>
      <c r="J648" s="30"/>
      <c r="K648" s="15">
        <f>COUNTIF(Contacts[姓名],Contacts[[#This Row],[姓名]])</f>
        <v>1</v>
      </c>
    </row>
    <row r="649" spans="1:11" x14ac:dyDescent="0.15">
      <c r="A649" s="28"/>
      <c r="B649" s="15" t="s">
        <v>4380</v>
      </c>
      <c r="D649" s="29" t="s">
        <v>1335</v>
      </c>
      <c r="E649" s="129" t="s">
        <v>5315</v>
      </c>
      <c r="F649" s="15" t="s">
        <v>4487</v>
      </c>
      <c r="I649" s="28"/>
      <c r="J649" s="30"/>
      <c r="K649" s="15">
        <f>COUNTIF(Contacts[姓名],Contacts[[#This Row],[姓名]])</f>
        <v>874</v>
      </c>
    </row>
    <row r="650" spans="1:11" x14ac:dyDescent="0.15">
      <c r="A650" s="28"/>
      <c r="B650" s="15" t="s">
        <v>4380</v>
      </c>
      <c r="D650" s="29" t="s">
        <v>1333</v>
      </c>
      <c r="E650" s="129" t="s">
        <v>5315</v>
      </c>
      <c r="F650" s="15" t="s">
        <v>4487</v>
      </c>
      <c r="I650" s="28"/>
      <c r="J650" s="30"/>
      <c r="K650" s="15">
        <f>COUNTIF(Contacts[姓名],Contacts[[#This Row],[姓名]])</f>
        <v>874</v>
      </c>
    </row>
    <row r="651" spans="1:11" x14ac:dyDescent="0.15">
      <c r="A651" s="28"/>
      <c r="B651" s="15" t="s">
        <v>4380</v>
      </c>
      <c r="D651" s="29" t="s">
        <v>1332</v>
      </c>
      <c r="E651" s="129" t="s">
        <v>5315</v>
      </c>
      <c r="F651" s="15" t="s">
        <v>4487</v>
      </c>
      <c r="I651" s="28"/>
      <c r="J651" s="30"/>
      <c r="K651" s="15">
        <f>COUNTIF(Contacts[姓名],Contacts[[#This Row],[姓名]])</f>
        <v>874</v>
      </c>
    </row>
    <row r="652" spans="1:11" x14ac:dyDescent="0.15">
      <c r="A652" s="28"/>
      <c r="B652" s="15" t="s">
        <v>4380</v>
      </c>
      <c r="D652" s="29" t="s">
        <v>1331</v>
      </c>
      <c r="E652" s="129" t="s">
        <v>5315</v>
      </c>
      <c r="F652" s="15" t="s">
        <v>4487</v>
      </c>
      <c r="I652" s="28"/>
      <c r="J652" s="30"/>
      <c r="K652" s="15">
        <f>COUNTIF(Contacts[姓名],Contacts[[#This Row],[姓名]])</f>
        <v>874</v>
      </c>
    </row>
    <row r="653" spans="1:11" x14ac:dyDescent="0.15">
      <c r="A653" s="28"/>
      <c r="B653" s="15" t="s">
        <v>4380</v>
      </c>
      <c r="D653" s="29" t="s">
        <v>1330</v>
      </c>
      <c r="E653" s="129" t="s">
        <v>5315</v>
      </c>
      <c r="F653" s="15" t="s">
        <v>4487</v>
      </c>
      <c r="I653" s="28"/>
      <c r="J653" s="30"/>
      <c r="K653" s="15">
        <f>COUNTIF(Contacts[姓名],Contacts[[#This Row],[姓名]])</f>
        <v>874</v>
      </c>
    </row>
    <row r="654" spans="1:11" x14ac:dyDescent="0.15">
      <c r="A654" s="28"/>
      <c r="B654" s="15" t="s">
        <v>4380</v>
      </c>
      <c r="D654" s="29" t="s">
        <v>1329</v>
      </c>
      <c r="E654" s="129" t="s">
        <v>5315</v>
      </c>
      <c r="F654" s="15" t="s">
        <v>4487</v>
      </c>
      <c r="I654" s="28"/>
      <c r="J654" s="30"/>
      <c r="K654" s="15">
        <f>COUNTIF(Contacts[姓名],Contacts[[#This Row],[姓名]])</f>
        <v>874</v>
      </c>
    </row>
    <row r="655" spans="1:11" x14ac:dyDescent="0.15">
      <c r="A655" s="28"/>
      <c r="B655" s="15" t="s">
        <v>4380</v>
      </c>
      <c r="D655" s="29" t="s">
        <v>1328</v>
      </c>
      <c r="E655" s="129" t="s">
        <v>5315</v>
      </c>
      <c r="F655" s="15" t="s">
        <v>4487</v>
      </c>
      <c r="I655" s="28"/>
      <c r="J655" s="30"/>
      <c r="K655" s="15">
        <f>COUNTIF(Contacts[姓名],Contacts[[#This Row],[姓名]])</f>
        <v>874</v>
      </c>
    </row>
    <row r="656" spans="1:11" x14ac:dyDescent="0.15">
      <c r="A656" s="28"/>
      <c r="B656" s="15" t="s">
        <v>4380</v>
      </c>
      <c r="D656" s="29" t="s">
        <v>1327</v>
      </c>
      <c r="E656" s="129" t="s">
        <v>5315</v>
      </c>
      <c r="F656" s="15" t="s">
        <v>4487</v>
      </c>
      <c r="I656" s="28"/>
      <c r="J656" s="30"/>
      <c r="K656" s="15">
        <f>COUNTIF(Contacts[姓名],Contacts[[#This Row],[姓名]])</f>
        <v>874</v>
      </c>
    </row>
    <row r="657" spans="1:11" x14ac:dyDescent="0.15">
      <c r="A657" s="28"/>
      <c r="B657" s="15" t="s">
        <v>4380</v>
      </c>
      <c r="D657" s="29" t="s">
        <v>1324</v>
      </c>
      <c r="E657" s="129" t="s">
        <v>5315</v>
      </c>
      <c r="F657" s="15" t="s">
        <v>4487</v>
      </c>
      <c r="I657" s="28"/>
      <c r="J657" s="30"/>
      <c r="K657" s="15">
        <f>COUNTIF(Contacts[姓名],Contacts[[#This Row],[姓名]])</f>
        <v>874</v>
      </c>
    </row>
    <row r="658" spans="1:11" x14ac:dyDescent="0.15">
      <c r="A658" s="28"/>
      <c r="B658" s="15" t="s">
        <v>4380</v>
      </c>
      <c r="D658" s="29" t="s">
        <v>1314</v>
      </c>
      <c r="E658" s="129" t="s">
        <v>5315</v>
      </c>
      <c r="F658" s="15" t="s">
        <v>4487</v>
      </c>
      <c r="I658" s="28"/>
      <c r="J658" s="30"/>
      <c r="K658" s="15">
        <f>COUNTIF(Contacts[姓名],Contacts[[#This Row],[姓名]])</f>
        <v>874</v>
      </c>
    </row>
    <row r="659" spans="1:11" x14ac:dyDescent="0.15">
      <c r="A659" s="28"/>
      <c r="B659" s="15" t="s">
        <v>4380</v>
      </c>
      <c r="D659" s="29" t="s">
        <v>1310</v>
      </c>
      <c r="E659" s="129" t="s">
        <v>5315</v>
      </c>
      <c r="F659" s="15" t="s">
        <v>4487</v>
      </c>
      <c r="I659" s="28"/>
      <c r="J659" s="30"/>
      <c r="K659" s="15">
        <f>COUNTIF(Contacts[姓名],Contacts[[#This Row],[姓名]])</f>
        <v>874</v>
      </c>
    </row>
    <row r="660" spans="1:11" x14ac:dyDescent="0.15">
      <c r="A660" s="28"/>
      <c r="B660" s="15" t="s">
        <v>4380</v>
      </c>
      <c r="D660" s="29" t="s">
        <v>1309</v>
      </c>
      <c r="E660" s="129" t="s">
        <v>5315</v>
      </c>
      <c r="F660" s="15" t="s">
        <v>4487</v>
      </c>
      <c r="I660" s="28"/>
      <c r="J660" s="30"/>
      <c r="K660" s="15">
        <f>COUNTIF(Contacts[姓名],Contacts[[#This Row],[姓名]])</f>
        <v>874</v>
      </c>
    </row>
    <row r="661" spans="1:11" x14ac:dyDescent="0.15">
      <c r="A661" s="28"/>
      <c r="B661" s="15" t="s">
        <v>4380</v>
      </c>
      <c r="D661" s="29" t="s">
        <v>1308</v>
      </c>
      <c r="E661" s="129" t="s">
        <v>5315</v>
      </c>
      <c r="F661" s="15" t="s">
        <v>4487</v>
      </c>
      <c r="I661" s="28"/>
      <c r="J661" s="30"/>
      <c r="K661" s="15">
        <f>COUNTIF(Contacts[姓名],Contacts[[#This Row],[姓名]])</f>
        <v>874</v>
      </c>
    </row>
    <row r="662" spans="1:11" x14ac:dyDescent="0.15">
      <c r="A662" s="28"/>
      <c r="B662" s="15" t="s">
        <v>4380</v>
      </c>
      <c r="D662" s="29" t="s">
        <v>1307</v>
      </c>
      <c r="E662" s="129" t="s">
        <v>5315</v>
      </c>
      <c r="F662" s="15" t="s">
        <v>4487</v>
      </c>
      <c r="I662" s="28"/>
      <c r="J662" s="30"/>
      <c r="K662" s="15">
        <f>COUNTIF(Contacts[姓名],Contacts[[#This Row],[姓名]])</f>
        <v>874</v>
      </c>
    </row>
    <row r="663" spans="1:11" x14ac:dyDescent="0.15">
      <c r="A663" s="28"/>
      <c r="B663" s="15" t="s">
        <v>4380</v>
      </c>
      <c r="D663" s="29" t="s">
        <v>1302</v>
      </c>
      <c r="E663" s="129" t="s">
        <v>5315</v>
      </c>
      <c r="F663" s="15" t="s">
        <v>4487</v>
      </c>
      <c r="I663" s="28"/>
      <c r="J663" s="30"/>
      <c r="K663" s="15">
        <f>COUNTIF(Contacts[姓名],Contacts[[#This Row],[姓名]])</f>
        <v>874</v>
      </c>
    </row>
    <row r="664" spans="1:11" x14ac:dyDescent="0.15">
      <c r="A664" s="28"/>
      <c r="B664" s="15" t="s">
        <v>4380</v>
      </c>
      <c r="D664" s="29" t="s">
        <v>1296</v>
      </c>
      <c r="E664" s="129" t="s">
        <v>5315</v>
      </c>
      <c r="F664" s="15" t="s">
        <v>4487</v>
      </c>
      <c r="I664" s="28"/>
      <c r="J664" s="30"/>
      <c r="K664" s="15">
        <f>COUNTIF(Contacts[姓名],Contacts[[#This Row],[姓名]])</f>
        <v>874</v>
      </c>
    </row>
    <row r="665" spans="1:11" x14ac:dyDescent="0.15">
      <c r="A665" s="28"/>
      <c r="B665" s="15" t="s">
        <v>4380</v>
      </c>
      <c r="D665" s="29" t="s">
        <v>1111</v>
      </c>
      <c r="E665" s="129" t="s">
        <v>5315</v>
      </c>
      <c r="F665" s="15" t="s">
        <v>4487</v>
      </c>
      <c r="I665" s="28"/>
      <c r="J665" s="30"/>
      <c r="K665" s="15">
        <f>COUNTIF(Contacts[姓名],Contacts[[#This Row],[姓名]])</f>
        <v>874</v>
      </c>
    </row>
    <row r="666" spans="1:11" x14ac:dyDescent="0.15">
      <c r="A666" s="28"/>
      <c r="B666" s="15" t="s">
        <v>4380</v>
      </c>
      <c r="D666" s="29" t="s">
        <v>1110</v>
      </c>
      <c r="E666" s="129" t="s">
        <v>5315</v>
      </c>
      <c r="F666" s="15" t="s">
        <v>4487</v>
      </c>
      <c r="I666" s="28"/>
      <c r="J666" s="30"/>
      <c r="K666" s="15">
        <f>COUNTIF(Contacts[姓名],Contacts[[#This Row],[姓名]])</f>
        <v>874</v>
      </c>
    </row>
    <row r="667" spans="1:11" x14ac:dyDescent="0.15">
      <c r="A667" s="28"/>
      <c r="B667" s="15" t="s">
        <v>4380</v>
      </c>
      <c r="D667" s="29" t="s">
        <v>1109</v>
      </c>
      <c r="E667" s="129" t="s">
        <v>5315</v>
      </c>
      <c r="F667" s="15" t="s">
        <v>4487</v>
      </c>
      <c r="I667" s="28"/>
      <c r="J667" s="30"/>
      <c r="K667" s="15">
        <f>COUNTIF(Contacts[姓名],Contacts[[#This Row],[姓名]])</f>
        <v>874</v>
      </c>
    </row>
    <row r="668" spans="1:11" x14ac:dyDescent="0.15">
      <c r="A668" s="28"/>
      <c r="B668" s="15" t="s">
        <v>4380</v>
      </c>
      <c r="D668" s="29" t="s">
        <v>1257</v>
      </c>
      <c r="E668" s="129" t="s">
        <v>5315</v>
      </c>
      <c r="F668" s="15" t="s">
        <v>4487</v>
      </c>
      <c r="I668" s="28"/>
      <c r="J668" s="30"/>
      <c r="K668" s="15">
        <f>COUNTIF(Contacts[姓名],Contacts[[#This Row],[姓名]])</f>
        <v>874</v>
      </c>
    </row>
    <row r="669" spans="1:11" x14ac:dyDescent="0.15">
      <c r="A669" s="28"/>
      <c r="B669" s="15" t="s">
        <v>4380</v>
      </c>
      <c r="D669" s="29" t="s">
        <v>2587</v>
      </c>
      <c r="E669" s="129" t="s">
        <v>5315</v>
      </c>
      <c r="F669" s="15" t="s">
        <v>4487</v>
      </c>
      <c r="I669" s="28"/>
      <c r="J669" s="30"/>
      <c r="K669" s="15">
        <f>COUNTIF(Contacts[姓名],Contacts[[#This Row],[姓名]])</f>
        <v>874</v>
      </c>
    </row>
    <row r="670" spans="1:11" x14ac:dyDescent="0.15">
      <c r="A670" s="28"/>
      <c r="B670" s="15" t="s">
        <v>4380</v>
      </c>
      <c r="D670" s="29" t="s">
        <v>1082</v>
      </c>
      <c r="E670" s="129" t="s">
        <v>5315</v>
      </c>
      <c r="F670" s="15" t="s">
        <v>4487</v>
      </c>
      <c r="I670" s="28"/>
      <c r="J670" s="30"/>
      <c r="K670" s="15">
        <f>COUNTIF(Contacts[姓名],Contacts[[#This Row],[姓名]])</f>
        <v>874</v>
      </c>
    </row>
    <row r="671" spans="1:11" x14ac:dyDescent="0.15">
      <c r="A671" s="28"/>
      <c r="B671" s="15" t="s">
        <v>4380</v>
      </c>
      <c r="D671" s="29" t="s">
        <v>1254</v>
      </c>
      <c r="E671" s="129" t="s">
        <v>5315</v>
      </c>
      <c r="F671" s="15" t="s">
        <v>4487</v>
      </c>
      <c r="I671" s="28"/>
      <c r="J671" s="30"/>
      <c r="K671" s="15">
        <f>COUNTIF(Contacts[姓名],Contacts[[#This Row],[姓名]])</f>
        <v>874</v>
      </c>
    </row>
    <row r="672" spans="1:11" x14ac:dyDescent="0.15">
      <c r="A672" s="28"/>
      <c r="B672" s="15" t="s">
        <v>4380</v>
      </c>
      <c r="D672" s="29" t="s">
        <v>1252</v>
      </c>
      <c r="E672" s="129" t="s">
        <v>5315</v>
      </c>
      <c r="F672" s="15" t="s">
        <v>4487</v>
      </c>
      <c r="I672" s="28"/>
      <c r="J672" s="30"/>
      <c r="K672" s="15">
        <f>COUNTIF(Contacts[姓名],Contacts[[#This Row],[姓名]])</f>
        <v>874</v>
      </c>
    </row>
    <row r="673" spans="1:11" x14ac:dyDescent="0.15">
      <c r="A673" s="28"/>
      <c r="B673" s="15" t="s">
        <v>4380</v>
      </c>
      <c r="D673" s="29" t="s">
        <v>1248</v>
      </c>
      <c r="E673" s="129" t="s">
        <v>5315</v>
      </c>
      <c r="F673" s="15" t="s">
        <v>4487</v>
      </c>
      <c r="I673" s="28"/>
      <c r="J673" s="30"/>
      <c r="K673" s="15">
        <f>COUNTIF(Contacts[姓名],Contacts[[#This Row],[姓名]])</f>
        <v>874</v>
      </c>
    </row>
    <row r="674" spans="1:11" x14ac:dyDescent="0.15">
      <c r="A674" s="28"/>
      <c r="B674" s="15" t="s">
        <v>4380</v>
      </c>
      <c r="D674" s="29" t="s">
        <v>1177</v>
      </c>
      <c r="E674" s="129" t="s">
        <v>5315</v>
      </c>
      <c r="F674" s="15" t="s">
        <v>4487</v>
      </c>
      <c r="I674" s="28"/>
      <c r="J674" s="30"/>
      <c r="K674" s="15">
        <f>COUNTIF(Contacts[姓名],Contacts[[#This Row],[姓名]])</f>
        <v>874</v>
      </c>
    </row>
    <row r="675" spans="1:11" x14ac:dyDescent="0.15">
      <c r="A675" s="28" t="s">
        <v>812</v>
      </c>
      <c r="B675" s="15" t="s">
        <v>4380</v>
      </c>
      <c r="D675" s="29" t="s">
        <v>1180</v>
      </c>
      <c r="E675" s="129" t="s">
        <v>5315</v>
      </c>
      <c r="F675" s="15" t="s">
        <v>4487</v>
      </c>
      <c r="I675" s="28"/>
      <c r="J675" s="30"/>
      <c r="K675" s="15">
        <f>COUNTIF(Contacts[姓名],Contacts[[#This Row],[姓名]])</f>
        <v>874</v>
      </c>
    </row>
    <row r="676" spans="1:11" x14ac:dyDescent="0.15">
      <c r="A676" s="28" t="s">
        <v>561</v>
      </c>
      <c r="B676" s="15" t="s">
        <v>4380</v>
      </c>
      <c r="D676" s="29" t="s">
        <v>2669</v>
      </c>
      <c r="E676" s="129" t="s">
        <v>5315</v>
      </c>
      <c r="F676" s="15" t="s">
        <v>4487</v>
      </c>
      <c r="I676" s="28"/>
      <c r="J676" s="30"/>
      <c r="K676" s="15">
        <f>COUNTIF(Contacts[姓名],Contacts[[#This Row],[姓名]])</f>
        <v>874</v>
      </c>
    </row>
    <row r="677" spans="1:11" x14ac:dyDescent="0.15">
      <c r="A677" s="28" t="s">
        <v>584</v>
      </c>
      <c r="B677" s="15" t="s">
        <v>4380</v>
      </c>
      <c r="D677" s="29" t="s">
        <v>1221</v>
      </c>
      <c r="E677" s="129" t="s">
        <v>5315</v>
      </c>
      <c r="F677" s="15" t="s">
        <v>6199</v>
      </c>
      <c r="I677" s="28"/>
      <c r="J677" s="30"/>
      <c r="K677" s="15">
        <f>COUNTIF(Contacts[姓名],Contacts[[#This Row],[姓名]])</f>
        <v>1</v>
      </c>
    </row>
    <row r="678" spans="1:11" x14ac:dyDescent="0.15">
      <c r="A678" s="28" t="s">
        <v>584</v>
      </c>
      <c r="B678" s="15" t="s">
        <v>4380</v>
      </c>
      <c r="D678" s="29" t="s">
        <v>1220</v>
      </c>
      <c r="E678" s="129" t="s">
        <v>5315</v>
      </c>
      <c r="F678" s="15" t="s">
        <v>6198</v>
      </c>
      <c r="I678" s="28"/>
      <c r="J678" s="30"/>
      <c r="K678" s="15">
        <f>COUNTIF(Contacts[姓名],Contacts[[#This Row],[姓名]])</f>
        <v>1</v>
      </c>
    </row>
    <row r="679" spans="1:11" x14ac:dyDescent="0.15">
      <c r="A679" s="28" t="s">
        <v>584</v>
      </c>
      <c r="B679" s="15" t="s">
        <v>4380</v>
      </c>
      <c r="D679" s="29" t="s">
        <v>1219</v>
      </c>
      <c r="E679" s="129" t="s">
        <v>5315</v>
      </c>
      <c r="F679" s="15" t="s">
        <v>6194</v>
      </c>
      <c r="I679" s="28"/>
      <c r="J679" s="30"/>
      <c r="K679" s="15">
        <f>COUNTIF(Contacts[姓名],Contacts[[#This Row],[姓名]])</f>
        <v>1</v>
      </c>
    </row>
    <row r="680" spans="1:11" x14ac:dyDescent="0.15">
      <c r="A680" s="28" t="s">
        <v>584</v>
      </c>
      <c r="B680" s="15" t="s">
        <v>4380</v>
      </c>
      <c r="D680" s="29" t="s">
        <v>2667</v>
      </c>
      <c r="E680" s="129" t="s">
        <v>5315</v>
      </c>
      <c r="F680" s="15" t="s">
        <v>6193</v>
      </c>
      <c r="I680" s="28"/>
      <c r="J680" s="30"/>
      <c r="K680" s="15">
        <f>COUNTIF(Contacts[姓名],Contacts[[#This Row],[姓名]])</f>
        <v>1</v>
      </c>
    </row>
    <row r="681" spans="1:11" x14ac:dyDescent="0.15">
      <c r="A681" s="28" t="s">
        <v>496</v>
      </c>
      <c r="B681" s="15" t="s">
        <v>4380</v>
      </c>
      <c r="D681" s="29" t="s">
        <v>1218</v>
      </c>
      <c r="E681" s="129" t="s">
        <v>5315</v>
      </c>
      <c r="F681" s="15" t="s">
        <v>4487</v>
      </c>
      <c r="I681" s="28"/>
      <c r="J681" s="30"/>
      <c r="K681" s="15">
        <f>COUNTIF(Contacts[姓名],Contacts[[#This Row],[姓名]])</f>
        <v>874</v>
      </c>
    </row>
    <row r="682" spans="1:11" x14ac:dyDescent="0.15">
      <c r="A682" s="28" t="s">
        <v>599</v>
      </c>
      <c r="B682" s="15" t="s">
        <v>4380</v>
      </c>
      <c r="D682" s="29" t="s">
        <v>1217</v>
      </c>
      <c r="E682" s="129" t="s">
        <v>5315</v>
      </c>
      <c r="F682" s="15" t="s">
        <v>4487</v>
      </c>
      <c r="I682" s="28"/>
      <c r="J682" s="30"/>
      <c r="K682" s="15">
        <f>COUNTIF(Contacts[姓名],Contacts[[#This Row],[姓名]])</f>
        <v>874</v>
      </c>
    </row>
    <row r="683" spans="1:11" x14ac:dyDescent="0.15">
      <c r="A683" s="28" t="s">
        <v>640</v>
      </c>
      <c r="B683" s="15" t="s">
        <v>4380</v>
      </c>
      <c r="D683" s="29" t="s">
        <v>1216</v>
      </c>
      <c r="E683" s="129" t="s">
        <v>5315</v>
      </c>
      <c r="F683" s="15" t="s">
        <v>4487</v>
      </c>
      <c r="I683" s="28"/>
      <c r="J683" s="30"/>
      <c r="K683" s="15">
        <f>COUNTIF(Contacts[姓名],Contacts[[#This Row],[姓名]])</f>
        <v>874</v>
      </c>
    </row>
    <row r="684" spans="1:11" x14ac:dyDescent="0.15">
      <c r="A684" s="28" t="s">
        <v>499</v>
      </c>
      <c r="B684" s="15" t="s">
        <v>4380</v>
      </c>
      <c r="D684" s="29" t="s">
        <v>1214</v>
      </c>
      <c r="E684" s="129" t="s">
        <v>5315</v>
      </c>
      <c r="F684" s="15" t="s">
        <v>4487</v>
      </c>
      <c r="I684" s="28"/>
      <c r="J684" s="30"/>
      <c r="K684" s="15">
        <f>COUNTIF(Contacts[姓名],Contacts[[#This Row],[姓名]])</f>
        <v>874</v>
      </c>
    </row>
    <row r="685" spans="1:11" x14ac:dyDescent="0.15">
      <c r="A685" s="28" t="s">
        <v>499</v>
      </c>
      <c r="B685" s="15" t="s">
        <v>4380</v>
      </c>
      <c r="D685" s="29" t="s">
        <v>1213</v>
      </c>
      <c r="E685" s="129" t="s">
        <v>5315</v>
      </c>
      <c r="F685" s="15" t="s">
        <v>4487</v>
      </c>
      <c r="I685" s="28"/>
      <c r="J685" s="30"/>
      <c r="K685" s="15">
        <f>COUNTIF(Contacts[姓名],Contacts[[#This Row],[姓名]])</f>
        <v>874</v>
      </c>
    </row>
    <row r="686" spans="1:11" x14ac:dyDescent="0.15">
      <c r="A686" s="28" t="s">
        <v>548</v>
      </c>
      <c r="B686" s="15" t="s">
        <v>4380</v>
      </c>
      <c r="D686" s="29" t="s">
        <v>1210</v>
      </c>
      <c r="E686" s="129" t="s">
        <v>5315</v>
      </c>
      <c r="F686" s="15" t="s">
        <v>4487</v>
      </c>
      <c r="I686" s="28"/>
      <c r="J686" s="30"/>
      <c r="K686" s="15">
        <f>COUNTIF(Contacts[姓名],Contacts[[#This Row],[姓名]])</f>
        <v>874</v>
      </c>
    </row>
    <row r="687" spans="1:11" x14ac:dyDescent="0.15">
      <c r="A687" s="28" t="s">
        <v>601</v>
      </c>
      <c r="B687" s="15" t="s">
        <v>4380</v>
      </c>
      <c r="D687" s="29" t="s">
        <v>1230</v>
      </c>
      <c r="E687" s="129" t="s">
        <v>5315</v>
      </c>
      <c r="F687" s="15" t="s">
        <v>4487</v>
      </c>
      <c r="I687" s="28"/>
      <c r="J687" s="30"/>
      <c r="K687" s="15">
        <f>COUNTIF(Contacts[姓名],Contacts[[#This Row],[姓名]])</f>
        <v>874</v>
      </c>
    </row>
    <row r="688" spans="1:11" x14ac:dyDescent="0.15">
      <c r="A688" s="28" t="s">
        <v>493</v>
      </c>
      <c r="B688" s="15" t="s">
        <v>4380</v>
      </c>
      <c r="D688" s="29" t="s">
        <v>2589</v>
      </c>
      <c r="E688" s="129" t="s">
        <v>5315</v>
      </c>
      <c r="F688" s="15" t="s">
        <v>4487</v>
      </c>
      <c r="I688" s="28"/>
      <c r="J688" s="30"/>
      <c r="K688" s="15">
        <f>COUNTIF(Contacts[姓名],Contacts[[#This Row],[姓名]])</f>
        <v>874</v>
      </c>
    </row>
    <row r="689" spans="1:11" x14ac:dyDescent="0.15">
      <c r="A689" s="28" t="s">
        <v>493</v>
      </c>
      <c r="B689" s="15" t="s">
        <v>4380</v>
      </c>
      <c r="D689" s="29" t="s">
        <v>2602</v>
      </c>
      <c r="E689" s="129" t="s">
        <v>5315</v>
      </c>
      <c r="F689" s="15" t="s">
        <v>4487</v>
      </c>
      <c r="I689" s="28"/>
      <c r="J689" s="30"/>
      <c r="K689" s="15">
        <f>COUNTIF(Contacts[姓名],Contacts[[#This Row],[姓名]])</f>
        <v>874</v>
      </c>
    </row>
    <row r="690" spans="1:11" x14ac:dyDescent="0.15">
      <c r="A690" s="28" t="s">
        <v>583</v>
      </c>
      <c r="B690" s="15" t="s">
        <v>4380</v>
      </c>
      <c r="D690" s="29" t="s">
        <v>1206</v>
      </c>
      <c r="E690" s="129" t="s">
        <v>5315</v>
      </c>
      <c r="F690" s="15" t="s">
        <v>4487</v>
      </c>
      <c r="I690" s="28"/>
      <c r="J690" s="30"/>
      <c r="K690" s="15">
        <f>COUNTIF(Contacts[姓名],Contacts[[#This Row],[姓名]])</f>
        <v>874</v>
      </c>
    </row>
    <row r="691" spans="1:11" x14ac:dyDescent="0.15">
      <c r="A691" s="28" t="s">
        <v>583</v>
      </c>
      <c r="B691" s="15" t="s">
        <v>4380</v>
      </c>
      <c r="D691" s="29" t="s">
        <v>2643</v>
      </c>
      <c r="E691" s="129" t="s">
        <v>5315</v>
      </c>
      <c r="F691" s="15" t="s">
        <v>4487</v>
      </c>
      <c r="I691" s="28"/>
      <c r="J691" s="30"/>
      <c r="K691" s="15">
        <f>COUNTIF(Contacts[姓名],Contacts[[#This Row],[姓名]])</f>
        <v>874</v>
      </c>
    </row>
    <row r="692" spans="1:11" x14ac:dyDescent="0.15">
      <c r="A692" s="28" t="s">
        <v>583</v>
      </c>
      <c r="B692" s="15" t="s">
        <v>4380</v>
      </c>
      <c r="D692" s="29" t="s">
        <v>2642</v>
      </c>
      <c r="E692" s="129" t="s">
        <v>5315</v>
      </c>
      <c r="F692" s="15" t="s">
        <v>4487</v>
      </c>
      <c r="I692" s="28"/>
      <c r="J692" s="30"/>
      <c r="K692" s="15">
        <f>COUNTIF(Contacts[姓名],Contacts[[#This Row],[姓名]])</f>
        <v>874</v>
      </c>
    </row>
    <row r="693" spans="1:11" x14ac:dyDescent="0.15">
      <c r="A693" s="28" t="s">
        <v>583</v>
      </c>
      <c r="B693" s="15" t="s">
        <v>4380</v>
      </c>
      <c r="D693" s="29" t="s">
        <v>1205</v>
      </c>
      <c r="E693" s="129" t="s">
        <v>5315</v>
      </c>
      <c r="F693" s="15" t="s">
        <v>4487</v>
      </c>
      <c r="I693" s="28"/>
      <c r="J693" s="30"/>
      <c r="K693" s="15">
        <f>COUNTIF(Contacts[姓名],Contacts[[#This Row],[姓名]])</f>
        <v>874</v>
      </c>
    </row>
    <row r="694" spans="1:11" x14ac:dyDescent="0.15">
      <c r="A694" s="28" t="s">
        <v>583</v>
      </c>
      <c r="B694" s="15" t="s">
        <v>4380</v>
      </c>
      <c r="D694" s="29" t="s">
        <v>1204</v>
      </c>
      <c r="E694" s="129" t="s">
        <v>5315</v>
      </c>
      <c r="F694" s="15" t="s">
        <v>4487</v>
      </c>
      <c r="I694" s="28"/>
      <c r="J694" s="30"/>
      <c r="K694" s="15">
        <f>COUNTIF(Contacts[姓名],Contacts[[#This Row],[姓名]])</f>
        <v>874</v>
      </c>
    </row>
    <row r="695" spans="1:11" x14ac:dyDescent="0.15">
      <c r="A695" s="28" t="s">
        <v>987</v>
      </c>
      <c r="B695" s="15" t="s">
        <v>4380</v>
      </c>
      <c r="D695" s="29" t="s">
        <v>1201</v>
      </c>
      <c r="E695" s="129" t="s">
        <v>5315</v>
      </c>
      <c r="F695" s="15" t="s">
        <v>4487</v>
      </c>
      <c r="I695" s="28"/>
      <c r="J695" s="30"/>
      <c r="K695" s="15">
        <f>COUNTIF(Contacts[姓名],Contacts[[#This Row],[姓名]])</f>
        <v>874</v>
      </c>
    </row>
    <row r="696" spans="1:11" x14ac:dyDescent="0.15">
      <c r="A696" s="28" t="s">
        <v>768</v>
      </c>
      <c r="B696" s="15" t="s">
        <v>4380</v>
      </c>
      <c r="D696" s="29" t="s">
        <v>1200</v>
      </c>
      <c r="E696" s="129" t="s">
        <v>5315</v>
      </c>
      <c r="F696" s="15" t="s">
        <v>4487</v>
      </c>
      <c r="I696" s="28"/>
      <c r="J696" s="30"/>
      <c r="K696" s="15">
        <f>COUNTIF(Contacts[姓名],Contacts[[#This Row],[姓名]])</f>
        <v>874</v>
      </c>
    </row>
    <row r="697" spans="1:11" x14ac:dyDescent="0.15">
      <c r="A697" s="28" t="s">
        <v>696</v>
      </c>
      <c r="B697" s="15" t="s">
        <v>4380</v>
      </c>
      <c r="D697" s="29" t="s">
        <v>1229</v>
      </c>
      <c r="E697" s="129" t="s">
        <v>5315</v>
      </c>
      <c r="F697" s="15" t="s">
        <v>4487</v>
      </c>
      <c r="I697" s="28"/>
      <c r="J697" s="30"/>
      <c r="K697" s="15">
        <f>COUNTIF(Contacts[姓名],Contacts[[#This Row],[姓名]])</f>
        <v>874</v>
      </c>
    </row>
    <row r="698" spans="1:11" x14ac:dyDescent="0.15">
      <c r="A698" s="28" t="s">
        <v>1022</v>
      </c>
      <c r="B698" s="15" t="s">
        <v>4380</v>
      </c>
      <c r="D698" s="29" t="s">
        <v>1223</v>
      </c>
      <c r="E698" s="129" t="s">
        <v>5315</v>
      </c>
      <c r="F698" s="15" t="s">
        <v>4487</v>
      </c>
      <c r="I698" s="28"/>
      <c r="J698" s="30"/>
      <c r="K698" s="15">
        <f>COUNTIF(Contacts[姓名],Contacts[[#This Row],[姓名]])</f>
        <v>874</v>
      </c>
    </row>
    <row r="699" spans="1:11" x14ac:dyDescent="0.15">
      <c r="A699" s="28" t="s">
        <v>498</v>
      </c>
      <c r="B699" s="15" t="s">
        <v>4380</v>
      </c>
      <c r="D699" s="29" t="s">
        <v>1191</v>
      </c>
      <c r="E699" s="129" t="s">
        <v>5315</v>
      </c>
      <c r="F699" s="15" t="s">
        <v>4487</v>
      </c>
      <c r="I699" s="28"/>
      <c r="J699" s="30"/>
      <c r="K699" s="15">
        <f>COUNTIF(Contacts[姓名],Contacts[[#This Row],[姓名]])</f>
        <v>874</v>
      </c>
    </row>
    <row r="700" spans="1:11" x14ac:dyDescent="0.15">
      <c r="A700" s="28" t="s">
        <v>1037</v>
      </c>
      <c r="B700" s="15" t="s">
        <v>4380</v>
      </c>
      <c r="D700" s="29" t="s">
        <v>1185</v>
      </c>
      <c r="E700" s="129" t="s">
        <v>5315</v>
      </c>
      <c r="F700" s="15" t="s">
        <v>4487</v>
      </c>
      <c r="I700" s="28"/>
      <c r="J700" s="30"/>
      <c r="K700" s="15">
        <f>COUNTIF(Contacts[姓名],Contacts[[#This Row],[姓名]])</f>
        <v>874</v>
      </c>
    </row>
    <row r="701" spans="1:11" x14ac:dyDescent="0.15">
      <c r="A701" s="28" t="s">
        <v>492</v>
      </c>
      <c r="B701" s="15" t="s">
        <v>4380</v>
      </c>
      <c r="D701" s="29" t="s">
        <v>1224</v>
      </c>
      <c r="E701" s="129" t="s">
        <v>5315</v>
      </c>
      <c r="F701" s="15" t="s">
        <v>4487</v>
      </c>
      <c r="I701" s="28"/>
      <c r="J701" s="30"/>
      <c r="K701" s="15">
        <f>COUNTIF(Contacts[姓名],Contacts[[#This Row],[姓名]])</f>
        <v>874</v>
      </c>
    </row>
    <row r="702" spans="1:11" x14ac:dyDescent="0.15">
      <c r="A702" s="28" t="s">
        <v>587</v>
      </c>
      <c r="B702" s="15" t="s">
        <v>4380</v>
      </c>
      <c r="C702" s="15">
        <v>2850688051</v>
      </c>
      <c r="D702" s="29" t="s">
        <v>1189</v>
      </c>
      <c r="E702" s="129" t="s">
        <v>5315</v>
      </c>
      <c r="F702" s="15" t="s">
        <v>4509</v>
      </c>
      <c r="H702" s="15" t="s">
        <v>3295</v>
      </c>
      <c r="I702" s="28"/>
      <c r="J702" s="30"/>
      <c r="K702" s="15">
        <f>COUNTIF(Contacts[姓名],Contacts[[#This Row],[姓名]])</f>
        <v>1</v>
      </c>
    </row>
    <row r="703" spans="1:11" x14ac:dyDescent="0.15">
      <c r="A703" s="28"/>
      <c r="B703" s="15" t="s">
        <v>4380</v>
      </c>
      <c r="C703" s="15">
        <v>3005316991</v>
      </c>
      <c r="D703" s="29" t="s">
        <v>2710</v>
      </c>
      <c r="E703" s="129" t="s">
        <v>5315</v>
      </c>
      <c r="F703" s="15" t="s">
        <v>4487</v>
      </c>
      <c r="I703" s="28"/>
      <c r="J703" s="30"/>
      <c r="K703" s="15">
        <f>COUNTIF(Contacts[姓名],Contacts[[#This Row],[姓名]])</f>
        <v>874</v>
      </c>
    </row>
    <row r="704" spans="1:11" x14ac:dyDescent="0.15">
      <c r="A704" s="28"/>
      <c r="B704" s="15" t="s">
        <v>4380</v>
      </c>
      <c r="D704" s="29" t="s">
        <v>1242</v>
      </c>
      <c r="E704" s="129" t="s">
        <v>5315</v>
      </c>
      <c r="F704" s="15" t="s">
        <v>4487</v>
      </c>
      <c r="I704" s="28"/>
      <c r="J704" s="30"/>
      <c r="K704" s="15">
        <f>COUNTIF(Contacts[姓名],Contacts[[#This Row],[姓名]])</f>
        <v>874</v>
      </c>
    </row>
    <row r="705" spans="1:11" x14ac:dyDescent="0.15">
      <c r="A705" s="28"/>
      <c r="B705" s="15" t="s">
        <v>4380</v>
      </c>
      <c r="D705" s="29" t="s">
        <v>1241</v>
      </c>
      <c r="E705" s="129" t="s">
        <v>5315</v>
      </c>
      <c r="F705" s="15" t="s">
        <v>4487</v>
      </c>
      <c r="I705" s="28"/>
      <c r="J705" s="30"/>
      <c r="K705" s="15">
        <f>COUNTIF(Contacts[姓名],Contacts[[#This Row],[姓名]])</f>
        <v>874</v>
      </c>
    </row>
    <row r="706" spans="1:11" x14ac:dyDescent="0.15">
      <c r="A706" s="28"/>
      <c r="B706" s="15" t="s">
        <v>4380</v>
      </c>
      <c r="D706" s="29" t="s">
        <v>1240</v>
      </c>
      <c r="E706" s="129" t="s">
        <v>5315</v>
      </c>
      <c r="F706" s="15" t="s">
        <v>4487</v>
      </c>
      <c r="I706" s="28"/>
      <c r="J706" s="30"/>
      <c r="K706" s="15">
        <f>COUNTIF(Contacts[姓名],Contacts[[#This Row],[姓名]])</f>
        <v>874</v>
      </c>
    </row>
    <row r="707" spans="1:11" x14ac:dyDescent="0.15">
      <c r="A707" s="28"/>
      <c r="B707" s="15" t="s">
        <v>4380</v>
      </c>
      <c r="D707" s="29" t="s">
        <v>1239</v>
      </c>
      <c r="E707" s="129" t="s">
        <v>5315</v>
      </c>
      <c r="F707" s="15" t="s">
        <v>4487</v>
      </c>
      <c r="I707" s="28"/>
      <c r="J707" s="30"/>
      <c r="K707" s="15">
        <f>COUNTIF(Contacts[姓名],Contacts[[#This Row],[姓名]])</f>
        <v>874</v>
      </c>
    </row>
    <row r="708" spans="1:11" x14ac:dyDescent="0.15">
      <c r="A708" s="28"/>
      <c r="B708" s="15" t="s">
        <v>4380</v>
      </c>
      <c r="D708" s="29" t="s">
        <v>1238</v>
      </c>
      <c r="E708" s="129" t="s">
        <v>5315</v>
      </c>
      <c r="F708" s="15" t="s">
        <v>4487</v>
      </c>
      <c r="I708" s="28"/>
      <c r="J708" s="30"/>
      <c r="K708" s="15">
        <f>COUNTIF(Contacts[姓名],Contacts[[#This Row],[姓名]])</f>
        <v>874</v>
      </c>
    </row>
    <row r="709" spans="1:11" x14ac:dyDescent="0.15">
      <c r="A709" s="28"/>
      <c r="B709" s="15" t="s">
        <v>4380</v>
      </c>
      <c r="D709" s="29" t="s">
        <v>1237</v>
      </c>
      <c r="E709" s="129" t="s">
        <v>5315</v>
      </c>
      <c r="F709" s="15" t="s">
        <v>4487</v>
      </c>
      <c r="I709" s="28"/>
      <c r="J709" s="30"/>
      <c r="K709" s="15">
        <f>COUNTIF(Contacts[姓名],Contacts[[#This Row],[姓名]])</f>
        <v>874</v>
      </c>
    </row>
    <row r="710" spans="1:11" x14ac:dyDescent="0.15">
      <c r="A710" s="28"/>
      <c r="B710" s="15" t="s">
        <v>4380</v>
      </c>
      <c r="D710" s="29" t="s">
        <v>2680</v>
      </c>
      <c r="E710" s="129" t="s">
        <v>5315</v>
      </c>
      <c r="F710" s="15" t="s">
        <v>4487</v>
      </c>
      <c r="I710" s="28"/>
      <c r="J710" s="30"/>
      <c r="K710" s="15">
        <f>COUNTIF(Contacts[姓名],Contacts[[#This Row],[姓名]])</f>
        <v>874</v>
      </c>
    </row>
    <row r="711" spans="1:11" x14ac:dyDescent="0.15">
      <c r="A711" s="28"/>
      <c r="B711" s="15" t="s">
        <v>4380</v>
      </c>
      <c r="D711" s="29" t="s">
        <v>21</v>
      </c>
      <c r="E711" s="129" t="s">
        <v>5315</v>
      </c>
      <c r="F711" s="15" t="s">
        <v>4487</v>
      </c>
      <c r="I711" s="28"/>
      <c r="J711" s="30"/>
      <c r="K711" s="15">
        <f>COUNTIF(Contacts[姓名],Contacts[[#This Row],[姓名]])</f>
        <v>874</v>
      </c>
    </row>
    <row r="712" spans="1:11" x14ac:dyDescent="0.15">
      <c r="A712" s="28"/>
      <c r="B712" s="15" t="s">
        <v>4380</v>
      </c>
      <c r="D712" s="29" t="s">
        <v>1236</v>
      </c>
      <c r="E712" s="129" t="s">
        <v>5315</v>
      </c>
      <c r="F712" s="15" t="s">
        <v>4487</v>
      </c>
      <c r="I712" s="28"/>
      <c r="J712" s="30"/>
      <c r="K712" s="15">
        <f>COUNTIF(Contacts[姓名],Contacts[[#This Row],[姓名]])</f>
        <v>874</v>
      </c>
    </row>
    <row r="713" spans="1:11" x14ac:dyDescent="0.15">
      <c r="A713" s="28"/>
      <c r="B713" s="15" t="s">
        <v>4380</v>
      </c>
      <c r="D713" s="29" t="s">
        <v>1064</v>
      </c>
      <c r="E713" s="129" t="s">
        <v>5315</v>
      </c>
      <c r="F713" s="15" t="s">
        <v>4487</v>
      </c>
      <c r="I713" s="28"/>
      <c r="J713" s="30"/>
      <c r="K713" s="15">
        <f>COUNTIF(Contacts[姓名],Contacts[[#This Row],[姓名]])</f>
        <v>874</v>
      </c>
    </row>
    <row r="714" spans="1:11" x14ac:dyDescent="0.15">
      <c r="A714" s="28"/>
      <c r="B714" s="15" t="s">
        <v>4380</v>
      </c>
      <c r="D714" s="29" t="s">
        <v>1235</v>
      </c>
      <c r="E714" s="129" t="s">
        <v>5315</v>
      </c>
      <c r="F714" s="15" t="s">
        <v>4487</v>
      </c>
      <c r="I714" s="28"/>
      <c r="J714" s="30"/>
      <c r="K714" s="15">
        <f>COUNTIF(Contacts[姓名],Contacts[[#This Row],[姓名]])</f>
        <v>874</v>
      </c>
    </row>
    <row r="715" spans="1:11" x14ac:dyDescent="0.15">
      <c r="A715" s="28"/>
      <c r="B715" s="15" t="s">
        <v>4380</v>
      </c>
      <c r="D715" s="29" t="s">
        <v>2464</v>
      </c>
      <c r="E715" s="129" t="s">
        <v>5315</v>
      </c>
      <c r="F715" s="15" t="s">
        <v>4487</v>
      </c>
      <c r="I715" s="28"/>
      <c r="J715" s="30"/>
      <c r="K715" s="15">
        <f>COUNTIF(Contacts[姓名],Contacts[[#This Row],[姓名]])</f>
        <v>874</v>
      </c>
    </row>
    <row r="716" spans="1:11" x14ac:dyDescent="0.15">
      <c r="A716" s="28"/>
      <c r="B716" s="15" t="s">
        <v>4380</v>
      </c>
      <c r="D716" s="29" t="s">
        <v>1410</v>
      </c>
      <c r="E716" s="129" t="s">
        <v>5315</v>
      </c>
      <c r="F716" s="15" t="s">
        <v>4487</v>
      </c>
      <c r="I716" s="28"/>
      <c r="J716" s="30"/>
      <c r="K716" s="15">
        <f>COUNTIF(Contacts[姓名],Contacts[[#This Row],[姓名]])</f>
        <v>874</v>
      </c>
    </row>
    <row r="717" spans="1:11" x14ac:dyDescent="0.15">
      <c r="A717" s="28"/>
      <c r="B717" s="15" t="s">
        <v>4380</v>
      </c>
      <c r="D717" s="29" t="s">
        <v>1130</v>
      </c>
      <c r="E717" s="129" t="s">
        <v>5315</v>
      </c>
      <c r="F717" s="15" t="s">
        <v>4487</v>
      </c>
      <c r="I717" s="28"/>
      <c r="J717" s="30"/>
      <c r="K717" s="15">
        <f>COUNTIF(Contacts[姓名],Contacts[[#This Row],[姓名]])</f>
        <v>874</v>
      </c>
    </row>
    <row r="718" spans="1:11" x14ac:dyDescent="0.15">
      <c r="A718" s="28"/>
      <c r="B718" s="15" t="s">
        <v>4380</v>
      </c>
      <c r="D718" s="29" t="s">
        <v>1129</v>
      </c>
      <c r="E718" s="129" t="s">
        <v>5315</v>
      </c>
      <c r="F718" s="15" t="s">
        <v>4487</v>
      </c>
      <c r="I718" s="28"/>
      <c r="J718" s="30"/>
      <c r="K718" s="15">
        <f>COUNTIF(Contacts[姓名],Contacts[[#This Row],[姓名]])</f>
        <v>874</v>
      </c>
    </row>
    <row r="719" spans="1:11" x14ac:dyDescent="0.15">
      <c r="A719" s="28"/>
      <c r="B719" s="15" t="s">
        <v>4380</v>
      </c>
      <c r="D719" s="29" t="s">
        <v>1234</v>
      </c>
      <c r="E719" s="129" t="s">
        <v>5315</v>
      </c>
      <c r="F719" s="15" t="s">
        <v>4487</v>
      </c>
      <c r="I719" s="28"/>
      <c r="J719" s="30"/>
      <c r="K719" s="15">
        <f>COUNTIF(Contacts[姓名],Contacts[[#This Row],[姓名]])</f>
        <v>874</v>
      </c>
    </row>
    <row r="720" spans="1:11" x14ac:dyDescent="0.15">
      <c r="A720" s="28"/>
      <c r="B720" s="15" t="s">
        <v>4380</v>
      </c>
      <c r="D720" s="29" t="s">
        <v>1233</v>
      </c>
      <c r="E720" s="129" t="s">
        <v>5315</v>
      </c>
      <c r="F720" s="15" t="s">
        <v>4487</v>
      </c>
      <c r="I720" s="28"/>
      <c r="J720" s="30"/>
      <c r="K720" s="15">
        <f>COUNTIF(Contacts[姓名],Contacts[[#This Row],[姓名]])</f>
        <v>874</v>
      </c>
    </row>
    <row r="721" spans="1:11" x14ac:dyDescent="0.15">
      <c r="A721" s="28"/>
      <c r="B721" s="15" t="s">
        <v>4380</v>
      </c>
      <c r="D721" s="29" t="s">
        <v>1232</v>
      </c>
      <c r="E721" s="129" t="s">
        <v>5315</v>
      </c>
      <c r="F721" s="15" t="s">
        <v>4487</v>
      </c>
      <c r="I721" s="28"/>
      <c r="J721" s="30"/>
      <c r="K721" s="15">
        <f>COUNTIF(Contacts[姓名],Contacts[[#This Row],[姓名]])</f>
        <v>874</v>
      </c>
    </row>
    <row r="722" spans="1:11" x14ac:dyDescent="0.15">
      <c r="A722" s="28"/>
      <c r="B722" s="15" t="s">
        <v>4380</v>
      </c>
      <c r="D722" s="29" t="s">
        <v>1231</v>
      </c>
      <c r="E722" s="129" t="s">
        <v>5315</v>
      </c>
      <c r="F722" s="15" t="s">
        <v>4487</v>
      </c>
      <c r="I722" s="28"/>
      <c r="J722" s="30"/>
      <c r="K722" s="15">
        <f>COUNTIF(Contacts[姓名],Contacts[[#This Row],[姓名]])</f>
        <v>874</v>
      </c>
    </row>
    <row r="723" spans="1:11" x14ac:dyDescent="0.15">
      <c r="A723" s="28"/>
      <c r="B723" s="15" t="s">
        <v>4380</v>
      </c>
      <c r="D723" s="29" t="s">
        <v>1227</v>
      </c>
      <c r="E723" s="129" t="s">
        <v>5315</v>
      </c>
      <c r="F723" s="15" t="s">
        <v>4487</v>
      </c>
      <c r="I723" s="28"/>
      <c r="J723" s="30"/>
      <c r="K723" s="15">
        <f>COUNTIF(Contacts[姓名],Contacts[[#This Row],[姓名]])</f>
        <v>874</v>
      </c>
    </row>
    <row r="724" spans="1:11" x14ac:dyDescent="0.15">
      <c r="A724" s="28"/>
      <c r="B724" s="15" t="s">
        <v>4380</v>
      </c>
      <c r="D724" s="29" t="s">
        <v>1226</v>
      </c>
      <c r="E724" s="129" t="s">
        <v>5315</v>
      </c>
      <c r="F724" s="15" t="s">
        <v>4487</v>
      </c>
      <c r="I724" s="28"/>
      <c r="J724" s="30"/>
      <c r="K724" s="15">
        <f>COUNTIF(Contacts[姓名],Contacts[[#This Row],[姓名]])</f>
        <v>874</v>
      </c>
    </row>
    <row r="725" spans="1:11" x14ac:dyDescent="0.15">
      <c r="A725" s="28"/>
      <c r="B725" s="15" t="s">
        <v>4380</v>
      </c>
      <c r="D725" s="29" t="s">
        <v>1225</v>
      </c>
      <c r="E725" s="129" t="s">
        <v>5315</v>
      </c>
      <c r="F725" s="15" t="s">
        <v>4487</v>
      </c>
      <c r="I725" s="28"/>
      <c r="J725" s="30"/>
      <c r="K725" s="15">
        <f>COUNTIF(Contacts[姓名],Contacts[[#This Row],[姓名]])</f>
        <v>874</v>
      </c>
    </row>
    <row r="726" spans="1:11" x14ac:dyDescent="0.15">
      <c r="A726" s="28"/>
      <c r="B726" s="15" t="s">
        <v>4380</v>
      </c>
      <c r="D726" s="29" t="s">
        <v>1222</v>
      </c>
      <c r="E726" s="129" t="s">
        <v>5315</v>
      </c>
      <c r="F726" s="15" t="s">
        <v>4487</v>
      </c>
      <c r="I726" s="28"/>
      <c r="J726" s="30"/>
      <c r="K726" s="15">
        <f>COUNTIF(Contacts[姓名],Contacts[[#This Row],[姓名]])</f>
        <v>874</v>
      </c>
    </row>
    <row r="727" spans="1:11" x14ac:dyDescent="0.15">
      <c r="A727" s="28"/>
      <c r="B727" s="15" t="s">
        <v>4380</v>
      </c>
      <c r="D727" s="29" t="s">
        <v>2638</v>
      </c>
      <c r="E727" s="129" t="s">
        <v>5315</v>
      </c>
      <c r="F727" s="15" t="s">
        <v>4487</v>
      </c>
      <c r="I727" s="28"/>
      <c r="J727" s="30"/>
      <c r="K727" s="15">
        <f>COUNTIF(Contacts[姓名],Contacts[[#This Row],[姓名]])</f>
        <v>874</v>
      </c>
    </row>
    <row r="728" spans="1:11" x14ac:dyDescent="0.15">
      <c r="A728" s="28"/>
      <c r="B728" s="15" t="s">
        <v>4380</v>
      </c>
      <c r="D728" s="29" t="s">
        <v>1215</v>
      </c>
      <c r="E728" s="129" t="s">
        <v>5315</v>
      </c>
      <c r="F728" s="15" t="s">
        <v>4487</v>
      </c>
      <c r="I728" s="28"/>
      <c r="J728" s="30"/>
      <c r="K728" s="15">
        <f>COUNTIF(Contacts[姓名],Contacts[[#This Row],[姓名]])</f>
        <v>874</v>
      </c>
    </row>
    <row r="729" spans="1:11" x14ac:dyDescent="0.15">
      <c r="A729" s="28"/>
      <c r="B729" s="15" t="s">
        <v>4380</v>
      </c>
      <c r="D729" s="29" t="s">
        <v>1212</v>
      </c>
      <c r="E729" s="129" t="s">
        <v>5315</v>
      </c>
      <c r="F729" s="15" t="s">
        <v>4487</v>
      </c>
      <c r="I729" s="28"/>
      <c r="J729" s="30"/>
      <c r="K729" s="15">
        <f>COUNTIF(Contacts[姓名],Contacts[[#This Row],[姓名]])</f>
        <v>874</v>
      </c>
    </row>
    <row r="730" spans="1:11" x14ac:dyDescent="0.15">
      <c r="A730" s="28"/>
      <c r="B730" s="15" t="s">
        <v>4380</v>
      </c>
      <c r="D730" s="29" t="s">
        <v>1211</v>
      </c>
      <c r="E730" s="129" t="s">
        <v>5315</v>
      </c>
      <c r="F730" s="15" t="s">
        <v>4487</v>
      </c>
      <c r="I730" s="28"/>
      <c r="J730" s="30"/>
      <c r="K730" s="15">
        <f>COUNTIF(Contacts[姓名],Contacts[[#This Row],[姓名]])</f>
        <v>874</v>
      </c>
    </row>
    <row r="731" spans="1:11" x14ac:dyDescent="0.15">
      <c r="A731" s="28"/>
      <c r="B731" s="15" t="s">
        <v>4380</v>
      </c>
      <c r="D731" s="29" t="s">
        <v>2590</v>
      </c>
      <c r="E731" s="129" t="s">
        <v>5315</v>
      </c>
      <c r="F731" s="15" t="s">
        <v>4487</v>
      </c>
      <c r="I731" s="28"/>
      <c r="J731" s="30"/>
      <c r="K731" s="15">
        <f>COUNTIF(Contacts[姓名],Contacts[[#This Row],[姓名]])</f>
        <v>874</v>
      </c>
    </row>
    <row r="732" spans="1:11" x14ac:dyDescent="0.15">
      <c r="A732" s="28"/>
      <c r="B732" s="15" t="s">
        <v>4380</v>
      </c>
      <c r="D732" s="29" t="s">
        <v>2641</v>
      </c>
      <c r="E732" s="129" t="s">
        <v>5315</v>
      </c>
      <c r="F732" s="15" t="s">
        <v>4487</v>
      </c>
      <c r="I732" s="28"/>
      <c r="J732" s="30"/>
      <c r="K732" s="15">
        <f>COUNTIF(Contacts[姓名],Contacts[[#This Row],[姓名]])</f>
        <v>874</v>
      </c>
    </row>
    <row r="733" spans="1:11" x14ac:dyDescent="0.15">
      <c r="A733" s="28"/>
      <c r="B733" s="15" t="s">
        <v>4380</v>
      </c>
      <c r="D733" s="29" t="s">
        <v>2575</v>
      </c>
      <c r="E733" s="129" t="s">
        <v>5315</v>
      </c>
      <c r="F733" s="15" t="s">
        <v>4487</v>
      </c>
      <c r="I733" s="28"/>
      <c r="J733" s="30"/>
      <c r="K733" s="15">
        <f>COUNTIF(Contacts[姓名],Contacts[[#This Row],[姓名]])</f>
        <v>874</v>
      </c>
    </row>
    <row r="734" spans="1:11" x14ac:dyDescent="0.15">
      <c r="A734" s="28"/>
      <c r="B734" s="15" t="s">
        <v>4380</v>
      </c>
      <c r="D734" s="29" t="s">
        <v>1209</v>
      </c>
      <c r="E734" s="129" t="s">
        <v>5315</v>
      </c>
      <c r="F734" s="15" t="s">
        <v>4487</v>
      </c>
      <c r="I734" s="28"/>
      <c r="J734" s="30"/>
      <c r="K734" s="15">
        <f>COUNTIF(Contacts[姓名],Contacts[[#This Row],[姓名]])</f>
        <v>874</v>
      </c>
    </row>
    <row r="735" spans="1:11" x14ac:dyDescent="0.15">
      <c r="A735" s="28"/>
      <c r="B735" s="15" t="s">
        <v>4380</v>
      </c>
      <c r="D735" s="29" t="s">
        <v>1208</v>
      </c>
      <c r="E735" s="129" t="s">
        <v>5315</v>
      </c>
      <c r="F735" s="15" t="s">
        <v>4487</v>
      </c>
      <c r="I735" s="28"/>
      <c r="J735" s="30"/>
      <c r="K735" s="15">
        <f>COUNTIF(Contacts[姓名],Contacts[[#This Row],[姓名]])</f>
        <v>874</v>
      </c>
    </row>
    <row r="736" spans="1:11" x14ac:dyDescent="0.15">
      <c r="A736" s="28"/>
      <c r="B736" s="15" t="s">
        <v>4380</v>
      </c>
      <c r="D736" s="29" t="s">
        <v>1203</v>
      </c>
      <c r="E736" s="129" t="s">
        <v>5315</v>
      </c>
      <c r="F736" s="15" t="s">
        <v>4487</v>
      </c>
      <c r="I736" s="28"/>
      <c r="J736" s="30"/>
      <c r="K736" s="15">
        <f>COUNTIF(Contacts[姓名],Contacts[[#This Row],[姓名]])</f>
        <v>874</v>
      </c>
    </row>
    <row r="737" spans="1:11" x14ac:dyDescent="0.15">
      <c r="A737" s="28"/>
      <c r="B737" s="15" t="s">
        <v>4380</v>
      </c>
      <c r="D737" s="29" t="s">
        <v>1202</v>
      </c>
      <c r="E737" s="129" t="s">
        <v>5315</v>
      </c>
      <c r="F737" s="15" t="s">
        <v>4487</v>
      </c>
      <c r="I737" s="28"/>
      <c r="J737" s="30"/>
      <c r="K737" s="15">
        <f>COUNTIF(Contacts[姓名],Contacts[[#This Row],[姓名]])</f>
        <v>874</v>
      </c>
    </row>
    <row r="738" spans="1:11" x14ac:dyDescent="0.15">
      <c r="A738" s="28"/>
      <c r="B738" s="15" t="s">
        <v>4380</v>
      </c>
      <c r="D738" s="29" t="s">
        <v>2640</v>
      </c>
      <c r="E738" s="129" t="s">
        <v>5315</v>
      </c>
      <c r="F738" s="15" t="s">
        <v>4487</v>
      </c>
      <c r="I738" s="28"/>
      <c r="J738" s="30"/>
      <c r="K738" s="15">
        <f>COUNTIF(Contacts[姓名],Contacts[[#This Row],[姓名]])</f>
        <v>874</v>
      </c>
    </row>
    <row r="739" spans="1:11" x14ac:dyDescent="0.15">
      <c r="A739" s="28"/>
      <c r="B739" s="15" t="s">
        <v>4380</v>
      </c>
      <c r="D739" s="29" t="s">
        <v>1199</v>
      </c>
      <c r="E739" s="129" t="s">
        <v>5315</v>
      </c>
      <c r="F739" s="15" t="s">
        <v>4487</v>
      </c>
      <c r="I739" s="28"/>
      <c r="J739" s="30"/>
      <c r="K739" s="15">
        <f>COUNTIF(Contacts[姓名],Contacts[[#This Row],[姓名]])</f>
        <v>874</v>
      </c>
    </row>
    <row r="740" spans="1:11" x14ac:dyDescent="0.15">
      <c r="A740" s="28"/>
      <c r="B740" s="15" t="s">
        <v>4380</v>
      </c>
      <c r="D740" s="29" t="s">
        <v>1198</v>
      </c>
      <c r="E740" s="129" t="s">
        <v>5315</v>
      </c>
      <c r="F740" s="15" t="s">
        <v>4487</v>
      </c>
      <c r="I740" s="28"/>
      <c r="J740" s="30"/>
      <c r="K740" s="15">
        <f>COUNTIF(Contacts[姓名],Contacts[[#This Row],[姓名]])</f>
        <v>874</v>
      </c>
    </row>
    <row r="741" spans="1:11" x14ac:dyDescent="0.15">
      <c r="A741" s="28"/>
      <c r="B741" s="15" t="s">
        <v>4380</v>
      </c>
      <c r="D741" s="29" t="s">
        <v>1197</v>
      </c>
      <c r="E741" s="129" t="s">
        <v>5315</v>
      </c>
      <c r="F741" s="15" t="s">
        <v>4487</v>
      </c>
      <c r="I741" s="28"/>
      <c r="J741" s="30"/>
      <c r="K741" s="15">
        <f>COUNTIF(Contacts[姓名],Contacts[[#This Row],[姓名]])</f>
        <v>874</v>
      </c>
    </row>
    <row r="742" spans="1:11" x14ac:dyDescent="0.15">
      <c r="A742" s="28"/>
      <c r="B742" s="15" t="s">
        <v>4380</v>
      </c>
      <c r="D742" s="29" t="s">
        <v>2636</v>
      </c>
      <c r="E742" s="129" t="s">
        <v>5315</v>
      </c>
      <c r="F742" s="15" t="s">
        <v>4487</v>
      </c>
      <c r="I742" s="28"/>
      <c r="J742" s="30"/>
      <c r="K742" s="15">
        <f>COUNTIF(Contacts[姓名],Contacts[[#This Row],[姓名]])</f>
        <v>874</v>
      </c>
    </row>
    <row r="743" spans="1:11" x14ac:dyDescent="0.15">
      <c r="A743" s="28"/>
      <c r="B743" s="15" t="s">
        <v>4380</v>
      </c>
      <c r="D743" s="29" t="s">
        <v>2637</v>
      </c>
      <c r="E743" s="129" t="s">
        <v>5315</v>
      </c>
      <c r="F743" s="15" t="s">
        <v>4487</v>
      </c>
      <c r="I743" s="28"/>
      <c r="J743" s="30"/>
      <c r="K743" s="15">
        <f>COUNTIF(Contacts[姓名],Contacts[[#This Row],[姓名]])</f>
        <v>874</v>
      </c>
    </row>
    <row r="744" spans="1:11" x14ac:dyDescent="0.15">
      <c r="A744" s="28"/>
      <c r="B744" s="15" t="s">
        <v>4380</v>
      </c>
      <c r="D744" s="29" t="s">
        <v>1196</v>
      </c>
      <c r="E744" s="129" t="s">
        <v>5315</v>
      </c>
      <c r="F744" s="15" t="s">
        <v>4487</v>
      </c>
      <c r="I744" s="28"/>
      <c r="J744" s="30"/>
      <c r="K744" s="15">
        <f>COUNTIF(Contacts[姓名],Contacts[[#This Row],[姓名]])</f>
        <v>874</v>
      </c>
    </row>
    <row r="745" spans="1:11" x14ac:dyDescent="0.15">
      <c r="A745" s="28"/>
      <c r="B745" s="15" t="s">
        <v>4380</v>
      </c>
      <c r="D745" s="29" t="s">
        <v>1195</v>
      </c>
      <c r="E745" s="129" t="s">
        <v>5315</v>
      </c>
      <c r="F745" s="15" t="s">
        <v>4487</v>
      </c>
      <c r="I745" s="28"/>
      <c r="J745" s="30"/>
      <c r="K745" s="15">
        <f>COUNTIF(Contacts[姓名],Contacts[[#This Row],[姓名]])</f>
        <v>874</v>
      </c>
    </row>
    <row r="746" spans="1:11" x14ac:dyDescent="0.15">
      <c r="A746" s="28"/>
      <c r="B746" s="15" t="s">
        <v>4380</v>
      </c>
      <c r="D746" s="29" t="s">
        <v>2668</v>
      </c>
      <c r="E746" s="129" t="s">
        <v>5315</v>
      </c>
      <c r="F746" s="15" t="s">
        <v>4487</v>
      </c>
      <c r="I746" s="28"/>
      <c r="J746" s="30"/>
      <c r="K746" s="15">
        <f>COUNTIF(Contacts[姓名],Contacts[[#This Row],[姓名]])</f>
        <v>874</v>
      </c>
    </row>
    <row r="747" spans="1:11" x14ac:dyDescent="0.15">
      <c r="A747" s="28"/>
      <c r="B747" s="15" t="s">
        <v>4380</v>
      </c>
      <c r="D747" s="29" t="s">
        <v>2644</v>
      </c>
      <c r="E747" s="129" t="s">
        <v>5315</v>
      </c>
      <c r="F747" s="15" t="s">
        <v>4487</v>
      </c>
      <c r="I747" s="28"/>
      <c r="J747" s="30"/>
      <c r="K747" s="15">
        <f>COUNTIF(Contacts[姓名],Contacts[[#This Row],[姓名]])</f>
        <v>874</v>
      </c>
    </row>
    <row r="748" spans="1:11" x14ac:dyDescent="0.15">
      <c r="A748" s="28"/>
      <c r="B748" s="15" t="s">
        <v>4380</v>
      </c>
      <c r="D748" s="29" t="s">
        <v>1194</v>
      </c>
      <c r="E748" s="129" t="s">
        <v>5315</v>
      </c>
      <c r="F748" s="15" t="s">
        <v>4487</v>
      </c>
      <c r="I748" s="28"/>
      <c r="J748" s="30"/>
      <c r="K748" s="15">
        <f>COUNTIF(Contacts[姓名],Contacts[[#This Row],[姓名]])</f>
        <v>874</v>
      </c>
    </row>
    <row r="749" spans="1:11" x14ac:dyDescent="0.15">
      <c r="A749" s="28"/>
      <c r="B749" s="15" t="s">
        <v>4380</v>
      </c>
      <c r="D749" s="29" t="s">
        <v>1193</v>
      </c>
      <c r="E749" s="129" t="s">
        <v>5315</v>
      </c>
      <c r="F749" s="15" t="s">
        <v>4487</v>
      </c>
      <c r="I749" s="28"/>
      <c r="J749" s="30"/>
      <c r="K749" s="15">
        <f>COUNTIF(Contacts[姓名],Contacts[[#This Row],[姓名]])</f>
        <v>874</v>
      </c>
    </row>
    <row r="750" spans="1:11" x14ac:dyDescent="0.15">
      <c r="A750" s="28"/>
      <c r="B750" s="15" t="s">
        <v>4380</v>
      </c>
      <c r="D750" s="29" t="s">
        <v>1192</v>
      </c>
      <c r="E750" s="129" t="s">
        <v>5315</v>
      </c>
      <c r="F750" s="15" t="s">
        <v>4487</v>
      </c>
      <c r="I750" s="28"/>
      <c r="J750" s="30"/>
      <c r="K750" s="15">
        <f>COUNTIF(Contacts[姓名],Contacts[[#This Row],[姓名]])</f>
        <v>874</v>
      </c>
    </row>
    <row r="751" spans="1:11" x14ac:dyDescent="0.15">
      <c r="A751" s="28"/>
      <c r="B751" s="15" t="s">
        <v>4380</v>
      </c>
      <c r="D751" s="29" t="s">
        <v>1190</v>
      </c>
      <c r="E751" s="129" t="s">
        <v>5315</v>
      </c>
      <c r="F751" s="15" t="s">
        <v>4487</v>
      </c>
      <c r="I751" s="28"/>
      <c r="J751" s="30"/>
      <c r="K751" s="15">
        <f>COUNTIF(Contacts[姓名],Contacts[[#This Row],[姓名]])</f>
        <v>874</v>
      </c>
    </row>
    <row r="752" spans="1:11" x14ac:dyDescent="0.15">
      <c r="A752" s="28"/>
      <c r="B752" s="15" t="s">
        <v>4380</v>
      </c>
      <c r="D752" s="29" t="s">
        <v>1188</v>
      </c>
      <c r="E752" s="129" t="s">
        <v>5315</v>
      </c>
      <c r="F752" s="15" t="s">
        <v>4487</v>
      </c>
      <c r="I752" s="28"/>
      <c r="J752" s="30"/>
      <c r="K752" s="15">
        <f>COUNTIF(Contacts[姓名],Contacts[[#This Row],[姓名]])</f>
        <v>874</v>
      </c>
    </row>
    <row r="753" spans="1:11" x14ac:dyDescent="0.15">
      <c r="A753" s="28"/>
      <c r="B753" s="15" t="s">
        <v>4380</v>
      </c>
      <c r="D753" s="29" t="s">
        <v>1187</v>
      </c>
      <c r="E753" s="129" t="s">
        <v>5315</v>
      </c>
      <c r="F753" s="15" t="s">
        <v>4487</v>
      </c>
      <c r="I753" s="28"/>
      <c r="J753" s="30"/>
      <c r="K753" s="15">
        <f>COUNTIF(Contacts[姓名],Contacts[[#This Row],[姓名]])</f>
        <v>874</v>
      </c>
    </row>
    <row r="754" spans="1:11" x14ac:dyDescent="0.15">
      <c r="A754" s="28"/>
      <c r="B754" s="15" t="s">
        <v>4380</v>
      </c>
      <c r="D754" s="29" t="s">
        <v>1186</v>
      </c>
      <c r="E754" s="129" t="s">
        <v>5315</v>
      </c>
      <c r="F754" s="15" t="s">
        <v>4487</v>
      </c>
      <c r="I754" s="28"/>
      <c r="J754" s="30"/>
      <c r="K754" s="15">
        <f>COUNTIF(Contacts[姓名],Contacts[[#This Row],[姓名]])</f>
        <v>874</v>
      </c>
    </row>
    <row r="755" spans="1:11" x14ac:dyDescent="0.15">
      <c r="A755" s="28"/>
      <c r="B755" s="15" t="s">
        <v>4380</v>
      </c>
      <c r="D755" s="29" t="s">
        <v>1184</v>
      </c>
      <c r="E755" s="129" t="s">
        <v>5315</v>
      </c>
      <c r="F755" s="15" t="s">
        <v>4487</v>
      </c>
      <c r="I755" s="28"/>
      <c r="J755" s="30"/>
      <c r="K755" s="15">
        <f>COUNTIF(Contacts[姓名],Contacts[[#This Row],[姓名]])</f>
        <v>874</v>
      </c>
    </row>
    <row r="756" spans="1:11" x14ac:dyDescent="0.15">
      <c r="A756" s="28"/>
      <c r="B756" s="15" t="s">
        <v>4380</v>
      </c>
      <c r="D756" s="29" t="s">
        <v>1183</v>
      </c>
      <c r="E756" s="129" t="s">
        <v>5315</v>
      </c>
      <c r="F756" s="15" t="s">
        <v>4487</v>
      </c>
      <c r="I756" s="28"/>
      <c r="J756" s="30"/>
      <c r="K756" s="15">
        <f>COUNTIF(Contacts[姓名],Contacts[[#This Row],[姓名]])</f>
        <v>874</v>
      </c>
    </row>
    <row r="757" spans="1:11" x14ac:dyDescent="0.15">
      <c r="A757" s="28"/>
      <c r="B757" s="15" t="s">
        <v>4380</v>
      </c>
      <c r="D757" s="29" t="s">
        <v>1182</v>
      </c>
      <c r="E757" s="129" t="s">
        <v>5315</v>
      </c>
      <c r="F757" s="15" t="s">
        <v>4487</v>
      </c>
      <c r="I757" s="28"/>
      <c r="J757" s="30"/>
      <c r="K757" s="15">
        <f>COUNTIF(Contacts[姓名],Contacts[[#This Row],[姓名]])</f>
        <v>874</v>
      </c>
    </row>
    <row r="758" spans="1:11" x14ac:dyDescent="0.15">
      <c r="A758" s="28"/>
      <c r="B758" s="15" t="s">
        <v>4380</v>
      </c>
      <c r="D758" s="29" t="s">
        <v>1181</v>
      </c>
      <c r="E758" s="129" t="s">
        <v>5315</v>
      </c>
      <c r="F758" s="15" t="s">
        <v>4487</v>
      </c>
      <c r="I758" s="28"/>
      <c r="J758" s="30"/>
      <c r="K758" s="15">
        <f>COUNTIF(Contacts[姓名],Contacts[[#This Row],[姓名]])</f>
        <v>874</v>
      </c>
    </row>
    <row r="759" spans="1:11" x14ac:dyDescent="0.15">
      <c r="A759" s="28"/>
      <c r="B759" s="15" t="s">
        <v>4380</v>
      </c>
      <c r="D759" s="29" t="s">
        <v>1112</v>
      </c>
      <c r="E759" s="129" t="s">
        <v>5315</v>
      </c>
      <c r="F759" s="15" t="s">
        <v>4487</v>
      </c>
      <c r="I759" s="28"/>
      <c r="J759" s="30"/>
      <c r="K759" s="15">
        <f>COUNTIF(Contacts[姓名],Contacts[[#This Row],[姓名]])</f>
        <v>874</v>
      </c>
    </row>
    <row r="760" spans="1:11" x14ac:dyDescent="0.15">
      <c r="A760" s="28"/>
      <c r="B760" s="15" t="s">
        <v>4380</v>
      </c>
      <c r="D760" s="29" t="s">
        <v>2639</v>
      </c>
      <c r="E760" s="129" t="s">
        <v>5315</v>
      </c>
      <c r="F760" s="15" t="s">
        <v>4487</v>
      </c>
      <c r="I760" s="28"/>
      <c r="J760" s="30"/>
      <c r="K760" s="15">
        <f>COUNTIF(Contacts[姓名],Contacts[[#This Row],[姓名]])</f>
        <v>874</v>
      </c>
    </row>
    <row r="761" spans="1:11" x14ac:dyDescent="0.15">
      <c r="A761" s="28"/>
      <c r="B761" s="15" t="s">
        <v>4380</v>
      </c>
      <c r="D761" s="29" t="s">
        <v>1179</v>
      </c>
      <c r="E761" s="129" t="s">
        <v>5315</v>
      </c>
      <c r="F761" s="15" t="s">
        <v>4487</v>
      </c>
      <c r="I761" s="28"/>
      <c r="J761" s="30"/>
      <c r="K761" s="15">
        <f>COUNTIF(Contacts[姓名],Contacts[[#This Row],[姓名]])</f>
        <v>874</v>
      </c>
    </row>
    <row r="762" spans="1:11" x14ac:dyDescent="0.15">
      <c r="A762" s="28"/>
      <c r="B762" s="15" t="s">
        <v>4380</v>
      </c>
      <c r="D762" s="29" t="s">
        <v>1178</v>
      </c>
      <c r="E762" s="129" t="s">
        <v>5315</v>
      </c>
      <c r="F762" s="15" t="s">
        <v>4487</v>
      </c>
      <c r="I762" s="28"/>
      <c r="J762" s="30"/>
      <c r="K762" s="15">
        <f>COUNTIF(Contacts[姓名],Contacts[[#This Row],[姓名]])</f>
        <v>874</v>
      </c>
    </row>
    <row r="763" spans="1:11" x14ac:dyDescent="0.15">
      <c r="A763" s="28"/>
      <c r="B763" s="15" t="s">
        <v>4380</v>
      </c>
      <c r="D763" s="29" t="s">
        <v>1098</v>
      </c>
      <c r="E763" s="129" t="s">
        <v>5315</v>
      </c>
      <c r="F763" s="15" t="s">
        <v>4487</v>
      </c>
      <c r="I763" s="28"/>
      <c r="J763" s="30"/>
      <c r="K763" s="15">
        <f>COUNTIF(Contacts[姓名],Contacts[[#This Row],[姓名]])</f>
        <v>874</v>
      </c>
    </row>
    <row r="764" spans="1:11" x14ac:dyDescent="0.15">
      <c r="A764" s="28"/>
      <c r="B764" s="15" t="s">
        <v>4380</v>
      </c>
      <c r="D764" s="29" t="s">
        <v>1091</v>
      </c>
      <c r="E764" s="129" t="s">
        <v>5315</v>
      </c>
      <c r="F764" s="15" t="s">
        <v>4487</v>
      </c>
      <c r="I764" s="28"/>
      <c r="J764" s="30"/>
      <c r="K764" s="15">
        <f>COUNTIF(Contacts[姓名],Contacts[[#This Row],[姓名]])</f>
        <v>874</v>
      </c>
    </row>
    <row r="765" spans="1:11" x14ac:dyDescent="0.15">
      <c r="A765" s="28"/>
      <c r="B765" s="15" t="s">
        <v>4380</v>
      </c>
      <c r="D765" s="29" t="s">
        <v>1088</v>
      </c>
      <c r="E765" s="129" t="s">
        <v>5315</v>
      </c>
      <c r="F765" s="15" t="s">
        <v>4487</v>
      </c>
      <c r="I765" s="28"/>
      <c r="J765" s="30"/>
      <c r="K765" s="15">
        <f>COUNTIF(Contacts[姓名],Contacts[[#This Row],[姓名]])</f>
        <v>874</v>
      </c>
    </row>
    <row r="766" spans="1:11" x14ac:dyDescent="0.15">
      <c r="A766" s="28"/>
      <c r="B766" s="15" t="s">
        <v>4380</v>
      </c>
      <c r="D766" s="29" t="s">
        <v>1087</v>
      </c>
      <c r="E766" s="129" t="s">
        <v>5315</v>
      </c>
      <c r="F766" s="15" t="s">
        <v>4487</v>
      </c>
      <c r="I766" s="28"/>
      <c r="J766" s="30"/>
      <c r="K766" s="15">
        <f>COUNTIF(Contacts[姓名],Contacts[[#This Row],[姓名]])</f>
        <v>874</v>
      </c>
    </row>
    <row r="767" spans="1:11" x14ac:dyDescent="0.15">
      <c r="A767" s="28" t="s">
        <v>546</v>
      </c>
      <c r="B767" s="15" t="s">
        <v>4380</v>
      </c>
      <c r="D767" s="29" t="s">
        <v>1136</v>
      </c>
      <c r="E767" s="129" t="s">
        <v>5315</v>
      </c>
      <c r="F767" s="15" t="s">
        <v>4487</v>
      </c>
      <c r="I767" s="28"/>
      <c r="J767" s="30"/>
      <c r="K767" s="15">
        <f>COUNTIF(Contacts[姓名],Contacts[[#This Row],[姓名]])</f>
        <v>874</v>
      </c>
    </row>
    <row r="768" spans="1:11" x14ac:dyDescent="0.15">
      <c r="A768" s="28" t="s">
        <v>3414</v>
      </c>
      <c r="B768" s="15" t="s">
        <v>4380</v>
      </c>
      <c r="D768" s="29" t="s">
        <v>3413</v>
      </c>
      <c r="E768" s="129" t="s">
        <v>5315</v>
      </c>
      <c r="F768" s="15" t="s">
        <v>4487</v>
      </c>
      <c r="I768" s="28"/>
      <c r="J768" s="30"/>
      <c r="K768" s="15">
        <f>COUNTIF(Contacts[姓名],Contacts[[#This Row],[姓名]])</f>
        <v>874</v>
      </c>
    </row>
    <row r="769" spans="1:11" x14ac:dyDescent="0.15">
      <c r="A769" s="28" t="s">
        <v>496</v>
      </c>
      <c r="B769" s="15" t="s">
        <v>4380</v>
      </c>
      <c r="D769" s="29" t="s">
        <v>1171</v>
      </c>
      <c r="E769" s="129" t="s">
        <v>5315</v>
      </c>
      <c r="F769" s="15" t="s">
        <v>4487</v>
      </c>
      <c r="I769" s="28"/>
      <c r="J769" s="30"/>
      <c r="K769" s="15">
        <f>COUNTIF(Contacts[姓名],Contacts[[#This Row],[姓名]])</f>
        <v>874</v>
      </c>
    </row>
    <row r="770" spans="1:11" x14ac:dyDescent="0.15">
      <c r="A770" s="28" t="s">
        <v>700</v>
      </c>
      <c r="B770" s="15" t="s">
        <v>4380</v>
      </c>
      <c r="D770" s="29" t="s">
        <v>1170</v>
      </c>
      <c r="E770" s="129" t="s">
        <v>5315</v>
      </c>
      <c r="F770" s="15" t="s">
        <v>4487</v>
      </c>
      <c r="I770" s="28"/>
      <c r="J770" s="30"/>
      <c r="K770" s="15">
        <f>COUNTIF(Contacts[姓名],Contacts[[#This Row],[姓名]])</f>
        <v>874</v>
      </c>
    </row>
    <row r="771" spans="1:11" x14ac:dyDescent="0.15">
      <c r="A771" s="28" t="s">
        <v>700</v>
      </c>
      <c r="B771" s="15" t="s">
        <v>4380</v>
      </c>
      <c r="D771" s="29" t="s">
        <v>1465</v>
      </c>
      <c r="E771" s="129" t="s">
        <v>5315</v>
      </c>
      <c r="F771" s="15" t="s">
        <v>4487</v>
      </c>
      <c r="I771" s="28"/>
      <c r="J771" s="30"/>
      <c r="K771" s="15">
        <f>COUNTIF(Contacts[姓名],Contacts[[#This Row],[姓名]])</f>
        <v>874</v>
      </c>
    </row>
    <row r="772" spans="1:11" x14ac:dyDescent="0.15">
      <c r="A772" s="28" t="s">
        <v>717</v>
      </c>
      <c r="B772" s="15" t="s">
        <v>4380</v>
      </c>
      <c r="D772" s="29" t="s">
        <v>1159</v>
      </c>
      <c r="E772" s="129" t="s">
        <v>5315</v>
      </c>
      <c r="F772" s="15" t="s">
        <v>4487</v>
      </c>
      <c r="I772" s="28"/>
      <c r="J772" s="30"/>
      <c r="K772" s="15">
        <f>COUNTIF(Contacts[姓名],Contacts[[#This Row],[姓名]])</f>
        <v>874</v>
      </c>
    </row>
    <row r="773" spans="1:11" x14ac:dyDescent="0.15">
      <c r="A773" s="28" t="s">
        <v>3470</v>
      </c>
      <c r="B773" s="15" t="s">
        <v>4380</v>
      </c>
      <c r="D773" s="29" t="s">
        <v>3469</v>
      </c>
      <c r="E773" s="129" t="s">
        <v>5315</v>
      </c>
      <c r="F773" s="15" t="s">
        <v>4487</v>
      </c>
      <c r="I773" s="28"/>
      <c r="J773" s="30"/>
      <c r="K773" s="15">
        <f>COUNTIF(Contacts[姓名],Contacts[[#This Row],[姓名]])</f>
        <v>874</v>
      </c>
    </row>
    <row r="774" spans="1:11" x14ac:dyDescent="0.15">
      <c r="A774" s="28" t="s">
        <v>498</v>
      </c>
      <c r="B774" s="15" t="s">
        <v>4380</v>
      </c>
      <c r="D774" s="29" t="s">
        <v>1097</v>
      </c>
      <c r="E774" s="129" t="s">
        <v>5315</v>
      </c>
      <c r="F774" s="15" t="s">
        <v>4487</v>
      </c>
      <c r="I774" s="28"/>
      <c r="J774" s="30"/>
      <c r="K774" s="15">
        <f>COUNTIF(Contacts[姓名],Contacts[[#This Row],[姓名]])</f>
        <v>874</v>
      </c>
    </row>
    <row r="775" spans="1:11" x14ac:dyDescent="0.15">
      <c r="A775" s="28" t="s">
        <v>3468</v>
      </c>
      <c r="B775" s="15" t="s">
        <v>4380</v>
      </c>
      <c r="D775" s="29" t="s">
        <v>3467</v>
      </c>
      <c r="E775" s="129" t="s">
        <v>5315</v>
      </c>
      <c r="F775" s="15" t="s">
        <v>4487</v>
      </c>
      <c r="I775" s="28"/>
      <c r="J775" s="30"/>
      <c r="K775" s="15">
        <f>COUNTIF(Contacts[姓名],Contacts[[#This Row],[姓名]])</f>
        <v>874</v>
      </c>
    </row>
    <row r="776" spans="1:11" x14ac:dyDescent="0.15">
      <c r="A776" s="28" t="s">
        <v>3466</v>
      </c>
      <c r="B776" s="15" t="s">
        <v>4380</v>
      </c>
      <c r="D776" s="29" t="s">
        <v>3465</v>
      </c>
      <c r="E776" s="129" t="s">
        <v>5315</v>
      </c>
      <c r="F776" s="15" t="s">
        <v>4487</v>
      </c>
      <c r="I776" s="28"/>
      <c r="J776" s="30"/>
      <c r="K776" s="15">
        <f>COUNTIF(Contacts[姓名],Contacts[[#This Row],[姓名]])</f>
        <v>874</v>
      </c>
    </row>
    <row r="777" spans="1:11" x14ac:dyDescent="0.15">
      <c r="A777" s="28" t="s">
        <v>3464</v>
      </c>
      <c r="B777" s="15" t="s">
        <v>4380</v>
      </c>
      <c r="D777" s="29" t="s">
        <v>3463</v>
      </c>
      <c r="E777" s="129" t="s">
        <v>5315</v>
      </c>
      <c r="F777" s="15" t="s">
        <v>4487</v>
      </c>
      <c r="I777" s="28"/>
      <c r="J777" s="30"/>
      <c r="K777" s="15">
        <f>COUNTIF(Contacts[姓名],Contacts[[#This Row],[姓名]])</f>
        <v>874</v>
      </c>
    </row>
    <row r="778" spans="1:11" x14ac:dyDescent="0.15">
      <c r="A778" s="28" t="s">
        <v>1000</v>
      </c>
      <c r="B778" s="15" t="s">
        <v>4380</v>
      </c>
      <c r="D778" s="29" t="s">
        <v>1169</v>
      </c>
      <c r="E778" s="129" t="s">
        <v>5315</v>
      </c>
      <c r="F778" s="15" t="s">
        <v>4487</v>
      </c>
      <c r="I778" s="28"/>
      <c r="J778" s="30"/>
      <c r="K778" s="15">
        <f>COUNTIF(Contacts[姓名],Contacts[[#This Row],[姓名]])</f>
        <v>874</v>
      </c>
    </row>
    <row r="779" spans="1:11" x14ac:dyDescent="0.15">
      <c r="A779" s="28" t="s">
        <v>3422</v>
      </c>
      <c r="B779" s="15" t="s">
        <v>4380</v>
      </c>
      <c r="D779" s="29" t="s">
        <v>3421</v>
      </c>
      <c r="E779" s="129" t="s">
        <v>5315</v>
      </c>
      <c r="F779" s="15" t="s">
        <v>4487</v>
      </c>
      <c r="I779" s="28"/>
      <c r="J779" s="30"/>
      <c r="K779" s="15">
        <f>COUNTIF(Contacts[姓名],Contacts[[#This Row],[姓名]])</f>
        <v>874</v>
      </c>
    </row>
    <row r="780" spans="1:11" x14ac:dyDescent="0.15">
      <c r="A780" s="28" t="s">
        <v>3420</v>
      </c>
      <c r="B780" s="15" t="s">
        <v>4380</v>
      </c>
      <c r="D780" s="29" t="s">
        <v>3419</v>
      </c>
      <c r="E780" s="129" t="s">
        <v>5315</v>
      </c>
      <c r="F780" s="15" t="s">
        <v>4487</v>
      </c>
      <c r="I780" s="28"/>
      <c r="J780" s="30"/>
      <c r="K780" s="15">
        <f>COUNTIF(Contacts[姓名],Contacts[[#This Row],[姓名]])</f>
        <v>874</v>
      </c>
    </row>
    <row r="781" spans="1:11" x14ac:dyDescent="0.15">
      <c r="A781" s="28" t="s">
        <v>3416</v>
      </c>
      <c r="B781" s="15" t="s">
        <v>4380</v>
      </c>
      <c r="D781" s="29" t="s">
        <v>3415</v>
      </c>
      <c r="E781" s="129" t="s">
        <v>5315</v>
      </c>
      <c r="F781" s="15" t="s">
        <v>4487</v>
      </c>
      <c r="I781" s="28"/>
      <c r="J781" s="30"/>
      <c r="K781" s="15">
        <f>COUNTIF(Contacts[姓名],Contacts[[#This Row],[姓名]])</f>
        <v>874</v>
      </c>
    </row>
    <row r="782" spans="1:11" x14ac:dyDescent="0.15">
      <c r="A782" s="28" t="s">
        <v>1139</v>
      </c>
      <c r="B782" s="15" t="s">
        <v>4380</v>
      </c>
      <c r="D782" s="29" t="s">
        <v>1140</v>
      </c>
      <c r="E782" s="129" t="s">
        <v>5315</v>
      </c>
      <c r="F782" s="15" t="s">
        <v>4487</v>
      </c>
      <c r="I782" s="28"/>
      <c r="J782" s="30"/>
      <c r="K782" s="15">
        <f>COUNTIF(Contacts[姓名],Contacts[[#This Row],[姓名]])</f>
        <v>874</v>
      </c>
    </row>
    <row r="783" spans="1:11" x14ac:dyDescent="0.15">
      <c r="A783" s="28" t="s">
        <v>1139</v>
      </c>
      <c r="B783" s="15" t="s">
        <v>4380</v>
      </c>
      <c r="D783" s="29" t="s">
        <v>2647</v>
      </c>
      <c r="E783" s="129" t="s">
        <v>5315</v>
      </c>
      <c r="F783" s="15" t="s">
        <v>4487</v>
      </c>
      <c r="I783" s="28"/>
      <c r="J783" s="30"/>
      <c r="K783" s="15">
        <f>COUNTIF(Contacts[姓名],Contacts[[#This Row],[姓名]])</f>
        <v>874</v>
      </c>
    </row>
    <row r="784" spans="1:11" x14ac:dyDescent="0.15">
      <c r="A784" s="28" t="s">
        <v>1139</v>
      </c>
      <c r="B784" s="15" t="s">
        <v>4380</v>
      </c>
      <c r="D784" s="29" t="s">
        <v>1138</v>
      </c>
      <c r="E784" s="129" t="s">
        <v>5315</v>
      </c>
      <c r="F784" s="15" t="s">
        <v>4487</v>
      </c>
      <c r="I784" s="28"/>
      <c r="J784" s="30"/>
      <c r="K784" s="15">
        <f>COUNTIF(Contacts[姓名],Contacts[[#This Row],[姓名]])</f>
        <v>874</v>
      </c>
    </row>
    <row r="785" spans="1:11" x14ac:dyDescent="0.15">
      <c r="A785" s="28" t="s">
        <v>3418</v>
      </c>
      <c r="B785" s="15" t="s">
        <v>4380</v>
      </c>
      <c r="D785" s="29" t="s">
        <v>3417</v>
      </c>
      <c r="E785" s="129" t="s">
        <v>5315</v>
      </c>
      <c r="F785" s="15" t="s">
        <v>4487</v>
      </c>
      <c r="I785" s="28"/>
      <c r="J785" s="30"/>
      <c r="K785" s="15">
        <f>COUNTIF(Contacts[姓名],Contacts[[#This Row],[姓名]])</f>
        <v>874</v>
      </c>
    </row>
    <row r="786" spans="1:11" x14ac:dyDescent="0.15">
      <c r="A786" s="28" t="s">
        <v>934</v>
      </c>
      <c r="B786" s="15" t="s">
        <v>4380</v>
      </c>
      <c r="D786" s="29" t="s">
        <v>1141</v>
      </c>
      <c r="E786" s="129" t="s">
        <v>5315</v>
      </c>
      <c r="F786" s="15" t="s">
        <v>4487</v>
      </c>
      <c r="I786" s="28"/>
      <c r="J786" s="30"/>
      <c r="K786" s="15">
        <f>COUNTIF(Contacts[姓名],Contacts[[#This Row],[姓名]])</f>
        <v>874</v>
      </c>
    </row>
    <row r="787" spans="1:11" x14ac:dyDescent="0.15">
      <c r="A787" s="28" t="s">
        <v>589</v>
      </c>
      <c r="B787" s="15" t="s">
        <v>4380</v>
      </c>
      <c r="D787" s="29" t="s">
        <v>1155</v>
      </c>
      <c r="E787" s="129" t="s">
        <v>5315</v>
      </c>
      <c r="F787" s="15" t="s">
        <v>4487</v>
      </c>
      <c r="I787" s="28"/>
      <c r="J787" s="30"/>
      <c r="K787" s="15">
        <f>COUNTIF(Contacts[姓名],Contacts[[#This Row],[姓名]])</f>
        <v>874</v>
      </c>
    </row>
    <row r="788" spans="1:11" x14ac:dyDescent="0.15">
      <c r="A788" s="28" t="s">
        <v>566</v>
      </c>
      <c r="B788" s="15" t="s">
        <v>4380</v>
      </c>
      <c r="D788" s="29" t="s">
        <v>1154</v>
      </c>
      <c r="E788" s="129" t="s">
        <v>5315</v>
      </c>
      <c r="F788" s="15" t="s">
        <v>4487</v>
      </c>
      <c r="I788" s="28"/>
      <c r="J788" s="30"/>
      <c r="K788" s="15">
        <f>COUNTIF(Contacts[姓名],Contacts[[#This Row],[姓名]])</f>
        <v>874</v>
      </c>
    </row>
    <row r="789" spans="1:11" x14ac:dyDescent="0.15">
      <c r="A789" s="28" t="s">
        <v>566</v>
      </c>
      <c r="B789" s="15" t="s">
        <v>4380</v>
      </c>
      <c r="D789" s="29" t="s">
        <v>1153</v>
      </c>
      <c r="E789" s="129" t="s">
        <v>5315</v>
      </c>
      <c r="F789" s="15" t="s">
        <v>4487</v>
      </c>
      <c r="I789" s="28"/>
      <c r="J789" s="30"/>
      <c r="K789" s="15">
        <f>COUNTIF(Contacts[姓名],Contacts[[#This Row],[姓名]])</f>
        <v>874</v>
      </c>
    </row>
    <row r="790" spans="1:11" x14ac:dyDescent="0.15">
      <c r="A790" s="28" t="s">
        <v>3410</v>
      </c>
      <c r="B790" s="15" t="s">
        <v>4380</v>
      </c>
      <c r="D790" s="29" t="s">
        <v>3409</v>
      </c>
      <c r="E790" s="129" t="s">
        <v>5315</v>
      </c>
      <c r="F790" s="15" t="s">
        <v>4487</v>
      </c>
      <c r="I790" s="28"/>
      <c r="J790" s="30"/>
      <c r="K790" s="15">
        <f>COUNTIF(Contacts[姓名],Contacts[[#This Row],[姓名]])</f>
        <v>874</v>
      </c>
    </row>
    <row r="791" spans="1:11" x14ac:dyDescent="0.15">
      <c r="A791" s="28" t="s">
        <v>3462</v>
      </c>
      <c r="B791" s="15" t="s">
        <v>4380</v>
      </c>
      <c r="D791" s="29" t="s">
        <v>3461</v>
      </c>
      <c r="E791" s="129" t="s">
        <v>5315</v>
      </c>
      <c r="F791" s="15" t="s">
        <v>4487</v>
      </c>
      <c r="I791" s="28"/>
      <c r="J791" s="30"/>
      <c r="K791" s="15">
        <f>COUNTIF(Contacts[姓名],Contacts[[#This Row],[姓名]])</f>
        <v>874</v>
      </c>
    </row>
    <row r="792" spans="1:11" x14ac:dyDescent="0.15">
      <c r="A792" s="28" t="s">
        <v>3408</v>
      </c>
      <c r="B792" s="15" t="s">
        <v>4380</v>
      </c>
      <c r="D792" s="29" t="s">
        <v>3407</v>
      </c>
      <c r="E792" s="129" t="s">
        <v>5315</v>
      </c>
      <c r="F792" s="15" t="s">
        <v>4487</v>
      </c>
      <c r="I792" s="28"/>
      <c r="J792" s="30"/>
      <c r="K792" s="15">
        <f>COUNTIF(Contacts[姓名],Contacts[[#This Row],[姓名]])</f>
        <v>874</v>
      </c>
    </row>
    <row r="793" spans="1:11" x14ac:dyDescent="0.15">
      <c r="A793" s="28" t="s">
        <v>3460</v>
      </c>
      <c r="B793" s="15" t="s">
        <v>4380</v>
      </c>
      <c r="D793" s="29" t="s">
        <v>3459</v>
      </c>
      <c r="E793" s="129" t="s">
        <v>5315</v>
      </c>
      <c r="F793" s="15" t="s">
        <v>4487</v>
      </c>
      <c r="I793" s="28"/>
      <c r="J793" s="30"/>
      <c r="K793" s="15">
        <f>COUNTIF(Contacts[姓名],Contacts[[#This Row],[姓名]])</f>
        <v>874</v>
      </c>
    </row>
    <row r="794" spans="1:11" x14ac:dyDescent="0.15">
      <c r="A794" s="28" t="s">
        <v>3458</v>
      </c>
      <c r="B794" s="15" t="s">
        <v>4380</v>
      </c>
      <c r="D794" s="29" t="s">
        <v>3457</v>
      </c>
      <c r="E794" s="129" t="s">
        <v>5315</v>
      </c>
      <c r="F794" s="15" t="s">
        <v>4487</v>
      </c>
      <c r="I794" s="28"/>
      <c r="J794" s="30"/>
      <c r="K794" s="15">
        <f>COUNTIF(Contacts[姓名],Contacts[[#This Row],[姓名]])</f>
        <v>874</v>
      </c>
    </row>
    <row r="795" spans="1:11" x14ac:dyDescent="0.15">
      <c r="A795" s="28" t="s">
        <v>3456</v>
      </c>
      <c r="B795" s="15" t="s">
        <v>4380</v>
      </c>
      <c r="D795" s="29" t="s">
        <v>3455</v>
      </c>
      <c r="E795" s="129" t="s">
        <v>5315</v>
      </c>
      <c r="F795" s="15" t="s">
        <v>4487</v>
      </c>
      <c r="I795" s="28"/>
      <c r="J795" s="30"/>
      <c r="K795" s="15">
        <f>COUNTIF(Contacts[姓名],Contacts[[#This Row],[姓名]])</f>
        <v>874</v>
      </c>
    </row>
    <row r="796" spans="1:11" x14ac:dyDescent="0.15">
      <c r="A796" s="28" t="s">
        <v>3454</v>
      </c>
      <c r="B796" s="15" t="s">
        <v>4380</v>
      </c>
      <c r="D796" s="29" t="s">
        <v>3453</v>
      </c>
      <c r="E796" s="129" t="s">
        <v>5315</v>
      </c>
      <c r="F796" s="15" t="s">
        <v>4487</v>
      </c>
      <c r="I796" s="28"/>
      <c r="J796" s="30"/>
      <c r="K796" s="15">
        <f>COUNTIF(Contacts[姓名],Contacts[[#This Row],[姓名]])</f>
        <v>874</v>
      </c>
    </row>
    <row r="797" spans="1:11" x14ac:dyDescent="0.15">
      <c r="A797" s="28" t="s">
        <v>3452</v>
      </c>
      <c r="B797" s="15" t="s">
        <v>4380</v>
      </c>
      <c r="D797" s="29" t="s">
        <v>3451</v>
      </c>
      <c r="E797" s="129" t="s">
        <v>5315</v>
      </c>
      <c r="F797" s="15" t="s">
        <v>4487</v>
      </c>
      <c r="I797" s="28"/>
      <c r="J797" s="30"/>
      <c r="K797" s="15">
        <f>COUNTIF(Contacts[姓名],Contacts[[#This Row],[姓名]])</f>
        <v>874</v>
      </c>
    </row>
    <row r="798" spans="1:11" x14ac:dyDescent="0.15">
      <c r="A798" s="28" t="s">
        <v>3406</v>
      </c>
      <c r="B798" s="15" t="s">
        <v>4380</v>
      </c>
      <c r="D798" s="29" t="s">
        <v>1107</v>
      </c>
      <c r="E798" s="129" t="s">
        <v>5315</v>
      </c>
      <c r="F798" s="15" t="s">
        <v>4487</v>
      </c>
      <c r="I798" s="28"/>
      <c r="J798" s="30"/>
      <c r="K798" s="15">
        <f>COUNTIF(Contacts[姓名],Contacts[[#This Row],[姓名]])</f>
        <v>874</v>
      </c>
    </row>
    <row r="799" spans="1:11" x14ac:dyDescent="0.15">
      <c r="A799" s="28" t="s">
        <v>3406</v>
      </c>
      <c r="B799" s="15" t="s">
        <v>4380</v>
      </c>
      <c r="D799" s="29" t="s">
        <v>3405</v>
      </c>
      <c r="E799" s="129" t="s">
        <v>5315</v>
      </c>
      <c r="F799" s="15" t="s">
        <v>4487</v>
      </c>
      <c r="I799" s="28"/>
      <c r="J799" s="30"/>
      <c r="K799" s="15">
        <f>COUNTIF(Contacts[姓名],Contacts[[#This Row],[姓名]])</f>
        <v>874</v>
      </c>
    </row>
    <row r="800" spans="1:11" x14ac:dyDescent="0.15">
      <c r="A800" s="28" t="s">
        <v>3404</v>
      </c>
      <c r="B800" s="15" t="s">
        <v>4380</v>
      </c>
      <c r="D800" s="29" t="s">
        <v>3403</v>
      </c>
      <c r="E800" s="129" t="s">
        <v>5315</v>
      </c>
      <c r="F800" s="15" t="s">
        <v>4487</v>
      </c>
      <c r="I800" s="28"/>
      <c r="J800" s="30"/>
      <c r="K800" s="15">
        <f>COUNTIF(Contacts[姓名],Contacts[[#This Row],[姓名]])</f>
        <v>874</v>
      </c>
    </row>
    <row r="801" spans="1:11" x14ac:dyDescent="0.15">
      <c r="A801" s="28" t="s">
        <v>3402</v>
      </c>
      <c r="B801" s="15" t="s">
        <v>4380</v>
      </c>
      <c r="D801" s="29" t="s">
        <v>3401</v>
      </c>
      <c r="E801" s="129" t="s">
        <v>5315</v>
      </c>
      <c r="F801" s="15" t="s">
        <v>4487</v>
      </c>
      <c r="I801" s="28"/>
      <c r="J801" s="30"/>
      <c r="K801" s="15">
        <f>COUNTIF(Contacts[姓名],Contacts[[#This Row],[姓名]])</f>
        <v>874</v>
      </c>
    </row>
    <row r="802" spans="1:11" x14ac:dyDescent="0.15">
      <c r="A802" s="28" t="s">
        <v>3400</v>
      </c>
      <c r="B802" s="15" t="s">
        <v>4380</v>
      </c>
      <c r="D802" s="29" t="s">
        <v>3399</v>
      </c>
      <c r="E802" s="129" t="s">
        <v>5315</v>
      </c>
      <c r="F802" s="15" t="s">
        <v>4487</v>
      </c>
      <c r="I802" s="28"/>
      <c r="J802" s="30"/>
      <c r="K802" s="15">
        <f>COUNTIF(Contacts[姓名],Contacts[[#This Row],[姓名]])</f>
        <v>874</v>
      </c>
    </row>
    <row r="803" spans="1:11" x14ac:dyDescent="0.15">
      <c r="A803" s="28" t="s">
        <v>3450</v>
      </c>
      <c r="B803" s="15" t="s">
        <v>4380</v>
      </c>
      <c r="D803" s="29" t="s">
        <v>3449</v>
      </c>
      <c r="E803" s="129" t="s">
        <v>5315</v>
      </c>
      <c r="F803" s="15" t="s">
        <v>4487</v>
      </c>
      <c r="I803" s="28"/>
      <c r="J803" s="30"/>
      <c r="K803" s="15">
        <f>COUNTIF(Contacts[姓名],Contacts[[#This Row],[姓名]])</f>
        <v>874</v>
      </c>
    </row>
    <row r="804" spans="1:11" x14ac:dyDescent="0.15">
      <c r="A804" s="28" t="s">
        <v>3448</v>
      </c>
      <c r="B804" s="15" t="s">
        <v>4380</v>
      </c>
      <c r="D804" s="29" t="s">
        <v>3447</v>
      </c>
      <c r="E804" s="129" t="s">
        <v>5315</v>
      </c>
      <c r="F804" s="15" t="s">
        <v>4487</v>
      </c>
      <c r="I804" s="28"/>
      <c r="J804" s="30"/>
      <c r="K804" s="15">
        <f>COUNTIF(Contacts[姓名],Contacts[[#This Row],[姓名]])</f>
        <v>874</v>
      </c>
    </row>
    <row r="805" spans="1:11" x14ac:dyDescent="0.15">
      <c r="A805" s="28" t="s">
        <v>3446</v>
      </c>
      <c r="B805" s="15" t="s">
        <v>4380</v>
      </c>
      <c r="D805" s="29" t="s">
        <v>3445</v>
      </c>
      <c r="E805" s="129" t="s">
        <v>5315</v>
      </c>
      <c r="F805" s="15" t="s">
        <v>4487</v>
      </c>
      <c r="I805" s="28"/>
      <c r="J805" s="30"/>
      <c r="K805" s="15">
        <f>COUNTIF(Contacts[姓名],Contacts[[#This Row],[姓名]])</f>
        <v>874</v>
      </c>
    </row>
    <row r="806" spans="1:11" x14ac:dyDescent="0.15">
      <c r="A806" s="28" t="s">
        <v>3444</v>
      </c>
      <c r="B806" s="15" t="s">
        <v>4380</v>
      </c>
      <c r="D806" s="29" t="s">
        <v>3443</v>
      </c>
      <c r="E806" s="129" t="s">
        <v>5315</v>
      </c>
      <c r="F806" s="15" t="s">
        <v>4487</v>
      </c>
      <c r="I806" s="28"/>
      <c r="J806" s="30"/>
      <c r="K806" s="15">
        <f>COUNTIF(Contacts[姓名],Contacts[[#This Row],[姓名]])</f>
        <v>874</v>
      </c>
    </row>
    <row r="807" spans="1:11" x14ac:dyDescent="0.15">
      <c r="A807" s="28" t="s">
        <v>777</v>
      </c>
      <c r="B807" s="15" t="s">
        <v>4380</v>
      </c>
      <c r="D807" s="29" t="s">
        <v>2592</v>
      </c>
      <c r="E807" s="129" t="s">
        <v>5315</v>
      </c>
      <c r="F807" s="15" t="s">
        <v>4487</v>
      </c>
      <c r="I807" s="28"/>
      <c r="J807" s="30"/>
      <c r="K807" s="15">
        <f>COUNTIF(Contacts[姓名],Contacts[[#This Row],[姓名]])</f>
        <v>874</v>
      </c>
    </row>
    <row r="808" spans="1:11" x14ac:dyDescent="0.15">
      <c r="A808" s="28" t="s">
        <v>594</v>
      </c>
      <c r="B808" s="15" t="s">
        <v>4380</v>
      </c>
      <c r="D808" s="29" t="s">
        <v>2593</v>
      </c>
      <c r="E808" s="129" t="s">
        <v>5315</v>
      </c>
      <c r="F808" s="15" t="s">
        <v>4487</v>
      </c>
      <c r="I808" s="28"/>
      <c r="J808" s="30"/>
      <c r="K808" s="15">
        <f>COUNTIF(Contacts[姓名],Contacts[[#This Row],[姓名]])</f>
        <v>874</v>
      </c>
    </row>
    <row r="809" spans="1:11" x14ac:dyDescent="0.15">
      <c r="A809" s="28" t="s">
        <v>3442</v>
      </c>
      <c r="B809" s="15" t="s">
        <v>4380</v>
      </c>
      <c r="D809" s="29" t="s">
        <v>3441</v>
      </c>
      <c r="E809" s="129" t="s">
        <v>5315</v>
      </c>
      <c r="F809" s="15" t="s">
        <v>4487</v>
      </c>
      <c r="I809" s="28"/>
      <c r="J809" s="30"/>
      <c r="K809" s="15">
        <f>COUNTIF(Contacts[姓名],Contacts[[#This Row],[姓名]])</f>
        <v>874</v>
      </c>
    </row>
    <row r="810" spans="1:11" x14ac:dyDescent="0.15">
      <c r="A810" s="28" t="s">
        <v>2496</v>
      </c>
      <c r="B810" s="15" t="s">
        <v>1715</v>
      </c>
      <c r="C810" s="15">
        <v>2559617959</v>
      </c>
      <c r="D810" s="29" t="s">
        <v>2399</v>
      </c>
      <c r="E810" s="129" t="s">
        <v>5315</v>
      </c>
      <c r="F810" s="15" t="s">
        <v>6164</v>
      </c>
      <c r="I810" s="28"/>
      <c r="J810" s="30"/>
      <c r="K810" s="15">
        <f>COUNTIF(Contacts[姓名],Contacts[[#This Row],[姓名]])</f>
        <v>1</v>
      </c>
    </row>
    <row r="811" spans="1:11" x14ac:dyDescent="0.15">
      <c r="A811" s="28" t="s">
        <v>3440</v>
      </c>
      <c r="B811" s="15" t="s">
        <v>4380</v>
      </c>
      <c r="D811" s="29" t="s">
        <v>3439</v>
      </c>
      <c r="E811" s="129" t="s">
        <v>5315</v>
      </c>
      <c r="F811" s="15" t="s">
        <v>4487</v>
      </c>
      <c r="I811" s="28"/>
      <c r="J811" s="30"/>
      <c r="K811" s="15">
        <f>COUNTIF(Contacts[姓名],Contacts[[#This Row],[姓名]])</f>
        <v>874</v>
      </c>
    </row>
    <row r="812" spans="1:11" x14ac:dyDescent="0.15">
      <c r="A812" s="28" t="s">
        <v>3438</v>
      </c>
      <c r="B812" s="15" t="s">
        <v>4380</v>
      </c>
      <c r="D812" s="29" t="s">
        <v>3437</v>
      </c>
      <c r="E812" s="129" t="s">
        <v>5315</v>
      </c>
      <c r="F812" s="15" t="s">
        <v>4487</v>
      </c>
      <c r="I812" s="28"/>
      <c r="J812" s="30"/>
      <c r="K812" s="15">
        <f>COUNTIF(Contacts[姓名],Contacts[[#This Row],[姓名]])</f>
        <v>874</v>
      </c>
    </row>
    <row r="813" spans="1:11" x14ac:dyDescent="0.15">
      <c r="A813" s="28" t="s">
        <v>586</v>
      </c>
      <c r="B813" s="15" t="s">
        <v>4380</v>
      </c>
      <c r="D813" s="29" t="s">
        <v>1148</v>
      </c>
      <c r="E813" s="129" t="s">
        <v>5315</v>
      </c>
      <c r="F813" s="15" t="s">
        <v>4487</v>
      </c>
      <c r="I813" s="28"/>
      <c r="J813" s="30"/>
      <c r="K813" s="15">
        <f>COUNTIF(Contacts[姓名],Contacts[[#This Row],[姓名]])</f>
        <v>874</v>
      </c>
    </row>
    <row r="814" spans="1:11" x14ac:dyDescent="0.15">
      <c r="A814" s="28" t="s">
        <v>3436</v>
      </c>
      <c r="B814" s="15" t="s">
        <v>4380</v>
      </c>
      <c r="D814" s="29" t="s">
        <v>3435</v>
      </c>
      <c r="E814" s="129" t="s">
        <v>5315</v>
      </c>
      <c r="F814" s="15" t="s">
        <v>4487</v>
      </c>
      <c r="I814" s="28"/>
      <c r="J814" s="30"/>
      <c r="K814" s="15">
        <f>COUNTIF(Contacts[姓名],Contacts[[#This Row],[姓名]])</f>
        <v>874</v>
      </c>
    </row>
    <row r="815" spans="1:11" x14ac:dyDescent="0.15">
      <c r="A815" s="28" t="s">
        <v>3434</v>
      </c>
      <c r="B815" s="15" t="s">
        <v>4380</v>
      </c>
      <c r="D815" s="29" t="s">
        <v>3433</v>
      </c>
      <c r="E815" s="129" t="s">
        <v>5315</v>
      </c>
      <c r="F815" s="15" t="s">
        <v>4487</v>
      </c>
      <c r="I815" s="28"/>
      <c r="J815" s="30"/>
      <c r="K815" s="15">
        <f>COUNTIF(Contacts[姓名],Contacts[[#This Row],[姓名]])</f>
        <v>874</v>
      </c>
    </row>
    <row r="816" spans="1:11" x14ac:dyDescent="0.15">
      <c r="A816" s="28" t="s">
        <v>3432</v>
      </c>
      <c r="B816" s="15" t="s">
        <v>4380</v>
      </c>
      <c r="D816" s="29" t="s">
        <v>3431</v>
      </c>
      <c r="E816" s="129" t="s">
        <v>5315</v>
      </c>
      <c r="F816" s="15" t="s">
        <v>4487</v>
      </c>
      <c r="I816" s="28"/>
      <c r="J816" s="30"/>
      <c r="K816" s="15">
        <f>COUNTIF(Contacts[姓名],Contacts[[#This Row],[姓名]])</f>
        <v>874</v>
      </c>
    </row>
    <row r="817" spans="1:11" x14ac:dyDescent="0.15">
      <c r="A817" s="28" t="s">
        <v>960</v>
      </c>
      <c r="B817" s="15" t="s">
        <v>4380</v>
      </c>
      <c r="D817" s="29" t="s">
        <v>1147</v>
      </c>
      <c r="E817" s="129" t="s">
        <v>5315</v>
      </c>
      <c r="F817" s="15" t="s">
        <v>4487</v>
      </c>
      <c r="I817" s="28"/>
      <c r="J817" s="30"/>
      <c r="K817" s="15">
        <f>COUNTIF(Contacts[姓名],Contacts[[#This Row],[姓名]])</f>
        <v>874</v>
      </c>
    </row>
    <row r="818" spans="1:11" x14ac:dyDescent="0.15">
      <c r="A818" s="28" t="s">
        <v>3430</v>
      </c>
      <c r="B818" s="15" t="s">
        <v>4380</v>
      </c>
      <c r="D818" s="29" t="s">
        <v>3429</v>
      </c>
      <c r="E818" s="129" t="s">
        <v>5315</v>
      </c>
      <c r="F818" s="15" t="s">
        <v>4487</v>
      </c>
      <c r="I818" s="28"/>
      <c r="J818" s="30"/>
      <c r="K818" s="15">
        <f>COUNTIF(Contacts[姓名],Contacts[[#This Row],[姓名]])</f>
        <v>874</v>
      </c>
    </row>
    <row r="819" spans="1:11" x14ac:dyDescent="0.15">
      <c r="A819" s="28" t="s">
        <v>3412</v>
      </c>
      <c r="B819" s="15" t="s">
        <v>4380</v>
      </c>
      <c r="D819" s="29" t="s">
        <v>3411</v>
      </c>
      <c r="E819" s="129" t="s">
        <v>5315</v>
      </c>
      <c r="F819" s="15" t="s">
        <v>4487</v>
      </c>
      <c r="I819" s="28"/>
      <c r="J819" s="30"/>
      <c r="K819" s="15">
        <f>COUNTIF(Contacts[姓名],Contacts[[#This Row],[姓名]])</f>
        <v>874</v>
      </c>
    </row>
    <row r="820" spans="1:11" x14ac:dyDescent="0.15">
      <c r="A820" s="28" t="s">
        <v>3428</v>
      </c>
      <c r="B820" s="15" t="s">
        <v>4380</v>
      </c>
      <c r="D820" s="29" t="s">
        <v>3427</v>
      </c>
      <c r="E820" s="129" t="s">
        <v>5315</v>
      </c>
      <c r="F820" s="15" t="s">
        <v>4487</v>
      </c>
      <c r="I820" s="28"/>
      <c r="J820" s="30"/>
      <c r="K820" s="15">
        <f>COUNTIF(Contacts[姓名],Contacts[[#This Row],[姓名]])</f>
        <v>874</v>
      </c>
    </row>
    <row r="821" spans="1:11" x14ac:dyDescent="0.15">
      <c r="A821" s="28" t="s">
        <v>3426</v>
      </c>
      <c r="B821" s="15" t="s">
        <v>4380</v>
      </c>
      <c r="D821" s="29" t="s">
        <v>3425</v>
      </c>
      <c r="E821" s="129" t="s">
        <v>5315</v>
      </c>
      <c r="F821" s="15" t="s">
        <v>4487</v>
      </c>
      <c r="I821" s="28"/>
      <c r="J821" s="30"/>
      <c r="K821" s="15">
        <f>COUNTIF(Contacts[姓名],Contacts[[#This Row],[姓名]])</f>
        <v>874</v>
      </c>
    </row>
    <row r="822" spans="1:11" x14ac:dyDescent="0.15">
      <c r="A822" s="28" t="s">
        <v>3424</v>
      </c>
      <c r="B822" s="15" t="s">
        <v>4380</v>
      </c>
      <c r="D822" s="29" t="s">
        <v>3423</v>
      </c>
      <c r="E822" s="129" t="s">
        <v>5315</v>
      </c>
      <c r="F822" s="15" t="s">
        <v>4487</v>
      </c>
      <c r="I822" s="28"/>
      <c r="J822" s="30"/>
      <c r="K822" s="15">
        <f>COUNTIF(Contacts[姓名],Contacts[[#This Row],[姓名]])</f>
        <v>874</v>
      </c>
    </row>
    <row r="823" spans="1:11" x14ac:dyDescent="0.15">
      <c r="A823" s="28" t="s">
        <v>1145</v>
      </c>
      <c r="B823" s="15" t="s">
        <v>4380</v>
      </c>
      <c r="D823" s="29" t="s">
        <v>2645</v>
      </c>
      <c r="E823" s="129" t="s">
        <v>5315</v>
      </c>
      <c r="F823" s="15" t="s">
        <v>4487</v>
      </c>
      <c r="I823" s="28"/>
      <c r="J823" s="30"/>
      <c r="K823" s="15">
        <f>COUNTIF(Contacts[姓名],Contacts[[#This Row],[姓名]])</f>
        <v>874</v>
      </c>
    </row>
    <row r="824" spans="1:11" x14ac:dyDescent="0.15">
      <c r="A824" s="28" t="s">
        <v>810</v>
      </c>
      <c r="B824" s="15" t="s">
        <v>4380</v>
      </c>
      <c r="D824" s="29" t="s">
        <v>1134</v>
      </c>
      <c r="E824" s="129" t="s">
        <v>5315</v>
      </c>
      <c r="F824" s="15" t="s">
        <v>4487</v>
      </c>
      <c r="I824" s="28"/>
      <c r="J824" s="30"/>
      <c r="K824" s="15">
        <f>COUNTIF(Contacts[姓名],Contacts[[#This Row],[姓名]])</f>
        <v>874</v>
      </c>
    </row>
    <row r="825" spans="1:11" x14ac:dyDescent="0.15">
      <c r="A825" s="28"/>
      <c r="B825" s="15" t="s">
        <v>4380</v>
      </c>
      <c r="D825" s="29" t="s">
        <v>1176</v>
      </c>
      <c r="E825" s="129" t="s">
        <v>5315</v>
      </c>
      <c r="F825" s="15" t="s">
        <v>4487</v>
      </c>
      <c r="I825" s="28"/>
      <c r="J825" s="30"/>
      <c r="K825" s="15">
        <f>COUNTIF(Contacts[姓名],Contacts[[#This Row],[姓名]])</f>
        <v>874</v>
      </c>
    </row>
    <row r="826" spans="1:11" x14ac:dyDescent="0.15">
      <c r="A826" s="28"/>
      <c r="B826" s="15" t="s">
        <v>4380</v>
      </c>
      <c r="D826" s="29" t="s">
        <v>1174</v>
      </c>
      <c r="E826" s="129" t="s">
        <v>5315</v>
      </c>
      <c r="F826" s="15" t="s">
        <v>4487</v>
      </c>
      <c r="I826" s="28"/>
      <c r="J826" s="30"/>
      <c r="K826" s="15">
        <f>COUNTIF(Contacts[姓名],Contacts[[#This Row],[姓名]])</f>
        <v>874</v>
      </c>
    </row>
    <row r="827" spans="1:11" x14ac:dyDescent="0.15">
      <c r="A827" s="28"/>
      <c r="B827" s="15" t="s">
        <v>4380</v>
      </c>
      <c r="D827" s="29" t="s">
        <v>1173</v>
      </c>
      <c r="E827" s="129" t="s">
        <v>5315</v>
      </c>
      <c r="F827" s="15" t="s">
        <v>4487</v>
      </c>
      <c r="I827" s="28"/>
      <c r="J827" s="30"/>
      <c r="K827" s="15">
        <f>COUNTIF(Contacts[姓名],Contacts[[#This Row],[姓名]])</f>
        <v>874</v>
      </c>
    </row>
    <row r="828" spans="1:11" x14ac:dyDescent="0.15">
      <c r="A828" s="28"/>
      <c r="B828" s="15" t="s">
        <v>4380</v>
      </c>
      <c r="D828" s="29" t="s">
        <v>1172</v>
      </c>
      <c r="E828" s="129" t="s">
        <v>5315</v>
      </c>
      <c r="F828" s="15" t="s">
        <v>4487</v>
      </c>
      <c r="I828" s="28"/>
      <c r="J828" s="30"/>
      <c r="K828" s="15">
        <f>COUNTIF(Contacts[姓名],Contacts[[#This Row],[姓名]])</f>
        <v>874</v>
      </c>
    </row>
    <row r="829" spans="1:11" x14ac:dyDescent="0.15">
      <c r="A829" s="28"/>
      <c r="B829" s="15" t="s">
        <v>4380</v>
      </c>
      <c r="D829" s="29" t="s">
        <v>2577</v>
      </c>
      <c r="E829" s="129" t="s">
        <v>5315</v>
      </c>
      <c r="F829" s="15" t="s">
        <v>4487</v>
      </c>
      <c r="I829" s="28"/>
      <c r="J829" s="30"/>
      <c r="K829" s="15">
        <f>COUNTIF(Contacts[姓名],Contacts[[#This Row],[姓名]])</f>
        <v>874</v>
      </c>
    </row>
    <row r="830" spans="1:11" x14ac:dyDescent="0.15">
      <c r="A830" s="28"/>
      <c r="B830" s="15" t="s">
        <v>4380</v>
      </c>
      <c r="D830" s="29" t="s">
        <v>1403</v>
      </c>
      <c r="E830" s="129" t="s">
        <v>5315</v>
      </c>
      <c r="F830" s="15" t="s">
        <v>4487</v>
      </c>
      <c r="I830" s="28"/>
      <c r="J830" s="30"/>
      <c r="K830" s="15">
        <f>COUNTIF(Contacts[姓名],Contacts[[#This Row],[姓名]])</f>
        <v>874</v>
      </c>
    </row>
    <row r="831" spans="1:11" x14ac:dyDescent="0.15">
      <c r="A831" s="28"/>
      <c r="B831" s="15" t="s">
        <v>4380</v>
      </c>
      <c r="D831" s="29" t="s">
        <v>1127</v>
      </c>
      <c r="E831" s="129" t="s">
        <v>5315</v>
      </c>
      <c r="F831" s="15" t="s">
        <v>4487</v>
      </c>
      <c r="I831" s="28"/>
      <c r="J831" s="30"/>
      <c r="K831" s="15">
        <f>COUNTIF(Contacts[姓名],Contacts[[#This Row],[姓名]])</f>
        <v>874</v>
      </c>
    </row>
    <row r="832" spans="1:11" x14ac:dyDescent="0.15">
      <c r="A832" s="28"/>
      <c r="B832" s="15" t="s">
        <v>4380</v>
      </c>
      <c r="D832" s="29" t="s">
        <v>2578</v>
      </c>
      <c r="E832" s="129" t="s">
        <v>5315</v>
      </c>
      <c r="F832" s="15" t="s">
        <v>4487</v>
      </c>
      <c r="I832" s="28"/>
      <c r="J832" s="30"/>
      <c r="K832" s="15">
        <f>COUNTIF(Contacts[姓名],Contacts[[#This Row],[姓名]])</f>
        <v>874</v>
      </c>
    </row>
    <row r="833" spans="1:11" x14ac:dyDescent="0.15">
      <c r="A833" s="28"/>
      <c r="B833" s="15" t="s">
        <v>4380</v>
      </c>
      <c r="D833" s="29" t="s">
        <v>1168</v>
      </c>
      <c r="E833" s="129" t="s">
        <v>5315</v>
      </c>
      <c r="F833" s="15" t="s">
        <v>4487</v>
      </c>
      <c r="I833" s="28"/>
      <c r="J833" s="30"/>
      <c r="K833" s="15">
        <f>COUNTIF(Contacts[姓名],Contacts[[#This Row],[姓名]])</f>
        <v>874</v>
      </c>
    </row>
    <row r="834" spans="1:11" x14ac:dyDescent="0.15">
      <c r="A834" s="28"/>
      <c r="B834" s="15" t="s">
        <v>4380</v>
      </c>
      <c r="D834" s="29" t="s">
        <v>1167</v>
      </c>
      <c r="E834" s="129" t="s">
        <v>5315</v>
      </c>
      <c r="F834" s="15" t="s">
        <v>4487</v>
      </c>
      <c r="I834" s="28"/>
      <c r="J834" s="30"/>
      <c r="K834" s="15">
        <f>COUNTIF(Contacts[姓名],Contacts[[#This Row],[姓名]])</f>
        <v>874</v>
      </c>
    </row>
    <row r="835" spans="1:11" x14ac:dyDescent="0.15">
      <c r="A835" s="28"/>
      <c r="B835" s="15" t="s">
        <v>4380</v>
      </c>
      <c r="D835" s="29" t="s">
        <v>1166</v>
      </c>
      <c r="E835" s="129" t="s">
        <v>5315</v>
      </c>
      <c r="F835" s="15" t="s">
        <v>4487</v>
      </c>
      <c r="I835" s="28"/>
      <c r="J835" s="30"/>
      <c r="K835" s="15">
        <f>COUNTIF(Contacts[姓名],Contacts[[#This Row],[姓名]])</f>
        <v>874</v>
      </c>
    </row>
    <row r="836" spans="1:11" x14ac:dyDescent="0.15">
      <c r="A836" s="28"/>
      <c r="B836" s="15" t="s">
        <v>4380</v>
      </c>
      <c r="D836" s="29" t="s">
        <v>1165</v>
      </c>
      <c r="E836" s="129" t="s">
        <v>5315</v>
      </c>
      <c r="F836" s="15" t="s">
        <v>4487</v>
      </c>
      <c r="I836" s="28"/>
      <c r="J836" s="30"/>
      <c r="K836" s="15">
        <f>COUNTIF(Contacts[姓名],Contacts[[#This Row],[姓名]])</f>
        <v>874</v>
      </c>
    </row>
    <row r="837" spans="1:11" x14ac:dyDescent="0.15">
      <c r="A837" s="28"/>
      <c r="B837" s="15" t="s">
        <v>4380</v>
      </c>
      <c r="D837" s="29" t="s">
        <v>1163</v>
      </c>
      <c r="E837" s="129" t="s">
        <v>5315</v>
      </c>
      <c r="F837" s="15" t="s">
        <v>4487</v>
      </c>
      <c r="I837" s="28"/>
      <c r="J837" s="30"/>
      <c r="K837" s="15">
        <f>COUNTIF(Contacts[姓名],Contacts[[#This Row],[姓名]])</f>
        <v>874</v>
      </c>
    </row>
    <row r="838" spans="1:11" x14ac:dyDescent="0.15">
      <c r="A838" s="28"/>
      <c r="B838" s="15" t="s">
        <v>4380</v>
      </c>
      <c r="D838" s="29" t="s">
        <v>1162</v>
      </c>
      <c r="E838" s="129" t="s">
        <v>5315</v>
      </c>
      <c r="F838" s="15" t="s">
        <v>4487</v>
      </c>
      <c r="I838" s="28"/>
      <c r="J838" s="30"/>
      <c r="K838" s="15">
        <f>COUNTIF(Contacts[姓名],Contacts[[#This Row],[姓名]])</f>
        <v>874</v>
      </c>
    </row>
    <row r="839" spans="1:11" x14ac:dyDescent="0.15">
      <c r="A839" s="28"/>
      <c r="B839" s="15" t="s">
        <v>4380</v>
      </c>
      <c r="D839" s="29" t="s">
        <v>1161</v>
      </c>
      <c r="E839" s="129" t="s">
        <v>5315</v>
      </c>
      <c r="F839" s="15" t="s">
        <v>4487</v>
      </c>
      <c r="I839" s="28"/>
      <c r="J839" s="30"/>
      <c r="K839" s="15">
        <f>COUNTIF(Contacts[姓名],Contacts[[#This Row],[姓名]])</f>
        <v>874</v>
      </c>
    </row>
    <row r="840" spans="1:11" x14ac:dyDescent="0.15">
      <c r="A840" s="28"/>
      <c r="B840" s="15" t="s">
        <v>4380</v>
      </c>
      <c r="D840" s="29" t="s">
        <v>1160</v>
      </c>
      <c r="E840" s="129" t="s">
        <v>5315</v>
      </c>
      <c r="F840" s="15" t="s">
        <v>4487</v>
      </c>
      <c r="I840" s="28"/>
      <c r="J840" s="30"/>
      <c r="K840" s="15">
        <f>COUNTIF(Contacts[姓名],Contacts[[#This Row],[姓名]])</f>
        <v>874</v>
      </c>
    </row>
    <row r="841" spans="1:11" x14ac:dyDescent="0.15">
      <c r="A841" s="28"/>
      <c r="B841" s="15" t="s">
        <v>4380</v>
      </c>
      <c r="D841" s="29" t="s">
        <v>2670</v>
      </c>
      <c r="E841" s="129" t="s">
        <v>5315</v>
      </c>
      <c r="F841" s="15" t="s">
        <v>4487</v>
      </c>
      <c r="I841" s="28"/>
      <c r="J841" s="30"/>
      <c r="K841" s="15">
        <f>COUNTIF(Contacts[姓名],Contacts[[#This Row],[姓名]])</f>
        <v>874</v>
      </c>
    </row>
    <row r="842" spans="1:11" x14ac:dyDescent="0.15">
      <c r="A842" s="28"/>
      <c r="B842" s="15" t="s">
        <v>4380</v>
      </c>
      <c r="D842" s="29" t="s">
        <v>1158</v>
      </c>
      <c r="E842" s="129" t="s">
        <v>5315</v>
      </c>
      <c r="F842" s="15" t="s">
        <v>4487</v>
      </c>
      <c r="I842" s="28"/>
      <c r="J842" s="30"/>
      <c r="K842" s="15">
        <f>COUNTIF(Contacts[姓名],Contacts[[#This Row],[姓名]])</f>
        <v>874</v>
      </c>
    </row>
    <row r="843" spans="1:11" x14ac:dyDescent="0.15">
      <c r="A843" s="28"/>
      <c r="B843" s="15" t="s">
        <v>4380</v>
      </c>
      <c r="D843" s="29" t="s">
        <v>1157</v>
      </c>
      <c r="E843" s="129" t="s">
        <v>5315</v>
      </c>
      <c r="F843" s="15" t="s">
        <v>4487</v>
      </c>
      <c r="I843" s="28"/>
      <c r="J843" s="30"/>
      <c r="K843" s="15">
        <f>COUNTIF(Contacts[姓名],Contacts[[#This Row],[姓名]])</f>
        <v>874</v>
      </c>
    </row>
    <row r="844" spans="1:11" x14ac:dyDescent="0.15">
      <c r="A844" s="28"/>
      <c r="B844" s="15" t="s">
        <v>4380</v>
      </c>
      <c r="D844" s="29" t="s">
        <v>1156</v>
      </c>
      <c r="E844" s="129" t="s">
        <v>5315</v>
      </c>
      <c r="F844" s="15" t="s">
        <v>4487</v>
      </c>
      <c r="I844" s="28"/>
      <c r="J844" s="30"/>
      <c r="K844" s="15">
        <f>COUNTIF(Contacts[姓名],Contacts[[#This Row],[姓名]])</f>
        <v>874</v>
      </c>
    </row>
    <row r="845" spans="1:11" x14ac:dyDescent="0.15">
      <c r="A845" s="28"/>
      <c r="B845" s="15" t="s">
        <v>4380</v>
      </c>
      <c r="D845" s="29" t="s">
        <v>2591</v>
      </c>
      <c r="E845" s="129" t="s">
        <v>5315</v>
      </c>
      <c r="F845" s="15" t="s">
        <v>4487</v>
      </c>
      <c r="I845" s="28"/>
      <c r="J845" s="30"/>
      <c r="K845" s="15">
        <f>COUNTIF(Contacts[姓名],Contacts[[#This Row],[姓名]])</f>
        <v>874</v>
      </c>
    </row>
    <row r="846" spans="1:11" x14ac:dyDescent="0.15">
      <c r="A846" s="28"/>
      <c r="B846" s="15" t="s">
        <v>4380</v>
      </c>
      <c r="D846" s="29" t="s">
        <v>1151</v>
      </c>
      <c r="E846" s="129" t="s">
        <v>5315</v>
      </c>
      <c r="F846" s="15" t="s">
        <v>4487</v>
      </c>
      <c r="I846" s="28"/>
      <c r="J846" s="30"/>
      <c r="K846" s="15">
        <f>COUNTIF(Contacts[姓名],Contacts[[#This Row],[姓名]])</f>
        <v>874</v>
      </c>
    </row>
    <row r="847" spans="1:11" x14ac:dyDescent="0.15">
      <c r="A847" s="28"/>
      <c r="B847" s="15" t="s">
        <v>4380</v>
      </c>
      <c r="D847" s="29" t="s">
        <v>1146</v>
      </c>
      <c r="E847" s="129" t="s">
        <v>5315</v>
      </c>
      <c r="F847" s="15" t="s">
        <v>4487</v>
      </c>
      <c r="I847" s="28"/>
      <c r="J847" s="30"/>
      <c r="K847" s="15">
        <f>COUNTIF(Contacts[姓名],Contacts[[#This Row],[姓名]])</f>
        <v>874</v>
      </c>
    </row>
    <row r="848" spans="1:11" x14ac:dyDescent="0.15">
      <c r="A848" s="28"/>
      <c r="B848" s="15" t="s">
        <v>4380</v>
      </c>
      <c r="D848" s="29" t="s">
        <v>1144</v>
      </c>
      <c r="E848" s="129" t="s">
        <v>5315</v>
      </c>
      <c r="F848" s="15" t="s">
        <v>4487</v>
      </c>
      <c r="I848" s="28"/>
      <c r="J848" s="30"/>
      <c r="K848" s="15">
        <f>COUNTIF(Contacts[姓名],Contacts[[#This Row],[姓名]])</f>
        <v>874</v>
      </c>
    </row>
    <row r="849" spans="1:11" x14ac:dyDescent="0.15">
      <c r="A849" s="28"/>
      <c r="B849" s="15" t="s">
        <v>4380</v>
      </c>
      <c r="D849" s="29" t="s">
        <v>1143</v>
      </c>
      <c r="E849" s="129" t="s">
        <v>5315</v>
      </c>
      <c r="F849" s="15" t="s">
        <v>4487</v>
      </c>
      <c r="I849" s="28"/>
      <c r="J849" s="30"/>
      <c r="K849" s="15">
        <f>COUNTIF(Contacts[姓名],Contacts[[#This Row],[姓名]])</f>
        <v>874</v>
      </c>
    </row>
    <row r="850" spans="1:11" x14ac:dyDescent="0.15">
      <c r="A850" s="28"/>
      <c r="B850" s="15" t="s">
        <v>4380</v>
      </c>
      <c r="D850" s="29" t="s">
        <v>1142</v>
      </c>
      <c r="E850" s="129" t="s">
        <v>5315</v>
      </c>
      <c r="F850" s="15" t="s">
        <v>4487</v>
      </c>
      <c r="I850" s="28"/>
      <c r="J850" s="30"/>
      <c r="K850" s="15">
        <f>COUNTIF(Contacts[姓名],Contacts[[#This Row],[姓名]])</f>
        <v>874</v>
      </c>
    </row>
    <row r="851" spans="1:11" x14ac:dyDescent="0.15">
      <c r="A851" s="28"/>
      <c r="B851" s="15" t="s">
        <v>4380</v>
      </c>
      <c r="D851" s="29" t="s">
        <v>1113</v>
      </c>
      <c r="E851" s="129" t="s">
        <v>5315</v>
      </c>
      <c r="F851" s="15" t="s">
        <v>4487</v>
      </c>
      <c r="I851" s="28"/>
      <c r="J851" s="30"/>
      <c r="K851" s="15">
        <f>COUNTIF(Contacts[姓名],Contacts[[#This Row],[姓名]])</f>
        <v>874</v>
      </c>
    </row>
    <row r="852" spans="1:11" x14ac:dyDescent="0.15">
      <c r="A852" s="28"/>
      <c r="B852" s="15" t="s">
        <v>4380</v>
      </c>
      <c r="D852" s="29" t="s">
        <v>1106</v>
      </c>
      <c r="E852" s="129" t="s">
        <v>5315</v>
      </c>
      <c r="F852" s="15" t="s">
        <v>4487</v>
      </c>
      <c r="I852" s="28"/>
      <c r="J852" s="30"/>
      <c r="K852" s="15">
        <f>COUNTIF(Contacts[姓名],Contacts[[#This Row],[姓名]])</f>
        <v>874</v>
      </c>
    </row>
    <row r="853" spans="1:11" x14ac:dyDescent="0.15">
      <c r="A853" s="28"/>
      <c r="B853" s="15" t="s">
        <v>4380</v>
      </c>
      <c r="D853" s="29" t="s">
        <v>1105</v>
      </c>
      <c r="E853" s="129" t="s">
        <v>5315</v>
      </c>
      <c r="F853" s="15" t="s">
        <v>4487</v>
      </c>
      <c r="I853" s="28"/>
      <c r="J853" s="30"/>
      <c r="K853" s="15">
        <f>COUNTIF(Contacts[姓名],Contacts[[#This Row],[姓名]])</f>
        <v>874</v>
      </c>
    </row>
    <row r="854" spans="1:11" x14ac:dyDescent="0.15">
      <c r="A854" s="28"/>
      <c r="B854" s="15" t="s">
        <v>4380</v>
      </c>
      <c r="D854" s="29" t="s">
        <v>1137</v>
      </c>
      <c r="E854" s="129" t="s">
        <v>5315</v>
      </c>
      <c r="F854" s="15" t="s">
        <v>4487</v>
      </c>
      <c r="I854" s="28"/>
      <c r="J854" s="30"/>
      <c r="K854" s="15">
        <f>COUNTIF(Contacts[姓名],Contacts[[#This Row],[姓名]])</f>
        <v>874</v>
      </c>
    </row>
    <row r="855" spans="1:11" x14ac:dyDescent="0.15">
      <c r="A855" s="28"/>
      <c r="B855" s="15" t="s">
        <v>4380</v>
      </c>
      <c r="D855" s="29" t="s">
        <v>1135</v>
      </c>
      <c r="E855" s="129" t="s">
        <v>5315</v>
      </c>
      <c r="F855" s="15" t="s">
        <v>4487</v>
      </c>
      <c r="I855" s="28"/>
      <c r="J855" s="30"/>
      <c r="K855" s="15">
        <f>COUNTIF(Contacts[姓名],Contacts[[#This Row],[姓名]])</f>
        <v>874</v>
      </c>
    </row>
    <row r="856" spans="1:11" x14ac:dyDescent="0.15">
      <c r="A856" s="28"/>
      <c r="B856" s="15" t="s">
        <v>4380</v>
      </c>
      <c r="D856" s="29" t="s">
        <v>2646</v>
      </c>
      <c r="E856" s="129" t="s">
        <v>5315</v>
      </c>
      <c r="F856" s="15" t="s">
        <v>4487</v>
      </c>
      <c r="I856" s="28"/>
      <c r="J856" s="30"/>
      <c r="K856" s="15">
        <f>COUNTIF(Contacts[姓名],Contacts[[#This Row],[姓名]])</f>
        <v>874</v>
      </c>
    </row>
    <row r="857" spans="1:11" x14ac:dyDescent="0.15">
      <c r="A857" s="28"/>
      <c r="B857" s="15" t="s">
        <v>4380</v>
      </c>
      <c r="D857" s="29" t="s">
        <v>1080</v>
      </c>
      <c r="E857" s="129" t="s">
        <v>5315</v>
      </c>
      <c r="F857" s="15" t="s">
        <v>4487</v>
      </c>
      <c r="I857" s="28"/>
      <c r="J857" s="30"/>
      <c r="K857" s="15">
        <f>COUNTIF(Contacts[姓名],Contacts[[#This Row],[姓名]])</f>
        <v>874</v>
      </c>
    </row>
    <row r="858" spans="1:11" x14ac:dyDescent="0.15">
      <c r="A858" s="28"/>
      <c r="B858" s="15" t="s">
        <v>4380</v>
      </c>
      <c r="D858" s="29" t="s">
        <v>1079</v>
      </c>
      <c r="E858" s="129" t="s">
        <v>5315</v>
      </c>
      <c r="F858" s="15" t="s">
        <v>4487</v>
      </c>
      <c r="I858" s="28"/>
      <c r="J858" s="30"/>
      <c r="K858" s="15">
        <f>COUNTIF(Contacts[姓名],Contacts[[#This Row],[姓名]])</f>
        <v>874</v>
      </c>
    </row>
    <row r="859" spans="1:11" x14ac:dyDescent="0.15">
      <c r="A859" s="28" t="s">
        <v>1284</v>
      </c>
      <c r="B859" s="15" t="s">
        <v>4380</v>
      </c>
      <c r="D859" s="29" t="s">
        <v>1283</v>
      </c>
      <c r="E859" s="129" t="s">
        <v>5315</v>
      </c>
      <c r="F859" s="15" t="s">
        <v>4487</v>
      </c>
      <c r="I859" s="28"/>
      <c r="J859" s="30"/>
      <c r="K859" s="15">
        <f>COUNTIF(Contacts[姓名],Contacts[[#This Row],[姓名]])</f>
        <v>874</v>
      </c>
    </row>
    <row r="860" spans="1:11" x14ac:dyDescent="0.15">
      <c r="A860" s="28" t="s">
        <v>3394</v>
      </c>
      <c r="B860" s="15" t="s">
        <v>4380</v>
      </c>
      <c r="D860" s="29" t="s">
        <v>3393</v>
      </c>
      <c r="E860" s="129" t="s">
        <v>5315</v>
      </c>
      <c r="F860" s="15" t="s">
        <v>4487</v>
      </c>
      <c r="I860" s="28"/>
      <c r="J860" s="30"/>
      <c r="K860" s="15">
        <f>COUNTIF(Contacts[姓名],Contacts[[#This Row],[姓名]])</f>
        <v>874</v>
      </c>
    </row>
    <row r="861" spans="1:11" x14ac:dyDescent="0.15">
      <c r="A861" s="28" t="s">
        <v>3398</v>
      </c>
      <c r="B861" s="15" t="s">
        <v>4380</v>
      </c>
      <c r="D861" s="29" t="s">
        <v>3397</v>
      </c>
      <c r="E861" s="129" t="s">
        <v>5315</v>
      </c>
      <c r="F861" s="15" t="s">
        <v>4487</v>
      </c>
      <c r="I861" s="28"/>
      <c r="J861" s="30"/>
      <c r="K861" s="15">
        <f>COUNTIF(Contacts[姓名],Contacts[[#This Row],[姓名]])</f>
        <v>874</v>
      </c>
    </row>
    <row r="862" spans="1:11" x14ac:dyDescent="0.15">
      <c r="A862" s="28" t="s">
        <v>599</v>
      </c>
      <c r="B862" s="15" t="s">
        <v>4380</v>
      </c>
      <c r="D862" s="29" t="s">
        <v>1121</v>
      </c>
      <c r="E862" s="129" t="s">
        <v>5315</v>
      </c>
      <c r="F862" s="15" t="s">
        <v>4487</v>
      </c>
      <c r="I862" s="28"/>
      <c r="J862" s="30"/>
      <c r="K862" s="15">
        <f>COUNTIF(Contacts[姓名],Contacts[[#This Row],[姓名]])</f>
        <v>874</v>
      </c>
    </row>
    <row r="863" spans="1:11" x14ac:dyDescent="0.15">
      <c r="A863" s="28" t="s">
        <v>3392</v>
      </c>
      <c r="B863" s="15" t="s">
        <v>4380</v>
      </c>
      <c r="D863" s="29" t="s">
        <v>3391</v>
      </c>
      <c r="E863" s="129" t="s">
        <v>5315</v>
      </c>
      <c r="F863" s="15" t="s">
        <v>4487</v>
      </c>
      <c r="I863" s="28"/>
      <c r="J863" s="30"/>
      <c r="K863" s="15">
        <f>COUNTIF(Contacts[姓名],Contacts[[#This Row],[姓名]])</f>
        <v>874</v>
      </c>
    </row>
    <row r="864" spans="1:11" x14ac:dyDescent="0.15">
      <c r="A864" s="28" t="s">
        <v>3380</v>
      </c>
      <c r="B864" s="15" t="s">
        <v>4380</v>
      </c>
      <c r="D864" s="29" t="s">
        <v>3379</v>
      </c>
      <c r="E864" s="129" t="s">
        <v>5315</v>
      </c>
      <c r="F864" s="15" t="s">
        <v>4487</v>
      </c>
      <c r="I864" s="28"/>
      <c r="J864" s="30"/>
      <c r="K864" s="15">
        <f>COUNTIF(Contacts[姓名],Contacts[[#This Row],[姓名]])</f>
        <v>874</v>
      </c>
    </row>
    <row r="865" spans="1:11" x14ac:dyDescent="0.15">
      <c r="A865" s="28" t="s">
        <v>3388</v>
      </c>
      <c r="B865" s="15" t="s">
        <v>4380</v>
      </c>
      <c r="D865" s="29" t="s">
        <v>3387</v>
      </c>
      <c r="E865" s="129" t="s">
        <v>5315</v>
      </c>
      <c r="F865" s="15" t="s">
        <v>4487</v>
      </c>
      <c r="I865" s="28"/>
      <c r="J865" s="30"/>
      <c r="K865" s="15">
        <f>COUNTIF(Contacts[姓名],Contacts[[#This Row],[姓名]])</f>
        <v>874</v>
      </c>
    </row>
    <row r="866" spans="1:11" x14ac:dyDescent="0.15">
      <c r="A866" s="28" t="s">
        <v>3396</v>
      </c>
      <c r="B866" s="15" t="s">
        <v>4380</v>
      </c>
      <c r="D866" s="29" t="s">
        <v>3395</v>
      </c>
      <c r="E866" s="129" t="s">
        <v>5315</v>
      </c>
      <c r="F866" s="15" t="s">
        <v>4487</v>
      </c>
      <c r="I866" s="28"/>
      <c r="J866" s="30"/>
      <c r="K866" s="15">
        <f>COUNTIF(Contacts[姓名],Contacts[[#This Row],[姓名]])</f>
        <v>874</v>
      </c>
    </row>
    <row r="867" spans="1:11" x14ac:dyDescent="0.15">
      <c r="A867" s="28" t="s">
        <v>1022</v>
      </c>
      <c r="B867" s="15" t="s">
        <v>4380</v>
      </c>
      <c r="D867" s="29" t="s">
        <v>1124</v>
      </c>
      <c r="E867" s="129" t="s">
        <v>5315</v>
      </c>
      <c r="F867" s="15" t="s">
        <v>4487</v>
      </c>
      <c r="I867" s="28"/>
      <c r="J867" s="30"/>
      <c r="K867" s="15">
        <f>COUNTIF(Contacts[姓名],Contacts[[#This Row],[姓名]])</f>
        <v>874</v>
      </c>
    </row>
    <row r="868" spans="1:11" x14ac:dyDescent="0.15">
      <c r="A868" s="28" t="s">
        <v>498</v>
      </c>
      <c r="B868" s="15" t="s">
        <v>4380</v>
      </c>
      <c r="D868" s="29" t="s">
        <v>1126</v>
      </c>
      <c r="E868" s="129" t="s">
        <v>5315</v>
      </c>
      <c r="F868" s="15" t="s">
        <v>4487</v>
      </c>
      <c r="I868" s="28"/>
      <c r="J868" s="30"/>
      <c r="K868" s="15">
        <f>COUNTIF(Contacts[姓名],Contacts[[#This Row],[姓名]])</f>
        <v>874</v>
      </c>
    </row>
    <row r="869" spans="1:11" x14ac:dyDescent="0.15">
      <c r="A869" s="28" t="s">
        <v>498</v>
      </c>
      <c r="B869" s="15" t="s">
        <v>4380</v>
      </c>
      <c r="D869" s="29" t="s">
        <v>1084</v>
      </c>
      <c r="E869" s="129" t="s">
        <v>5315</v>
      </c>
      <c r="F869" s="15" t="s">
        <v>4487</v>
      </c>
      <c r="I869" s="28"/>
      <c r="J869" s="30"/>
      <c r="K869" s="15">
        <f>COUNTIF(Contacts[姓名],Contacts[[#This Row],[姓名]])</f>
        <v>874</v>
      </c>
    </row>
    <row r="870" spans="1:11" x14ac:dyDescent="0.15">
      <c r="A870" s="28" t="s">
        <v>3390</v>
      </c>
      <c r="B870" s="15" t="s">
        <v>4380</v>
      </c>
      <c r="D870" s="29" t="s">
        <v>3389</v>
      </c>
      <c r="E870" s="129" t="s">
        <v>5315</v>
      </c>
      <c r="F870" s="15" t="s">
        <v>4487</v>
      </c>
      <c r="I870" s="28"/>
      <c r="J870" s="30"/>
      <c r="K870" s="15">
        <f>COUNTIF(Contacts[姓名],Contacts[[#This Row],[姓名]])</f>
        <v>874</v>
      </c>
    </row>
    <row r="871" spans="1:11" x14ac:dyDescent="0.15">
      <c r="A871" s="28" t="s">
        <v>1363</v>
      </c>
      <c r="B871" s="15" t="s">
        <v>4380</v>
      </c>
      <c r="D871" s="29" t="s">
        <v>1362</v>
      </c>
      <c r="E871" s="129" t="s">
        <v>5315</v>
      </c>
      <c r="F871" s="15" t="s">
        <v>4487</v>
      </c>
      <c r="I871" s="28"/>
      <c r="J871" s="30"/>
      <c r="K871" s="15">
        <f>COUNTIF(Contacts[姓名],Contacts[[#This Row],[姓名]])</f>
        <v>874</v>
      </c>
    </row>
    <row r="872" spans="1:11" x14ac:dyDescent="0.15">
      <c r="A872" s="28" t="s">
        <v>689</v>
      </c>
      <c r="B872" s="15" t="s">
        <v>4380</v>
      </c>
      <c r="D872" s="29" t="s">
        <v>1083</v>
      </c>
      <c r="E872" s="129" t="s">
        <v>5315</v>
      </c>
      <c r="F872" s="15" t="s">
        <v>4487</v>
      </c>
      <c r="I872" s="28"/>
      <c r="J872" s="30"/>
      <c r="K872" s="15">
        <f>COUNTIF(Contacts[姓名],Contacts[[#This Row],[姓名]])</f>
        <v>874</v>
      </c>
    </row>
    <row r="873" spans="1:11" x14ac:dyDescent="0.15">
      <c r="A873" s="28" t="s">
        <v>3386</v>
      </c>
      <c r="B873" s="15" t="s">
        <v>4380</v>
      </c>
      <c r="D873" s="29" t="s">
        <v>3385</v>
      </c>
      <c r="E873" s="129" t="s">
        <v>5315</v>
      </c>
      <c r="F873" s="15" t="s">
        <v>4487</v>
      </c>
      <c r="I873" s="28"/>
      <c r="J873" s="30"/>
      <c r="K873" s="15">
        <f>COUNTIF(Contacts[姓名],Contacts[[#This Row],[姓名]])</f>
        <v>874</v>
      </c>
    </row>
    <row r="874" spans="1:11" x14ac:dyDescent="0.15">
      <c r="A874" s="28" t="s">
        <v>3384</v>
      </c>
      <c r="B874" s="15" t="s">
        <v>4380</v>
      </c>
      <c r="D874" s="29" t="s">
        <v>3383</v>
      </c>
      <c r="E874" s="129" t="s">
        <v>5315</v>
      </c>
      <c r="F874" s="15" t="s">
        <v>4487</v>
      </c>
      <c r="I874" s="28"/>
      <c r="J874" s="30"/>
      <c r="K874" s="15">
        <f>COUNTIF(Contacts[姓名],Contacts[[#This Row],[姓名]])</f>
        <v>874</v>
      </c>
    </row>
    <row r="875" spans="1:11" x14ac:dyDescent="0.15">
      <c r="A875" s="28" t="s">
        <v>3382</v>
      </c>
      <c r="B875" s="15" t="s">
        <v>4380</v>
      </c>
      <c r="D875" s="29" t="s">
        <v>3381</v>
      </c>
      <c r="E875" s="129" t="s">
        <v>5315</v>
      </c>
      <c r="F875" s="15" t="s">
        <v>4487</v>
      </c>
      <c r="I875" s="28"/>
      <c r="J875" s="30"/>
      <c r="K875" s="15">
        <f>COUNTIF(Contacts[姓名],Contacts[[#This Row],[姓名]])</f>
        <v>874</v>
      </c>
    </row>
    <row r="876" spans="1:11" x14ac:dyDescent="0.15">
      <c r="A876" s="28"/>
      <c r="B876" s="15" t="s">
        <v>4380</v>
      </c>
      <c r="D876" s="29" t="s">
        <v>1133</v>
      </c>
      <c r="E876" s="129" t="s">
        <v>5315</v>
      </c>
      <c r="F876" s="15" t="s">
        <v>4487</v>
      </c>
      <c r="I876" s="28"/>
      <c r="J876" s="30"/>
      <c r="K876" s="15">
        <f>COUNTIF(Contacts[姓名],Contacts[[#This Row],[姓名]])</f>
        <v>874</v>
      </c>
    </row>
    <row r="877" spans="1:11" x14ac:dyDescent="0.15">
      <c r="A877" s="28"/>
      <c r="B877" s="15" t="s">
        <v>4380</v>
      </c>
      <c r="D877" s="29" t="s">
        <v>1132</v>
      </c>
      <c r="E877" s="129" t="s">
        <v>5315</v>
      </c>
      <c r="F877" s="15" t="s">
        <v>4487</v>
      </c>
      <c r="I877" s="28"/>
      <c r="J877" s="30"/>
      <c r="K877" s="15">
        <f>COUNTIF(Contacts[姓名],Contacts[[#This Row],[姓名]])</f>
        <v>874</v>
      </c>
    </row>
    <row r="878" spans="1:11" x14ac:dyDescent="0.15">
      <c r="A878" s="28"/>
      <c r="B878" s="15" t="s">
        <v>4380</v>
      </c>
      <c r="D878" s="29" t="s">
        <v>1131</v>
      </c>
      <c r="E878" s="129" t="s">
        <v>5315</v>
      </c>
      <c r="F878" s="15" t="s">
        <v>4487</v>
      </c>
      <c r="I878" s="28"/>
      <c r="J878" s="30"/>
      <c r="K878" s="15">
        <f>COUNTIF(Contacts[姓名],Contacts[[#This Row],[姓名]])</f>
        <v>874</v>
      </c>
    </row>
    <row r="879" spans="1:11" x14ac:dyDescent="0.15">
      <c r="A879" s="28"/>
      <c r="B879" s="15" t="s">
        <v>4380</v>
      </c>
      <c r="D879" s="29" t="s">
        <v>1128</v>
      </c>
      <c r="E879" s="129" t="s">
        <v>5315</v>
      </c>
      <c r="F879" s="15" t="s">
        <v>4487</v>
      </c>
      <c r="I879" s="28"/>
      <c r="J879" s="30"/>
      <c r="K879" s="15">
        <f>COUNTIF(Contacts[姓名],Contacts[[#This Row],[姓名]])</f>
        <v>874</v>
      </c>
    </row>
    <row r="880" spans="1:11" x14ac:dyDescent="0.15">
      <c r="A880" s="28"/>
      <c r="B880" s="15" t="s">
        <v>4380</v>
      </c>
      <c r="D880" s="29" t="s">
        <v>1554</v>
      </c>
      <c r="E880" s="129" t="s">
        <v>5315</v>
      </c>
      <c r="F880" s="15" t="s">
        <v>4487</v>
      </c>
      <c r="I880" s="28"/>
      <c r="J880" s="30"/>
      <c r="K880" s="15">
        <f>COUNTIF(Contacts[姓名],Contacts[[#This Row],[姓名]])</f>
        <v>874</v>
      </c>
    </row>
    <row r="881" spans="1:11" x14ac:dyDescent="0.15">
      <c r="A881" s="28"/>
      <c r="B881" s="15" t="s">
        <v>4380</v>
      </c>
      <c r="D881" s="29" t="s">
        <v>1103</v>
      </c>
      <c r="E881" s="129" t="s">
        <v>5315</v>
      </c>
      <c r="F881" s="15" t="s">
        <v>4487</v>
      </c>
      <c r="I881" s="28"/>
      <c r="J881" s="30"/>
      <c r="K881" s="15">
        <f>COUNTIF(Contacts[姓名],Contacts[[#This Row],[姓名]])</f>
        <v>874</v>
      </c>
    </row>
    <row r="882" spans="1:11" x14ac:dyDescent="0.15">
      <c r="A882" s="28"/>
      <c r="B882" s="15" t="s">
        <v>4380</v>
      </c>
      <c r="D882" s="29" t="s">
        <v>1100</v>
      </c>
      <c r="E882" s="129" t="s">
        <v>5315</v>
      </c>
      <c r="F882" s="15" t="s">
        <v>4487</v>
      </c>
      <c r="I882" s="28"/>
      <c r="J882" s="30"/>
      <c r="K882" s="15">
        <f>COUNTIF(Contacts[姓名],Contacts[[#This Row],[姓名]])</f>
        <v>874</v>
      </c>
    </row>
    <row r="883" spans="1:11" x14ac:dyDescent="0.15">
      <c r="A883" s="28"/>
      <c r="B883" s="15" t="s">
        <v>4380</v>
      </c>
      <c r="D883" s="29" t="s">
        <v>1090</v>
      </c>
      <c r="E883" s="129" t="s">
        <v>5315</v>
      </c>
      <c r="F883" s="15" t="s">
        <v>4487</v>
      </c>
      <c r="I883" s="28"/>
      <c r="J883" s="30"/>
      <c r="K883" s="15">
        <f>COUNTIF(Contacts[姓名],Contacts[[#This Row],[姓名]])</f>
        <v>874</v>
      </c>
    </row>
    <row r="884" spans="1:11" x14ac:dyDescent="0.15">
      <c r="A884" s="28"/>
      <c r="B884" s="15" t="s">
        <v>4380</v>
      </c>
      <c r="D884" s="29" t="s">
        <v>1089</v>
      </c>
      <c r="E884" s="129" t="s">
        <v>5315</v>
      </c>
      <c r="F884" s="15" t="s">
        <v>4487</v>
      </c>
      <c r="I884" s="28"/>
      <c r="J884" s="30"/>
      <c r="K884" s="15">
        <f>COUNTIF(Contacts[姓名],Contacts[[#This Row],[姓名]])</f>
        <v>874</v>
      </c>
    </row>
    <row r="885" spans="1:11" x14ac:dyDescent="0.15">
      <c r="A885" s="28"/>
      <c r="B885" s="15" t="s">
        <v>4380</v>
      </c>
      <c r="D885" s="29" t="s">
        <v>1086</v>
      </c>
      <c r="E885" s="129" t="s">
        <v>5315</v>
      </c>
      <c r="F885" s="15" t="s">
        <v>4487</v>
      </c>
      <c r="I885" s="28"/>
      <c r="J885" s="30"/>
      <c r="K885" s="15">
        <f>COUNTIF(Contacts[姓名],Contacts[[#This Row],[姓名]])</f>
        <v>874</v>
      </c>
    </row>
    <row r="886" spans="1:11" x14ac:dyDescent="0.15">
      <c r="A886" s="28"/>
      <c r="B886" s="15" t="s">
        <v>4380</v>
      </c>
      <c r="D886" s="29" t="s">
        <v>1085</v>
      </c>
      <c r="E886" s="129" t="s">
        <v>5315</v>
      </c>
      <c r="F886" s="15" t="s">
        <v>4487</v>
      </c>
      <c r="I886" s="28"/>
      <c r="J886" s="30"/>
      <c r="K886" s="15">
        <f>COUNTIF(Contacts[姓名],Contacts[[#This Row],[姓名]])</f>
        <v>874</v>
      </c>
    </row>
    <row r="887" spans="1:11" x14ac:dyDescent="0.15">
      <c r="A887" s="28"/>
      <c r="B887" s="15" t="s">
        <v>4380</v>
      </c>
      <c r="D887" s="29" t="s">
        <v>1081</v>
      </c>
      <c r="E887" s="129" t="s">
        <v>5315</v>
      </c>
      <c r="F887" s="15" t="s">
        <v>4487</v>
      </c>
      <c r="I887" s="28"/>
      <c r="J887" s="30"/>
      <c r="K887" s="15">
        <f>COUNTIF(Contacts[姓名],Contacts[[#This Row],[姓名]])</f>
        <v>874</v>
      </c>
    </row>
    <row r="888" spans="1:11" x14ac:dyDescent="0.15">
      <c r="A888" s="28" t="s">
        <v>846</v>
      </c>
      <c r="B888" s="15" t="s">
        <v>4380</v>
      </c>
      <c r="D888" s="29" t="s">
        <v>1005</v>
      </c>
      <c r="E888" s="129" t="s">
        <v>5315</v>
      </c>
      <c r="F888" s="15" t="s">
        <v>4487</v>
      </c>
      <c r="I888" s="28"/>
      <c r="J888" s="30"/>
      <c r="K888" s="15">
        <f>COUNTIF(Contacts[姓名],Contacts[[#This Row],[姓名]])</f>
        <v>874</v>
      </c>
    </row>
    <row r="889" spans="1:11" x14ac:dyDescent="0.15">
      <c r="A889" s="28" t="s">
        <v>800</v>
      </c>
      <c r="B889" s="15" t="s">
        <v>4380</v>
      </c>
      <c r="D889" s="29" t="s">
        <v>1056</v>
      </c>
      <c r="E889" s="129" t="s">
        <v>5315</v>
      </c>
      <c r="F889" s="15" t="s">
        <v>4487</v>
      </c>
      <c r="I889" s="28"/>
      <c r="J889" s="30"/>
      <c r="K889" s="15">
        <f>COUNTIF(Contacts[姓名],Contacts[[#This Row],[姓名]])</f>
        <v>874</v>
      </c>
    </row>
    <row r="890" spans="1:11" x14ac:dyDescent="0.15">
      <c r="A890" s="28" t="s">
        <v>800</v>
      </c>
      <c r="B890" s="15" t="s">
        <v>4380</v>
      </c>
      <c r="D890" s="29" t="s">
        <v>925</v>
      </c>
      <c r="E890" s="129" t="s">
        <v>5315</v>
      </c>
      <c r="F890" s="15" t="s">
        <v>4487</v>
      </c>
      <c r="I890" s="28"/>
      <c r="J890" s="30"/>
      <c r="K890" s="15">
        <f>COUNTIF(Contacts[姓名],Contacts[[#This Row],[姓名]])</f>
        <v>874</v>
      </c>
    </row>
    <row r="891" spans="1:11" x14ac:dyDescent="0.15">
      <c r="A891" s="28" t="s">
        <v>551</v>
      </c>
      <c r="B891" s="15" t="s">
        <v>4380</v>
      </c>
      <c r="D891" s="29" t="s">
        <v>1067</v>
      </c>
      <c r="E891" s="129" t="s">
        <v>5315</v>
      </c>
      <c r="F891" s="15" t="s">
        <v>4487</v>
      </c>
      <c r="I891" s="28"/>
      <c r="J891" s="30"/>
      <c r="K891" s="15">
        <f>COUNTIF(Contacts[姓名],Contacts[[#This Row],[姓名]])</f>
        <v>874</v>
      </c>
    </row>
    <row r="892" spans="1:11" x14ac:dyDescent="0.15">
      <c r="A892" s="28" t="s">
        <v>3372</v>
      </c>
      <c r="B892" s="15" t="s">
        <v>4380</v>
      </c>
      <c r="D892" s="29" t="s">
        <v>3371</v>
      </c>
      <c r="E892" s="129" t="s">
        <v>5315</v>
      </c>
      <c r="F892" s="15" t="s">
        <v>4487</v>
      </c>
      <c r="I892" s="28"/>
      <c r="J892" s="30"/>
      <c r="K892" s="15">
        <f>COUNTIF(Contacts[姓名],Contacts[[#This Row],[姓名]])</f>
        <v>874</v>
      </c>
    </row>
    <row r="893" spans="1:11" x14ac:dyDescent="0.15">
      <c r="A893" s="28" t="s">
        <v>3370</v>
      </c>
      <c r="B893" s="15" t="s">
        <v>4380</v>
      </c>
      <c r="D893" s="29" t="s">
        <v>3369</v>
      </c>
      <c r="E893" s="129" t="s">
        <v>5315</v>
      </c>
      <c r="F893" s="15" t="s">
        <v>4487</v>
      </c>
      <c r="I893" s="28"/>
      <c r="J893" s="30"/>
      <c r="K893" s="15">
        <f>COUNTIF(Contacts[姓名],Contacts[[#This Row],[姓名]])</f>
        <v>874</v>
      </c>
    </row>
    <row r="894" spans="1:11" x14ac:dyDescent="0.15">
      <c r="A894" s="28" t="s">
        <v>3345</v>
      </c>
      <c r="B894" s="15" t="s">
        <v>4380</v>
      </c>
      <c r="D894" s="29" t="s">
        <v>3344</v>
      </c>
      <c r="E894" s="129" t="s">
        <v>5315</v>
      </c>
      <c r="F894" s="15" t="s">
        <v>4487</v>
      </c>
      <c r="I894" s="28"/>
      <c r="J894" s="30"/>
      <c r="K894" s="15">
        <f>COUNTIF(Contacts[姓名],Contacts[[#This Row],[姓名]])</f>
        <v>874</v>
      </c>
    </row>
    <row r="895" spans="1:11" x14ac:dyDescent="0.15">
      <c r="A895" s="28" t="s">
        <v>1004</v>
      </c>
      <c r="B895" s="15" t="s">
        <v>4380</v>
      </c>
      <c r="D895" s="29" t="s">
        <v>2650</v>
      </c>
      <c r="E895" s="129" t="s">
        <v>5315</v>
      </c>
      <c r="F895" s="15" t="s">
        <v>4487</v>
      </c>
      <c r="I895" s="28"/>
      <c r="J895" s="30"/>
      <c r="K895" s="15">
        <f>COUNTIF(Contacts[姓名],Contacts[[#This Row],[姓名]])</f>
        <v>874</v>
      </c>
    </row>
    <row r="896" spans="1:11" x14ac:dyDescent="0.15">
      <c r="A896" s="28" t="s">
        <v>816</v>
      </c>
      <c r="B896" s="15" t="s">
        <v>4380</v>
      </c>
      <c r="D896" s="29" t="s">
        <v>1003</v>
      </c>
      <c r="E896" s="129" t="s">
        <v>5315</v>
      </c>
      <c r="F896" s="15" t="s">
        <v>4487</v>
      </c>
      <c r="I896" s="28"/>
      <c r="J896" s="30"/>
      <c r="K896" s="15">
        <f>COUNTIF(Contacts[姓名],Contacts[[#This Row],[姓名]])</f>
        <v>874</v>
      </c>
    </row>
    <row r="897" spans="1:11" x14ac:dyDescent="0.15">
      <c r="A897" s="28" t="s">
        <v>816</v>
      </c>
      <c r="B897" s="15" t="s">
        <v>4380</v>
      </c>
      <c r="D897" s="29" t="s">
        <v>2648</v>
      </c>
      <c r="E897" s="129" t="s">
        <v>5315</v>
      </c>
      <c r="F897" s="15" t="s">
        <v>4487</v>
      </c>
      <c r="I897" s="28"/>
      <c r="J897" s="30"/>
      <c r="K897" s="15">
        <f>COUNTIF(Contacts[姓名],Contacts[[#This Row],[姓名]])</f>
        <v>874</v>
      </c>
    </row>
    <row r="898" spans="1:11" x14ac:dyDescent="0.15">
      <c r="A898" s="28" t="s">
        <v>1050</v>
      </c>
      <c r="B898" s="15" t="s">
        <v>4380</v>
      </c>
      <c r="D898" s="29" t="s">
        <v>1049</v>
      </c>
      <c r="E898" s="129" t="s">
        <v>5315</v>
      </c>
      <c r="F898" s="15" t="s">
        <v>4487</v>
      </c>
      <c r="I898" s="28"/>
      <c r="J898" s="30"/>
      <c r="K898" s="15">
        <f>COUNTIF(Contacts[姓名],Contacts[[#This Row],[姓名]])</f>
        <v>874</v>
      </c>
    </row>
    <row r="899" spans="1:11" x14ac:dyDescent="0.15">
      <c r="A899" s="28" t="s">
        <v>547</v>
      </c>
      <c r="B899" s="15" t="s">
        <v>4380</v>
      </c>
      <c r="D899" s="29" t="s">
        <v>1002</v>
      </c>
      <c r="E899" s="129" t="s">
        <v>5315</v>
      </c>
      <c r="F899" s="15" t="s">
        <v>4487</v>
      </c>
      <c r="I899" s="28"/>
      <c r="J899" s="30"/>
      <c r="K899" s="15">
        <f>COUNTIF(Contacts[姓名],Contacts[[#This Row],[姓名]])</f>
        <v>874</v>
      </c>
    </row>
    <row r="900" spans="1:11" x14ac:dyDescent="0.15">
      <c r="A900" s="28" t="s">
        <v>1001</v>
      </c>
      <c r="B900" s="15" t="s">
        <v>4380</v>
      </c>
      <c r="D900" s="29" t="s">
        <v>2618</v>
      </c>
      <c r="E900" s="129" t="s">
        <v>5315</v>
      </c>
      <c r="F900" s="15" t="s">
        <v>4487</v>
      </c>
      <c r="I900" s="28"/>
      <c r="J900" s="30"/>
      <c r="K900" s="15">
        <f>COUNTIF(Contacts[姓名],Contacts[[#This Row],[姓名]])</f>
        <v>874</v>
      </c>
    </row>
    <row r="901" spans="1:11" x14ac:dyDescent="0.15">
      <c r="A901" s="28" t="s">
        <v>3368</v>
      </c>
      <c r="B901" s="15" t="s">
        <v>4380</v>
      </c>
      <c r="D901" s="29" t="s">
        <v>3367</v>
      </c>
      <c r="E901" s="129" t="s">
        <v>5315</v>
      </c>
      <c r="F901" s="15" t="s">
        <v>4487</v>
      </c>
      <c r="I901" s="28"/>
      <c r="J901" s="30"/>
      <c r="K901" s="15">
        <f>COUNTIF(Contacts[姓名],Contacts[[#This Row],[姓名]])</f>
        <v>874</v>
      </c>
    </row>
    <row r="902" spans="1:11" x14ac:dyDescent="0.15">
      <c r="A902" s="28" t="s">
        <v>3341</v>
      </c>
      <c r="B902" s="15" t="s">
        <v>4380</v>
      </c>
      <c r="D902" s="29" t="s">
        <v>3340</v>
      </c>
      <c r="E902" s="129" t="s">
        <v>5315</v>
      </c>
      <c r="F902" s="15" t="s">
        <v>4487</v>
      </c>
      <c r="I902" s="28"/>
      <c r="J902" s="30"/>
      <c r="K902" s="15">
        <f>COUNTIF(Contacts[姓名],Contacts[[#This Row],[姓名]])</f>
        <v>874</v>
      </c>
    </row>
    <row r="903" spans="1:11" x14ac:dyDescent="0.15">
      <c r="A903" s="28" t="s">
        <v>1076</v>
      </c>
      <c r="B903" s="15" t="s">
        <v>4380</v>
      </c>
      <c r="D903" s="29" t="s">
        <v>1075</v>
      </c>
      <c r="E903" s="129" t="s">
        <v>5315</v>
      </c>
      <c r="F903" s="15" t="s">
        <v>4487</v>
      </c>
      <c r="I903" s="28"/>
      <c r="J903" s="30"/>
      <c r="K903" s="15">
        <f>COUNTIF(Contacts[姓名],Contacts[[#This Row],[姓名]])</f>
        <v>874</v>
      </c>
    </row>
    <row r="904" spans="1:11" x14ac:dyDescent="0.15">
      <c r="A904" s="28" t="s">
        <v>998</v>
      </c>
      <c r="B904" s="15" t="s">
        <v>4380</v>
      </c>
      <c r="D904" s="29" t="s">
        <v>1047</v>
      </c>
      <c r="E904" s="129" t="s">
        <v>5315</v>
      </c>
      <c r="F904" s="15" t="s">
        <v>4487</v>
      </c>
      <c r="I904" s="28"/>
      <c r="J904" s="30"/>
      <c r="K904" s="15">
        <f>COUNTIF(Contacts[姓名],Contacts[[#This Row],[姓名]])</f>
        <v>874</v>
      </c>
    </row>
    <row r="905" spans="1:11" x14ac:dyDescent="0.15">
      <c r="A905" s="28" t="s">
        <v>998</v>
      </c>
      <c r="B905" s="15" t="s">
        <v>4380</v>
      </c>
      <c r="D905" s="29" t="s">
        <v>999</v>
      </c>
      <c r="E905" s="129" t="s">
        <v>5315</v>
      </c>
      <c r="F905" s="15" t="s">
        <v>4487</v>
      </c>
      <c r="I905" s="28"/>
      <c r="J905" s="30"/>
      <c r="K905" s="15">
        <f>COUNTIF(Contacts[姓名],Contacts[[#This Row],[姓名]])</f>
        <v>874</v>
      </c>
    </row>
    <row r="906" spans="1:11" x14ac:dyDescent="0.15">
      <c r="A906" s="28" t="s">
        <v>998</v>
      </c>
      <c r="B906" s="15" t="s">
        <v>4380</v>
      </c>
      <c r="D906" s="29" t="s">
        <v>997</v>
      </c>
      <c r="E906" s="129" t="s">
        <v>5315</v>
      </c>
      <c r="F906" s="15" t="s">
        <v>4487</v>
      </c>
      <c r="I906" s="28"/>
      <c r="J906" s="30"/>
      <c r="K906" s="15">
        <f>COUNTIF(Contacts[姓名],Contacts[[#This Row],[姓名]])</f>
        <v>874</v>
      </c>
    </row>
    <row r="907" spans="1:11" x14ac:dyDescent="0.15">
      <c r="A907" s="28" t="s">
        <v>1046</v>
      </c>
      <c r="B907" s="15" t="s">
        <v>4380</v>
      </c>
      <c r="D907" s="29" t="s">
        <v>1045</v>
      </c>
      <c r="E907" s="129" t="s">
        <v>5315</v>
      </c>
      <c r="F907" s="15" t="s">
        <v>4487</v>
      </c>
      <c r="I907" s="28"/>
      <c r="J907" s="30"/>
      <c r="K907" s="15">
        <f>COUNTIF(Contacts[姓名],Contacts[[#This Row],[姓名]])</f>
        <v>874</v>
      </c>
    </row>
    <row r="908" spans="1:11" x14ac:dyDescent="0.15">
      <c r="A908" s="28" t="s">
        <v>500</v>
      </c>
      <c r="B908" s="15" t="s">
        <v>4380</v>
      </c>
      <c r="D908" s="29" t="s">
        <v>927</v>
      </c>
      <c r="E908" s="129" t="s">
        <v>5315</v>
      </c>
      <c r="F908" s="15" t="s">
        <v>4487</v>
      </c>
      <c r="I908" s="28"/>
      <c r="J908" s="30"/>
      <c r="K908" s="15">
        <f>COUNTIF(Contacts[姓名],Contacts[[#This Row],[姓名]])</f>
        <v>874</v>
      </c>
    </row>
    <row r="909" spans="1:11" x14ac:dyDescent="0.15">
      <c r="A909" s="28" t="s">
        <v>500</v>
      </c>
      <c r="B909" s="15" t="s">
        <v>4380</v>
      </c>
      <c r="D909" s="29" t="s">
        <v>927</v>
      </c>
      <c r="E909" s="129" t="s">
        <v>5315</v>
      </c>
      <c r="F909" s="15" t="s">
        <v>4487</v>
      </c>
      <c r="I909" s="28"/>
      <c r="J909" s="30"/>
      <c r="K909" s="15">
        <f>COUNTIF(Contacts[姓名],Contacts[[#This Row],[姓名]])</f>
        <v>874</v>
      </c>
    </row>
    <row r="910" spans="1:11" x14ac:dyDescent="0.15">
      <c r="A910" s="28" t="s">
        <v>1044</v>
      </c>
      <c r="B910" s="15" t="s">
        <v>4380</v>
      </c>
      <c r="D910" s="29" t="s">
        <v>1043</v>
      </c>
      <c r="E910" s="129" t="s">
        <v>5315</v>
      </c>
      <c r="F910" s="15" t="s">
        <v>4487</v>
      </c>
      <c r="I910" s="28"/>
      <c r="J910" s="30"/>
      <c r="K910" s="15">
        <f>COUNTIF(Contacts[姓名],Contacts[[#This Row],[姓名]])</f>
        <v>874</v>
      </c>
    </row>
    <row r="911" spans="1:11" x14ac:dyDescent="0.15">
      <c r="A911" s="28" t="s">
        <v>765</v>
      </c>
      <c r="B911" s="15" t="s">
        <v>4380</v>
      </c>
      <c r="D911" s="29" t="s">
        <v>764</v>
      </c>
      <c r="E911" s="129" t="s">
        <v>5315</v>
      </c>
      <c r="F911" s="15" t="s">
        <v>4487</v>
      </c>
      <c r="I911" s="28"/>
      <c r="J911" s="30"/>
      <c r="K911" s="15">
        <f>COUNTIF(Contacts[姓名],Contacts[[#This Row],[姓名]])</f>
        <v>874</v>
      </c>
    </row>
    <row r="912" spans="1:11" x14ac:dyDescent="0.15">
      <c r="A912" s="28" t="s">
        <v>3366</v>
      </c>
      <c r="B912" s="15" t="s">
        <v>4380</v>
      </c>
      <c r="D912" s="29" t="s">
        <v>3365</v>
      </c>
      <c r="E912" s="129" t="s">
        <v>5315</v>
      </c>
      <c r="F912" s="15" t="s">
        <v>4487</v>
      </c>
      <c r="I912" s="28"/>
      <c r="J912" s="30"/>
      <c r="K912" s="15">
        <f>COUNTIF(Contacts[姓名],Contacts[[#This Row],[姓名]])</f>
        <v>874</v>
      </c>
    </row>
    <row r="913" spans="1:11" x14ac:dyDescent="0.15">
      <c r="A913" s="28" t="s">
        <v>996</v>
      </c>
      <c r="B913" s="15" t="s">
        <v>4380</v>
      </c>
      <c r="D913" s="29" t="s">
        <v>2672</v>
      </c>
      <c r="E913" s="129" t="s">
        <v>5315</v>
      </c>
      <c r="F913" s="15" t="s">
        <v>4487</v>
      </c>
      <c r="I913" s="28"/>
      <c r="J913" s="30"/>
      <c r="K913" s="15">
        <f>COUNTIF(Contacts[姓名],Contacts[[#This Row],[姓名]])</f>
        <v>874</v>
      </c>
    </row>
    <row r="914" spans="1:11" x14ac:dyDescent="0.15">
      <c r="A914" s="28" t="s">
        <v>3364</v>
      </c>
      <c r="B914" s="15" t="s">
        <v>4380</v>
      </c>
      <c r="D914" s="29" t="s">
        <v>3363</v>
      </c>
      <c r="E914" s="129" t="s">
        <v>5315</v>
      </c>
      <c r="F914" s="15" t="s">
        <v>4487</v>
      </c>
      <c r="I914" s="28"/>
      <c r="J914" s="30"/>
      <c r="K914" s="15">
        <f>COUNTIF(Contacts[姓名],Contacts[[#This Row],[姓名]])</f>
        <v>874</v>
      </c>
    </row>
    <row r="915" spans="1:11" x14ac:dyDescent="0.15">
      <c r="A915" s="28" t="s">
        <v>937</v>
      </c>
      <c r="B915" s="15" t="s">
        <v>4380</v>
      </c>
      <c r="D915" s="29" t="s">
        <v>936</v>
      </c>
      <c r="E915" s="129" t="s">
        <v>5315</v>
      </c>
      <c r="F915" s="15" t="s">
        <v>4487</v>
      </c>
      <c r="I915" s="28"/>
      <c r="J915" s="30"/>
      <c r="K915" s="15">
        <f>COUNTIF(Contacts[姓名],Contacts[[#This Row],[姓名]])</f>
        <v>874</v>
      </c>
    </row>
    <row r="916" spans="1:11" x14ac:dyDescent="0.15">
      <c r="A916" s="28" t="s">
        <v>809</v>
      </c>
      <c r="B916" s="15" t="s">
        <v>4380</v>
      </c>
      <c r="D916" s="29" t="s">
        <v>2711</v>
      </c>
      <c r="E916" s="129" t="s">
        <v>5315</v>
      </c>
      <c r="F916" s="15" t="s">
        <v>4487</v>
      </c>
      <c r="I916" s="28"/>
      <c r="J916" s="30"/>
      <c r="K916" s="15">
        <f>COUNTIF(Contacts[姓名],Contacts[[#This Row],[姓名]])</f>
        <v>874</v>
      </c>
    </row>
    <row r="917" spans="1:11" x14ac:dyDescent="0.15">
      <c r="A917" s="28" t="s">
        <v>1041</v>
      </c>
      <c r="B917" s="15" t="s">
        <v>4380</v>
      </c>
      <c r="D917" s="29" t="s">
        <v>1040</v>
      </c>
      <c r="E917" s="129" t="s">
        <v>5315</v>
      </c>
      <c r="F917" s="15" t="s">
        <v>4487</v>
      </c>
      <c r="I917" s="28"/>
      <c r="J917" s="30"/>
      <c r="K917" s="15">
        <f>COUNTIF(Contacts[姓名],Contacts[[#This Row],[姓名]])</f>
        <v>874</v>
      </c>
    </row>
    <row r="918" spans="1:11" x14ac:dyDescent="0.15">
      <c r="A918" s="28" t="s">
        <v>599</v>
      </c>
      <c r="B918" s="15" t="s">
        <v>4380</v>
      </c>
      <c r="D918" s="29" t="s">
        <v>994</v>
      </c>
      <c r="E918" s="129" t="s">
        <v>5315</v>
      </c>
      <c r="F918" s="15" t="s">
        <v>4487</v>
      </c>
      <c r="I918" s="28"/>
      <c r="J918" s="30"/>
      <c r="K918" s="15">
        <f>COUNTIF(Contacts[姓名],Contacts[[#This Row],[姓名]])</f>
        <v>874</v>
      </c>
    </row>
    <row r="919" spans="1:11" x14ac:dyDescent="0.15">
      <c r="A919" s="28" t="s">
        <v>640</v>
      </c>
      <c r="B919" s="15" t="s">
        <v>4380</v>
      </c>
      <c r="D919" s="29" t="s">
        <v>993</v>
      </c>
      <c r="E919" s="129" t="s">
        <v>5315</v>
      </c>
      <c r="F919" s="15" t="s">
        <v>4487</v>
      </c>
      <c r="I919" s="28"/>
      <c r="J919" s="30"/>
      <c r="K919" s="15">
        <f>COUNTIF(Contacts[姓名],Contacts[[#This Row],[姓名]])</f>
        <v>874</v>
      </c>
    </row>
    <row r="920" spans="1:11" x14ac:dyDescent="0.15">
      <c r="A920" s="28" t="s">
        <v>3339</v>
      </c>
      <c r="B920" s="15" t="s">
        <v>4380</v>
      </c>
      <c r="D920" s="29" t="s">
        <v>3338</v>
      </c>
      <c r="E920" s="129" t="s">
        <v>5315</v>
      </c>
      <c r="F920" s="15" t="s">
        <v>4487</v>
      </c>
      <c r="I920" s="28"/>
      <c r="J920" s="30"/>
      <c r="K920" s="15">
        <f>COUNTIF(Contacts[姓名],Contacts[[#This Row],[姓名]])</f>
        <v>874</v>
      </c>
    </row>
    <row r="921" spans="1:11" x14ac:dyDescent="0.15">
      <c r="A921" s="28" t="s">
        <v>903</v>
      </c>
      <c r="B921" s="15" t="s">
        <v>4380</v>
      </c>
      <c r="D921" s="29" t="s">
        <v>1034</v>
      </c>
      <c r="E921" s="129" t="s">
        <v>5315</v>
      </c>
      <c r="F921" s="15" t="s">
        <v>4487</v>
      </c>
      <c r="I921" s="28"/>
      <c r="J921" s="30"/>
      <c r="K921" s="15">
        <f>COUNTIF(Contacts[姓名],Contacts[[#This Row],[姓名]])</f>
        <v>874</v>
      </c>
    </row>
    <row r="922" spans="1:11" x14ac:dyDescent="0.15">
      <c r="A922" s="28" t="s">
        <v>499</v>
      </c>
      <c r="B922" s="15" t="s">
        <v>4380</v>
      </c>
      <c r="D922" s="29" t="s">
        <v>1032</v>
      </c>
      <c r="E922" s="129" t="s">
        <v>5315</v>
      </c>
      <c r="F922" s="15" t="s">
        <v>4487</v>
      </c>
      <c r="I922" s="28"/>
      <c r="J922" s="30"/>
      <c r="K922" s="15">
        <f>COUNTIF(Contacts[姓名],Contacts[[#This Row],[姓名]])</f>
        <v>874</v>
      </c>
    </row>
    <row r="923" spans="1:11" x14ac:dyDescent="0.15">
      <c r="A923" s="28" t="s">
        <v>939</v>
      </c>
      <c r="B923" s="15" t="s">
        <v>4380</v>
      </c>
      <c r="D923" s="29" t="s">
        <v>938</v>
      </c>
      <c r="E923" s="129" t="s">
        <v>5315</v>
      </c>
      <c r="F923" s="15" t="s">
        <v>4487</v>
      </c>
      <c r="I923" s="28"/>
      <c r="J923" s="30"/>
      <c r="K923" s="15">
        <f>COUNTIF(Contacts[姓名],Contacts[[#This Row],[姓名]])</f>
        <v>874</v>
      </c>
    </row>
    <row r="924" spans="1:11" x14ac:dyDescent="0.15">
      <c r="A924" s="28" t="s">
        <v>1031</v>
      </c>
      <c r="B924" s="15" t="s">
        <v>4380</v>
      </c>
      <c r="D924" s="29" t="s">
        <v>1030</v>
      </c>
      <c r="E924" s="129" t="s">
        <v>5315</v>
      </c>
      <c r="F924" s="15" t="s">
        <v>4487</v>
      </c>
      <c r="I924" s="28"/>
      <c r="J924" s="30"/>
      <c r="K924" s="15">
        <f>COUNTIF(Contacts[姓名],Contacts[[#This Row],[姓名]])</f>
        <v>874</v>
      </c>
    </row>
    <row r="925" spans="1:11" x14ac:dyDescent="0.15">
      <c r="A925" s="28" t="s">
        <v>803</v>
      </c>
      <c r="B925" s="15" t="s">
        <v>4380</v>
      </c>
      <c r="D925" s="29" t="s">
        <v>802</v>
      </c>
      <c r="E925" s="129" t="s">
        <v>5315</v>
      </c>
      <c r="F925" s="15" t="s">
        <v>4487</v>
      </c>
      <c r="I925" s="28"/>
      <c r="J925" s="30"/>
      <c r="K925" s="15">
        <f>COUNTIF(Contacts[姓名],Contacts[[#This Row],[姓名]])</f>
        <v>874</v>
      </c>
    </row>
    <row r="926" spans="1:11" x14ac:dyDescent="0.15">
      <c r="A926" s="28" t="s">
        <v>3361</v>
      </c>
      <c r="B926" s="15" t="s">
        <v>4380</v>
      </c>
      <c r="D926" s="29" t="s">
        <v>3360</v>
      </c>
      <c r="E926" s="129" t="s">
        <v>5315</v>
      </c>
      <c r="F926" s="15" t="s">
        <v>4487</v>
      </c>
      <c r="I926" s="28"/>
      <c r="J926" s="30"/>
      <c r="K926" s="15">
        <f>COUNTIF(Contacts[姓名],Contacts[[#This Row],[姓名]])</f>
        <v>874</v>
      </c>
    </row>
    <row r="927" spans="1:11" x14ac:dyDescent="0.15">
      <c r="A927" s="28" t="s">
        <v>902</v>
      </c>
      <c r="B927" s="15" t="s">
        <v>4380</v>
      </c>
      <c r="D927" s="29" t="s">
        <v>1028</v>
      </c>
      <c r="E927" s="129" t="s">
        <v>5315</v>
      </c>
      <c r="F927" s="15" t="s">
        <v>4487</v>
      </c>
      <c r="I927" s="28"/>
      <c r="J927" s="30"/>
      <c r="K927" s="15">
        <f>COUNTIF(Contacts[姓名],Contacts[[#This Row],[姓名]])</f>
        <v>874</v>
      </c>
    </row>
    <row r="928" spans="1:11" x14ac:dyDescent="0.15">
      <c r="A928" s="28" t="s">
        <v>902</v>
      </c>
      <c r="B928" s="15" t="s">
        <v>4380</v>
      </c>
      <c r="D928" s="29" t="s">
        <v>1027</v>
      </c>
      <c r="E928" s="129" t="s">
        <v>5315</v>
      </c>
      <c r="F928" s="15" t="s">
        <v>4487</v>
      </c>
      <c r="I928" s="28"/>
      <c r="J928" s="30"/>
      <c r="K928" s="15">
        <f>COUNTIF(Contacts[姓名],Contacts[[#This Row],[姓名]])</f>
        <v>874</v>
      </c>
    </row>
    <row r="929" spans="1:11" x14ac:dyDescent="0.15">
      <c r="A929" s="28" t="s">
        <v>902</v>
      </c>
      <c r="B929" s="15" t="s">
        <v>4380</v>
      </c>
      <c r="D929" s="29" t="s">
        <v>944</v>
      </c>
      <c r="E929" s="129" t="s">
        <v>5315</v>
      </c>
      <c r="F929" s="15" t="s">
        <v>4487</v>
      </c>
      <c r="I929" s="28"/>
      <c r="J929" s="30"/>
      <c r="K929" s="15">
        <f>COUNTIF(Contacts[姓名],Contacts[[#This Row],[姓名]])</f>
        <v>874</v>
      </c>
    </row>
    <row r="930" spans="1:11" x14ac:dyDescent="0.15">
      <c r="A930" s="28" t="s">
        <v>548</v>
      </c>
      <c r="B930" s="15" t="s">
        <v>4380</v>
      </c>
      <c r="D930" s="29" t="s">
        <v>992</v>
      </c>
      <c r="E930" s="129" t="s">
        <v>5315</v>
      </c>
      <c r="F930" s="15" t="s">
        <v>4487</v>
      </c>
      <c r="I930" s="28"/>
      <c r="J930" s="30"/>
      <c r="K930" s="15">
        <f>COUNTIF(Contacts[姓名],Contacts[[#This Row],[姓名]])</f>
        <v>874</v>
      </c>
    </row>
    <row r="931" spans="1:11" x14ac:dyDescent="0.15">
      <c r="A931" s="28" t="s">
        <v>1029</v>
      </c>
      <c r="B931" s="15" t="s">
        <v>4380</v>
      </c>
      <c r="D931" s="29" t="s">
        <v>2674</v>
      </c>
      <c r="E931" s="129" t="s">
        <v>5315</v>
      </c>
      <c r="F931" s="15" t="s">
        <v>4487</v>
      </c>
      <c r="I931" s="28"/>
      <c r="J931" s="30"/>
      <c r="K931" s="15">
        <f>COUNTIF(Contacts[姓名],Contacts[[#This Row],[姓名]])</f>
        <v>874</v>
      </c>
    </row>
    <row r="932" spans="1:11" x14ac:dyDescent="0.15">
      <c r="A932" s="28" t="s">
        <v>3359</v>
      </c>
      <c r="B932" s="15" t="s">
        <v>4380</v>
      </c>
      <c r="D932" s="29" t="s">
        <v>3358</v>
      </c>
      <c r="E932" s="129" t="s">
        <v>5315</v>
      </c>
      <c r="F932" s="15" t="s">
        <v>4487</v>
      </c>
      <c r="I932" s="28"/>
      <c r="J932" s="30"/>
      <c r="K932" s="15">
        <f>COUNTIF(Contacts[姓名],Contacts[[#This Row],[姓名]])</f>
        <v>874</v>
      </c>
    </row>
    <row r="933" spans="1:11" x14ac:dyDescent="0.15">
      <c r="A933" s="28" t="s">
        <v>494</v>
      </c>
      <c r="B933" s="15" t="s">
        <v>4380</v>
      </c>
      <c r="D933" s="29" t="s">
        <v>1518</v>
      </c>
      <c r="E933" s="129" t="s">
        <v>5315</v>
      </c>
      <c r="F933" s="15" t="s">
        <v>4487</v>
      </c>
      <c r="I933" s="28"/>
      <c r="J933" s="30"/>
      <c r="K933" s="15">
        <f>COUNTIF(Contacts[姓名],Contacts[[#This Row],[姓名]])</f>
        <v>874</v>
      </c>
    </row>
    <row r="934" spans="1:11" x14ac:dyDescent="0.15">
      <c r="A934" s="28" t="s">
        <v>494</v>
      </c>
      <c r="B934" s="15" t="s">
        <v>4380</v>
      </c>
      <c r="D934" s="29" t="s">
        <v>957</v>
      </c>
      <c r="E934" s="129" t="s">
        <v>5315</v>
      </c>
      <c r="F934" s="15" t="s">
        <v>4487</v>
      </c>
      <c r="I934" s="28"/>
      <c r="J934" s="30"/>
      <c r="K934" s="15">
        <f>COUNTIF(Contacts[姓名],Contacts[[#This Row],[姓名]])</f>
        <v>874</v>
      </c>
    </row>
    <row r="935" spans="1:11" x14ac:dyDescent="0.15">
      <c r="A935" s="28" t="s">
        <v>3349</v>
      </c>
      <c r="B935" s="15" t="s">
        <v>4380</v>
      </c>
      <c r="D935" s="29" t="s">
        <v>3348</v>
      </c>
      <c r="E935" s="129" t="s">
        <v>5315</v>
      </c>
      <c r="F935" s="15" t="s">
        <v>4487</v>
      </c>
      <c r="I935" s="28"/>
      <c r="J935" s="30"/>
      <c r="K935" s="15">
        <f>COUNTIF(Contacts[姓名],Contacts[[#This Row],[姓名]])</f>
        <v>874</v>
      </c>
    </row>
    <row r="936" spans="1:11" x14ac:dyDescent="0.15">
      <c r="A936" s="28" t="s">
        <v>1026</v>
      </c>
      <c r="B936" s="15" t="s">
        <v>4380</v>
      </c>
      <c r="D936" s="29" t="s">
        <v>1025</v>
      </c>
      <c r="E936" s="129" t="s">
        <v>5315</v>
      </c>
      <c r="F936" s="15" t="s">
        <v>4487</v>
      </c>
      <c r="I936" s="28"/>
      <c r="J936" s="30"/>
      <c r="K936" s="15">
        <f>COUNTIF(Contacts[姓名],Contacts[[#This Row],[姓名]])</f>
        <v>874</v>
      </c>
    </row>
    <row r="937" spans="1:11" x14ac:dyDescent="0.15">
      <c r="A937" s="28" t="s">
        <v>1039</v>
      </c>
      <c r="B937" s="15" t="s">
        <v>4380</v>
      </c>
      <c r="D937" s="29" t="s">
        <v>1038</v>
      </c>
      <c r="E937" s="129" t="s">
        <v>5315</v>
      </c>
      <c r="F937" s="15" t="s">
        <v>4487</v>
      </c>
      <c r="I937" s="28"/>
      <c r="J937" s="30"/>
      <c r="K937" s="15">
        <f>COUNTIF(Contacts[姓名],Contacts[[#This Row],[姓名]])</f>
        <v>874</v>
      </c>
    </row>
    <row r="938" spans="1:11" x14ac:dyDescent="0.15">
      <c r="A938" s="28" t="s">
        <v>792</v>
      </c>
      <c r="B938" s="15" t="s">
        <v>4380</v>
      </c>
      <c r="D938" s="29" t="s">
        <v>1024</v>
      </c>
      <c r="E938" s="129" t="s">
        <v>5315</v>
      </c>
      <c r="F938" s="15" t="s">
        <v>4487</v>
      </c>
      <c r="I938" s="28"/>
      <c r="J938" s="30"/>
      <c r="K938" s="15">
        <f>COUNTIF(Contacts[姓名],Contacts[[#This Row],[姓名]])</f>
        <v>874</v>
      </c>
    </row>
    <row r="939" spans="1:11" x14ac:dyDescent="0.15">
      <c r="A939" s="28" t="s">
        <v>792</v>
      </c>
      <c r="B939" s="15" t="s">
        <v>4380</v>
      </c>
      <c r="D939" s="29" t="s">
        <v>791</v>
      </c>
      <c r="E939" s="129" t="s">
        <v>5315</v>
      </c>
      <c r="F939" s="15" t="s">
        <v>4487</v>
      </c>
      <c r="I939" s="28"/>
      <c r="J939" s="30"/>
      <c r="K939" s="15">
        <f>COUNTIF(Contacts[姓名],Contacts[[#This Row],[姓名]])</f>
        <v>874</v>
      </c>
    </row>
    <row r="940" spans="1:11" x14ac:dyDescent="0.15">
      <c r="A940" s="28" t="s">
        <v>3357</v>
      </c>
      <c r="B940" s="15" t="s">
        <v>4380</v>
      </c>
      <c r="D940" s="29" t="s">
        <v>3356</v>
      </c>
      <c r="E940" s="129" t="s">
        <v>5315</v>
      </c>
      <c r="F940" s="15" t="s">
        <v>4487</v>
      </c>
      <c r="I940" s="28"/>
      <c r="J940" s="30"/>
      <c r="K940" s="15">
        <f>COUNTIF(Contacts[姓名],Contacts[[#This Row],[姓名]])</f>
        <v>874</v>
      </c>
    </row>
    <row r="941" spans="1:11" x14ac:dyDescent="0.15">
      <c r="A941" s="28" t="s">
        <v>601</v>
      </c>
      <c r="B941" s="15" t="s">
        <v>4380</v>
      </c>
      <c r="D941" s="29" t="s">
        <v>1055</v>
      </c>
      <c r="E941" s="129" t="s">
        <v>5315</v>
      </c>
      <c r="F941" s="15" t="s">
        <v>4487</v>
      </c>
      <c r="I941" s="28"/>
      <c r="J941" s="30"/>
      <c r="K941" s="15">
        <f>COUNTIF(Contacts[姓名],Contacts[[#This Row],[姓名]])</f>
        <v>874</v>
      </c>
    </row>
    <row r="942" spans="1:11" x14ac:dyDescent="0.15">
      <c r="A942" s="28" t="s">
        <v>601</v>
      </c>
      <c r="B942" s="15" t="s">
        <v>4380</v>
      </c>
      <c r="D942" s="29" t="s">
        <v>1023</v>
      </c>
      <c r="E942" s="129" t="s">
        <v>5315</v>
      </c>
      <c r="F942" s="15" t="s">
        <v>4487</v>
      </c>
      <c r="I942" s="28"/>
      <c r="J942" s="30"/>
      <c r="K942" s="15">
        <f>COUNTIF(Contacts[姓名],Contacts[[#This Row],[姓名]])</f>
        <v>874</v>
      </c>
    </row>
    <row r="943" spans="1:11" x14ac:dyDescent="0.15">
      <c r="A943" s="28" t="s">
        <v>601</v>
      </c>
      <c r="B943" s="15" t="s">
        <v>4380</v>
      </c>
      <c r="D943" s="29" t="s">
        <v>990</v>
      </c>
      <c r="E943" s="129" t="s">
        <v>5315</v>
      </c>
      <c r="F943" s="15" t="s">
        <v>4487</v>
      </c>
      <c r="I943" s="28"/>
      <c r="J943" s="30"/>
      <c r="K943" s="15">
        <f>COUNTIF(Contacts[姓名],Contacts[[#This Row],[姓名]])</f>
        <v>874</v>
      </c>
    </row>
    <row r="944" spans="1:11" x14ac:dyDescent="0.15">
      <c r="A944" s="28" t="s">
        <v>493</v>
      </c>
      <c r="B944" s="15" t="s">
        <v>4380</v>
      </c>
      <c r="D944" s="29" t="s">
        <v>989</v>
      </c>
      <c r="E944" s="129" t="s">
        <v>5315</v>
      </c>
      <c r="F944" s="15" t="s">
        <v>4487</v>
      </c>
      <c r="I944" s="28"/>
      <c r="J944" s="30"/>
      <c r="K944" s="15">
        <f>COUNTIF(Contacts[姓名],Contacts[[#This Row],[姓名]])</f>
        <v>874</v>
      </c>
    </row>
    <row r="945" spans="1:11" x14ac:dyDescent="0.15">
      <c r="A945" s="28" t="s">
        <v>3355</v>
      </c>
      <c r="B945" s="15" t="s">
        <v>4380</v>
      </c>
      <c r="D945" s="29" t="s">
        <v>3354</v>
      </c>
      <c r="E945" s="129" t="s">
        <v>5315</v>
      </c>
      <c r="F945" s="15" t="s">
        <v>4487</v>
      </c>
      <c r="I945" s="28"/>
      <c r="J945" s="30"/>
      <c r="K945" s="15">
        <f>COUNTIF(Contacts[姓名],Contacts[[#This Row],[姓名]])</f>
        <v>874</v>
      </c>
    </row>
    <row r="946" spans="1:11" x14ac:dyDescent="0.15">
      <c r="A946" s="28" t="s">
        <v>583</v>
      </c>
      <c r="B946" s="15" t="s">
        <v>4380</v>
      </c>
      <c r="D946" s="29" t="s">
        <v>923</v>
      </c>
      <c r="E946" s="129" t="s">
        <v>5315</v>
      </c>
      <c r="F946" s="15" t="s">
        <v>4487</v>
      </c>
      <c r="I946" s="28"/>
      <c r="J946" s="30"/>
      <c r="K946" s="15">
        <f>COUNTIF(Contacts[姓名],Contacts[[#This Row],[姓名]])</f>
        <v>874</v>
      </c>
    </row>
    <row r="947" spans="1:11" x14ac:dyDescent="0.15">
      <c r="A947" s="28" t="s">
        <v>583</v>
      </c>
      <c r="B947" s="15" t="s">
        <v>4380</v>
      </c>
      <c r="D947" s="29" t="s">
        <v>2616</v>
      </c>
      <c r="E947" s="129" t="s">
        <v>5315</v>
      </c>
      <c r="F947" s="15" t="s">
        <v>4487</v>
      </c>
      <c r="I947" s="28"/>
      <c r="J947" s="30"/>
      <c r="K947" s="15">
        <f>COUNTIF(Contacts[姓名],Contacts[[#This Row],[姓名]])</f>
        <v>874</v>
      </c>
    </row>
    <row r="948" spans="1:11" x14ac:dyDescent="0.15">
      <c r="A948" s="28" t="s">
        <v>583</v>
      </c>
      <c r="B948" s="15" t="s">
        <v>4380</v>
      </c>
      <c r="D948" s="29" t="s">
        <v>988</v>
      </c>
      <c r="E948" s="129" t="s">
        <v>5315</v>
      </c>
      <c r="F948" s="15" t="s">
        <v>4487</v>
      </c>
      <c r="I948" s="28"/>
      <c r="J948" s="30"/>
      <c r="K948" s="15">
        <f>COUNTIF(Contacts[姓名],Contacts[[#This Row],[姓名]])</f>
        <v>874</v>
      </c>
    </row>
    <row r="949" spans="1:11" x14ac:dyDescent="0.15">
      <c r="A949" s="28" t="s">
        <v>752</v>
      </c>
      <c r="B949" s="15" t="s">
        <v>4380</v>
      </c>
      <c r="D949" s="29" t="s">
        <v>1020</v>
      </c>
      <c r="E949" s="129" t="s">
        <v>5315</v>
      </c>
      <c r="F949" s="15" t="s">
        <v>4487</v>
      </c>
      <c r="I949" s="28"/>
      <c r="J949" s="30"/>
      <c r="K949" s="15">
        <f>COUNTIF(Contacts[姓名],Contacts[[#This Row],[姓名]])</f>
        <v>874</v>
      </c>
    </row>
    <row r="950" spans="1:11" x14ac:dyDescent="0.15">
      <c r="A950" s="28" t="s">
        <v>752</v>
      </c>
      <c r="B950" s="15" t="s">
        <v>4380</v>
      </c>
      <c r="D950" s="29" t="s">
        <v>2712</v>
      </c>
      <c r="E950" s="129" t="s">
        <v>5315</v>
      </c>
      <c r="F950" s="15" t="s">
        <v>4487</v>
      </c>
      <c r="I950" s="28"/>
      <c r="J950" s="30"/>
      <c r="K950" s="15">
        <f>COUNTIF(Contacts[姓名],Contacts[[#This Row],[姓名]])</f>
        <v>874</v>
      </c>
    </row>
    <row r="951" spans="1:11" x14ac:dyDescent="0.15">
      <c r="A951" s="28" t="s">
        <v>752</v>
      </c>
      <c r="B951" s="15" t="s">
        <v>4380</v>
      </c>
      <c r="D951" s="29" t="s">
        <v>1019</v>
      </c>
      <c r="E951" s="129" t="s">
        <v>5315</v>
      </c>
      <c r="F951" s="15" t="s">
        <v>4487</v>
      </c>
      <c r="I951" s="28"/>
      <c r="J951" s="30"/>
      <c r="K951" s="15">
        <f>COUNTIF(Contacts[姓名],Contacts[[#This Row],[姓名]])</f>
        <v>874</v>
      </c>
    </row>
    <row r="952" spans="1:11" x14ac:dyDescent="0.15">
      <c r="A952" s="28" t="s">
        <v>752</v>
      </c>
      <c r="B952" s="15" t="s">
        <v>4380</v>
      </c>
      <c r="D952" s="29" t="s">
        <v>1018</v>
      </c>
      <c r="E952" s="129" t="s">
        <v>5315</v>
      </c>
      <c r="F952" s="15" t="s">
        <v>4487</v>
      </c>
      <c r="I952" s="28"/>
      <c r="J952" s="30"/>
      <c r="K952" s="15">
        <f>COUNTIF(Contacts[姓名],Contacts[[#This Row],[姓名]])</f>
        <v>874</v>
      </c>
    </row>
    <row r="953" spans="1:11" x14ac:dyDescent="0.15">
      <c r="A953" s="28" t="s">
        <v>752</v>
      </c>
      <c r="B953" s="15" t="s">
        <v>4380</v>
      </c>
      <c r="D953" s="29" t="s">
        <v>751</v>
      </c>
      <c r="E953" s="129" t="s">
        <v>5315</v>
      </c>
      <c r="F953" s="15" t="s">
        <v>4487</v>
      </c>
      <c r="I953" s="28"/>
      <c r="J953" s="30"/>
      <c r="K953" s="15">
        <f>COUNTIF(Contacts[姓名],Contacts[[#This Row],[姓名]])</f>
        <v>874</v>
      </c>
    </row>
    <row r="954" spans="1:11" x14ac:dyDescent="0.15">
      <c r="A954" s="28" t="s">
        <v>987</v>
      </c>
      <c r="B954" s="15" t="s">
        <v>4380</v>
      </c>
      <c r="D954" s="29" t="s">
        <v>986</v>
      </c>
      <c r="E954" s="129" t="s">
        <v>5315</v>
      </c>
      <c r="F954" s="15" t="s">
        <v>4487</v>
      </c>
      <c r="I954" s="28"/>
      <c r="J954" s="30"/>
      <c r="K954" s="15">
        <f>COUNTIF(Contacts[姓名],Contacts[[#This Row],[姓名]])</f>
        <v>874</v>
      </c>
    </row>
    <row r="955" spans="1:11" x14ac:dyDescent="0.15">
      <c r="A955" s="28" t="s">
        <v>768</v>
      </c>
      <c r="B955" s="15" t="s">
        <v>4380</v>
      </c>
      <c r="D955" s="29" t="s">
        <v>985</v>
      </c>
      <c r="E955" s="129" t="s">
        <v>5315</v>
      </c>
      <c r="F955" s="15" t="s">
        <v>4487</v>
      </c>
      <c r="I955" s="28"/>
      <c r="J955" s="30"/>
      <c r="K955" s="15">
        <f>COUNTIF(Contacts[姓名],Contacts[[#This Row],[姓名]])</f>
        <v>874</v>
      </c>
    </row>
    <row r="956" spans="1:11" x14ac:dyDescent="0.15">
      <c r="A956" s="28" t="s">
        <v>768</v>
      </c>
      <c r="B956" s="15" t="s">
        <v>4380</v>
      </c>
      <c r="D956" s="29" t="s">
        <v>984</v>
      </c>
      <c r="E956" s="129" t="s">
        <v>5315</v>
      </c>
      <c r="F956" s="15" t="s">
        <v>4487</v>
      </c>
      <c r="I956" s="28"/>
      <c r="J956" s="30"/>
      <c r="K956" s="15">
        <f>COUNTIF(Contacts[姓名],Contacts[[#This Row],[姓名]])</f>
        <v>874</v>
      </c>
    </row>
    <row r="957" spans="1:11" x14ac:dyDescent="0.15">
      <c r="A957" s="28" t="s">
        <v>768</v>
      </c>
      <c r="B957" s="15" t="s">
        <v>4380</v>
      </c>
      <c r="D957" s="29" t="s">
        <v>2671</v>
      </c>
      <c r="E957" s="129" t="s">
        <v>5315</v>
      </c>
      <c r="F957" s="15" t="s">
        <v>4487</v>
      </c>
      <c r="I957" s="28"/>
      <c r="J957" s="30"/>
      <c r="K957" s="15">
        <f>COUNTIF(Contacts[姓名],Contacts[[#This Row],[姓名]])</f>
        <v>874</v>
      </c>
    </row>
    <row r="958" spans="1:11" x14ac:dyDescent="0.15">
      <c r="A958" s="28" t="s">
        <v>768</v>
      </c>
      <c r="B958" s="15" t="s">
        <v>4380</v>
      </c>
      <c r="D958" s="29" t="s">
        <v>983</v>
      </c>
      <c r="E958" s="129" t="s">
        <v>5315</v>
      </c>
      <c r="F958" s="15" t="s">
        <v>4487</v>
      </c>
      <c r="I958" s="28"/>
      <c r="J958" s="30"/>
      <c r="K958" s="15">
        <f>COUNTIF(Contacts[姓名],Contacts[[#This Row],[姓名]])</f>
        <v>874</v>
      </c>
    </row>
    <row r="959" spans="1:11" x14ac:dyDescent="0.15">
      <c r="A959" s="28" t="s">
        <v>768</v>
      </c>
      <c r="B959" s="15" t="s">
        <v>4380</v>
      </c>
      <c r="D959" s="29" t="s">
        <v>767</v>
      </c>
      <c r="E959" s="129" t="s">
        <v>5315</v>
      </c>
      <c r="F959" s="15" t="s">
        <v>4487</v>
      </c>
      <c r="I959" s="28"/>
      <c r="J959" s="30"/>
      <c r="K959" s="15">
        <f>COUNTIF(Contacts[姓名],Contacts[[#This Row],[姓名]])</f>
        <v>874</v>
      </c>
    </row>
    <row r="960" spans="1:11" x14ac:dyDescent="0.15">
      <c r="A960" s="28" t="s">
        <v>3353</v>
      </c>
      <c r="B960" s="15" t="s">
        <v>4380</v>
      </c>
      <c r="D960" s="29" t="s">
        <v>2594</v>
      </c>
      <c r="E960" s="129" t="s">
        <v>5315</v>
      </c>
      <c r="F960" s="15" t="s">
        <v>4487</v>
      </c>
      <c r="I960" s="28"/>
      <c r="J960" s="30"/>
      <c r="K960" s="15">
        <f>COUNTIF(Contacts[姓名],Contacts[[#This Row],[姓名]])</f>
        <v>874</v>
      </c>
    </row>
    <row r="961" spans="1:11" x14ac:dyDescent="0.15">
      <c r="A961" s="28" t="s">
        <v>3353</v>
      </c>
      <c r="B961" s="15" t="s">
        <v>4380</v>
      </c>
      <c r="D961" s="29" t="s">
        <v>3352</v>
      </c>
      <c r="E961" s="129" t="s">
        <v>5315</v>
      </c>
      <c r="F961" s="15" t="s">
        <v>4487</v>
      </c>
      <c r="I961" s="28"/>
      <c r="J961" s="30"/>
      <c r="K961" s="15">
        <f>COUNTIF(Contacts[姓名],Contacts[[#This Row],[姓名]])</f>
        <v>874</v>
      </c>
    </row>
    <row r="962" spans="1:11" x14ac:dyDescent="0.15">
      <c r="A962" s="28" t="s">
        <v>808</v>
      </c>
      <c r="B962" s="15" t="s">
        <v>4380</v>
      </c>
      <c r="D962" s="29" t="s">
        <v>807</v>
      </c>
      <c r="E962" s="129" t="s">
        <v>5315</v>
      </c>
      <c r="F962" s="15" t="s">
        <v>4487</v>
      </c>
      <c r="I962" s="28"/>
      <c r="J962" s="30"/>
      <c r="K962" s="15">
        <f>COUNTIF(Contacts[姓名],Contacts[[#This Row],[姓名]])</f>
        <v>874</v>
      </c>
    </row>
    <row r="963" spans="1:11" x14ac:dyDescent="0.15">
      <c r="A963" s="28" t="s">
        <v>1022</v>
      </c>
      <c r="B963" s="15" t="s">
        <v>4380</v>
      </c>
      <c r="D963" s="29" t="s">
        <v>1021</v>
      </c>
      <c r="E963" s="129" t="s">
        <v>5315</v>
      </c>
      <c r="F963" s="15" t="s">
        <v>4487</v>
      </c>
      <c r="I963" s="28"/>
      <c r="J963" s="30"/>
      <c r="K963" s="15">
        <f>COUNTIF(Contacts[姓名],Contacts[[#This Row],[姓名]])</f>
        <v>874</v>
      </c>
    </row>
    <row r="964" spans="1:11" x14ac:dyDescent="0.15">
      <c r="A964" s="28" t="s">
        <v>1013</v>
      </c>
      <c r="B964" s="15" t="s">
        <v>4380</v>
      </c>
      <c r="D964" s="29" t="s">
        <v>1012</v>
      </c>
      <c r="E964" s="129" t="s">
        <v>5315</v>
      </c>
      <c r="F964" s="15" t="s">
        <v>4487</v>
      </c>
      <c r="I964" s="28"/>
      <c r="J964" s="30"/>
      <c r="K964" s="15">
        <f>COUNTIF(Contacts[姓名],Contacts[[#This Row],[姓名]])</f>
        <v>874</v>
      </c>
    </row>
    <row r="965" spans="1:11" x14ac:dyDescent="0.15">
      <c r="A965" s="28" t="s">
        <v>981</v>
      </c>
      <c r="B965" s="15" t="s">
        <v>4380</v>
      </c>
      <c r="D965" s="29" t="s">
        <v>980</v>
      </c>
      <c r="E965" s="129" t="s">
        <v>5315</v>
      </c>
      <c r="F965" s="15" t="s">
        <v>4487</v>
      </c>
      <c r="I965" s="28"/>
      <c r="J965" s="30"/>
      <c r="K965" s="15">
        <f>COUNTIF(Contacts[姓名],Contacts[[#This Row],[姓名]])</f>
        <v>874</v>
      </c>
    </row>
    <row r="966" spans="1:11" x14ac:dyDescent="0.15">
      <c r="A966" s="28" t="s">
        <v>3351</v>
      </c>
      <c r="B966" s="15" t="s">
        <v>4380</v>
      </c>
      <c r="D966" s="29" t="s">
        <v>3350</v>
      </c>
      <c r="E966" s="129" t="s">
        <v>5315</v>
      </c>
      <c r="F966" s="15" t="s">
        <v>4487</v>
      </c>
      <c r="I966" s="28"/>
      <c r="J966" s="30"/>
      <c r="K966" s="15">
        <f>COUNTIF(Contacts[姓名],Contacts[[#This Row],[姓名]])</f>
        <v>874</v>
      </c>
    </row>
    <row r="967" spans="1:11" x14ac:dyDescent="0.15">
      <c r="A967" s="28" t="s">
        <v>1078</v>
      </c>
      <c r="B967" s="15" t="s">
        <v>4380</v>
      </c>
      <c r="D967" s="29" t="s">
        <v>1077</v>
      </c>
      <c r="E967" s="129" t="s">
        <v>5315</v>
      </c>
      <c r="F967" s="15" t="s">
        <v>4487</v>
      </c>
      <c r="I967" s="28"/>
      <c r="J967" s="30"/>
      <c r="K967" s="15">
        <f>COUNTIF(Contacts[姓名],Contacts[[#This Row],[姓名]])</f>
        <v>874</v>
      </c>
    </row>
    <row r="968" spans="1:11" x14ac:dyDescent="0.15">
      <c r="A968" s="28" t="s">
        <v>1069</v>
      </c>
      <c r="B968" s="15" t="s">
        <v>4380</v>
      </c>
      <c r="D968" s="29" t="s">
        <v>1068</v>
      </c>
      <c r="E968" s="129" t="s">
        <v>5315</v>
      </c>
      <c r="F968" s="15" t="s">
        <v>4487</v>
      </c>
      <c r="I968" s="28"/>
      <c r="J968" s="30"/>
      <c r="K968" s="15">
        <f>COUNTIF(Contacts[姓名],Contacts[[#This Row],[姓名]])</f>
        <v>874</v>
      </c>
    </row>
    <row r="969" spans="1:11" x14ac:dyDescent="0.15">
      <c r="A969" s="28" t="s">
        <v>979</v>
      </c>
      <c r="B969" s="15" t="s">
        <v>4380</v>
      </c>
      <c r="D969" s="29" t="s">
        <v>978</v>
      </c>
      <c r="E969" s="129" t="s">
        <v>5315</v>
      </c>
      <c r="F969" s="15" t="s">
        <v>4487</v>
      </c>
      <c r="I969" s="28"/>
      <c r="J969" s="30"/>
      <c r="K969" s="15">
        <f>COUNTIF(Contacts[姓名],Contacts[[#This Row],[姓名]])</f>
        <v>874</v>
      </c>
    </row>
    <row r="970" spans="1:11" x14ac:dyDescent="0.15">
      <c r="A970" s="28" t="s">
        <v>498</v>
      </c>
      <c r="B970" s="15" t="s">
        <v>4380</v>
      </c>
      <c r="D970" s="29" t="s">
        <v>977</v>
      </c>
      <c r="E970" s="129" t="s">
        <v>5315</v>
      </c>
      <c r="F970" s="15" t="s">
        <v>4487</v>
      </c>
      <c r="I970" s="28"/>
      <c r="J970" s="30"/>
      <c r="K970" s="15">
        <f>COUNTIF(Contacts[姓名],Contacts[[#This Row],[姓名]])</f>
        <v>874</v>
      </c>
    </row>
    <row r="971" spans="1:11" x14ac:dyDescent="0.15">
      <c r="A971" s="28" t="s">
        <v>498</v>
      </c>
      <c r="B971" s="15" t="s">
        <v>4380</v>
      </c>
      <c r="D971" s="29" t="s">
        <v>1095</v>
      </c>
      <c r="E971" s="129" t="s">
        <v>5315</v>
      </c>
      <c r="F971" s="15" t="s">
        <v>4487</v>
      </c>
      <c r="I971" s="28"/>
      <c r="J971" s="30"/>
      <c r="K971" s="15">
        <f>COUNTIF(Contacts[姓名],Contacts[[#This Row],[姓名]])</f>
        <v>874</v>
      </c>
    </row>
    <row r="972" spans="1:11" x14ac:dyDescent="0.15">
      <c r="A972" s="28" t="s">
        <v>1059</v>
      </c>
      <c r="B972" s="15" t="s">
        <v>4380</v>
      </c>
      <c r="D972" s="29" t="s">
        <v>1058</v>
      </c>
      <c r="E972" s="129" t="s">
        <v>5315</v>
      </c>
      <c r="F972" s="15" t="s">
        <v>4487</v>
      </c>
      <c r="I972" s="28"/>
      <c r="J972" s="30"/>
      <c r="K972" s="15">
        <f>COUNTIF(Contacts[姓名],Contacts[[#This Row],[姓名]])</f>
        <v>874</v>
      </c>
    </row>
    <row r="973" spans="1:11" x14ac:dyDescent="0.15">
      <c r="A973" s="28" t="s">
        <v>976</v>
      </c>
      <c r="B973" s="15" t="s">
        <v>4380</v>
      </c>
      <c r="D973" s="29" t="s">
        <v>975</v>
      </c>
      <c r="E973" s="129" t="s">
        <v>5315</v>
      </c>
      <c r="F973" s="15" t="s">
        <v>4487</v>
      </c>
      <c r="I973" s="28"/>
      <c r="J973" s="30"/>
      <c r="K973" s="15">
        <f>COUNTIF(Contacts[姓名],Contacts[[#This Row],[姓名]])</f>
        <v>874</v>
      </c>
    </row>
    <row r="974" spans="1:11" x14ac:dyDescent="0.15">
      <c r="A974" s="28" t="s">
        <v>3343</v>
      </c>
      <c r="B974" s="15" t="s">
        <v>4380</v>
      </c>
      <c r="D974" s="29" t="s">
        <v>3342</v>
      </c>
      <c r="E974" s="129" t="s">
        <v>5315</v>
      </c>
      <c r="F974" s="15" t="s">
        <v>4487</v>
      </c>
      <c r="I974" s="28"/>
      <c r="J974" s="30"/>
      <c r="K974" s="15">
        <f>COUNTIF(Contacts[姓名],Contacts[[#This Row],[姓名]])</f>
        <v>874</v>
      </c>
    </row>
    <row r="975" spans="1:11" x14ac:dyDescent="0.15">
      <c r="A975" s="28" t="s">
        <v>1063</v>
      </c>
      <c r="B975" s="15" t="s">
        <v>4380</v>
      </c>
      <c r="D975" s="29" t="s">
        <v>1062</v>
      </c>
      <c r="E975" s="129" t="s">
        <v>5315</v>
      </c>
      <c r="F975" s="15" t="s">
        <v>4487</v>
      </c>
      <c r="I975" s="28"/>
      <c r="J975" s="30"/>
      <c r="K975" s="15">
        <f>COUNTIF(Contacts[姓名],Contacts[[#This Row],[姓名]])</f>
        <v>874</v>
      </c>
    </row>
    <row r="976" spans="1:11" x14ac:dyDescent="0.15">
      <c r="A976" s="28" t="s">
        <v>1007</v>
      </c>
      <c r="B976" s="15" t="s">
        <v>4380</v>
      </c>
      <c r="D976" s="29" t="s">
        <v>1006</v>
      </c>
      <c r="E976" s="129" t="s">
        <v>5315</v>
      </c>
      <c r="F976" s="15" t="s">
        <v>4487</v>
      </c>
      <c r="I976" s="28"/>
      <c r="J976" s="30"/>
      <c r="K976" s="15">
        <f>COUNTIF(Contacts[姓名],Contacts[[#This Row],[姓名]])</f>
        <v>874</v>
      </c>
    </row>
    <row r="977" spans="1:11" x14ac:dyDescent="0.15">
      <c r="A977" s="28" t="s">
        <v>3376</v>
      </c>
      <c r="B977" s="15" t="s">
        <v>4380</v>
      </c>
      <c r="D977" s="29" t="s">
        <v>3375</v>
      </c>
      <c r="E977" s="129" t="s">
        <v>5315</v>
      </c>
      <c r="F977" s="15" t="s">
        <v>4487</v>
      </c>
      <c r="I977" s="28"/>
      <c r="J977" s="30"/>
      <c r="K977" s="15">
        <f>COUNTIF(Contacts[姓名],Contacts[[#This Row],[姓名]])</f>
        <v>874</v>
      </c>
    </row>
    <row r="978" spans="1:11" x14ac:dyDescent="0.15">
      <c r="A978" s="28" t="s">
        <v>1037</v>
      </c>
      <c r="B978" s="15" t="s">
        <v>4380</v>
      </c>
      <c r="D978" s="29" t="s">
        <v>1036</v>
      </c>
      <c r="E978" s="129" t="s">
        <v>5315</v>
      </c>
      <c r="F978" s="15" t="s">
        <v>4487</v>
      </c>
      <c r="I978" s="28"/>
      <c r="J978" s="30"/>
      <c r="K978" s="15">
        <f>COUNTIF(Contacts[姓名],Contacts[[#This Row],[姓名]])</f>
        <v>874</v>
      </c>
    </row>
    <row r="979" spans="1:11" x14ac:dyDescent="0.15">
      <c r="A979" s="28" t="s">
        <v>934</v>
      </c>
      <c r="B979" s="15" t="s">
        <v>4380</v>
      </c>
      <c r="D979" s="29" t="s">
        <v>933</v>
      </c>
      <c r="E979" s="129" t="s">
        <v>5315</v>
      </c>
      <c r="F979" s="15" t="s">
        <v>4487</v>
      </c>
      <c r="I979" s="28"/>
      <c r="J979" s="30"/>
      <c r="K979" s="15">
        <f>COUNTIF(Contacts[姓名],Contacts[[#This Row],[姓名]])</f>
        <v>874</v>
      </c>
    </row>
    <row r="980" spans="1:11" x14ac:dyDescent="0.15">
      <c r="A980" s="28" t="s">
        <v>1052</v>
      </c>
      <c r="B980" s="15" t="s">
        <v>4380</v>
      </c>
      <c r="D980" s="29" t="s">
        <v>1051</v>
      </c>
      <c r="E980" s="129" t="s">
        <v>5315</v>
      </c>
      <c r="F980" s="15" t="s">
        <v>4487</v>
      </c>
      <c r="I980" s="28"/>
      <c r="J980" s="30"/>
      <c r="K980" s="15">
        <f>COUNTIF(Contacts[姓名],Contacts[[#This Row],[姓名]])</f>
        <v>874</v>
      </c>
    </row>
    <row r="981" spans="1:11" x14ac:dyDescent="0.15">
      <c r="A981" s="28" t="s">
        <v>556</v>
      </c>
      <c r="B981" s="15" t="s">
        <v>4380</v>
      </c>
      <c r="D981" s="29" t="s">
        <v>2673</v>
      </c>
      <c r="E981" s="129" t="s">
        <v>5315</v>
      </c>
      <c r="F981" s="15" t="s">
        <v>4487</v>
      </c>
      <c r="I981" s="28"/>
      <c r="J981" s="30"/>
      <c r="K981" s="15">
        <f>COUNTIF(Contacts[姓名],Contacts[[#This Row],[姓名]])</f>
        <v>874</v>
      </c>
    </row>
    <row r="982" spans="1:11" x14ac:dyDescent="0.15">
      <c r="A982" s="28" t="s">
        <v>974</v>
      </c>
      <c r="B982" s="15" t="s">
        <v>4380</v>
      </c>
      <c r="D982" s="29" t="s">
        <v>2619</v>
      </c>
      <c r="E982" s="129" t="s">
        <v>5315</v>
      </c>
      <c r="F982" s="15" t="s">
        <v>4487</v>
      </c>
      <c r="I982" s="28"/>
      <c r="J982" s="30"/>
      <c r="K982" s="15">
        <f>COUNTIF(Contacts[姓名],Contacts[[#This Row],[姓名]])</f>
        <v>874</v>
      </c>
    </row>
    <row r="983" spans="1:11" x14ac:dyDescent="0.15">
      <c r="A983" s="28" t="s">
        <v>974</v>
      </c>
      <c r="B983" s="15" t="s">
        <v>4380</v>
      </c>
      <c r="D983" s="29" t="s">
        <v>973</v>
      </c>
      <c r="E983" s="129" t="s">
        <v>5315</v>
      </c>
      <c r="F983" s="15" t="s">
        <v>4487</v>
      </c>
      <c r="I983" s="28"/>
      <c r="J983" s="30"/>
      <c r="K983" s="15">
        <f>COUNTIF(Contacts[姓名],Contacts[[#This Row],[姓名]])</f>
        <v>874</v>
      </c>
    </row>
    <row r="984" spans="1:11" x14ac:dyDescent="0.15">
      <c r="A984" s="28" t="s">
        <v>566</v>
      </c>
      <c r="B984" s="15" t="s">
        <v>4380</v>
      </c>
      <c r="D984" s="29" t="s">
        <v>1074</v>
      </c>
      <c r="E984" s="129" t="s">
        <v>5315</v>
      </c>
      <c r="F984" s="15" t="s">
        <v>4487</v>
      </c>
      <c r="I984" s="28"/>
      <c r="J984" s="30"/>
      <c r="K984" s="15">
        <f>COUNTIF(Contacts[姓名],Contacts[[#This Row],[姓名]])</f>
        <v>874</v>
      </c>
    </row>
    <row r="985" spans="1:11" x14ac:dyDescent="0.15">
      <c r="A985" s="28" t="s">
        <v>566</v>
      </c>
      <c r="B985" s="15" t="s">
        <v>4380</v>
      </c>
      <c r="D985" s="29" t="s">
        <v>1071</v>
      </c>
      <c r="E985" s="129" t="s">
        <v>5315</v>
      </c>
      <c r="F985" s="15" t="s">
        <v>4487</v>
      </c>
      <c r="I985" s="28"/>
      <c r="J985" s="30"/>
      <c r="K985" s="15">
        <f>COUNTIF(Contacts[姓名],Contacts[[#This Row],[姓名]])</f>
        <v>874</v>
      </c>
    </row>
    <row r="986" spans="1:11" x14ac:dyDescent="0.15">
      <c r="A986" s="28" t="s">
        <v>566</v>
      </c>
      <c r="B986" s="15" t="s">
        <v>4380</v>
      </c>
      <c r="D986" s="29" t="s">
        <v>1066</v>
      </c>
      <c r="E986" s="129" t="s">
        <v>5315</v>
      </c>
      <c r="F986" s="15" t="s">
        <v>4487</v>
      </c>
      <c r="I986" s="28"/>
      <c r="J986" s="30"/>
      <c r="K986" s="15">
        <f>COUNTIF(Contacts[姓名],Contacts[[#This Row],[姓名]])</f>
        <v>874</v>
      </c>
    </row>
    <row r="987" spans="1:11" x14ac:dyDescent="0.15">
      <c r="A987" s="28" t="s">
        <v>566</v>
      </c>
      <c r="B987" s="15" t="s">
        <v>4380</v>
      </c>
      <c r="D987" s="29" t="s">
        <v>1061</v>
      </c>
      <c r="E987" s="129" t="s">
        <v>5315</v>
      </c>
      <c r="F987" s="15" t="s">
        <v>4487</v>
      </c>
      <c r="I987" s="28"/>
      <c r="J987" s="30"/>
      <c r="K987" s="15">
        <f>COUNTIF(Contacts[姓名],Contacts[[#This Row],[姓名]])</f>
        <v>874</v>
      </c>
    </row>
    <row r="988" spans="1:11" x14ac:dyDescent="0.15">
      <c r="A988" s="28" t="s">
        <v>566</v>
      </c>
      <c r="B988" s="15" t="s">
        <v>4380</v>
      </c>
      <c r="D988" s="29" t="s">
        <v>1060</v>
      </c>
      <c r="E988" s="129" t="s">
        <v>5315</v>
      </c>
      <c r="F988" s="15" t="s">
        <v>4487</v>
      </c>
      <c r="I988" s="28"/>
      <c r="J988" s="30"/>
      <c r="K988" s="15">
        <f>COUNTIF(Contacts[姓名],Contacts[[#This Row],[姓名]])</f>
        <v>874</v>
      </c>
    </row>
    <row r="989" spans="1:11" x14ac:dyDescent="0.15">
      <c r="A989" s="28" t="s">
        <v>566</v>
      </c>
      <c r="B989" s="15" t="s">
        <v>4380</v>
      </c>
      <c r="D989" s="29" t="s">
        <v>1057</v>
      </c>
      <c r="E989" s="129" t="s">
        <v>5315</v>
      </c>
      <c r="F989" s="15" t="s">
        <v>4487</v>
      </c>
      <c r="I989" s="28"/>
      <c r="J989" s="30"/>
      <c r="K989" s="15">
        <f>COUNTIF(Contacts[姓名],Contacts[[#This Row],[姓名]])</f>
        <v>874</v>
      </c>
    </row>
    <row r="990" spans="1:11" x14ac:dyDescent="0.15">
      <c r="A990" s="28" t="s">
        <v>566</v>
      </c>
      <c r="B990" s="15" t="s">
        <v>4380</v>
      </c>
      <c r="D990" s="29" t="s">
        <v>1033</v>
      </c>
      <c r="E990" s="129" t="s">
        <v>5315</v>
      </c>
      <c r="F990" s="15" t="s">
        <v>4487</v>
      </c>
      <c r="I990" s="28"/>
      <c r="J990" s="30"/>
      <c r="K990" s="15">
        <f>COUNTIF(Contacts[姓名],Contacts[[#This Row],[姓名]])</f>
        <v>874</v>
      </c>
    </row>
    <row r="991" spans="1:11" x14ac:dyDescent="0.15">
      <c r="A991" s="28" t="s">
        <v>566</v>
      </c>
      <c r="B991" s="15" t="s">
        <v>4380</v>
      </c>
      <c r="D991" s="29" t="s">
        <v>1017</v>
      </c>
      <c r="E991" s="129" t="s">
        <v>5315</v>
      </c>
      <c r="F991" s="15" t="s">
        <v>4487</v>
      </c>
      <c r="I991" s="28"/>
      <c r="J991" s="30"/>
      <c r="K991" s="15">
        <f>COUNTIF(Contacts[姓名],Contacts[[#This Row],[姓名]])</f>
        <v>874</v>
      </c>
    </row>
    <row r="992" spans="1:11" x14ac:dyDescent="0.15">
      <c r="A992" s="28" t="s">
        <v>566</v>
      </c>
      <c r="B992" s="15" t="s">
        <v>4380</v>
      </c>
      <c r="D992" s="29" t="s">
        <v>1016</v>
      </c>
      <c r="E992" s="129" t="s">
        <v>5315</v>
      </c>
      <c r="F992" s="15" t="s">
        <v>4487</v>
      </c>
      <c r="I992" s="28"/>
      <c r="J992" s="30"/>
      <c r="K992" s="15">
        <f>COUNTIF(Contacts[姓名],Contacts[[#This Row],[姓名]])</f>
        <v>874</v>
      </c>
    </row>
    <row r="993" spans="1:11" x14ac:dyDescent="0.15">
      <c r="A993" s="28" t="s">
        <v>566</v>
      </c>
      <c r="B993" s="15" t="s">
        <v>4380</v>
      </c>
      <c r="D993" s="29" t="s">
        <v>1015</v>
      </c>
      <c r="E993" s="129" t="s">
        <v>5315</v>
      </c>
      <c r="F993" s="15" t="s">
        <v>4487</v>
      </c>
      <c r="I993" s="28"/>
      <c r="J993" s="30"/>
      <c r="K993" s="15">
        <f>COUNTIF(Contacts[姓名],Contacts[[#This Row],[姓名]])</f>
        <v>874</v>
      </c>
    </row>
    <row r="994" spans="1:11" x14ac:dyDescent="0.15">
      <c r="A994" s="28" t="s">
        <v>566</v>
      </c>
      <c r="B994" s="15" t="s">
        <v>4380</v>
      </c>
      <c r="D994" s="29" t="s">
        <v>1014</v>
      </c>
      <c r="E994" s="129" t="s">
        <v>5315</v>
      </c>
      <c r="F994" s="15" t="s">
        <v>4487</v>
      </c>
      <c r="I994" s="28"/>
      <c r="J994" s="30"/>
      <c r="K994" s="15">
        <f>COUNTIF(Contacts[姓名],Contacts[[#This Row],[姓名]])</f>
        <v>874</v>
      </c>
    </row>
    <row r="995" spans="1:11" x14ac:dyDescent="0.15">
      <c r="A995" s="28" t="s">
        <v>566</v>
      </c>
      <c r="B995" s="15" t="s">
        <v>4380</v>
      </c>
      <c r="D995" s="29" t="s">
        <v>972</v>
      </c>
      <c r="E995" s="129" t="s">
        <v>5315</v>
      </c>
      <c r="F995" s="15" t="s">
        <v>4487</v>
      </c>
      <c r="I995" s="28"/>
      <c r="J995" s="30"/>
      <c r="K995" s="15">
        <f>COUNTIF(Contacts[姓名],Contacts[[#This Row],[姓名]])</f>
        <v>874</v>
      </c>
    </row>
    <row r="996" spans="1:11" x14ac:dyDescent="0.15">
      <c r="A996" s="28" t="s">
        <v>566</v>
      </c>
      <c r="B996" s="15" t="s">
        <v>4380</v>
      </c>
      <c r="D996" s="29" t="s">
        <v>789</v>
      </c>
      <c r="E996" s="129" t="s">
        <v>5315</v>
      </c>
      <c r="F996" s="15" t="s">
        <v>4487</v>
      </c>
      <c r="I996" s="28"/>
      <c r="J996" s="30"/>
      <c r="K996" s="15">
        <f>COUNTIF(Contacts[姓名],Contacts[[#This Row],[姓名]])</f>
        <v>874</v>
      </c>
    </row>
    <row r="997" spans="1:11" x14ac:dyDescent="0.15">
      <c r="A997" s="28" t="s">
        <v>566</v>
      </c>
      <c r="B997" s="15" t="s">
        <v>4380</v>
      </c>
      <c r="D997" s="29" t="s">
        <v>971</v>
      </c>
      <c r="E997" s="129" t="s">
        <v>5315</v>
      </c>
      <c r="F997" s="15" t="s">
        <v>4487</v>
      </c>
      <c r="I997" s="28"/>
      <c r="J997" s="30"/>
      <c r="K997" s="15">
        <f>COUNTIF(Contacts[姓名],Contacts[[#This Row],[姓名]])</f>
        <v>874</v>
      </c>
    </row>
    <row r="998" spans="1:11" x14ac:dyDescent="0.15">
      <c r="A998" s="28" t="s">
        <v>566</v>
      </c>
      <c r="B998" s="15" t="s">
        <v>4380</v>
      </c>
      <c r="D998" s="29" t="s">
        <v>970</v>
      </c>
      <c r="E998" s="129" t="s">
        <v>5315</v>
      </c>
      <c r="F998" s="15" t="s">
        <v>4487</v>
      </c>
      <c r="I998" s="28"/>
      <c r="J998" s="30"/>
      <c r="K998" s="15">
        <f>COUNTIF(Contacts[姓名],Contacts[[#This Row],[姓名]])</f>
        <v>874</v>
      </c>
    </row>
    <row r="999" spans="1:11" x14ac:dyDescent="0.15">
      <c r="A999" s="28" t="s">
        <v>566</v>
      </c>
      <c r="B999" s="15" t="s">
        <v>4380</v>
      </c>
      <c r="D999" s="29" t="s">
        <v>969</v>
      </c>
      <c r="E999" s="129" t="s">
        <v>5315</v>
      </c>
      <c r="F999" s="15" t="s">
        <v>4487</v>
      </c>
      <c r="I999" s="28"/>
      <c r="J999" s="30"/>
      <c r="K999" s="15">
        <f>COUNTIF(Contacts[姓名],Contacts[[#This Row],[姓名]])</f>
        <v>874</v>
      </c>
    </row>
    <row r="1000" spans="1:11" x14ac:dyDescent="0.15">
      <c r="A1000" s="28" t="s">
        <v>566</v>
      </c>
      <c r="B1000" s="15" t="s">
        <v>4380</v>
      </c>
      <c r="D1000" s="29" t="s">
        <v>968</v>
      </c>
      <c r="E1000" s="129" t="s">
        <v>5315</v>
      </c>
      <c r="F1000" s="15" t="s">
        <v>4487</v>
      </c>
      <c r="I1000" s="28"/>
      <c r="J1000" s="30"/>
      <c r="K1000" s="15">
        <f>COUNTIF(Contacts[姓名],Contacts[[#This Row],[姓名]])</f>
        <v>874</v>
      </c>
    </row>
    <row r="1001" spans="1:11" x14ac:dyDescent="0.15">
      <c r="A1001" s="28" t="s">
        <v>566</v>
      </c>
      <c r="B1001" s="15" t="s">
        <v>4380</v>
      </c>
      <c r="D1001" s="29" t="s">
        <v>566</v>
      </c>
      <c r="E1001" s="129" t="s">
        <v>5315</v>
      </c>
      <c r="F1001" s="15" t="s">
        <v>4487</v>
      </c>
      <c r="I1001" s="28"/>
      <c r="J1001" s="30"/>
      <c r="K1001" s="15">
        <f>COUNTIF(Contacts[姓名],Contacts[[#This Row],[姓名]])</f>
        <v>874</v>
      </c>
    </row>
    <row r="1002" spans="1:11" x14ac:dyDescent="0.15">
      <c r="A1002" s="28" t="s">
        <v>566</v>
      </c>
      <c r="B1002" s="15" t="s">
        <v>4380</v>
      </c>
      <c r="D1002" s="29" t="s">
        <v>956</v>
      </c>
      <c r="E1002" s="129" t="s">
        <v>5315</v>
      </c>
      <c r="F1002" s="15" t="s">
        <v>4487</v>
      </c>
      <c r="I1002" s="28"/>
      <c r="J1002" s="30"/>
      <c r="K1002" s="15">
        <f>COUNTIF(Contacts[姓名],Contacts[[#This Row],[姓名]])</f>
        <v>874</v>
      </c>
    </row>
    <row r="1003" spans="1:11" x14ac:dyDescent="0.15">
      <c r="A1003" s="28" t="s">
        <v>566</v>
      </c>
      <c r="B1003" s="15" t="s">
        <v>4380</v>
      </c>
      <c r="D1003" s="29" t="s">
        <v>955</v>
      </c>
      <c r="E1003" s="129" t="s">
        <v>5315</v>
      </c>
      <c r="F1003" s="15" t="s">
        <v>4487</v>
      </c>
      <c r="I1003" s="28"/>
      <c r="J1003" s="30"/>
      <c r="K1003" s="15">
        <f>COUNTIF(Contacts[姓名],Contacts[[#This Row],[姓名]])</f>
        <v>874</v>
      </c>
    </row>
    <row r="1004" spans="1:11" x14ac:dyDescent="0.15">
      <c r="A1004" s="28" t="s">
        <v>566</v>
      </c>
      <c r="B1004" s="15" t="s">
        <v>4380</v>
      </c>
      <c r="D1004" s="29" t="s">
        <v>954</v>
      </c>
      <c r="E1004" s="129" t="s">
        <v>5315</v>
      </c>
      <c r="F1004" s="15" t="s">
        <v>4487</v>
      </c>
      <c r="I1004" s="28"/>
      <c r="J1004" s="30"/>
      <c r="K1004" s="15">
        <f>COUNTIF(Contacts[姓名],Contacts[[#This Row],[姓名]])</f>
        <v>874</v>
      </c>
    </row>
    <row r="1005" spans="1:11" x14ac:dyDescent="0.15">
      <c r="A1005" s="28" t="s">
        <v>566</v>
      </c>
      <c r="B1005" s="15" t="s">
        <v>4380</v>
      </c>
      <c r="D1005" s="29" t="s">
        <v>952</v>
      </c>
      <c r="E1005" s="129" t="s">
        <v>5315</v>
      </c>
      <c r="F1005" s="15" t="s">
        <v>4487</v>
      </c>
      <c r="I1005" s="28"/>
      <c r="J1005" s="30"/>
      <c r="K1005" s="15">
        <f>COUNTIF(Contacts[姓名],Contacts[[#This Row],[姓名]])</f>
        <v>874</v>
      </c>
    </row>
    <row r="1006" spans="1:11" x14ac:dyDescent="0.15">
      <c r="A1006" s="28" t="s">
        <v>566</v>
      </c>
      <c r="B1006" s="15" t="s">
        <v>4380</v>
      </c>
      <c r="D1006" s="29" t="s">
        <v>951</v>
      </c>
      <c r="E1006" s="129" t="s">
        <v>5315</v>
      </c>
      <c r="F1006" s="15" t="s">
        <v>4487</v>
      </c>
      <c r="I1006" s="28"/>
      <c r="J1006" s="30"/>
      <c r="K1006" s="15">
        <f>COUNTIF(Contacts[姓名],Contacts[[#This Row],[姓名]])</f>
        <v>874</v>
      </c>
    </row>
    <row r="1007" spans="1:11" x14ac:dyDescent="0.15">
      <c r="A1007" s="28" t="s">
        <v>566</v>
      </c>
      <c r="B1007" s="15" t="s">
        <v>4380</v>
      </c>
      <c r="D1007" s="29" t="s">
        <v>950</v>
      </c>
      <c r="E1007" s="129" t="s">
        <v>5315</v>
      </c>
      <c r="F1007" s="15" t="s">
        <v>4487</v>
      </c>
      <c r="I1007" s="28"/>
      <c r="J1007" s="30"/>
      <c r="K1007" s="15">
        <f>COUNTIF(Contacts[姓名],Contacts[[#This Row],[姓名]])</f>
        <v>874</v>
      </c>
    </row>
    <row r="1008" spans="1:11" x14ac:dyDescent="0.15">
      <c r="A1008" s="28" t="s">
        <v>566</v>
      </c>
      <c r="B1008" s="15" t="s">
        <v>4380</v>
      </c>
      <c r="D1008" s="29" t="s">
        <v>949</v>
      </c>
      <c r="E1008" s="129" t="s">
        <v>5315</v>
      </c>
      <c r="F1008" s="15" t="s">
        <v>4487</v>
      </c>
      <c r="I1008" s="28"/>
      <c r="J1008" s="30"/>
      <c r="K1008" s="15">
        <f>COUNTIF(Contacts[姓名],Contacts[[#This Row],[姓名]])</f>
        <v>874</v>
      </c>
    </row>
    <row r="1009" spans="1:11" x14ac:dyDescent="0.15">
      <c r="A1009" s="28" t="s">
        <v>566</v>
      </c>
      <c r="B1009" s="15" t="s">
        <v>4380</v>
      </c>
      <c r="D1009" s="29" t="s">
        <v>948</v>
      </c>
      <c r="E1009" s="129" t="s">
        <v>5315</v>
      </c>
      <c r="F1009" s="15" t="s">
        <v>4487</v>
      </c>
      <c r="I1009" s="28"/>
      <c r="J1009" s="30"/>
      <c r="K1009" s="15">
        <f>COUNTIF(Contacts[姓名],Contacts[[#This Row],[姓名]])</f>
        <v>874</v>
      </c>
    </row>
    <row r="1010" spans="1:11" x14ac:dyDescent="0.15">
      <c r="A1010" s="28" t="s">
        <v>566</v>
      </c>
      <c r="B1010" s="15" t="s">
        <v>4380</v>
      </c>
      <c r="D1010" s="29" t="s">
        <v>947</v>
      </c>
      <c r="E1010" s="129" t="s">
        <v>5315</v>
      </c>
      <c r="F1010" s="15" t="s">
        <v>4487</v>
      </c>
      <c r="I1010" s="28"/>
      <c r="J1010" s="30"/>
      <c r="K1010" s="15">
        <f>COUNTIF(Contacts[姓名],Contacts[[#This Row],[姓名]])</f>
        <v>874</v>
      </c>
    </row>
    <row r="1011" spans="1:11" x14ac:dyDescent="0.15">
      <c r="A1011" s="28" t="s">
        <v>566</v>
      </c>
      <c r="B1011" s="15" t="s">
        <v>4380</v>
      </c>
      <c r="D1011" s="29" t="s">
        <v>946</v>
      </c>
      <c r="E1011" s="129" t="s">
        <v>5315</v>
      </c>
      <c r="F1011" s="15" t="s">
        <v>4487</v>
      </c>
      <c r="I1011" s="28"/>
      <c r="J1011" s="30"/>
      <c r="K1011" s="15">
        <f>COUNTIF(Contacts[姓名],Contacts[[#This Row],[姓名]])</f>
        <v>874</v>
      </c>
    </row>
    <row r="1012" spans="1:11" x14ac:dyDescent="0.15">
      <c r="A1012" s="28" t="s">
        <v>566</v>
      </c>
      <c r="B1012" s="15" t="s">
        <v>4380</v>
      </c>
      <c r="D1012" s="29" t="s">
        <v>945</v>
      </c>
      <c r="E1012" s="129" t="s">
        <v>5315</v>
      </c>
      <c r="F1012" s="15" t="s">
        <v>4487</v>
      </c>
      <c r="I1012" s="28"/>
      <c r="J1012" s="30"/>
      <c r="K1012" s="15">
        <f>COUNTIF(Contacts[姓名],Contacts[[#This Row],[姓名]])</f>
        <v>874</v>
      </c>
    </row>
    <row r="1013" spans="1:11" x14ac:dyDescent="0.15">
      <c r="A1013" s="28" t="s">
        <v>566</v>
      </c>
      <c r="B1013" s="15" t="s">
        <v>4380</v>
      </c>
      <c r="D1013" s="29" t="s">
        <v>782</v>
      </c>
      <c r="E1013" s="129" t="s">
        <v>5315</v>
      </c>
      <c r="F1013" s="15" t="s">
        <v>4487</v>
      </c>
      <c r="I1013" s="28"/>
      <c r="J1013" s="30"/>
      <c r="K1013" s="15">
        <f>COUNTIF(Contacts[姓名],Contacts[[#This Row],[姓名]])</f>
        <v>874</v>
      </c>
    </row>
    <row r="1014" spans="1:11" x14ac:dyDescent="0.15">
      <c r="A1014" s="28" t="s">
        <v>566</v>
      </c>
      <c r="B1014" s="15" t="s">
        <v>4380</v>
      </c>
      <c r="D1014" s="29" t="s">
        <v>770</v>
      </c>
      <c r="E1014" s="129" t="s">
        <v>5315</v>
      </c>
      <c r="F1014" s="15" t="s">
        <v>4487</v>
      </c>
      <c r="I1014" s="28"/>
      <c r="J1014" s="30"/>
      <c r="K1014" s="15">
        <f>COUNTIF(Contacts[姓名],Contacts[[#This Row],[姓名]])</f>
        <v>874</v>
      </c>
    </row>
    <row r="1015" spans="1:11" x14ac:dyDescent="0.15">
      <c r="A1015" s="28" t="s">
        <v>566</v>
      </c>
      <c r="B1015" s="15" t="s">
        <v>4380</v>
      </c>
      <c r="D1015" s="29" t="s">
        <v>769</v>
      </c>
      <c r="E1015" s="129" t="s">
        <v>5315</v>
      </c>
      <c r="F1015" s="15" t="s">
        <v>4487</v>
      </c>
      <c r="I1015" s="28"/>
      <c r="J1015" s="30"/>
      <c r="K1015" s="15">
        <f>COUNTIF(Contacts[姓名],Contacts[[#This Row],[姓名]])</f>
        <v>874</v>
      </c>
    </row>
    <row r="1016" spans="1:11" x14ac:dyDescent="0.15">
      <c r="A1016" s="28" t="s">
        <v>566</v>
      </c>
      <c r="B1016" s="15" t="s">
        <v>4380</v>
      </c>
      <c r="D1016" s="29" t="s">
        <v>753</v>
      </c>
      <c r="E1016" s="129" t="s">
        <v>5315</v>
      </c>
      <c r="F1016" s="15" t="s">
        <v>4487</v>
      </c>
      <c r="I1016" s="28"/>
      <c r="J1016" s="30"/>
      <c r="K1016" s="15">
        <f>COUNTIF(Contacts[姓名],Contacts[[#This Row],[姓名]])</f>
        <v>874</v>
      </c>
    </row>
    <row r="1017" spans="1:11" x14ac:dyDescent="0.15">
      <c r="A1017" s="28" t="s">
        <v>967</v>
      </c>
      <c r="B1017" s="15" t="s">
        <v>4380</v>
      </c>
      <c r="D1017" s="29" t="s">
        <v>2651</v>
      </c>
      <c r="E1017" s="129" t="s">
        <v>5315</v>
      </c>
      <c r="F1017" s="15" t="s">
        <v>4487</v>
      </c>
      <c r="I1017" s="28"/>
      <c r="J1017" s="30"/>
      <c r="K1017" s="15">
        <f>COUNTIF(Contacts[姓名],Contacts[[#This Row],[姓名]])</f>
        <v>874</v>
      </c>
    </row>
    <row r="1018" spans="1:11" x14ac:dyDescent="0.15">
      <c r="A1018" s="28" t="s">
        <v>3335</v>
      </c>
      <c r="B1018" s="15" t="s">
        <v>4380</v>
      </c>
      <c r="D1018" s="29" t="s">
        <v>3334</v>
      </c>
      <c r="E1018" s="129" t="s">
        <v>5315</v>
      </c>
      <c r="F1018" s="15" t="s">
        <v>4487</v>
      </c>
      <c r="I1018" s="28"/>
      <c r="J1018" s="30"/>
      <c r="K1018" s="15">
        <f>COUNTIF(Contacts[姓名],Contacts[[#This Row],[姓名]])</f>
        <v>874</v>
      </c>
    </row>
    <row r="1019" spans="1:11" x14ac:dyDescent="0.15">
      <c r="A1019" s="28" t="s">
        <v>3337</v>
      </c>
      <c r="B1019" s="15" t="s">
        <v>4380</v>
      </c>
      <c r="D1019" s="29" t="s">
        <v>3336</v>
      </c>
      <c r="E1019" s="129" t="s">
        <v>5315</v>
      </c>
      <c r="F1019" s="15" t="s">
        <v>4487</v>
      </c>
      <c r="I1019" s="28"/>
      <c r="J1019" s="30"/>
      <c r="K1019" s="15">
        <f>COUNTIF(Contacts[姓名],Contacts[[#This Row],[姓名]])</f>
        <v>874</v>
      </c>
    </row>
    <row r="1020" spans="1:11" x14ac:dyDescent="0.15">
      <c r="A1020" s="28" t="s">
        <v>966</v>
      </c>
      <c r="B1020" s="15" t="s">
        <v>4380</v>
      </c>
      <c r="D1020" s="29" t="s">
        <v>965</v>
      </c>
      <c r="E1020" s="129" t="s">
        <v>5315</v>
      </c>
      <c r="F1020" s="15" t="s">
        <v>4487</v>
      </c>
      <c r="I1020" s="28"/>
      <c r="J1020" s="30"/>
      <c r="K1020" s="15">
        <f>COUNTIF(Contacts[姓名],Contacts[[#This Row],[姓名]])</f>
        <v>874</v>
      </c>
    </row>
    <row r="1021" spans="1:11" x14ac:dyDescent="0.15">
      <c r="A1021" s="28" t="s">
        <v>781</v>
      </c>
      <c r="B1021" s="15" t="s">
        <v>4380</v>
      </c>
      <c r="D1021" s="29" t="s">
        <v>780</v>
      </c>
      <c r="E1021" s="129" t="s">
        <v>5315</v>
      </c>
      <c r="F1021" s="15" t="s">
        <v>4487</v>
      </c>
      <c r="I1021" s="28"/>
      <c r="J1021" s="30"/>
      <c r="K1021" s="15">
        <f>COUNTIF(Contacts[姓名],Contacts[[#This Row],[姓名]])</f>
        <v>874</v>
      </c>
    </row>
    <row r="1022" spans="1:11" x14ac:dyDescent="0.15">
      <c r="A1022" s="28" t="s">
        <v>568</v>
      </c>
      <c r="B1022" s="15" t="s">
        <v>4380</v>
      </c>
      <c r="D1022" s="29" t="s">
        <v>932</v>
      </c>
      <c r="E1022" s="129" t="s">
        <v>5315</v>
      </c>
      <c r="F1022" s="15" t="s">
        <v>4487</v>
      </c>
      <c r="I1022" s="28"/>
      <c r="J1022" s="30"/>
      <c r="K1022" s="15">
        <f>COUNTIF(Contacts[姓名],Contacts[[#This Row],[姓名]])</f>
        <v>874</v>
      </c>
    </row>
    <row r="1023" spans="1:11" x14ac:dyDescent="0.15">
      <c r="A1023" s="28" t="s">
        <v>3331</v>
      </c>
      <c r="B1023" s="15" t="s">
        <v>4380</v>
      </c>
      <c r="D1023" s="29" t="s">
        <v>3330</v>
      </c>
      <c r="E1023" s="129" t="s">
        <v>5315</v>
      </c>
      <c r="F1023" s="15" t="s">
        <v>4487</v>
      </c>
      <c r="I1023" s="28"/>
      <c r="J1023" s="30"/>
      <c r="K1023" s="15">
        <f>COUNTIF(Contacts[姓名],Contacts[[#This Row],[姓名]])</f>
        <v>874</v>
      </c>
    </row>
    <row r="1024" spans="1:11" x14ac:dyDescent="0.15">
      <c r="A1024" s="28" t="s">
        <v>3378</v>
      </c>
      <c r="B1024" s="15" t="s">
        <v>4380</v>
      </c>
      <c r="D1024" s="29" t="s">
        <v>3377</v>
      </c>
      <c r="E1024" s="129" t="s">
        <v>5315</v>
      </c>
      <c r="F1024" s="15" t="s">
        <v>4487</v>
      </c>
      <c r="I1024" s="28"/>
      <c r="J1024" s="30"/>
      <c r="K1024" s="15">
        <f>COUNTIF(Contacts[姓名],Contacts[[#This Row],[姓名]])</f>
        <v>874</v>
      </c>
    </row>
    <row r="1025" spans="1:11" x14ac:dyDescent="0.15">
      <c r="A1025" s="28" t="s">
        <v>755</v>
      </c>
      <c r="B1025" s="15" t="s">
        <v>4380</v>
      </c>
      <c r="D1025" s="29" t="s">
        <v>754</v>
      </c>
      <c r="E1025" s="129" t="s">
        <v>5315</v>
      </c>
      <c r="F1025" s="15" t="s">
        <v>4487</v>
      </c>
      <c r="I1025" s="28"/>
      <c r="J1025" s="30"/>
      <c r="K1025" s="15">
        <f>COUNTIF(Contacts[姓名],Contacts[[#This Row],[姓名]])</f>
        <v>874</v>
      </c>
    </row>
    <row r="1026" spans="1:11" x14ac:dyDescent="0.15">
      <c r="A1026" s="28" t="s">
        <v>777</v>
      </c>
      <c r="B1026" s="15" t="s">
        <v>4380</v>
      </c>
      <c r="D1026" s="29" t="s">
        <v>2649</v>
      </c>
      <c r="E1026" s="129" t="s">
        <v>5315</v>
      </c>
      <c r="F1026" s="15" t="s">
        <v>4487</v>
      </c>
      <c r="I1026" s="28"/>
      <c r="J1026" s="30"/>
      <c r="K1026" s="15">
        <f>COUNTIF(Contacts[姓名],Contacts[[#This Row],[姓名]])</f>
        <v>874</v>
      </c>
    </row>
    <row r="1027" spans="1:11" x14ac:dyDescent="0.15">
      <c r="A1027" s="28" t="s">
        <v>963</v>
      </c>
      <c r="B1027" s="15" t="s">
        <v>4380</v>
      </c>
      <c r="D1027" s="29" t="s">
        <v>962</v>
      </c>
      <c r="E1027" s="129" t="s">
        <v>5315</v>
      </c>
      <c r="F1027" s="15" t="s">
        <v>4487</v>
      </c>
      <c r="I1027" s="28"/>
      <c r="J1027" s="30"/>
      <c r="K1027" s="15">
        <f>COUNTIF(Contacts[姓名],Contacts[[#This Row],[姓名]])</f>
        <v>874</v>
      </c>
    </row>
    <row r="1028" spans="1:11" x14ac:dyDescent="0.15">
      <c r="A1028" s="28" t="s">
        <v>776</v>
      </c>
      <c r="B1028" s="15" t="s">
        <v>4380</v>
      </c>
      <c r="D1028" s="29" t="s">
        <v>775</v>
      </c>
      <c r="E1028" s="129" t="s">
        <v>5315</v>
      </c>
      <c r="F1028" s="15" t="s">
        <v>4487</v>
      </c>
      <c r="I1028" s="28"/>
      <c r="J1028" s="30"/>
      <c r="K1028" s="15">
        <f>COUNTIF(Contacts[姓名],Contacts[[#This Row],[姓名]])</f>
        <v>874</v>
      </c>
    </row>
    <row r="1029" spans="1:11" x14ac:dyDescent="0.15">
      <c r="A1029" s="28" t="s">
        <v>1054</v>
      </c>
      <c r="B1029" s="15" t="s">
        <v>4380</v>
      </c>
      <c r="D1029" s="29" t="s">
        <v>1053</v>
      </c>
      <c r="E1029" s="129" t="s">
        <v>5315</v>
      </c>
      <c r="F1029" s="15" t="s">
        <v>4487</v>
      </c>
      <c r="I1029" s="28"/>
      <c r="J1029" s="30"/>
      <c r="K1029" s="15">
        <f>COUNTIF(Contacts[姓名],Contacts[[#This Row],[姓名]])</f>
        <v>874</v>
      </c>
    </row>
    <row r="1030" spans="1:11" x14ac:dyDescent="0.15">
      <c r="A1030" s="28" t="s">
        <v>3374</v>
      </c>
      <c r="B1030" s="15" t="s">
        <v>4380</v>
      </c>
      <c r="D1030" s="29" t="s">
        <v>3373</v>
      </c>
      <c r="E1030" s="129" t="s">
        <v>5315</v>
      </c>
      <c r="F1030" s="15" t="s">
        <v>4487</v>
      </c>
      <c r="I1030" s="28"/>
      <c r="J1030" s="30"/>
      <c r="K1030" s="15">
        <f>COUNTIF(Contacts[姓名],Contacts[[#This Row],[姓名]])</f>
        <v>874</v>
      </c>
    </row>
    <row r="1031" spans="1:11" x14ac:dyDescent="0.15">
      <c r="A1031" s="28" t="s">
        <v>960</v>
      </c>
      <c r="B1031" s="15" t="s">
        <v>4380</v>
      </c>
      <c r="D1031" s="29" t="s">
        <v>961</v>
      </c>
      <c r="E1031" s="129" t="s">
        <v>5315</v>
      </c>
      <c r="F1031" s="15" t="s">
        <v>4487</v>
      </c>
      <c r="I1031" s="28"/>
      <c r="J1031" s="30"/>
      <c r="K1031" s="15">
        <f>COUNTIF(Contacts[姓名],Contacts[[#This Row],[姓名]])</f>
        <v>874</v>
      </c>
    </row>
    <row r="1032" spans="1:11" x14ac:dyDescent="0.15">
      <c r="A1032" s="28" t="s">
        <v>960</v>
      </c>
      <c r="B1032" s="15" t="s">
        <v>4380</v>
      </c>
      <c r="D1032" s="29" t="s">
        <v>959</v>
      </c>
      <c r="E1032" s="129" t="s">
        <v>5315</v>
      </c>
      <c r="F1032" s="15" t="s">
        <v>4487</v>
      </c>
      <c r="I1032" s="28"/>
      <c r="J1032" s="30"/>
      <c r="K1032" s="15">
        <f>COUNTIF(Contacts[姓名],Contacts[[#This Row],[姓名]])</f>
        <v>874</v>
      </c>
    </row>
    <row r="1033" spans="1:11" x14ac:dyDescent="0.15">
      <c r="A1033" s="28" t="s">
        <v>774</v>
      </c>
      <c r="B1033" s="15" t="s">
        <v>4380</v>
      </c>
      <c r="D1033" s="29" t="s">
        <v>773</v>
      </c>
      <c r="E1033" s="129" t="s">
        <v>5315</v>
      </c>
      <c r="F1033" s="15" t="s">
        <v>4487</v>
      </c>
      <c r="I1033" s="28"/>
      <c r="J1033" s="30"/>
      <c r="K1033" s="15">
        <f>COUNTIF(Contacts[姓名],Contacts[[#This Row],[姓名]])</f>
        <v>874</v>
      </c>
    </row>
    <row r="1034" spans="1:11" x14ac:dyDescent="0.15">
      <c r="A1034" s="28" t="s">
        <v>3347</v>
      </c>
      <c r="B1034" s="15" t="s">
        <v>4380</v>
      </c>
      <c r="D1034" s="29" t="s">
        <v>3346</v>
      </c>
      <c r="E1034" s="129" t="s">
        <v>5315</v>
      </c>
      <c r="F1034" s="15" t="s">
        <v>4487</v>
      </c>
      <c r="I1034" s="28"/>
      <c r="J1034" s="30"/>
      <c r="K1034" s="15">
        <f>COUNTIF(Contacts[姓名],Contacts[[#This Row],[姓名]])</f>
        <v>874</v>
      </c>
    </row>
    <row r="1035" spans="1:11" x14ac:dyDescent="0.15">
      <c r="A1035" s="28" t="s">
        <v>3333</v>
      </c>
      <c r="B1035" s="15" t="s">
        <v>4380</v>
      </c>
      <c r="D1035" s="29" t="s">
        <v>3332</v>
      </c>
      <c r="E1035" s="129" t="s">
        <v>5315</v>
      </c>
      <c r="F1035" s="15" t="s">
        <v>4487</v>
      </c>
      <c r="I1035" s="28"/>
      <c r="J1035" s="30"/>
      <c r="K1035" s="15">
        <f>COUNTIF(Contacts[姓名],Contacts[[#This Row],[姓名]])</f>
        <v>874</v>
      </c>
    </row>
    <row r="1036" spans="1:11" x14ac:dyDescent="0.15">
      <c r="A1036" s="28" t="s">
        <v>763</v>
      </c>
      <c r="B1036" s="15" t="s">
        <v>4380</v>
      </c>
      <c r="D1036" s="29" t="s">
        <v>2617</v>
      </c>
      <c r="E1036" s="129" t="s">
        <v>5315</v>
      </c>
      <c r="F1036" s="15" t="s">
        <v>4487</v>
      </c>
      <c r="I1036" s="28"/>
      <c r="J1036" s="30"/>
      <c r="K1036" s="15">
        <f>COUNTIF(Contacts[姓名],Contacts[[#This Row],[姓名]])</f>
        <v>874</v>
      </c>
    </row>
    <row r="1037" spans="1:11" x14ac:dyDescent="0.15">
      <c r="A1037" s="28" t="s">
        <v>762</v>
      </c>
      <c r="B1037" s="15" t="s">
        <v>4380</v>
      </c>
      <c r="D1037" s="29" t="s">
        <v>761</v>
      </c>
      <c r="E1037" s="129" t="s">
        <v>5315</v>
      </c>
      <c r="F1037" s="15" t="s">
        <v>4487</v>
      </c>
      <c r="I1037" s="28"/>
      <c r="J1037" s="30"/>
      <c r="K1037" s="15">
        <f>COUNTIF(Contacts[姓名],Contacts[[#This Row],[姓名]])</f>
        <v>874</v>
      </c>
    </row>
    <row r="1038" spans="1:11" x14ac:dyDescent="0.15">
      <c r="A1038" s="28" t="s">
        <v>931</v>
      </c>
      <c r="B1038" s="15" t="s">
        <v>4380</v>
      </c>
      <c r="D1038" s="29" t="s">
        <v>930</v>
      </c>
      <c r="E1038" s="129" t="s">
        <v>5315</v>
      </c>
      <c r="F1038" s="15" t="s">
        <v>4487</v>
      </c>
      <c r="I1038" s="28"/>
      <c r="J1038" s="30"/>
      <c r="K1038" s="15">
        <f>COUNTIF(Contacts[姓名],Contacts[[#This Row],[姓名]])</f>
        <v>874</v>
      </c>
    </row>
    <row r="1039" spans="1:11" x14ac:dyDescent="0.15">
      <c r="A1039" s="28" t="s">
        <v>823</v>
      </c>
      <c r="B1039" s="15" t="s">
        <v>4380</v>
      </c>
      <c r="D1039" s="29" t="s">
        <v>958</v>
      </c>
      <c r="E1039" s="129" t="s">
        <v>5315</v>
      </c>
      <c r="F1039" s="15" t="s">
        <v>4487</v>
      </c>
      <c r="I1039" s="28"/>
      <c r="J1039" s="30"/>
      <c r="K1039" s="15">
        <f>COUNTIF(Contacts[姓名],Contacts[[#This Row],[姓名]])</f>
        <v>874</v>
      </c>
    </row>
    <row r="1040" spans="1:11" x14ac:dyDescent="0.15">
      <c r="A1040" s="28" t="s">
        <v>758</v>
      </c>
      <c r="B1040" s="15" t="s">
        <v>4380</v>
      </c>
      <c r="C1040" s="15">
        <v>87721044</v>
      </c>
      <c r="D1040" s="29" t="s">
        <v>757</v>
      </c>
      <c r="E1040" s="129" t="s">
        <v>5315</v>
      </c>
      <c r="F1040" s="15" t="s">
        <v>4487</v>
      </c>
      <c r="I1040" s="28"/>
      <c r="J1040" s="30"/>
      <c r="K1040" s="15">
        <f>COUNTIF(Contacts[姓名],Contacts[[#This Row],[姓名]])</f>
        <v>874</v>
      </c>
    </row>
    <row r="1041" spans="1:11" x14ac:dyDescent="0.15">
      <c r="A1041" s="28"/>
      <c r="B1041" s="15" t="s">
        <v>4380</v>
      </c>
      <c r="C1041" s="15">
        <v>2851395520</v>
      </c>
      <c r="D1041" s="29" t="s">
        <v>941</v>
      </c>
      <c r="E1041" s="129" t="s">
        <v>5315</v>
      </c>
      <c r="F1041" s="15" t="s">
        <v>4487</v>
      </c>
      <c r="H1041" s="15" t="s">
        <v>3302</v>
      </c>
      <c r="I1041" s="28"/>
      <c r="J1041" s="30"/>
      <c r="K1041" s="15">
        <f>COUNTIF(Contacts[姓名],Contacts[[#This Row],[姓名]])</f>
        <v>874</v>
      </c>
    </row>
    <row r="1042" spans="1:11" x14ac:dyDescent="0.15">
      <c r="A1042" s="28"/>
      <c r="B1042" s="15" t="s">
        <v>4380</v>
      </c>
      <c r="D1042" s="29" t="s">
        <v>806</v>
      </c>
      <c r="E1042" s="129" t="s">
        <v>5315</v>
      </c>
      <c r="F1042" s="15" t="s">
        <v>4487</v>
      </c>
      <c r="I1042" s="28"/>
      <c r="J1042" s="30"/>
      <c r="K1042" s="15">
        <f>COUNTIF(Contacts[姓名],Contacts[[#This Row],[姓名]])</f>
        <v>874</v>
      </c>
    </row>
    <row r="1043" spans="1:11" x14ac:dyDescent="0.15">
      <c r="A1043" s="28"/>
      <c r="B1043" s="15" t="s">
        <v>4380</v>
      </c>
      <c r="D1043" s="29" t="s">
        <v>805</v>
      </c>
      <c r="E1043" s="129" t="s">
        <v>5315</v>
      </c>
      <c r="F1043" s="15" t="s">
        <v>4487</v>
      </c>
      <c r="I1043" s="28"/>
      <c r="J1043" s="30"/>
      <c r="K1043" s="15">
        <f>COUNTIF(Contacts[姓名],Contacts[[#This Row],[姓名]])</f>
        <v>874</v>
      </c>
    </row>
    <row r="1044" spans="1:11" x14ac:dyDescent="0.15">
      <c r="A1044" s="28"/>
      <c r="B1044" s="15" t="s">
        <v>4380</v>
      </c>
      <c r="D1044" s="29" t="s">
        <v>804</v>
      </c>
      <c r="E1044" s="129" t="s">
        <v>5315</v>
      </c>
      <c r="F1044" s="15" t="s">
        <v>4487</v>
      </c>
      <c r="I1044" s="28"/>
      <c r="J1044" s="30"/>
      <c r="K1044" s="15">
        <f>COUNTIF(Contacts[姓名],Contacts[[#This Row],[姓名]])</f>
        <v>874</v>
      </c>
    </row>
    <row r="1045" spans="1:11" x14ac:dyDescent="0.15">
      <c r="A1045" s="28"/>
      <c r="B1045" s="15" t="s">
        <v>4380</v>
      </c>
      <c r="D1045" s="29" t="s">
        <v>1073</v>
      </c>
      <c r="E1045" s="129" t="s">
        <v>5315</v>
      </c>
      <c r="F1045" s="15" t="s">
        <v>4487</v>
      </c>
      <c r="I1045" s="28"/>
      <c r="J1045" s="30"/>
      <c r="K1045" s="15">
        <f>COUNTIF(Contacts[姓名],Contacts[[#This Row],[姓名]])</f>
        <v>874</v>
      </c>
    </row>
    <row r="1046" spans="1:11" x14ac:dyDescent="0.15">
      <c r="A1046" s="28"/>
      <c r="B1046" s="15" t="s">
        <v>4380</v>
      </c>
      <c r="D1046" s="29" t="s">
        <v>1072</v>
      </c>
      <c r="E1046" s="129" t="s">
        <v>5315</v>
      </c>
      <c r="F1046" s="15" t="s">
        <v>4487</v>
      </c>
      <c r="I1046" s="28"/>
      <c r="J1046" s="30"/>
      <c r="K1046" s="15">
        <f>COUNTIF(Contacts[姓名],Contacts[[#This Row],[姓名]])</f>
        <v>874</v>
      </c>
    </row>
    <row r="1047" spans="1:11" x14ac:dyDescent="0.15">
      <c r="A1047" s="28"/>
      <c r="B1047" s="15" t="s">
        <v>4380</v>
      </c>
      <c r="D1047" s="29" t="s">
        <v>1070</v>
      </c>
      <c r="E1047" s="129" t="s">
        <v>5315</v>
      </c>
      <c r="F1047" s="15" t="s">
        <v>4487</v>
      </c>
      <c r="I1047" s="28"/>
      <c r="J1047" s="30"/>
      <c r="K1047" s="15">
        <f>COUNTIF(Contacts[姓名],Contacts[[#This Row],[姓名]])</f>
        <v>874</v>
      </c>
    </row>
    <row r="1048" spans="1:11" x14ac:dyDescent="0.15">
      <c r="A1048" s="28"/>
      <c r="B1048" s="15" t="s">
        <v>4380</v>
      </c>
      <c r="D1048" s="29" t="s">
        <v>1065</v>
      </c>
      <c r="E1048" s="129" t="s">
        <v>5315</v>
      </c>
      <c r="F1048" s="15" t="s">
        <v>4487</v>
      </c>
      <c r="I1048" s="28"/>
      <c r="J1048" s="30"/>
      <c r="K1048" s="15">
        <f>COUNTIF(Contacts[姓名],Contacts[[#This Row],[姓名]])</f>
        <v>874</v>
      </c>
    </row>
    <row r="1049" spans="1:11" x14ac:dyDescent="0.15">
      <c r="A1049" s="28"/>
      <c r="B1049" s="15" t="s">
        <v>4380</v>
      </c>
      <c r="D1049" s="29" t="s">
        <v>801</v>
      </c>
      <c r="E1049" s="129" t="s">
        <v>5315</v>
      </c>
      <c r="F1049" s="15" t="s">
        <v>4487</v>
      </c>
      <c r="I1049" s="28"/>
      <c r="J1049" s="30"/>
      <c r="K1049" s="15">
        <f>COUNTIF(Contacts[姓名],Contacts[[#This Row],[姓名]])</f>
        <v>874</v>
      </c>
    </row>
    <row r="1050" spans="1:11" x14ac:dyDescent="0.15">
      <c r="A1050" s="28"/>
      <c r="B1050" s="15" t="s">
        <v>4380</v>
      </c>
      <c r="D1050" s="29" t="s">
        <v>2465</v>
      </c>
      <c r="E1050" s="129" t="s">
        <v>5315</v>
      </c>
      <c r="F1050" s="15" t="s">
        <v>4487</v>
      </c>
      <c r="I1050" s="28"/>
      <c r="J1050" s="30"/>
      <c r="K1050" s="15">
        <f>COUNTIF(Contacts[姓名],Contacts[[#This Row],[姓名]])</f>
        <v>874</v>
      </c>
    </row>
    <row r="1051" spans="1:11" x14ac:dyDescent="0.15">
      <c r="A1051" s="28"/>
      <c r="B1051" s="15" t="s">
        <v>4380</v>
      </c>
      <c r="D1051" s="29" t="s">
        <v>912</v>
      </c>
      <c r="E1051" s="129" t="s">
        <v>5315</v>
      </c>
      <c r="F1051" s="15" t="s">
        <v>4487</v>
      </c>
      <c r="I1051" s="28"/>
      <c r="J1051" s="30"/>
      <c r="K1051" s="15">
        <f>COUNTIF(Contacts[姓名],Contacts[[#This Row],[姓名]])</f>
        <v>874</v>
      </c>
    </row>
    <row r="1052" spans="1:11" x14ac:dyDescent="0.15">
      <c r="A1052" s="28"/>
      <c r="B1052" s="15" t="s">
        <v>4380</v>
      </c>
      <c r="D1052" s="29" t="s">
        <v>911</v>
      </c>
      <c r="E1052" s="129" t="s">
        <v>5315</v>
      </c>
      <c r="F1052" s="15" t="s">
        <v>4487</v>
      </c>
      <c r="I1052" s="28"/>
      <c r="J1052" s="30"/>
      <c r="K1052" s="15">
        <f>COUNTIF(Contacts[姓名],Contacts[[#This Row],[姓名]])</f>
        <v>874</v>
      </c>
    </row>
    <row r="1053" spans="1:11" x14ac:dyDescent="0.15">
      <c r="A1053" s="28"/>
      <c r="B1053" s="15" t="s">
        <v>4380</v>
      </c>
      <c r="D1053" s="29" t="s">
        <v>1048</v>
      </c>
      <c r="E1053" s="129" t="s">
        <v>5315</v>
      </c>
      <c r="F1053" s="15" t="s">
        <v>4487</v>
      </c>
      <c r="I1053" s="28"/>
      <c r="J1053" s="30"/>
      <c r="K1053" s="15">
        <f>COUNTIF(Contacts[姓名],Contacts[[#This Row],[姓名]])</f>
        <v>874</v>
      </c>
    </row>
    <row r="1054" spans="1:11" x14ac:dyDescent="0.15">
      <c r="A1054" s="28"/>
      <c r="B1054" s="15" t="s">
        <v>4380</v>
      </c>
      <c r="D1054" s="29" t="s">
        <v>909</v>
      </c>
      <c r="E1054" s="129" t="s">
        <v>5315</v>
      </c>
      <c r="F1054" s="15" t="s">
        <v>4487</v>
      </c>
      <c r="I1054" s="28"/>
      <c r="J1054" s="30"/>
      <c r="K1054" s="15">
        <f>COUNTIF(Contacts[姓名],Contacts[[#This Row],[姓名]])</f>
        <v>874</v>
      </c>
    </row>
    <row r="1055" spans="1:11" x14ac:dyDescent="0.15">
      <c r="A1055" s="28"/>
      <c r="B1055" s="15" t="s">
        <v>4380</v>
      </c>
      <c r="D1055" s="29" t="s">
        <v>1042</v>
      </c>
      <c r="E1055" s="129" t="s">
        <v>5315</v>
      </c>
      <c r="F1055" s="15" t="s">
        <v>4487</v>
      </c>
      <c r="I1055" s="28"/>
      <c r="J1055" s="30"/>
      <c r="K1055" s="15">
        <f>COUNTIF(Contacts[姓名],Contacts[[#This Row],[姓名]])</f>
        <v>874</v>
      </c>
    </row>
    <row r="1056" spans="1:11" x14ac:dyDescent="0.15">
      <c r="A1056" s="28"/>
      <c r="B1056" s="15" t="s">
        <v>4380</v>
      </c>
      <c r="D1056" s="29" t="s">
        <v>908</v>
      </c>
      <c r="E1056" s="129" t="s">
        <v>5315</v>
      </c>
      <c r="F1056" s="15" t="s">
        <v>4487</v>
      </c>
      <c r="I1056" s="28"/>
      <c r="J1056" s="30"/>
      <c r="K1056" s="15">
        <f>COUNTIF(Contacts[姓名],Contacts[[#This Row],[姓名]])</f>
        <v>874</v>
      </c>
    </row>
    <row r="1057" spans="1:11" x14ac:dyDescent="0.15">
      <c r="A1057" s="28"/>
      <c r="B1057" s="15" t="s">
        <v>4380</v>
      </c>
      <c r="D1057" s="29" t="s">
        <v>3362</v>
      </c>
      <c r="E1057" s="129" t="s">
        <v>5315</v>
      </c>
      <c r="F1057" s="15" t="s">
        <v>4487</v>
      </c>
      <c r="I1057" s="28"/>
      <c r="J1057" s="30"/>
      <c r="K1057" s="15">
        <f>COUNTIF(Contacts[姓名],Contacts[[#This Row],[姓名]])</f>
        <v>874</v>
      </c>
    </row>
    <row r="1058" spans="1:11" x14ac:dyDescent="0.15">
      <c r="A1058" s="28"/>
      <c r="B1058" s="15" t="s">
        <v>4380</v>
      </c>
      <c r="D1058" s="29" t="s">
        <v>1035</v>
      </c>
      <c r="E1058" s="129" t="s">
        <v>5315</v>
      </c>
      <c r="F1058" s="15" t="s">
        <v>4487</v>
      </c>
      <c r="I1058" s="28"/>
      <c r="J1058" s="30"/>
      <c r="K1058" s="15">
        <f>COUNTIF(Contacts[姓名],Contacts[[#This Row],[姓名]])</f>
        <v>874</v>
      </c>
    </row>
    <row r="1059" spans="1:11" x14ac:dyDescent="0.15">
      <c r="A1059" s="28"/>
      <c r="B1059" s="15" t="s">
        <v>4380</v>
      </c>
      <c r="D1059" s="29" t="s">
        <v>1011</v>
      </c>
      <c r="E1059" s="129" t="s">
        <v>5315</v>
      </c>
      <c r="F1059" s="15" t="s">
        <v>4487</v>
      </c>
      <c r="I1059" s="28"/>
      <c r="J1059" s="30"/>
      <c r="K1059" s="15">
        <f>COUNTIF(Contacts[姓名],Contacts[[#This Row],[姓名]])</f>
        <v>874</v>
      </c>
    </row>
    <row r="1060" spans="1:11" x14ac:dyDescent="0.15">
      <c r="A1060" s="28"/>
      <c r="B1060" s="15" t="s">
        <v>4380</v>
      </c>
      <c r="D1060" s="29" t="s">
        <v>1010</v>
      </c>
      <c r="E1060" s="129" t="s">
        <v>5315</v>
      </c>
      <c r="F1060" s="15" t="s">
        <v>4487</v>
      </c>
      <c r="I1060" s="28"/>
      <c r="J1060" s="30"/>
      <c r="K1060" s="15">
        <f>COUNTIF(Contacts[姓名],Contacts[[#This Row],[姓名]])</f>
        <v>874</v>
      </c>
    </row>
    <row r="1061" spans="1:11" x14ac:dyDescent="0.15">
      <c r="A1061" s="28"/>
      <c r="B1061" s="15" t="s">
        <v>4380</v>
      </c>
      <c r="D1061" s="29" t="s">
        <v>1009</v>
      </c>
      <c r="E1061" s="129" t="s">
        <v>5315</v>
      </c>
      <c r="F1061" s="15" t="s">
        <v>4487</v>
      </c>
      <c r="I1061" s="28"/>
      <c r="J1061" s="30"/>
      <c r="K1061" s="15">
        <f>COUNTIF(Contacts[姓名],Contacts[[#This Row],[姓名]])</f>
        <v>874</v>
      </c>
    </row>
    <row r="1062" spans="1:11" x14ac:dyDescent="0.15">
      <c r="A1062" s="28"/>
      <c r="B1062" s="15" t="s">
        <v>4380</v>
      </c>
      <c r="D1062" s="29" t="s">
        <v>1008</v>
      </c>
      <c r="E1062" s="129" t="s">
        <v>5315</v>
      </c>
      <c r="F1062" s="15" t="s">
        <v>4487</v>
      </c>
      <c r="I1062" s="28"/>
      <c r="J1062" s="30"/>
      <c r="K1062" s="15">
        <f>COUNTIF(Contacts[姓名],Contacts[[#This Row],[姓名]])</f>
        <v>874</v>
      </c>
    </row>
    <row r="1063" spans="1:11" x14ac:dyDescent="0.15">
      <c r="A1063" s="28"/>
      <c r="B1063" s="15" t="s">
        <v>4380</v>
      </c>
      <c r="D1063" s="29" t="s">
        <v>991</v>
      </c>
      <c r="E1063" s="129" t="s">
        <v>5315</v>
      </c>
      <c r="F1063" s="15" t="s">
        <v>4487</v>
      </c>
      <c r="I1063" s="28"/>
      <c r="J1063" s="30"/>
      <c r="K1063" s="15">
        <f>COUNTIF(Contacts[姓名],Contacts[[#This Row],[姓名]])</f>
        <v>874</v>
      </c>
    </row>
    <row r="1064" spans="1:11" x14ac:dyDescent="0.15">
      <c r="A1064" s="28"/>
      <c r="B1064" s="15" t="s">
        <v>4380</v>
      </c>
      <c r="D1064" s="29" t="s">
        <v>982</v>
      </c>
      <c r="E1064" s="129" t="s">
        <v>5315</v>
      </c>
      <c r="F1064" s="15" t="s">
        <v>4487</v>
      </c>
      <c r="I1064" s="28"/>
      <c r="J1064" s="30"/>
      <c r="K1064" s="15">
        <f>COUNTIF(Contacts[姓名],Contacts[[#This Row],[姓名]])</f>
        <v>874</v>
      </c>
    </row>
    <row r="1065" spans="1:11" x14ac:dyDescent="0.15">
      <c r="A1065" s="28"/>
      <c r="B1065" s="15" t="s">
        <v>4380</v>
      </c>
      <c r="D1065" s="29" t="s">
        <v>953</v>
      </c>
      <c r="E1065" s="129" t="s">
        <v>5315</v>
      </c>
      <c r="F1065" s="15" t="s">
        <v>4487</v>
      </c>
      <c r="I1065" s="28"/>
      <c r="J1065" s="30"/>
      <c r="K1065" s="15">
        <f>COUNTIF(Contacts[姓名],Contacts[[#This Row],[姓名]])</f>
        <v>874</v>
      </c>
    </row>
    <row r="1066" spans="1:11" x14ac:dyDescent="0.15">
      <c r="A1066" s="28"/>
      <c r="B1066" s="15" t="s">
        <v>4380</v>
      </c>
      <c r="D1066" s="29" t="s">
        <v>943</v>
      </c>
      <c r="E1066" s="129" t="s">
        <v>5315</v>
      </c>
      <c r="F1066" s="15" t="s">
        <v>4487</v>
      </c>
      <c r="I1066" s="28"/>
      <c r="J1066" s="30"/>
      <c r="K1066" s="15">
        <f>COUNTIF(Contacts[姓名],Contacts[[#This Row],[姓名]])</f>
        <v>874</v>
      </c>
    </row>
    <row r="1067" spans="1:11" x14ac:dyDescent="0.15">
      <c r="A1067" s="28"/>
      <c r="B1067" s="15" t="s">
        <v>4380</v>
      </c>
      <c r="D1067" s="29" t="s">
        <v>942</v>
      </c>
      <c r="E1067" s="129" t="s">
        <v>5315</v>
      </c>
      <c r="F1067" s="15" t="s">
        <v>4487</v>
      </c>
      <c r="I1067" s="28"/>
      <c r="J1067" s="30"/>
      <c r="K1067" s="15">
        <f>COUNTIF(Contacts[姓名],Contacts[[#This Row],[姓名]])</f>
        <v>874</v>
      </c>
    </row>
    <row r="1068" spans="1:11" x14ac:dyDescent="0.15">
      <c r="A1068" s="28"/>
      <c r="B1068" s="15" t="s">
        <v>4380</v>
      </c>
      <c r="D1068" s="29" t="s">
        <v>940</v>
      </c>
      <c r="E1068" s="129" t="s">
        <v>5315</v>
      </c>
      <c r="F1068" s="15" t="s">
        <v>4487</v>
      </c>
      <c r="I1068" s="28"/>
      <c r="J1068" s="30"/>
      <c r="K1068" s="15">
        <f>COUNTIF(Contacts[姓名],Contacts[[#This Row],[姓名]])</f>
        <v>874</v>
      </c>
    </row>
    <row r="1069" spans="1:11" x14ac:dyDescent="0.15">
      <c r="A1069" s="28"/>
      <c r="B1069" s="15" t="s">
        <v>4380</v>
      </c>
      <c r="D1069" s="29" t="s">
        <v>935</v>
      </c>
      <c r="E1069" s="129" t="s">
        <v>5315</v>
      </c>
      <c r="F1069" s="15" t="s">
        <v>4487</v>
      </c>
      <c r="I1069" s="28"/>
      <c r="J1069" s="30"/>
      <c r="K1069" s="15">
        <f>COUNTIF(Contacts[姓名],Contacts[[#This Row],[姓名]])</f>
        <v>874</v>
      </c>
    </row>
    <row r="1070" spans="1:11" x14ac:dyDescent="0.15">
      <c r="A1070" s="28"/>
      <c r="B1070" s="15" t="s">
        <v>4380</v>
      </c>
      <c r="D1070" s="29" t="s">
        <v>784</v>
      </c>
      <c r="E1070" s="129" t="s">
        <v>5315</v>
      </c>
      <c r="F1070" s="15" t="s">
        <v>4487</v>
      </c>
      <c r="I1070" s="28"/>
      <c r="J1070" s="30"/>
      <c r="K1070" s="15">
        <f>COUNTIF(Contacts[姓名],Contacts[[#This Row],[姓名]])</f>
        <v>874</v>
      </c>
    </row>
    <row r="1071" spans="1:11" x14ac:dyDescent="0.15">
      <c r="A1071" s="28"/>
      <c r="B1071" s="15" t="s">
        <v>4380</v>
      </c>
      <c r="D1071" s="29" t="s">
        <v>783</v>
      </c>
      <c r="E1071" s="129" t="s">
        <v>5315</v>
      </c>
      <c r="F1071" s="15" t="s">
        <v>4487</v>
      </c>
      <c r="I1071" s="28"/>
      <c r="J1071" s="30"/>
      <c r="K1071" s="15">
        <f>COUNTIF(Contacts[姓名],Contacts[[#This Row],[姓名]])</f>
        <v>874</v>
      </c>
    </row>
    <row r="1072" spans="1:11" x14ac:dyDescent="0.15">
      <c r="A1072" s="28"/>
      <c r="B1072" s="15" t="s">
        <v>4380</v>
      </c>
      <c r="D1072" s="29" t="s">
        <v>779</v>
      </c>
      <c r="E1072" s="129" t="s">
        <v>5315</v>
      </c>
      <c r="F1072" s="15" t="s">
        <v>4487</v>
      </c>
      <c r="I1072" s="28"/>
      <c r="J1072" s="30"/>
      <c r="K1072" s="15">
        <f>COUNTIF(Contacts[姓名],Contacts[[#This Row],[姓名]])</f>
        <v>874</v>
      </c>
    </row>
    <row r="1073" spans="1:11" x14ac:dyDescent="0.15">
      <c r="A1073" s="28"/>
      <c r="B1073" s="15" t="s">
        <v>4380</v>
      </c>
      <c r="D1073" s="29" t="s">
        <v>772</v>
      </c>
      <c r="E1073" s="129" t="s">
        <v>5315</v>
      </c>
      <c r="F1073" s="15" t="s">
        <v>4487</v>
      </c>
      <c r="I1073" s="28"/>
      <c r="J1073" s="30"/>
      <c r="K1073" s="15">
        <f>COUNTIF(Contacts[姓名],Contacts[[#This Row],[姓名]])</f>
        <v>874</v>
      </c>
    </row>
    <row r="1074" spans="1:11" x14ac:dyDescent="0.15">
      <c r="A1074" s="28"/>
      <c r="B1074" s="15" t="s">
        <v>4380</v>
      </c>
      <c r="D1074" s="29" t="s">
        <v>771</v>
      </c>
      <c r="E1074" s="129" t="s">
        <v>5315</v>
      </c>
      <c r="F1074" s="15" t="s">
        <v>4487</v>
      </c>
      <c r="I1074" s="28"/>
      <c r="J1074" s="30"/>
      <c r="K1074" s="15">
        <f>COUNTIF(Contacts[姓名],Contacts[[#This Row],[姓名]])</f>
        <v>874</v>
      </c>
    </row>
    <row r="1075" spans="1:11" x14ac:dyDescent="0.15">
      <c r="A1075" s="28"/>
      <c r="B1075" s="15" t="s">
        <v>4380</v>
      </c>
      <c r="D1075" s="29" t="s">
        <v>766</v>
      </c>
      <c r="E1075" s="129" t="s">
        <v>5315</v>
      </c>
      <c r="F1075" s="15" t="s">
        <v>4487</v>
      </c>
      <c r="I1075" s="28"/>
      <c r="J1075" s="30"/>
      <c r="K1075" s="15">
        <f>COUNTIF(Contacts[姓名],Contacts[[#This Row],[姓名]])</f>
        <v>874</v>
      </c>
    </row>
    <row r="1076" spans="1:11" x14ac:dyDescent="0.15">
      <c r="A1076" s="28"/>
      <c r="B1076" s="15" t="s">
        <v>4380</v>
      </c>
      <c r="D1076" s="29" t="s">
        <v>760</v>
      </c>
      <c r="E1076" s="129" t="s">
        <v>5315</v>
      </c>
      <c r="F1076" s="15" t="s">
        <v>4487</v>
      </c>
      <c r="I1076" s="28"/>
      <c r="J1076" s="30"/>
      <c r="K1076" s="15">
        <f>COUNTIF(Contacts[姓名],Contacts[[#This Row],[姓名]])</f>
        <v>874</v>
      </c>
    </row>
    <row r="1077" spans="1:11" x14ac:dyDescent="0.15">
      <c r="A1077" s="28"/>
      <c r="B1077" s="15" t="s">
        <v>4380</v>
      </c>
      <c r="D1077" s="29" t="s">
        <v>759</v>
      </c>
      <c r="E1077" s="129" t="s">
        <v>5315</v>
      </c>
      <c r="F1077" s="15" t="s">
        <v>4487</v>
      </c>
      <c r="I1077" s="28"/>
      <c r="J1077" s="30"/>
      <c r="K1077" s="15">
        <f>COUNTIF(Contacts[姓名],Contacts[[#This Row],[姓名]])</f>
        <v>874</v>
      </c>
    </row>
    <row r="1078" spans="1:11" x14ac:dyDescent="0.15">
      <c r="A1078" s="28"/>
      <c r="B1078" s="15" t="s">
        <v>4380</v>
      </c>
      <c r="D1078" s="29" t="s">
        <v>929</v>
      </c>
      <c r="E1078" s="129" t="s">
        <v>5315</v>
      </c>
      <c r="F1078" s="15" t="s">
        <v>4487</v>
      </c>
      <c r="I1078" s="28"/>
      <c r="J1078" s="30"/>
      <c r="K1078" s="15">
        <f>COUNTIF(Contacts[姓名],Contacts[[#This Row],[姓名]])</f>
        <v>874</v>
      </c>
    </row>
    <row r="1079" spans="1:11" x14ac:dyDescent="0.15">
      <c r="A1079" s="28"/>
      <c r="B1079" s="15" t="s">
        <v>4380</v>
      </c>
      <c r="D1079" s="29" t="s">
        <v>756</v>
      </c>
      <c r="E1079" s="129" t="s">
        <v>5315</v>
      </c>
      <c r="F1079" s="15" t="s">
        <v>4487</v>
      </c>
      <c r="I1079" s="28"/>
      <c r="J1079" s="30"/>
      <c r="K1079" s="15">
        <f>COUNTIF(Contacts[姓名],Contacts[[#This Row],[姓名]])</f>
        <v>874</v>
      </c>
    </row>
    <row r="1080" spans="1:11" x14ac:dyDescent="0.15">
      <c r="A1080" s="28"/>
      <c r="B1080" s="15" t="s">
        <v>4380</v>
      </c>
      <c r="D1080" s="29" t="s">
        <v>2576</v>
      </c>
      <c r="E1080" s="129" t="s">
        <v>5315</v>
      </c>
      <c r="F1080" s="15" t="s">
        <v>4487</v>
      </c>
      <c r="I1080" s="28"/>
      <c r="J1080" s="30"/>
      <c r="K1080" s="15">
        <f>COUNTIF(Contacts[姓名],Contacts[[#This Row],[姓名]])</f>
        <v>874</v>
      </c>
    </row>
    <row r="1081" spans="1:11" x14ac:dyDescent="0.15">
      <c r="A1081" s="28"/>
      <c r="B1081" s="15" t="s">
        <v>4380</v>
      </c>
      <c r="D1081" s="29" t="s">
        <v>750</v>
      </c>
      <c r="E1081" s="129" t="s">
        <v>5315</v>
      </c>
      <c r="F1081" s="15" t="s">
        <v>4487</v>
      </c>
      <c r="I1081" s="28"/>
      <c r="J1081" s="30"/>
      <c r="K1081" s="15">
        <f>COUNTIF(Contacts[姓名],Contacts[[#This Row],[姓名]])</f>
        <v>874</v>
      </c>
    </row>
    <row r="1082" spans="1:11" x14ac:dyDescent="0.15">
      <c r="A1082" s="28" t="s">
        <v>995</v>
      </c>
      <c r="B1082" s="15" t="s">
        <v>1750</v>
      </c>
      <c r="C1082" s="15">
        <v>359124460</v>
      </c>
      <c r="D1082" s="29" t="s">
        <v>2695</v>
      </c>
      <c r="E1082" s="129" t="s">
        <v>5315</v>
      </c>
      <c r="F1082" s="15" t="s">
        <v>4510</v>
      </c>
      <c r="H1082" s="15" t="s">
        <v>2838</v>
      </c>
      <c r="I1082" s="28"/>
      <c r="J1082" s="30" t="s">
        <v>2550</v>
      </c>
      <c r="K1082" s="15">
        <f>COUNTIF(Contacts[姓名],Contacts[[#This Row],[姓名]])</f>
        <v>1</v>
      </c>
    </row>
    <row r="1083" spans="1:11" x14ac:dyDescent="0.15">
      <c r="A1083" s="28" t="s">
        <v>498</v>
      </c>
      <c r="B1083" s="15" t="s">
        <v>2521</v>
      </c>
      <c r="C1083" s="15">
        <v>2881536701</v>
      </c>
      <c r="D1083" s="29" t="s">
        <v>2568</v>
      </c>
      <c r="E1083" s="129" t="s">
        <v>5315</v>
      </c>
      <c r="F1083" s="15" t="s">
        <v>6165</v>
      </c>
      <c r="H1083" s="15" t="s">
        <v>3084</v>
      </c>
      <c r="I1083" s="28" t="s">
        <v>3085</v>
      </c>
      <c r="J1083" s="30" t="s">
        <v>2563</v>
      </c>
      <c r="K1083" s="15">
        <f>COUNTIF(Contacts[姓名],Contacts[[#This Row],[姓名]])</f>
        <v>1</v>
      </c>
    </row>
    <row r="1084" spans="1:11" x14ac:dyDescent="0.15">
      <c r="A1084" s="28" t="s">
        <v>498</v>
      </c>
      <c r="B1084" s="15" t="s">
        <v>1750</v>
      </c>
      <c r="C1084" s="15">
        <v>2881536700</v>
      </c>
      <c r="D1084" s="29" t="s">
        <v>2716</v>
      </c>
      <c r="E1084" s="129" t="s">
        <v>5315</v>
      </c>
      <c r="F1084" s="15" t="s">
        <v>4511</v>
      </c>
      <c r="G1084" s="15" t="s">
        <v>2563</v>
      </c>
      <c r="H1084" s="15" t="s">
        <v>2870</v>
      </c>
      <c r="I1084" s="28" t="s">
        <v>2802</v>
      </c>
      <c r="J1084" s="30"/>
      <c r="K1084" s="15">
        <f>COUNTIF(Contacts[姓名],Contacts[[#This Row],[姓名]])</f>
        <v>1</v>
      </c>
    </row>
    <row r="1085" spans="1:11" x14ac:dyDescent="0.15">
      <c r="A1085" s="28" t="s">
        <v>498</v>
      </c>
      <c r="B1085" s="15" t="s">
        <v>1750</v>
      </c>
      <c r="C1085" s="15">
        <v>2881536708</v>
      </c>
      <c r="D1085" s="29" t="s">
        <v>2801</v>
      </c>
      <c r="E1085" s="129" t="s">
        <v>5315</v>
      </c>
      <c r="F1085" s="15" t="s">
        <v>4512</v>
      </c>
      <c r="H1085" s="15" t="s">
        <v>2855</v>
      </c>
      <c r="I1085" s="28"/>
      <c r="J1085" s="30" t="s">
        <v>2713</v>
      </c>
      <c r="K1085" s="15">
        <f>COUNTIF(Contacts[姓名],Contacts[[#This Row],[姓名]])</f>
        <v>1</v>
      </c>
    </row>
    <row r="1086" spans="1:11" x14ac:dyDescent="0.15">
      <c r="A1086" s="28"/>
      <c r="B1086" s="15" t="s">
        <v>4379</v>
      </c>
      <c r="C1086" s="15">
        <v>2291782946</v>
      </c>
      <c r="D1086" s="29"/>
      <c r="E1086" s="129" t="s">
        <v>5315</v>
      </c>
      <c r="F1086" s="15" t="s">
        <v>6166</v>
      </c>
      <c r="I1086" s="28"/>
      <c r="J1086" s="30" t="s">
        <v>4368</v>
      </c>
      <c r="K1086" s="15">
        <f>COUNTIF(Contacts[姓名],Contacts[[#This Row],[姓名]])</f>
        <v>1</v>
      </c>
    </row>
    <row r="1087" spans="1:11" x14ac:dyDescent="0.15">
      <c r="A1087" s="28" t="s">
        <v>498</v>
      </c>
      <c r="B1087" s="15" t="s">
        <v>1750</v>
      </c>
      <c r="C1087" s="15">
        <v>2881725326</v>
      </c>
      <c r="D1087" s="29" t="s">
        <v>2691</v>
      </c>
      <c r="E1087" s="129" t="s">
        <v>5315</v>
      </c>
      <c r="F1087" s="15" t="s">
        <v>4514</v>
      </c>
      <c r="H1087" s="15" t="s">
        <v>2863</v>
      </c>
      <c r="I1087" s="28" t="s">
        <v>2800</v>
      </c>
      <c r="J1087" s="30" t="s">
        <v>2545</v>
      </c>
      <c r="K1087" s="15">
        <f>COUNTIF(Contacts[姓名],Contacts[[#This Row],[姓名]])</f>
        <v>1</v>
      </c>
    </row>
    <row r="1088" spans="1:11" x14ac:dyDescent="0.15">
      <c r="A1088" s="28" t="s">
        <v>1751</v>
      </c>
      <c r="B1088" s="15" t="s">
        <v>1750</v>
      </c>
      <c r="C1088" s="15">
        <v>995346392</v>
      </c>
      <c r="D1088" s="29" t="s">
        <v>2714</v>
      </c>
      <c r="E1088" s="129" t="s">
        <v>5315</v>
      </c>
      <c r="F1088" s="15" t="s">
        <v>4516</v>
      </c>
      <c r="I1088" s="28" t="s">
        <v>2793</v>
      </c>
      <c r="J1088" s="30" t="s">
        <v>2715</v>
      </c>
      <c r="K1088" s="15">
        <f>COUNTIF(Contacts[姓名],Contacts[[#This Row],[姓名]])</f>
        <v>1</v>
      </c>
    </row>
    <row r="1089" spans="1:11" x14ac:dyDescent="0.15">
      <c r="A1089" s="28" t="s">
        <v>492</v>
      </c>
      <c r="B1089" s="15" t="s">
        <v>1750</v>
      </c>
      <c r="C1089" s="15">
        <v>731471558</v>
      </c>
      <c r="D1089" s="29" t="s">
        <v>2685</v>
      </c>
      <c r="E1089" s="129" t="s">
        <v>5315</v>
      </c>
      <c r="F1089" s="15" t="s">
        <v>4517</v>
      </c>
      <c r="I1089" s="28"/>
      <c r="J1089" s="30" t="s">
        <v>2537</v>
      </c>
      <c r="K1089" s="15">
        <f>COUNTIF(Contacts[姓名],Contacts[[#This Row],[姓名]])</f>
        <v>1</v>
      </c>
    </row>
    <row r="1090" spans="1:11" x14ac:dyDescent="0.15">
      <c r="A1090" s="28" t="s">
        <v>492</v>
      </c>
      <c r="B1090" s="15" t="s">
        <v>1750</v>
      </c>
      <c r="C1090" s="15">
        <v>1816541940</v>
      </c>
      <c r="D1090" s="29" t="s">
        <v>2687</v>
      </c>
      <c r="E1090" s="129" t="s">
        <v>5315</v>
      </c>
      <c r="F1090" s="15" t="s">
        <v>4518</v>
      </c>
      <c r="H1090" s="15" t="s">
        <v>2880</v>
      </c>
      <c r="I1090" s="28" t="s">
        <v>2805</v>
      </c>
      <c r="J1090" s="30" t="s">
        <v>2539</v>
      </c>
      <c r="K1090" s="15">
        <f>COUNTIF(Contacts[姓名],Contacts[[#This Row],[姓名]])</f>
        <v>1</v>
      </c>
    </row>
    <row r="1091" spans="1:11" x14ac:dyDescent="0.15">
      <c r="A1091" s="28" t="s">
        <v>587</v>
      </c>
      <c r="B1091" s="15" t="s">
        <v>1750</v>
      </c>
      <c r="C1091" s="15">
        <v>2850688056</v>
      </c>
      <c r="D1091" s="29" t="s">
        <v>2682</v>
      </c>
      <c r="E1091" s="129" t="s">
        <v>5315</v>
      </c>
      <c r="F1091" s="15" t="s">
        <v>4519</v>
      </c>
      <c r="H1091" s="15" t="s">
        <v>2883</v>
      </c>
      <c r="I1091" s="28" t="s">
        <v>2804</v>
      </c>
      <c r="J1091" s="30" t="s">
        <v>2532</v>
      </c>
      <c r="K1091" s="15">
        <f>COUNTIF(Contacts[姓名],Contacts[[#This Row],[姓名]])</f>
        <v>1</v>
      </c>
    </row>
    <row r="1092" spans="1:11" x14ac:dyDescent="0.15">
      <c r="A1092" s="28" t="s">
        <v>846</v>
      </c>
      <c r="B1092" s="15" t="s">
        <v>1715</v>
      </c>
      <c r="C1092" s="15">
        <v>2355913534</v>
      </c>
      <c r="D1092" s="29" t="s">
        <v>1744</v>
      </c>
      <c r="E1092" s="129" t="s">
        <v>5315</v>
      </c>
      <c r="F1092" s="15" t="s">
        <v>4520</v>
      </c>
      <c r="I1092" s="28"/>
      <c r="J1092" s="30"/>
      <c r="K1092" s="15">
        <f>COUNTIF(Contacts[姓名],Contacts[[#This Row],[姓名]])</f>
        <v>1</v>
      </c>
    </row>
    <row r="1093" spans="1:11" x14ac:dyDescent="0.15">
      <c r="A1093" s="28" t="s">
        <v>4931</v>
      </c>
      <c r="C1093" s="15">
        <v>2040784649</v>
      </c>
      <c r="D1093" s="29"/>
      <c r="E1093" s="129" t="s">
        <v>5315</v>
      </c>
      <c r="F1093" s="15" t="s">
        <v>6167</v>
      </c>
      <c r="I1093" s="28"/>
      <c r="J1093" s="30" t="s">
        <v>4872</v>
      </c>
      <c r="K1093" s="15">
        <f>COUNTIF(Contacts[姓名],Contacts[[#This Row],[姓名]])</f>
        <v>1</v>
      </c>
    </row>
    <row r="1094" spans="1:11" x14ac:dyDescent="0.15">
      <c r="A1094" s="28" t="s">
        <v>551</v>
      </c>
      <c r="B1094" s="15" t="s">
        <v>1715</v>
      </c>
      <c r="C1094" s="15">
        <v>2880265334</v>
      </c>
      <c r="D1094" s="29" t="s">
        <v>1742</v>
      </c>
      <c r="E1094" s="129" t="s">
        <v>5315</v>
      </c>
      <c r="F1094" s="15" t="s">
        <v>4521</v>
      </c>
      <c r="I1094" s="28"/>
      <c r="J1094" s="30"/>
      <c r="K1094" s="15">
        <f>COUNTIF(Contacts[姓名],Contacts[[#This Row],[姓名]])</f>
        <v>1</v>
      </c>
    </row>
    <row r="1095" spans="1:11" x14ac:dyDescent="0.15">
      <c r="A1095" s="28" t="s">
        <v>579</v>
      </c>
      <c r="B1095" s="15" t="s">
        <v>1715</v>
      </c>
      <c r="C1095" s="15">
        <v>2851692019</v>
      </c>
      <c r="D1095" s="29" t="s">
        <v>1741</v>
      </c>
      <c r="E1095" s="129" t="s">
        <v>5315</v>
      </c>
      <c r="F1095" s="15" t="s">
        <v>4522</v>
      </c>
      <c r="I1095" s="28"/>
      <c r="J1095" s="30"/>
      <c r="K1095" s="15">
        <f>COUNTIF(Contacts[姓名],Contacts[[#This Row],[姓名]])</f>
        <v>1</v>
      </c>
    </row>
    <row r="1096" spans="1:11" x14ac:dyDescent="0.15">
      <c r="A1096" s="28" t="s">
        <v>2479</v>
      </c>
      <c r="B1096" s="15" t="s">
        <v>1715</v>
      </c>
      <c r="C1096" s="15">
        <v>271528922</v>
      </c>
      <c r="D1096" s="29" t="s">
        <v>2696</v>
      </c>
      <c r="E1096" s="129" t="s">
        <v>5315</v>
      </c>
      <c r="F1096" s="15" t="s">
        <v>4487</v>
      </c>
      <c r="I1096" s="28"/>
      <c r="J1096" s="30" t="s">
        <v>2551</v>
      </c>
      <c r="K1096" s="15">
        <f>COUNTIF(Contacts[姓名],Contacts[[#This Row],[姓名]])</f>
        <v>874</v>
      </c>
    </row>
    <row r="1097" spans="1:11" x14ac:dyDescent="0.15">
      <c r="A1097" s="28" t="s">
        <v>2481</v>
      </c>
      <c r="B1097" s="15" t="s">
        <v>1715</v>
      </c>
      <c r="C1097" s="15">
        <v>2851561501</v>
      </c>
      <c r="D1097" s="29" t="s">
        <v>2402</v>
      </c>
      <c r="E1097" s="129" t="s">
        <v>5315</v>
      </c>
      <c r="F1097" s="15" t="s">
        <v>4523</v>
      </c>
      <c r="I1097" s="28"/>
      <c r="J1097" s="30"/>
      <c r="K1097" s="15">
        <f>COUNTIF(Contacts[姓名],Contacts[[#This Row],[姓名]])</f>
        <v>1</v>
      </c>
    </row>
    <row r="1098" spans="1:11" x14ac:dyDescent="0.15">
      <c r="A1098" s="28" t="s">
        <v>2483</v>
      </c>
      <c r="B1098" s="15" t="s">
        <v>1715</v>
      </c>
      <c r="C1098" s="15">
        <v>2851209322</v>
      </c>
      <c r="D1098" s="29" t="s">
        <v>1739</v>
      </c>
      <c r="E1098" s="129" t="s">
        <v>5315</v>
      </c>
      <c r="F1098" s="15" t="s">
        <v>4524</v>
      </c>
      <c r="I1098" s="28"/>
      <c r="J1098" s="30"/>
      <c r="K1098" s="15">
        <f>COUNTIF(Contacts[姓名],Contacts[[#This Row],[姓名]])</f>
        <v>1</v>
      </c>
    </row>
    <row r="1099" spans="1:11" x14ac:dyDescent="0.15">
      <c r="A1099" s="28" t="s">
        <v>903</v>
      </c>
      <c r="B1099" s="15" t="s">
        <v>1715</v>
      </c>
      <c r="C1099" s="15">
        <v>149840021</v>
      </c>
      <c r="D1099" s="29" t="s">
        <v>2792</v>
      </c>
      <c r="E1099" s="129" t="s">
        <v>5315</v>
      </c>
      <c r="F1099" s="15" t="s">
        <v>4525</v>
      </c>
      <c r="I1099" s="28"/>
      <c r="J1099" s="30" t="s">
        <v>2791</v>
      </c>
      <c r="K1099" s="15">
        <f>COUNTIF(Contacts[姓名],Contacts[[#This Row],[姓名]])</f>
        <v>1</v>
      </c>
    </row>
    <row r="1100" spans="1:11" x14ac:dyDescent="0.15">
      <c r="A1100" s="28" t="s">
        <v>907</v>
      </c>
      <c r="B1100" s="15" t="s">
        <v>4380</v>
      </c>
      <c r="C1100" s="15">
        <v>22631622</v>
      </c>
      <c r="D1100" s="29" t="s">
        <v>1545</v>
      </c>
      <c r="E1100" s="129" t="s">
        <v>5315</v>
      </c>
      <c r="F1100" s="15" t="s">
        <v>6168</v>
      </c>
      <c r="H1100" s="15" t="s">
        <v>3303</v>
      </c>
      <c r="I1100" s="28"/>
      <c r="J1100" s="30"/>
      <c r="K1100" s="15">
        <f>COUNTIF(Contacts[姓名],Contacts[[#This Row],[姓名]])</f>
        <v>1</v>
      </c>
    </row>
    <row r="1101" spans="1:11" x14ac:dyDescent="0.15">
      <c r="A1101" s="28" t="s">
        <v>2416</v>
      </c>
      <c r="B1101" s="15" t="s">
        <v>1715</v>
      </c>
      <c r="C1101" s="15">
        <v>952987808</v>
      </c>
      <c r="D1101" s="29" t="s">
        <v>1748</v>
      </c>
      <c r="E1101" s="129" t="s">
        <v>5315</v>
      </c>
      <c r="F1101" s="15" t="s">
        <v>4527</v>
      </c>
      <c r="I1101" s="28"/>
      <c r="J1101" s="30"/>
      <c r="K1101" s="15">
        <f>COUNTIF(Contacts[姓名],Contacts[[#This Row],[姓名]])</f>
        <v>1</v>
      </c>
    </row>
    <row r="1102" spans="1:11" x14ac:dyDescent="0.15">
      <c r="A1102" s="28" t="s">
        <v>2488</v>
      </c>
      <c r="B1102" s="15" t="s">
        <v>1715</v>
      </c>
      <c r="C1102" s="15">
        <v>3003566765</v>
      </c>
      <c r="D1102" s="29" t="s">
        <v>2406</v>
      </c>
      <c r="E1102" s="129" t="s">
        <v>5315</v>
      </c>
      <c r="F1102" s="15" t="s">
        <v>3505</v>
      </c>
      <c r="I1102" s="28"/>
      <c r="J1102" s="30"/>
      <c r="K1102" s="15">
        <f>COUNTIF(Contacts[姓名],Contacts[[#This Row],[姓名]])</f>
        <v>1</v>
      </c>
    </row>
    <row r="1103" spans="1:11" x14ac:dyDescent="0.15">
      <c r="A1103" s="28" t="s">
        <v>619</v>
      </c>
      <c r="B1103" s="15" t="s">
        <v>1715</v>
      </c>
      <c r="C1103" s="15">
        <v>107176780</v>
      </c>
      <c r="D1103" s="29" t="s">
        <v>1738</v>
      </c>
      <c r="E1103" s="129" t="s">
        <v>5315</v>
      </c>
      <c r="F1103" s="15" t="s">
        <v>4528</v>
      </c>
      <c r="I1103" s="28" t="s">
        <v>3275</v>
      </c>
      <c r="J1103" s="30"/>
      <c r="K1103" s="15">
        <f>COUNTIF(Contacts[姓名],Contacts[[#This Row],[姓名]])</f>
        <v>1</v>
      </c>
    </row>
    <row r="1104" spans="1:11" x14ac:dyDescent="0.15">
      <c r="A1104" s="28" t="s">
        <v>619</v>
      </c>
      <c r="B1104" s="15" t="s">
        <v>1715</v>
      </c>
      <c r="C1104" s="15">
        <v>847790692</v>
      </c>
      <c r="D1104" s="29" t="s">
        <v>2569</v>
      </c>
      <c r="E1104" s="129" t="s">
        <v>5315</v>
      </c>
      <c r="F1104" s="15" t="s">
        <v>4529</v>
      </c>
      <c r="I1104" s="28"/>
      <c r="J1104" s="30" t="s">
        <v>2566</v>
      </c>
      <c r="K1104" s="15">
        <f>COUNTIF(Contacts[姓名],Contacts[[#This Row],[姓名]])</f>
        <v>1</v>
      </c>
    </row>
    <row r="1105" spans="1:11" x14ac:dyDescent="0.15">
      <c r="A1105" s="28" t="s">
        <v>2492</v>
      </c>
      <c r="B1105" s="15" t="s">
        <v>1715</v>
      </c>
      <c r="C1105" s="15">
        <v>453381250</v>
      </c>
      <c r="D1105" s="29" t="s">
        <v>1737</v>
      </c>
      <c r="E1105" s="129" t="s">
        <v>5315</v>
      </c>
      <c r="F1105" s="15" t="s">
        <v>4530</v>
      </c>
      <c r="I1105" s="28"/>
      <c r="J1105" s="30"/>
      <c r="K1105" s="15">
        <f>COUNTIF(Contacts[姓名],Contacts[[#This Row],[姓名]])</f>
        <v>1</v>
      </c>
    </row>
    <row r="1106" spans="1:11" x14ac:dyDescent="0.15">
      <c r="A1106" s="28" t="s">
        <v>2397</v>
      </c>
      <c r="B1106" s="15" t="s">
        <v>1715</v>
      </c>
      <c r="C1106" s="15">
        <v>2460331613</v>
      </c>
      <c r="D1106" s="29" t="s">
        <v>1747</v>
      </c>
      <c r="E1106" s="129" t="s">
        <v>5315</v>
      </c>
      <c r="F1106" s="15" t="s">
        <v>4531</v>
      </c>
      <c r="I1106" s="28"/>
      <c r="J1106" s="30"/>
      <c r="K1106" s="15">
        <f>COUNTIF(Contacts[姓名],Contacts[[#This Row],[姓名]])</f>
        <v>1</v>
      </c>
    </row>
    <row r="1107" spans="1:11" x14ac:dyDescent="0.15">
      <c r="A1107" s="28" t="s">
        <v>2410</v>
      </c>
      <c r="B1107" s="15" t="s">
        <v>1715</v>
      </c>
      <c r="C1107" s="15">
        <v>726857328</v>
      </c>
      <c r="D1107" s="29" t="s">
        <v>1746</v>
      </c>
      <c r="E1107" s="129" t="s">
        <v>5315</v>
      </c>
      <c r="F1107" s="15" t="s">
        <v>4532</v>
      </c>
      <c r="I1107" s="28"/>
      <c r="J1107" s="30"/>
      <c r="K1107" s="15">
        <f>COUNTIF(Contacts[姓名],Contacts[[#This Row],[姓名]])</f>
        <v>1</v>
      </c>
    </row>
    <row r="1108" spans="1:11" x14ac:dyDescent="0.15">
      <c r="A1108" s="28" t="s">
        <v>2471</v>
      </c>
      <c r="B1108" s="15" t="s">
        <v>1715</v>
      </c>
      <c r="C1108" s="15">
        <v>823691137</v>
      </c>
      <c r="D1108" s="29" t="s">
        <v>2412</v>
      </c>
      <c r="E1108" s="129" t="s">
        <v>5315</v>
      </c>
      <c r="F1108" s="15" t="s">
        <v>4533</v>
      </c>
      <c r="I1108" s="28"/>
      <c r="J1108" s="30"/>
      <c r="K1108" s="15">
        <f>COUNTIF(Contacts[姓名],Contacts[[#This Row],[姓名]])</f>
        <v>1</v>
      </c>
    </row>
    <row r="1109" spans="1:11" x14ac:dyDescent="0.15">
      <c r="A1109" s="28" t="s">
        <v>2472</v>
      </c>
      <c r="B1109" s="15" t="s">
        <v>1715</v>
      </c>
      <c r="C1109" s="15">
        <v>624956211</v>
      </c>
      <c r="D1109" s="29" t="s">
        <v>2409</v>
      </c>
      <c r="E1109" s="129" t="s">
        <v>5315</v>
      </c>
      <c r="F1109" s="15" t="s">
        <v>4534</v>
      </c>
      <c r="I1109" s="28"/>
      <c r="J1109" s="30"/>
      <c r="K1109" s="15">
        <f>COUNTIF(Contacts[姓名],Contacts[[#This Row],[姓名]])</f>
        <v>1</v>
      </c>
    </row>
    <row r="1110" spans="1:11" x14ac:dyDescent="0.15">
      <c r="A1110" s="28" t="s">
        <v>2485</v>
      </c>
      <c r="B1110" s="15" t="s">
        <v>1635</v>
      </c>
      <c r="C1110" s="15">
        <v>493524198</v>
      </c>
      <c r="D1110" s="29" t="s">
        <v>2439</v>
      </c>
      <c r="E1110" s="129" t="s">
        <v>5315</v>
      </c>
      <c r="F1110" s="15" t="s">
        <v>6169</v>
      </c>
      <c r="H1110" s="15" t="s">
        <v>3170</v>
      </c>
      <c r="I1110" s="28"/>
      <c r="J1110" s="30"/>
      <c r="K1110" s="15">
        <f>COUNTIF(Contacts[姓名],Contacts[[#This Row],[姓名]])</f>
        <v>1</v>
      </c>
    </row>
    <row r="1111" spans="1:11" x14ac:dyDescent="0.15">
      <c r="A1111" s="28" t="s">
        <v>2475</v>
      </c>
      <c r="B1111" s="15" t="s">
        <v>1715</v>
      </c>
      <c r="C1111" s="15">
        <v>1835658703</v>
      </c>
      <c r="D1111" s="29" t="s">
        <v>2395</v>
      </c>
      <c r="E1111" s="129" t="s">
        <v>5315</v>
      </c>
      <c r="F1111" s="15" t="s">
        <v>4535</v>
      </c>
      <c r="I1111" s="28"/>
      <c r="J1111" s="30"/>
      <c r="K1111" s="15">
        <f>COUNTIF(Contacts[姓名],Contacts[[#This Row],[姓名]])</f>
        <v>1</v>
      </c>
    </row>
    <row r="1112" spans="1:11" x14ac:dyDescent="0.15">
      <c r="A1112" s="28" t="s">
        <v>2418</v>
      </c>
      <c r="B1112" s="15" t="s">
        <v>1715</v>
      </c>
      <c r="C1112" s="15">
        <v>974253157</v>
      </c>
      <c r="D1112" s="29" t="s">
        <v>2689</v>
      </c>
      <c r="E1112" s="129" t="s">
        <v>5315</v>
      </c>
      <c r="F1112" s="15" t="s">
        <v>4536</v>
      </c>
      <c r="I1112" s="28"/>
      <c r="J1112" s="30" t="s">
        <v>2542</v>
      </c>
      <c r="K1112" s="15">
        <f>COUNTIF(Contacts[姓名],Contacts[[#This Row],[姓名]])</f>
        <v>1</v>
      </c>
    </row>
    <row r="1113" spans="1:11" x14ac:dyDescent="0.15">
      <c r="A1113" s="28" t="s">
        <v>2477</v>
      </c>
      <c r="B1113" s="15" t="s">
        <v>1715</v>
      </c>
      <c r="C1113" s="15">
        <v>860589922</v>
      </c>
      <c r="D1113" s="29" t="s">
        <v>2413</v>
      </c>
      <c r="E1113" s="129" t="s">
        <v>5315</v>
      </c>
      <c r="F1113" s="15" t="s">
        <v>4537</v>
      </c>
      <c r="I1113" s="28"/>
      <c r="J1113" s="30"/>
      <c r="K1113" s="15">
        <f>COUNTIF(Contacts[姓名],Contacts[[#This Row],[姓名]])</f>
        <v>1</v>
      </c>
    </row>
    <row r="1114" spans="1:11" x14ac:dyDescent="0.15">
      <c r="A1114" s="28" t="s">
        <v>976</v>
      </c>
      <c r="B1114" s="15" t="s">
        <v>1715</v>
      </c>
      <c r="C1114" s="15">
        <v>2632369136</v>
      </c>
      <c r="D1114" s="29" t="s">
        <v>1736</v>
      </c>
      <c r="E1114" s="129" t="s">
        <v>5315</v>
      </c>
      <c r="F1114" s="15" t="s">
        <v>4538</v>
      </c>
      <c r="I1114" s="28"/>
      <c r="J1114" s="30"/>
      <c r="K1114" s="15">
        <f>COUNTIF(Contacts[姓名],Contacts[[#This Row],[姓名]])</f>
        <v>1</v>
      </c>
    </row>
    <row r="1115" spans="1:11" x14ac:dyDescent="0.15">
      <c r="A1115" s="28" t="s">
        <v>582</v>
      </c>
      <c r="B1115" s="15" t="s">
        <v>1715</v>
      </c>
      <c r="C1115" s="15">
        <v>2880488434</v>
      </c>
      <c r="D1115" s="29" t="s">
        <v>1735</v>
      </c>
      <c r="E1115" s="129" t="s">
        <v>5315</v>
      </c>
      <c r="F1115" s="15" t="s">
        <v>4539</v>
      </c>
      <c r="I1115" s="28"/>
      <c r="J1115" s="30"/>
      <c r="K1115" s="15">
        <f>COUNTIF(Contacts[姓名],Contacts[[#This Row],[姓名]])</f>
        <v>1</v>
      </c>
    </row>
    <row r="1116" spans="1:11" x14ac:dyDescent="0.15">
      <c r="A1116" s="28" t="s">
        <v>2500</v>
      </c>
      <c r="B1116" s="15" t="s">
        <v>1715</v>
      </c>
      <c r="C1116" s="15">
        <v>4424828</v>
      </c>
      <c r="D1116" s="29" t="s">
        <v>2407</v>
      </c>
      <c r="E1116" s="129" t="s">
        <v>5315</v>
      </c>
      <c r="F1116" s="15" t="s">
        <v>4540</v>
      </c>
      <c r="I1116" s="28"/>
      <c r="J1116" s="30"/>
      <c r="K1116" s="15">
        <f>COUNTIF(Contacts[姓名],Contacts[[#This Row],[姓名]])</f>
        <v>1</v>
      </c>
    </row>
    <row r="1117" spans="1:11" x14ac:dyDescent="0.15">
      <c r="A1117" s="28" t="s">
        <v>689</v>
      </c>
      <c r="B1117" s="15" t="s">
        <v>1715</v>
      </c>
      <c r="C1117" s="15">
        <v>3246896442</v>
      </c>
      <c r="D1117" s="29" t="s">
        <v>785</v>
      </c>
      <c r="E1117" s="129" t="s">
        <v>5315</v>
      </c>
      <c r="F1117" s="15" t="s">
        <v>1327</v>
      </c>
      <c r="I1117" s="28"/>
      <c r="J1117" s="30"/>
      <c r="K1117" s="15">
        <f>COUNTIF(Contacts[姓名],Contacts[[#This Row],[姓名]])</f>
        <v>1</v>
      </c>
    </row>
    <row r="1118" spans="1:11" x14ac:dyDescent="0.15">
      <c r="A1118" s="28" t="s">
        <v>2388</v>
      </c>
      <c r="B1118" s="15" t="s">
        <v>1715</v>
      </c>
      <c r="C1118" s="15">
        <v>762561940</v>
      </c>
      <c r="D1118" s="29" t="s">
        <v>2411</v>
      </c>
      <c r="E1118" s="129" t="s">
        <v>5315</v>
      </c>
      <c r="F1118" s="15" t="s">
        <v>4541</v>
      </c>
      <c r="I1118" s="28"/>
      <c r="J1118" s="30"/>
      <c r="K1118" s="15">
        <f>COUNTIF(Contacts[姓名],Contacts[[#This Row],[姓名]])</f>
        <v>1</v>
      </c>
    </row>
    <row r="1119" spans="1:11" x14ac:dyDescent="0.15">
      <c r="A1119" s="28" t="s">
        <v>492</v>
      </c>
      <c r="B1119" s="15" t="s">
        <v>1715</v>
      </c>
      <c r="C1119" s="15">
        <v>839106891</v>
      </c>
      <c r="D1119" s="29" t="s">
        <v>2692</v>
      </c>
      <c r="E1119" s="129" t="s">
        <v>5315</v>
      </c>
      <c r="F1119" s="15" t="s">
        <v>4542</v>
      </c>
      <c r="I1119" s="28"/>
      <c r="J1119" s="30" t="s">
        <v>2546</v>
      </c>
      <c r="K1119" s="15">
        <f>COUNTIF(Contacts[姓名],Contacts[[#This Row],[姓名]])</f>
        <v>1</v>
      </c>
    </row>
    <row r="1120" spans="1:11" x14ac:dyDescent="0.15">
      <c r="A1120" s="28" t="s">
        <v>2388</v>
      </c>
      <c r="B1120" s="15" t="s">
        <v>1715</v>
      </c>
      <c r="C1120" s="15">
        <v>942760278</v>
      </c>
      <c r="D1120" s="29" t="s">
        <v>2415</v>
      </c>
      <c r="E1120" s="129" t="s">
        <v>5315</v>
      </c>
      <c r="F1120" s="15" t="s">
        <v>4543</v>
      </c>
      <c r="I1120" s="28"/>
      <c r="J1120" s="30"/>
      <c r="K1120" s="15">
        <f>COUNTIF(Contacts[姓名],Contacts[[#This Row],[姓名]])</f>
        <v>1</v>
      </c>
    </row>
    <row r="1121" spans="1:11" x14ac:dyDescent="0.15">
      <c r="A1121" s="28" t="s">
        <v>492</v>
      </c>
      <c r="B1121" s="15" t="s">
        <v>1715</v>
      </c>
      <c r="C1121" s="15">
        <v>1047433877</v>
      </c>
      <c r="D1121" s="29" t="s">
        <v>1732</v>
      </c>
      <c r="E1121" s="129" t="s">
        <v>5315</v>
      </c>
      <c r="F1121" s="15" t="s">
        <v>4544</v>
      </c>
      <c r="I1121" s="28"/>
      <c r="J1121" s="30"/>
      <c r="K1121" s="15">
        <f>COUNTIF(Contacts[姓名],Contacts[[#This Row],[姓名]])</f>
        <v>1</v>
      </c>
    </row>
    <row r="1122" spans="1:11" x14ac:dyDescent="0.15">
      <c r="A1122" s="28" t="s">
        <v>2388</v>
      </c>
      <c r="B1122" s="15" t="s">
        <v>1715</v>
      </c>
      <c r="C1122" s="15">
        <v>2269742823</v>
      </c>
      <c r="D1122" s="29" t="s">
        <v>2396</v>
      </c>
      <c r="E1122" s="129" t="s">
        <v>5315</v>
      </c>
      <c r="F1122" s="15" t="s">
        <v>4545</v>
      </c>
      <c r="I1122" s="28"/>
      <c r="J1122" s="30"/>
      <c r="K1122" s="15">
        <f>COUNTIF(Contacts[姓名],Contacts[[#This Row],[姓名]])</f>
        <v>1</v>
      </c>
    </row>
    <row r="1123" spans="1:11" x14ac:dyDescent="0.15">
      <c r="A1123" s="28" t="s">
        <v>2388</v>
      </c>
      <c r="B1123" s="15" t="s">
        <v>1715</v>
      </c>
      <c r="C1123" s="15">
        <v>2521429625</v>
      </c>
      <c r="D1123" s="29" t="s">
        <v>2398</v>
      </c>
      <c r="E1123" s="129" t="s">
        <v>5315</v>
      </c>
      <c r="F1123" s="15" t="s">
        <v>4546</v>
      </c>
      <c r="I1123" s="28"/>
      <c r="J1123" s="30"/>
      <c r="K1123" s="15">
        <f>COUNTIF(Contacts[姓名],Contacts[[#This Row],[姓名]])</f>
        <v>1</v>
      </c>
    </row>
    <row r="1124" spans="1:11" x14ac:dyDescent="0.15">
      <c r="A1124" s="28" t="s">
        <v>492</v>
      </c>
      <c r="B1124" s="15" t="s">
        <v>1715</v>
      </c>
      <c r="C1124" s="15">
        <v>3102094471</v>
      </c>
      <c r="D1124" s="29" t="s">
        <v>1731</v>
      </c>
      <c r="E1124" s="129" t="s">
        <v>5315</v>
      </c>
      <c r="F1124" s="15" t="s">
        <v>4547</v>
      </c>
      <c r="I1124" s="28"/>
      <c r="J1124" s="30"/>
      <c r="K1124" s="15">
        <f>COUNTIF(Contacts[姓名],Contacts[[#This Row],[姓名]])</f>
        <v>1</v>
      </c>
    </row>
    <row r="1125" spans="1:11" x14ac:dyDescent="0.15">
      <c r="A1125" s="28" t="s">
        <v>825</v>
      </c>
      <c r="B1125" s="15" t="s">
        <v>1715</v>
      </c>
      <c r="C1125" s="15">
        <v>364852903</v>
      </c>
      <c r="D1125" s="29" t="s">
        <v>1724</v>
      </c>
      <c r="E1125" s="129" t="s">
        <v>5315</v>
      </c>
      <c r="F1125" s="15" t="s">
        <v>6170</v>
      </c>
      <c r="I1125" s="28"/>
      <c r="J1125" s="30"/>
      <c r="K1125" s="15">
        <f>COUNTIF(Contacts[姓名],Contacts[[#This Row],[姓名]])</f>
        <v>1</v>
      </c>
    </row>
    <row r="1126" spans="1:11" x14ac:dyDescent="0.15">
      <c r="A1126" s="28" t="s">
        <v>2517</v>
      </c>
      <c r="B1126" s="15" t="s">
        <v>1715</v>
      </c>
      <c r="C1126" s="15">
        <v>2856085253</v>
      </c>
      <c r="D1126" s="29" t="s">
        <v>2403</v>
      </c>
      <c r="E1126" s="129" t="s">
        <v>5315</v>
      </c>
      <c r="F1126" s="15" t="s">
        <v>4548</v>
      </c>
      <c r="I1126" s="28"/>
      <c r="J1126" s="30"/>
      <c r="K1126" s="15">
        <f>COUNTIF(Contacts[姓名],Contacts[[#This Row],[姓名]])</f>
        <v>1</v>
      </c>
    </row>
    <row r="1127" spans="1:11" x14ac:dyDescent="0.15">
      <c r="A1127" s="28" t="s">
        <v>2518</v>
      </c>
      <c r="B1127" s="15" t="s">
        <v>1715</v>
      </c>
      <c r="C1127" s="15">
        <v>335217223</v>
      </c>
      <c r="D1127" s="29" t="s">
        <v>1723</v>
      </c>
      <c r="E1127" s="129" t="s">
        <v>5315</v>
      </c>
      <c r="F1127" s="15" t="s">
        <v>4549</v>
      </c>
      <c r="I1127" s="28"/>
      <c r="J1127" s="30"/>
      <c r="K1127" s="15">
        <f>COUNTIF(Contacts[姓名],Contacts[[#This Row],[姓名]])</f>
        <v>1</v>
      </c>
    </row>
    <row r="1128" spans="1:11" x14ac:dyDescent="0.15">
      <c r="A1128" s="28" t="s">
        <v>2505</v>
      </c>
      <c r="B1128" s="15" t="s">
        <v>1715</v>
      </c>
      <c r="C1128" s="15">
        <v>517321874</v>
      </c>
      <c r="D1128" s="29" t="s">
        <v>2706</v>
      </c>
      <c r="E1128" s="129" t="s">
        <v>5315</v>
      </c>
      <c r="F1128" s="15" t="s">
        <v>4487</v>
      </c>
      <c r="I1128" s="28"/>
      <c r="J1128" s="30" t="s">
        <v>2564</v>
      </c>
      <c r="K1128" s="15">
        <f>COUNTIF(Contacts[姓名],Contacts[[#This Row],[姓名]])</f>
        <v>874</v>
      </c>
    </row>
    <row r="1129" spans="1:11" x14ac:dyDescent="0.15">
      <c r="A1129" s="28" t="s">
        <v>2519</v>
      </c>
      <c r="B1129" s="15" t="s">
        <v>1715</v>
      </c>
      <c r="C1129" s="15">
        <v>1464005660</v>
      </c>
      <c r="D1129" s="29" t="s">
        <v>1722</v>
      </c>
      <c r="E1129" s="129" t="s">
        <v>5315</v>
      </c>
      <c r="F1129" s="15" t="s">
        <v>4550</v>
      </c>
      <c r="I1129" s="28"/>
      <c r="J1129" s="30"/>
      <c r="K1129" s="15">
        <f>COUNTIF(Contacts[姓名],Contacts[[#This Row],[姓名]])</f>
        <v>1</v>
      </c>
    </row>
    <row r="1130" spans="1:11" x14ac:dyDescent="0.15">
      <c r="A1130" s="28" t="s">
        <v>2508</v>
      </c>
      <c r="B1130" s="15" t="s">
        <v>1715</v>
      </c>
      <c r="C1130" s="15">
        <v>2851071331</v>
      </c>
      <c r="D1130" s="29" t="s">
        <v>1729</v>
      </c>
      <c r="E1130" s="129" t="s">
        <v>5315</v>
      </c>
      <c r="F1130" s="15" t="s">
        <v>4551</v>
      </c>
      <c r="I1130" s="28"/>
      <c r="J1130" s="30"/>
      <c r="K1130" s="15">
        <f>COUNTIF(Contacts[姓名],Contacts[[#This Row],[姓名]])</f>
        <v>1</v>
      </c>
    </row>
    <row r="1131" spans="1:11" x14ac:dyDescent="0.15">
      <c r="A1131" s="28" t="s">
        <v>2520</v>
      </c>
      <c r="B1131" s="15" t="s">
        <v>1715</v>
      </c>
      <c r="C1131" s="15">
        <v>5247415</v>
      </c>
      <c r="D1131" s="29" t="s">
        <v>1717</v>
      </c>
      <c r="E1131" s="129" t="s">
        <v>5315</v>
      </c>
      <c r="F1131" s="15" t="s">
        <v>4552</v>
      </c>
      <c r="I1131" s="28"/>
      <c r="J1131" s="30"/>
      <c r="K1131" s="15">
        <f>COUNTIF(Contacts[姓名],Contacts[[#This Row],[姓名]])</f>
        <v>1</v>
      </c>
    </row>
    <row r="1132" spans="1:11" x14ac:dyDescent="0.15">
      <c r="A1132" s="28" t="s">
        <v>492</v>
      </c>
      <c r="B1132" s="15" t="s">
        <v>1603</v>
      </c>
      <c r="C1132" s="15">
        <v>1062009510</v>
      </c>
      <c r="D1132" s="29" t="s">
        <v>1617</v>
      </c>
      <c r="E1132" s="129" t="s">
        <v>5315</v>
      </c>
      <c r="F1132" s="15" t="s">
        <v>6171</v>
      </c>
      <c r="H1132" s="15" t="s">
        <v>2851</v>
      </c>
      <c r="I1132" s="28"/>
      <c r="J1132" s="30"/>
      <c r="K1132" s="15">
        <f>COUNTIF(Contacts[姓名],Contacts[[#This Row],[姓名]])</f>
        <v>1</v>
      </c>
    </row>
    <row r="1133" spans="1:11" x14ac:dyDescent="0.15">
      <c r="A1133" s="28" t="s">
        <v>2511</v>
      </c>
      <c r="B1133" s="15" t="s">
        <v>1715</v>
      </c>
      <c r="C1133" s="15">
        <v>631214967</v>
      </c>
      <c r="D1133" s="29" t="s">
        <v>1727</v>
      </c>
      <c r="E1133" s="129" t="s">
        <v>5315</v>
      </c>
      <c r="F1133" s="15" t="s">
        <v>4487</v>
      </c>
      <c r="I1133" s="28"/>
      <c r="J1133" s="30"/>
      <c r="K1133" s="15">
        <f>COUNTIF(Contacts[姓名],Contacts[[#This Row],[姓名]])</f>
        <v>874</v>
      </c>
    </row>
    <row r="1134" spans="1:11" x14ac:dyDescent="0.15">
      <c r="A1134" s="28" t="s">
        <v>490</v>
      </c>
      <c r="B1134" s="15" t="s">
        <v>1715</v>
      </c>
      <c r="C1134" s="15">
        <v>81218682</v>
      </c>
      <c r="D1134" s="29" t="s">
        <v>964</v>
      </c>
      <c r="E1134" s="129" t="s">
        <v>5315</v>
      </c>
      <c r="F1134" s="15" t="s">
        <v>4553</v>
      </c>
      <c r="I1134" s="28"/>
      <c r="J1134" s="30"/>
      <c r="K1134" s="15">
        <f>COUNTIF(Contacts[姓名],Contacts[[#This Row],[姓名]])</f>
        <v>1</v>
      </c>
    </row>
    <row r="1135" spans="1:11" x14ac:dyDescent="0.15">
      <c r="A1135" s="28" t="s">
        <v>787</v>
      </c>
      <c r="B1135" s="15" t="s">
        <v>1715</v>
      </c>
      <c r="C1135" s="15">
        <v>270091893</v>
      </c>
      <c r="D1135" s="29" t="s">
        <v>4748</v>
      </c>
      <c r="E1135" s="129" t="s">
        <v>5315</v>
      </c>
      <c r="F1135" s="15" t="s">
        <v>4554</v>
      </c>
      <c r="I1135" s="28"/>
      <c r="J1135" s="30"/>
      <c r="K1135" s="15">
        <f>COUNTIF(Contacts[姓名],Contacts[[#This Row],[姓名]])</f>
        <v>1</v>
      </c>
    </row>
    <row r="1136" spans="1:11" x14ac:dyDescent="0.15">
      <c r="A1136" s="28" t="s">
        <v>787</v>
      </c>
      <c r="B1136" s="15" t="s">
        <v>1715</v>
      </c>
      <c r="C1136" s="15">
        <v>1302056314</v>
      </c>
      <c r="D1136" s="29" t="s">
        <v>4747</v>
      </c>
      <c r="E1136" s="129" t="s">
        <v>5315</v>
      </c>
      <c r="F1136" s="15" t="s">
        <v>4555</v>
      </c>
      <c r="I1136" s="28"/>
      <c r="J1136" s="30"/>
      <c r="K1136" s="15">
        <f>COUNTIF(Contacts[姓名],Contacts[[#This Row],[姓名]])</f>
        <v>1</v>
      </c>
    </row>
    <row r="1137" spans="1:11" x14ac:dyDescent="0.15">
      <c r="A1137" s="28" t="s">
        <v>596</v>
      </c>
      <c r="B1137" s="15" t="s">
        <v>2521</v>
      </c>
      <c r="C1137" s="15">
        <v>337934114</v>
      </c>
      <c r="D1137" s="29" t="s">
        <v>1591</v>
      </c>
      <c r="E1137" s="129" t="s">
        <v>5315</v>
      </c>
      <c r="F1137" s="15" t="s">
        <v>3703</v>
      </c>
      <c r="I1137" s="28"/>
      <c r="J1137" s="30"/>
      <c r="K1137" s="15">
        <f>COUNTIF(Contacts[姓名],Contacts[[#This Row],[姓名]])</f>
        <v>1</v>
      </c>
    </row>
    <row r="1138" spans="1:11" ht="28.5" x14ac:dyDescent="0.15">
      <c r="A1138" s="28" t="s">
        <v>5259</v>
      </c>
      <c r="B1138" s="15" t="s">
        <v>5236</v>
      </c>
      <c r="C1138" s="15">
        <v>2850659134</v>
      </c>
      <c r="D1138" s="29"/>
      <c r="E1138" s="129">
        <v>43403</v>
      </c>
      <c r="F1138" s="15" t="s">
        <v>5260</v>
      </c>
      <c r="G1138" s="15" t="s">
        <v>5261</v>
      </c>
      <c r="H1138" s="15" t="s">
        <v>5262</v>
      </c>
      <c r="I1138" s="28" t="s">
        <v>5263</v>
      </c>
      <c r="J1138" s="30" t="s">
        <v>5264</v>
      </c>
      <c r="K1138" s="15">
        <f>COUNTIF(Contacts[姓名],Contacts[[#This Row],[姓名]])</f>
        <v>1</v>
      </c>
    </row>
    <row r="1139" spans="1:11" x14ac:dyDescent="0.15">
      <c r="A1139" s="28" t="s">
        <v>3326</v>
      </c>
      <c r="B1139" s="15" t="s">
        <v>1715</v>
      </c>
      <c r="C1139" s="15">
        <v>2621555646</v>
      </c>
      <c r="D1139" s="29" t="s">
        <v>2400</v>
      </c>
      <c r="E1139" s="129" t="s">
        <v>5315</v>
      </c>
      <c r="F1139" s="15" t="s">
        <v>4556</v>
      </c>
      <c r="I1139" s="28"/>
      <c r="J1139" s="30"/>
      <c r="K1139" s="15">
        <f>COUNTIF(Contacts[姓名],Contacts[[#This Row],[姓名]])</f>
        <v>1</v>
      </c>
    </row>
    <row r="1140" spans="1:11" x14ac:dyDescent="0.15">
      <c r="A1140" s="28" t="s">
        <v>559</v>
      </c>
      <c r="B1140" s="15" t="s">
        <v>1715</v>
      </c>
      <c r="C1140" s="15">
        <v>269370811</v>
      </c>
      <c r="D1140" s="29" t="s">
        <v>1725</v>
      </c>
      <c r="E1140" s="129" t="s">
        <v>5315</v>
      </c>
      <c r="F1140" s="15" t="s">
        <v>4557</v>
      </c>
      <c r="I1140" s="28"/>
      <c r="J1140" s="30"/>
      <c r="K1140" s="15">
        <f>COUNTIF(Contacts[姓名],Contacts[[#This Row],[姓名]])</f>
        <v>1</v>
      </c>
    </row>
    <row r="1141" spans="1:11" x14ac:dyDescent="0.15">
      <c r="A1141" s="28"/>
      <c r="B1141" s="15" t="s">
        <v>1715</v>
      </c>
      <c r="C1141" s="15">
        <v>139894393</v>
      </c>
      <c r="D1141" s="29" t="s">
        <v>2404</v>
      </c>
      <c r="E1141" s="129" t="s">
        <v>5315</v>
      </c>
      <c r="F1141" s="15" t="s">
        <v>4558</v>
      </c>
      <c r="I1141" s="28"/>
      <c r="J1141" s="30"/>
      <c r="K1141" s="15">
        <f>COUNTIF(Contacts[姓名],Contacts[[#This Row],[姓名]])</f>
        <v>1</v>
      </c>
    </row>
    <row r="1142" spans="1:11" x14ac:dyDescent="0.15">
      <c r="A1142" s="28"/>
      <c r="B1142" s="15" t="s">
        <v>1715</v>
      </c>
      <c r="C1142" s="15">
        <v>228843577</v>
      </c>
      <c r="D1142" s="29" t="s">
        <v>1749</v>
      </c>
      <c r="E1142" s="129" t="s">
        <v>5315</v>
      </c>
      <c r="F1142" s="15" t="s">
        <v>4487</v>
      </c>
      <c r="H1142" s="15" t="s">
        <v>3059</v>
      </c>
      <c r="I1142" s="28" t="s">
        <v>3060</v>
      </c>
      <c r="J1142" s="30"/>
      <c r="K1142" s="15">
        <f>COUNTIF(Contacts[姓名],Contacts[[#This Row],[姓名]])</f>
        <v>874</v>
      </c>
    </row>
    <row r="1143" spans="1:11" x14ac:dyDescent="0.15">
      <c r="A1143" s="28"/>
      <c r="B1143" s="15" t="s">
        <v>1715</v>
      </c>
      <c r="C1143" s="15">
        <v>723811554</v>
      </c>
      <c r="D1143" s="29" t="s">
        <v>1721</v>
      </c>
      <c r="E1143" s="129" t="s">
        <v>5315</v>
      </c>
      <c r="F1143" s="15" t="s">
        <v>4559</v>
      </c>
      <c r="I1143" s="28"/>
      <c r="J1143" s="30"/>
      <c r="K1143" s="15">
        <f>COUNTIF(Contacts[姓名],Contacts[[#This Row],[姓名]])</f>
        <v>1</v>
      </c>
    </row>
    <row r="1144" spans="1:11" x14ac:dyDescent="0.15">
      <c r="A1144" s="28"/>
      <c r="B1144" s="15" t="s">
        <v>1715</v>
      </c>
      <c r="C1144" s="15">
        <v>907484786</v>
      </c>
      <c r="D1144" s="29" t="s">
        <v>2414</v>
      </c>
      <c r="E1144" s="129" t="s">
        <v>5315</v>
      </c>
      <c r="F1144" s="15" t="s">
        <v>4560</v>
      </c>
      <c r="I1144" s="28"/>
      <c r="J1144" s="30"/>
      <c r="K1144" s="15">
        <f>COUNTIF(Contacts[姓名],Contacts[[#This Row],[姓名]])</f>
        <v>1</v>
      </c>
    </row>
    <row r="1145" spans="1:11" x14ac:dyDescent="0.15">
      <c r="A1145" s="28"/>
      <c r="B1145" s="15" t="s">
        <v>1715</v>
      </c>
      <c r="C1145" s="15">
        <v>910648137</v>
      </c>
      <c r="D1145" s="29" t="s">
        <v>1719</v>
      </c>
      <c r="E1145" s="129" t="s">
        <v>5315</v>
      </c>
      <c r="F1145" s="15" t="s">
        <v>4487</v>
      </c>
      <c r="I1145" s="28"/>
      <c r="J1145" s="30" t="s">
        <v>3321</v>
      </c>
      <c r="K1145" s="15">
        <f>COUNTIF(Contacts[姓名],Contacts[[#This Row],[姓名]])</f>
        <v>874</v>
      </c>
    </row>
    <row r="1146" spans="1:11" x14ac:dyDescent="0.15">
      <c r="A1146" s="28"/>
      <c r="B1146" s="15" t="s">
        <v>1715</v>
      </c>
      <c r="C1146" s="15">
        <v>958495628</v>
      </c>
      <c r="D1146" s="29" t="s">
        <v>2417</v>
      </c>
      <c r="E1146" s="129" t="s">
        <v>5315</v>
      </c>
      <c r="F1146" s="15" t="s">
        <v>4561</v>
      </c>
      <c r="I1146" s="28"/>
      <c r="J1146" s="30"/>
      <c r="K1146" s="15">
        <f>COUNTIF(Contacts[姓名],Contacts[[#This Row],[姓名]])</f>
        <v>1</v>
      </c>
    </row>
    <row r="1147" spans="1:11" x14ac:dyDescent="0.15">
      <c r="A1147" s="28"/>
      <c r="B1147" s="15" t="s">
        <v>1715</v>
      </c>
      <c r="C1147" s="15">
        <v>1257710379</v>
      </c>
      <c r="D1147" s="29" t="s">
        <v>2394</v>
      </c>
      <c r="E1147" s="129" t="s">
        <v>5315</v>
      </c>
      <c r="F1147" s="15" t="s">
        <v>4562</v>
      </c>
      <c r="I1147" s="28"/>
      <c r="J1147" s="30"/>
      <c r="K1147" s="15">
        <f>COUNTIF(Contacts[姓名],Contacts[[#This Row],[姓名]])</f>
        <v>1</v>
      </c>
    </row>
    <row r="1148" spans="1:11" x14ac:dyDescent="0.15">
      <c r="A1148" s="28"/>
      <c r="B1148" s="15" t="s">
        <v>1715</v>
      </c>
      <c r="C1148" s="15">
        <v>2352513218</v>
      </c>
      <c r="D1148" s="29" t="s">
        <v>1720</v>
      </c>
      <c r="E1148" s="129" t="s">
        <v>5315</v>
      </c>
      <c r="F1148" s="15" t="s">
        <v>4563</v>
      </c>
      <c r="I1148" s="28"/>
      <c r="J1148" s="30"/>
      <c r="K1148" s="15">
        <f>COUNTIF(Contacts[姓名],Contacts[[#This Row],[姓名]])</f>
        <v>1</v>
      </c>
    </row>
    <row r="1149" spans="1:11" x14ac:dyDescent="0.15">
      <c r="A1149" s="28"/>
      <c r="B1149" s="15" t="s">
        <v>1715</v>
      </c>
      <c r="C1149" s="15">
        <v>3155384080</v>
      </c>
      <c r="D1149" s="29" t="s">
        <v>1718</v>
      </c>
      <c r="E1149" s="129" t="s">
        <v>5315</v>
      </c>
      <c r="F1149" s="15" t="s">
        <v>4564</v>
      </c>
      <c r="I1149" s="28"/>
      <c r="J1149" s="30" t="s">
        <v>3321</v>
      </c>
      <c r="K1149" s="15">
        <f>COUNTIF(Contacts[姓名],Contacts[[#This Row],[姓名]])</f>
        <v>1</v>
      </c>
    </row>
    <row r="1150" spans="1:11" x14ac:dyDescent="0.15">
      <c r="A1150" s="28" t="s">
        <v>618</v>
      </c>
      <c r="B1150" s="15" t="s">
        <v>1635</v>
      </c>
      <c r="C1150" s="15">
        <v>493424463</v>
      </c>
      <c r="D1150" s="29" t="s">
        <v>2567</v>
      </c>
      <c r="E1150" s="129" t="s">
        <v>5315</v>
      </c>
      <c r="F1150" s="15" t="s">
        <v>4565</v>
      </c>
      <c r="H1150" s="15" t="s">
        <v>3148</v>
      </c>
      <c r="I1150" s="28" t="s">
        <v>3147</v>
      </c>
      <c r="J1150" s="30" t="s">
        <v>2544</v>
      </c>
      <c r="K1150" s="15">
        <f>COUNTIF(Contacts[姓名],Contacts[[#This Row],[姓名]])</f>
        <v>1</v>
      </c>
    </row>
    <row r="1151" spans="1:11" x14ac:dyDescent="0.15">
      <c r="A1151" s="28" t="s">
        <v>551</v>
      </c>
      <c r="B1151" s="15" t="s">
        <v>1635</v>
      </c>
      <c r="C1151" s="15">
        <v>2880265333</v>
      </c>
      <c r="D1151" s="29" t="s">
        <v>1700</v>
      </c>
      <c r="E1151" s="129" t="s">
        <v>5315</v>
      </c>
      <c r="F1151" s="15" t="s">
        <v>4566</v>
      </c>
      <c r="H1151" s="15" t="s">
        <v>3149</v>
      </c>
      <c r="I1151" s="28" t="s">
        <v>3150</v>
      </c>
      <c r="J1151" s="30"/>
      <c r="K1151" s="15">
        <f>COUNTIF(Contacts[姓名],Contacts[[#This Row],[姓名]])</f>
        <v>1</v>
      </c>
    </row>
    <row r="1152" spans="1:11" x14ac:dyDescent="0.15">
      <c r="A1152" s="28" t="s">
        <v>551</v>
      </c>
      <c r="B1152" s="15" t="s">
        <v>1635</v>
      </c>
      <c r="C1152" s="15">
        <v>2880265342</v>
      </c>
      <c r="D1152" s="29" t="s">
        <v>1699</v>
      </c>
      <c r="E1152" s="129" t="s">
        <v>5315</v>
      </c>
      <c r="F1152" s="15" t="s">
        <v>4567</v>
      </c>
      <c r="H1152" s="15" t="s">
        <v>3151</v>
      </c>
      <c r="I1152" s="28" t="s">
        <v>3152</v>
      </c>
      <c r="J1152" s="30"/>
      <c r="K1152" s="15">
        <f>COUNTIF(Contacts[姓名],Contacts[[#This Row],[姓名]])</f>
        <v>1</v>
      </c>
    </row>
    <row r="1153" spans="1:11" x14ac:dyDescent="0.15">
      <c r="A1153" s="28" t="s">
        <v>585</v>
      </c>
      <c r="B1153" s="15" t="s">
        <v>1635</v>
      </c>
      <c r="C1153" s="15">
        <v>22905100</v>
      </c>
      <c r="D1153" s="29" t="s">
        <v>1698</v>
      </c>
      <c r="E1153" s="129" t="s">
        <v>5315</v>
      </c>
      <c r="F1153" s="15" t="s">
        <v>4568</v>
      </c>
      <c r="I1153" s="28"/>
      <c r="J1153" s="30"/>
      <c r="K1153" s="15">
        <f>COUNTIF(Contacts[姓名],Contacts[[#This Row],[姓名]])</f>
        <v>1</v>
      </c>
    </row>
    <row r="1154" spans="1:11" x14ac:dyDescent="0.15">
      <c r="A1154" s="28" t="s">
        <v>546</v>
      </c>
      <c r="B1154" s="15" t="s">
        <v>1635</v>
      </c>
      <c r="C1154" s="15">
        <v>2881757152</v>
      </c>
      <c r="D1154" s="29" t="s">
        <v>3155</v>
      </c>
      <c r="E1154" s="129" t="s">
        <v>5315</v>
      </c>
      <c r="F1154" s="15" t="s">
        <v>4569</v>
      </c>
      <c r="H1154" s="15" t="s">
        <v>3153</v>
      </c>
      <c r="I1154" s="28" t="s">
        <v>3154</v>
      </c>
      <c r="J1154" s="30"/>
      <c r="K1154" s="15">
        <f>COUNTIF(Contacts[姓名],Contacts[[#This Row],[姓名]])</f>
        <v>1</v>
      </c>
    </row>
    <row r="1155" spans="1:11" x14ac:dyDescent="0.15">
      <c r="A1155" s="28" t="s">
        <v>491</v>
      </c>
      <c r="B1155" s="15" t="s">
        <v>1635</v>
      </c>
      <c r="C1155" s="15">
        <v>493470596</v>
      </c>
      <c r="D1155" s="29" t="s">
        <v>1697</v>
      </c>
      <c r="E1155" s="129" t="s">
        <v>5315</v>
      </c>
      <c r="F1155" s="15" t="s">
        <v>4570</v>
      </c>
      <c r="I1155" s="28"/>
      <c r="J1155" s="30"/>
      <c r="K1155" s="15">
        <f>COUNTIF(Contacts[姓名],Contacts[[#This Row],[姓名]])</f>
        <v>1</v>
      </c>
    </row>
    <row r="1156" spans="1:11" x14ac:dyDescent="0.15">
      <c r="A1156" s="28" t="s">
        <v>579</v>
      </c>
      <c r="B1156" s="15" t="s">
        <v>1635</v>
      </c>
      <c r="C1156" s="15">
        <v>2851692011</v>
      </c>
      <c r="D1156" s="29" t="s">
        <v>1696</v>
      </c>
      <c r="E1156" s="129" t="s">
        <v>5315</v>
      </c>
      <c r="F1156" s="15" t="s">
        <v>4571</v>
      </c>
      <c r="H1156" s="15" t="s">
        <v>3156</v>
      </c>
      <c r="I1156" s="28" t="s">
        <v>3157</v>
      </c>
      <c r="J1156" s="30"/>
      <c r="K1156" s="15">
        <f>COUNTIF(Contacts[姓名],Contacts[[#This Row],[姓名]])</f>
        <v>1</v>
      </c>
    </row>
    <row r="1157" spans="1:11" x14ac:dyDescent="0.15">
      <c r="A1157" s="28" t="s">
        <v>497</v>
      </c>
      <c r="B1157" s="15" t="s">
        <v>1635</v>
      </c>
      <c r="C1157" s="15">
        <v>2851230637</v>
      </c>
      <c r="D1157" s="29" t="s">
        <v>1695</v>
      </c>
      <c r="E1157" s="129" t="s">
        <v>5315</v>
      </c>
      <c r="F1157" s="15" t="s">
        <v>4572</v>
      </c>
      <c r="H1157" s="15" t="s">
        <v>3158</v>
      </c>
      <c r="I1157" s="28"/>
      <c r="J1157" s="30"/>
      <c r="K1157" s="15">
        <f>COUNTIF(Contacts[姓名],Contacts[[#This Row],[姓名]])</f>
        <v>1</v>
      </c>
    </row>
    <row r="1158" spans="1:11" x14ac:dyDescent="0.15">
      <c r="A1158" s="28" t="s">
        <v>497</v>
      </c>
      <c r="B1158" s="15" t="s">
        <v>1635</v>
      </c>
      <c r="C1158" s="15">
        <v>2853532159</v>
      </c>
      <c r="D1158" s="29" t="s">
        <v>1694</v>
      </c>
      <c r="E1158" s="129" t="s">
        <v>5315</v>
      </c>
      <c r="F1158" s="15" t="s">
        <v>4573</v>
      </c>
      <c r="I1158" s="28" t="s">
        <v>3159</v>
      </c>
      <c r="J1158" s="30"/>
      <c r="K1158" s="15">
        <f>COUNTIF(Contacts[姓名],Contacts[[#This Row],[姓名]])</f>
        <v>1</v>
      </c>
    </row>
    <row r="1159" spans="1:11" x14ac:dyDescent="0.15">
      <c r="A1159" s="28" t="s">
        <v>595</v>
      </c>
      <c r="B1159" s="15" t="s">
        <v>1635</v>
      </c>
      <c r="C1159" s="15">
        <v>2355698611</v>
      </c>
      <c r="D1159" s="29" t="s">
        <v>1693</v>
      </c>
      <c r="E1159" s="129" t="s">
        <v>5315</v>
      </c>
      <c r="F1159" s="15" t="s">
        <v>4574</v>
      </c>
      <c r="H1159" s="15" t="s">
        <v>3160</v>
      </c>
      <c r="I1159" s="28" t="s">
        <v>3161</v>
      </c>
      <c r="J1159" s="30"/>
      <c r="K1159" s="15">
        <f>COUNTIF(Contacts[姓名],Contacts[[#This Row],[姓名]])</f>
        <v>1</v>
      </c>
    </row>
    <row r="1160" spans="1:11" x14ac:dyDescent="0.15">
      <c r="A1160" s="28" t="s">
        <v>567</v>
      </c>
      <c r="B1160" s="15" t="s">
        <v>1635</v>
      </c>
      <c r="C1160" s="15">
        <v>1625675531</v>
      </c>
      <c r="D1160" s="29" t="s">
        <v>1692</v>
      </c>
      <c r="E1160" s="129" t="s">
        <v>5315</v>
      </c>
      <c r="F1160" s="15" t="s">
        <v>4575</v>
      </c>
      <c r="I1160" s="28"/>
      <c r="J1160" s="30"/>
      <c r="K1160" s="15">
        <f>COUNTIF(Contacts[姓名],Contacts[[#This Row],[姓名]])</f>
        <v>1</v>
      </c>
    </row>
    <row r="1161" spans="1:11" x14ac:dyDescent="0.15">
      <c r="A1161" s="28" t="s">
        <v>501</v>
      </c>
      <c r="B1161" s="15" t="s">
        <v>1635</v>
      </c>
      <c r="C1161" s="15">
        <v>3002265564</v>
      </c>
      <c r="D1161" s="29" t="s">
        <v>1756</v>
      </c>
      <c r="E1161" s="129" t="s">
        <v>5315</v>
      </c>
      <c r="F1161" s="15" t="s">
        <v>4576</v>
      </c>
      <c r="H1161" s="15" t="s">
        <v>3162</v>
      </c>
      <c r="I1161" s="28"/>
      <c r="J1161" s="30"/>
      <c r="K1161" s="15">
        <f>COUNTIF(Contacts[姓名],Contacts[[#This Row],[姓名]])</f>
        <v>1</v>
      </c>
    </row>
    <row r="1162" spans="1:11" x14ac:dyDescent="0.15">
      <c r="A1162" s="28" t="s">
        <v>2468</v>
      </c>
      <c r="B1162" s="15" t="s">
        <v>1635</v>
      </c>
      <c r="C1162" s="15">
        <v>1802711722</v>
      </c>
      <c r="D1162" s="29" t="s">
        <v>2421</v>
      </c>
      <c r="E1162" s="129" t="s">
        <v>5315</v>
      </c>
      <c r="F1162" s="15" t="s">
        <v>4577</v>
      </c>
      <c r="H1162" s="15" t="s">
        <v>3051</v>
      </c>
      <c r="I1162" s="28"/>
      <c r="J1162" s="30"/>
      <c r="K1162" s="15">
        <f>COUNTIF(Contacts[姓名],Contacts[[#This Row],[姓名]])</f>
        <v>1</v>
      </c>
    </row>
    <row r="1163" spans="1:11" x14ac:dyDescent="0.15">
      <c r="A1163" s="28" t="s">
        <v>664</v>
      </c>
      <c r="B1163" s="15" t="s">
        <v>1635</v>
      </c>
      <c r="C1163" s="15">
        <v>470981958</v>
      </c>
      <c r="D1163" s="29" t="s">
        <v>1714</v>
      </c>
      <c r="E1163" s="129" t="s">
        <v>5315</v>
      </c>
      <c r="F1163" s="15" t="s">
        <v>4578</v>
      </c>
      <c r="I1163" s="28"/>
      <c r="J1163" s="30"/>
      <c r="K1163" s="15">
        <f>COUNTIF(Contacts[姓名],Contacts[[#This Row],[姓名]])</f>
        <v>1</v>
      </c>
    </row>
    <row r="1164" spans="1:11" x14ac:dyDescent="0.15">
      <c r="A1164" s="28" t="s">
        <v>562</v>
      </c>
      <c r="B1164" s="15" t="s">
        <v>1635</v>
      </c>
      <c r="C1164" s="15">
        <v>1622427609</v>
      </c>
      <c r="D1164" s="29" t="s">
        <v>1691</v>
      </c>
      <c r="E1164" s="129" t="s">
        <v>5315</v>
      </c>
      <c r="F1164" s="15" t="s">
        <v>4579</v>
      </c>
      <c r="H1164" s="15" t="s">
        <v>3163</v>
      </c>
      <c r="I1164" s="28"/>
      <c r="J1164" s="30"/>
      <c r="K1164" s="15">
        <f>COUNTIF(Contacts[姓名],Contacts[[#This Row],[姓名]])</f>
        <v>1</v>
      </c>
    </row>
    <row r="1165" spans="1:11" x14ac:dyDescent="0.15">
      <c r="A1165" s="28" t="s">
        <v>588</v>
      </c>
      <c r="B1165" s="15" t="s">
        <v>1635</v>
      </c>
      <c r="C1165" s="15">
        <v>93945527</v>
      </c>
      <c r="D1165" s="29" t="s">
        <v>1690</v>
      </c>
      <c r="E1165" s="129" t="s">
        <v>5315</v>
      </c>
      <c r="F1165" s="15" t="s">
        <v>4580</v>
      </c>
      <c r="H1165" s="15" t="s">
        <v>3164</v>
      </c>
      <c r="I1165" s="28" t="s">
        <v>3165</v>
      </c>
      <c r="J1165" s="30"/>
      <c r="K1165" s="15">
        <f>COUNTIF(Contacts[姓名],Contacts[[#This Row],[姓名]])</f>
        <v>1</v>
      </c>
    </row>
    <row r="1166" spans="1:11" x14ac:dyDescent="0.15">
      <c r="A1166" s="28" t="s">
        <v>597</v>
      </c>
      <c r="B1166" s="15" t="s">
        <v>1635</v>
      </c>
      <c r="C1166" s="15">
        <v>1827633532</v>
      </c>
      <c r="D1166" s="29" t="s">
        <v>2681</v>
      </c>
      <c r="E1166" s="129" t="s">
        <v>5315</v>
      </c>
      <c r="F1166" s="15" t="s">
        <v>4581</v>
      </c>
      <c r="H1166" s="15" t="s">
        <v>3167</v>
      </c>
      <c r="I1166" s="28" t="s">
        <v>3166</v>
      </c>
      <c r="J1166" s="30" t="s">
        <v>2529</v>
      </c>
      <c r="K1166" s="15">
        <f>COUNTIF(Contacts[姓名],Contacts[[#This Row],[姓名]])</f>
        <v>1</v>
      </c>
    </row>
    <row r="1167" spans="1:11" x14ac:dyDescent="0.15">
      <c r="A1167" s="28" t="s">
        <v>576</v>
      </c>
      <c r="B1167" s="15" t="s">
        <v>1635</v>
      </c>
      <c r="C1167" s="15">
        <v>454498581</v>
      </c>
      <c r="D1167" s="29" t="s">
        <v>1688</v>
      </c>
      <c r="E1167" s="129" t="s">
        <v>5315</v>
      </c>
      <c r="F1167" s="15" t="s">
        <v>4582</v>
      </c>
      <c r="I1167" s="28"/>
      <c r="J1167" s="30"/>
      <c r="K1167" s="15">
        <f>COUNTIF(Contacts[姓名],Contacts[[#This Row],[姓名]])</f>
        <v>1</v>
      </c>
    </row>
    <row r="1168" spans="1:11" x14ac:dyDescent="0.15">
      <c r="A1168" s="28" t="s">
        <v>605</v>
      </c>
      <c r="B1168" s="15" t="s">
        <v>1635</v>
      </c>
      <c r="C1168" s="15">
        <v>707476085</v>
      </c>
      <c r="D1168" s="29" t="s">
        <v>1687</v>
      </c>
      <c r="E1168" s="129" t="s">
        <v>5315</v>
      </c>
      <c r="F1168" s="15" t="s">
        <v>4583</v>
      </c>
      <c r="I1168" s="28" t="s">
        <v>3168</v>
      </c>
      <c r="J1168" s="30"/>
      <c r="K1168" s="15">
        <f>COUNTIF(Contacts[姓名],Contacts[[#This Row],[姓名]])</f>
        <v>1</v>
      </c>
    </row>
    <row r="1169" spans="1:11" x14ac:dyDescent="0.15">
      <c r="A1169" s="28" t="s">
        <v>2484</v>
      </c>
      <c r="B1169" s="15" t="s">
        <v>1635</v>
      </c>
      <c r="C1169" s="15">
        <v>1004826248</v>
      </c>
      <c r="D1169" s="29" t="s">
        <v>2419</v>
      </c>
      <c r="E1169" s="129" t="s">
        <v>5315</v>
      </c>
      <c r="F1169" s="15" t="s">
        <v>4584</v>
      </c>
      <c r="H1169" s="15" t="s">
        <v>3169</v>
      </c>
      <c r="I1169" s="28"/>
      <c r="J1169" s="30"/>
      <c r="K1169" s="15">
        <f>COUNTIF(Contacts[姓名],Contacts[[#This Row],[姓名]])</f>
        <v>1</v>
      </c>
    </row>
    <row r="1170" spans="1:11" x14ac:dyDescent="0.15">
      <c r="A1170" s="28" t="s">
        <v>584</v>
      </c>
      <c r="B1170" s="15" t="s">
        <v>1635</v>
      </c>
      <c r="C1170" s="15">
        <v>860601888</v>
      </c>
      <c r="D1170" s="29" t="s">
        <v>1686</v>
      </c>
      <c r="E1170" s="129" t="s">
        <v>5315</v>
      </c>
      <c r="F1170" s="15" t="s">
        <v>4585</v>
      </c>
      <c r="I1170" s="28"/>
      <c r="J1170" s="30"/>
      <c r="K1170" s="15">
        <f>COUNTIF(Contacts[姓名],Contacts[[#This Row],[姓名]])</f>
        <v>1</v>
      </c>
    </row>
    <row r="1171" spans="1:11" x14ac:dyDescent="0.15">
      <c r="A1171" s="28" t="s">
        <v>599</v>
      </c>
      <c r="B1171" s="15" t="s">
        <v>1635</v>
      </c>
      <c r="C1171" s="15">
        <v>2850274819</v>
      </c>
      <c r="D1171" s="29" t="s">
        <v>1710</v>
      </c>
      <c r="E1171" s="129" t="s">
        <v>5315</v>
      </c>
      <c r="F1171" s="15" t="s">
        <v>4586</v>
      </c>
      <c r="I1171" s="28" t="s">
        <v>3133</v>
      </c>
      <c r="J1171" s="30"/>
      <c r="K1171" s="15">
        <f>COUNTIF(Contacts[姓名],Contacts[[#This Row],[姓名]])</f>
        <v>1</v>
      </c>
    </row>
    <row r="1172" spans="1:11" x14ac:dyDescent="0.15">
      <c r="A1172" s="28" t="s">
        <v>498</v>
      </c>
      <c r="B1172" s="15" t="s">
        <v>2521</v>
      </c>
      <c r="C1172" s="15">
        <v>2881725314</v>
      </c>
      <c r="D1172" s="29" t="s">
        <v>1620</v>
      </c>
      <c r="E1172" s="129" t="s">
        <v>5315</v>
      </c>
      <c r="F1172" s="15" t="s">
        <v>2184</v>
      </c>
      <c r="I1172" s="28"/>
      <c r="J1172" s="30"/>
      <c r="K1172" s="15">
        <f>COUNTIF(Contacts[姓名],Contacts[[#This Row],[姓名]])</f>
        <v>1</v>
      </c>
    </row>
    <row r="1173" spans="1:11" x14ac:dyDescent="0.15">
      <c r="A1173" s="28" t="s">
        <v>640</v>
      </c>
      <c r="B1173" s="15" t="s">
        <v>1635</v>
      </c>
      <c r="C1173" s="15">
        <v>2356801756</v>
      </c>
      <c r="D1173" s="29" t="s">
        <v>1685</v>
      </c>
      <c r="E1173" s="129" t="s">
        <v>5315</v>
      </c>
      <c r="F1173" s="15" t="s">
        <v>4587</v>
      </c>
      <c r="H1173" s="15" t="s">
        <v>3172</v>
      </c>
      <c r="I1173" s="28" t="s">
        <v>3171</v>
      </c>
      <c r="J1173" s="30"/>
      <c r="K1173" s="15">
        <f>COUNTIF(Contacts[姓名],Contacts[[#This Row],[姓名]])</f>
        <v>1</v>
      </c>
    </row>
    <row r="1174" spans="1:11" x14ac:dyDescent="0.15">
      <c r="A1174" s="28" t="s">
        <v>499</v>
      </c>
      <c r="B1174" s="15" t="s">
        <v>1635</v>
      </c>
      <c r="C1174" s="15">
        <v>2881601580</v>
      </c>
      <c r="D1174" s="29" t="s">
        <v>1684</v>
      </c>
      <c r="E1174" s="129" t="s">
        <v>5315</v>
      </c>
      <c r="F1174" s="15" t="s">
        <v>4588</v>
      </c>
      <c r="H1174" s="15" t="s">
        <v>3173</v>
      </c>
      <c r="I1174" s="28" t="s">
        <v>3174</v>
      </c>
      <c r="J1174" s="30"/>
      <c r="K1174" s="15">
        <f>COUNTIF(Contacts[姓名],Contacts[[#This Row],[姓名]])</f>
        <v>1</v>
      </c>
    </row>
    <row r="1175" spans="1:11" x14ac:dyDescent="0.15">
      <c r="A1175" s="28" t="s">
        <v>2486</v>
      </c>
      <c r="B1175" s="15" t="s">
        <v>1635</v>
      </c>
      <c r="C1175" s="15">
        <v>2881601584</v>
      </c>
      <c r="D1175" s="29" t="s">
        <v>2432</v>
      </c>
      <c r="E1175" s="129" t="s">
        <v>5315</v>
      </c>
      <c r="F1175" s="15" t="s">
        <v>4589</v>
      </c>
      <c r="H1175" s="15" t="s">
        <v>3176</v>
      </c>
      <c r="I1175" s="28"/>
      <c r="J1175" s="30"/>
      <c r="K1175" s="15">
        <f>COUNTIF(Contacts[姓名],Contacts[[#This Row],[姓名]])</f>
        <v>1</v>
      </c>
    </row>
    <row r="1176" spans="1:11" x14ac:dyDescent="0.15">
      <c r="A1176" s="28" t="s">
        <v>5265</v>
      </c>
      <c r="B1176" s="15" t="s">
        <v>5236</v>
      </c>
      <c r="C1176" s="15">
        <v>2850659142</v>
      </c>
      <c r="D1176" s="29"/>
      <c r="E1176" s="129">
        <v>43403</v>
      </c>
      <c r="F1176" s="15" t="s">
        <v>5266</v>
      </c>
      <c r="G1176" s="15" t="s">
        <v>5267</v>
      </c>
      <c r="H1176" s="15" t="s">
        <v>5268</v>
      </c>
      <c r="I1176" s="28" t="s">
        <v>5269</v>
      </c>
      <c r="J1176" s="30"/>
      <c r="K1176" s="15">
        <f>COUNTIF(Contacts[姓名],Contacts[[#This Row],[姓名]])</f>
        <v>1</v>
      </c>
    </row>
    <row r="1177" spans="1:11" x14ac:dyDescent="0.15">
      <c r="A1177" s="28" t="s">
        <v>499</v>
      </c>
      <c r="B1177" s="15" t="s">
        <v>1635</v>
      </c>
      <c r="C1177" s="15">
        <v>2881601595</v>
      </c>
      <c r="D1177" s="29" t="s">
        <v>2690</v>
      </c>
      <c r="E1177" s="129" t="s">
        <v>5315</v>
      </c>
      <c r="F1177" s="15" t="s">
        <v>4590</v>
      </c>
      <c r="H1177" s="15" t="s">
        <v>3175</v>
      </c>
      <c r="I1177" s="28"/>
      <c r="J1177" s="30" t="s">
        <v>2543</v>
      </c>
      <c r="K1177" s="15">
        <f>COUNTIF(Contacts[姓名],Contacts[[#This Row],[姓名]])</f>
        <v>1</v>
      </c>
    </row>
    <row r="1178" spans="1:11" x14ac:dyDescent="0.15">
      <c r="A1178" s="28" t="s">
        <v>644</v>
      </c>
      <c r="B1178" s="15" t="s">
        <v>1635</v>
      </c>
      <c r="C1178" s="15">
        <v>1516971236</v>
      </c>
      <c r="D1178" s="29" t="s">
        <v>1680</v>
      </c>
      <c r="E1178" s="129" t="s">
        <v>5315</v>
      </c>
      <c r="F1178" s="15" t="s">
        <v>4591</v>
      </c>
      <c r="H1178" s="15" t="s">
        <v>3179</v>
      </c>
      <c r="I1178" s="28" t="s">
        <v>3180</v>
      </c>
      <c r="J1178" s="30"/>
      <c r="K1178" s="15">
        <f>COUNTIF(Contacts[姓名],Contacts[[#This Row],[姓名]])</f>
        <v>1</v>
      </c>
    </row>
    <row r="1179" spans="1:11" x14ac:dyDescent="0.15">
      <c r="A1179" s="28" t="s">
        <v>2469</v>
      </c>
      <c r="B1179" s="15" t="s">
        <v>1635</v>
      </c>
      <c r="C1179" s="15">
        <v>2453112927</v>
      </c>
      <c r="D1179" s="29" t="s">
        <v>2424</v>
      </c>
      <c r="E1179" s="129" t="s">
        <v>5315</v>
      </c>
      <c r="F1179" s="15" t="s">
        <v>4487</v>
      </c>
      <c r="I1179" s="28"/>
      <c r="J1179" s="30"/>
      <c r="K1179" s="15">
        <f>COUNTIF(Contacts[姓名],Contacts[[#This Row],[姓名]])</f>
        <v>874</v>
      </c>
    </row>
    <row r="1180" spans="1:11" x14ac:dyDescent="0.15">
      <c r="A1180" s="28" t="s">
        <v>672</v>
      </c>
      <c r="B1180" s="15" t="s">
        <v>1635</v>
      </c>
      <c r="C1180" s="15">
        <v>569227973</v>
      </c>
      <c r="D1180" s="29" t="s">
        <v>1713</v>
      </c>
      <c r="E1180" s="129" t="s">
        <v>5315</v>
      </c>
      <c r="F1180" s="15" t="s">
        <v>4592</v>
      </c>
      <c r="I1180" s="28"/>
      <c r="J1180" s="30"/>
      <c r="K1180" s="15">
        <f>COUNTIF(Contacts[姓名],Contacts[[#This Row],[姓名]])</f>
        <v>1</v>
      </c>
    </row>
    <row r="1181" spans="1:11" ht="28.5" x14ac:dyDescent="0.15">
      <c r="A1181" s="28" t="s">
        <v>5270</v>
      </c>
      <c r="B1181" s="15" t="s">
        <v>5236</v>
      </c>
      <c r="D1181" s="29"/>
      <c r="E1181" s="129">
        <v>43403</v>
      </c>
      <c r="F1181" s="15" t="s">
        <v>5271</v>
      </c>
      <c r="G1181" s="15" t="s">
        <v>5272</v>
      </c>
      <c r="H1181" s="15" t="s">
        <v>5273</v>
      </c>
      <c r="I1181" s="28" t="s">
        <v>5274</v>
      </c>
      <c r="J1181" s="30" t="s">
        <v>5275</v>
      </c>
      <c r="K1181" s="15">
        <f>COUNTIF(Contacts[姓名],Contacts[[#This Row],[姓名]])</f>
        <v>1</v>
      </c>
    </row>
    <row r="1182" spans="1:11" x14ac:dyDescent="0.15">
      <c r="A1182" s="28" t="s">
        <v>5126</v>
      </c>
      <c r="B1182" s="15" t="s">
        <v>5048</v>
      </c>
      <c r="D1182" s="29"/>
      <c r="E1182" s="129" t="s">
        <v>5315</v>
      </c>
      <c r="F1182" s="15" t="s">
        <v>6174</v>
      </c>
      <c r="H1182" s="15" t="s">
        <v>5132</v>
      </c>
      <c r="I1182" s="28"/>
      <c r="J1182" s="30" t="s">
        <v>5133</v>
      </c>
      <c r="K1182" s="15">
        <f>COUNTIF(Contacts[姓名],Contacts[[#This Row],[姓名]])</f>
        <v>1</v>
      </c>
    </row>
    <row r="1183" spans="1:11" x14ac:dyDescent="0.15">
      <c r="A1183" s="28" t="s">
        <v>548</v>
      </c>
      <c r="B1183" s="15" t="s">
        <v>1635</v>
      </c>
      <c r="C1183" s="15">
        <v>3003532191</v>
      </c>
      <c r="D1183" s="29" t="s">
        <v>1675</v>
      </c>
      <c r="E1183" s="129" t="s">
        <v>5315</v>
      </c>
      <c r="F1183" s="15" t="s">
        <v>4593</v>
      </c>
      <c r="H1183" s="15" t="s">
        <v>3184</v>
      </c>
      <c r="I1183" s="28" t="s">
        <v>3185</v>
      </c>
      <c r="J1183" s="30"/>
      <c r="K1183" s="15">
        <f>COUNTIF(Contacts[姓名],Contacts[[#This Row],[姓名]])</f>
        <v>1</v>
      </c>
    </row>
    <row r="1184" spans="1:11" x14ac:dyDescent="0.15">
      <c r="A1184" s="28" t="s">
        <v>3324</v>
      </c>
      <c r="B1184" s="15" t="s">
        <v>1635</v>
      </c>
      <c r="C1184" s="15">
        <v>278979643</v>
      </c>
      <c r="D1184" s="29" t="s">
        <v>2428</v>
      </c>
      <c r="E1184" s="129" t="s">
        <v>5315</v>
      </c>
      <c r="F1184" s="15" t="s">
        <v>1480</v>
      </c>
      <c r="I1184" s="28"/>
      <c r="J1184" s="30"/>
      <c r="K1184" s="15">
        <f>COUNTIF(Contacts[姓名],Contacts[[#This Row],[姓名]])</f>
        <v>1</v>
      </c>
    </row>
    <row r="1185" spans="1:11" x14ac:dyDescent="0.15">
      <c r="A1185" s="28" t="s">
        <v>494</v>
      </c>
      <c r="B1185" s="15" t="s">
        <v>1635</v>
      </c>
      <c r="C1185" s="15">
        <v>2355850968</v>
      </c>
      <c r="D1185" s="29" t="s">
        <v>1674</v>
      </c>
      <c r="E1185" s="129" t="s">
        <v>5315</v>
      </c>
      <c r="F1185" s="15" t="s">
        <v>4594</v>
      </c>
      <c r="H1185" s="15" t="s">
        <v>3187</v>
      </c>
      <c r="I1185" s="28" t="s">
        <v>3186</v>
      </c>
      <c r="J1185" s="30"/>
      <c r="K1185" s="15">
        <f>COUNTIF(Contacts[姓名],Contacts[[#This Row],[姓名]])</f>
        <v>1</v>
      </c>
    </row>
    <row r="1186" spans="1:11" x14ac:dyDescent="0.15">
      <c r="A1186" s="28" t="s">
        <v>612</v>
      </c>
      <c r="B1186" s="15" t="s">
        <v>1635</v>
      </c>
      <c r="C1186" s="15">
        <v>2880525333</v>
      </c>
      <c r="D1186" s="29" t="s">
        <v>1673</v>
      </c>
      <c r="E1186" s="129" t="s">
        <v>5315</v>
      </c>
      <c r="F1186" s="15" t="s">
        <v>4595</v>
      </c>
      <c r="H1186" s="15" t="s">
        <v>3188</v>
      </c>
      <c r="I1186" s="28" t="s">
        <v>3189</v>
      </c>
      <c r="J1186" s="30"/>
      <c r="K1186" s="15">
        <f>COUNTIF(Contacts[姓名],Contacts[[#This Row],[姓名]])</f>
        <v>1</v>
      </c>
    </row>
    <row r="1187" spans="1:11" x14ac:dyDescent="0.15">
      <c r="A1187" s="28" t="s">
        <v>2491</v>
      </c>
      <c r="B1187" s="15" t="s">
        <v>1635</v>
      </c>
      <c r="C1187" s="15">
        <v>675076432</v>
      </c>
      <c r="D1187" s="29" t="s">
        <v>2442</v>
      </c>
      <c r="E1187" s="129" t="s">
        <v>5315</v>
      </c>
      <c r="F1187" s="15" t="s">
        <v>4596</v>
      </c>
      <c r="H1187" s="15" t="s">
        <v>3190</v>
      </c>
      <c r="I1187" s="28"/>
      <c r="J1187" s="30"/>
      <c r="K1187" s="15">
        <f>COUNTIF(Contacts[姓名],Contacts[[#This Row],[姓名]])</f>
        <v>1</v>
      </c>
    </row>
    <row r="1188" spans="1:11" x14ac:dyDescent="0.15">
      <c r="A1188" s="28" t="s">
        <v>812</v>
      </c>
      <c r="B1188" s="15" t="s">
        <v>4380</v>
      </c>
      <c r="C1188" s="15">
        <v>705168912</v>
      </c>
      <c r="D1188" s="29" t="s">
        <v>2581</v>
      </c>
      <c r="E1188" s="129" t="s">
        <v>5315</v>
      </c>
      <c r="F1188" s="15" t="s">
        <v>6175</v>
      </c>
      <c r="H1188" s="15" t="s">
        <v>3298</v>
      </c>
      <c r="I1188" s="28" t="s">
        <v>3279</v>
      </c>
      <c r="J1188" s="30"/>
      <c r="K1188" s="15">
        <f>COUNTIF(Contacts[姓名],Contacts[[#This Row],[姓名]])</f>
        <v>1</v>
      </c>
    </row>
    <row r="1189" spans="1:11" x14ac:dyDescent="0.15">
      <c r="A1189" s="28" t="s">
        <v>696</v>
      </c>
      <c r="B1189" s="15" t="s">
        <v>1635</v>
      </c>
      <c r="C1189" s="15">
        <v>2506473749</v>
      </c>
      <c r="D1189" s="29" t="s">
        <v>1712</v>
      </c>
      <c r="E1189" s="129" t="s">
        <v>5315</v>
      </c>
      <c r="F1189" s="15" t="s">
        <v>4487</v>
      </c>
      <c r="H1189" s="15" t="s">
        <v>3130</v>
      </c>
      <c r="I1189" s="28"/>
      <c r="J1189" s="30"/>
      <c r="K1189" s="15">
        <f>COUNTIF(Contacts[姓名],Contacts[[#This Row],[姓名]])</f>
        <v>874</v>
      </c>
    </row>
    <row r="1190" spans="1:11" x14ac:dyDescent="0.15">
      <c r="A1190" s="28" t="s">
        <v>3323</v>
      </c>
      <c r="B1190" s="15" t="s">
        <v>2797</v>
      </c>
      <c r="C1190" s="15">
        <v>1462031131</v>
      </c>
      <c r="D1190" s="29" t="s">
        <v>2796</v>
      </c>
      <c r="E1190" s="129" t="s">
        <v>5315</v>
      </c>
      <c r="F1190" s="15" t="s">
        <v>4597</v>
      </c>
      <c r="H1190" s="15" t="s">
        <v>2890</v>
      </c>
      <c r="I1190" s="28"/>
      <c r="J1190" s="30"/>
      <c r="K1190" s="15">
        <f>COUNTIF(Contacts[姓名],Contacts[[#This Row],[姓名]])</f>
        <v>1</v>
      </c>
    </row>
    <row r="1191" spans="1:11" x14ac:dyDescent="0.15">
      <c r="A1191" s="28" t="s">
        <v>700</v>
      </c>
      <c r="B1191" s="15" t="s">
        <v>1635</v>
      </c>
      <c r="C1191" s="15">
        <v>2851124008</v>
      </c>
      <c r="D1191" s="29" t="s">
        <v>1711</v>
      </c>
      <c r="E1191" s="129" t="s">
        <v>5315</v>
      </c>
      <c r="F1191" s="15" t="s">
        <v>3586</v>
      </c>
      <c r="I1191" s="28" t="s">
        <v>3131</v>
      </c>
      <c r="J1191" s="30"/>
      <c r="K1191" s="15">
        <f>COUNTIF(Contacts[姓名],Contacts[[#This Row],[姓名]])</f>
        <v>1</v>
      </c>
    </row>
    <row r="1192" spans="1:11" x14ac:dyDescent="0.15">
      <c r="A1192" s="28" t="s">
        <v>2473</v>
      </c>
      <c r="B1192" s="15" t="s">
        <v>1635</v>
      </c>
      <c r="C1192" s="15">
        <v>845993779</v>
      </c>
      <c r="D1192" s="29" t="s">
        <v>2444</v>
      </c>
      <c r="E1192" s="129" t="s">
        <v>5315</v>
      </c>
      <c r="F1192" s="15" t="s">
        <v>4598</v>
      </c>
      <c r="H1192" s="15" t="s">
        <v>3132</v>
      </c>
      <c r="I1192" s="28"/>
      <c r="J1192" s="30"/>
      <c r="K1192" s="15">
        <f>COUNTIF(Contacts[姓名],Contacts[[#This Row],[姓名]])</f>
        <v>1</v>
      </c>
    </row>
    <row r="1193" spans="1:11" x14ac:dyDescent="0.15">
      <c r="A1193" s="28" t="s">
        <v>717</v>
      </c>
      <c r="B1193" s="15" t="s">
        <v>1635</v>
      </c>
      <c r="C1193" s="15">
        <v>19706632</v>
      </c>
      <c r="D1193" s="29" t="s">
        <v>1708</v>
      </c>
      <c r="E1193" s="129" t="s">
        <v>5315</v>
      </c>
      <c r="F1193" s="15" t="s">
        <v>4599</v>
      </c>
      <c r="H1193" s="15" t="s">
        <v>3134</v>
      </c>
      <c r="I1193" s="28" t="s">
        <v>3135</v>
      </c>
      <c r="J1193" s="30"/>
      <c r="K1193" s="15">
        <f>COUNTIF(Contacts[姓名],Contacts[[#This Row],[姓名]])</f>
        <v>1</v>
      </c>
    </row>
    <row r="1194" spans="1:11" x14ac:dyDescent="0.15">
      <c r="A1194" s="28" t="s">
        <v>2474</v>
      </c>
      <c r="B1194" s="15" t="s">
        <v>1635</v>
      </c>
      <c r="C1194" s="15">
        <v>251974396</v>
      </c>
      <c r="D1194" s="29" t="s">
        <v>2425</v>
      </c>
      <c r="E1194" s="129" t="s">
        <v>5315</v>
      </c>
      <c r="F1194" s="15" t="s">
        <v>4600</v>
      </c>
      <c r="H1194" s="15" t="s">
        <v>3136</v>
      </c>
      <c r="I1194" s="28"/>
      <c r="J1194" s="30"/>
      <c r="K1194" s="15">
        <f>COUNTIF(Contacts[姓名],Contacts[[#This Row],[姓名]])</f>
        <v>1</v>
      </c>
    </row>
    <row r="1195" spans="1:11" x14ac:dyDescent="0.15">
      <c r="A1195" s="28" t="s">
        <v>720</v>
      </c>
      <c r="B1195" s="15" t="s">
        <v>1635</v>
      </c>
      <c r="C1195" s="15">
        <v>32459020</v>
      </c>
      <c r="D1195" s="29" t="s">
        <v>1707</v>
      </c>
      <c r="E1195" s="129" t="s">
        <v>5315</v>
      </c>
      <c r="F1195" s="15" t="s">
        <v>4601</v>
      </c>
      <c r="H1195" s="15" t="s">
        <v>3138</v>
      </c>
      <c r="I1195" s="28" t="s">
        <v>3137</v>
      </c>
      <c r="J1195" s="30"/>
      <c r="K1195" s="15">
        <f>COUNTIF(Contacts[姓名],Contacts[[#This Row],[姓名]])</f>
        <v>1</v>
      </c>
    </row>
    <row r="1196" spans="1:11" x14ac:dyDescent="0.15">
      <c r="A1196" s="28" t="s">
        <v>2478</v>
      </c>
      <c r="B1196" s="15" t="s">
        <v>1635</v>
      </c>
      <c r="C1196" s="15">
        <v>37428948</v>
      </c>
      <c r="D1196" s="29" t="s">
        <v>2437</v>
      </c>
      <c r="E1196" s="129" t="s">
        <v>5315</v>
      </c>
      <c r="F1196" s="15" t="s">
        <v>4602</v>
      </c>
      <c r="H1196" s="15" t="s">
        <v>3142</v>
      </c>
      <c r="I1196" s="28"/>
      <c r="J1196" s="30"/>
      <c r="K1196" s="15">
        <f>COUNTIF(Contacts[姓名],Contacts[[#This Row],[姓名]])</f>
        <v>1</v>
      </c>
    </row>
    <row r="1197" spans="1:11" x14ac:dyDescent="0.15">
      <c r="A1197" s="28" t="s">
        <v>709</v>
      </c>
      <c r="B1197" s="15" t="s">
        <v>1635</v>
      </c>
      <c r="C1197" s="15">
        <v>918592785</v>
      </c>
      <c r="D1197" s="29" t="s">
        <v>1704</v>
      </c>
      <c r="E1197" s="129" t="s">
        <v>5315</v>
      </c>
      <c r="F1197" s="15" t="s">
        <v>4603</v>
      </c>
      <c r="H1197" s="15" t="s">
        <v>3143</v>
      </c>
      <c r="I1197" s="28"/>
      <c r="J1197" s="30"/>
      <c r="K1197" s="15">
        <f>COUNTIF(Contacts[姓名],Contacts[[#This Row],[姓名]])</f>
        <v>1</v>
      </c>
    </row>
    <row r="1198" spans="1:11" x14ac:dyDescent="0.15">
      <c r="A1198" s="28" t="s">
        <v>2476</v>
      </c>
      <c r="B1198" s="15" t="s">
        <v>1635</v>
      </c>
      <c r="C1198" s="15">
        <v>2605373778</v>
      </c>
      <c r="D1198" s="29" t="s">
        <v>3650</v>
      </c>
      <c r="E1198" s="129" t="s">
        <v>5315</v>
      </c>
      <c r="F1198" s="15" t="s">
        <v>4604</v>
      </c>
      <c r="H1198" s="15" t="s">
        <v>3139</v>
      </c>
      <c r="I1198" s="28" t="s">
        <v>3140</v>
      </c>
      <c r="J1198" s="30"/>
      <c r="K1198" s="15">
        <f>COUNTIF(Contacts[姓名],Contacts[[#This Row],[姓名]])</f>
        <v>1</v>
      </c>
    </row>
    <row r="1199" spans="1:11" x14ac:dyDescent="0.15">
      <c r="A1199" s="28" t="s">
        <v>1703</v>
      </c>
      <c r="B1199" s="15" t="s">
        <v>1635</v>
      </c>
      <c r="C1199" s="15">
        <v>82528930</v>
      </c>
      <c r="D1199" s="29" t="s">
        <v>1702</v>
      </c>
      <c r="E1199" s="129" t="s">
        <v>5315</v>
      </c>
      <c r="F1199" s="15" t="s">
        <v>1817</v>
      </c>
      <c r="H1199" s="15" t="s">
        <v>3144</v>
      </c>
      <c r="I1199" s="28" t="s">
        <v>3145</v>
      </c>
      <c r="J1199" s="30"/>
      <c r="K1199" s="15">
        <f>COUNTIF(Contacts[姓名],Contacts[[#This Row],[姓名]])</f>
        <v>1</v>
      </c>
    </row>
    <row r="1200" spans="1:11" x14ac:dyDescent="0.15">
      <c r="A1200" s="28" t="s">
        <v>722</v>
      </c>
      <c r="B1200" s="15" t="s">
        <v>1635</v>
      </c>
      <c r="C1200" s="15">
        <v>872987616</v>
      </c>
      <c r="D1200" s="29" t="s">
        <v>1701</v>
      </c>
      <c r="E1200" s="129" t="s">
        <v>5315</v>
      </c>
      <c r="F1200" s="15" t="s">
        <v>4605</v>
      </c>
      <c r="H1200" s="15" t="s">
        <v>3146</v>
      </c>
      <c r="I1200" s="28"/>
      <c r="J1200" s="30"/>
      <c r="K1200" s="15">
        <f>COUNTIF(Contacts[姓名],Contacts[[#This Row],[姓名]])</f>
        <v>1</v>
      </c>
    </row>
    <row r="1201" spans="1:11" x14ac:dyDescent="0.15">
      <c r="A1201" s="28" t="s">
        <v>498</v>
      </c>
      <c r="B1201" s="15" t="s">
        <v>1635</v>
      </c>
      <c r="C1201" s="15">
        <v>2881536710</v>
      </c>
      <c r="D1201" s="29" t="s">
        <v>2683</v>
      </c>
      <c r="E1201" s="129" t="s">
        <v>5315</v>
      </c>
      <c r="F1201" s="15" t="s">
        <v>4606</v>
      </c>
      <c r="H1201" s="15" t="s">
        <v>3194</v>
      </c>
      <c r="I1201" s="28"/>
      <c r="J1201" s="30" t="s">
        <v>2533</v>
      </c>
      <c r="K1201" s="15">
        <f>COUNTIF(Contacts[姓名],Contacts[[#This Row],[姓名]])</f>
        <v>1</v>
      </c>
    </row>
    <row r="1202" spans="1:11" x14ac:dyDescent="0.15">
      <c r="A1202" s="28" t="s">
        <v>498</v>
      </c>
      <c r="B1202" s="15" t="s">
        <v>1635</v>
      </c>
      <c r="C1202" s="15">
        <v>2881536712</v>
      </c>
      <c r="D1202" s="29" t="s">
        <v>1670</v>
      </c>
      <c r="E1202" s="129" t="s">
        <v>5315</v>
      </c>
      <c r="F1202" s="15" t="s">
        <v>4607</v>
      </c>
      <c r="H1202" s="15" t="s">
        <v>3192</v>
      </c>
      <c r="I1202" s="28"/>
      <c r="J1202" s="30"/>
      <c r="K1202" s="15">
        <f>COUNTIF(Contacts[姓名],Contacts[[#This Row],[姓名]])</f>
        <v>1</v>
      </c>
    </row>
    <row r="1203" spans="1:11" x14ac:dyDescent="0.15">
      <c r="A1203" s="28" t="s">
        <v>2497</v>
      </c>
      <c r="B1203" s="15" t="s">
        <v>1635</v>
      </c>
      <c r="C1203" s="15">
        <v>2881725320</v>
      </c>
      <c r="D1203" s="29" t="s">
        <v>1666</v>
      </c>
      <c r="E1203" s="129" t="s">
        <v>5315</v>
      </c>
      <c r="F1203" s="15" t="s">
        <v>4610</v>
      </c>
      <c r="H1203" s="15" t="s">
        <v>3195</v>
      </c>
      <c r="I1203" s="28"/>
      <c r="J1203" s="30"/>
      <c r="K1203" s="15">
        <f>COUNTIF(Contacts[姓名],Contacts[[#This Row],[姓名]])</f>
        <v>1</v>
      </c>
    </row>
    <row r="1204" spans="1:11" x14ac:dyDescent="0.15">
      <c r="A1204" s="28" t="s">
        <v>2499</v>
      </c>
      <c r="B1204" s="15" t="s">
        <v>1635</v>
      </c>
      <c r="C1204" s="15">
        <v>2880488491</v>
      </c>
      <c r="D1204" s="29" t="s">
        <v>2430</v>
      </c>
      <c r="E1204" s="129" t="s">
        <v>5315</v>
      </c>
      <c r="F1204" s="15" t="s">
        <v>4612</v>
      </c>
      <c r="I1204" s="28"/>
      <c r="J1204" s="30"/>
      <c r="K1204" s="15">
        <f>COUNTIF(Contacts[姓名],Contacts[[#This Row],[姓名]])</f>
        <v>1</v>
      </c>
    </row>
    <row r="1205" spans="1:11" x14ac:dyDescent="0.15">
      <c r="A1205" s="28" t="s">
        <v>698</v>
      </c>
      <c r="B1205" s="15" t="s">
        <v>1635</v>
      </c>
      <c r="C1205" s="15">
        <v>51165873</v>
      </c>
      <c r="D1205" s="29" t="s">
        <v>1642</v>
      </c>
      <c r="E1205" s="129" t="s">
        <v>5315</v>
      </c>
      <c r="F1205" s="15" t="s">
        <v>4613</v>
      </c>
      <c r="I1205" s="28"/>
      <c r="J1205" s="30"/>
      <c r="K1205" s="15">
        <f>COUNTIF(Contacts[姓名],Contacts[[#This Row],[姓名]])</f>
        <v>1</v>
      </c>
    </row>
    <row r="1206" spans="1:11" x14ac:dyDescent="0.15">
      <c r="A1206" s="28" t="s">
        <v>1640</v>
      </c>
      <c r="B1206" s="15" t="s">
        <v>1635</v>
      </c>
      <c r="C1206" s="15">
        <v>975590816</v>
      </c>
      <c r="D1206" s="29" t="s">
        <v>1639</v>
      </c>
      <c r="E1206" s="129" t="s">
        <v>5315</v>
      </c>
      <c r="F1206" s="15" t="s">
        <v>4614</v>
      </c>
      <c r="I1206" s="28"/>
      <c r="J1206" s="30"/>
      <c r="K1206" s="15">
        <f>COUNTIF(Contacts[姓名],Contacts[[#This Row],[姓名]])</f>
        <v>1</v>
      </c>
    </row>
    <row r="1207" spans="1:11" x14ac:dyDescent="0.15">
      <c r="A1207" s="28" t="s">
        <v>1139</v>
      </c>
      <c r="B1207" s="15" t="s">
        <v>1635</v>
      </c>
      <c r="C1207" s="15">
        <v>274527554</v>
      </c>
      <c r="D1207" s="29" t="s">
        <v>1638</v>
      </c>
      <c r="E1207" s="129" t="s">
        <v>5315</v>
      </c>
      <c r="F1207" s="15" t="s">
        <v>4615</v>
      </c>
      <c r="H1207" s="15" t="s">
        <v>3258</v>
      </c>
      <c r="I1207" s="28"/>
      <c r="J1207" s="30"/>
      <c r="K1207" s="15">
        <f>COUNTIF(Contacts[姓名],Contacts[[#This Row],[姓名]])</f>
        <v>1</v>
      </c>
    </row>
    <row r="1208" spans="1:11" x14ac:dyDescent="0.15">
      <c r="A1208" s="28" t="s">
        <v>715</v>
      </c>
      <c r="B1208" s="15" t="s">
        <v>1635</v>
      </c>
      <c r="C1208" s="15">
        <v>2740334910</v>
      </c>
      <c r="D1208" s="29" t="s">
        <v>1637</v>
      </c>
      <c r="E1208" s="129" t="s">
        <v>5315</v>
      </c>
      <c r="F1208" s="15" t="s">
        <v>4616</v>
      </c>
      <c r="I1208" s="28" t="s">
        <v>3257</v>
      </c>
      <c r="J1208" s="30"/>
      <c r="K1208" s="15">
        <f>COUNTIF(Contacts[姓名],Contacts[[#This Row],[姓名]])</f>
        <v>1</v>
      </c>
    </row>
    <row r="1209" spans="1:11" x14ac:dyDescent="0.15">
      <c r="A1209" s="28" t="s">
        <v>2501</v>
      </c>
      <c r="B1209" s="15" t="s">
        <v>1635</v>
      </c>
      <c r="C1209" s="15">
        <v>3002199517</v>
      </c>
      <c r="D1209" s="29" t="s">
        <v>2433</v>
      </c>
      <c r="E1209" s="129" t="s">
        <v>5315</v>
      </c>
      <c r="F1209" s="15" t="s">
        <v>4617</v>
      </c>
      <c r="H1209" s="15" t="s">
        <v>3263</v>
      </c>
      <c r="I1209" s="28"/>
      <c r="J1209" s="30"/>
      <c r="K1209" s="15">
        <f>COUNTIF(Contacts[姓名],Contacts[[#This Row],[姓名]])</f>
        <v>1</v>
      </c>
    </row>
    <row r="1210" spans="1:11" x14ac:dyDescent="0.15">
      <c r="A1210" s="28" t="s">
        <v>589</v>
      </c>
      <c r="B1210" s="15" t="s">
        <v>1635</v>
      </c>
      <c r="C1210" s="15">
        <v>2851987918</v>
      </c>
      <c r="D1210" s="29" t="s">
        <v>1664</v>
      </c>
      <c r="E1210" s="129" t="s">
        <v>5315</v>
      </c>
      <c r="F1210" s="15" t="s">
        <v>4618</v>
      </c>
      <c r="H1210" s="15" t="s">
        <v>3197</v>
      </c>
      <c r="I1210" s="28" t="s">
        <v>3198</v>
      </c>
      <c r="J1210" s="30"/>
      <c r="K1210" s="15">
        <f>COUNTIF(Contacts[姓名],Contacts[[#This Row],[姓名]])</f>
        <v>1</v>
      </c>
    </row>
    <row r="1211" spans="1:11" x14ac:dyDescent="0.15">
      <c r="A1211" s="28" t="s">
        <v>556</v>
      </c>
      <c r="B1211" s="15" t="s">
        <v>1635</v>
      </c>
      <c r="C1211" s="15">
        <v>154589423</v>
      </c>
      <c r="D1211" s="29" t="s">
        <v>1663</v>
      </c>
      <c r="E1211" s="129" t="s">
        <v>5315</v>
      </c>
      <c r="F1211" s="15" t="s">
        <v>4619</v>
      </c>
      <c r="G1211" s="15" t="s">
        <v>5739</v>
      </c>
      <c r="H1211" s="15" t="s">
        <v>5740</v>
      </c>
      <c r="I1211" s="28" t="s">
        <v>5741</v>
      </c>
      <c r="J1211" s="30"/>
      <c r="K1211" s="15">
        <f>COUNTIF(Contacts[姓名],Contacts[[#This Row],[姓名]])</f>
        <v>1</v>
      </c>
    </row>
    <row r="1212" spans="1:11" x14ac:dyDescent="0.15">
      <c r="A1212" s="28" t="s">
        <v>556</v>
      </c>
      <c r="B1212" s="15" t="s">
        <v>1635</v>
      </c>
      <c r="C1212" s="15">
        <v>1506444092</v>
      </c>
      <c r="D1212" s="29" t="s">
        <v>1662</v>
      </c>
      <c r="E1212" s="129" t="s">
        <v>5315</v>
      </c>
      <c r="F1212" s="15" t="s">
        <v>4620</v>
      </c>
      <c r="H1212" s="15" t="s">
        <v>3199</v>
      </c>
      <c r="I1212" s="28"/>
      <c r="J1212" s="30" t="s">
        <v>3320</v>
      </c>
      <c r="K1212" s="15">
        <f>COUNTIF(Contacts[姓名],Contacts[[#This Row],[姓名]])</f>
        <v>1</v>
      </c>
    </row>
    <row r="1213" spans="1:11" x14ac:dyDescent="0.15">
      <c r="A1213" s="28" t="s">
        <v>548</v>
      </c>
      <c r="B1213" s="15" t="s">
        <v>1635</v>
      </c>
      <c r="C1213" s="15">
        <v>851942912</v>
      </c>
      <c r="D1213" s="29" t="s">
        <v>1677</v>
      </c>
      <c r="E1213" s="129" t="s">
        <v>5315</v>
      </c>
      <c r="F1213" s="15" t="s">
        <v>4490</v>
      </c>
      <c r="I1213" s="28" t="s">
        <v>3181</v>
      </c>
      <c r="J1213" s="30"/>
      <c r="K1213" s="15">
        <f>COUNTIF(Contacts[姓名],Contacts[[#This Row],[姓名]])</f>
        <v>1</v>
      </c>
    </row>
    <row r="1214" spans="1:11" x14ac:dyDescent="0.15">
      <c r="A1214" s="28" t="s">
        <v>2388</v>
      </c>
      <c r="B1214" s="15" t="s">
        <v>1635</v>
      </c>
      <c r="C1214" s="15">
        <v>260535770</v>
      </c>
      <c r="D1214" s="29" t="s">
        <v>2426</v>
      </c>
      <c r="E1214" s="129" t="s">
        <v>5315</v>
      </c>
      <c r="F1214" s="15" t="s">
        <v>4621</v>
      </c>
      <c r="H1214" s="15" t="s">
        <v>3215</v>
      </c>
      <c r="I1214" s="28" t="s">
        <v>3214</v>
      </c>
      <c r="J1214" s="30"/>
      <c r="K1214" s="15">
        <f>COUNTIF(Contacts[姓名],Contacts[[#This Row],[姓名]])</f>
        <v>1</v>
      </c>
    </row>
    <row r="1215" spans="1:11" x14ac:dyDescent="0.15">
      <c r="A1215" s="28" t="s">
        <v>2388</v>
      </c>
      <c r="B1215" s="15" t="s">
        <v>1635</v>
      </c>
      <c r="C1215" s="15">
        <v>261428864</v>
      </c>
      <c r="D1215" s="29" t="s">
        <v>2427</v>
      </c>
      <c r="E1215" s="129" t="s">
        <v>5315</v>
      </c>
      <c r="F1215" s="15" t="s">
        <v>4622</v>
      </c>
      <c r="H1215" s="15" t="s">
        <v>3206</v>
      </c>
      <c r="I1215" s="28" t="s">
        <v>3205</v>
      </c>
      <c r="J1215" s="30"/>
      <c r="K1215" s="15">
        <f>COUNTIF(Contacts[姓名],Contacts[[#This Row],[姓名]])</f>
        <v>1</v>
      </c>
    </row>
    <row r="1216" spans="1:11" x14ac:dyDescent="0.15">
      <c r="A1216" s="28" t="s">
        <v>2388</v>
      </c>
      <c r="B1216" s="15" t="s">
        <v>1635</v>
      </c>
      <c r="C1216" s="15">
        <v>303802207</v>
      </c>
      <c r="D1216" s="29" t="s">
        <v>2435</v>
      </c>
      <c r="E1216" s="129" t="s">
        <v>5315</v>
      </c>
      <c r="F1216" s="15" t="s">
        <v>4623</v>
      </c>
      <c r="H1216" s="15" t="s">
        <v>3203</v>
      </c>
      <c r="I1216" s="28" t="s">
        <v>3204</v>
      </c>
      <c r="J1216" s="30"/>
      <c r="K1216" s="15">
        <f>COUNTIF(Contacts[姓名],Contacts[[#This Row],[姓名]])</f>
        <v>1</v>
      </c>
    </row>
    <row r="1217" spans="1:11" x14ac:dyDescent="0.15">
      <c r="A1217" s="28" t="s">
        <v>492</v>
      </c>
      <c r="B1217" s="15" t="s">
        <v>1635</v>
      </c>
      <c r="C1217" s="15">
        <v>1437674795</v>
      </c>
      <c r="D1217" s="29" t="s">
        <v>1661</v>
      </c>
      <c r="E1217" s="129" t="s">
        <v>5315</v>
      </c>
      <c r="F1217" s="15" t="s">
        <v>4624</v>
      </c>
      <c r="H1217" s="15" t="s">
        <v>3114</v>
      </c>
      <c r="I1217" s="28"/>
      <c r="J1217" s="30"/>
      <c r="K1217" s="15">
        <f>COUNTIF(Contacts[姓名],Contacts[[#This Row],[姓名]])</f>
        <v>1</v>
      </c>
    </row>
    <row r="1218" spans="1:11" x14ac:dyDescent="0.15">
      <c r="A1218" s="28" t="s">
        <v>492</v>
      </c>
      <c r="B1218" s="15" t="s">
        <v>1635</v>
      </c>
      <c r="C1218" s="15">
        <v>1502776271</v>
      </c>
      <c r="D1218" s="29" t="s">
        <v>1657</v>
      </c>
      <c r="E1218" s="129" t="s">
        <v>5315</v>
      </c>
      <c r="F1218" s="15" t="s">
        <v>4625</v>
      </c>
      <c r="H1218" s="15" t="s">
        <v>3210</v>
      </c>
      <c r="I1218" s="28"/>
      <c r="J1218" s="30"/>
      <c r="K1218" s="15">
        <f>COUNTIF(Contacts[姓名],Contacts[[#This Row],[姓名]])</f>
        <v>1</v>
      </c>
    </row>
    <row r="1219" spans="1:11" x14ac:dyDescent="0.15">
      <c r="A1219" s="28" t="s">
        <v>2388</v>
      </c>
      <c r="B1219" s="15" t="s">
        <v>1635</v>
      </c>
      <c r="C1219" s="15">
        <v>1743251006</v>
      </c>
      <c r="D1219" s="29" t="s">
        <v>2420</v>
      </c>
      <c r="E1219" s="129" t="s">
        <v>5315</v>
      </c>
      <c r="F1219" s="15" t="s">
        <v>4626</v>
      </c>
      <c r="H1219" s="15" t="s">
        <v>3200</v>
      </c>
      <c r="I1219" s="28" t="s">
        <v>3201</v>
      </c>
      <c r="J1219" s="30"/>
      <c r="K1219" s="15">
        <f>COUNTIF(Contacts[姓名],Contacts[[#This Row],[姓名]])</f>
        <v>1</v>
      </c>
    </row>
    <row r="1220" spans="1:11" x14ac:dyDescent="0.15">
      <c r="A1220" s="28" t="s">
        <v>3053</v>
      </c>
      <c r="B1220" s="15" t="s">
        <v>3055</v>
      </c>
      <c r="C1220" s="15">
        <v>1770315220</v>
      </c>
      <c r="D1220" s="29" t="s">
        <v>3056</v>
      </c>
      <c r="E1220" s="129" t="s">
        <v>5315</v>
      </c>
      <c r="F1220" s="15" t="s">
        <v>4627</v>
      </c>
      <c r="H1220" s="15" t="s">
        <v>3058</v>
      </c>
      <c r="I1220" s="28"/>
      <c r="J1220" s="30" t="s">
        <v>3057</v>
      </c>
      <c r="K1220" s="15">
        <f>COUNTIF(Contacts[姓名],Contacts[[#This Row],[姓名]])</f>
        <v>1</v>
      </c>
    </row>
    <row r="1221" spans="1:11" x14ac:dyDescent="0.15">
      <c r="A1221" s="28" t="s">
        <v>492</v>
      </c>
      <c r="B1221" s="15" t="s">
        <v>1635</v>
      </c>
      <c r="C1221" s="15">
        <v>2019870542</v>
      </c>
      <c r="D1221" s="29" t="s">
        <v>1658</v>
      </c>
      <c r="E1221" s="129" t="s">
        <v>5315</v>
      </c>
      <c r="F1221" s="15" t="s">
        <v>4628</v>
      </c>
      <c r="H1221" s="15" t="s">
        <v>3209</v>
      </c>
      <c r="I1221" s="28"/>
      <c r="J1221" s="30"/>
      <c r="K1221" s="15">
        <f>COUNTIF(Contacts[姓名],Contacts[[#This Row],[姓名]])</f>
        <v>1</v>
      </c>
    </row>
    <row r="1222" spans="1:11" x14ac:dyDescent="0.15">
      <c r="A1222" s="28" t="s">
        <v>492</v>
      </c>
      <c r="B1222" s="15" t="s">
        <v>1635</v>
      </c>
      <c r="C1222" s="15">
        <v>2068192152</v>
      </c>
      <c r="D1222" s="29" t="s">
        <v>1660</v>
      </c>
      <c r="E1222" s="129" t="s">
        <v>5315</v>
      </c>
      <c r="F1222" s="15" t="s">
        <v>4629</v>
      </c>
      <c r="H1222" s="15" t="s">
        <v>3202</v>
      </c>
      <c r="I1222" s="28"/>
      <c r="J1222" s="30"/>
      <c r="K1222" s="15">
        <f>COUNTIF(Contacts[姓名],Contacts[[#This Row],[姓名]])</f>
        <v>1</v>
      </c>
    </row>
    <row r="1223" spans="1:11" x14ac:dyDescent="0.15">
      <c r="A1223" s="28" t="s">
        <v>2388</v>
      </c>
      <c r="B1223" s="15" t="s">
        <v>1635</v>
      </c>
      <c r="C1223" s="15">
        <v>2186029495</v>
      </c>
      <c r="D1223" s="29" t="s">
        <v>2422</v>
      </c>
      <c r="E1223" s="129" t="s">
        <v>5315</v>
      </c>
      <c r="F1223" s="15" t="s">
        <v>4630</v>
      </c>
      <c r="I1223" s="28"/>
      <c r="J1223" s="30"/>
      <c r="K1223" s="15">
        <f>COUNTIF(Contacts[姓名],Contacts[[#This Row],[姓名]])</f>
        <v>1</v>
      </c>
    </row>
    <row r="1224" spans="1:11" x14ac:dyDescent="0.15">
      <c r="A1224" s="28" t="s">
        <v>492</v>
      </c>
      <c r="B1224" s="15" t="s">
        <v>1635</v>
      </c>
      <c r="C1224" s="15">
        <v>2354699539</v>
      </c>
      <c r="D1224" s="29" t="s">
        <v>1659</v>
      </c>
      <c r="E1224" s="129" t="s">
        <v>5315</v>
      </c>
      <c r="F1224" s="15" t="s">
        <v>4631</v>
      </c>
      <c r="H1224" s="15" t="s">
        <v>3207</v>
      </c>
      <c r="I1224" s="28" t="s">
        <v>3208</v>
      </c>
      <c r="J1224" s="30"/>
      <c r="K1224" s="15">
        <f>COUNTIF(Contacts[姓名],Contacts[[#This Row],[姓名]])</f>
        <v>1</v>
      </c>
    </row>
    <row r="1225" spans="1:11" x14ac:dyDescent="0.15">
      <c r="A1225" s="28" t="s">
        <v>492</v>
      </c>
      <c r="B1225" s="15" t="s">
        <v>1635</v>
      </c>
      <c r="C1225" s="15">
        <v>2579819397</v>
      </c>
      <c r="D1225" s="29" t="s">
        <v>1656</v>
      </c>
      <c r="E1225" s="129" t="s">
        <v>5315</v>
      </c>
      <c r="F1225" s="15" t="s">
        <v>4632</v>
      </c>
      <c r="H1225" s="15" t="s">
        <v>3212</v>
      </c>
      <c r="I1225" s="28" t="s">
        <v>3213</v>
      </c>
      <c r="J1225" s="30"/>
      <c r="K1225" s="15">
        <f>COUNTIF(Contacts[姓名],Contacts[[#This Row],[姓名]])</f>
        <v>1</v>
      </c>
    </row>
    <row r="1226" spans="1:11" x14ac:dyDescent="0.15">
      <c r="A1226" s="28" t="s">
        <v>2388</v>
      </c>
      <c r="B1226" s="15" t="s">
        <v>1635</v>
      </c>
      <c r="C1226" s="15">
        <v>18930132393</v>
      </c>
      <c r="D1226" s="29" t="s">
        <v>2441</v>
      </c>
      <c r="E1226" s="129" t="s">
        <v>5315</v>
      </c>
      <c r="F1226" s="15" t="s">
        <v>4633</v>
      </c>
      <c r="H1226" s="15" t="s">
        <v>3211</v>
      </c>
      <c r="I1226" s="28"/>
      <c r="J1226" s="30"/>
      <c r="K1226" s="15">
        <f>COUNTIF(Contacts[姓名],Contacts[[#This Row],[姓名]])</f>
        <v>1</v>
      </c>
    </row>
    <row r="1227" spans="1:11" x14ac:dyDescent="0.15">
      <c r="A1227" s="28" t="s">
        <v>2503</v>
      </c>
      <c r="B1227" s="15" t="s">
        <v>1635</v>
      </c>
      <c r="C1227" s="15">
        <v>1143651578</v>
      </c>
      <c r="D1227" s="29" t="s">
        <v>1655</v>
      </c>
      <c r="E1227" s="129" t="s">
        <v>5315</v>
      </c>
      <c r="F1227" s="15" t="s">
        <v>4634</v>
      </c>
      <c r="I1227" s="28"/>
      <c r="J1227" s="30"/>
      <c r="K1227" s="15">
        <f>COUNTIF(Contacts[姓名],Contacts[[#This Row],[姓名]])</f>
        <v>1</v>
      </c>
    </row>
    <row r="1228" spans="1:11" x14ac:dyDescent="0.15">
      <c r="A1228" s="28" t="s">
        <v>2502</v>
      </c>
      <c r="B1228" s="15" t="s">
        <v>1635</v>
      </c>
      <c r="C1228" s="15">
        <v>694674547</v>
      </c>
      <c r="D1228" s="29" t="s">
        <v>2443</v>
      </c>
      <c r="E1228" s="129" t="s">
        <v>5315</v>
      </c>
      <c r="F1228" s="15" t="s">
        <v>4635</v>
      </c>
      <c r="I1228" s="28"/>
      <c r="J1228" s="30"/>
      <c r="K1228" s="15">
        <f>COUNTIF(Contacts[姓名],Contacts[[#This Row],[姓名]])</f>
        <v>1</v>
      </c>
    </row>
    <row r="1229" spans="1:11" x14ac:dyDescent="0.15">
      <c r="A1229" s="28" t="s">
        <v>2504</v>
      </c>
      <c r="B1229" s="15" t="s">
        <v>1635</v>
      </c>
      <c r="C1229" s="15">
        <v>341474889</v>
      </c>
      <c r="D1229" s="29" t="s">
        <v>2436</v>
      </c>
      <c r="E1229" s="129" t="s">
        <v>5315</v>
      </c>
      <c r="F1229" s="15" t="s">
        <v>3619</v>
      </c>
      <c r="H1229" s="15" t="s">
        <v>3216</v>
      </c>
      <c r="I1229" s="28"/>
      <c r="J1229" s="30" t="s">
        <v>3667</v>
      </c>
      <c r="K1229" s="15">
        <f>COUNTIF(Contacts[姓名],Contacts[[#This Row],[姓名]])</f>
        <v>1</v>
      </c>
    </row>
    <row r="1230" spans="1:11" x14ac:dyDescent="0.15">
      <c r="A1230" s="28" t="s">
        <v>2506</v>
      </c>
      <c r="B1230" s="15" t="s">
        <v>1635</v>
      </c>
      <c r="C1230" s="15">
        <v>69650695</v>
      </c>
      <c r="D1230" s="29" t="s">
        <v>1654</v>
      </c>
      <c r="E1230" s="129" t="s">
        <v>5315</v>
      </c>
      <c r="F1230" s="15" t="s">
        <v>4636</v>
      </c>
      <c r="I1230" s="28"/>
      <c r="J1230" s="30"/>
      <c r="K1230" s="15">
        <f>COUNTIF(Contacts[姓名],Contacts[[#This Row],[姓名]])</f>
        <v>1</v>
      </c>
    </row>
    <row r="1231" spans="1:11" x14ac:dyDescent="0.15">
      <c r="A1231" s="28" t="s">
        <v>679</v>
      </c>
      <c r="B1231" s="15" t="s">
        <v>1635</v>
      </c>
      <c r="C1231" s="15">
        <v>397887344</v>
      </c>
      <c r="D1231" s="29" t="s">
        <v>1653</v>
      </c>
      <c r="E1231" s="129" t="s">
        <v>5315</v>
      </c>
      <c r="F1231" s="15" t="s">
        <v>4637</v>
      </c>
      <c r="H1231" s="15" t="s">
        <v>3217</v>
      </c>
      <c r="I1231" s="28"/>
      <c r="J1231" s="30"/>
      <c r="K1231" s="15">
        <f>COUNTIF(Contacts[姓名],Contacts[[#This Row],[姓名]])</f>
        <v>1</v>
      </c>
    </row>
    <row r="1232" spans="1:11" x14ac:dyDescent="0.15">
      <c r="A1232" s="28" t="s">
        <v>2508</v>
      </c>
      <c r="B1232" s="15" t="s">
        <v>1635</v>
      </c>
      <c r="C1232" s="15">
        <v>443850298</v>
      </c>
      <c r="D1232" s="29" t="s">
        <v>2438</v>
      </c>
      <c r="E1232" s="129" t="s">
        <v>5315</v>
      </c>
      <c r="F1232" s="15" t="s">
        <v>4638</v>
      </c>
      <c r="I1232" s="28"/>
      <c r="J1232" s="30" t="s">
        <v>2789</v>
      </c>
      <c r="K1232" s="15">
        <f>COUNTIF(Contacts[姓名],Contacts[[#This Row],[姓名]])</f>
        <v>1</v>
      </c>
    </row>
    <row r="1233" spans="1:11" x14ac:dyDescent="0.15">
      <c r="A1233" s="28" t="s">
        <v>594</v>
      </c>
      <c r="B1233" s="15" t="s">
        <v>1635</v>
      </c>
      <c r="C1233" s="15">
        <v>405775280</v>
      </c>
      <c r="D1233" s="29" t="s">
        <v>1651</v>
      </c>
      <c r="E1233" s="129" t="s">
        <v>5315</v>
      </c>
      <c r="F1233" s="15" t="s">
        <v>4639</v>
      </c>
      <c r="H1233" s="15" t="s">
        <v>3261</v>
      </c>
      <c r="I1233" s="28" t="s">
        <v>3262</v>
      </c>
      <c r="J1233" s="30"/>
      <c r="K1233" s="15">
        <f>COUNTIF(Contacts[姓名],Contacts[[#This Row],[姓名]])</f>
        <v>1</v>
      </c>
    </row>
    <row r="1234" spans="1:11" x14ac:dyDescent="0.15">
      <c r="A1234" s="28" t="s">
        <v>587</v>
      </c>
      <c r="B1234" s="15" t="s">
        <v>1635</v>
      </c>
      <c r="C1234" s="15">
        <v>2850688059</v>
      </c>
      <c r="D1234" s="29" t="s">
        <v>1650</v>
      </c>
      <c r="E1234" s="129" t="s">
        <v>5315</v>
      </c>
      <c r="F1234" s="15" t="s">
        <v>4640</v>
      </c>
      <c r="H1234" s="15" t="s">
        <v>3259</v>
      </c>
      <c r="I1234" s="28" t="s">
        <v>3260</v>
      </c>
      <c r="J1234" s="30"/>
      <c r="K1234" s="15">
        <f>COUNTIF(Contacts[姓名],Contacts[[#This Row],[姓名]])</f>
        <v>1</v>
      </c>
    </row>
    <row r="1235" spans="1:11" x14ac:dyDescent="0.15">
      <c r="A1235" s="28" t="s">
        <v>548</v>
      </c>
      <c r="B1235" s="15" t="s">
        <v>1635</v>
      </c>
      <c r="C1235" s="15">
        <v>3003523008</v>
      </c>
      <c r="D1235" s="29" t="s">
        <v>1676</v>
      </c>
      <c r="E1235" s="129" t="s">
        <v>5315</v>
      </c>
      <c r="F1235" s="15" t="s">
        <v>4489</v>
      </c>
      <c r="H1235" s="15" t="s">
        <v>3182</v>
      </c>
      <c r="I1235" s="28" t="s">
        <v>3183</v>
      </c>
      <c r="J1235" s="30"/>
      <c r="K1235" s="15">
        <f>COUNTIF(Contacts[姓名],Contacts[[#This Row],[姓名]])</f>
        <v>1</v>
      </c>
    </row>
    <row r="1236" spans="1:11" x14ac:dyDescent="0.15">
      <c r="A1236" s="28" t="s">
        <v>615</v>
      </c>
      <c r="B1236" s="15" t="s">
        <v>1635</v>
      </c>
      <c r="C1236" s="15">
        <v>84327924</v>
      </c>
      <c r="D1236" s="29" t="s">
        <v>1648</v>
      </c>
      <c r="E1236" s="129" t="s">
        <v>5315</v>
      </c>
      <c r="F1236" s="15" t="s">
        <v>4641</v>
      </c>
      <c r="I1236" s="28"/>
      <c r="J1236" s="30"/>
      <c r="K1236" s="15">
        <f>COUNTIF(Contacts[姓名],Contacts[[#This Row],[姓名]])</f>
        <v>1</v>
      </c>
    </row>
    <row r="1237" spans="1:11" x14ac:dyDescent="0.15">
      <c r="A1237" s="28" t="s">
        <v>580</v>
      </c>
      <c r="B1237" s="15" t="s">
        <v>1635</v>
      </c>
      <c r="C1237" s="15">
        <v>36914334</v>
      </c>
      <c r="D1237" s="29" t="s">
        <v>1645</v>
      </c>
      <c r="E1237" s="129" t="s">
        <v>5315</v>
      </c>
      <c r="F1237" s="15" t="s">
        <v>4642</v>
      </c>
      <c r="I1237" s="28"/>
      <c r="J1237" s="30"/>
      <c r="K1237" s="15">
        <f>COUNTIF(Contacts[姓名],Contacts[[#This Row],[姓名]])</f>
        <v>1</v>
      </c>
    </row>
    <row r="1238" spans="1:11" x14ac:dyDescent="0.15">
      <c r="A1238" s="28" t="s">
        <v>711</v>
      </c>
      <c r="B1238" s="15" t="s">
        <v>1635</v>
      </c>
      <c r="C1238" s="15">
        <v>155092592</v>
      </c>
      <c r="D1238" s="29" t="s">
        <v>1634</v>
      </c>
      <c r="E1238" s="129" t="s">
        <v>5315</v>
      </c>
      <c r="F1238" s="15" t="s">
        <v>4643</v>
      </c>
      <c r="H1238" s="15" t="s">
        <v>3256</v>
      </c>
      <c r="I1238" s="28"/>
      <c r="J1238" s="30"/>
      <c r="K1238" s="15">
        <f>COUNTIF(Contacts[姓名],Contacts[[#This Row],[姓名]])</f>
        <v>1</v>
      </c>
    </row>
    <row r="1239" spans="1:11" x14ac:dyDescent="0.15">
      <c r="A1239" s="28" t="s">
        <v>2514</v>
      </c>
      <c r="B1239" s="15" t="s">
        <v>1635</v>
      </c>
      <c r="C1239" s="15">
        <v>3003516576</v>
      </c>
      <c r="D1239" s="29" t="s">
        <v>2434</v>
      </c>
      <c r="E1239" s="129" t="s">
        <v>5315</v>
      </c>
      <c r="F1239" s="15" t="s">
        <v>4644</v>
      </c>
      <c r="H1239" s="15" t="s">
        <v>3038</v>
      </c>
      <c r="I1239" s="28" t="s">
        <v>3039</v>
      </c>
      <c r="J1239" s="30" t="s">
        <v>3040</v>
      </c>
      <c r="K1239" s="15">
        <f>COUNTIF(Contacts[姓名],Contacts[[#This Row],[姓名]])</f>
        <v>1</v>
      </c>
    </row>
    <row r="1240" spans="1:11" x14ac:dyDescent="0.15">
      <c r="A1240" s="28"/>
      <c r="B1240" s="15" t="s">
        <v>1635</v>
      </c>
      <c r="C1240" s="15">
        <v>520897</v>
      </c>
      <c r="D1240" s="29" t="s">
        <v>2440</v>
      </c>
      <c r="E1240" s="129" t="s">
        <v>5315</v>
      </c>
      <c r="F1240" s="15" t="s">
        <v>4645</v>
      </c>
      <c r="I1240" s="28"/>
      <c r="J1240" s="30"/>
      <c r="K1240" s="15">
        <f>COUNTIF(Contacts[姓名],Contacts[[#This Row],[姓名]])</f>
        <v>1</v>
      </c>
    </row>
    <row r="1241" spans="1:11" x14ac:dyDescent="0.15">
      <c r="A1241" s="28"/>
      <c r="B1241" s="15" t="s">
        <v>1635</v>
      </c>
      <c r="C1241" s="15">
        <v>2359459776</v>
      </c>
      <c r="D1241" s="29" t="s">
        <v>2423</v>
      </c>
      <c r="E1241" s="129" t="s">
        <v>5315</v>
      </c>
      <c r="F1241" s="15" t="s">
        <v>4646</v>
      </c>
      <c r="H1241" s="15" t="s">
        <v>3050</v>
      </c>
      <c r="I1241" s="28"/>
      <c r="J1241" s="30"/>
      <c r="K1241" s="15">
        <f>COUNTIF(Contacts[姓名],Contacts[[#This Row],[姓名]])</f>
        <v>1</v>
      </c>
    </row>
    <row r="1242" spans="1:11" x14ac:dyDescent="0.15">
      <c r="A1242" s="28" t="s">
        <v>551</v>
      </c>
      <c r="B1242" s="15" t="s">
        <v>1603</v>
      </c>
      <c r="C1242" s="15">
        <v>453038185</v>
      </c>
      <c r="D1242" s="29" t="s">
        <v>1631</v>
      </c>
      <c r="E1242" s="129" t="s">
        <v>5315</v>
      </c>
      <c r="F1242" s="15" t="s">
        <v>4647</v>
      </c>
      <c r="H1242" s="15" t="s">
        <v>2868</v>
      </c>
      <c r="I1242" s="28" t="s">
        <v>2813</v>
      </c>
      <c r="J1242" s="30"/>
      <c r="K1242" s="15">
        <f>COUNTIF(Contacts[姓名],Contacts[[#This Row],[姓名]])</f>
        <v>1</v>
      </c>
    </row>
    <row r="1243" spans="1:11" x14ac:dyDescent="0.15">
      <c r="A1243" s="28" t="s">
        <v>551</v>
      </c>
      <c r="B1243" s="15" t="s">
        <v>1603</v>
      </c>
      <c r="C1243" s="15">
        <v>2880265383</v>
      </c>
      <c r="D1243" s="29" t="s">
        <v>1630</v>
      </c>
      <c r="E1243" s="129" t="s">
        <v>5315</v>
      </c>
      <c r="F1243" s="15" t="s">
        <v>4648</v>
      </c>
      <c r="I1243" s="28"/>
      <c r="J1243" s="30"/>
      <c r="K1243" s="15">
        <f>COUNTIF(Contacts[姓名],Contacts[[#This Row],[姓名]])</f>
        <v>1</v>
      </c>
    </row>
    <row r="1244" spans="1:11" x14ac:dyDescent="0.15">
      <c r="A1244" s="28" t="s">
        <v>2482</v>
      </c>
      <c r="B1244" s="15" t="s">
        <v>1603</v>
      </c>
      <c r="C1244" s="15">
        <v>372202948</v>
      </c>
      <c r="D1244" s="29" t="s">
        <v>2448</v>
      </c>
      <c r="E1244" s="129" t="s">
        <v>5315</v>
      </c>
      <c r="F1244" s="15" t="s">
        <v>4649</v>
      </c>
      <c r="H1244" s="15" t="s">
        <v>2847</v>
      </c>
      <c r="I1244" s="28" t="s">
        <v>2812</v>
      </c>
      <c r="J1244" s="30"/>
      <c r="K1244" s="15">
        <f>COUNTIF(Contacts[姓名],Contacts[[#This Row],[姓名]])</f>
        <v>1</v>
      </c>
    </row>
    <row r="1245" spans="1:11" x14ac:dyDescent="0.15">
      <c r="A1245" s="28" t="s">
        <v>552</v>
      </c>
      <c r="B1245" s="15" t="s">
        <v>1603</v>
      </c>
      <c r="C1245" s="15">
        <v>2250498754</v>
      </c>
      <c r="D1245" s="29" t="s">
        <v>2694</v>
      </c>
      <c r="E1245" s="129" t="s">
        <v>5315</v>
      </c>
      <c r="F1245" s="15" t="s">
        <v>4650</v>
      </c>
      <c r="I1245" s="28"/>
      <c r="J1245" s="30" t="s">
        <v>2548</v>
      </c>
      <c r="K1245" s="15">
        <f>COUNTIF(Contacts[姓名],Contacts[[#This Row],[姓名]])</f>
        <v>1</v>
      </c>
    </row>
    <row r="1246" spans="1:11" x14ac:dyDescent="0.15">
      <c r="A1246" s="28" t="s">
        <v>598</v>
      </c>
      <c r="B1246" s="15" t="s">
        <v>1603</v>
      </c>
      <c r="C1246" s="15">
        <v>1417745244</v>
      </c>
      <c r="D1246" s="29" t="s">
        <v>1641</v>
      </c>
      <c r="E1246" s="129" t="s">
        <v>5315</v>
      </c>
      <c r="F1246" s="15" t="s">
        <v>4651</v>
      </c>
      <c r="H1246" s="15" t="s">
        <v>2829</v>
      </c>
      <c r="I1246" s="28"/>
      <c r="J1246" s="30"/>
      <c r="K1246" s="15">
        <f>COUNTIF(Contacts[姓名],Contacts[[#This Row],[姓名]])</f>
        <v>1</v>
      </c>
    </row>
    <row r="1247" spans="1:11" x14ac:dyDescent="0.15">
      <c r="A1247" s="28" t="s">
        <v>499</v>
      </c>
      <c r="B1247" s="15" t="s">
        <v>1603</v>
      </c>
      <c r="C1247" s="15">
        <v>1723872341</v>
      </c>
      <c r="D1247" s="29" t="s">
        <v>1682</v>
      </c>
      <c r="E1247" s="129" t="s">
        <v>5315</v>
      </c>
      <c r="F1247" s="15" t="s">
        <v>4652</v>
      </c>
      <c r="I1247" s="28"/>
      <c r="J1247" s="30"/>
      <c r="K1247" s="15">
        <f>COUNTIF(Contacts[姓名],Contacts[[#This Row],[姓名]])</f>
        <v>1</v>
      </c>
    </row>
    <row r="1248" spans="1:11" x14ac:dyDescent="0.15">
      <c r="A1248" s="28" t="s">
        <v>499</v>
      </c>
      <c r="B1248" s="15" t="s">
        <v>1603</v>
      </c>
      <c r="C1248" s="15">
        <v>2881601588</v>
      </c>
      <c r="D1248" s="29" t="s">
        <v>1683</v>
      </c>
      <c r="E1248" s="129" t="s">
        <v>5315</v>
      </c>
      <c r="F1248" s="15" t="s">
        <v>4653</v>
      </c>
      <c r="H1248" s="15" t="s">
        <v>2824</v>
      </c>
      <c r="I1248" s="28"/>
      <c r="J1248" s="30"/>
      <c r="K1248" s="15">
        <f>COUNTIF(Contacts[姓名],Contacts[[#This Row],[姓名]])</f>
        <v>1</v>
      </c>
    </row>
    <row r="1249" spans="1:11" x14ac:dyDescent="0.15">
      <c r="A1249" s="28" t="s">
        <v>2487</v>
      </c>
      <c r="B1249" s="15" t="s">
        <v>1603</v>
      </c>
      <c r="C1249" s="15">
        <v>821102893</v>
      </c>
      <c r="D1249" s="29" t="s">
        <v>2450</v>
      </c>
      <c r="E1249" s="129" t="s">
        <v>5315</v>
      </c>
      <c r="F1249" s="15" t="s">
        <v>4654</v>
      </c>
      <c r="H1249" s="15" t="s">
        <v>2888</v>
      </c>
      <c r="I1249" s="28"/>
      <c r="J1249" s="30"/>
      <c r="K1249" s="15">
        <f>COUNTIF(Contacts[姓名],Contacts[[#This Row],[姓名]])</f>
        <v>1</v>
      </c>
    </row>
    <row r="1250" spans="1:11" x14ac:dyDescent="0.15">
      <c r="A1250" s="28" t="s">
        <v>705</v>
      </c>
      <c r="B1250" s="15" t="s">
        <v>1603</v>
      </c>
      <c r="C1250" s="15">
        <v>55003062</v>
      </c>
      <c r="D1250" s="29" t="s">
        <v>1632</v>
      </c>
      <c r="E1250" s="129" t="s">
        <v>5315</v>
      </c>
      <c r="F1250" s="15" t="s">
        <v>4655</v>
      </c>
      <c r="I1250" s="28"/>
      <c r="J1250" s="30"/>
      <c r="K1250" s="15">
        <f>COUNTIF(Contacts[姓名],Contacts[[#This Row],[姓名]])</f>
        <v>1</v>
      </c>
    </row>
    <row r="1251" spans="1:11" x14ac:dyDescent="0.15">
      <c r="A1251" s="28" t="s">
        <v>548</v>
      </c>
      <c r="B1251" s="15" t="s">
        <v>1603</v>
      </c>
      <c r="C1251" s="15">
        <v>1766774089</v>
      </c>
      <c r="D1251" s="29" t="s">
        <v>1678</v>
      </c>
      <c r="E1251" s="129" t="s">
        <v>5315</v>
      </c>
      <c r="F1251" s="15" t="s">
        <v>4656</v>
      </c>
      <c r="H1251" s="15" t="s">
        <v>2866</v>
      </c>
      <c r="I1251" s="28"/>
      <c r="J1251" s="30"/>
      <c r="K1251" s="15">
        <f>COUNTIF(Contacts[姓名],Contacts[[#This Row],[姓名]])</f>
        <v>1</v>
      </c>
    </row>
    <row r="1252" spans="1:11" x14ac:dyDescent="0.15">
      <c r="A1252" s="28" t="s">
        <v>548</v>
      </c>
      <c r="B1252" s="15" t="s">
        <v>1603</v>
      </c>
      <c r="C1252" s="15">
        <v>1852519464</v>
      </c>
      <c r="D1252" s="29" t="s">
        <v>1624</v>
      </c>
      <c r="E1252" s="129" t="s">
        <v>5315</v>
      </c>
      <c r="F1252" s="15" t="s">
        <v>4657</v>
      </c>
      <c r="H1252" s="15" t="s">
        <v>2871</v>
      </c>
      <c r="I1252" s="28" t="s">
        <v>2810</v>
      </c>
      <c r="J1252" s="30"/>
      <c r="K1252" s="15">
        <f>COUNTIF(Contacts[姓名],Contacts[[#This Row],[姓名]])</f>
        <v>1</v>
      </c>
    </row>
    <row r="1253" spans="1:11" x14ac:dyDescent="0.15">
      <c r="A1253" s="28" t="s">
        <v>548</v>
      </c>
      <c r="B1253" s="15" t="s">
        <v>1603</v>
      </c>
      <c r="C1253" s="15">
        <v>3003413991</v>
      </c>
      <c r="D1253" s="29" t="s">
        <v>1679</v>
      </c>
      <c r="E1253" s="129" t="s">
        <v>5315</v>
      </c>
      <c r="F1253" s="15" t="s">
        <v>4658</v>
      </c>
      <c r="I1253" s="28" t="s">
        <v>2811</v>
      </c>
      <c r="J1253" s="30"/>
      <c r="K1253" s="15">
        <f>COUNTIF(Contacts[姓名],Contacts[[#This Row],[姓名]])</f>
        <v>1</v>
      </c>
    </row>
    <row r="1254" spans="1:11" x14ac:dyDescent="0.15">
      <c r="A1254" s="28" t="s">
        <v>2489</v>
      </c>
      <c r="B1254" s="15" t="s">
        <v>1603</v>
      </c>
      <c r="C1254" s="15">
        <v>598146468</v>
      </c>
      <c r="D1254" s="29" t="s">
        <v>2449</v>
      </c>
      <c r="E1254" s="129" t="s">
        <v>5315</v>
      </c>
      <c r="F1254" s="15" t="s">
        <v>4659</v>
      </c>
      <c r="H1254" s="15" t="s">
        <v>2891</v>
      </c>
      <c r="I1254" s="28"/>
      <c r="J1254" s="30"/>
      <c r="K1254" s="15">
        <f>COUNTIF(Contacts[姓名],Contacts[[#This Row],[姓名]])</f>
        <v>1</v>
      </c>
    </row>
    <row r="1255" spans="1:11" x14ac:dyDescent="0.15">
      <c r="A1255" s="28" t="s">
        <v>601</v>
      </c>
      <c r="B1255" s="15" t="s">
        <v>1603</v>
      </c>
      <c r="C1255" s="15">
        <v>2880070513</v>
      </c>
      <c r="D1255" s="29" t="s">
        <v>1672</v>
      </c>
      <c r="E1255" s="129" t="s">
        <v>5315</v>
      </c>
      <c r="F1255" s="15" t="s">
        <v>4660</v>
      </c>
      <c r="H1255" s="15" t="s">
        <v>2816</v>
      </c>
      <c r="I1255" s="28" t="s">
        <v>2817</v>
      </c>
      <c r="J1255" s="30"/>
      <c r="K1255" s="15">
        <f>COUNTIF(Contacts[姓名],Contacts[[#This Row],[姓名]])</f>
        <v>1</v>
      </c>
    </row>
    <row r="1256" spans="1:11" x14ac:dyDescent="0.15">
      <c r="A1256" s="28" t="s">
        <v>553</v>
      </c>
      <c r="B1256" s="15" t="s">
        <v>1603</v>
      </c>
      <c r="C1256" s="15">
        <v>748763810</v>
      </c>
      <c r="D1256" s="29" t="s">
        <v>1623</v>
      </c>
      <c r="E1256" s="129" t="s">
        <v>5315</v>
      </c>
      <c r="F1256" s="15" t="s">
        <v>4661</v>
      </c>
      <c r="H1256" s="15" t="s">
        <v>2842</v>
      </c>
      <c r="I1256" s="28"/>
      <c r="J1256" s="30"/>
      <c r="K1256" s="15">
        <f>COUNTIF(Contacts[姓名],Contacts[[#This Row],[姓名]])</f>
        <v>1</v>
      </c>
    </row>
    <row r="1257" spans="1:11" x14ac:dyDescent="0.15">
      <c r="A1257" s="28" t="s">
        <v>696</v>
      </c>
      <c r="B1257" s="15" t="s">
        <v>1603</v>
      </c>
      <c r="C1257" s="15">
        <v>2851793304</v>
      </c>
      <c r="D1257" s="29" t="s">
        <v>2704</v>
      </c>
      <c r="E1257" s="129" t="s">
        <v>5315</v>
      </c>
      <c r="F1257" s="15" t="s">
        <v>4662</v>
      </c>
      <c r="H1257" s="15" t="s">
        <v>2826</v>
      </c>
      <c r="I1257" s="28" t="s">
        <v>2821</v>
      </c>
      <c r="J1257" s="30" t="s">
        <v>2541</v>
      </c>
      <c r="K1257" s="15">
        <f>COUNTIF(Contacts[姓名],Contacts[[#This Row],[姓名]])</f>
        <v>1</v>
      </c>
    </row>
    <row r="1258" spans="1:11" x14ac:dyDescent="0.15">
      <c r="A1258" s="28" t="s">
        <v>713</v>
      </c>
      <c r="B1258" s="15" t="s">
        <v>1603</v>
      </c>
      <c r="C1258" s="15">
        <v>1391376174</v>
      </c>
      <c r="D1258" s="29" t="s">
        <v>1709</v>
      </c>
      <c r="E1258" s="129" t="s">
        <v>5315</v>
      </c>
      <c r="F1258" s="15" t="s">
        <v>4663</v>
      </c>
      <c r="I1258" s="28" t="s">
        <v>2820</v>
      </c>
      <c r="J1258" s="30"/>
      <c r="K1258" s="15">
        <f>COUNTIF(Contacts[姓名],Contacts[[#This Row],[姓名]])</f>
        <v>1</v>
      </c>
    </row>
    <row r="1259" spans="1:11" x14ac:dyDescent="0.15">
      <c r="A1259" s="28" t="s">
        <v>498</v>
      </c>
      <c r="B1259" s="15" t="s">
        <v>1603</v>
      </c>
      <c r="C1259" s="15">
        <v>2881536704</v>
      </c>
      <c r="D1259" s="29" t="s">
        <v>790</v>
      </c>
      <c r="E1259" s="129" t="s">
        <v>5315</v>
      </c>
      <c r="F1259" s="15" t="s">
        <v>4664</v>
      </c>
      <c r="H1259" s="15" t="s">
        <v>2885</v>
      </c>
      <c r="I1259" s="28" t="s">
        <v>2809</v>
      </c>
      <c r="J1259" s="30"/>
      <c r="K1259" s="15">
        <f>COUNTIF(Contacts[姓名],Contacts[[#This Row],[姓名]])</f>
        <v>1</v>
      </c>
    </row>
    <row r="1260" spans="1:11" x14ac:dyDescent="0.15">
      <c r="A1260" s="28" t="s">
        <v>498</v>
      </c>
      <c r="B1260" s="15" t="s">
        <v>1603</v>
      </c>
      <c r="C1260" s="15">
        <v>2881536722</v>
      </c>
      <c r="D1260" s="29" t="s">
        <v>1622</v>
      </c>
      <c r="E1260" s="129" t="s">
        <v>5315</v>
      </c>
      <c r="F1260" s="15" t="s">
        <v>4665</v>
      </c>
      <c r="H1260" s="15" t="s">
        <v>2841</v>
      </c>
      <c r="I1260" s="28" t="s">
        <v>2806</v>
      </c>
      <c r="J1260" s="30"/>
      <c r="K1260" s="15">
        <f>COUNTIF(Contacts[姓名],Contacts[[#This Row],[姓名]])</f>
        <v>1</v>
      </c>
    </row>
    <row r="1261" spans="1:11" x14ac:dyDescent="0.15">
      <c r="A1261" s="28" t="s">
        <v>498</v>
      </c>
      <c r="B1261" s="15" t="s">
        <v>1603</v>
      </c>
      <c r="C1261" s="15">
        <v>2881536727</v>
      </c>
      <c r="D1261" s="29" t="s">
        <v>1669</v>
      </c>
      <c r="E1261" s="129" t="s">
        <v>5315</v>
      </c>
      <c r="F1261" s="15" t="s">
        <v>4666</v>
      </c>
      <c r="I1261" s="28"/>
      <c r="J1261" s="30"/>
      <c r="K1261" s="15">
        <f>COUNTIF(Contacts[姓名],Contacts[[#This Row],[姓名]])</f>
        <v>1</v>
      </c>
    </row>
    <row r="1262" spans="1:11" x14ac:dyDescent="0.15">
      <c r="A1262" s="28" t="s">
        <v>2510</v>
      </c>
      <c r="B1262" s="15" t="s">
        <v>1715</v>
      </c>
      <c r="C1262" s="15">
        <v>948550583</v>
      </c>
      <c r="D1262" s="29" t="s">
        <v>1728</v>
      </c>
      <c r="E1262" s="129" t="s">
        <v>5315</v>
      </c>
      <c r="F1262" s="15" t="s">
        <v>6176</v>
      </c>
      <c r="I1262" s="28"/>
      <c r="J1262" s="30"/>
      <c r="K1262" s="15">
        <f>COUNTIF(Contacts[姓名],Contacts[[#This Row],[姓名]])</f>
        <v>1</v>
      </c>
    </row>
    <row r="1263" spans="1:11" x14ac:dyDescent="0.15">
      <c r="A1263" s="28" t="s">
        <v>498</v>
      </c>
      <c r="B1263" s="15" t="s">
        <v>1603</v>
      </c>
      <c r="C1263" s="15">
        <v>2881725316</v>
      </c>
      <c r="D1263" s="29" t="s">
        <v>1667</v>
      </c>
      <c r="E1263" s="129" t="s">
        <v>5315</v>
      </c>
      <c r="F1263" s="15" t="s">
        <v>4667</v>
      </c>
      <c r="I1263" s="28"/>
      <c r="J1263" s="30"/>
      <c r="K1263" s="15">
        <f>COUNTIF(Contacts[姓名],Contacts[[#This Row],[姓名]])</f>
        <v>1</v>
      </c>
    </row>
    <row r="1264" spans="1:11" x14ac:dyDescent="0.15">
      <c r="A1264" s="28" t="s">
        <v>498</v>
      </c>
      <c r="B1264" s="15" t="s">
        <v>1603</v>
      </c>
      <c r="C1264" s="15">
        <v>2881725322</v>
      </c>
      <c r="D1264" s="29" t="s">
        <v>1668</v>
      </c>
      <c r="E1264" s="129" t="s">
        <v>5315</v>
      </c>
      <c r="F1264" s="15" t="s">
        <v>4668</v>
      </c>
      <c r="H1264" s="15" t="s">
        <v>2832</v>
      </c>
      <c r="I1264" s="28" t="s">
        <v>2808</v>
      </c>
      <c r="J1264" s="30"/>
      <c r="K1264" s="15">
        <f>COUNTIF(Contacts[姓名],Contacts[[#This Row],[姓名]])</f>
        <v>1</v>
      </c>
    </row>
    <row r="1265" spans="1:11" x14ac:dyDescent="0.15">
      <c r="A1265" s="28" t="s">
        <v>498</v>
      </c>
      <c r="B1265" s="15" t="s">
        <v>1603</v>
      </c>
      <c r="C1265" s="15">
        <v>2881725329</v>
      </c>
      <c r="D1265" s="29" t="s">
        <v>1621</v>
      </c>
      <c r="E1265" s="129" t="s">
        <v>5315</v>
      </c>
      <c r="F1265" s="15" t="s">
        <v>4669</v>
      </c>
      <c r="H1265" s="15" t="s">
        <v>2853</v>
      </c>
      <c r="I1265" s="28"/>
      <c r="J1265" s="30"/>
      <c r="K1265" s="15">
        <f>COUNTIF(Contacts[姓名],Contacts[[#This Row],[姓名]])</f>
        <v>1</v>
      </c>
    </row>
    <row r="1266" spans="1:11" x14ac:dyDescent="0.15">
      <c r="A1266" s="28" t="s">
        <v>582</v>
      </c>
      <c r="B1266" s="15" t="s">
        <v>1603</v>
      </c>
      <c r="C1266" s="15">
        <v>2880488468</v>
      </c>
      <c r="D1266" s="29" t="s">
        <v>1618</v>
      </c>
      <c r="E1266" s="129" t="s">
        <v>5315</v>
      </c>
      <c r="F1266" s="15" t="s">
        <v>4670</v>
      </c>
      <c r="H1266" s="15" t="s">
        <v>2827</v>
      </c>
      <c r="I1266" s="28" t="s">
        <v>2814</v>
      </c>
      <c r="J1266" s="30"/>
      <c r="K1266" s="15">
        <f>COUNTIF(Contacts[姓名],Contacts[[#This Row],[姓名]])</f>
        <v>1</v>
      </c>
    </row>
    <row r="1267" spans="1:11" x14ac:dyDescent="0.15">
      <c r="A1267" s="28" t="s">
        <v>492</v>
      </c>
      <c r="B1267" s="15" t="s">
        <v>1603</v>
      </c>
      <c r="C1267" s="15">
        <v>309843231</v>
      </c>
      <c r="D1267" s="29" t="s">
        <v>2699</v>
      </c>
      <c r="E1267" s="129" t="s">
        <v>5315</v>
      </c>
      <c r="F1267" s="15" t="s">
        <v>4671</v>
      </c>
      <c r="I1267" s="28"/>
      <c r="J1267" s="30" t="s">
        <v>2539</v>
      </c>
      <c r="K1267" s="15">
        <f>COUNTIF(Contacts[姓名],Contacts[[#This Row],[姓名]])</f>
        <v>1</v>
      </c>
    </row>
    <row r="1268" spans="1:11" x14ac:dyDescent="0.15">
      <c r="A1268" s="28" t="s">
        <v>2495</v>
      </c>
      <c r="B1268" s="15" t="s">
        <v>2521</v>
      </c>
      <c r="C1268" s="15">
        <v>1106919414</v>
      </c>
      <c r="D1268" s="29" t="s">
        <v>2451</v>
      </c>
      <c r="E1268" s="129" t="s">
        <v>5315</v>
      </c>
      <c r="F1268" s="15" t="s">
        <v>6177</v>
      </c>
      <c r="I1268" s="28" t="s">
        <v>3080</v>
      </c>
      <c r="J1268" s="30"/>
      <c r="K1268" s="15">
        <f>COUNTIF(Contacts[姓名],Contacts[[#This Row],[姓名]])</f>
        <v>1</v>
      </c>
    </row>
    <row r="1269" spans="1:11" x14ac:dyDescent="0.15">
      <c r="A1269" s="28" t="s">
        <v>2388</v>
      </c>
      <c r="B1269" s="15" t="s">
        <v>1603</v>
      </c>
      <c r="C1269" s="15">
        <v>1065729493</v>
      </c>
      <c r="D1269" s="29" t="s">
        <v>2446</v>
      </c>
      <c r="E1269" s="129" t="s">
        <v>5315</v>
      </c>
      <c r="F1269" s="15" t="s">
        <v>4672</v>
      </c>
      <c r="I1269" s="28"/>
      <c r="J1269" s="30"/>
      <c r="K1269" s="15">
        <f>COUNTIF(Contacts[姓名],Contacts[[#This Row],[姓名]])</f>
        <v>1</v>
      </c>
    </row>
    <row r="1270" spans="1:11" x14ac:dyDescent="0.15">
      <c r="A1270" s="28" t="s">
        <v>492</v>
      </c>
      <c r="B1270" s="15" t="s">
        <v>1603</v>
      </c>
      <c r="C1270" s="15">
        <v>1782850753</v>
      </c>
      <c r="D1270" s="29" t="s">
        <v>1613</v>
      </c>
      <c r="E1270" s="129" t="s">
        <v>5315</v>
      </c>
      <c r="F1270" s="15" t="s">
        <v>4673</v>
      </c>
      <c r="H1270" s="15" t="s">
        <v>2867</v>
      </c>
      <c r="I1270" s="28"/>
      <c r="J1270" s="30"/>
      <c r="K1270" s="15">
        <f>COUNTIF(Contacts[姓名],Contacts[[#This Row],[姓名]])</f>
        <v>1</v>
      </c>
    </row>
    <row r="1271" spans="1:11" x14ac:dyDescent="0.15">
      <c r="A1271" s="28" t="s">
        <v>492</v>
      </c>
      <c r="B1271" s="15" t="s">
        <v>1603</v>
      </c>
      <c r="C1271" s="15">
        <v>1795859346</v>
      </c>
      <c r="D1271" s="29" t="s">
        <v>1610</v>
      </c>
      <c r="E1271" s="129" t="s">
        <v>5315</v>
      </c>
      <c r="F1271" s="15" t="s">
        <v>4674</v>
      </c>
      <c r="H1271" s="15" t="s">
        <v>2881</v>
      </c>
      <c r="I1271" s="28"/>
      <c r="J1271" s="30"/>
      <c r="K1271" s="15">
        <f>COUNTIF(Contacts[姓名],Contacts[[#This Row],[姓名]])</f>
        <v>1</v>
      </c>
    </row>
    <row r="1272" spans="1:11" x14ac:dyDescent="0.15">
      <c r="A1272" s="28" t="s">
        <v>492</v>
      </c>
      <c r="B1272" s="15" t="s">
        <v>1603</v>
      </c>
      <c r="C1272" s="15">
        <v>3303211805</v>
      </c>
      <c r="D1272" s="29" t="s">
        <v>1612</v>
      </c>
      <c r="E1272" s="129" t="s">
        <v>5315</v>
      </c>
      <c r="F1272" s="15" t="s">
        <v>4675</v>
      </c>
      <c r="I1272" s="28"/>
      <c r="J1272" s="30"/>
      <c r="K1272" s="15">
        <f>COUNTIF(Contacts[姓名],Contacts[[#This Row],[姓名]])</f>
        <v>1</v>
      </c>
    </row>
    <row r="1273" spans="1:11" x14ac:dyDescent="0.15">
      <c r="A1273" s="28" t="s">
        <v>620</v>
      </c>
      <c r="B1273" s="15" t="s">
        <v>1603</v>
      </c>
      <c r="C1273" s="15">
        <v>2853553230</v>
      </c>
      <c r="D1273" s="29" t="s">
        <v>1609</v>
      </c>
      <c r="E1273" s="129" t="s">
        <v>5315</v>
      </c>
      <c r="F1273" s="15" t="s">
        <v>4676</v>
      </c>
      <c r="H1273" s="15" t="s">
        <v>2857</v>
      </c>
      <c r="I1273" s="28" t="s">
        <v>2815</v>
      </c>
      <c r="J1273" s="30"/>
      <c r="K1273" s="15">
        <f>COUNTIF(Contacts[姓名],Contacts[[#This Row],[姓名]])</f>
        <v>1</v>
      </c>
    </row>
    <row r="1274" spans="1:11" x14ac:dyDescent="0.15">
      <c r="A1274" s="28" t="s">
        <v>647</v>
      </c>
      <c r="B1274" s="15" t="s">
        <v>1603</v>
      </c>
      <c r="C1274" s="15">
        <v>2850135782</v>
      </c>
      <c r="D1274" s="29" t="s">
        <v>1652</v>
      </c>
      <c r="E1274" s="129" t="s">
        <v>5315</v>
      </c>
      <c r="F1274" s="15" t="s">
        <v>3568</v>
      </c>
      <c r="I1274" s="28"/>
      <c r="J1274" s="30"/>
      <c r="K1274" s="15">
        <f>COUNTIF(Contacts[姓名],Contacts[[#This Row],[姓名]])</f>
        <v>1</v>
      </c>
    </row>
    <row r="1275" spans="1:11" x14ac:dyDescent="0.15">
      <c r="A1275" s="28" t="s">
        <v>5278</v>
      </c>
      <c r="B1275" s="15" t="s">
        <v>5236</v>
      </c>
      <c r="C1275" s="15">
        <v>2355883722</v>
      </c>
      <c r="D1275" s="29"/>
      <c r="E1275" s="129">
        <v>43403</v>
      </c>
      <c r="F1275" s="15" t="s">
        <v>5279</v>
      </c>
      <c r="H1275" s="15" t="s">
        <v>5280</v>
      </c>
      <c r="I1275" s="28" t="s">
        <v>5281</v>
      </c>
      <c r="J1275" s="30" t="s">
        <v>5282</v>
      </c>
      <c r="K1275" s="15">
        <f>COUNTIF(Contacts[姓名],Contacts[[#This Row],[姓名]])</f>
        <v>1</v>
      </c>
    </row>
    <row r="1276" spans="1:11" x14ac:dyDescent="0.15">
      <c r="A1276" s="28" t="s">
        <v>587</v>
      </c>
      <c r="B1276" s="15" t="s">
        <v>1603</v>
      </c>
      <c r="C1276" s="15">
        <v>2850688050</v>
      </c>
      <c r="D1276" s="29" t="s">
        <v>1115</v>
      </c>
      <c r="E1276" s="129" t="s">
        <v>5315</v>
      </c>
      <c r="F1276" s="15" t="s">
        <v>4677</v>
      </c>
      <c r="H1276" s="15" t="s">
        <v>2834</v>
      </c>
      <c r="I1276" s="28" t="s">
        <v>2818</v>
      </c>
      <c r="J1276" s="30"/>
      <c r="K1276" s="15">
        <f>COUNTIF(Contacts[姓名],Contacts[[#This Row],[姓名]])</f>
        <v>1</v>
      </c>
    </row>
    <row r="1277" spans="1:11" x14ac:dyDescent="0.15">
      <c r="A1277" s="28" t="s">
        <v>593</v>
      </c>
      <c r="B1277" s="15" t="s">
        <v>1603</v>
      </c>
      <c r="C1277" s="15">
        <v>30545913</v>
      </c>
      <c r="D1277" s="29" t="s">
        <v>1605</v>
      </c>
      <c r="E1277" s="129" t="s">
        <v>5315</v>
      </c>
      <c r="F1277" s="15" t="s">
        <v>4678</v>
      </c>
      <c r="H1277" s="15" t="s">
        <v>2833</v>
      </c>
      <c r="I1277" s="28"/>
      <c r="J1277" s="30"/>
      <c r="K1277" s="15">
        <f>COUNTIF(Contacts[姓名],Contacts[[#This Row],[姓名]])</f>
        <v>1</v>
      </c>
    </row>
    <row r="1278" spans="1:11" x14ac:dyDescent="0.15">
      <c r="A1278" s="28" t="s">
        <v>564</v>
      </c>
      <c r="B1278" s="15" t="s">
        <v>1603</v>
      </c>
      <c r="C1278" s="15">
        <v>342439195</v>
      </c>
      <c r="D1278" s="29" t="s">
        <v>1602</v>
      </c>
      <c r="E1278" s="129" t="s">
        <v>5315</v>
      </c>
      <c r="F1278" s="15" t="s">
        <v>4679</v>
      </c>
      <c r="H1278" s="15" t="s">
        <v>2836</v>
      </c>
      <c r="I1278" s="28"/>
      <c r="J1278" s="30"/>
      <c r="K1278" s="15">
        <f>COUNTIF(Contacts[姓名],Contacts[[#This Row],[姓名]])</f>
        <v>1</v>
      </c>
    </row>
    <row r="1279" spans="1:11" x14ac:dyDescent="0.15">
      <c r="A1279" s="28" t="s">
        <v>559</v>
      </c>
      <c r="B1279" s="15" t="s">
        <v>1603</v>
      </c>
      <c r="C1279" s="15">
        <v>3002739205</v>
      </c>
      <c r="D1279" s="29" t="s">
        <v>1647</v>
      </c>
      <c r="E1279" s="129" t="s">
        <v>5315</v>
      </c>
      <c r="F1279" s="15" t="s">
        <v>4680</v>
      </c>
      <c r="H1279" s="15" t="s">
        <v>2869</v>
      </c>
      <c r="I1279" s="28"/>
      <c r="J1279" s="30"/>
      <c r="K1279" s="15">
        <f>COUNTIF(Contacts[姓名],Contacts[[#This Row],[姓名]])</f>
        <v>1</v>
      </c>
    </row>
    <row r="1280" spans="1:11" x14ac:dyDescent="0.15">
      <c r="A1280" s="28" t="s">
        <v>1551</v>
      </c>
      <c r="B1280" s="15" t="s">
        <v>1603</v>
      </c>
      <c r="C1280" s="15">
        <v>1175351001</v>
      </c>
      <c r="D1280" s="29" t="s">
        <v>1633</v>
      </c>
      <c r="E1280" s="129" t="s">
        <v>5315</v>
      </c>
      <c r="F1280" s="15" t="s">
        <v>4681</v>
      </c>
      <c r="I1280" s="28"/>
      <c r="J1280" s="30"/>
      <c r="K1280" s="15">
        <f>COUNTIF(Contacts[姓名],Contacts[[#This Row],[姓名]])</f>
        <v>1</v>
      </c>
    </row>
    <row r="1281" spans="1:11" x14ac:dyDescent="0.15">
      <c r="A1281" s="28" t="s">
        <v>575</v>
      </c>
      <c r="B1281" s="15" t="s">
        <v>1603</v>
      </c>
      <c r="C1281" s="15">
        <v>526251238</v>
      </c>
      <c r="D1281" s="29" t="s">
        <v>1604</v>
      </c>
      <c r="E1281" s="129" t="s">
        <v>5315</v>
      </c>
      <c r="F1281" s="15" t="s">
        <v>4682</v>
      </c>
      <c r="H1281" s="15" t="s">
        <v>2872</v>
      </c>
      <c r="I1281" s="28"/>
      <c r="J1281" s="30"/>
      <c r="K1281" s="15">
        <f>COUNTIF(Contacts[姓名],Contacts[[#This Row],[姓名]])</f>
        <v>1</v>
      </c>
    </row>
    <row r="1282" spans="1:11" x14ac:dyDescent="0.15">
      <c r="A1282" s="28" t="s">
        <v>572</v>
      </c>
      <c r="B1282" s="15" t="s">
        <v>1603</v>
      </c>
      <c r="C1282" s="15">
        <v>240689713</v>
      </c>
      <c r="D1282" s="29" t="s">
        <v>1643</v>
      </c>
      <c r="E1282" s="129" t="s">
        <v>5315</v>
      </c>
      <c r="F1282" s="15" t="s">
        <v>3646</v>
      </c>
      <c r="I1282" s="28"/>
      <c r="J1282" s="30"/>
      <c r="K1282" s="15">
        <f>COUNTIF(Contacts[姓名],Contacts[[#This Row],[姓名]])</f>
        <v>1</v>
      </c>
    </row>
    <row r="1283" spans="1:11" x14ac:dyDescent="0.15">
      <c r="A1283" s="28" t="s">
        <v>800</v>
      </c>
      <c r="B1283" s="15" t="s">
        <v>2521</v>
      </c>
      <c r="C1283" s="15">
        <v>2837083776</v>
      </c>
      <c r="D1283" s="29" t="s">
        <v>799</v>
      </c>
      <c r="E1283" s="129" t="s">
        <v>5315</v>
      </c>
      <c r="F1283" s="15" t="s">
        <v>4683</v>
      </c>
      <c r="H1283" s="15" t="s">
        <v>3061</v>
      </c>
      <c r="I1283" s="28" t="s">
        <v>3062</v>
      </c>
      <c r="J1283" s="30"/>
      <c r="K1283" s="15">
        <f>COUNTIF(Contacts[姓名],Contacts[[#This Row],[姓名]])</f>
        <v>1</v>
      </c>
    </row>
    <row r="1284" spans="1:11" x14ac:dyDescent="0.15">
      <c r="A1284" s="28" t="s">
        <v>551</v>
      </c>
      <c r="B1284" s="15" t="s">
        <v>2521</v>
      </c>
      <c r="C1284" s="15">
        <v>1135287212</v>
      </c>
      <c r="D1284" s="29" t="s">
        <v>1599</v>
      </c>
      <c r="E1284" s="129" t="s">
        <v>5315</v>
      </c>
      <c r="F1284" s="15" t="s">
        <v>4684</v>
      </c>
      <c r="H1284" s="15" t="s">
        <v>3065</v>
      </c>
      <c r="I1284" s="28" t="s">
        <v>3066</v>
      </c>
      <c r="J1284" s="30"/>
      <c r="K1284" s="15">
        <f>COUNTIF(Contacts[姓名],Contacts[[#This Row],[姓名]])</f>
        <v>1</v>
      </c>
    </row>
    <row r="1285" spans="1:11" x14ac:dyDescent="0.15">
      <c r="A1285" s="28" t="s">
        <v>551</v>
      </c>
      <c r="B1285" s="15" t="s">
        <v>2521</v>
      </c>
      <c r="C1285" s="15">
        <v>2880265343</v>
      </c>
      <c r="D1285" s="29" t="s">
        <v>797</v>
      </c>
      <c r="E1285" s="129" t="s">
        <v>5315</v>
      </c>
      <c r="F1285" s="15" t="s">
        <v>4685</v>
      </c>
      <c r="H1285" s="15" t="s">
        <v>3069</v>
      </c>
      <c r="I1285" s="28"/>
      <c r="J1285" s="30"/>
      <c r="K1285" s="15">
        <f>COUNTIF(Contacts[姓名],Contacts[[#This Row],[姓名]])</f>
        <v>1</v>
      </c>
    </row>
    <row r="1286" spans="1:11" x14ac:dyDescent="0.15">
      <c r="A1286" s="28" t="s">
        <v>551</v>
      </c>
      <c r="B1286" s="15" t="s">
        <v>2521</v>
      </c>
      <c r="C1286" s="15">
        <v>2880265347</v>
      </c>
      <c r="D1286" s="29" t="s">
        <v>1598</v>
      </c>
      <c r="E1286" s="129" t="s">
        <v>5315</v>
      </c>
      <c r="F1286" s="15" t="s">
        <v>4686</v>
      </c>
      <c r="H1286" s="15" t="s">
        <v>3067</v>
      </c>
      <c r="I1286" s="28" t="s">
        <v>3068</v>
      </c>
      <c r="J1286" s="30"/>
      <c r="K1286" s="15">
        <f>COUNTIF(Contacts[姓名],Contacts[[#This Row],[姓名]])</f>
        <v>1</v>
      </c>
    </row>
    <row r="1287" spans="1:11" x14ac:dyDescent="0.15">
      <c r="A1287" s="28" t="s">
        <v>551</v>
      </c>
      <c r="B1287" s="15" t="s">
        <v>2521</v>
      </c>
      <c r="C1287" s="15">
        <v>2880265348</v>
      </c>
      <c r="D1287" s="29" t="s">
        <v>1597</v>
      </c>
      <c r="E1287" s="129" t="s">
        <v>5315</v>
      </c>
      <c r="F1287" s="15" t="s">
        <v>4687</v>
      </c>
      <c r="I1287" s="28"/>
      <c r="J1287" s="30"/>
      <c r="K1287" s="15">
        <f>COUNTIF(Contacts[姓名],Contacts[[#This Row],[姓名]])</f>
        <v>1</v>
      </c>
    </row>
    <row r="1288" spans="1:11" x14ac:dyDescent="0.15">
      <c r="A1288" s="28" t="s">
        <v>551</v>
      </c>
      <c r="B1288" s="15" t="s">
        <v>2521</v>
      </c>
      <c r="C1288" s="15">
        <v>2880265380</v>
      </c>
      <c r="D1288" s="29" t="s">
        <v>1596</v>
      </c>
      <c r="E1288" s="129" t="s">
        <v>5315</v>
      </c>
      <c r="F1288" s="15" t="s">
        <v>4688</v>
      </c>
      <c r="H1288" s="15" t="s">
        <v>3070</v>
      </c>
      <c r="I1288" s="28" t="s">
        <v>3071</v>
      </c>
      <c r="J1288" s="30"/>
      <c r="K1288" s="15">
        <f>COUNTIF(Contacts[姓名],Contacts[[#This Row],[姓名]])</f>
        <v>1</v>
      </c>
    </row>
    <row r="1289" spans="1:11" x14ac:dyDescent="0.15">
      <c r="A1289" s="28" t="s">
        <v>591</v>
      </c>
      <c r="B1289" s="15" t="s">
        <v>2521</v>
      </c>
      <c r="C1289" s="15">
        <v>297961898</v>
      </c>
      <c r="D1289" s="29" t="s">
        <v>2784</v>
      </c>
      <c r="E1289" s="129" t="s">
        <v>5315</v>
      </c>
      <c r="F1289" s="15" t="s">
        <v>2169</v>
      </c>
      <c r="H1289" s="15" t="s">
        <v>2840</v>
      </c>
      <c r="I1289" s="28" t="s">
        <v>2733</v>
      </c>
      <c r="J1289" s="30" t="s">
        <v>2780</v>
      </c>
      <c r="K1289" s="15">
        <f>COUNTIF(Contacts[姓名],Contacts[[#This Row],[姓名]])</f>
        <v>1</v>
      </c>
    </row>
    <row r="1290" spans="1:11" x14ac:dyDescent="0.15">
      <c r="A1290" s="28" t="s">
        <v>558</v>
      </c>
      <c r="B1290" s="15" t="s">
        <v>2521</v>
      </c>
      <c r="C1290" s="15">
        <v>3004996990</v>
      </c>
      <c r="D1290" s="29" t="s">
        <v>3528</v>
      </c>
      <c r="E1290" s="129" t="s">
        <v>5315</v>
      </c>
      <c r="F1290" s="15" t="s">
        <v>4689</v>
      </c>
      <c r="I1290" s="28"/>
      <c r="J1290" s="30"/>
      <c r="K1290" s="15">
        <f>COUNTIF(Contacts[姓名],Contacts[[#This Row],[姓名]])</f>
        <v>1</v>
      </c>
    </row>
    <row r="1291" spans="1:11" x14ac:dyDescent="0.15">
      <c r="A1291" s="28" t="s">
        <v>547</v>
      </c>
      <c r="B1291" s="15" t="s">
        <v>2521</v>
      </c>
      <c r="C1291" s="15">
        <v>2726756997</v>
      </c>
      <c r="D1291" s="29" t="s">
        <v>1595</v>
      </c>
      <c r="E1291" s="129" t="s">
        <v>5315</v>
      </c>
      <c r="F1291" s="15" t="s">
        <v>4690</v>
      </c>
      <c r="H1291" s="15" t="s">
        <v>3072</v>
      </c>
      <c r="I1291" s="28"/>
      <c r="J1291" s="30"/>
      <c r="K1291" s="15">
        <f>COUNTIF(Contacts[姓名],Contacts[[#This Row],[姓名]])</f>
        <v>1</v>
      </c>
    </row>
    <row r="1292" spans="1:11" x14ac:dyDescent="0.15">
      <c r="A1292" s="28" t="s">
        <v>550</v>
      </c>
      <c r="B1292" s="15" t="s">
        <v>2521</v>
      </c>
      <c r="C1292" s="15">
        <v>351166821</v>
      </c>
      <c r="D1292" s="29" t="s">
        <v>2522</v>
      </c>
      <c r="E1292" s="129" t="s">
        <v>5315</v>
      </c>
      <c r="F1292" s="15" t="s">
        <v>4691</v>
      </c>
      <c r="I1292" s="28"/>
      <c r="J1292" s="30" t="s">
        <v>2530</v>
      </c>
      <c r="K1292" s="15">
        <f>COUNTIF(Contacts[姓名],Contacts[[#This Row],[姓名]])</f>
        <v>1</v>
      </c>
    </row>
    <row r="1293" spans="1:11" x14ac:dyDescent="0.15">
      <c r="A1293" s="28" t="s">
        <v>501</v>
      </c>
      <c r="B1293" s="15" t="s">
        <v>2521</v>
      </c>
      <c r="C1293" s="15">
        <v>3002232411</v>
      </c>
      <c r="D1293" s="29" t="s">
        <v>1628</v>
      </c>
      <c r="E1293" s="129" t="s">
        <v>5315</v>
      </c>
      <c r="F1293" s="15" t="s">
        <v>4692</v>
      </c>
      <c r="H1293" s="15" t="s">
        <v>3073</v>
      </c>
      <c r="I1293" s="28"/>
      <c r="J1293" s="30"/>
      <c r="K1293" s="15">
        <f>COUNTIF(Contacts[姓名],Contacts[[#This Row],[姓名]])</f>
        <v>1</v>
      </c>
    </row>
    <row r="1294" spans="1:11" x14ac:dyDescent="0.15">
      <c r="A1294" s="28" t="s">
        <v>2497</v>
      </c>
      <c r="B1294" s="15" t="s">
        <v>1635</v>
      </c>
      <c r="C1294" s="15">
        <v>2881536718</v>
      </c>
      <c r="D1294" s="29" t="s">
        <v>2431</v>
      </c>
      <c r="E1294" s="129" t="s">
        <v>5315</v>
      </c>
      <c r="F1294" s="15" t="s">
        <v>4609</v>
      </c>
      <c r="H1294" s="15" t="s">
        <v>3193</v>
      </c>
      <c r="I1294" s="28"/>
      <c r="J1294" s="30"/>
      <c r="K1294" s="15">
        <f>COUNTIF(Contacts[姓名],Contacts[[#This Row],[姓名]])</f>
        <v>1</v>
      </c>
    </row>
    <row r="1295" spans="1:11" x14ac:dyDescent="0.15">
      <c r="A1295" s="28" t="s">
        <v>500</v>
      </c>
      <c r="B1295" s="15" t="s">
        <v>2521</v>
      </c>
      <c r="C1295" s="15">
        <v>2885276800</v>
      </c>
      <c r="D1295" s="29" t="s">
        <v>1626</v>
      </c>
      <c r="E1295" s="129" t="s">
        <v>5315</v>
      </c>
      <c r="F1295" s="15" t="s">
        <v>4693</v>
      </c>
      <c r="H1295" s="15" t="s">
        <v>3074</v>
      </c>
      <c r="I1295" s="28" t="s">
        <v>3075</v>
      </c>
      <c r="J1295" s="30"/>
      <c r="K1295" s="15">
        <f>COUNTIF(Contacts[姓名],Contacts[[#This Row],[姓名]])</f>
        <v>1</v>
      </c>
    </row>
    <row r="1296" spans="1:11" x14ac:dyDescent="0.15">
      <c r="A1296" s="28" t="s">
        <v>563</v>
      </c>
      <c r="B1296" s="15" t="s">
        <v>2521</v>
      </c>
      <c r="C1296" s="15">
        <v>2355852338</v>
      </c>
      <c r="D1296" s="29" t="s">
        <v>1601</v>
      </c>
      <c r="E1296" s="129" t="s">
        <v>5315</v>
      </c>
      <c r="F1296" s="15" t="s">
        <v>3036</v>
      </c>
      <c r="H1296" s="15" t="s">
        <v>3064</v>
      </c>
      <c r="I1296" s="28"/>
      <c r="J1296" s="30"/>
      <c r="K1296" s="15">
        <f>COUNTIF(Contacts[姓名],Contacts[[#This Row],[姓名]])</f>
        <v>1</v>
      </c>
    </row>
    <row r="1297" spans="1:11" x14ac:dyDescent="0.15">
      <c r="A1297" s="28" t="s">
        <v>574</v>
      </c>
      <c r="B1297" s="15" t="s">
        <v>2521</v>
      </c>
      <c r="C1297" s="15">
        <v>123060347</v>
      </c>
      <c r="D1297" s="29" t="s">
        <v>1689</v>
      </c>
      <c r="E1297" s="129" t="s">
        <v>5315</v>
      </c>
      <c r="F1297" s="15" t="s">
        <v>4694</v>
      </c>
      <c r="H1297" s="15" t="s">
        <v>3077</v>
      </c>
      <c r="I1297" s="28" t="s">
        <v>3076</v>
      </c>
      <c r="J1297" s="30"/>
      <c r="K1297" s="15">
        <f>COUNTIF(Contacts[姓名],Contacts[[#This Row],[姓名]])</f>
        <v>1</v>
      </c>
    </row>
    <row r="1298" spans="1:11" x14ac:dyDescent="0.15">
      <c r="A1298" s="28" t="s">
        <v>2392</v>
      </c>
      <c r="B1298" s="15" t="s">
        <v>1750</v>
      </c>
      <c r="C1298" s="15">
        <v>2850959280</v>
      </c>
      <c r="D1298" s="29" t="s">
        <v>2698</v>
      </c>
      <c r="E1298" s="129" t="s">
        <v>5315</v>
      </c>
      <c r="F1298" s="15" t="s">
        <v>6179</v>
      </c>
      <c r="H1298" s="15" t="s">
        <v>2823</v>
      </c>
      <c r="I1298" s="28" t="s">
        <v>2803</v>
      </c>
      <c r="J1298" s="30" t="s">
        <v>2555</v>
      </c>
      <c r="K1298" s="15">
        <f>COUNTIF(Contacts[姓名],Contacts[[#This Row],[姓名]])</f>
        <v>1</v>
      </c>
    </row>
    <row r="1299" spans="1:11" x14ac:dyDescent="0.15">
      <c r="A1299" s="28" t="s">
        <v>577</v>
      </c>
      <c r="B1299" s="15" t="s">
        <v>1635</v>
      </c>
      <c r="C1299" s="15">
        <v>451271662</v>
      </c>
      <c r="D1299" s="29" t="s">
        <v>1671</v>
      </c>
      <c r="E1299" s="129" t="s">
        <v>5315</v>
      </c>
      <c r="F1299" s="15" t="s">
        <v>6180</v>
      </c>
      <c r="H1299" s="15" t="s">
        <v>3191</v>
      </c>
      <c r="I1299" s="28"/>
      <c r="J1299" s="30"/>
      <c r="K1299" s="15">
        <f>COUNTIF(Contacts[姓名],Contacts[[#This Row],[姓名]])</f>
        <v>1</v>
      </c>
    </row>
    <row r="1300" spans="1:11" x14ac:dyDescent="0.15">
      <c r="A1300" s="28" t="s">
        <v>499</v>
      </c>
      <c r="B1300" s="15" t="s">
        <v>2521</v>
      </c>
      <c r="C1300" s="15">
        <v>2881601591</v>
      </c>
      <c r="D1300" s="29" t="s">
        <v>794</v>
      </c>
      <c r="E1300" s="129" t="s">
        <v>5315</v>
      </c>
      <c r="F1300" s="15" t="s">
        <v>4695</v>
      </c>
      <c r="I1300" s="28"/>
      <c r="J1300" s="30"/>
      <c r="K1300" s="15">
        <f>COUNTIF(Contacts[姓名],Contacts[[#This Row],[姓名]])</f>
        <v>1</v>
      </c>
    </row>
    <row r="1301" spans="1:11" x14ac:dyDescent="0.15">
      <c r="A1301" s="28" t="s">
        <v>2470</v>
      </c>
      <c r="B1301" s="15" t="s">
        <v>2521</v>
      </c>
      <c r="C1301" s="15">
        <v>274426627</v>
      </c>
      <c r="D1301" s="29" t="s">
        <v>2455</v>
      </c>
      <c r="E1301" s="129" t="s">
        <v>5315</v>
      </c>
      <c r="F1301" s="15" t="s">
        <v>4696</v>
      </c>
      <c r="H1301" s="15" t="s">
        <v>3063</v>
      </c>
      <c r="I1301" s="28"/>
      <c r="J1301" s="30"/>
      <c r="K1301" s="15">
        <f>COUNTIF(Contacts[姓名],Contacts[[#This Row],[姓名]])</f>
        <v>1</v>
      </c>
    </row>
    <row r="1302" spans="1:11" x14ac:dyDescent="0.15">
      <c r="A1302" s="28" t="s">
        <v>548</v>
      </c>
      <c r="B1302" s="15" t="s">
        <v>2521</v>
      </c>
      <c r="C1302" s="15">
        <v>3003538372</v>
      </c>
      <c r="D1302" s="29" t="s">
        <v>1588</v>
      </c>
      <c r="E1302" s="129" t="s">
        <v>5315</v>
      </c>
      <c r="F1302" s="15" t="s">
        <v>4697</v>
      </c>
      <c r="H1302" s="15" t="s">
        <v>3079</v>
      </c>
      <c r="I1302" s="28"/>
      <c r="J1302" s="30"/>
      <c r="K1302" s="15">
        <f>COUNTIF(Contacts[姓名],Contacts[[#This Row],[姓名]])</f>
        <v>1</v>
      </c>
    </row>
    <row r="1303" spans="1:11" x14ac:dyDescent="0.15">
      <c r="A1303" s="28" t="s">
        <v>2494</v>
      </c>
      <c r="B1303" s="15" t="s">
        <v>2521</v>
      </c>
      <c r="C1303" s="15">
        <v>1275900376</v>
      </c>
      <c r="D1303" s="29" t="s">
        <v>2700</v>
      </c>
      <c r="E1303" s="129" t="s">
        <v>5315</v>
      </c>
      <c r="F1303" s="15" t="s">
        <v>4698</v>
      </c>
      <c r="I1303" s="28"/>
      <c r="J1303" s="30" t="s">
        <v>2788</v>
      </c>
      <c r="K1303" s="15">
        <f>COUNTIF(Contacts[姓名],Contacts[[#This Row],[姓名]])</f>
        <v>1</v>
      </c>
    </row>
    <row r="1304" spans="1:11" ht="28.5" x14ac:dyDescent="0.15">
      <c r="A1304" s="28" t="s">
        <v>5276</v>
      </c>
      <c r="B1304" s="15" t="s">
        <v>5236</v>
      </c>
      <c r="C1304" s="15">
        <v>470303931</v>
      </c>
      <c r="D1304" s="29"/>
      <c r="E1304" s="129">
        <v>43403</v>
      </c>
      <c r="F1304" s="15" t="s">
        <v>6187</v>
      </c>
      <c r="I1304" s="28"/>
      <c r="J1304" s="30" t="s">
        <v>5277</v>
      </c>
      <c r="K1304" s="15">
        <f>COUNTIF(Contacts[姓名],Contacts[[#This Row],[姓名]])</f>
        <v>1</v>
      </c>
    </row>
    <row r="1305" spans="1:11" x14ac:dyDescent="0.15">
      <c r="A1305" s="28" t="s">
        <v>709</v>
      </c>
      <c r="B1305" s="15" t="s">
        <v>2521</v>
      </c>
      <c r="C1305" s="15">
        <v>946992478</v>
      </c>
      <c r="D1305" s="29" t="s">
        <v>1705</v>
      </c>
      <c r="E1305" s="129" t="s">
        <v>5315</v>
      </c>
      <c r="F1305" s="15" t="s">
        <v>4699</v>
      </c>
      <c r="I1305" s="28"/>
      <c r="J1305" s="30"/>
      <c r="K1305" s="15">
        <f>COUNTIF(Contacts[姓名],Contacts[[#This Row],[姓名]])</f>
        <v>1</v>
      </c>
    </row>
    <row r="1306" spans="1:11" x14ac:dyDescent="0.15">
      <c r="A1306" s="28" t="s">
        <v>2516</v>
      </c>
      <c r="B1306" s="15" t="s">
        <v>1635</v>
      </c>
      <c r="C1306" s="15">
        <v>93237762</v>
      </c>
      <c r="D1306" s="29" t="s">
        <v>2445</v>
      </c>
      <c r="E1306" s="129" t="s">
        <v>5315</v>
      </c>
      <c r="F1306" s="15" t="s">
        <v>6182</v>
      </c>
      <c r="I1306" s="28"/>
      <c r="J1306" s="30"/>
      <c r="K1306" s="15">
        <f>COUNTIF(Contacts[姓名],Contacts[[#This Row],[姓名]])</f>
        <v>1</v>
      </c>
    </row>
    <row r="1307" spans="1:11" x14ac:dyDescent="0.15">
      <c r="A1307" s="28" t="s">
        <v>2497</v>
      </c>
      <c r="B1307" s="15" t="s">
        <v>2521</v>
      </c>
      <c r="C1307" s="15">
        <v>2881536725</v>
      </c>
      <c r="D1307" s="29" t="s">
        <v>2523</v>
      </c>
      <c r="E1307" s="129" t="s">
        <v>5315</v>
      </c>
      <c r="F1307" s="15" t="s">
        <v>4700</v>
      </c>
      <c r="I1307" s="28"/>
      <c r="J1307" s="30" t="s">
        <v>2531</v>
      </c>
      <c r="K1307" s="15">
        <f>COUNTIF(Contacts[姓名],Contacts[[#This Row],[姓名]])</f>
        <v>1</v>
      </c>
    </row>
    <row r="1308" spans="1:11" x14ac:dyDescent="0.15">
      <c r="A1308" s="28" t="s">
        <v>498</v>
      </c>
      <c r="B1308" s="15" t="s">
        <v>2521</v>
      </c>
      <c r="C1308" s="15">
        <v>2881725313</v>
      </c>
      <c r="D1308" s="29" t="s">
        <v>1584</v>
      </c>
      <c r="E1308" s="129" t="s">
        <v>5315</v>
      </c>
      <c r="F1308" s="15" t="s">
        <v>3589</v>
      </c>
      <c r="H1308" s="15" t="s">
        <v>3086</v>
      </c>
      <c r="I1308" s="28" t="s">
        <v>3087</v>
      </c>
      <c r="J1308" s="30"/>
      <c r="K1308" s="15">
        <f>COUNTIF(Contacts[姓名],Contacts[[#This Row],[姓名]])</f>
        <v>1</v>
      </c>
    </row>
    <row r="1309" spans="1:11" x14ac:dyDescent="0.15">
      <c r="A1309" s="28" t="s">
        <v>5519</v>
      </c>
      <c r="B1309" s="15" t="s">
        <v>5317</v>
      </c>
      <c r="C1309" s="15">
        <v>59738740</v>
      </c>
      <c r="D1309" s="29"/>
      <c r="E1309" s="129">
        <v>43403</v>
      </c>
      <c r="F1309" s="15" t="s">
        <v>5520</v>
      </c>
      <c r="G1309" s="15" t="s">
        <v>5512</v>
      </c>
      <c r="H1309" s="15" t="s">
        <v>5521</v>
      </c>
      <c r="I1309" s="28" t="s">
        <v>5522</v>
      </c>
      <c r="J1309" s="30" t="s">
        <v>5542</v>
      </c>
      <c r="K1309" s="15">
        <f>COUNTIF(Contacts[姓名],Contacts[[#This Row],[姓名]])</f>
        <v>1</v>
      </c>
    </row>
    <row r="1310" spans="1:11" x14ac:dyDescent="0.15">
      <c r="A1310" s="28" t="s">
        <v>498</v>
      </c>
      <c r="B1310" s="15" t="s">
        <v>2521</v>
      </c>
      <c r="C1310" s="15">
        <v>2881725315</v>
      </c>
      <c r="D1310" s="29" t="s">
        <v>1619</v>
      </c>
      <c r="E1310" s="129" t="s">
        <v>5315</v>
      </c>
      <c r="F1310" s="15" t="s">
        <v>4701</v>
      </c>
      <c r="H1310" s="15" t="s">
        <v>3091</v>
      </c>
      <c r="I1310" s="28"/>
      <c r="J1310" s="30"/>
      <c r="K1310" s="15">
        <f>COUNTIF(Contacts[姓名],Contacts[[#This Row],[姓名]])</f>
        <v>1</v>
      </c>
    </row>
    <row r="1311" spans="1:11" x14ac:dyDescent="0.15">
      <c r="A1311" s="28" t="s">
        <v>498</v>
      </c>
      <c r="B1311" s="15" t="s">
        <v>2521</v>
      </c>
      <c r="C1311" s="15">
        <v>2881725318</v>
      </c>
      <c r="D1311" s="29" t="s">
        <v>1585</v>
      </c>
      <c r="E1311" s="129" t="s">
        <v>5315</v>
      </c>
      <c r="F1311" s="15" t="s">
        <v>4702</v>
      </c>
      <c r="I1311" s="28"/>
      <c r="J1311" s="30"/>
      <c r="K1311" s="15">
        <f>COUNTIF(Contacts[姓名],Contacts[[#This Row],[姓名]])</f>
        <v>1</v>
      </c>
    </row>
    <row r="1312" spans="1:11" x14ac:dyDescent="0.15">
      <c r="A1312" s="28" t="s">
        <v>498</v>
      </c>
      <c r="B1312" s="15" t="s">
        <v>2521</v>
      </c>
      <c r="C1312" s="15">
        <v>2881725324</v>
      </c>
      <c r="D1312" s="29" t="s">
        <v>1583</v>
      </c>
      <c r="E1312" s="129" t="s">
        <v>5315</v>
      </c>
      <c r="F1312" s="15" t="s">
        <v>4703</v>
      </c>
      <c r="H1312" s="15" t="s">
        <v>3088</v>
      </c>
      <c r="I1312" s="28" t="s">
        <v>3089</v>
      </c>
      <c r="J1312" s="30"/>
      <c r="K1312" s="15">
        <f>COUNTIF(Contacts[姓名],Contacts[[#This Row],[姓名]])</f>
        <v>1</v>
      </c>
    </row>
    <row r="1313" spans="1:11" x14ac:dyDescent="0.15">
      <c r="A1313" s="28" t="s">
        <v>498</v>
      </c>
      <c r="B1313" s="15" t="s">
        <v>2521</v>
      </c>
      <c r="C1313" s="15">
        <v>2881725325</v>
      </c>
      <c r="D1313" s="29" t="s">
        <v>1582</v>
      </c>
      <c r="E1313" s="129" t="s">
        <v>5315</v>
      </c>
      <c r="F1313" s="15" t="s">
        <v>4704</v>
      </c>
      <c r="H1313" s="15" t="s">
        <v>3090</v>
      </c>
      <c r="I1313" s="28"/>
      <c r="J1313" s="30"/>
      <c r="K1313" s="15">
        <f>COUNTIF(Contacts[姓名],Contacts[[#This Row],[姓名]])</f>
        <v>1</v>
      </c>
    </row>
    <row r="1314" spans="1:11" x14ac:dyDescent="0.15">
      <c r="A1314" s="28" t="s">
        <v>502</v>
      </c>
      <c r="B1314" s="15" t="s">
        <v>2521</v>
      </c>
      <c r="C1314" s="15">
        <v>2880195315</v>
      </c>
      <c r="D1314" s="29" t="s">
        <v>1580</v>
      </c>
      <c r="E1314" s="129" t="s">
        <v>5315</v>
      </c>
      <c r="F1314" s="15" t="s">
        <v>4705</v>
      </c>
      <c r="H1314" s="15" t="s">
        <v>3094</v>
      </c>
      <c r="I1314" s="28" t="s">
        <v>3095</v>
      </c>
      <c r="J1314" s="30"/>
      <c r="K1314" s="15">
        <f>COUNTIF(Contacts[姓名],Contacts[[#This Row],[姓名]])</f>
        <v>1</v>
      </c>
    </row>
    <row r="1315" spans="1:11" x14ac:dyDescent="0.15">
      <c r="A1315" s="28" t="s">
        <v>502</v>
      </c>
      <c r="B1315" s="15" t="s">
        <v>2521</v>
      </c>
      <c r="C1315" s="15">
        <v>3003128015</v>
      </c>
      <c r="D1315" s="29" t="s">
        <v>1581</v>
      </c>
      <c r="E1315" s="129" t="s">
        <v>5315</v>
      </c>
      <c r="F1315" s="15" t="s">
        <v>2180</v>
      </c>
      <c r="H1315" s="15" t="s">
        <v>3092</v>
      </c>
      <c r="I1315" s="28" t="s">
        <v>3093</v>
      </c>
      <c r="J1315" s="30"/>
      <c r="K1315" s="15">
        <f>COUNTIF(Contacts[姓名],Contacts[[#This Row],[姓名]])</f>
        <v>1</v>
      </c>
    </row>
    <row r="1316" spans="1:11" x14ac:dyDescent="0.15">
      <c r="A1316" s="28" t="s">
        <v>582</v>
      </c>
      <c r="B1316" s="15" t="s">
        <v>2521</v>
      </c>
      <c r="C1316" s="15">
        <v>2880488446</v>
      </c>
      <c r="D1316" s="29" t="s">
        <v>1665</v>
      </c>
      <c r="E1316" s="129" t="s">
        <v>5315</v>
      </c>
      <c r="F1316" s="15" t="s">
        <v>3592</v>
      </c>
      <c r="I1316" s="28"/>
      <c r="J1316" s="30"/>
      <c r="K1316" s="15">
        <f>COUNTIF(Contacts[姓名],Contacts[[#This Row],[姓名]])</f>
        <v>1</v>
      </c>
    </row>
    <row r="1317" spans="1:11" x14ac:dyDescent="0.15">
      <c r="A1317" s="28" t="s">
        <v>2515</v>
      </c>
      <c r="B1317" s="15" t="s">
        <v>2521</v>
      </c>
      <c r="C1317" s="15">
        <v>2572253745</v>
      </c>
      <c r="D1317" s="29" t="s">
        <v>2454</v>
      </c>
      <c r="E1317" s="129" t="s">
        <v>5315</v>
      </c>
      <c r="F1317" s="15" t="s">
        <v>4706</v>
      </c>
      <c r="H1317" s="15" t="s">
        <v>3128</v>
      </c>
      <c r="I1317" s="28"/>
      <c r="J1317" s="30"/>
      <c r="K1317" s="15">
        <f>COUNTIF(Contacts[姓名],Contacts[[#This Row],[姓名]])</f>
        <v>1</v>
      </c>
    </row>
    <row r="1318" spans="1:11" x14ac:dyDescent="0.15">
      <c r="A1318" s="28" t="s">
        <v>689</v>
      </c>
      <c r="B1318" s="15" t="s">
        <v>2521</v>
      </c>
      <c r="C1318" s="15">
        <v>3399075461</v>
      </c>
      <c r="D1318" s="29" t="s">
        <v>786</v>
      </c>
      <c r="E1318" s="129" t="s">
        <v>5315</v>
      </c>
      <c r="F1318" s="15" t="s">
        <v>4707</v>
      </c>
      <c r="H1318" s="15" t="s">
        <v>3129</v>
      </c>
      <c r="I1318" s="28"/>
      <c r="J1318" s="30"/>
      <c r="K1318" s="15">
        <f>COUNTIF(Contacts[姓名],Contacts[[#This Row],[姓名]])</f>
        <v>1</v>
      </c>
    </row>
    <row r="1319" spans="1:11" x14ac:dyDescent="0.15">
      <c r="A1319" s="28" t="s">
        <v>492</v>
      </c>
      <c r="B1319" s="15" t="s">
        <v>2521</v>
      </c>
      <c r="C1319" s="15">
        <v>24680886</v>
      </c>
      <c r="D1319" s="29" t="s">
        <v>1572</v>
      </c>
      <c r="E1319" s="129" t="s">
        <v>5315</v>
      </c>
      <c r="F1319" s="15" t="s">
        <v>4708</v>
      </c>
      <c r="H1319" s="15" t="s">
        <v>3116</v>
      </c>
      <c r="I1319" s="28"/>
      <c r="J1319" s="30"/>
      <c r="K1319" s="15">
        <f>COUNTIF(Contacts[姓名],Contacts[[#This Row],[姓名]])</f>
        <v>1</v>
      </c>
    </row>
    <row r="1320" spans="1:11" x14ac:dyDescent="0.15">
      <c r="A1320" s="28" t="s">
        <v>2388</v>
      </c>
      <c r="B1320" s="15" t="s">
        <v>2521</v>
      </c>
      <c r="C1320" s="15">
        <v>243370046</v>
      </c>
      <c r="D1320" s="29" t="s">
        <v>2453</v>
      </c>
      <c r="E1320" s="129" t="s">
        <v>5315</v>
      </c>
      <c r="F1320" s="15" t="s">
        <v>4709</v>
      </c>
      <c r="H1320" s="15" t="s">
        <v>3111</v>
      </c>
      <c r="I1320" s="28" t="s">
        <v>3112</v>
      </c>
      <c r="J1320" s="30"/>
      <c r="K1320" s="15">
        <f>COUNTIF(Contacts[姓名],Contacts[[#This Row],[姓名]])</f>
        <v>1</v>
      </c>
    </row>
    <row r="1321" spans="1:11" x14ac:dyDescent="0.15">
      <c r="A1321" s="28" t="s">
        <v>2388</v>
      </c>
      <c r="B1321" s="15" t="s">
        <v>2521</v>
      </c>
      <c r="C1321" s="15">
        <v>297224084</v>
      </c>
      <c r="D1321" s="29" t="s">
        <v>2457</v>
      </c>
      <c r="E1321" s="129" t="s">
        <v>5315</v>
      </c>
      <c r="F1321" s="15" t="s">
        <v>4710</v>
      </c>
      <c r="H1321" s="15" t="s">
        <v>3108</v>
      </c>
      <c r="I1321" s="28"/>
      <c r="J1321" s="30"/>
      <c r="K1321" s="15">
        <f>COUNTIF(Contacts[姓名],Contacts[[#This Row],[姓名]])</f>
        <v>1</v>
      </c>
    </row>
    <row r="1322" spans="1:11" x14ac:dyDescent="0.15">
      <c r="A1322" s="28" t="s">
        <v>492</v>
      </c>
      <c r="B1322" s="15" t="s">
        <v>2521</v>
      </c>
      <c r="C1322" s="15">
        <v>380405424</v>
      </c>
      <c r="D1322" s="29" t="s">
        <v>1614</v>
      </c>
      <c r="E1322" s="129" t="s">
        <v>5315</v>
      </c>
      <c r="F1322" s="15" t="s">
        <v>4711</v>
      </c>
      <c r="H1322" s="15" t="s">
        <v>3110</v>
      </c>
      <c r="I1322" s="28"/>
      <c r="J1322" s="30"/>
      <c r="K1322" s="15">
        <f>COUNTIF(Contacts[姓名],Contacts[[#This Row],[姓名]])</f>
        <v>1</v>
      </c>
    </row>
    <row r="1323" spans="1:11" x14ac:dyDescent="0.15">
      <c r="A1323" s="28" t="s">
        <v>492</v>
      </c>
      <c r="B1323" s="15" t="s">
        <v>2521</v>
      </c>
      <c r="C1323" s="15">
        <v>523033614</v>
      </c>
      <c r="D1323" s="29" t="s">
        <v>1571</v>
      </c>
      <c r="E1323" s="129" t="s">
        <v>5315</v>
      </c>
      <c r="F1323" s="15" t="s">
        <v>4712</v>
      </c>
      <c r="H1323" s="15" t="s">
        <v>3117</v>
      </c>
      <c r="I1323" s="28" t="s">
        <v>3118</v>
      </c>
      <c r="J1323" s="30"/>
      <c r="K1323" s="15">
        <f>COUNTIF(Contacts[姓名],Contacts[[#This Row],[姓名]])</f>
        <v>1</v>
      </c>
    </row>
    <row r="1324" spans="1:11" x14ac:dyDescent="0.15">
      <c r="A1324" s="28" t="s">
        <v>492</v>
      </c>
      <c r="B1324" s="15" t="s">
        <v>2521</v>
      </c>
      <c r="C1324" s="15">
        <v>554876709</v>
      </c>
      <c r="D1324" s="29" t="s">
        <v>1578</v>
      </c>
      <c r="E1324" s="129" t="s">
        <v>5315</v>
      </c>
      <c r="F1324" s="15" t="s">
        <v>4713</v>
      </c>
      <c r="H1324" s="15" t="s">
        <v>3099</v>
      </c>
      <c r="I1324" s="28" t="s">
        <v>3100</v>
      </c>
      <c r="J1324" s="30"/>
      <c r="K1324" s="15">
        <f>COUNTIF(Contacts[姓名],Contacts[[#This Row],[姓名]])</f>
        <v>1</v>
      </c>
    </row>
    <row r="1325" spans="1:11" x14ac:dyDescent="0.15">
      <c r="A1325" s="28" t="s">
        <v>2388</v>
      </c>
      <c r="B1325" s="15" t="s">
        <v>2521</v>
      </c>
      <c r="C1325" s="15">
        <v>792366813</v>
      </c>
      <c r="D1325" s="29" t="s">
        <v>2459</v>
      </c>
      <c r="E1325" s="129" t="s">
        <v>5315</v>
      </c>
      <c r="F1325" s="15" t="s">
        <v>4714</v>
      </c>
      <c r="H1325" s="15" t="s">
        <v>3102</v>
      </c>
      <c r="I1325" s="28"/>
      <c r="J1325" s="30"/>
      <c r="K1325" s="15">
        <f>COUNTIF(Contacts[姓名],Contacts[[#This Row],[姓名]])</f>
        <v>1</v>
      </c>
    </row>
    <row r="1326" spans="1:11" x14ac:dyDescent="0.15">
      <c r="A1326" s="28" t="s">
        <v>2388</v>
      </c>
      <c r="B1326" s="15" t="s">
        <v>2521</v>
      </c>
      <c r="C1326" s="15">
        <v>814156716</v>
      </c>
      <c r="D1326" s="29" t="s">
        <v>2460</v>
      </c>
      <c r="E1326" s="129" t="s">
        <v>5315</v>
      </c>
      <c r="F1326" s="15" t="s">
        <v>4715</v>
      </c>
      <c r="H1326" s="15" t="s">
        <v>3103</v>
      </c>
      <c r="I1326" s="28" t="s">
        <v>3104</v>
      </c>
      <c r="J1326" s="30"/>
      <c r="K1326" s="15">
        <f>COUNTIF(Contacts[姓名],Contacts[[#This Row],[姓名]])</f>
        <v>1</v>
      </c>
    </row>
    <row r="1327" spans="1:11" x14ac:dyDescent="0.15">
      <c r="A1327" s="28" t="s">
        <v>2388</v>
      </c>
      <c r="B1327" s="15" t="s">
        <v>2521</v>
      </c>
      <c r="C1327" s="15">
        <v>875049346</v>
      </c>
      <c r="D1327" s="29" t="s">
        <v>2536</v>
      </c>
      <c r="E1327" s="129" t="s">
        <v>5315</v>
      </c>
      <c r="F1327" s="15" t="s">
        <v>4716</v>
      </c>
      <c r="H1327" s="15" t="s">
        <v>2830</v>
      </c>
      <c r="I1327" s="28"/>
      <c r="J1327" s="30"/>
      <c r="K1327" s="15">
        <f>COUNTIF(Contacts[姓名],Contacts[[#This Row],[姓名]])</f>
        <v>1</v>
      </c>
    </row>
    <row r="1328" spans="1:11" x14ac:dyDescent="0.15">
      <c r="A1328" s="28" t="s">
        <v>492</v>
      </c>
      <c r="B1328" s="15" t="s">
        <v>2521</v>
      </c>
      <c r="C1328" s="15">
        <v>1016150590</v>
      </c>
      <c r="D1328" s="29" t="s">
        <v>1616</v>
      </c>
      <c r="E1328" s="129" t="s">
        <v>5315</v>
      </c>
      <c r="F1328" s="15" t="s">
        <v>4717</v>
      </c>
      <c r="H1328" s="15" t="s">
        <v>3107</v>
      </c>
      <c r="I1328" s="28"/>
      <c r="J1328" s="30"/>
      <c r="K1328" s="15">
        <f>COUNTIF(Contacts[姓名],Contacts[[#This Row],[姓名]])</f>
        <v>1</v>
      </c>
    </row>
    <row r="1329" spans="1:11" x14ac:dyDescent="0.15">
      <c r="A1329" s="28" t="s">
        <v>492</v>
      </c>
      <c r="B1329" s="15" t="s">
        <v>2521</v>
      </c>
      <c r="C1329" s="15">
        <v>1090818480</v>
      </c>
      <c r="D1329" s="29" t="s">
        <v>1573</v>
      </c>
      <c r="E1329" s="129" t="s">
        <v>5315</v>
      </c>
      <c r="F1329" s="15" t="s">
        <v>4718</v>
      </c>
      <c r="H1329" s="15" t="s">
        <v>3114</v>
      </c>
      <c r="I1329" s="28"/>
      <c r="J1329" s="30"/>
      <c r="K1329" s="15">
        <f>COUNTIF(Contacts[姓名],Contacts[[#This Row],[姓名]])</f>
        <v>1</v>
      </c>
    </row>
    <row r="1330" spans="1:11" x14ac:dyDescent="0.15">
      <c r="A1330" s="28" t="s">
        <v>492</v>
      </c>
      <c r="B1330" s="15" t="s">
        <v>2521</v>
      </c>
      <c r="C1330" s="15">
        <v>1102835273</v>
      </c>
      <c r="D1330" s="29" t="s">
        <v>1574</v>
      </c>
      <c r="E1330" s="129" t="s">
        <v>5315</v>
      </c>
      <c r="F1330" s="15" t="s">
        <v>4719</v>
      </c>
      <c r="H1330" s="15" t="s">
        <v>3113</v>
      </c>
      <c r="I1330" s="28"/>
      <c r="J1330" s="30"/>
      <c r="K1330" s="15">
        <f>COUNTIF(Contacts[姓名],Contacts[[#This Row],[姓名]])</f>
        <v>1</v>
      </c>
    </row>
    <row r="1331" spans="1:11" x14ac:dyDescent="0.15">
      <c r="A1331" s="28" t="s">
        <v>492</v>
      </c>
      <c r="B1331" s="15" t="s">
        <v>2521</v>
      </c>
      <c r="C1331" s="15">
        <v>1322850343</v>
      </c>
      <c r="D1331" s="29" t="s">
        <v>1615</v>
      </c>
      <c r="E1331" s="129" t="s">
        <v>5315</v>
      </c>
      <c r="F1331" s="15" t="s">
        <v>4720</v>
      </c>
      <c r="I1331" s="28" t="s">
        <v>3109</v>
      </c>
      <c r="J1331" s="30"/>
      <c r="K1331" s="15">
        <f>COUNTIF(Contacts[姓名],Contacts[[#This Row],[姓名]])</f>
        <v>1</v>
      </c>
    </row>
    <row r="1332" spans="1:11" x14ac:dyDescent="0.15">
      <c r="A1332" s="28" t="s">
        <v>492</v>
      </c>
      <c r="B1332" s="15" t="s">
        <v>2521</v>
      </c>
      <c r="C1332" s="15">
        <v>1778643556</v>
      </c>
      <c r="D1332" s="29" t="s">
        <v>1611</v>
      </c>
      <c r="E1332" s="129" t="s">
        <v>5315</v>
      </c>
      <c r="F1332" s="15" t="s">
        <v>4721</v>
      </c>
      <c r="H1332" s="15" t="s">
        <v>3115</v>
      </c>
      <c r="I1332" s="28"/>
      <c r="J1332" s="30"/>
      <c r="K1332" s="15">
        <f>COUNTIF(Contacts[姓名],Contacts[[#This Row],[姓名]])</f>
        <v>1</v>
      </c>
    </row>
    <row r="1333" spans="1:11" x14ac:dyDescent="0.15">
      <c r="A1333" s="28" t="s">
        <v>2388</v>
      </c>
      <c r="B1333" s="15" t="s">
        <v>2521</v>
      </c>
      <c r="C1333" s="15">
        <v>2358620205</v>
      </c>
      <c r="D1333" s="29" t="s">
        <v>2560</v>
      </c>
      <c r="E1333" s="129" t="s">
        <v>5315</v>
      </c>
      <c r="F1333" s="15" t="s">
        <v>4722</v>
      </c>
      <c r="I1333" s="28"/>
      <c r="J1333" s="30" t="s">
        <v>2561</v>
      </c>
      <c r="K1333" s="15">
        <f>COUNTIF(Contacts[姓名],Contacts[[#This Row],[姓名]])</f>
        <v>1</v>
      </c>
    </row>
    <row r="1334" spans="1:11" x14ac:dyDescent="0.15">
      <c r="A1334" s="28" t="s">
        <v>492</v>
      </c>
      <c r="B1334" s="15" t="s">
        <v>2521</v>
      </c>
      <c r="C1334" s="15">
        <v>2583708287</v>
      </c>
      <c r="D1334" s="29" t="s">
        <v>1575</v>
      </c>
      <c r="E1334" s="129" t="s">
        <v>5315</v>
      </c>
      <c r="F1334" s="15" t="s">
        <v>4723</v>
      </c>
      <c r="H1334" s="15" t="s">
        <v>3105</v>
      </c>
      <c r="I1334" s="28" t="s">
        <v>3106</v>
      </c>
      <c r="J1334" s="30"/>
      <c r="K1334" s="15">
        <f>COUNTIF(Contacts[姓名],Contacts[[#This Row],[姓名]])</f>
        <v>1</v>
      </c>
    </row>
    <row r="1335" spans="1:11" x14ac:dyDescent="0.15">
      <c r="A1335" s="28" t="s">
        <v>492</v>
      </c>
      <c r="B1335" s="15" t="s">
        <v>2521</v>
      </c>
      <c r="C1335" s="15">
        <v>2724845504</v>
      </c>
      <c r="D1335" s="29" t="s">
        <v>1576</v>
      </c>
      <c r="E1335" s="129" t="s">
        <v>5315</v>
      </c>
      <c r="F1335" s="15" t="s">
        <v>4724</v>
      </c>
      <c r="H1335" s="15" t="s">
        <v>3101</v>
      </c>
      <c r="I1335" s="28"/>
      <c r="J1335" s="30"/>
      <c r="K1335" s="15">
        <f>COUNTIF(Contacts[姓名],Contacts[[#This Row],[姓名]])</f>
        <v>1</v>
      </c>
    </row>
    <row r="1336" spans="1:11" x14ac:dyDescent="0.15">
      <c r="A1336" s="28" t="s">
        <v>492</v>
      </c>
      <c r="B1336" s="15" t="s">
        <v>2521</v>
      </c>
      <c r="C1336" s="15">
        <v>2891835406</v>
      </c>
      <c r="D1336" s="29" t="s">
        <v>1579</v>
      </c>
      <c r="E1336" s="129" t="s">
        <v>5315</v>
      </c>
      <c r="F1336" s="15" t="s">
        <v>4725</v>
      </c>
      <c r="H1336" s="15" t="s">
        <v>3098</v>
      </c>
      <c r="I1336" s="28" t="s">
        <v>3097</v>
      </c>
      <c r="J1336" s="30"/>
      <c r="K1336" s="15">
        <f>COUNTIF(Contacts[姓名],Contacts[[#This Row],[姓名]])</f>
        <v>1</v>
      </c>
    </row>
    <row r="1337" spans="1:11" x14ac:dyDescent="0.15">
      <c r="A1337" s="28" t="s">
        <v>571</v>
      </c>
      <c r="B1337" s="15" t="s">
        <v>2521</v>
      </c>
      <c r="C1337" s="15">
        <v>475678505</v>
      </c>
      <c r="D1337" s="29" t="s">
        <v>1570</v>
      </c>
      <c r="E1337" s="129" t="s">
        <v>5315</v>
      </c>
      <c r="F1337" s="15" t="s">
        <v>4726</v>
      </c>
      <c r="H1337" s="15" t="s">
        <v>3119</v>
      </c>
      <c r="I1337" s="28"/>
      <c r="J1337" s="30"/>
      <c r="K1337" s="15">
        <f>COUNTIF(Contacts[姓名],Contacts[[#This Row],[姓名]])</f>
        <v>1</v>
      </c>
    </row>
    <row r="1338" spans="1:11" x14ac:dyDescent="0.15">
      <c r="A1338" s="28" t="s">
        <v>570</v>
      </c>
      <c r="B1338" s="15" t="s">
        <v>2521</v>
      </c>
      <c r="C1338" s="15">
        <v>565864375</v>
      </c>
      <c r="D1338" s="29" t="s">
        <v>2535</v>
      </c>
      <c r="E1338" s="129" t="s">
        <v>5315</v>
      </c>
      <c r="F1338" s="15" t="s">
        <v>4727</v>
      </c>
      <c r="H1338" s="15" t="s">
        <v>2882</v>
      </c>
      <c r="I1338" s="28"/>
      <c r="J1338" s="30"/>
      <c r="K1338" s="15">
        <f>COUNTIF(Contacts[姓名],Contacts[[#This Row],[姓名]])</f>
        <v>1</v>
      </c>
    </row>
    <row r="1339" spans="1:11" x14ac:dyDescent="0.15">
      <c r="A1339" s="28" t="s">
        <v>2509</v>
      </c>
      <c r="B1339" s="15" t="s">
        <v>2521</v>
      </c>
      <c r="C1339" s="15">
        <v>1209652658</v>
      </c>
      <c r="D1339" s="29" t="s">
        <v>2452</v>
      </c>
      <c r="E1339" s="129" t="s">
        <v>5315</v>
      </c>
      <c r="F1339" s="15" t="s">
        <v>2754</v>
      </c>
      <c r="G1339" s="15" t="s">
        <v>1787</v>
      </c>
      <c r="H1339" s="15" t="s">
        <v>2835</v>
      </c>
      <c r="I1339" s="28"/>
      <c r="J1339" s="30"/>
      <c r="K1339" s="15">
        <f>COUNTIF(Contacts[姓名],Contacts[[#This Row],[姓名]])</f>
        <v>1</v>
      </c>
    </row>
    <row r="1340" spans="1:11" x14ac:dyDescent="0.15">
      <c r="A1340" s="28" t="s">
        <v>587</v>
      </c>
      <c r="B1340" s="15" t="s">
        <v>2521</v>
      </c>
      <c r="C1340" s="15">
        <v>805791048</v>
      </c>
      <c r="D1340" s="29" t="s">
        <v>1357</v>
      </c>
      <c r="E1340" s="129" t="s">
        <v>5315</v>
      </c>
      <c r="F1340" s="15" t="s">
        <v>4728</v>
      </c>
      <c r="H1340" s="15" t="s">
        <v>3120</v>
      </c>
      <c r="I1340" s="28" t="s">
        <v>3121</v>
      </c>
      <c r="J1340" s="30"/>
      <c r="K1340" s="15">
        <f>COUNTIF(Contacts[姓名],Contacts[[#This Row],[姓名]])</f>
        <v>1</v>
      </c>
    </row>
    <row r="1341" spans="1:11" x14ac:dyDescent="0.15">
      <c r="A1341" s="28" t="s">
        <v>557</v>
      </c>
      <c r="B1341" s="15" t="s">
        <v>2521</v>
      </c>
      <c r="C1341" s="15">
        <v>296733762</v>
      </c>
      <c r="D1341" s="29" t="s">
        <v>1606</v>
      </c>
      <c r="E1341" s="129" t="s">
        <v>5315</v>
      </c>
      <c r="F1341" s="15" t="s">
        <v>4729</v>
      </c>
      <c r="H1341" s="15" t="s">
        <v>3123</v>
      </c>
      <c r="I1341" s="28" t="s">
        <v>3124</v>
      </c>
      <c r="J1341" s="30"/>
      <c r="K1341" s="15">
        <f>COUNTIF(Contacts[姓名],Contacts[[#This Row],[姓名]])</f>
        <v>1</v>
      </c>
    </row>
    <row r="1342" spans="1:11" x14ac:dyDescent="0.15">
      <c r="A1342" s="28" t="s">
        <v>557</v>
      </c>
      <c r="B1342" s="15" t="s">
        <v>2521</v>
      </c>
      <c r="C1342" s="15">
        <v>1447387201</v>
      </c>
      <c r="D1342" s="29" t="s">
        <v>2707</v>
      </c>
      <c r="E1342" s="129" t="s">
        <v>5315</v>
      </c>
      <c r="F1342" s="15" t="s">
        <v>4730</v>
      </c>
      <c r="H1342" s="15" t="s">
        <v>3122</v>
      </c>
      <c r="I1342" s="28"/>
      <c r="J1342" s="30" t="s">
        <v>2565</v>
      </c>
      <c r="K1342" s="15">
        <f>COUNTIF(Contacts[姓名],Contacts[[#This Row],[姓名]])</f>
        <v>1</v>
      </c>
    </row>
    <row r="1343" spans="1:11" x14ac:dyDescent="0.15">
      <c r="A1343" s="28" t="s">
        <v>2513</v>
      </c>
      <c r="B1343" s="15" t="s">
        <v>2521</v>
      </c>
      <c r="C1343" s="15">
        <v>398245866</v>
      </c>
      <c r="D1343" s="29" t="s">
        <v>1726</v>
      </c>
      <c r="E1343" s="129" t="s">
        <v>5315</v>
      </c>
      <c r="F1343" s="15" t="s">
        <v>4731</v>
      </c>
      <c r="I1343" s="28"/>
      <c r="J1343" s="30"/>
      <c r="K1343" s="15">
        <f>COUNTIF(Contacts[姓名],Contacts[[#This Row],[姓名]])</f>
        <v>1</v>
      </c>
    </row>
    <row r="1344" spans="1:11" x14ac:dyDescent="0.15">
      <c r="A1344" s="28" t="s">
        <v>559</v>
      </c>
      <c r="B1344" s="15" t="s">
        <v>2521</v>
      </c>
      <c r="C1344" s="15">
        <v>3002716532</v>
      </c>
      <c r="D1344" s="29" t="s">
        <v>1569</v>
      </c>
      <c r="E1344" s="129" t="s">
        <v>5315</v>
      </c>
      <c r="F1344" s="15" t="s">
        <v>3551</v>
      </c>
      <c r="H1344" s="15" t="s">
        <v>3125</v>
      </c>
      <c r="I1344" s="28"/>
      <c r="J1344" s="30"/>
      <c r="K1344" s="15">
        <f>COUNTIF(Contacts[姓名],Contacts[[#This Row],[姓名]])</f>
        <v>1</v>
      </c>
    </row>
    <row r="1345" spans="1:11" x14ac:dyDescent="0.15">
      <c r="A1345" s="28" t="s">
        <v>559</v>
      </c>
      <c r="B1345" s="15" t="s">
        <v>2521</v>
      </c>
      <c r="C1345" s="15">
        <v>3002787082</v>
      </c>
      <c r="D1345" s="29" t="s">
        <v>1114</v>
      </c>
      <c r="E1345" s="129" t="s">
        <v>5315</v>
      </c>
      <c r="F1345" s="15" t="s">
        <v>3532</v>
      </c>
      <c r="H1345" s="15" t="s">
        <v>3126</v>
      </c>
      <c r="I1345" s="28" t="s">
        <v>3127</v>
      </c>
      <c r="J1345" s="30"/>
      <c r="K1345" s="15">
        <f>COUNTIF(Contacts[姓名],Contacts[[#This Row],[姓名]])</f>
        <v>1</v>
      </c>
    </row>
    <row r="1346" spans="1:11" ht="28.5" x14ac:dyDescent="0.15">
      <c r="A1346" s="28" t="s">
        <v>543</v>
      </c>
      <c r="B1346" s="15" t="s">
        <v>2521</v>
      </c>
      <c r="C1346" s="15">
        <v>2851091425</v>
      </c>
      <c r="D1346" s="29" t="s">
        <v>1644</v>
      </c>
      <c r="E1346" s="129" t="s">
        <v>5315</v>
      </c>
      <c r="F1346" s="15" t="s">
        <v>4732</v>
      </c>
      <c r="I1346" s="28"/>
      <c r="J1346" s="30" t="s">
        <v>2790</v>
      </c>
      <c r="K1346" s="15">
        <f>COUNTIF(Contacts[姓名],Contacts[[#This Row],[姓名]])</f>
        <v>1</v>
      </c>
    </row>
    <row r="1347" spans="1:11" x14ac:dyDescent="0.15">
      <c r="A1347" s="28" t="s">
        <v>3327</v>
      </c>
      <c r="C1347" s="14">
        <v>3002216038</v>
      </c>
      <c r="D1347" s="29"/>
      <c r="E1347" s="129" t="s">
        <v>5315</v>
      </c>
      <c r="F1347" s="15" t="s">
        <v>4733</v>
      </c>
      <c r="G1347" s="15" t="s">
        <v>3329</v>
      </c>
      <c r="I1347" s="28" t="s">
        <v>3328</v>
      </c>
      <c r="J1347" s="30"/>
      <c r="K1347" s="15">
        <f>COUNTIF(Contacts[姓名],Contacts[[#This Row],[姓名]])</f>
        <v>1</v>
      </c>
    </row>
    <row r="1348" spans="1:11" ht="28.5" x14ac:dyDescent="0.15">
      <c r="A1348" s="28" t="s">
        <v>3264</v>
      </c>
      <c r="C1348" s="15">
        <v>1728216882</v>
      </c>
      <c r="D1348" s="29" t="s">
        <v>3265</v>
      </c>
      <c r="E1348" s="129" t="s">
        <v>5315</v>
      </c>
      <c r="F1348" s="15" t="s">
        <v>4735</v>
      </c>
      <c r="I1348" s="28"/>
      <c r="J1348" s="30" t="s">
        <v>3266</v>
      </c>
      <c r="K1348" s="15">
        <f>COUNTIF(Contacts[姓名],Contacts[[#This Row],[姓名]])</f>
        <v>1</v>
      </c>
    </row>
    <row r="1349" spans="1:11" x14ac:dyDescent="0.15">
      <c r="A1349" s="28" t="s">
        <v>3471</v>
      </c>
      <c r="C1349" s="15">
        <v>3002785965</v>
      </c>
      <c r="D1349" s="29"/>
      <c r="E1349" s="129" t="s">
        <v>5315</v>
      </c>
      <c r="F1349" s="15" t="s">
        <v>4736</v>
      </c>
      <c r="H1349" s="15" t="s">
        <v>3472</v>
      </c>
      <c r="I1349" s="28"/>
      <c r="J1349" s="30"/>
      <c r="K1349" s="15">
        <f>COUNTIF(Contacts[姓名],Contacts[[#This Row],[姓名]])</f>
        <v>1</v>
      </c>
    </row>
    <row r="1350" spans="1:11" x14ac:dyDescent="0.15">
      <c r="A1350" s="28" t="s">
        <v>498</v>
      </c>
      <c r="B1350" s="15" t="s">
        <v>1603</v>
      </c>
      <c r="C1350" s="15">
        <v>2881725310</v>
      </c>
      <c r="D1350" s="29" t="s">
        <v>2447</v>
      </c>
      <c r="E1350" s="129" t="s">
        <v>5315</v>
      </c>
      <c r="F1350" s="15" t="s">
        <v>4608</v>
      </c>
      <c r="H1350" s="15" t="s">
        <v>2850</v>
      </c>
      <c r="I1350" s="28" t="s">
        <v>2807</v>
      </c>
      <c r="J1350" s="30"/>
      <c r="K1350" s="15">
        <f>COUNTIF(Contacts[姓名],Contacts[[#This Row],[姓名]])</f>
        <v>1</v>
      </c>
    </row>
    <row r="1351" spans="1:11" x14ac:dyDescent="0.15">
      <c r="A1351" s="28" t="s">
        <v>4361</v>
      </c>
      <c r="B1351" s="15" t="s">
        <v>4379</v>
      </c>
      <c r="C1351" s="15">
        <v>3285768617</v>
      </c>
      <c r="D1351" s="29"/>
      <c r="E1351" s="129" t="s">
        <v>5315</v>
      </c>
      <c r="F1351" s="15" t="s">
        <v>4362</v>
      </c>
      <c r="I1351" s="28"/>
      <c r="J1351" s="30" t="s">
        <v>4363</v>
      </c>
      <c r="K1351" s="15">
        <f>COUNTIF(Contacts[姓名],Contacts[[#This Row],[姓名]])</f>
        <v>1</v>
      </c>
    </row>
    <row r="1352" spans="1:11" ht="28.5" x14ac:dyDescent="0.15">
      <c r="A1352" s="28" t="s">
        <v>4364</v>
      </c>
      <c r="B1352" s="15" t="s">
        <v>4379</v>
      </c>
      <c r="C1352" s="15">
        <v>184477569</v>
      </c>
      <c r="D1352" s="29"/>
      <c r="E1352" s="129" t="s">
        <v>5315</v>
      </c>
      <c r="F1352" s="15" t="s">
        <v>4365</v>
      </c>
      <c r="G1352" s="15" t="s">
        <v>1787</v>
      </c>
      <c r="H1352" s="15" t="s">
        <v>4367</v>
      </c>
      <c r="I1352" s="28" t="s">
        <v>4366</v>
      </c>
      <c r="J1352" s="30" t="s">
        <v>4481</v>
      </c>
      <c r="K1352" s="15">
        <f>COUNTIF(Contacts[姓名],Contacts[[#This Row],[姓名]])</f>
        <v>1</v>
      </c>
    </row>
    <row r="1353" spans="1:11" x14ac:dyDescent="0.15">
      <c r="A1353" s="28" t="s">
        <v>499</v>
      </c>
      <c r="B1353" s="15" t="s">
        <v>1635</v>
      </c>
      <c r="C1353" s="15">
        <v>2881601586</v>
      </c>
      <c r="D1353" s="29" t="s">
        <v>1681</v>
      </c>
      <c r="E1353" s="129" t="s">
        <v>5315</v>
      </c>
      <c r="F1353" s="15" t="s">
        <v>4526</v>
      </c>
      <c r="H1353" s="15" t="s">
        <v>3177</v>
      </c>
      <c r="I1353" s="28" t="s">
        <v>3178</v>
      </c>
      <c r="J1353" s="30" t="s">
        <v>4737</v>
      </c>
      <c r="K1353" s="15">
        <f>COUNTIF(Contacts[姓名],Contacts[[#This Row],[姓名]])</f>
        <v>1</v>
      </c>
    </row>
    <row r="1354" spans="1:11" ht="28.5" x14ac:dyDescent="0.15">
      <c r="A1354" s="28" t="s">
        <v>5357</v>
      </c>
      <c r="B1354" s="15" t="s">
        <v>5317</v>
      </c>
      <c r="D1354" s="29"/>
      <c r="E1354" s="129">
        <v>43404</v>
      </c>
      <c r="F1354" s="15" t="s">
        <v>5359</v>
      </c>
      <c r="G1354" s="15" t="s">
        <v>5360</v>
      </c>
      <c r="H1354" s="15" t="s">
        <v>5358</v>
      </c>
      <c r="I1354" s="28" t="s">
        <v>5361</v>
      </c>
      <c r="J1354" s="30" t="s">
        <v>5362</v>
      </c>
      <c r="K1354" s="15">
        <f>COUNTIF(Contacts[姓名],Contacts[[#This Row],[姓名]])</f>
        <v>1</v>
      </c>
    </row>
    <row r="1355" spans="1:11" x14ac:dyDescent="0.15">
      <c r="A1355" s="28"/>
      <c r="B1355" s="15" t="s">
        <v>4379</v>
      </c>
      <c r="C1355" s="15">
        <v>3002951762</v>
      </c>
      <c r="D1355" s="29"/>
      <c r="E1355" s="129" t="s">
        <v>5315</v>
      </c>
      <c r="F1355" s="15" t="s">
        <v>4369</v>
      </c>
      <c r="I1355" s="28" t="s">
        <v>4370</v>
      </c>
      <c r="J1355" s="30" t="s">
        <v>4371</v>
      </c>
      <c r="K1355" s="15">
        <f>COUNTIF(Contacts[姓名],Contacts[[#This Row],[姓名]])</f>
        <v>1</v>
      </c>
    </row>
    <row r="1356" spans="1:11" x14ac:dyDescent="0.15">
      <c r="A1356" s="28"/>
      <c r="B1356" s="15" t="s">
        <v>4379</v>
      </c>
      <c r="C1356" s="15">
        <v>248905280</v>
      </c>
      <c r="D1356" s="29"/>
      <c r="E1356" s="129" t="s">
        <v>5315</v>
      </c>
      <c r="F1356" s="15" t="s">
        <v>4372</v>
      </c>
      <c r="I1356" s="28"/>
      <c r="J1356" s="30" t="s">
        <v>4373</v>
      </c>
      <c r="K1356" s="15">
        <f>COUNTIF(Contacts[姓名],Contacts[[#This Row],[姓名]])</f>
        <v>1</v>
      </c>
    </row>
    <row r="1357" spans="1:11" x14ac:dyDescent="0.15">
      <c r="A1357" s="28"/>
      <c r="B1357" s="15" t="s">
        <v>4379</v>
      </c>
      <c r="C1357" s="15">
        <v>2880090139</v>
      </c>
      <c r="D1357" s="29"/>
      <c r="E1357" s="129" t="s">
        <v>5315</v>
      </c>
      <c r="F1357" s="15" t="s">
        <v>4374</v>
      </c>
      <c r="G1357" s="15" t="s">
        <v>4026</v>
      </c>
      <c r="I1357" s="28"/>
      <c r="J1357" s="30" t="s">
        <v>4375</v>
      </c>
      <c r="K1357" s="15">
        <f>COUNTIF(Contacts[姓名],Contacts[[#This Row],[姓名]])</f>
        <v>1</v>
      </c>
    </row>
    <row r="1358" spans="1:11" x14ac:dyDescent="0.15">
      <c r="A1358" s="28"/>
      <c r="B1358" s="15" t="s">
        <v>4379</v>
      </c>
      <c r="D1358" s="29"/>
      <c r="E1358" s="129" t="s">
        <v>5315</v>
      </c>
      <c r="F1358" s="15" t="s">
        <v>4376</v>
      </c>
      <c r="I1358" s="28" t="s">
        <v>4377</v>
      </c>
      <c r="J1358" s="30" t="s">
        <v>4378</v>
      </c>
      <c r="K1358" s="15">
        <f>COUNTIF(Contacts[姓名],Contacts[[#This Row],[姓名]])</f>
        <v>1</v>
      </c>
    </row>
    <row r="1359" spans="1:11" x14ac:dyDescent="0.15">
      <c r="A1359" s="28" t="s">
        <v>4350</v>
      </c>
      <c r="B1359" s="15" t="s">
        <v>4379</v>
      </c>
      <c r="C1359" s="15">
        <v>981219258</v>
      </c>
      <c r="D1359" s="29"/>
      <c r="E1359" s="129" t="s">
        <v>5315</v>
      </c>
      <c r="F1359" s="15" t="s">
        <v>4916</v>
      </c>
      <c r="I1359" s="28" t="s">
        <v>4750</v>
      </c>
      <c r="J1359" s="30" t="s">
        <v>4751</v>
      </c>
      <c r="K1359" s="15">
        <f>COUNTIF(Contacts[姓名],Contacts[[#This Row],[姓名]])</f>
        <v>1</v>
      </c>
    </row>
    <row r="1360" spans="1:11" x14ac:dyDescent="0.15">
      <c r="A1360" s="28" t="s">
        <v>4870</v>
      </c>
      <c r="C1360" s="15">
        <v>362530726</v>
      </c>
      <c r="D1360" s="29"/>
      <c r="E1360" s="129" t="s">
        <v>5315</v>
      </c>
      <c r="F1360" s="15" t="s">
        <v>4873</v>
      </c>
      <c r="I1360" s="28" t="s">
        <v>4874</v>
      </c>
      <c r="J1360" s="30" t="s">
        <v>4872</v>
      </c>
      <c r="K1360" s="15">
        <f>COUNTIF(Contacts[姓名],Contacts[[#This Row],[姓名]])</f>
        <v>1</v>
      </c>
    </row>
    <row r="1361" spans="1:11" x14ac:dyDescent="0.15">
      <c r="A1361" s="28" t="s">
        <v>4875</v>
      </c>
      <c r="C1361" s="15">
        <v>191537250</v>
      </c>
      <c r="D1361" s="29"/>
      <c r="E1361" s="129" t="s">
        <v>5315</v>
      </c>
      <c r="F1361" s="15" t="s">
        <v>4876</v>
      </c>
      <c r="I1361" s="28" t="s">
        <v>4877</v>
      </c>
      <c r="J1361" s="30" t="s">
        <v>4872</v>
      </c>
      <c r="K1361" s="15">
        <f>COUNTIF(Contacts[姓名],Contacts[[#This Row],[姓名]])</f>
        <v>1</v>
      </c>
    </row>
    <row r="1362" spans="1:11" x14ac:dyDescent="0.15">
      <c r="A1362" s="28" t="s">
        <v>4878</v>
      </c>
      <c r="C1362" s="15">
        <v>1651198728</v>
      </c>
      <c r="D1362" s="29"/>
      <c r="E1362" s="129" t="s">
        <v>5315</v>
      </c>
      <c r="F1362" s="15" t="s">
        <v>4879</v>
      </c>
      <c r="I1362" s="28" t="s">
        <v>4880</v>
      </c>
      <c r="J1362" s="30" t="s">
        <v>4881</v>
      </c>
      <c r="K1362" s="15">
        <f>COUNTIF(Contacts[姓名],Contacts[[#This Row],[姓名]])</f>
        <v>1</v>
      </c>
    </row>
    <row r="1363" spans="1:11" x14ac:dyDescent="0.15">
      <c r="A1363" s="28" t="s">
        <v>4882</v>
      </c>
      <c r="C1363" s="15">
        <v>1372482846</v>
      </c>
      <c r="D1363" s="29"/>
      <c r="E1363" s="129" t="s">
        <v>5315</v>
      </c>
      <c r="F1363" s="15" t="s">
        <v>6185</v>
      </c>
      <c r="I1363" s="28" t="s">
        <v>4883</v>
      </c>
      <c r="J1363" s="30" t="s">
        <v>4872</v>
      </c>
      <c r="K1363" s="15">
        <f>COUNTIF(Contacts[姓名],Contacts[[#This Row],[姓名]])</f>
        <v>1</v>
      </c>
    </row>
    <row r="1364" spans="1:11" x14ac:dyDescent="0.15">
      <c r="A1364" s="28" t="s">
        <v>4884</v>
      </c>
      <c r="C1364" s="15">
        <v>583103951</v>
      </c>
      <c r="D1364" s="29"/>
      <c r="E1364" s="129" t="s">
        <v>5315</v>
      </c>
      <c r="F1364" s="15" t="s">
        <v>4885</v>
      </c>
      <c r="I1364" s="28" t="s">
        <v>4886</v>
      </c>
      <c r="J1364" s="30" t="s">
        <v>4872</v>
      </c>
      <c r="K1364" s="15">
        <f>COUNTIF(Contacts[姓名],Contacts[[#This Row],[姓名]])</f>
        <v>1</v>
      </c>
    </row>
    <row r="1365" spans="1:11" x14ac:dyDescent="0.15">
      <c r="A1365" s="28" t="s">
        <v>5443</v>
      </c>
      <c r="B1365" s="15" t="s">
        <v>5317</v>
      </c>
      <c r="C1365" s="15">
        <v>3004608905</v>
      </c>
      <c r="D1365" s="29"/>
      <c r="E1365" s="129">
        <v>43404</v>
      </c>
      <c r="F1365" s="15" t="s">
        <v>5444</v>
      </c>
      <c r="G1365" s="15" t="s">
        <v>5365</v>
      </c>
      <c r="H1365" s="15" t="s">
        <v>5445</v>
      </c>
      <c r="I1365" s="28" t="s">
        <v>5446</v>
      </c>
      <c r="J1365" s="30" t="s">
        <v>5447</v>
      </c>
      <c r="K1365" s="15">
        <f>COUNTIF(Contacts[姓名],Contacts[[#This Row],[姓名]])</f>
        <v>1</v>
      </c>
    </row>
    <row r="1366" spans="1:11" x14ac:dyDescent="0.15">
      <c r="A1366" s="28" t="s">
        <v>4890</v>
      </c>
      <c r="C1366" s="15">
        <v>361854841</v>
      </c>
      <c r="D1366" s="29"/>
      <c r="E1366" s="129" t="s">
        <v>5315</v>
      </c>
      <c r="F1366" s="15" t="s">
        <v>4891</v>
      </c>
      <c r="I1366" s="28" t="s">
        <v>4892</v>
      </c>
      <c r="J1366" s="30" t="s">
        <v>4872</v>
      </c>
      <c r="K1366" s="15">
        <f>COUNTIF(Contacts[姓名],Contacts[[#This Row],[姓名]])</f>
        <v>1</v>
      </c>
    </row>
    <row r="1367" spans="1:11" x14ac:dyDescent="0.15">
      <c r="A1367" s="28" t="s">
        <v>4893</v>
      </c>
      <c r="C1367" s="15">
        <v>3002661325</v>
      </c>
      <c r="D1367" s="29"/>
      <c r="E1367" s="129" t="s">
        <v>5315</v>
      </c>
      <c r="F1367" s="15" t="s">
        <v>4894</v>
      </c>
      <c r="I1367" s="28" t="s">
        <v>4895</v>
      </c>
      <c r="J1367" s="30" t="s">
        <v>4872</v>
      </c>
      <c r="K1367" s="15">
        <f>COUNTIF(Contacts[姓名],Contacts[[#This Row],[姓名]])</f>
        <v>1</v>
      </c>
    </row>
    <row r="1368" spans="1:11" x14ac:dyDescent="0.15">
      <c r="A1368" s="28" t="s">
        <v>3325</v>
      </c>
      <c r="B1368" s="15" t="s">
        <v>1715</v>
      </c>
      <c r="C1368" s="15">
        <v>469222186</v>
      </c>
      <c r="D1368" s="29" t="s">
        <v>1716</v>
      </c>
      <c r="E1368" s="129" t="s">
        <v>5315</v>
      </c>
      <c r="F1368" s="15" t="s">
        <v>6186</v>
      </c>
      <c r="I1368" s="28"/>
      <c r="J1368" s="30"/>
      <c r="K1368" s="15">
        <f>COUNTIF(Contacts[姓名],Contacts[[#This Row],[姓名]])</f>
        <v>1</v>
      </c>
    </row>
    <row r="1369" spans="1:11" x14ac:dyDescent="0.15">
      <c r="A1369" s="28" t="s">
        <v>5450</v>
      </c>
      <c r="B1369" s="15" t="s">
        <v>5317</v>
      </c>
      <c r="C1369" s="15">
        <v>2885617430</v>
      </c>
      <c r="D1369" s="29"/>
      <c r="E1369" s="129">
        <v>43404</v>
      </c>
      <c r="F1369" s="15" t="s">
        <v>5451</v>
      </c>
      <c r="G1369" s="15" t="s">
        <v>5452</v>
      </c>
      <c r="H1369" s="15" t="s">
        <v>5453</v>
      </c>
      <c r="I1369" s="28" t="s">
        <v>5454</v>
      </c>
      <c r="J1369" s="30" t="s">
        <v>5455</v>
      </c>
      <c r="K1369" s="15">
        <f>COUNTIF(Contacts[姓名],Contacts[[#This Row],[姓名]])</f>
        <v>1</v>
      </c>
    </row>
    <row r="1370" spans="1:11" x14ac:dyDescent="0.15">
      <c r="A1370" s="28" t="s">
        <v>4908</v>
      </c>
      <c r="C1370" s="15">
        <v>2853070539</v>
      </c>
      <c r="D1370" s="29"/>
      <c r="E1370" s="129" t="s">
        <v>5315</v>
      </c>
      <c r="F1370" s="15" t="s">
        <v>4909</v>
      </c>
      <c r="I1370" s="28" t="s">
        <v>4910</v>
      </c>
      <c r="J1370" s="30" t="s">
        <v>4872</v>
      </c>
      <c r="K1370" s="15">
        <f>COUNTIF(Contacts[姓名],Contacts[[#This Row],[姓名]])</f>
        <v>1</v>
      </c>
    </row>
    <row r="1371" spans="1:11" x14ac:dyDescent="0.15">
      <c r="A1371" s="28" t="s">
        <v>4911</v>
      </c>
      <c r="C1371" s="15">
        <v>3433998953</v>
      </c>
      <c r="D1371" s="29"/>
      <c r="E1371" s="129" t="s">
        <v>5315</v>
      </c>
      <c r="F1371" s="15" t="s">
        <v>4912</v>
      </c>
      <c r="I1371" s="28" t="s">
        <v>4913</v>
      </c>
      <c r="J1371" s="30" t="s">
        <v>4872</v>
      </c>
      <c r="K1371" s="15">
        <f>COUNTIF(Contacts[姓名],Contacts[[#This Row],[姓名]])</f>
        <v>1</v>
      </c>
    </row>
    <row r="1372" spans="1:11" x14ac:dyDescent="0.15">
      <c r="A1372" s="28" t="s">
        <v>5008</v>
      </c>
      <c r="B1372" s="15" t="s">
        <v>5009</v>
      </c>
      <c r="C1372" s="15">
        <v>3003161594</v>
      </c>
      <c r="D1372" s="29"/>
      <c r="E1372" s="129" t="s">
        <v>5315</v>
      </c>
      <c r="F1372" s="15" t="s">
        <v>5010</v>
      </c>
      <c r="H1372" s="15" t="s">
        <v>5011</v>
      </c>
      <c r="I1372" s="28"/>
      <c r="J1372" s="30"/>
      <c r="K1372" s="15">
        <f>COUNTIF(Contacts[姓名],Contacts[[#This Row],[姓名]])</f>
        <v>1</v>
      </c>
    </row>
    <row r="1373" spans="1:11" x14ac:dyDescent="0.15">
      <c r="A1373" s="28" t="s">
        <v>2393</v>
      </c>
      <c r="B1373" s="15" t="s">
        <v>1715</v>
      </c>
      <c r="C1373" s="15">
        <v>11150473</v>
      </c>
      <c r="D1373" s="29" t="s">
        <v>1745</v>
      </c>
      <c r="E1373" s="129" t="s">
        <v>5315</v>
      </c>
      <c r="F1373" s="15" t="s">
        <v>6188</v>
      </c>
      <c r="I1373" s="28"/>
      <c r="J1373" s="30"/>
      <c r="K1373" s="15">
        <f>COUNTIF(Contacts[姓名],Contacts[[#This Row],[姓名]])</f>
        <v>1</v>
      </c>
    </row>
    <row r="1374" spans="1:11" x14ac:dyDescent="0.15">
      <c r="A1374" s="28" t="s">
        <v>5456</v>
      </c>
      <c r="B1374" s="15" t="s">
        <v>5317</v>
      </c>
      <c r="C1374" s="15">
        <v>812344331</v>
      </c>
      <c r="D1374" s="29"/>
      <c r="E1374" s="129">
        <v>43404</v>
      </c>
      <c r="F1374" s="15" t="s">
        <v>5457</v>
      </c>
      <c r="G1374" s="15" t="s">
        <v>5371</v>
      </c>
      <c r="H1374" s="15" t="s">
        <v>5458</v>
      </c>
      <c r="I1374" s="28" t="s">
        <v>5459</v>
      </c>
      <c r="J1374" s="30"/>
      <c r="K1374" s="15">
        <f>COUNTIF(Contacts[姓名],Contacts[[#This Row],[姓名]])</f>
        <v>1</v>
      </c>
    </row>
    <row r="1375" spans="1:11" x14ac:dyDescent="0.15">
      <c r="A1375" s="28" t="s">
        <v>5461</v>
      </c>
      <c r="B1375" s="15" t="s">
        <v>5317</v>
      </c>
      <c r="D1375" s="29"/>
      <c r="E1375" s="129">
        <v>43404</v>
      </c>
      <c r="F1375" s="15" t="s">
        <v>5462</v>
      </c>
      <c r="G1375" s="15" t="s">
        <v>5463</v>
      </c>
      <c r="H1375" s="15" t="s">
        <v>5464</v>
      </c>
      <c r="I1375" s="28" t="s">
        <v>5465</v>
      </c>
      <c r="J1375" s="30" t="s">
        <v>5466</v>
      </c>
      <c r="K1375" s="15">
        <f>COUNTIF(Contacts[姓名],Contacts[[#This Row],[姓名]])</f>
        <v>1</v>
      </c>
    </row>
    <row r="1376" spans="1:11" x14ac:dyDescent="0.15">
      <c r="A1376" s="28" t="s">
        <v>5467</v>
      </c>
      <c r="B1376" s="15" t="s">
        <v>5317</v>
      </c>
      <c r="D1376" s="29"/>
      <c r="E1376" s="129">
        <v>43404</v>
      </c>
      <c r="F1376" s="15" t="s">
        <v>5468</v>
      </c>
      <c r="G1376" s="15" t="s">
        <v>5405</v>
      </c>
      <c r="H1376" s="15" t="s">
        <v>5469</v>
      </c>
      <c r="I1376" s="28" t="s">
        <v>5470</v>
      </c>
      <c r="J1376" s="30" t="s">
        <v>5471</v>
      </c>
      <c r="K1376" s="15">
        <f>COUNTIF(Contacts[姓名],Contacts[[#This Row],[姓名]])</f>
        <v>1</v>
      </c>
    </row>
    <row r="1377" spans="1:11" x14ac:dyDescent="0.15">
      <c r="A1377" s="28" t="s">
        <v>5472</v>
      </c>
      <c r="B1377" s="15" t="s">
        <v>5317</v>
      </c>
      <c r="C1377" s="15">
        <v>397226487</v>
      </c>
      <c r="D1377" s="29"/>
      <c r="E1377" s="129">
        <v>43404</v>
      </c>
      <c r="F1377" s="15" t="s">
        <v>5473</v>
      </c>
      <c r="G1377" s="15" t="s">
        <v>5319</v>
      </c>
      <c r="H1377" s="15" t="s">
        <v>5474</v>
      </c>
      <c r="I1377" s="28" t="s">
        <v>5475</v>
      </c>
      <c r="J1377" s="30"/>
      <c r="K1377" s="15">
        <f>COUNTIF(Contacts[姓名],Contacts[[#This Row],[姓名]])</f>
        <v>1</v>
      </c>
    </row>
    <row r="1378" spans="1:11" x14ac:dyDescent="0.15">
      <c r="A1378" s="28" t="s">
        <v>5476</v>
      </c>
      <c r="B1378" s="15" t="s">
        <v>5317</v>
      </c>
      <c r="C1378" s="15">
        <v>2881779706</v>
      </c>
      <c r="D1378" s="29"/>
      <c r="E1378" s="129">
        <v>43404</v>
      </c>
      <c r="F1378" s="15" t="s">
        <v>5477</v>
      </c>
      <c r="G1378" s="15" t="s">
        <v>5319</v>
      </c>
      <c r="H1378" s="15" t="s">
        <v>5478</v>
      </c>
      <c r="I1378" s="28" t="s">
        <v>5479</v>
      </c>
      <c r="J1378" s="30" t="s">
        <v>5480</v>
      </c>
      <c r="K1378" s="15">
        <f>COUNTIF(Contacts[姓名],Contacts[[#This Row],[姓名]])</f>
        <v>1</v>
      </c>
    </row>
    <row r="1379" spans="1:11" x14ac:dyDescent="0.15">
      <c r="A1379" s="28" t="s">
        <v>5481</v>
      </c>
      <c r="B1379" s="15" t="s">
        <v>5317</v>
      </c>
      <c r="C1379" s="15">
        <v>2355232229</v>
      </c>
      <c r="D1379" s="29"/>
      <c r="E1379" s="129">
        <v>43404</v>
      </c>
      <c r="F1379" s="15" t="s">
        <v>5482</v>
      </c>
      <c r="G1379" s="15" t="s">
        <v>5483</v>
      </c>
      <c r="H1379" s="15" t="s">
        <v>5484</v>
      </c>
      <c r="I1379" s="28" t="s">
        <v>5485</v>
      </c>
      <c r="J1379" s="30"/>
      <c r="K1379" s="15">
        <f>COUNTIF(Contacts[姓名],Contacts[[#This Row],[姓名]])</f>
        <v>1</v>
      </c>
    </row>
    <row r="1380" spans="1:11" ht="28.5" x14ac:dyDescent="0.15">
      <c r="A1380" s="28" t="s">
        <v>5486</v>
      </c>
      <c r="B1380" s="15" t="s">
        <v>5317</v>
      </c>
      <c r="C1380" s="15">
        <v>2833357235</v>
      </c>
      <c r="D1380" s="29"/>
      <c r="E1380" s="129">
        <v>43404</v>
      </c>
      <c r="F1380" s="15" t="s">
        <v>5487</v>
      </c>
      <c r="G1380" s="15" t="s">
        <v>5371</v>
      </c>
      <c r="H1380" s="15" t="s">
        <v>5488</v>
      </c>
      <c r="I1380" s="28" t="s">
        <v>5489</v>
      </c>
      <c r="J1380" s="30" t="s">
        <v>5490</v>
      </c>
      <c r="K1380" s="15">
        <f>COUNTIF(Contacts[姓名],Contacts[[#This Row],[姓名]])</f>
        <v>1</v>
      </c>
    </row>
    <row r="1381" spans="1:11" ht="28.5" x14ac:dyDescent="0.15">
      <c r="A1381" s="28" t="s">
        <v>5494</v>
      </c>
      <c r="B1381" s="15" t="s">
        <v>5317</v>
      </c>
      <c r="C1381" s="15">
        <v>568632775</v>
      </c>
      <c r="D1381" s="29"/>
      <c r="E1381" s="129">
        <v>43404</v>
      </c>
      <c r="F1381" s="15" t="s">
        <v>5495</v>
      </c>
      <c r="G1381" s="15" t="s">
        <v>5405</v>
      </c>
      <c r="H1381" s="15" t="s">
        <v>5496</v>
      </c>
      <c r="I1381" s="28" t="s">
        <v>5497</v>
      </c>
      <c r="J1381" s="30" t="s">
        <v>5498</v>
      </c>
      <c r="K1381" s="15">
        <f>COUNTIF(Contacts[姓名],Contacts[[#This Row],[姓名]])</f>
        <v>1</v>
      </c>
    </row>
    <row r="1382" spans="1:11" x14ac:dyDescent="0.15">
      <c r="A1382" s="28" t="s">
        <v>5499</v>
      </c>
      <c r="B1382" s="15" t="s">
        <v>5317</v>
      </c>
      <c r="C1382" s="15">
        <v>240546467</v>
      </c>
      <c r="D1382" s="29"/>
      <c r="E1382" s="129">
        <v>43404</v>
      </c>
      <c r="F1382" s="15" t="s">
        <v>5500</v>
      </c>
      <c r="G1382" s="15" t="s">
        <v>5501</v>
      </c>
      <c r="H1382" s="15" t="s">
        <v>5502</v>
      </c>
      <c r="I1382" s="28" t="s">
        <v>5503</v>
      </c>
      <c r="J1382" s="30" t="s">
        <v>5504</v>
      </c>
      <c r="K1382" s="15">
        <f>COUNTIF(Contacts[姓名],Contacts[[#This Row],[姓名]])</f>
        <v>1</v>
      </c>
    </row>
    <row r="1383" spans="1:11" x14ac:dyDescent="0.15">
      <c r="A1383" s="28" t="s">
        <v>5505</v>
      </c>
      <c r="B1383" s="15" t="s">
        <v>5317</v>
      </c>
      <c r="C1383" s="15">
        <v>2850880561</v>
      </c>
      <c r="D1383" s="29"/>
      <c r="E1383" s="129">
        <v>43404</v>
      </c>
      <c r="F1383" s="15" t="s">
        <v>5506</v>
      </c>
      <c r="G1383" s="15" t="s">
        <v>5365</v>
      </c>
      <c r="H1383" s="15" t="s">
        <v>5507</v>
      </c>
      <c r="I1383" s="28" t="s">
        <v>5508</v>
      </c>
      <c r="J1383" s="30" t="s">
        <v>5509</v>
      </c>
      <c r="K1383" s="15">
        <f>COUNTIF(Contacts[姓名],Contacts[[#This Row],[姓名]])</f>
        <v>1</v>
      </c>
    </row>
    <row r="1384" spans="1:11" x14ac:dyDescent="0.15">
      <c r="A1384" s="28" t="s">
        <v>5510</v>
      </c>
      <c r="B1384" s="15" t="s">
        <v>5317</v>
      </c>
      <c r="C1384" s="15">
        <v>648809905</v>
      </c>
      <c r="D1384" s="29"/>
      <c r="E1384" s="129">
        <v>43404</v>
      </c>
      <c r="F1384" s="15" t="s">
        <v>5511</v>
      </c>
      <c r="G1384" s="15" t="s">
        <v>5512</v>
      </c>
      <c r="H1384" s="15" t="s">
        <v>5513</v>
      </c>
      <c r="I1384" s="28" t="s">
        <v>5514</v>
      </c>
      <c r="J1384" s="30" t="s">
        <v>5515</v>
      </c>
      <c r="K1384" s="15">
        <f>COUNTIF(Contacts[姓名],Contacts[[#This Row],[姓名]])</f>
        <v>1</v>
      </c>
    </row>
    <row r="1385" spans="1:11" x14ac:dyDescent="0.15">
      <c r="A1385" s="28" t="s">
        <v>2512</v>
      </c>
      <c r="B1385" s="15" t="s">
        <v>1715</v>
      </c>
      <c r="C1385" s="15">
        <v>494970760</v>
      </c>
      <c r="D1385" s="29" t="s">
        <v>2408</v>
      </c>
      <c r="E1385" s="129">
        <v>43327</v>
      </c>
      <c r="F1385" s="15" t="s">
        <v>6189</v>
      </c>
      <c r="G1385" s="15" t="s">
        <v>2736</v>
      </c>
      <c r="H1385" s="15" t="s">
        <v>2852</v>
      </c>
      <c r="I1385" s="28" t="s">
        <v>2737</v>
      </c>
      <c r="J1385" s="30"/>
      <c r="K1385" s="15">
        <f>COUNTIF(Contacts[姓名],Contacts[[#This Row],[姓名]])</f>
        <v>1</v>
      </c>
    </row>
    <row r="1386" spans="1:11" x14ac:dyDescent="0.15">
      <c r="A1386" s="28" t="s">
        <v>5516</v>
      </c>
      <c r="B1386" s="15" t="s">
        <v>5317</v>
      </c>
      <c r="C1386" s="15">
        <v>2069019693</v>
      </c>
      <c r="D1386" s="29"/>
      <c r="E1386" s="129">
        <v>43404</v>
      </c>
      <c r="F1386" s="15" t="s">
        <v>5517</v>
      </c>
      <c r="G1386" s="15" t="s">
        <v>5518</v>
      </c>
      <c r="I1386" s="28"/>
      <c r="J1386" s="30" t="s">
        <v>5417</v>
      </c>
      <c r="K1386" s="15">
        <f>COUNTIF(Contacts[姓名],Contacts[[#This Row],[姓名]])</f>
        <v>1</v>
      </c>
    </row>
    <row r="1387" spans="1:11" x14ac:dyDescent="0.15">
      <c r="A1387" s="28" t="s">
        <v>5523</v>
      </c>
      <c r="B1387" s="15" t="s">
        <v>5317</v>
      </c>
      <c r="C1387" s="15">
        <v>2881003230</v>
      </c>
      <c r="D1387" s="29"/>
      <c r="E1387" s="129">
        <v>43404</v>
      </c>
      <c r="F1387" s="15" t="s">
        <v>5524</v>
      </c>
      <c r="G1387" s="15" t="s">
        <v>5525</v>
      </c>
      <c r="H1387" s="15" t="s">
        <v>5526</v>
      </c>
      <c r="I1387" s="28" t="s">
        <v>5527</v>
      </c>
      <c r="J1387" s="30" t="s">
        <v>5528</v>
      </c>
      <c r="K1387" s="15">
        <f>COUNTIF(Contacts[姓名],Contacts[[#This Row],[姓名]])</f>
        <v>1</v>
      </c>
    </row>
    <row r="1388" spans="1:11" ht="28.5" x14ac:dyDescent="0.15">
      <c r="A1388" s="28" t="s">
        <v>5529</v>
      </c>
      <c r="B1388" s="15" t="s">
        <v>5317</v>
      </c>
      <c r="C1388" s="15">
        <v>2312683405</v>
      </c>
      <c r="D1388" s="29"/>
      <c r="E1388" s="129">
        <v>43404</v>
      </c>
      <c r="F1388" s="15" t="s">
        <v>5530</v>
      </c>
      <c r="G1388" s="15" t="s">
        <v>5531</v>
      </c>
      <c r="H1388" s="15" t="s">
        <v>5532</v>
      </c>
      <c r="I1388" s="28" t="s">
        <v>5533</v>
      </c>
      <c r="J1388" s="30" t="s">
        <v>5534</v>
      </c>
      <c r="K1388" s="15">
        <f>COUNTIF(Contacts[姓名],Contacts[[#This Row],[姓名]])</f>
        <v>1</v>
      </c>
    </row>
    <row r="1389" spans="1:11" ht="28.5" x14ac:dyDescent="0.15">
      <c r="A1389" s="28" t="s">
        <v>5411</v>
      </c>
      <c r="B1389" s="15" t="s">
        <v>2521</v>
      </c>
      <c r="C1389" s="15">
        <v>1308309518</v>
      </c>
      <c r="D1389" s="29"/>
      <c r="E1389" s="129">
        <v>43405</v>
      </c>
      <c r="F1389" s="15" t="s">
        <v>5399</v>
      </c>
      <c r="G1389" s="15" t="s">
        <v>5400</v>
      </c>
      <c r="H1389" s="15" t="s">
        <v>3096</v>
      </c>
      <c r="I1389" s="28" t="s">
        <v>5401</v>
      </c>
      <c r="J1389" s="30" t="s">
        <v>5402</v>
      </c>
      <c r="K1389" s="15">
        <f>COUNTIF(Contacts[姓名],Contacts[[#This Row],[姓名]])</f>
        <v>1</v>
      </c>
    </row>
    <row r="1390" spans="1:11" x14ac:dyDescent="0.15">
      <c r="A1390" s="28" t="s">
        <v>5378</v>
      </c>
      <c r="B1390" s="15" t="s">
        <v>5317</v>
      </c>
      <c r="C1390" s="15">
        <v>2503552256</v>
      </c>
      <c r="D1390" s="29"/>
      <c r="E1390" s="129">
        <v>43405</v>
      </c>
      <c r="F1390" s="15" t="s">
        <v>6178</v>
      </c>
      <c r="I1390" s="28"/>
      <c r="J1390" s="30" t="s">
        <v>5379</v>
      </c>
      <c r="K1390" s="15">
        <f>COUNTIF(Contacts[姓名],Contacts[[#This Row],[姓名]])</f>
        <v>1</v>
      </c>
    </row>
    <row r="1391" spans="1:11" ht="28.5" x14ac:dyDescent="0.15">
      <c r="A1391" s="28" t="s">
        <v>5316</v>
      </c>
      <c r="B1391" s="15" t="s">
        <v>5317</v>
      </c>
      <c r="D1391" s="29"/>
      <c r="E1391" s="129">
        <v>43405</v>
      </c>
      <c r="F1391" s="15" t="s">
        <v>5318</v>
      </c>
      <c r="G1391" s="15" t="s">
        <v>5319</v>
      </c>
      <c r="H1391" s="15" t="s">
        <v>5320</v>
      </c>
      <c r="I1391" s="28" t="s">
        <v>5321</v>
      </c>
      <c r="J1391" s="30" t="s">
        <v>5322</v>
      </c>
      <c r="K1391" s="15">
        <f>COUNTIF(Contacts[姓名],Contacts[[#This Row],[姓名]])</f>
        <v>1</v>
      </c>
    </row>
    <row r="1392" spans="1:11" x14ac:dyDescent="0.15">
      <c r="A1392" s="28" t="s">
        <v>5323</v>
      </c>
      <c r="B1392" s="15" t="s">
        <v>5317</v>
      </c>
      <c r="C1392" s="15">
        <v>2355613288</v>
      </c>
      <c r="D1392" s="29"/>
      <c r="E1392" s="129">
        <v>43405</v>
      </c>
      <c r="F1392" s="15" t="s">
        <v>5324</v>
      </c>
      <c r="G1392" s="15" t="s">
        <v>5325</v>
      </c>
      <c r="H1392" s="15" t="s">
        <v>5326</v>
      </c>
      <c r="I1392" s="28" t="s">
        <v>5347</v>
      </c>
      <c r="J1392" s="30" t="s">
        <v>6229</v>
      </c>
      <c r="K1392" s="15">
        <f>COUNTIF(Contacts[姓名],Contacts[[#This Row],[姓名]])</f>
        <v>1</v>
      </c>
    </row>
    <row r="1393" spans="1:11" x14ac:dyDescent="0.15">
      <c r="A1393" s="28" t="s">
        <v>5327</v>
      </c>
      <c r="B1393" s="15" t="s">
        <v>5317</v>
      </c>
      <c r="C1393" s="15">
        <v>416026109</v>
      </c>
      <c r="D1393" s="29"/>
      <c r="E1393" s="129">
        <v>43405</v>
      </c>
      <c r="F1393" s="15" t="s">
        <v>5328</v>
      </c>
      <c r="H1393" s="15" t="s">
        <v>5339</v>
      </c>
      <c r="I1393" s="28" t="s">
        <v>5329</v>
      </c>
      <c r="J1393" s="30"/>
      <c r="K1393" s="15">
        <f>COUNTIF(Contacts[姓名],Contacts[[#This Row],[姓名]])</f>
        <v>1</v>
      </c>
    </row>
    <row r="1394" spans="1:11" x14ac:dyDescent="0.15">
      <c r="A1394" s="28" t="s">
        <v>2506</v>
      </c>
      <c r="B1394" s="15" t="s">
        <v>5317</v>
      </c>
      <c r="C1394" s="15">
        <v>1964911919</v>
      </c>
      <c r="D1394" s="29"/>
      <c r="E1394" s="129">
        <v>43405</v>
      </c>
      <c r="F1394" s="15" t="s">
        <v>5330</v>
      </c>
      <c r="G1394" s="15" t="s">
        <v>5331</v>
      </c>
      <c r="H1394" s="15" t="s">
        <v>5332</v>
      </c>
      <c r="I1394" s="28" t="s">
        <v>5333</v>
      </c>
      <c r="J1394" s="30" t="s">
        <v>5334</v>
      </c>
      <c r="K1394" s="15">
        <f>COUNTIF(Contacts[姓名],Contacts[[#This Row],[姓名]])</f>
        <v>1</v>
      </c>
    </row>
    <row r="1395" spans="1:11" x14ac:dyDescent="0.15">
      <c r="A1395" s="28" t="s">
        <v>5335</v>
      </c>
      <c r="B1395" s="15" t="s">
        <v>5317</v>
      </c>
      <c r="D1395" s="29"/>
      <c r="E1395" s="129">
        <v>43405</v>
      </c>
      <c r="F1395" s="15" t="s">
        <v>5336</v>
      </c>
      <c r="G1395" s="15" t="s">
        <v>5337</v>
      </c>
      <c r="H1395" s="15" t="s">
        <v>5338</v>
      </c>
      <c r="I1395" s="28" t="s">
        <v>5340</v>
      </c>
      <c r="J1395" s="30" t="s">
        <v>5341</v>
      </c>
      <c r="K1395" s="15">
        <f>COUNTIF(Contacts[姓名],Contacts[[#This Row],[姓名]])</f>
        <v>1</v>
      </c>
    </row>
    <row r="1396" spans="1:11" x14ac:dyDescent="0.15">
      <c r="A1396" s="28" t="s">
        <v>5342</v>
      </c>
      <c r="B1396" s="15" t="s">
        <v>5317</v>
      </c>
      <c r="C1396" s="15">
        <v>2880809957</v>
      </c>
      <c r="D1396" s="29"/>
      <c r="E1396" s="129">
        <v>43405</v>
      </c>
      <c r="F1396" s="15" t="s">
        <v>5343</v>
      </c>
      <c r="G1396" s="15" t="s">
        <v>5344</v>
      </c>
      <c r="H1396" s="15" t="s">
        <v>5345</v>
      </c>
      <c r="I1396" s="28" t="s">
        <v>5346</v>
      </c>
      <c r="J1396" s="30" t="s">
        <v>5348</v>
      </c>
      <c r="K1396" s="15">
        <f>COUNTIF(Contacts[姓名],Contacts[[#This Row],[姓名]])</f>
        <v>1</v>
      </c>
    </row>
    <row r="1397" spans="1:11" x14ac:dyDescent="0.15">
      <c r="A1397" s="28" t="s">
        <v>5349</v>
      </c>
      <c r="B1397" s="15" t="s">
        <v>5317</v>
      </c>
      <c r="C1397" s="15">
        <v>1642703487</v>
      </c>
      <c r="D1397" s="29"/>
      <c r="E1397" s="129">
        <v>43405</v>
      </c>
      <c r="F1397" s="15" t="s">
        <v>5350</v>
      </c>
      <c r="G1397" s="15" t="s">
        <v>5344</v>
      </c>
      <c r="H1397" s="15" t="s">
        <v>5351</v>
      </c>
      <c r="I1397" s="28" t="s">
        <v>5352</v>
      </c>
      <c r="J1397" s="30"/>
      <c r="K1397" s="15">
        <f>COUNTIF(Contacts[姓名],Contacts[[#This Row],[姓名]])</f>
        <v>1</v>
      </c>
    </row>
    <row r="1398" spans="1:11" x14ac:dyDescent="0.15">
      <c r="A1398" s="28" t="s">
        <v>5353</v>
      </c>
      <c r="B1398" s="15" t="s">
        <v>5317</v>
      </c>
      <c r="C1398" s="15">
        <v>532657366</v>
      </c>
      <c r="D1398" s="29"/>
      <c r="E1398" s="129">
        <v>43405</v>
      </c>
      <c r="F1398" s="15" t="s">
        <v>5354</v>
      </c>
      <c r="G1398" s="15" t="s">
        <v>5355</v>
      </c>
      <c r="H1398" s="15" t="s">
        <v>5356</v>
      </c>
      <c r="I1398" s="28"/>
      <c r="J1398" s="30"/>
      <c r="K1398" s="15">
        <f>COUNTIF(Contacts[姓名],Contacts[[#This Row],[姓名]])</f>
        <v>1</v>
      </c>
    </row>
    <row r="1399" spans="1:11" ht="28.5" x14ac:dyDescent="0.15">
      <c r="A1399" s="28" t="s">
        <v>5363</v>
      </c>
      <c r="B1399" s="15" t="s">
        <v>5317</v>
      </c>
      <c r="C1399" s="15">
        <v>616250524</v>
      </c>
      <c r="D1399" s="29"/>
      <c r="E1399" s="129">
        <v>43405</v>
      </c>
      <c r="F1399" s="15" t="s">
        <v>5364</v>
      </c>
      <c r="G1399" s="15" t="s">
        <v>5392</v>
      </c>
      <c r="H1399" s="15" t="s">
        <v>5366</v>
      </c>
      <c r="I1399" s="28" t="s">
        <v>5367</v>
      </c>
      <c r="J1399" s="30" t="s">
        <v>6235</v>
      </c>
      <c r="K1399" s="15">
        <f>COUNTIF(Contacts[姓名],Contacts[[#This Row],[姓名]])</f>
        <v>1</v>
      </c>
    </row>
    <row r="1400" spans="1:11" x14ac:dyDescent="0.15">
      <c r="A1400" s="28" t="s">
        <v>5369</v>
      </c>
      <c r="B1400" s="15" t="s">
        <v>5317</v>
      </c>
      <c r="C1400" s="15">
        <v>2851530595</v>
      </c>
      <c r="D1400" s="29"/>
      <c r="E1400" s="129">
        <v>43405</v>
      </c>
      <c r="F1400" s="15" t="s">
        <v>5370</v>
      </c>
      <c r="G1400" s="15" t="s">
        <v>5371</v>
      </c>
      <c r="H1400" s="15" t="s">
        <v>5372</v>
      </c>
      <c r="I1400" s="28" t="s">
        <v>5373</v>
      </c>
      <c r="J1400" s="30" t="s">
        <v>5374</v>
      </c>
      <c r="K1400" s="15">
        <f>COUNTIF(Contacts[姓名],Contacts[[#This Row],[姓名]])</f>
        <v>1</v>
      </c>
    </row>
    <row r="1401" spans="1:11" x14ac:dyDescent="0.15">
      <c r="A1401" s="28" t="s">
        <v>5380</v>
      </c>
      <c r="B1401" s="15" t="s">
        <v>5317</v>
      </c>
      <c r="D1401" s="29"/>
      <c r="E1401" s="129">
        <v>43405</v>
      </c>
      <c r="F1401" s="15" t="s">
        <v>5381</v>
      </c>
      <c r="H1401" s="15" t="s">
        <v>5382</v>
      </c>
      <c r="I1401" s="28" t="s">
        <v>5383</v>
      </c>
      <c r="J1401" s="30" t="s">
        <v>5384</v>
      </c>
      <c r="K1401" s="15">
        <f>COUNTIF(Contacts[姓名],Contacts[[#This Row],[姓名]])</f>
        <v>1</v>
      </c>
    </row>
    <row r="1402" spans="1:11" x14ac:dyDescent="0.15">
      <c r="A1402" s="28" t="s">
        <v>5385</v>
      </c>
      <c r="B1402" s="15" t="s">
        <v>5317</v>
      </c>
      <c r="D1402" s="29"/>
      <c r="E1402" s="129">
        <v>43405</v>
      </c>
      <c r="F1402" s="15" t="s">
        <v>5386</v>
      </c>
      <c r="I1402" s="28" t="s">
        <v>5387</v>
      </c>
      <c r="J1402" s="30" t="s">
        <v>5417</v>
      </c>
      <c r="K1402" s="15">
        <f>COUNTIF(Contacts[姓名],Contacts[[#This Row],[姓名]])</f>
        <v>1</v>
      </c>
    </row>
    <row r="1403" spans="1:11" x14ac:dyDescent="0.15">
      <c r="A1403" s="28" t="s">
        <v>5363</v>
      </c>
      <c r="B1403" s="15" t="s">
        <v>5317</v>
      </c>
      <c r="C1403" s="15">
        <v>983516694</v>
      </c>
      <c r="D1403" s="29"/>
      <c r="E1403" s="129">
        <v>43405</v>
      </c>
      <c r="F1403" s="15" t="s">
        <v>5388</v>
      </c>
      <c r="G1403" s="15" t="s">
        <v>5365</v>
      </c>
      <c r="H1403" s="15" t="s">
        <v>5389</v>
      </c>
      <c r="I1403" s="28" t="s">
        <v>5390</v>
      </c>
      <c r="J1403" s="30" t="s">
        <v>5391</v>
      </c>
      <c r="K1403" s="15">
        <f>COUNTIF(Contacts[姓名],Contacts[[#This Row],[姓名]])</f>
        <v>1</v>
      </c>
    </row>
    <row r="1404" spans="1:11" x14ac:dyDescent="0.15">
      <c r="A1404" s="28" t="s">
        <v>5393</v>
      </c>
      <c r="B1404" s="15" t="s">
        <v>5317</v>
      </c>
      <c r="D1404" s="29"/>
      <c r="E1404" s="129">
        <v>43405</v>
      </c>
      <c r="F1404" s="15" t="s">
        <v>5394</v>
      </c>
      <c r="H1404" s="15" t="s">
        <v>5395</v>
      </c>
      <c r="I1404" s="28" t="s">
        <v>5396</v>
      </c>
      <c r="J1404" s="30" t="s">
        <v>5397</v>
      </c>
      <c r="K1404" s="15">
        <f>COUNTIF(Contacts[姓名],Contacts[[#This Row],[姓名]])</f>
        <v>1</v>
      </c>
    </row>
    <row r="1405" spans="1:11" x14ac:dyDescent="0.15">
      <c r="A1405" s="28" t="s">
        <v>5403</v>
      </c>
      <c r="B1405" s="15" t="s">
        <v>5317</v>
      </c>
      <c r="C1405" s="15">
        <v>821190450</v>
      </c>
      <c r="D1405" s="29"/>
      <c r="E1405" s="129">
        <v>43405</v>
      </c>
      <c r="F1405" s="15" t="s">
        <v>5404</v>
      </c>
      <c r="G1405" s="15" t="s">
        <v>5405</v>
      </c>
      <c r="H1405" s="15" t="s">
        <v>5406</v>
      </c>
      <c r="I1405" s="28" t="s">
        <v>5407</v>
      </c>
      <c r="J1405" s="30" t="s">
        <v>5408</v>
      </c>
      <c r="K1405" s="15">
        <f>COUNTIF(Contacts[姓名],Contacts[[#This Row],[姓名]])</f>
        <v>1</v>
      </c>
    </row>
    <row r="1406" spans="1:11" x14ac:dyDescent="0.15">
      <c r="A1406" s="28" t="s">
        <v>6201</v>
      </c>
      <c r="B1406" s="15" t="s">
        <v>4379</v>
      </c>
      <c r="C1406" s="15">
        <v>751234916</v>
      </c>
      <c r="D1406" s="29"/>
      <c r="E1406" s="129">
        <v>43405</v>
      </c>
      <c r="F1406" s="15" t="s">
        <v>6202</v>
      </c>
      <c r="H1406" s="15" t="s">
        <v>6203</v>
      </c>
      <c r="I1406" s="28" t="s">
        <v>6204</v>
      </c>
      <c r="J1406" s="30" t="s">
        <v>6205</v>
      </c>
      <c r="K1406" s="15">
        <f>COUNTIF(Contacts[姓名],Contacts[[#This Row],[姓名]])</f>
        <v>1</v>
      </c>
    </row>
    <row r="1407" spans="1:11" x14ac:dyDescent="0.15">
      <c r="A1407" s="28" t="s">
        <v>6206</v>
      </c>
      <c r="B1407" s="15" t="s">
        <v>4379</v>
      </c>
      <c r="D1407" s="29"/>
      <c r="E1407" s="129">
        <v>43405</v>
      </c>
      <c r="F1407" s="15" t="s">
        <v>6207</v>
      </c>
      <c r="G1407" s="15" t="s">
        <v>6208</v>
      </c>
      <c r="H1407" s="15" t="s">
        <v>6209</v>
      </c>
      <c r="I1407" s="28"/>
      <c r="J1407" s="30"/>
      <c r="K1407" s="15">
        <f>COUNTIF(Contacts[姓名],Contacts[[#This Row],[姓名]])</f>
        <v>1</v>
      </c>
    </row>
    <row r="1408" spans="1:11" x14ac:dyDescent="0.15">
      <c r="A1408" s="28" t="s">
        <v>6210</v>
      </c>
      <c r="B1408" s="15" t="s">
        <v>4379</v>
      </c>
      <c r="D1408" s="29"/>
      <c r="E1408" s="129">
        <v>43405</v>
      </c>
      <c r="F1408" s="15" t="s">
        <v>6211</v>
      </c>
      <c r="G1408" s="15" t="s">
        <v>6212</v>
      </c>
      <c r="H1408" s="15" t="s">
        <v>6213</v>
      </c>
      <c r="I1408" s="28" t="s">
        <v>6214</v>
      </c>
      <c r="J1408" s="30"/>
      <c r="K1408" s="15">
        <f>COUNTIF(Contacts[姓名],Contacts[[#This Row],[姓名]])</f>
        <v>1</v>
      </c>
    </row>
    <row r="1409" spans="1:11" x14ac:dyDescent="0.15">
      <c r="A1409" s="28" t="s">
        <v>6215</v>
      </c>
      <c r="B1409" s="15" t="s">
        <v>4379</v>
      </c>
      <c r="C1409" s="15">
        <v>1252567993</v>
      </c>
      <c r="D1409" s="29"/>
      <c r="E1409" s="129">
        <v>43405</v>
      </c>
      <c r="F1409" s="15" t="s">
        <v>6216</v>
      </c>
      <c r="H1409" s="15" t="s">
        <v>6217</v>
      </c>
      <c r="I1409" s="28" t="s">
        <v>6218</v>
      </c>
      <c r="J1409" s="30" t="s">
        <v>6219</v>
      </c>
      <c r="K1409" s="15">
        <f>COUNTIF(Contacts[姓名],Contacts[[#This Row],[姓名]])</f>
        <v>2</v>
      </c>
    </row>
    <row r="1410" spans="1:11" x14ac:dyDescent="0.15">
      <c r="A1410" s="28" t="s">
        <v>6220</v>
      </c>
      <c r="B1410" s="15" t="s">
        <v>4379</v>
      </c>
      <c r="D1410" s="29"/>
      <c r="E1410" s="129">
        <v>43405</v>
      </c>
      <c r="F1410" s="15" t="s">
        <v>6221</v>
      </c>
      <c r="G1410" s="15" t="s">
        <v>6222</v>
      </c>
      <c r="H1410" s="15" t="s">
        <v>6223</v>
      </c>
      <c r="I1410" s="28" t="s">
        <v>6224</v>
      </c>
      <c r="J1410" s="30" t="s">
        <v>6225</v>
      </c>
      <c r="K1410" s="15">
        <f>COUNTIF(Contacts[姓名],Contacts[[#This Row],[姓名]])</f>
        <v>1</v>
      </c>
    </row>
    <row r="1411" spans="1:11" x14ac:dyDescent="0.15">
      <c r="A1411" s="28" t="s">
        <v>5569</v>
      </c>
      <c r="B1411" s="15" t="s">
        <v>4379</v>
      </c>
      <c r="D1411" s="29"/>
      <c r="E1411" s="129">
        <v>43406</v>
      </c>
      <c r="F1411" s="15" t="s">
        <v>5570</v>
      </c>
      <c r="G1411" s="15" t="s">
        <v>5571</v>
      </c>
      <c r="H1411" s="15" t="s">
        <v>5572</v>
      </c>
      <c r="I1411" s="28" t="s">
        <v>5573</v>
      </c>
      <c r="J1411" s="30" t="s">
        <v>5574</v>
      </c>
      <c r="K1411" s="15">
        <f>COUNTIF(Contacts[姓名],Contacts[[#This Row],[姓名]])</f>
        <v>1</v>
      </c>
    </row>
    <row r="1412" spans="1:11" ht="28.5" x14ac:dyDescent="0.15">
      <c r="A1412" s="28" t="s">
        <v>5666</v>
      </c>
      <c r="B1412" s="15" t="s">
        <v>5610</v>
      </c>
      <c r="C1412" s="15">
        <v>1732785781</v>
      </c>
      <c r="D1412" s="29"/>
      <c r="E1412" s="129">
        <v>43406</v>
      </c>
      <c r="F1412" s="15" t="s">
        <v>5734</v>
      </c>
      <c r="G1412" s="15" t="s">
        <v>5735</v>
      </c>
      <c r="H1412" s="15" t="s">
        <v>5736</v>
      </c>
      <c r="I1412" s="28" t="s">
        <v>5737</v>
      </c>
      <c r="J1412" s="30" t="s">
        <v>5738</v>
      </c>
      <c r="K1412" s="15">
        <f>COUNTIF(Contacts[姓名],Contacts[[#This Row],[姓名]])</f>
        <v>1</v>
      </c>
    </row>
    <row r="1413" spans="1:11" x14ac:dyDescent="0.15">
      <c r="A1413" s="28" t="s">
        <v>5663</v>
      </c>
      <c r="B1413" s="15" t="s">
        <v>5610</v>
      </c>
      <c r="C1413" s="15">
        <v>250642247</v>
      </c>
      <c r="D1413" s="29"/>
      <c r="E1413" s="129">
        <v>43406</v>
      </c>
      <c r="F1413" s="15" t="s">
        <v>5742</v>
      </c>
      <c r="G1413" s="15" t="s">
        <v>5743</v>
      </c>
      <c r="H1413" s="15" t="s">
        <v>5744</v>
      </c>
      <c r="I1413" s="28" t="s">
        <v>5745</v>
      </c>
      <c r="J1413" s="30" t="s">
        <v>5746</v>
      </c>
      <c r="K1413" s="15">
        <f>COUNTIF(Contacts[姓名],Contacts[[#This Row],[姓名]])</f>
        <v>1</v>
      </c>
    </row>
    <row r="1414" spans="1:11" ht="28.5" x14ac:dyDescent="0.15">
      <c r="A1414" s="28" t="s">
        <v>5661</v>
      </c>
      <c r="B1414" s="15" t="s">
        <v>5610</v>
      </c>
      <c r="C1414" s="15">
        <v>2684932613</v>
      </c>
      <c r="D1414" s="29"/>
      <c r="E1414" s="129">
        <v>43406</v>
      </c>
      <c r="F1414" s="15" t="s">
        <v>5747</v>
      </c>
      <c r="G1414" s="15" t="s">
        <v>5617</v>
      </c>
      <c r="H1414" s="15" t="s">
        <v>5748</v>
      </c>
      <c r="I1414" s="28" t="s">
        <v>5749</v>
      </c>
      <c r="J1414" s="30" t="s">
        <v>5750</v>
      </c>
      <c r="K1414" s="15">
        <f>COUNTIF(Contacts[姓名],Contacts[[#This Row],[姓名]])</f>
        <v>1</v>
      </c>
    </row>
    <row r="1415" spans="1:11" x14ac:dyDescent="0.15">
      <c r="A1415" s="28" t="s">
        <v>5659</v>
      </c>
      <c r="B1415" s="15" t="s">
        <v>5610</v>
      </c>
      <c r="D1415" s="29"/>
      <c r="E1415" s="129">
        <v>43406</v>
      </c>
      <c r="F1415" s="15" t="s">
        <v>5751</v>
      </c>
      <c r="G1415" s="15" t="s">
        <v>5752</v>
      </c>
      <c r="H1415" s="15" t="s">
        <v>5753</v>
      </c>
      <c r="I1415" s="28" t="s">
        <v>5754</v>
      </c>
      <c r="J1415" s="30" t="s">
        <v>5755</v>
      </c>
      <c r="K1415" s="15">
        <f>COUNTIF(Contacts[姓名],Contacts[[#This Row],[姓名]])</f>
        <v>1</v>
      </c>
    </row>
    <row r="1416" spans="1:11" x14ac:dyDescent="0.15">
      <c r="A1416" s="28" t="s">
        <v>5656</v>
      </c>
      <c r="B1416" s="15" t="s">
        <v>5610</v>
      </c>
      <c r="C1416" s="15">
        <v>1747678289</v>
      </c>
      <c r="D1416" s="29"/>
      <c r="E1416" s="129">
        <v>43406</v>
      </c>
      <c r="F1416" s="15" t="s">
        <v>5756</v>
      </c>
      <c r="G1416" s="15" t="s">
        <v>5757</v>
      </c>
      <c r="H1416" s="15" t="s">
        <v>5758</v>
      </c>
      <c r="I1416" s="28" t="s">
        <v>5759</v>
      </c>
      <c r="J1416" s="30" t="s">
        <v>5760</v>
      </c>
      <c r="K1416" s="15">
        <f>COUNTIF(Contacts[姓名],Contacts[[#This Row],[姓名]])</f>
        <v>1</v>
      </c>
    </row>
    <row r="1417" spans="1:11" x14ac:dyDescent="0.15">
      <c r="A1417" s="28" t="s">
        <v>5656</v>
      </c>
      <c r="B1417" s="15" t="s">
        <v>5610</v>
      </c>
      <c r="C1417" s="15">
        <v>5935774</v>
      </c>
      <c r="D1417" s="29"/>
      <c r="E1417" s="129">
        <v>43406</v>
      </c>
      <c r="F1417" s="15" t="s">
        <v>5761</v>
      </c>
      <c r="G1417" s="15" t="s">
        <v>5757</v>
      </c>
      <c r="H1417" s="15" t="s">
        <v>5762</v>
      </c>
      <c r="I1417" s="28" t="s">
        <v>5763</v>
      </c>
      <c r="J1417" s="30" t="s">
        <v>5764</v>
      </c>
      <c r="K1417" s="15">
        <f>COUNTIF(Contacts[姓名],Contacts[[#This Row],[姓名]])</f>
        <v>1</v>
      </c>
    </row>
    <row r="1418" spans="1:11" x14ac:dyDescent="0.15">
      <c r="A1418" s="28" t="s">
        <v>5656</v>
      </c>
      <c r="B1418" s="15" t="s">
        <v>5610</v>
      </c>
      <c r="C1418" s="15">
        <v>75259603</v>
      </c>
      <c r="D1418" s="29"/>
      <c r="E1418" s="129">
        <v>43406</v>
      </c>
      <c r="F1418" s="15" t="s">
        <v>5765</v>
      </c>
      <c r="G1418" s="15" t="s">
        <v>5766</v>
      </c>
      <c r="H1418" s="15" t="s">
        <v>5767</v>
      </c>
      <c r="I1418" s="28" t="s">
        <v>5768</v>
      </c>
      <c r="J1418" s="30" t="s">
        <v>5764</v>
      </c>
      <c r="K1418" s="15">
        <f>COUNTIF(Contacts[姓名],Contacts[[#This Row],[姓名]])</f>
        <v>1</v>
      </c>
    </row>
    <row r="1419" spans="1:11" x14ac:dyDescent="0.15">
      <c r="A1419" s="28" t="s">
        <v>5653</v>
      </c>
      <c r="B1419" s="15" t="s">
        <v>5610</v>
      </c>
      <c r="C1419" s="15">
        <v>2851570262</v>
      </c>
      <c r="D1419" s="29"/>
      <c r="E1419" s="129">
        <v>43406</v>
      </c>
      <c r="F1419" s="15" t="s">
        <v>5769</v>
      </c>
      <c r="G1419" s="15" t="s">
        <v>5770</v>
      </c>
      <c r="H1419" s="15" t="s">
        <v>5771</v>
      </c>
      <c r="I1419" s="28" t="s">
        <v>5772</v>
      </c>
      <c r="J1419" s="30" t="s">
        <v>5773</v>
      </c>
      <c r="K1419" s="15">
        <f>COUNTIF(Contacts[姓名],Contacts[[#This Row],[姓名]])</f>
        <v>1</v>
      </c>
    </row>
    <row r="1420" spans="1:11" x14ac:dyDescent="0.15">
      <c r="A1420" s="28" t="s">
        <v>5684</v>
      </c>
      <c r="B1420" s="15" t="s">
        <v>5610</v>
      </c>
      <c r="D1420" s="29"/>
      <c r="E1420" s="129">
        <v>43409</v>
      </c>
      <c r="F1420" s="15" t="s">
        <v>6183</v>
      </c>
      <c r="I1420" s="28" t="s">
        <v>5721</v>
      </c>
      <c r="J1420" s="30" t="s">
        <v>5722</v>
      </c>
      <c r="K1420" s="15">
        <f>COUNTIF(Contacts[姓名],Contacts[[#This Row],[姓名]])</f>
        <v>1</v>
      </c>
    </row>
    <row r="1421" spans="1:11" x14ac:dyDescent="0.15">
      <c r="A1421" s="28" t="s">
        <v>5696</v>
      </c>
      <c r="B1421" s="15" t="s">
        <v>5610</v>
      </c>
      <c r="D1421" s="29"/>
      <c r="E1421" s="129">
        <v>43409</v>
      </c>
      <c r="F1421" s="15" t="s">
        <v>5698</v>
      </c>
      <c r="G1421" s="15" t="s">
        <v>5699</v>
      </c>
      <c r="H1421" s="15" t="s">
        <v>5700</v>
      </c>
      <c r="I1421" s="28" t="s">
        <v>5701</v>
      </c>
      <c r="J1421" s="30" t="s">
        <v>5702</v>
      </c>
      <c r="K1421" s="15">
        <f>COUNTIF(Contacts[姓名],Contacts[[#This Row],[姓名]])</f>
        <v>1</v>
      </c>
    </row>
    <row r="1422" spans="1:11" ht="28.5" x14ac:dyDescent="0.15">
      <c r="A1422" s="28" t="s">
        <v>5693</v>
      </c>
      <c r="B1422" s="15" t="s">
        <v>5610</v>
      </c>
      <c r="C1422" s="15">
        <v>786544259</v>
      </c>
      <c r="D1422" s="29"/>
      <c r="E1422" s="129">
        <v>43409</v>
      </c>
      <c r="F1422" s="15" t="s">
        <v>5703</v>
      </c>
      <c r="G1422" s="15" t="s">
        <v>5704</v>
      </c>
      <c r="H1422" s="15" t="s">
        <v>5705</v>
      </c>
      <c r="I1422" s="28" t="s">
        <v>5706</v>
      </c>
      <c r="J1422" s="30" t="s">
        <v>5707</v>
      </c>
      <c r="K1422" s="15">
        <f>COUNTIF(Contacts[姓名],Contacts[[#This Row],[姓名]])</f>
        <v>1</v>
      </c>
    </row>
    <row r="1423" spans="1:11" x14ac:dyDescent="0.15">
      <c r="A1423" s="28" t="s">
        <v>492</v>
      </c>
      <c r="B1423" s="15" t="s">
        <v>1715</v>
      </c>
      <c r="C1423" s="15">
        <v>64240157</v>
      </c>
      <c r="D1423" s="29" t="s">
        <v>1730</v>
      </c>
      <c r="E1423" s="129">
        <v>43320</v>
      </c>
      <c r="F1423" s="15" t="s">
        <v>6191</v>
      </c>
      <c r="G1423" s="15" t="s">
        <v>2721</v>
      </c>
      <c r="H1423" s="15" t="s">
        <v>2874</v>
      </c>
      <c r="I1423" s="28" t="s">
        <v>2722</v>
      </c>
      <c r="J1423" s="30" t="s">
        <v>2723</v>
      </c>
      <c r="K1423" s="15">
        <f>COUNTIF(Contacts[姓名],Contacts[[#This Row],[姓名]])</f>
        <v>1</v>
      </c>
    </row>
    <row r="1424" spans="1:11" x14ac:dyDescent="0.15">
      <c r="A1424" s="28" t="s">
        <v>5691</v>
      </c>
      <c r="B1424" s="15" t="s">
        <v>5610</v>
      </c>
      <c r="D1424" s="29"/>
      <c r="E1424" s="129">
        <v>43409</v>
      </c>
      <c r="F1424" s="15" t="s">
        <v>5708</v>
      </c>
      <c r="G1424" s="15" t="s">
        <v>5709</v>
      </c>
      <c r="H1424" s="15" t="s">
        <v>5710</v>
      </c>
      <c r="I1424" s="28" t="s">
        <v>5711</v>
      </c>
      <c r="J1424" s="30" t="s">
        <v>5712</v>
      </c>
      <c r="K1424" s="15">
        <f>COUNTIF(Contacts[姓名],Contacts[[#This Row],[姓名]])</f>
        <v>1</v>
      </c>
    </row>
    <row r="1425" spans="1:11" x14ac:dyDescent="0.15">
      <c r="A1425" s="28" t="s">
        <v>5688</v>
      </c>
      <c r="B1425" s="15" t="s">
        <v>5610</v>
      </c>
      <c r="C1425" s="15">
        <v>1784136260</v>
      </c>
      <c r="D1425" s="29"/>
      <c r="E1425" s="129">
        <v>43409</v>
      </c>
      <c r="F1425" s="15" t="s">
        <v>5713</v>
      </c>
      <c r="G1425" s="15" t="s">
        <v>5714</v>
      </c>
      <c r="H1425" s="15" t="s">
        <v>5715</v>
      </c>
      <c r="I1425" s="28" t="s">
        <v>5716</v>
      </c>
      <c r="J1425" s="30" t="s">
        <v>5717</v>
      </c>
      <c r="K1425" s="15">
        <f>COUNTIF(Contacts[姓名],Contacts[[#This Row],[姓名]])</f>
        <v>1</v>
      </c>
    </row>
    <row r="1426" spans="1:11" x14ac:dyDescent="0.15">
      <c r="A1426" s="28" t="s">
        <v>5686</v>
      </c>
      <c r="B1426" s="15" t="s">
        <v>5610</v>
      </c>
      <c r="D1426" s="29"/>
      <c r="E1426" s="129">
        <v>43409</v>
      </c>
      <c r="F1426" s="15" t="s">
        <v>5718</v>
      </c>
      <c r="G1426" s="15" t="s">
        <v>5617</v>
      </c>
      <c r="I1426" s="28" t="s">
        <v>5719</v>
      </c>
      <c r="J1426" s="30" t="s">
        <v>5720</v>
      </c>
      <c r="K1426" s="15">
        <f>COUNTIF(Contacts[姓名],Contacts[[#This Row],[姓名]])</f>
        <v>1</v>
      </c>
    </row>
    <row r="1427" spans="1:11" ht="28.5" x14ac:dyDescent="0.15">
      <c r="A1427" s="28" t="s">
        <v>5682</v>
      </c>
      <c r="B1427" s="15" t="s">
        <v>5610</v>
      </c>
      <c r="D1427" s="29"/>
      <c r="E1427" s="129">
        <v>43409</v>
      </c>
      <c r="F1427" s="15" t="s">
        <v>5724</v>
      </c>
      <c r="G1427" s="15" t="s">
        <v>5725</v>
      </c>
      <c r="H1427" s="15" t="s">
        <v>5726</v>
      </c>
      <c r="I1427" s="28" t="s">
        <v>5727</v>
      </c>
      <c r="J1427" s="30" t="s">
        <v>6081</v>
      </c>
      <c r="K1427" s="15">
        <f>COUNTIF(Contacts[姓名],Contacts[[#This Row],[姓名]])</f>
        <v>1</v>
      </c>
    </row>
    <row r="1428" spans="1:11" x14ac:dyDescent="0.15">
      <c r="A1428" s="28" t="s">
        <v>5679</v>
      </c>
      <c r="B1428" s="15" t="s">
        <v>5610</v>
      </c>
      <c r="D1428" s="29"/>
      <c r="E1428" s="129">
        <v>43409</v>
      </c>
      <c r="F1428" s="15" t="s">
        <v>5728</v>
      </c>
      <c r="G1428" s="15" t="s">
        <v>5729</v>
      </c>
      <c r="H1428" s="15" t="s">
        <v>5730</v>
      </c>
      <c r="I1428" s="28" t="s">
        <v>5731</v>
      </c>
      <c r="J1428" s="30" t="s">
        <v>5732</v>
      </c>
      <c r="K1428" s="15">
        <f>COUNTIF(Contacts[姓名],Contacts[[#This Row],[姓名]])</f>
        <v>1</v>
      </c>
    </row>
    <row r="1429" spans="1:11" x14ac:dyDescent="0.15">
      <c r="A1429" s="28" t="s">
        <v>5675</v>
      </c>
      <c r="B1429" s="15" t="s">
        <v>5610</v>
      </c>
      <c r="C1429" s="15">
        <v>2669727841</v>
      </c>
      <c r="D1429" s="29"/>
      <c r="E1429" s="129">
        <v>43409</v>
      </c>
      <c r="F1429" s="15" t="s">
        <v>6228</v>
      </c>
      <c r="H1429" s="15" t="s">
        <v>5733</v>
      </c>
      <c r="I1429" s="28"/>
      <c r="J1429" s="30" t="s">
        <v>5103</v>
      </c>
      <c r="K1429" s="15">
        <f>COUNTIF(Contacts[姓名],Contacts[[#This Row],[姓名]])</f>
        <v>1</v>
      </c>
    </row>
    <row r="1430" spans="1:11" x14ac:dyDescent="0.15">
      <c r="A1430" s="28" t="s">
        <v>5583</v>
      </c>
      <c r="B1430" s="15" t="s">
        <v>5610</v>
      </c>
      <c r="D1430" s="29"/>
      <c r="E1430" s="129">
        <v>43410</v>
      </c>
      <c r="F1430" s="15" t="s">
        <v>5611</v>
      </c>
      <c r="G1430" s="15" t="s">
        <v>5612</v>
      </c>
      <c r="H1430" s="15" t="s">
        <v>5613</v>
      </c>
      <c r="I1430" s="28" t="s">
        <v>5614</v>
      </c>
      <c r="J1430" s="30" t="s">
        <v>5615</v>
      </c>
      <c r="K1430" s="15">
        <f>COUNTIF(Contacts[姓名],Contacts[[#This Row],[姓名]])</f>
        <v>1</v>
      </c>
    </row>
    <row r="1431" spans="1:11" x14ac:dyDescent="0.15">
      <c r="A1431" s="28" t="s">
        <v>5587</v>
      </c>
      <c r="B1431" s="15" t="s">
        <v>5610</v>
      </c>
      <c r="C1431" s="15">
        <v>3001352354</v>
      </c>
      <c r="D1431" s="29"/>
      <c r="E1431" s="129">
        <v>43410</v>
      </c>
      <c r="F1431" s="15" t="s">
        <v>5616</v>
      </c>
      <c r="G1431" s="15" t="s">
        <v>5617</v>
      </c>
      <c r="H1431" s="15" t="s">
        <v>5618</v>
      </c>
      <c r="I1431" s="28" t="s">
        <v>5619</v>
      </c>
      <c r="J1431" s="30" t="s">
        <v>5620</v>
      </c>
      <c r="K1431" s="15">
        <f>COUNTIF(Contacts[姓名],Contacts[[#This Row],[姓名]])</f>
        <v>1</v>
      </c>
    </row>
    <row r="1432" spans="1:11" x14ac:dyDescent="0.15">
      <c r="A1432" s="28" t="s">
        <v>5589</v>
      </c>
      <c r="B1432" s="15" t="s">
        <v>5610</v>
      </c>
      <c r="D1432" s="29"/>
      <c r="E1432" s="129">
        <v>43410</v>
      </c>
      <c r="F1432" s="15" t="s">
        <v>5621</v>
      </c>
      <c r="G1432" s="15" t="s">
        <v>5622</v>
      </c>
      <c r="H1432" s="15" t="s">
        <v>5623</v>
      </c>
      <c r="I1432" s="28" t="s">
        <v>5629</v>
      </c>
      <c r="J1432" s="30" t="s">
        <v>5624</v>
      </c>
      <c r="K1432" s="15">
        <f>COUNTIF(Contacts[姓名],Contacts[[#This Row],[姓名]])</f>
        <v>1</v>
      </c>
    </row>
    <row r="1433" spans="1:11" x14ac:dyDescent="0.15">
      <c r="A1433" s="28" t="s">
        <v>5592</v>
      </c>
      <c r="B1433" s="15" t="s">
        <v>5610</v>
      </c>
      <c r="C1433" s="15">
        <v>734682153</v>
      </c>
      <c r="D1433" s="29"/>
      <c r="E1433" s="129">
        <v>43410</v>
      </c>
      <c r="F1433" s="15" t="s">
        <v>5625</v>
      </c>
      <c r="G1433" s="15" t="s">
        <v>5626</v>
      </c>
      <c r="H1433" s="15" t="s">
        <v>5627</v>
      </c>
      <c r="I1433" s="28" t="s">
        <v>5628</v>
      </c>
      <c r="J1433" s="30"/>
      <c r="K1433" s="15">
        <f>COUNTIF(Contacts[姓名],Contacts[[#This Row],[姓名]])</f>
        <v>1</v>
      </c>
    </row>
    <row r="1434" spans="1:11" x14ac:dyDescent="0.15">
      <c r="A1434" s="28" t="s">
        <v>5597</v>
      </c>
      <c r="B1434" s="15" t="s">
        <v>5610</v>
      </c>
      <c r="D1434" s="29"/>
      <c r="E1434" s="129">
        <v>43410</v>
      </c>
      <c r="F1434" s="15" t="s">
        <v>5630</v>
      </c>
      <c r="G1434" s="15" t="s">
        <v>1770</v>
      </c>
      <c r="H1434" s="15" t="s">
        <v>5631</v>
      </c>
      <c r="I1434" s="28" t="s">
        <v>5632</v>
      </c>
      <c r="J1434" s="30" t="s">
        <v>5599</v>
      </c>
      <c r="K1434" s="15">
        <f>COUNTIF(Contacts[姓名],Contacts[[#This Row],[姓名]])</f>
        <v>1</v>
      </c>
    </row>
    <row r="1435" spans="1:11" x14ac:dyDescent="0.15">
      <c r="A1435" s="28" t="s">
        <v>5778</v>
      </c>
      <c r="B1435" s="15" t="s">
        <v>5610</v>
      </c>
      <c r="C1435" s="15">
        <v>287924035</v>
      </c>
      <c r="D1435" s="29"/>
      <c r="E1435" s="129" t="s">
        <v>5709</v>
      </c>
      <c r="F1435" s="15" t="s">
        <v>5779</v>
      </c>
      <c r="H1435" s="15" t="s">
        <v>5780</v>
      </c>
      <c r="I1435" s="28" t="s">
        <v>5781</v>
      </c>
      <c r="J1435" s="30" t="s">
        <v>5782</v>
      </c>
      <c r="K1435" s="15">
        <f>COUNTIF(Contacts[姓名],Contacts[[#This Row],[姓名]])</f>
        <v>1</v>
      </c>
    </row>
    <row r="1436" spans="1:11" ht="28.5" x14ac:dyDescent="0.15">
      <c r="A1436" s="28" t="s">
        <v>5600</v>
      </c>
      <c r="B1436" s="15" t="s">
        <v>5610</v>
      </c>
      <c r="D1436" s="29"/>
      <c r="E1436" s="129">
        <v>43410</v>
      </c>
      <c r="F1436" s="15" t="s">
        <v>5633</v>
      </c>
      <c r="G1436" s="15" t="s">
        <v>5634</v>
      </c>
      <c r="H1436" s="15" t="s">
        <v>5635</v>
      </c>
      <c r="I1436" s="28" t="s">
        <v>5636</v>
      </c>
      <c r="J1436" s="30" t="s">
        <v>5637</v>
      </c>
      <c r="K1436" s="15">
        <f>COUNTIF(Contacts[姓名],Contacts[[#This Row],[姓名]])</f>
        <v>1</v>
      </c>
    </row>
    <row r="1437" spans="1:11" x14ac:dyDescent="0.15">
      <c r="A1437" s="28" t="s">
        <v>5603</v>
      </c>
      <c r="B1437" s="15" t="s">
        <v>5610</v>
      </c>
      <c r="D1437" s="29"/>
      <c r="E1437" s="129">
        <v>43410</v>
      </c>
      <c r="F1437" s="15" t="s">
        <v>5638</v>
      </c>
      <c r="G1437" s="15" t="s">
        <v>5639</v>
      </c>
      <c r="H1437" s="15" t="s">
        <v>5640</v>
      </c>
      <c r="I1437" s="28" t="s">
        <v>5641</v>
      </c>
      <c r="J1437" s="30"/>
      <c r="K1437" s="15">
        <f>COUNTIF(Contacts[姓名],Contacts[[#This Row],[姓名]])</f>
        <v>1</v>
      </c>
    </row>
    <row r="1438" spans="1:11" x14ac:dyDescent="0.15">
      <c r="A1438" s="28" t="s">
        <v>5608</v>
      </c>
      <c r="B1438" s="15" t="s">
        <v>5610</v>
      </c>
      <c r="C1438" s="15">
        <v>927893709</v>
      </c>
      <c r="D1438" s="29"/>
      <c r="E1438" s="129">
        <v>43410</v>
      </c>
      <c r="F1438" s="15" t="s">
        <v>5644</v>
      </c>
      <c r="G1438" s="15" t="s">
        <v>5645</v>
      </c>
      <c r="H1438" s="15" t="s">
        <v>5646</v>
      </c>
      <c r="I1438" s="28" t="s">
        <v>5647</v>
      </c>
      <c r="J1438" s="30"/>
      <c r="K1438" s="15">
        <f>COUNTIF(Contacts[姓名],Contacts[[#This Row],[姓名]])</f>
        <v>1</v>
      </c>
    </row>
    <row r="1439" spans="1:11" x14ac:dyDescent="0.15">
      <c r="A1439" s="28" t="s">
        <v>5605</v>
      </c>
      <c r="B1439" s="15" t="s">
        <v>5610</v>
      </c>
      <c r="C1439" s="15">
        <v>2943608332</v>
      </c>
      <c r="D1439" s="29"/>
      <c r="E1439" s="129">
        <v>43410</v>
      </c>
      <c r="F1439" s="15" t="s">
        <v>6192</v>
      </c>
      <c r="G1439" s="15" t="s">
        <v>5634</v>
      </c>
      <c r="H1439" s="15" t="s">
        <v>5642</v>
      </c>
      <c r="I1439" s="28" t="s">
        <v>5643</v>
      </c>
      <c r="J1439" s="30" t="s">
        <v>6320</v>
      </c>
      <c r="K1439" s="15">
        <f>COUNTIF(Contacts[姓名],Contacts[[#This Row],[姓名]])</f>
        <v>1</v>
      </c>
    </row>
    <row r="1440" spans="1:11" x14ac:dyDescent="0.15">
      <c r="A1440" s="28" t="s">
        <v>5814</v>
      </c>
      <c r="B1440" s="15" t="s">
        <v>4379</v>
      </c>
      <c r="C1440" s="15">
        <v>2461931909</v>
      </c>
      <c r="D1440" s="29"/>
      <c r="E1440" s="129">
        <v>43412</v>
      </c>
      <c r="F1440" s="15" t="s">
        <v>5821</v>
      </c>
      <c r="G1440" s="15" t="s">
        <v>5822</v>
      </c>
      <c r="H1440" s="15" t="s">
        <v>5823</v>
      </c>
      <c r="I1440" s="28" t="s">
        <v>5824</v>
      </c>
      <c r="J1440" s="30" t="s">
        <v>5816</v>
      </c>
      <c r="K1440" s="15">
        <f>COUNTIF(Contacts[姓名],Contacts[[#This Row],[姓名]])</f>
        <v>1</v>
      </c>
    </row>
    <row r="1441" spans="1:11" x14ac:dyDescent="0.15">
      <c r="A1441" s="28" t="s">
        <v>5817</v>
      </c>
      <c r="B1441" s="15" t="s">
        <v>4379</v>
      </c>
      <c r="C1441" s="15">
        <v>87261620</v>
      </c>
      <c r="D1441" s="29"/>
      <c r="E1441" s="129">
        <v>43412</v>
      </c>
      <c r="F1441" s="15" t="s">
        <v>5825</v>
      </c>
      <c r="H1441" s="15" t="s">
        <v>5826</v>
      </c>
      <c r="I1441" s="28" t="s">
        <v>5827</v>
      </c>
      <c r="J1441" s="30"/>
      <c r="K1441" s="15">
        <f>COUNTIF(Contacts[姓名],Contacts[[#This Row],[姓名]])</f>
        <v>1</v>
      </c>
    </row>
    <row r="1442" spans="1:11" x14ac:dyDescent="0.15">
      <c r="A1442" s="28" t="s">
        <v>5819</v>
      </c>
      <c r="B1442" s="15" t="s">
        <v>4379</v>
      </c>
      <c r="C1442" s="15">
        <v>445660240</v>
      </c>
      <c r="D1442" s="29"/>
      <c r="E1442" s="129">
        <v>43412</v>
      </c>
      <c r="F1442" s="15" t="s">
        <v>5828</v>
      </c>
      <c r="I1442" s="28"/>
      <c r="J1442" s="30" t="s">
        <v>5829</v>
      </c>
      <c r="K1442" s="15">
        <f>COUNTIF(Contacts[姓名],Contacts[[#This Row],[姓名]])</f>
        <v>1</v>
      </c>
    </row>
    <row r="1443" spans="1:11" x14ac:dyDescent="0.15">
      <c r="A1443" s="28" t="s">
        <v>6062</v>
      </c>
      <c r="B1443" s="15" t="s">
        <v>6006</v>
      </c>
      <c r="C1443" s="15">
        <v>914638428</v>
      </c>
      <c r="D1443" s="29"/>
      <c r="E1443" s="129">
        <v>43412</v>
      </c>
      <c r="F1443" s="15" t="s">
        <v>6063</v>
      </c>
      <c r="G1443" s="15" t="s">
        <v>6064</v>
      </c>
      <c r="H1443" s="15" t="s">
        <v>6065</v>
      </c>
      <c r="I1443" s="28" t="s">
        <v>6066</v>
      </c>
      <c r="J1443" s="30"/>
      <c r="K1443" s="15">
        <f>COUNTIF(Contacts[姓名],Contacts[[#This Row],[姓名]])</f>
        <v>1</v>
      </c>
    </row>
    <row r="1444" spans="1:11" ht="28.5" x14ac:dyDescent="0.15">
      <c r="A1444" s="28" t="s">
        <v>5902</v>
      </c>
      <c r="B1444" s="15" t="s">
        <v>4379</v>
      </c>
      <c r="C1444" s="15">
        <v>158772220</v>
      </c>
      <c r="D1444" s="29"/>
      <c r="E1444" s="129">
        <v>43413</v>
      </c>
      <c r="F1444" s="15" t="s">
        <v>5935</v>
      </c>
      <c r="G1444" s="15" t="s">
        <v>5936</v>
      </c>
      <c r="H1444" s="15" t="s">
        <v>5937</v>
      </c>
      <c r="I1444" s="28" t="s">
        <v>5938</v>
      </c>
      <c r="J1444" s="30" t="s">
        <v>5939</v>
      </c>
      <c r="K1444" s="15">
        <f>COUNTIF(Contacts[姓名],Contacts[[#This Row],[姓名]])</f>
        <v>1</v>
      </c>
    </row>
    <row r="1445" spans="1:11" x14ac:dyDescent="0.15">
      <c r="A1445" s="28" t="s">
        <v>5899</v>
      </c>
      <c r="B1445" s="15" t="s">
        <v>4379</v>
      </c>
      <c r="C1445" s="15">
        <v>405777801</v>
      </c>
      <c r="D1445" s="29"/>
      <c r="E1445" s="129">
        <v>43413</v>
      </c>
      <c r="F1445" s="15" t="s">
        <v>5940</v>
      </c>
      <c r="H1445" s="15" t="s">
        <v>5941</v>
      </c>
      <c r="I1445" s="28" t="s">
        <v>5942</v>
      </c>
      <c r="J1445" s="30" t="s">
        <v>5901</v>
      </c>
      <c r="K1445" s="15">
        <f>COUNTIF(Contacts[姓名],Contacts[[#This Row],[姓名]])</f>
        <v>1</v>
      </c>
    </row>
    <row r="1446" spans="1:11" x14ac:dyDescent="0.15">
      <c r="A1446" s="28" t="s">
        <v>5896</v>
      </c>
      <c r="B1446" s="15" t="s">
        <v>4379</v>
      </c>
      <c r="D1446" s="29"/>
      <c r="E1446" s="129">
        <v>43413</v>
      </c>
      <c r="F1446" s="15" t="s">
        <v>5943</v>
      </c>
      <c r="G1446" s="15" t="s">
        <v>5944</v>
      </c>
      <c r="H1446" s="15" t="s">
        <v>5945</v>
      </c>
      <c r="I1446" s="28" t="s">
        <v>5946</v>
      </c>
      <c r="J1446" s="30" t="s">
        <v>5947</v>
      </c>
      <c r="K1446" s="15">
        <f>COUNTIF(Contacts[姓名],Contacts[[#This Row],[姓名]])</f>
        <v>1</v>
      </c>
    </row>
    <row r="1447" spans="1:11" x14ac:dyDescent="0.15">
      <c r="A1447" s="28" t="s">
        <v>5892</v>
      </c>
      <c r="B1447" s="15" t="s">
        <v>4379</v>
      </c>
      <c r="C1447" s="15">
        <v>6902469</v>
      </c>
      <c r="D1447" s="29"/>
      <c r="E1447" s="129">
        <v>43413</v>
      </c>
      <c r="F1447" s="15" t="s">
        <v>5948</v>
      </c>
      <c r="G1447" s="15" t="s">
        <v>5944</v>
      </c>
      <c r="H1447" s="15" t="s">
        <v>5949</v>
      </c>
      <c r="I1447" s="28" t="s">
        <v>5950</v>
      </c>
      <c r="J1447" s="30" t="s">
        <v>5586</v>
      </c>
      <c r="K1447" s="15">
        <f>COUNTIF(Contacts[姓名],Contacts[[#This Row],[姓名]])</f>
        <v>1</v>
      </c>
    </row>
    <row r="1448" spans="1:11" x14ac:dyDescent="0.15">
      <c r="A1448" s="28" t="s">
        <v>5890</v>
      </c>
      <c r="B1448" s="15" t="s">
        <v>4379</v>
      </c>
      <c r="D1448" s="29"/>
      <c r="E1448" s="129">
        <v>43413</v>
      </c>
      <c r="F1448" s="15" t="s">
        <v>5951</v>
      </c>
      <c r="G1448" s="15" t="s">
        <v>5952</v>
      </c>
      <c r="H1448" s="15" t="s">
        <v>5953</v>
      </c>
      <c r="I1448" s="28" t="s">
        <v>5954</v>
      </c>
      <c r="J1448" s="30" t="s">
        <v>5955</v>
      </c>
      <c r="K1448" s="15">
        <f>COUNTIF(Contacts[姓名],Contacts[[#This Row],[姓名]])</f>
        <v>1</v>
      </c>
    </row>
    <row r="1449" spans="1:11" x14ac:dyDescent="0.15">
      <c r="A1449" s="28" t="s">
        <v>5888</v>
      </c>
      <c r="B1449" s="15" t="s">
        <v>4379</v>
      </c>
      <c r="D1449" s="29"/>
      <c r="E1449" s="129">
        <v>43413</v>
      </c>
      <c r="F1449" s="15" t="s">
        <v>5956</v>
      </c>
      <c r="G1449" s="15" t="s">
        <v>5957</v>
      </c>
      <c r="H1449" s="15" t="s">
        <v>5958</v>
      </c>
      <c r="I1449" s="28" t="s">
        <v>5959</v>
      </c>
      <c r="J1449" s="30"/>
      <c r="K1449" s="15">
        <f>COUNTIF(Contacts[姓名],Contacts[[#This Row],[姓名]])</f>
        <v>1</v>
      </c>
    </row>
    <row r="1450" spans="1:11" x14ac:dyDescent="0.15">
      <c r="A1450" s="28" t="s">
        <v>5886</v>
      </c>
      <c r="B1450" s="15" t="s">
        <v>4379</v>
      </c>
      <c r="D1450" s="29"/>
      <c r="E1450" s="129">
        <v>43413</v>
      </c>
      <c r="F1450" s="15" t="s">
        <v>5960</v>
      </c>
      <c r="G1450" s="15" t="s">
        <v>5957</v>
      </c>
      <c r="H1450" s="15" t="s">
        <v>5961</v>
      </c>
      <c r="I1450" s="28" t="s">
        <v>5962</v>
      </c>
      <c r="J1450" s="30"/>
      <c r="K1450" s="15">
        <f>COUNTIF(Contacts[姓名],Contacts[[#This Row],[姓名]])</f>
        <v>1</v>
      </c>
    </row>
    <row r="1451" spans="1:11" x14ac:dyDescent="0.15">
      <c r="A1451" s="28" t="s">
        <v>5884</v>
      </c>
      <c r="B1451" s="15" t="s">
        <v>4379</v>
      </c>
      <c r="C1451" s="15">
        <v>3267633860</v>
      </c>
      <c r="D1451" s="29"/>
      <c r="E1451" s="129">
        <v>43413</v>
      </c>
      <c r="F1451" s="15" t="s">
        <v>5963</v>
      </c>
      <c r="G1451" s="15" t="s">
        <v>5964</v>
      </c>
      <c r="H1451" s="15" t="s">
        <v>5965</v>
      </c>
      <c r="I1451" s="28" t="s">
        <v>5966</v>
      </c>
      <c r="J1451" s="30"/>
      <c r="K1451" s="15">
        <f>COUNTIF(Contacts[姓名],Contacts[[#This Row],[姓名]])</f>
        <v>1</v>
      </c>
    </row>
    <row r="1452" spans="1:11" x14ac:dyDescent="0.15">
      <c r="A1452" s="28" t="s">
        <v>5882</v>
      </c>
      <c r="B1452" s="15" t="s">
        <v>4379</v>
      </c>
      <c r="C1452" s="15">
        <v>1987801405</v>
      </c>
      <c r="D1452" s="29"/>
      <c r="E1452" s="129">
        <v>43413</v>
      </c>
      <c r="F1452" s="15" t="s">
        <v>5967</v>
      </c>
      <c r="G1452" s="15" t="s">
        <v>5944</v>
      </c>
      <c r="H1452" s="15" t="s">
        <v>5968</v>
      </c>
      <c r="I1452" s="28" t="s">
        <v>5969</v>
      </c>
      <c r="J1452" s="30"/>
      <c r="K1452" s="15">
        <f>COUNTIF(Contacts[姓名],Contacts[[#This Row],[姓名]])</f>
        <v>1</v>
      </c>
    </row>
    <row r="1453" spans="1:11" x14ac:dyDescent="0.15">
      <c r="A1453" s="28" t="s">
        <v>5880</v>
      </c>
      <c r="B1453" s="15" t="s">
        <v>4379</v>
      </c>
      <c r="D1453" s="29"/>
      <c r="E1453" s="129">
        <v>43413</v>
      </c>
      <c r="F1453" s="15" t="s">
        <v>5970</v>
      </c>
      <c r="H1453" s="15" t="s">
        <v>5971</v>
      </c>
      <c r="I1453" s="28" t="s">
        <v>5972</v>
      </c>
      <c r="J1453" s="30"/>
      <c r="K1453" s="15">
        <f>COUNTIF(Contacts[姓名],Contacts[[#This Row],[姓名]])</f>
        <v>1</v>
      </c>
    </row>
    <row r="1454" spans="1:11" x14ac:dyDescent="0.15">
      <c r="A1454" s="28" t="s">
        <v>5878</v>
      </c>
      <c r="B1454" s="15" t="s">
        <v>4379</v>
      </c>
      <c r="C1454" s="15">
        <v>1224031008</v>
      </c>
      <c r="D1454" s="29"/>
      <c r="E1454" s="129">
        <v>43413</v>
      </c>
      <c r="F1454" s="15" t="s">
        <v>5973</v>
      </c>
      <c r="H1454" s="15" t="s">
        <v>5974</v>
      </c>
      <c r="I1454" s="28" t="s">
        <v>5975</v>
      </c>
      <c r="J1454" s="30" t="s">
        <v>5976</v>
      </c>
      <c r="K1454" s="15">
        <f>COUNTIF(Contacts[姓名],Contacts[[#This Row],[姓名]])</f>
        <v>1</v>
      </c>
    </row>
    <row r="1455" spans="1:11" x14ac:dyDescent="0.15">
      <c r="A1455" s="28" t="s">
        <v>5875</v>
      </c>
      <c r="B1455" s="15" t="s">
        <v>4379</v>
      </c>
      <c r="C1455" s="15">
        <v>2972349517</v>
      </c>
      <c r="D1455" s="29"/>
      <c r="E1455" s="129">
        <v>43413</v>
      </c>
      <c r="F1455" s="15" t="s">
        <v>5977</v>
      </c>
      <c r="G1455" s="15" t="s">
        <v>5978</v>
      </c>
      <c r="I1455" s="28"/>
      <c r="J1455" s="30" t="s">
        <v>5979</v>
      </c>
      <c r="K1455" s="15">
        <f>COUNTIF(Contacts[姓名],Contacts[[#This Row],[姓名]])</f>
        <v>1</v>
      </c>
    </row>
    <row r="1456" spans="1:11" ht="28.5" x14ac:dyDescent="0.15">
      <c r="A1456" s="28" t="s">
        <v>5875</v>
      </c>
      <c r="B1456" s="15" t="s">
        <v>4379</v>
      </c>
      <c r="C1456" s="15">
        <v>467695292</v>
      </c>
      <c r="D1456" s="29"/>
      <c r="E1456" s="129">
        <v>43413</v>
      </c>
      <c r="F1456" s="15" t="s">
        <v>5980</v>
      </c>
      <c r="I1456" s="28"/>
      <c r="J1456" s="30" t="s">
        <v>6227</v>
      </c>
      <c r="K1456" s="15">
        <f>COUNTIF(Contacts[姓名],Contacts[[#This Row],[姓名]])</f>
        <v>1</v>
      </c>
    </row>
    <row r="1457" spans="1:11" x14ac:dyDescent="0.15">
      <c r="A1457" s="28" t="s">
        <v>5874</v>
      </c>
      <c r="B1457" s="15" t="s">
        <v>4379</v>
      </c>
      <c r="C1457" s="15">
        <v>408740305</v>
      </c>
      <c r="D1457" s="29"/>
      <c r="E1457" s="129">
        <v>43413</v>
      </c>
      <c r="F1457" s="15" t="s">
        <v>5984</v>
      </c>
      <c r="I1457" s="28"/>
      <c r="J1457" s="30"/>
      <c r="K1457" s="15">
        <f>COUNTIF(Contacts[姓名],Contacts[[#This Row],[姓名]])</f>
        <v>1</v>
      </c>
    </row>
    <row r="1458" spans="1:11" x14ac:dyDescent="0.15">
      <c r="A1458" s="28" t="s">
        <v>5873</v>
      </c>
      <c r="B1458" s="15" t="s">
        <v>4379</v>
      </c>
      <c r="D1458" s="29"/>
      <c r="E1458" s="129">
        <v>43413</v>
      </c>
      <c r="F1458" s="15" t="s">
        <v>5985</v>
      </c>
      <c r="G1458" s="15" t="s">
        <v>5986</v>
      </c>
      <c r="H1458" s="15" t="s">
        <v>5987</v>
      </c>
      <c r="I1458" s="28" t="s">
        <v>5988</v>
      </c>
      <c r="J1458" s="30" t="s">
        <v>5989</v>
      </c>
      <c r="K1458" s="15">
        <f>COUNTIF(Contacts[姓名],Contacts[[#This Row],[姓名]])</f>
        <v>1</v>
      </c>
    </row>
    <row r="1459" spans="1:11" x14ac:dyDescent="0.15">
      <c r="A1459" s="28" t="s">
        <v>5871</v>
      </c>
      <c r="B1459" s="15" t="s">
        <v>4379</v>
      </c>
      <c r="C1459" s="15">
        <v>2926006602</v>
      </c>
      <c r="D1459" s="29"/>
      <c r="E1459" s="129">
        <v>43413</v>
      </c>
      <c r="F1459" s="15" t="s">
        <v>5990</v>
      </c>
      <c r="I1459" s="28" t="s">
        <v>5992</v>
      </c>
      <c r="J1459" s="30" t="s">
        <v>5991</v>
      </c>
      <c r="K1459" s="15">
        <f>COUNTIF(Contacts[姓名],Contacts[[#This Row],[姓名]])</f>
        <v>1</v>
      </c>
    </row>
    <row r="1460" spans="1:11" x14ac:dyDescent="0.15">
      <c r="A1460" s="28" t="s">
        <v>5869</v>
      </c>
      <c r="B1460" s="15" t="s">
        <v>4379</v>
      </c>
      <c r="D1460" s="29"/>
      <c r="E1460" s="129">
        <v>43413</v>
      </c>
      <c r="F1460" s="15" t="s">
        <v>5993</v>
      </c>
      <c r="G1460" s="15" t="s">
        <v>5944</v>
      </c>
      <c r="H1460" s="15" t="s">
        <v>5994</v>
      </c>
      <c r="I1460" s="28" t="s">
        <v>5995</v>
      </c>
      <c r="J1460" s="30" t="s">
        <v>5996</v>
      </c>
      <c r="K1460" s="15">
        <f>COUNTIF(Contacts[姓名],Contacts[[#This Row],[姓名]])</f>
        <v>1</v>
      </c>
    </row>
    <row r="1461" spans="1:11" x14ac:dyDescent="0.15">
      <c r="A1461" s="28" t="s">
        <v>5868</v>
      </c>
      <c r="B1461" s="15" t="s">
        <v>4379</v>
      </c>
      <c r="C1461" s="15">
        <v>704506374</v>
      </c>
      <c r="D1461" s="29"/>
      <c r="E1461" s="129">
        <v>43413</v>
      </c>
      <c r="F1461" s="15" t="s">
        <v>5997</v>
      </c>
      <c r="G1461" s="15" t="s">
        <v>5957</v>
      </c>
      <c r="H1461" s="15" t="s">
        <v>5998</v>
      </c>
      <c r="I1461" s="28" t="s">
        <v>5999</v>
      </c>
      <c r="J1461" s="30"/>
      <c r="K1461" s="15">
        <f>COUNTIF(Contacts[姓名],Contacts[[#This Row],[姓名]])</f>
        <v>1</v>
      </c>
    </row>
    <row r="1462" spans="1:11" x14ac:dyDescent="0.15">
      <c r="A1462" s="28" t="s">
        <v>5866</v>
      </c>
      <c r="B1462" s="15" t="s">
        <v>4379</v>
      </c>
      <c r="C1462" s="15">
        <v>414506554</v>
      </c>
      <c r="D1462" s="29"/>
      <c r="E1462" s="129">
        <v>43413</v>
      </c>
      <c r="F1462" s="15" t="s">
        <v>6000</v>
      </c>
      <c r="G1462" s="15" t="s">
        <v>6001</v>
      </c>
      <c r="H1462" s="15" t="s">
        <v>6002</v>
      </c>
      <c r="I1462" s="28" t="s">
        <v>6003</v>
      </c>
      <c r="J1462" s="30" t="s">
        <v>6004</v>
      </c>
      <c r="K1462" s="15">
        <f>COUNTIF(Contacts[姓名],Contacts[[#This Row],[姓名]])</f>
        <v>1</v>
      </c>
    </row>
    <row r="1463" spans="1:11" x14ac:dyDescent="0.15">
      <c r="A1463" s="28" t="s">
        <v>5865</v>
      </c>
      <c r="B1463" s="15" t="s">
        <v>4379</v>
      </c>
      <c r="C1463" s="15">
        <v>736643131</v>
      </c>
      <c r="D1463" s="29"/>
      <c r="E1463" s="129">
        <v>43413</v>
      </c>
      <c r="F1463" s="15" t="s">
        <v>6005</v>
      </c>
      <c r="I1463" s="28"/>
      <c r="J1463" s="30"/>
      <c r="K1463" s="15">
        <f>COUNTIF(Contacts[姓名],Contacts[[#This Row],[姓名]])</f>
        <v>1</v>
      </c>
    </row>
    <row r="1464" spans="1:11" x14ac:dyDescent="0.15">
      <c r="A1464" s="28" t="s">
        <v>5864</v>
      </c>
      <c r="B1464" s="15" t="s">
        <v>6006</v>
      </c>
      <c r="C1464" s="15">
        <v>602972576</v>
      </c>
      <c r="D1464" s="29"/>
      <c r="E1464" s="129">
        <v>43413</v>
      </c>
      <c r="F1464" s="15" t="s">
        <v>5844</v>
      </c>
      <c r="G1464" s="15" t="s">
        <v>5936</v>
      </c>
      <c r="I1464" s="28" t="s">
        <v>6007</v>
      </c>
      <c r="J1464" s="30" t="s">
        <v>6008</v>
      </c>
      <c r="K1464" s="15">
        <f>COUNTIF(Contacts[姓名],Contacts[[#This Row],[姓名]])</f>
        <v>1</v>
      </c>
    </row>
    <row r="1465" spans="1:11" x14ac:dyDescent="0.15">
      <c r="A1465" s="28" t="s">
        <v>5863</v>
      </c>
      <c r="B1465" s="15" t="s">
        <v>6006</v>
      </c>
      <c r="C1465" s="15">
        <v>740413140</v>
      </c>
      <c r="D1465" s="29"/>
      <c r="E1465" s="129">
        <v>43413</v>
      </c>
      <c r="F1465" s="15" t="s">
        <v>6009</v>
      </c>
      <c r="G1465" s="15" t="s">
        <v>5936</v>
      </c>
      <c r="H1465" s="15" t="s">
        <v>6010</v>
      </c>
      <c r="I1465" s="28" t="s">
        <v>6011</v>
      </c>
      <c r="J1465" s="30"/>
      <c r="K1465" s="15">
        <f>COUNTIF(Contacts[姓名],Contacts[[#This Row],[姓名]])</f>
        <v>1</v>
      </c>
    </row>
    <row r="1466" spans="1:11" x14ac:dyDescent="0.15">
      <c r="A1466" s="28" t="s">
        <v>5863</v>
      </c>
      <c r="B1466" s="15" t="s">
        <v>6006</v>
      </c>
      <c r="C1466" s="15">
        <v>57360719</v>
      </c>
      <c r="D1466" s="29"/>
      <c r="E1466" s="129">
        <v>43413</v>
      </c>
      <c r="F1466" s="15" t="s">
        <v>6012</v>
      </c>
      <c r="G1466" s="15" t="s">
        <v>6013</v>
      </c>
      <c r="I1466" s="28"/>
      <c r="J1466" s="30" t="s">
        <v>6014</v>
      </c>
      <c r="K1466" s="15">
        <f>COUNTIF(Contacts[姓名],Contacts[[#This Row],[姓名]])</f>
        <v>1</v>
      </c>
    </row>
    <row r="1467" spans="1:11" x14ac:dyDescent="0.15">
      <c r="A1467" s="28" t="s">
        <v>5862</v>
      </c>
      <c r="B1467" s="15" t="s">
        <v>6006</v>
      </c>
      <c r="C1467" s="15">
        <v>170393469</v>
      </c>
      <c r="D1467" s="29"/>
      <c r="E1467" s="129">
        <v>43413</v>
      </c>
      <c r="F1467" s="15" t="s">
        <v>6015</v>
      </c>
      <c r="H1467" s="15" t="s">
        <v>6016</v>
      </c>
      <c r="I1467" s="28" t="s">
        <v>6017</v>
      </c>
      <c r="J1467" s="30" t="s">
        <v>6018</v>
      </c>
      <c r="K1467" s="15">
        <f>COUNTIF(Contacts[姓名],Contacts[[#This Row],[姓名]])</f>
        <v>1</v>
      </c>
    </row>
    <row r="1468" spans="1:11" x14ac:dyDescent="0.15">
      <c r="A1468" s="28" t="s">
        <v>5858</v>
      </c>
      <c r="B1468" s="15" t="s">
        <v>6006</v>
      </c>
      <c r="C1468" s="15">
        <v>997369314</v>
      </c>
      <c r="D1468" s="29"/>
      <c r="E1468" s="129">
        <v>43413</v>
      </c>
      <c r="F1468" s="15" t="s">
        <v>6019</v>
      </c>
      <c r="G1468" s="15" t="s">
        <v>6020</v>
      </c>
      <c r="H1468" s="15" t="s">
        <v>6021</v>
      </c>
      <c r="I1468" s="28" t="s">
        <v>6022</v>
      </c>
      <c r="J1468" s="30" t="s">
        <v>6023</v>
      </c>
      <c r="K1468" s="15">
        <f>COUNTIF(Contacts[姓名],Contacts[[#This Row],[姓名]])</f>
        <v>1</v>
      </c>
    </row>
    <row r="1469" spans="1:11" x14ac:dyDescent="0.15">
      <c r="A1469" s="28" t="s">
        <v>5856</v>
      </c>
      <c r="B1469" s="15" t="s">
        <v>6006</v>
      </c>
      <c r="C1469" s="15">
        <v>389940615</v>
      </c>
      <c r="D1469" s="29"/>
      <c r="E1469" s="129">
        <v>43413</v>
      </c>
      <c r="F1469" s="15" t="s">
        <v>6024</v>
      </c>
      <c r="G1469" s="15" t="s">
        <v>5986</v>
      </c>
      <c r="H1469" s="15" t="s">
        <v>6025</v>
      </c>
      <c r="I1469" s="28" t="s">
        <v>6026</v>
      </c>
      <c r="J1469" s="30" t="s">
        <v>5857</v>
      </c>
      <c r="K1469" s="15">
        <f>COUNTIF(Contacts[姓名],Contacts[[#This Row],[姓名]])</f>
        <v>1</v>
      </c>
    </row>
    <row r="1470" spans="1:11" x14ac:dyDescent="0.15">
      <c r="A1470" s="28" t="s">
        <v>5854</v>
      </c>
      <c r="B1470" s="15" t="s">
        <v>6006</v>
      </c>
      <c r="D1470" s="29"/>
      <c r="E1470" s="129">
        <v>43413</v>
      </c>
      <c r="F1470" s="15" t="s">
        <v>6027</v>
      </c>
      <c r="G1470" s="15" t="s">
        <v>6028</v>
      </c>
      <c r="H1470" s="15" t="s">
        <v>6029</v>
      </c>
      <c r="I1470" s="28" t="s">
        <v>6030</v>
      </c>
      <c r="J1470" s="30" t="s">
        <v>6031</v>
      </c>
      <c r="K1470" s="15">
        <f>COUNTIF(Contacts[姓名],Contacts[[#This Row],[姓名]])</f>
        <v>1</v>
      </c>
    </row>
    <row r="1471" spans="1:11" x14ac:dyDescent="0.15">
      <c r="A1471" s="28" t="s">
        <v>5852</v>
      </c>
      <c r="B1471" s="15" t="s">
        <v>6006</v>
      </c>
      <c r="C1471" s="15">
        <v>1370049892</v>
      </c>
      <c r="D1471" s="29"/>
      <c r="E1471" s="129">
        <v>43413</v>
      </c>
      <c r="F1471" s="15" t="s">
        <v>6032</v>
      </c>
      <c r="I1471" s="28" t="s">
        <v>6033</v>
      </c>
      <c r="J1471" s="30" t="s">
        <v>6034</v>
      </c>
      <c r="K1471" s="15">
        <f>COUNTIF(Contacts[姓名],Contacts[[#This Row],[姓名]])</f>
        <v>1</v>
      </c>
    </row>
    <row r="1472" spans="1:11" x14ac:dyDescent="0.15">
      <c r="A1472" s="28" t="s">
        <v>5851</v>
      </c>
      <c r="B1472" s="15" t="s">
        <v>6006</v>
      </c>
      <c r="C1472" s="15">
        <v>393504042</v>
      </c>
      <c r="D1472" s="29"/>
      <c r="E1472" s="129">
        <v>43413</v>
      </c>
      <c r="F1472" s="15" t="s">
        <v>6226</v>
      </c>
      <c r="H1472" s="15" t="s">
        <v>6035</v>
      </c>
      <c r="I1472" s="28"/>
      <c r="J1472" s="30" t="s">
        <v>6036</v>
      </c>
      <c r="K1472" s="15">
        <f>COUNTIF(Contacts[姓名],Contacts[[#This Row],[姓名]])</f>
        <v>1</v>
      </c>
    </row>
    <row r="1473" spans="1:11" x14ac:dyDescent="0.15">
      <c r="A1473" s="28" t="s">
        <v>5850</v>
      </c>
      <c r="B1473" s="15" t="s">
        <v>6006</v>
      </c>
      <c r="C1473" s="15">
        <v>51534427</v>
      </c>
      <c r="D1473" s="29"/>
      <c r="E1473" s="129">
        <v>43413</v>
      </c>
      <c r="F1473" s="15" t="s">
        <v>6037</v>
      </c>
      <c r="I1473" s="28" t="s">
        <v>6038</v>
      </c>
      <c r="J1473" s="30" t="s">
        <v>6039</v>
      </c>
      <c r="K1473" s="15">
        <f>COUNTIF(Contacts[姓名],Contacts[[#This Row],[姓名]])</f>
        <v>1</v>
      </c>
    </row>
    <row r="1474" spans="1:11" x14ac:dyDescent="0.15">
      <c r="A1474" s="28" t="s">
        <v>5848</v>
      </c>
      <c r="B1474" s="15" t="s">
        <v>6006</v>
      </c>
      <c r="C1474" s="15">
        <v>86201927</v>
      </c>
      <c r="D1474" s="29"/>
      <c r="E1474" s="129">
        <v>43413</v>
      </c>
      <c r="F1474" s="15" t="s">
        <v>6040</v>
      </c>
      <c r="G1474" s="15" t="s">
        <v>6041</v>
      </c>
      <c r="H1474" s="15" t="s">
        <v>6042</v>
      </c>
      <c r="I1474" s="28" t="s">
        <v>6043</v>
      </c>
      <c r="J1474" s="30" t="s">
        <v>6080</v>
      </c>
      <c r="K1474" s="15">
        <f>COUNTIF(Contacts[姓名],Contacts[[#This Row],[姓名]])</f>
        <v>1</v>
      </c>
    </row>
    <row r="1475" spans="1:11" x14ac:dyDescent="0.15">
      <c r="A1475" s="28" t="s">
        <v>5847</v>
      </c>
      <c r="B1475" s="15" t="s">
        <v>6006</v>
      </c>
      <c r="C1475" s="15">
        <v>13472895</v>
      </c>
      <c r="D1475" s="29"/>
      <c r="E1475" s="129">
        <v>43413</v>
      </c>
      <c r="F1475" s="15" t="s">
        <v>6044</v>
      </c>
      <c r="H1475" s="15" t="s">
        <v>6045</v>
      </c>
      <c r="I1475" s="28" t="s">
        <v>6046</v>
      </c>
      <c r="J1475" s="30"/>
      <c r="K1475" s="15">
        <f>COUNTIF(Contacts[姓名],Contacts[[#This Row],[姓名]])</f>
        <v>1</v>
      </c>
    </row>
    <row r="1476" spans="1:11" x14ac:dyDescent="0.15">
      <c r="A1476" s="28" t="s">
        <v>5846</v>
      </c>
      <c r="B1476" s="15" t="s">
        <v>6006</v>
      </c>
      <c r="C1476" s="15">
        <v>3001720739</v>
      </c>
      <c r="D1476" s="29"/>
      <c r="E1476" s="129">
        <v>43413</v>
      </c>
      <c r="F1476" s="15" t="s">
        <v>6047</v>
      </c>
      <c r="G1476" s="15" t="s">
        <v>6048</v>
      </c>
      <c r="H1476" s="15" t="s">
        <v>6049</v>
      </c>
      <c r="I1476" s="28" t="s">
        <v>6050</v>
      </c>
      <c r="J1476" s="30" t="s">
        <v>6078</v>
      </c>
      <c r="K1476" s="15">
        <f>COUNTIF(Contacts[姓名],Contacts[[#This Row],[姓名]])</f>
        <v>1</v>
      </c>
    </row>
    <row r="1477" spans="1:11" x14ac:dyDescent="0.15">
      <c r="A1477" s="28" t="s">
        <v>5845</v>
      </c>
      <c r="B1477" s="15" t="s">
        <v>6006</v>
      </c>
      <c r="C1477" s="15">
        <v>2984104339</v>
      </c>
      <c r="D1477" s="29"/>
      <c r="E1477" s="129">
        <v>43413</v>
      </c>
      <c r="F1477" s="15" t="s">
        <v>6051</v>
      </c>
      <c r="I1477" s="28"/>
      <c r="J1477" s="30" t="s">
        <v>6052</v>
      </c>
      <c r="K1477" s="15">
        <f>COUNTIF(Contacts[姓名],Contacts[[#This Row],[姓名]])</f>
        <v>1</v>
      </c>
    </row>
    <row r="1478" spans="1:11" x14ac:dyDescent="0.15">
      <c r="A1478" s="28" t="s">
        <v>5843</v>
      </c>
      <c r="B1478" s="15" t="s">
        <v>6006</v>
      </c>
      <c r="C1478" s="15">
        <v>24715066</v>
      </c>
      <c r="D1478" s="29"/>
      <c r="E1478" s="129">
        <v>43413</v>
      </c>
      <c r="F1478" s="15" t="s">
        <v>6053</v>
      </c>
      <c r="G1478" s="15" t="s">
        <v>5936</v>
      </c>
      <c r="H1478" s="15" t="s">
        <v>6054</v>
      </c>
      <c r="I1478" s="28" t="s">
        <v>6055</v>
      </c>
      <c r="J1478" s="30"/>
      <c r="K1478" s="15">
        <f>COUNTIF(Contacts[姓名],Contacts[[#This Row],[姓名]])</f>
        <v>1</v>
      </c>
    </row>
    <row r="1479" spans="1:11" x14ac:dyDescent="0.15">
      <c r="A1479" s="28" t="s">
        <v>5841</v>
      </c>
      <c r="B1479" s="15" t="s">
        <v>6006</v>
      </c>
      <c r="C1479" s="15">
        <v>57498559</v>
      </c>
      <c r="D1479" s="29"/>
      <c r="E1479" s="129">
        <v>43413</v>
      </c>
      <c r="F1479" s="15" t="s">
        <v>6056</v>
      </c>
      <c r="H1479" s="15" t="s">
        <v>6057</v>
      </c>
      <c r="I1479" s="28" t="s">
        <v>6058</v>
      </c>
      <c r="J1479" s="30" t="s">
        <v>5842</v>
      </c>
      <c r="K1479" s="15">
        <f>COUNTIF(Contacts[姓名],Contacts[[#This Row],[姓名]])</f>
        <v>1</v>
      </c>
    </row>
    <row r="1480" spans="1:11" x14ac:dyDescent="0.15">
      <c r="A1480" s="28" t="s">
        <v>5840</v>
      </c>
      <c r="B1480" s="15" t="s">
        <v>6006</v>
      </c>
      <c r="D1480" s="29"/>
      <c r="E1480" s="129">
        <v>43413</v>
      </c>
      <c r="F1480" s="15" t="s">
        <v>6059</v>
      </c>
      <c r="G1480" s="15" t="s">
        <v>6020</v>
      </c>
      <c r="H1480" s="15" t="s">
        <v>6060</v>
      </c>
      <c r="I1480" s="28" t="s">
        <v>6061</v>
      </c>
      <c r="J1480" s="30"/>
      <c r="K1480" s="15">
        <f>COUNTIF(Contacts[姓名],Contacts[[#This Row],[姓名]])</f>
        <v>1</v>
      </c>
    </row>
    <row r="1481" spans="1:11" x14ac:dyDescent="0.15">
      <c r="A1481" s="28" t="s">
        <v>6067</v>
      </c>
      <c r="B1481" s="15" t="s">
        <v>6006</v>
      </c>
      <c r="C1481" s="15">
        <v>1137189508</v>
      </c>
      <c r="D1481" s="29"/>
      <c r="E1481" s="129">
        <v>43413</v>
      </c>
      <c r="F1481" s="15" t="s">
        <v>6068</v>
      </c>
      <c r="H1481" s="15" t="s">
        <v>6072</v>
      </c>
      <c r="I1481" s="28"/>
      <c r="J1481" s="30" t="s">
        <v>6071</v>
      </c>
      <c r="K1481" s="15">
        <f>COUNTIF(Contacts[姓名],Contacts[[#This Row],[姓名]])</f>
        <v>1</v>
      </c>
    </row>
    <row r="1482" spans="1:11" x14ac:dyDescent="0.15">
      <c r="A1482" s="28" t="s">
        <v>6085</v>
      </c>
      <c r="B1482" s="15" t="s">
        <v>4379</v>
      </c>
      <c r="C1482" s="15">
        <v>71872986</v>
      </c>
      <c r="D1482" s="29"/>
      <c r="E1482" s="129">
        <v>43416</v>
      </c>
      <c r="F1482" s="15" t="s">
        <v>6153</v>
      </c>
      <c r="I1482" s="28"/>
      <c r="J1482" s="30" t="s">
        <v>6088</v>
      </c>
      <c r="K1482" s="15">
        <f>COUNTIF(Contacts[姓名],Contacts[[#This Row],[姓名]])</f>
        <v>1</v>
      </c>
    </row>
    <row r="1483" spans="1:11" x14ac:dyDescent="0.15">
      <c r="A1483" s="28" t="s">
        <v>6108</v>
      </c>
      <c r="B1483" s="15" t="s">
        <v>4379</v>
      </c>
      <c r="C1483" s="15">
        <v>848234766</v>
      </c>
      <c r="D1483" s="29"/>
      <c r="E1483" s="129">
        <v>43416</v>
      </c>
      <c r="F1483" s="15" t="s">
        <v>6110</v>
      </c>
      <c r="H1483" s="15" t="s">
        <v>6111</v>
      </c>
      <c r="I1483" s="28" t="s">
        <v>6112</v>
      </c>
      <c r="J1483" s="30" t="s">
        <v>6113</v>
      </c>
      <c r="K1483" s="15">
        <f>COUNTIF(Contacts[姓名],Contacts[[#This Row],[姓名]])</f>
        <v>1</v>
      </c>
    </row>
    <row r="1484" spans="1:11" x14ac:dyDescent="0.15">
      <c r="A1484" s="28" t="s">
        <v>6108</v>
      </c>
      <c r="B1484" s="15" t="s">
        <v>4379</v>
      </c>
      <c r="C1484" s="15">
        <v>331810151</v>
      </c>
      <c r="D1484" s="29"/>
      <c r="E1484" s="129">
        <v>43416</v>
      </c>
      <c r="F1484" s="15" t="s">
        <v>6115</v>
      </c>
      <c r="H1484" s="15" t="s">
        <v>6116</v>
      </c>
      <c r="I1484" s="28" t="s">
        <v>6117</v>
      </c>
      <c r="J1484" s="30" t="s">
        <v>6118</v>
      </c>
      <c r="K1484" s="15">
        <f>COUNTIF(Contacts[姓名],Contacts[[#This Row],[姓名]])</f>
        <v>1</v>
      </c>
    </row>
    <row r="1485" spans="1:11" x14ac:dyDescent="0.15">
      <c r="A1485" s="28" t="s">
        <v>6105</v>
      </c>
      <c r="B1485" s="15" t="s">
        <v>4379</v>
      </c>
      <c r="C1485" s="15">
        <v>1312829611</v>
      </c>
      <c r="D1485" s="29"/>
      <c r="E1485" s="129">
        <v>43416</v>
      </c>
      <c r="F1485" s="15" t="s">
        <v>6119</v>
      </c>
      <c r="I1485" s="28"/>
      <c r="J1485" s="30" t="s">
        <v>6120</v>
      </c>
      <c r="K1485" s="15">
        <f>COUNTIF(Contacts[姓名],Contacts[[#This Row],[姓名]])</f>
        <v>1</v>
      </c>
    </row>
    <row r="1486" spans="1:11" x14ac:dyDescent="0.15">
      <c r="A1486" s="28" t="s">
        <v>6102</v>
      </c>
      <c r="B1486" s="15" t="s">
        <v>4379</v>
      </c>
      <c r="C1486" s="15">
        <v>77677115</v>
      </c>
      <c r="D1486" s="29"/>
      <c r="E1486" s="129">
        <v>43416</v>
      </c>
      <c r="F1486" s="15" t="s">
        <v>6121</v>
      </c>
      <c r="H1486" s="15" t="s">
        <v>6122</v>
      </c>
      <c r="I1486" s="28" t="s">
        <v>6123</v>
      </c>
      <c r="J1486" s="30"/>
      <c r="K1486" s="15">
        <f>COUNTIF(Contacts[姓名],Contacts[[#This Row],[姓名]])</f>
        <v>1</v>
      </c>
    </row>
    <row r="1487" spans="1:11" x14ac:dyDescent="0.15">
      <c r="A1487" s="28" t="s">
        <v>6099</v>
      </c>
      <c r="B1487" s="15" t="s">
        <v>4379</v>
      </c>
      <c r="D1487" s="29"/>
      <c r="E1487" s="129">
        <v>43416</v>
      </c>
      <c r="F1487" s="15" t="s">
        <v>6124</v>
      </c>
      <c r="G1487" s="15" t="s">
        <v>6125</v>
      </c>
      <c r="H1487" s="15" t="s">
        <v>6126</v>
      </c>
      <c r="I1487" s="28" t="s">
        <v>6127</v>
      </c>
      <c r="J1487" s="30" t="s">
        <v>6101</v>
      </c>
      <c r="K1487" s="15">
        <f>COUNTIF(Contacts[姓名],Contacts[[#This Row],[姓名]])</f>
        <v>1</v>
      </c>
    </row>
    <row r="1488" spans="1:11" x14ac:dyDescent="0.15">
      <c r="A1488" s="28" t="s">
        <v>6096</v>
      </c>
      <c r="B1488" s="15" t="s">
        <v>4379</v>
      </c>
      <c r="D1488" s="29"/>
      <c r="E1488" s="129">
        <v>43416</v>
      </c>
      <c r="F1488" s="15" t="s">
        <v>6128</v>
      </c>
      <c r="G1488" s="15" t="s">
        <v>6129</v>
      </c>
      <c r="H1488" s="15" t="s">
        <v>6130</v>
      </c>
      <c r="I1488" s="28" t="s">
        <v>6131</v>
      </c>
      <c r="J1488" s="30" t="s">
        <v>6132</v>
      </c>
      <c r="K1488" s="15">
        <f>COUNTIF(Contacts[姓名],Contacts[[#This Row],[姓名]])</f>
        <v>1</v>
      </c>
    </row>
    <row r="1489" spans="1:11" x14ac:dyDescent="0.15">
      <c r="A1489" s="28" t="s">
        <v>6089</v>
      </c>
      <c r="B1489" s="15" t="s">
        <v>4379</v>
      </c>
      <c r="C1489" s="15">
        <v>2604005956</v>
      </c>
      <c r="D1489" s="29"/>
      <c r="E1489" s="129">
        <v>43416</v>
      </c>
      <c r="F1489" s="15" t="s">
        <v>6133</v>
      </c>
      <c r="G1489" s="15" t="s">
        <v>6134</v>
      </c>
      <c r="H1489" s="15" t="s">
        <v>6135</v>
      </c>
      <c r="I1489" s="28" t="s">
        <v>6136</v>
      </c>
      <c r="J1489" s="30"/>
      <c r="K1489" s="15">
        <f>COUNTIF(Contacts[姓名],Contacts[[#This Row],[姓名]])</f>
        <v>1</v>
      </c>
    </row>
    <row r="1490" spans="1:11" x14ac:dyDescent="0.15">
      <c r="A1490" s="28" t="s">
        <v>6082</v>
      </c>
      <c r="B1490" s="15" t="s">
        <v>4379</v>
      </c>
      <c r="C1490" s="15">
        <v>310637291</v>
      </c>
      <c r="D1490" s="29"/>
      <c r="E1490" s="129">
        <v>43416</v>
      </c>
      <c r="F1490" s="15" t="s">
        <v>6137</v>
      </c>
      <c r="G1490" s="15" t="s">
        <v>6138</v>
      </c>
      <c r="H1490" s="15" t="s">
        <v>6139</v>
      </c>
      <c r="I1490" s="28" t="s">
        <v>6140</v>
      </c>
      <c r="J1490" s="30" t="s">
        <v>6141</v>
      </c>
      <c r="K1490" s="15">
        <f>COUNTIF(Contacts[姓名],Contacts[[#This Row],[姓名]])</f>
        <v>1</v>
      </c>
    </row>
    <row r="1491" spans="1:11" x14ac:dyDescent="0.15">
      <c r="A1491" s="28" t="s">
        <v>6142</v>
      </c>
      <c r="B1491" s="15" t="s">
        <v>4379</v>
      </c>
      <c r="C1491" s="15">
        <v>1172915831</v>
      </c>
      <c r="D1491" s="29"/>
      <c r="E1491" s="129">
        <v>43416</v>
      </c>
      <c r="F1491" s="15" t="s">
        <v>6147</v>
      </c>
      <c r="H1491" s="15" t="s">
        <v>6148</v>
      </c>
      <c r="I1491" s="28" t="s">
        <v>6149</v>
      </c>
      <c r="J1491" s="30" t="s">
        <v>6150</v>
      </c>
      <c r="K1491" s="15">
        <f>COUNTIF(Contacts[姓名],Contacts[[#This Row],[姓名]])</f>
        <v>1</v>
      </c>
    </row>
    <row r="1492" spans="1:11" x14ac:dyDescent="0.15">
      <c r="A1492" s="28" t="s">
        <v>4887</v>
      </c>
      <c r="C1492" s="15">
        <v>2231954274</v>
      </c>
      <c r="D1492" s="29"/>
      <c r="E1492" s="129">
        <v>43420</v>
      </c>
      <c r="F1492" s="15" t="s">
        <v>6259</v>
      </c>
      <c r="G1492" s="15" t="s">
        <v>6260</v>
      </c>
      <c r="H1492" s="15" t="s">
        <v>6261</v>
      </c>
      <c r="I1492" s="28" t="s">
        <v>4889</v>
      </c>
      <c r="J1492" s="30" t="s">
        <v>6262</v>
      </c>
      <c r="K1492" s="15">
        <f>COUNTIF(Contacts[姓名],Contacts[[#This Row],[姓名]])</f>
        <v>1</v>
      </c>
    </row>
    <row r="1493" spans="1:11" x14ac:dyDescent="0.15">
      <c r="A1493" s="28" t="s">
        <v>6237</v>
      </c>
      <c r="B1493" s="15" t="s">
        <v>6238</v>
      </c>
      <c r="C1493" s="15">
        <v>2355878101</v>
      </c>
      <c r="D1493" s="29"/>
      <c r="E1493" s="129" t="s">
        <v>6241</v>
      </c>
      <c r="F1493" s="15" t="s">
        <v>6239</v>
      </c>
      <c r="H1493" s="15" t="s">
        <v>6240</v>
      </c>
      <c r="I1493" s="28"/>
      <c r="J1493" s="30"/>
      <c r="K1493" s="15">
        <f>COUNTIF(Contacts[姓名],Contacts[[#This Row],[姓名]])</f>
        <v>1</v>
      </c>
    </row>
    <row r="1494" spans="1:11" ht="28.5" x14ac:dyDescent="0.15">
      <c r="A1494" s="28" t="s">
        <v>6290</v>
      </c>
      <c r="B1494" s="15" t="s">
        <v>4379</v>
      </c>
      <c r="C1494" s="15">
        <v>869658721</v>
      </c>
      <c r="D1494" s="29"/>
      <c r="E1494" s="129">
        <v>43424</v>
      </c>
      <c r="F1494" s="15" t="s">
        <v>6292</v>
      </c>
      <c r="G1494" s="15" t="s">
        <v>6293</v>
      </c>
      <c r="H1494" s="15" t="s">
        <v>6294</v>
      </c>
      <c r="I1494" s="28" t="s">
        <v>6295</v>
      </c>
      <c r="J1494" s="30" t="s">
        <v>6296</v>
      </c>
      <c r="K1494" s="15">
        <f>COUNTIF(Contacts[姓名],Contacts[[#This Row],[姓名]])</f>
        <v>1</v>
      </c>
    </row>
    <row r="1495" spans="1:11" x14ac:dyDescent="0.15">
      <c r="A1495" s="28" t="s">
        <v>6287</v>
      </c>
      <c r="B1495" s="15" t="s">
        <v>4379</v>
      </c>
      <c r="C1495" s="15">
        <v>1773606614</v>
      </c>
      <c r="D1495" s="29"/>
      <c r="E1495" s="129">
        <v>43424</v>
      </c>
      <c r="F1495" s="15" t="s">
        <v>6297</v>
      </c>
      <c r="H1495" s="15" t="s">
        <v>6298</v>
      </c>
      <c r="I1495" s="28" t="s">
        <v>6299</v>
      </c>
      <c r="J1495" s="30" t="s">
        <v>6300</v>
      </c>
      <c r="K1495" s="15">
        <f>COUNTIF(Contacts[姓名],Contacts[[#This Row],[姓名]])</f>
        <v>1</v>
      </c>
    </row>
    <row r="1496" spans="1:11" x14ac:dyDescent="0.15">
      <c r="A1496" s="28" t="s">
        <v>6287</v>
      </c>
      <c r="B1496" s="15" t="s">
        <v>4379</v>
      </c>
      <c r="C1496" s="15">
        <v>1551072268</v>
      </c>
      <c r="D1496" s="29"/>
      <c r="E1496" s="129">
        <v>43424</v>
      </c>
      <c r="F1496" s="15" t="s">
        <v>6302</v>
      </c>
      <c r="H1496" s="15" t="s">
        <v>6303</v>
      </c>
      <c r="I1496" s="28" t="s">
        <v>6304</v>
      </c>
      <c r="J1496" s="30" t="s">
        <v>6319</v>
      </c>
      <c r="K1496" s="15">
        <f>COUNTIF(Contacts[姓名],Contacts[[#This Row],[姓名]])</f>
        <v>1</v>
      </c>
    </row>
    <row r="1497" spans="1:11" x14ac:dyDescent="0.15">
      <c r="A1497" s="28" t="s">
        <v>6283</v>
      </c>
      <c r="B1497" s="15" t="s">
        <v>4379</v>
      </c>
      <c r="D1497" s="29"/>
      <c r="E1497" s="129">
        <v>43424</v>
      </c>
      <c r="F1497" s="15" t="s">
        <v>6305</v>
      </c>
      <c r="H1497" s="15" t="s">
        <v>6306</v>
      </c>
      <c r="I1497" s="28" t="s">
        <v>6307</v>
      </c>
      <c r="J1497" s="30" t="s">
        <v>6324</v>
      </c>
      <c r="K1497" s="15">
        <f>COUNTIF(Contacts[姓名],Contacts[[#This Row],[姓名]])</f>
        <v>1</v>
      </c>
    </row>
    <row r="1498" spans="1:11" x14ac:dyDescent="0.15">
      <c r="A1498" s="28" t="s">
        <v>6281</v>
      </c>
      <c r="B1498" s="15" t="s">
        <v>4379</v>
      </c>
      <c r="C1498" s="15">
        <v>1315376880</v>
      </c>
      <c r="D1498" s="29"/>
      <c r="E1498" s="129">
        <v>43424</v>
      </c>
      <c r="F1498" s="15" t="s">
        <v>6308</v>
      </c>
      <c r="G1498" s="15" t="s">
        <v>6309</v>
      </c>
      <c r="H1498" s="15" t="s">
        <v>6310</v>
      </c>
      <c r="I1498" s="28" t="s">
        <v>6311</v>
      </c>
      <c r="J1498" s="30"/>
      <c r="K1498" s="15">
        <f>COUNTIF(Contacts[姓名],Contacts[[#This Row],[姓名]])</f>
        <v>1</v>
      </c>
    </row>
    <row r="1499" spans="1:11" x14ac:dyDescent="0.15">
      <c r="A1499" s="28" t="s">
        <v>6312</v>
      </c>
      <c r="B1499" s="15" t="s">
        <v>4379</v>
      </c>
      <c r="C1499" s="15">
        <v>402276486</v>
      </c>
      <c r="D1499" s="29"/>
      <c r="E1499" s="129">
        <v>43424</v>
      </c>
      <c r="F1499" s="15" t="s">
        <v>6313</v>
      </c>
      <c r="G1499" s="15" t="s">
        <v>6314</v>
      </c>
      <c r="H1499" s="15" t="s">
        <v>6315</v>
      </c>
      <c r="I1499" s="28" t="s">
        <v>6316</v>
      </c>
      <c r="J1499" s="30" t="s">
        <v>6280</v>
      </c>
      <c r="K1499" s="15">
        <f>COUNTIF(Contacts[姓名],Contacts[[#This Row],[姓名]])</f>
        <v>1</v>
      </c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C16"/>
  <sheetViews>
    <sheetView workbookViewId="0">
      <selection activeCell="E19" sqref="E19"/>
    </sheetView>
  </sheetViews>
  <sheetFormatPr defaultColWidth="9" defaultRowHeight="14.25" x14ac:dyDescent="0.15"/>
  <cols>
    <col min="1" max="1" width="7.25" style="15" bestFit="1" customWidth="1"/>
    <col min="2" max="2" width="9" style="15"/>
    <col min="3" max="3" width="52.125" style="15" bestFit="1" customWidth="1"/>
    <col min="4" max="16384" width="9" style="15"/>
  </cols>
  <sheetData>
    <row r="1" spans="1:3" x14ac:dyDescent="0.15">
      <c r="A1" s="15" t="s">
        <v>2139</v>
      </c>
      <c r="B1" s="15" t="s">
        <v>1758</v>
      </c>
      <c r="C1" s="15" t="s">
        <v>604</v>
      </c>
    </row>
    <row r="2" spans="1:3" x14ac:dyDescent="0.15">
      <c r="A2" s="16">
        <v>43319</v>
      </c>
      <c r="B2" s="15" t="s">
        <v>669</v>
      </c>
      <c r="C2" s="15" t="s">
        <v>2146</v>
      </c>
    </row>
    <row r="3" spans="1:3" x14ac:dyDescent="0.15">
      <c r="A3" s="16">
        <v>43319</v>
      </c>
      <c r="B3" s="15" t="s">
        <v>587</v>
      </c>
      <c r="C3" s="15" t="s">
        <v>2147</v>
      </c>
    </row>
    <row r="4" spans="1:3" x14ac:dyDescent="0.15">
      <c r="A4" s="16">
        <v>43320</v>
      </c>
      <c r="B4" s="15" t="s">
        <v>492</v>
      </c>
      <c r="C4" s="15" t="s">
        <v>2144</v>
      </c>
    </row>
    <row r="5" spans="1:3" x14ac:dyDescent="0.15">
      <c r="A5" s="16">
        <v>43321</v>
      </c>
      <c r="B5" s="15" t="s">
        <v>501</v>
      </c>
      <c r="C5" s="15" t="s">
        <v>2145</v>
      </c>
    </row>
    <row r="6" spans="1:3" x14ac:dyDescent="0.15">
      <c r="A6" s="16">
        <v>43327</v>
      </c>
      <c r="B6" s="15" t="s">
        <v>613</v>
      </c>
      <c r="C6" s="15" t="s">
        <v>2152</v>
      </c>
    </row>
    <row r="7" spans="1:3" x14ac:dyDescent="0.15">
      <c r="A7" s="16">
        <v>43327</v>
      </c>
      <c r="B7" s="15" t="s">
        <v>561</v>
      </c>
      <c r="C7" s="15" t="s">
        <v>2155</v>
      </c>
    </row>
    <row r="8" spans="1:3" x14ac:dyDescent="0.15">
      <c r="A8" s="16">
        <v>43327</v>
      </c>
      <c r="B8" s="15" t="s">
        <v>637</v>
      </c>
      <c r="C8" s="15" t="s">
        <v>2154</v>
      </c>
    </row>
    <row r="9" spans="1:3" x14ac:dyDescent="0.15">
      <c r="A9" s="16">
        <v>43327</v>
      </c>
      <c r="B9" s="15" t="s">
        <v>619</v>
      </c>
      <c r="C9" s="15" t="s">
        <v>2149</v>
      </c>
    </row>
    <row r="10" spans="1:3" x14ac:dyDescent="0.15">
      <c r="A10" s="16">
        <v>43327</v>
      </c>
      <c r="B10" s="15" t="s">
        <v>612</v>
      </c>
      <c r="C10" s="15" t="s">
        <v>2148</v>
      </c>
    </row>
    <row r="11" spans="1:3" x14ac:dyDescent="0.15">
      <c r="A11" s="16">
        <v>43327</v>
      </c>
      <c r="B11" s="15" t="s">
        <v>583</v>
      </c>
      <c r="C11" s="15" t="s">
        <v>2151</v>
      </c>
    </row>
    <row r="12" spans="1:3" x14ac:dyDescent="0.15">
      <c r="A12" s="16">
        <v>43327</v>
      </c>
      <c r="B12" s="15" t="s">
        <v>560</v>
      </c>
      <c r="C12" s="15" t="s">
        <v>2150</v>
      </c>
    </row>
    <row r="13" spans="1:3" x14ac:dyDescent="0.15">
      <c r="A13" s="16">
        <v>43327</v>
      </c>
      <c r="B13" s="15" t="s">
        <v>647</v>
      </c>
      <c r="C13" s="15" t="s">
        <v>2153</v>
      </c>
    </row>
    <row r="14" spans="1:3" x14ac:dyDescent="0.15">
      <c r="A14" s="16">
        <v>43327</v>
      </c>
      <c r="B14" s="15" t="s">
        <v>2143</v>
      </c>
      <c r="C14" s="15" t="s">
        <v>2148</v>
      </c>
    </row>
    <row r="15" spans="1:3" x14ac:dyDescent="0.15">
      <c r="A15" s="16">
        <v>43335</v>
      </c>
      <c r="B15" s="15" t="s">
        <v>530</v>
      </c>
      <c r="C15" s="15" t="s">
        <v>2173</v>
      </c>
    </row>
    <row r="16" spans="1:3" x14ac:dyDescent="0.15">
      <c r="A16" s="16">
        <v>43383.666666666664</v>
      </c>
      <c r="B16" s="15" t="s">
        <v>3527</v>
      </c>
      <c r="C16" s="15" t="s">
        <v>4387</v>
      </c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B16"/>
  <sheetViews>
    <sheetView workbookViewId="0">
      <pane ySplit="1" topLeftCell="A2" activePane="bottomLeft" state="frozen"/>
      <selection activeCell="J7144" sqref="J7144"/>
      <selection pane="bottomLeft" activeCell="K20" sqref="K20"/>
    </sheetView>
  </sheetViews>
  <sheetFormatPr defaultColWidth="9" defaultRowHeight="14.25" x14ac:dyDescent="0.15"/>
  <cols>
    <col min="1" max="1" width="5.75" style="14" bestFit="1" customWidth="1"/>
    <col min="2" max="2" width="7.75" style="14" bestFit="1" customWidth="1"/>
    <col min="3" max="16384" width="9" style="14"/>
  </cols>
  <sheetData>
    <row r="1" spans="1:2" x14ac:dyDescent="0.15">
      <c r="A1" s="14" t="s">
        <v>387</v>
      </c>
      <c r="B1" s="14" t="s">
        <v>388</v>
      </c>
    </row>
    <row r="2" spans="1:2" x14ac:dyDescent="0.15">
      <c r="A2" s="14" t="s">
        <v>36</v>
      </c>
      <c r="B2" s="14" t="s">
        <v>386</v>
      </c>
    </row>
    <row r="3" spans="1:2" x14ac:dyDescent="0.15">
      <c r="A3" s="14" t="s">
        <v>8</v>
      </c>
      <c r="B3" s="14" t="s">
        <v>373</v>
      </c>
    </row>
    <row r="4" spans="1:2" x14ac:dyDescent="0.15">
      <c r="A4" s="14" t="s">
        <v>9</v>
      </c>
      <c r="B4" s="14" t="s">
        <v>378</v>
      </c>
    </row>
    <row r="5" spans="1:2" x14ac:dyDescent="0.15">
      <c r="A5" s="14" t="s">
        <v>13</v>
      </c>
      <c r="B5" s="14" t="s">
        <v>379</v>
      </c>
    </row>
    <row r="6" spans="1:2" x14ac:dyDescent="0.15">
      <c r="A6" s="14" t="s">
        <v>14</v>
      </c>
      <c r="B6" s="14" t="s">
        <v>380</v>
      </c>
    </row>
    <row r="7" spans="1:2" x14ac:dyDescent="0.15">
      <c r="A7" s="14" t="s">
        <v>247</v>
      </c>
      <c r="B7" s="14" t="s">
        <v>382</v>
      </c>
    </row>
    <row r="8" spans="1:2" x14ac:dyDescent="0.15">
      <c r="A8" s="14" t="s">
        <v>20</v>
      </c>
      <c r="B8" s="14" t="s">
        <v>385</v>
      </c>
    </row>
    <row r="9" spans="1:2" x14ac:dyDescent="0.15">
      <c r="A9" s="14" t="s">
        <v>17</v>
      </c>
      <c r="B9" s="14" t="s">
        <v>372</v>
      </c>
    </row>
    <row r="10" spans="1:2" x14ac:dyDescent="0.15">
      <c r="A10" s="14" t="s">
        <v>21</v>
      </c>
      <c r="B10" s="14" t="s">
        <v>370</v>
      </c>
    </row>
    <row r="11" spans="1:2" x14ac:dyDescent="0.15">
      <c r="A11" s="14" t="s">
        <v>106</v>
      </c>
      <c r="B11" s="14" t="s">
        <v>384</v>
      </c>
    </row>
    <row r="12" spans="1:2" x14ac:dyDescent="0.15">
      <c r="A12" s="14" t="s">
        <v>100</v>
      </c>
      <c r="B12" s="14" t="s">
        <v>375</v>
      </c>
    </row>
    <row r="13" spans="1:2" x14ac:dyDescent="0.15">
      <c r="A13" s="14" t="s">
        <v>394</v>
      </c>
      <c r="B13" s="14" t="s">
        <v>374</v>
      </c>
    </row>
    <row r="14" spans="1:2" x14ac:dyDescent="0.15">
      <c r="A14" s="14" t="s">
        <v>18</v>
      </c>
      <c r="B14" s="14" t="s">
        <v>383</v>
      </c>
    </row>
    <row r="15" spans="1:2" x14ac:dyDescent="0.15">
      <c r="A15" s="14" t="s">
        <v>24</v>
      </c>
      <c r="B15" s="14" t="s">
        <v>371</v>
      </c>
    </row>
    <row r="16" spans="1:2" x14ac:dyDescent="0.15">
      <c r="A16" s="14" t="s">
        <v>95</v>
      </c>
      <c r="B16" s="14" t="s">
        <v>381</v>
      </c>
    </row>
  </sheetData>
  <phoneticPr fontId="7" type="noConversion"/>
  <pageMargins left="0.7" right="0.7" top="0.75" bottom="0.75" header="0.3" footer="0.3"/>
  <pageSetup paperSize="9" orientation="portrait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Y39"/>
  <sheetViews>
    <sheetView workbookViewId="0">
      <pane ySplit="2" topLeftCell="A3" activePane="bottomLeft" state="frozen"/>
      <selection pane="bottomLeft" activeCell="T11" sqref="T11"/>
    </sheetView>
  </sheetViews>
  <sheetFormatPr defaultColWidth="9" defaultRowHeight="14.25" x14ac:dyDescent="0.15"/>
  <cols>
    <col min="1" max="1" width="9" style="14" bestFit="1" customWidth="1"/>
    <col min="2" max="7" width="3.5" style="14" bestFit="1" customWidth="1"/>
    <col min="8" max="9" width="5.25" style="14" customWidth="1"/>
    <col min="10" max="10" width="7.125" style="14" bestFit="1" customWidth="1"/>
    <col min="11" max="16" width="4" style="14" bestFit="1" customWidth="1"/>
    <col min="17" max="18" width="5.25" style="14" customWidth="1"/>
    <col min="19" max="19" width="5.25" style="14" bestFit="1" customWidth="1"/>
    <col min="20" max="24" width="3.5" style="14" bestFit="1" customWidth="1"/>
    <col min="25" max="25" width="5.25" style="14" bestFit="1" customWidth="1"/>
    <col min="26" max="16384" width="9" style="14"/>
  </cols>
  <sheetData>
    <row r="1" spans="1:25" x14ac:dyDescent="0.15">
      <c r="A1" s="141" t="s">
        <v>646</v>
      </c>
      <c r="B1" s="142"/>
      <c r="C1" s="142"/>
      <c r="D1" s="142"/>
      <c r="E1" s="142"/>
      <c r="F1" s="142"/>
      <c r="G1" s="142"/>
      <c r="H1" s="142"/>
      <c r="J1" s="141" t="s">
        <v>646</v>
      </c>
      <c r="K1" s="142"/>
      <c r="L1" s="142"/>
      <c r="M1" s="142"/>
      <c r="N1" s="142"/>
      <c r="O1" s="142"/>
      <c r="P1" s="142"/>
      <c r="Q1" s="142"/>
      <c r="S1" s="141" t="s">
        <v>646</v>
      </c>
      <c r="T1" s="142"/>
      <c r="U1" s="142"/>
      <c r="V1" s="142"/>
      <c r="W1" s="142"/>
      <c r="X1" s="142"/>
      <c r="Y1" s="142"/>
    </row>
    <row r="2" spans="1:25" x14ac:dyDescent="0.15">
      <c r="A2" s="142"/>
      <c r="B2" s="142">
        <v>41</v>
      </c>
      <c r="C2" s="142">
        <v>42</v>
      </c>
      <c r="D2" s="142">
        <v>43</v>
      </c>
      <c r="E2" s="142">
        <v>44</v>
      </c>
      <c r="F2" s="142">
        <v>46</v>
      </c>
      <c r="G2" s="142">
        <v>47</v>
      </c>
      <c r="H2" s="145" t="s">
        <v>645</v>
      </c>
      <c r="I2" s="111"/>
      <c r="J2" s="142"/>
      <c r="K2" s="143">
        <v>41</v>
      </c>
      <c r="L2" s="143">
        <v>42</v>
      </c>
      <c r="M2" s="143">
        <v>43</v>
      </c>
      <c r="N2" s="143">
        <v>44</v>
      </c>
      <c r="O2" s="143">
        <v>46</v>
      </c>
      <c r="P2" s="143">
        <v>47</v>
      </c>
      <c r="Q2" s="143" t="s">
        <v>645</v>
      </c>
      <c r="R2" s="110"/>
      <c r="S2" s="142"/>
      <c r="T2" s="143">
        <v>1</v>
      </c>
      <c r="U2" s="143">
        <v>2</v>
      </c>
      <c r="V2" s="143">
        <v>3</v>
      </c>
      <c r="W2" s="143">
        <v>4</v>
      </c>
      <c r="X2" s="143">
        <v>5</v>
      </c>
      <c r="Y2" s="146" t="s">
        <v>645</v>
      </c>
    </row>
    <row r="3" spans="1:25" x14ac:dyDescent="0.15">
      <c r="A3" s="142" t="s">
        <v>502</v>
      </c>
      <c r="B3" s="142">
        <v>12</v>
      </c>
      <c r="C3" s="142">
        <v>14</v>
      </c>
      <c r="D3" s="142">
        <v>16</v>
      </c>
      <c r="E3" s="142">
        <v>2</v>
      </c>
      <c r="F3" s="142"/>
      <c r="G3" s="142"/>
      <c r="H3" s="142">
        <v>44</v>
      </c>
      <c r="J3" s="142" t="s">
        <v>2180</v>
      </c>
      <c r="K3" s="142">
        <v>12</v>
      </c>
      <c r="L3" s="142">
        <v>14</v>
      </c>
      <c r="M3" s="142">
        <v>16</v>
      </c>
      <c r="N3" s="142">
        <v>2</v>
      </c>
      <c r="O3" s="142"/>
      <c r="P3" s="142"/>
      <c r="Q3" s="142">
        <v>44</v>
      </c>
      <c r="S3" s="144">
        <v>41</v>
      </c>
      <c r="T3" s="142">
        <v>3</v>
      </c>
      <c r="U3" s="142">
        <v>6</v>
      </c>
      <c r="V3" s="142">
        <v>5</v>
      </c>
      <c r="W3" s="142">
        <v>5</v>
      </c>
      <c r="X3" s="142">
        <v>8</v>
      </c>
      <c r="Y3" s="142">
        <v>27</v>
      </c>
    </row>
    <row r="4" spans="1:25" x14ac:dyDescent="0.15">
      <c r="A4" s="142" t="s">
        <v>559</v>
      </c>
      <c r="B4" s="142">
        <v>2</v>
      </c>
      <c r="C4" s="142">
        <v>6</v>
      </c>
      <c r="D4" s="142">
        <v>3</v>
      </c>
      <c r="E4" s="142">
        <v>1</v>
      </c>
      <c r="F4" s="142"/>
      <c r="G4" s="142"/>
      <c r="H4" s="142">
        <v>12</v>
      </c>
      <c r="J4" s="142" t="s">
        <v>3551</v>
      </c>
      <c r="K4" s="142">
        <v>1</v>
      </c>
      <c r="L4" s="142">
        <v>6</v>
      </c>
      <c r="M4" s="142">
        <v>1</v>
      </c>
      <c r="N4" s="142">
        <v>1</v>
      </c>
      <c r="O4" s="142"/>
      <c r="P4" s="142"/>
      <c r="Q4" s="142">
        <v>9</v>
      </c>
      <c r="S4" s="144">
        <v>42</v>
      </c>
      <c r="T4" s="142">
        <v>18</v>
      </c>
      <c r="U4" s="142">
        <v>9</v>
      </c>
      <c r="V4" s="142">
        <v>8</v>
      </c>
      <c r="W4" s="142"/>
      <c r="X4" s="142"/>
      <c r="Y4" s="142">
        <v>35</v>
      </c>
    </row>
    <row r="5" spans="1:25" x14ac:dyDescent="0.15">
      <c r="A5" s="142" t="s">
        <v>581</v>
      </c>
      <c r="B5" s="142"/>
      <c r="C5" s="142">
        <v>1</v>
      </c>
      <c r="D5" s="142">
        <v>5</v>
      </c>
      <c r="E5" s="142">
        <v>1</v>
      </c>
      <c r="F5" s="142"/>
      <c r="G5" s="142"/>
      <c r="H5" s="142">
        <v>7</v>
      </c>
      <c r="J5" s="142" t="s">
        <v>5398</v>
      </c>
      <c r="K5" s="142"/>
      <c r="L5" s="142">
        <v>1</v>
      </c>
      <c r="M5" s="142">
        <v>5</v>
      </c>
      <c r="N5" s="142">
        <v>1</v>
      </c>
      <c r="O5" s="142"/>
      <c r="P5" s="142"/>
      <c r="Q5" s="142">
        <v>7</v>
      </c>
      <c r="S5" s="144">
        <v>43</v>
      </c>
      <c r="T5" s="142">
        <v>2</v>
      </c>
      <c r="U5" s="142">
        <v>6</v>
      </c>
      <c r="V5" s="142">
        <v>12</v>
      </c>
      <c r="W5" s="142">
        <v>12</v>
      </c>
      <c r="X5" s="142">
        <v>8</v>
      </c>
      <c r="Y5" s="142">
        <v>40</v>
      </c>
    </row>
    <row r="6" spans="1:25" x14ac:dyDescent="0.15">
      <c r="A6" s="142" t="s">
        <v>498</v>
      </c>
      <c r="B6" s="142">
        <v>1</v>
      </c>
      <c r="C6" s="142">
        <v>2</v>
      </c>
      <c r="D6" s="142">
        <v>2</v>
      </c>
      <c r="E6" s="142">
        <v>2</v>
      </c>
      <c r="F6" s="142"/>
      <c r="G6" s="142"/>
      <c r="H6" s="142">
        <v>7</v>
      </c>
      <c r="J6" s="142" t="s">
        <v>2184</v>
      </c>
      <c r="K6" s="142">
        <v>1</v>
      </c>
      <c r="L6" s="142">
        <v>1</v>
      </c>
      <c r="M6" s="142">
        <v>1</v>
      </c>
      <c r="N6" s="142">
        <v>2</v>
      </c>
      <c r="O6" s="142"/>
      <c r="P6" s="142"/>
      <c r="Q6" s="142">
        <v>5</v>
      </c>
      <c r="S6" s="144">
        <v>44</v>
      </c>
      <c r="T6" s="142">
        <v>8</v>
      </c>
      <c r="U6" s="142"/>
      <c r="V6" s="142"/>
      <c r="W6" s="142"/>
      <c r="X6" s="142">
        <v>3</v>
      </c>
      <c r="Y6" s="142">
        <v>11</v>
      </c>
    </row>
    <row r="7" spans="1:25" x14ac:dyDescent="0.15">
      <c r="A7" s="142" t="s">
        <v>582</v>
      </c>
      <c r="B7" s="142"/>
      <c r="C7" s="142">
        <v>2</v>
      </c>
      <c r="D7" s="142">
        <v>3</v>
      </c>
      <c r="E7" s="142"/>
      <c r="F7" s="142"/>
      <c r="G7" s="142"/>
      <c r="H7" s="142">
        <v>5</v>
      </c>
      <c r="J7" s="142" t="s">
        <v>3036</v>
      </c>
      <c r="K7" s="142">
        <v>1</v>
      </c>
      <c r="L7" s="142">
        <v>1</v>
      </c>
      <c r="M7" s="142">
        <v>3</v>
      </c>
      <c r="N7" s="142"/>
      <c r="O7" s="142"/>
      <c r="P7" s="142"/>
      <c r="Q7" s="142">
        <v>5</v>
      </c>
      <c r="S7" s="144">
        <v>46</v>
      </c>
      <c r="T7" s="142">
        <v>1</v>
      </c>
      <c r="U7" s="142">
        <v>1</v>
      </c>
      <c r="V7" s="142"/>
      <c r="W7" s="142">
        <v>1</v>
      </c>
      <c r="X7" s="142"/>
      <c r="Y7" s="142">
        <v>3</v>
      </c>
    </row>
    <row r="8" spans="1:25" x14ac:dyDescent="0.15">
      <c r="A8" s="142" t="s">
        <v>563</v>
      </c>
      <c r="B8" s="142">
        <v>1</v>
      </c>
      <c r="C8" s="142">
        <v>1</v>
      </c>
      <c r="D8" s="142">
        <v>3</v>
      </c>
      <c r="E8" s="142"/>
      <c r="F8" s="142"/>
      <c r="G8" s="142"/>
      <c r="H8" s="142">
        <v>5</v>
      </c>
      <c r="J8" s="142" t="s">
        <v>3592</v>
      </c>
      <c r="K8" s="142"/>
      <c r="L8" s="142">
        <v>2</v>
      </c>
      <c r="M8" s="142">
        <v>3</v>
      </c>
      <c r="N8" s="142"/>
      <c r="O8" s="142"/>
      <c r="P8" s="142"/>
      <c r="Q8" s="142">
        <v>5</v>
      </c>
      <c r="S8" s="144">
        <v>47</v>
      </c>
      <c r="T8" s="142"/>
      <c r="U8" s="142">
        <v>1</v>
      </c>
      <c r="V8" s="142"/>
      <c r="W8" s="142"/>
      <c r="X8" s="142"/>
      <c r="Y8" s="142">
        <v>1</v>
      </c>
    </row>
    <row r="9" spans="1:25" x14ac:dyDescent="0.15">
      <c r="A9" s="142" t="s">
        <v>3536</v>
      </c>
      <c r="B9" s="142">
        <v>1</v>
      </c>
      <c r="C9" s="142">
        <v>1</v>
      </c>
      <c r="D9" s="142">
        <v>1</v>
      </c>
      <c r="E9" s="142"/>
      <c r="F9" s="142"/>
      <c r="G9" s="142"/>
      <c r="H9" s="142">
        <v>3</v>
      </c>
      <c r="J9" s="142" t="s">
        <v>3548</v>
      </c>
      <c r="K9" s="142">
        <v>1</v>
      </c>
      <c r="L9" s="142">
        <v>1</v>
      </c>
      <c r="M9" s="142">
        <v>1</v>
      </c>
      <c r="N9" s="142"/>
      <c r="O9" s="142"/>
      <c r="P9" s="142"/>
      <c r="Q9" s="142">
        <v>3</v>
      </c>
      <c r="S9" s="144" t="s">
        <v>645</v>
      </c>
      <c r="T9" s="142">
        <v>32</v>
      </c>
      <c r="U9" s="142">
        <v>23</v>
      </c>
      <c r="V9" s="142">
        <v>25</v>
      </c>
      <c r="W9" s="142">
        <v>18</v>
      </c>
      <c r="X9" s="142">
        <v>19</v>
      </c>
      <c r="Y9" s="142">
        <v>117</v>
      </c>
    </row>
    <row r="10" spans="1:25" x14ac:dyDescent="0.15">
      <c r="A10" s="142" t="s">
        <v>591</v>
      </c>
      <c r="B10" s="142">
        <v>2</v>
      </c>
      <c r="C10" s="142"/>
      <c r="D10" s="142">
        <v>1</v>
      </c>
      <c r="E10" s="142"/>
      <c r="F10" s="142"/>
      <c r="G10" s="142"/>
      <c r="H10" s="142">
        <v>3</v>
      </c>
      <c r="J10" s="142" t="s">
        <v>3537</v>
      </c>
      <c r="K10" s="142">
        <v>1</v>
      </c>
      <c r="L10" s="142">
        <v>1</v>
      </c>
      <c r="M10" s="142">
        <v>1</v>
      </c>
      <c r="N10" s="142"/>
      <c r="O10" s="142"/>
      <c r="P10" s="142"/>
      <c r="Q10" s="142">
        <v>3</v>
      </c>
    </row>
    <row r="11" spans="1:25" x14ac:dyDescent="0.15">
      <c r="A11" s="142" t="s">
        <v>3492</v>
      </c>
      <c r="B11" s="142">
        <v>1</v>
      </c>
      <c r="C11" s="142">
        <v>1</v>
      </c>
      <c r="D11" s="142">
        <v>1</v>
      </c>
      <c r="E11" s="142"/>
      <c r="F11" s="142"/>
      <c r="G11" s="142"/>
      <c r="H11" s="142">
        <v>3</v>
      </c>
      <c r="J11" s="142" t="s">
        <v>3532</v>
      </c>
      <c r="K11" s="142">
        <v>1</v>
      </c>
      <c r="L11" s="142"/>
      <c r="M11" s="142">
        <v>2</v>
      </c>
      <c r="N11" s="142"/>
      <c r="O11" s="142"/>
      <c r="P11" s="142"/>
      <c r="Q11" s="142">
        <v>3</v>
      </c>
    </row>
    <row r="12" spans="1:25" x14ac:dyDescent="0.15">
      <c r="A12" s="142" t="s">
        <v>4184</v>
      </c>
      <c r="B12" s="142"/>
      <c r="C12" s="142">
        <v>2</v>
      </c>
      <c r="D12" s="142"/>
      <c r="E12" s="142"/>
      <c r="F12" s="142"/>
      <c r="G12" s="142"/>
      <c r="H12" s="142">
        <v>2</v>
      </c>
      <c r="J12" s="142" t="s">
        <v>2169</v>
      </c>
      <c r="K12" s="142">
        <v>2</v>
      </c>
      <c r="L12" s="142"/>
      <c r="M12" s="142">
        <v>1</v>
      </c>
      <c r="N12" s="142"/>
      <c r="O12" s="142"/>
      <c r="P12" s="142"/>
      <c r="Q12" s="142">
        <v>3</v>
      </c>
    </row>
    <row r="13" spans="1:25" x14ac:dyDescent="0.15">
      <c r="A13" s="142" t="s">
        <v>1319</v>
      </c>
      <c r="B13" s="142"/>
      <c r="C13" s="142">
        <v>1</v>
      </c>
      <c r="D13" s="142">
        <v>1</v>
      </c>
      <c r="E13" s="142"/>
      <c r="F13" s="142"/>
      <c r="G13" s="142"/>
      <c r="H13" s="142">
        <v>2</v>
      </c>
      <c r="J13" s="142" t="s">
        <v>3709</v>
      </c>
      <c r="K13" s="142"/>
      <c r="L13" s="142">
        <v>1</v>
      </c>
      <c r="M13" s="142">
        <v>1</v>
      </c>
      <c r="N13" s="142"/>
      <c r="O13" s="142"/>
      <c r="P13" s="142"/>
      <c r="Q13" s="142">
        <v>2</v>
      </c>
    </row>
    <row r="14" spans="1:25" x14ac:dyDescent="0.15">
      <c r="A14" s="142" t="s">
        <v>5181</v>
      </c>
      <c r="B14" s="142"/>
      <c r="C14" s="142"/>
      <c r="D14" s="142"/>
      <c r="E14" s="142">
        <v>2</v>
      </c>
      <c r="F14" s="142"/>
      <c r="G14" s="142"/>
      <c r="H14" s="142">
        <v>2</v>
      </c>
      <c r="J14" s="142" t="s">
        <v>4649</v>
      </c>
      <c r="K14" s="142"/>
      <c r="L14" s="142"/>
      <c r="M14" s="142"/>
      <c r="N14" s="142">
        <v>2</v>
      </c>
      <c r="O14" s="142"/>
      <c r="P14" s="142"/>
      <c r="Q14" s="142">
        <v>2</v>
      </c>
    </row>
    <row r="15" spans="1:25" x14ac:dyDescent="0.15">
      <c r="A15" s="142" t="s">
        <v>3707</v>
      </c>
      <c r="B15" s="142"/>
      <c r="C15" s="142">
        <v>1</v>
      </c>
      <c r="D15" s="142">
        <v>1</v>
      </c>
      <c r="E15" s="142"/>
      <c r="F15" s="142"/>
      <c r="G15" s="142"/>
      <c r="H15" s="142">
        <v>2</v>
      </c>
      <c r="J15" s="142" t="s">
        <v>3726</v>
      </c>
      <c r="K15" s="142"/>
      <c r="L15" s="142">
        <v>2</v>
      </c>
      <c r="M15" s="142"/>
      <c r="N15" s="142"/>
      <c r="O15" s="142"/>
      <c r="P15" s="142"/>
      <c r="Q15" s="142">
        <v>2</v>
      </c>
    </row>
    <row r="16" spans="1:25" x14ac:dyDescent="0.15">
      <c r="A16" s="142" t="s">
        <v>5491</v>
      </c>
      <c r="B16" s="142"/>
      <c r="C16" s="142"/>
      <c r="D16" s="142"/>
      <c r="E16" s="142">
        <v>1</v>
      </c>
      <c r="F16" s="142"/>
      <c r="G16" s="142"/>
      <c r="H16" s="142">
        <v>1</v>
      </c>
      <c r="J16" s="142" t="s">
        <v>3619</v>
      </c>
      <c r="K16" s="142"/>
      <c r="L16" s="142">
        <v>1</v>
      </c>
      <c r="M16" s="142">
        <v>1</v>
      </c>
      <c r="N16" s="142"/>
      <c r="O16" s="142"/>
      <c r="P16" s="142"/>
      <c r="Q16" s="142">
        <v>2</v>
      </c>
    </row>
    <row r="17" spans="1:17" x14ac:dyDescent="0.15">
      <c r="A17" s="142" t="s">
        <v>3953</v>
      </c>
      <c r="B17" s="142"/>
      <c r="C17" s="142"/>
      <c r="D17" s="142">
        <v>1</v>
      </c>
      <c r="E17" s="142"/>
      <c r="F17" s="142"/>
      <c r="G17" s="142"/>
      <c r="H17" s="142">
        <v>1</v>
      </c>
      <c r="J17" s="142" t="s">
        <v>3577</v>
      </c>
      <c r="K17" s="142">
        <v>1</v>
      </c>
      <c r="L17" s="142"/>
      <c r="M17" s="142"/>
      <c r="N17" s="142"/>
      <c r="O17" s="142"/>
      <c r="P17" s="142"/>
      <c r="Q17" s="142">
        <v>1</v>
      </c>
    </row>
    <row r="18" spans="1:17" x14ac:dyDescent="0.15">
      <c r="A18" s="142" t="s">
        <v>6286</v>
      </c>
      <c r="B18" s="142"/>
      <c r="C18" s="142"/>
      <c r="D18" s="142"/>
      <c r="E18" s="142"/>
      <c r="F18" s="142"/>
      <c r="G18" s="142">
        <v>1</v>
      </c>
      <c r="H18" s="142">
        <v>1</v>
      </c>
      <c r="J18" s="142" t="s">
        <v>4906</v>
      </c>
      <c r="K18" s="142"/>
      <c r="L18" s="142"/>
      <c r="M18" s="142">
        <v>1</v>
      </c>
      <c r="N18" s="142"/>
      <c r="O18" s="142"/>
      <c r="P18" s="142"/>
      <c r="Q18" s="142">
        <v>1</v>
      </c>
    </row>
    <row r="19" spans="1:17" x14ac:dyDescent="0.15">
      <c r="A19" s="142" t="s">
        <v>647</v>
      </c>
      <c r="B19" s="142">
        <v>1</v>
      </c>
      <c r="C19" s="142"/>
      <c r="D19" s="142"/>
      <c r="E19" s="142"/>
      <c r="F19" s="142"/>
      <c r="G19" s="142"/>
      <c r="H19" s="142">
        <v>1</v>
      </c>
      <c r="J19" s="142" t="s">
        <v>6251</v>
      </c>
      <c r="K19" s="142"/>
      <c r="L19" s="142"/>
      <c r="M19" s="142"/>
      <c r="N19" s="142"/>
      <c r="O19" s="142">
        <v>1</v>
      </c>
      <c r="P19" s="142"/>
      <c r="Q19" s="142">
        <v>1</v>
      </c>
    </row>
    <row r="20" spans="1:17" x14ac:dyDescent="0.15">
      <c r="A20" s="142" t="s">
        <v>5110</v>
      </c>
      <c r="B20" s="142"/>
      <c r="C20" s="142"/>
      <c r="D20" s="142"/>
      <c r="E20" s="142">
        <v>1</v>
      </c>
      <c r="F20" s="142"/>
      <c r="G20" s="142"/>
      <c r="H20" s="142">
        <v>1</v>
      </c>
      <c r="J20" s="142" t="s">
        <v>3589</v>
      </c>
      <c r="K20" s="142"/>
      <c r="L20" s="142">
        <v>1</v>
      </c>
      <c r="M20" s="142"/>
      <c r="N20" s="142"/>
      <c r="O20" s="142"/>
      <c r="P20" s="142"/>
      <c r="Q20" s="142">
        <v>1</v>
      </c>
    </row>
    <row r="21" spans="1:17" x14ac:dyDescent="0.15">
      <c r="A21" s="142" t="s">
        <v>1266</v>
      </c>
      <c r="B21" s="142">
        <v>1</v>
      </c>
      <c r="C21" s="142"/>
      <c r="D21" s="142"/>
      <c r="E21" s="142"/>
      <c r="F21" s="142"/>
      <c r="G21" s="142"/>
      <c r="H21" s="142">
        <v>1</v>
      </c>
      <c r="J21" s="142" t="s">
        <v>4885</v>
      </c>
      <c r="K21" s="142"/>
      <c r="L21" s="142"/>
      <c r="M21" s="142"/>
      <c r="N21" s="142">
        <v>1</v>
      </c>
      <c r="O21" s="142"/>
      <c r="P21" s="142"/>
      <c r="Q21" s="142">
        <v>1</v>
      </c>
    </row>
    <row r="22" spans="1:17" x14ac:dyDescent="0.15">
      <c r="A22" s="142" t="s">
        <v>6250</v>
      </c>
      <c r="B22" s="142"/>
      <c r="C22" s="142"/>
      <c r="D22" s="142"/>
      <c r="E22" s="142"/>
      <c r="F22" s="142">
        <v>1</v>
      </c>
      <c r="G22" s="142"/>
      <c r="H22" s="142">
        <v>1</v>
      </c>
      <c r="J22" s="142" t="s">
        <v>3505</v>
      </c>
      <c r="K22" s="142">
        <v>1</v>
      </c>
      <c r="L22" s="142"/>
      <c r="M22" s="142"/>
      <c r="N22" s="142"/>
      <c r="O22" s="142"/>
      <c r="P22" s="142"/>
      <c r="Q22" s="142">
        <v>1</v>
      </c>
    </row>
    <row r="23" spans="1:17" x14ac:dyDescent="0.15">
      <c r="A23" s="142" t="s">
        <v>613</v>
      </c>
      <c r="B23" s="142"/>
      <c r="C23" s="142">
        <v>1</v>
      </c>
      <c r="D23" s="142"/>
      <c r="E23" s="142"/>
      <c r="F23" s="142"/>
      <c r="G23" s="142"/>
      <c r="H23" s="142">
        <v>1</v>
      </c>
      <c r="J23" s="142" t="s">
        <v>4888</v>
      </c>
      <c r="K23" s="142"/>
      <c r="L23" s="142"/>
      <c r="M23" s="142"/>
      <c r="N23" s="142">
        <v>1</v>
      </c>
      <c r="O23" s="142"/>
      <c r="P23" s="142"/>
      <c r="Q23" s="142">
        <v>1</v>
      </c>
    </row>
    <row r="24" spans="1:17" x14ac:dyDescent="0.15">
      <c r="A24" s="142" t="s">
        <v>4172</v>
      </c>
      <c r="B24" s="142"/>
      <c r="C24" s="142"/>
      <c r="D24" s="142">
        <v>1</v>
      </c>
      <c r="E24" s="142"/>
      <c r="F24" s="142"/>
      <c r="G24" s="142"/>
      <c r="H24" s="142">
        <v>1</v>
      </c>
      <c r="J24" s="142" t="s">
        <v>3522</v>
      </c>
      <c r="K24" s="142">
        <v>1</v>
      </c>
      <c r="L24" s="142"/>
      <c r="M24" s="142"/>
      <c r="N24" s="142"/>
      <c r="O24" s="142"/>
      <c r="P24" s="142"/>
      <c r="Q24" s="142">
        <v>1</v>
      </c>
    </row>
    <row r="25" spans="1:17" x14ac:dyDescent="0.15">
      <c r="A25" s="142" t="s">
        <v>493</v>
      </c>
      <c r="B25" s="142">
        <v>1</v>
      </c>
      <c r="C25" s="142"/>
      <c r="D25" s="142"/>
      <c r="E25" s="142"/>
      <c r="F25" s="142"/>
      <c r="G25" s="142"/>
      <c r="H25" s="142">
        <v>1</v>
      </c>
      <c r="J25" s="142" t="s">
        <v>6301</v>
      </c>
      <c r="K25" s="142"/>
      <c r="L25" s="142"/>
      <c r="M25" s="142"/>
      <c r="N25" s="142"/>
      <c r="O25" s="142"/>
      <c r="P25" s="142">
        <v>1</v>
      </c>
      <c r="Q25" s="142">
        <v>1</v>
      </c>
    </row>
    <row r="26" spans="1:17" x14ac:dyDescent="0.15">
      <c r="A26" s="142" t="s">
        <v>5314</v>
      </c>
      <c r="B26" s="142"/>
      <c r="C26" s="142"/>
      <c r="D26" s="142">
        <v>1</v>
      </c>
      <c r="E26" s="142"/>
      <c r="F26" s="142"/>
      <c r="G26" s="142"/>
      <c r="H26" s="142">
        <v>1</v>
      </c>
      <c r="J26" s="142" t="s">
        <v>3646</v>
      </c>
      <c r="K26" s="142"/>
      <c r="L26" s="142">
        <v>1</v>
      </c>
      <c r="M26" s="142"/>
      <c r="N26" s="142"/>
      <c r="O26" s="142"/>
      <c r="P26" s="142"/>
      <c r="Q26" s="142">
        <v>1</v>
      </c>
    </row>
    <row r="27" spans="1:17" x14ac:dyDescent="0.15">
      <c r="A27" s="142" t="s">
        <v>3555</v>
      </c>
      <c r="B27" s="142">
        <v>1</v>
      </c>
      <c r="C27" s="142"/>
      <c r="D27" s="142"/>
      <c r="E27" s="142"/>
      <c r="F27" s="142"/>
      <c r="G27" s="142"/>
      <c r="H27" s="142">
        <v>1</v>
      </c>
      <c r="J27" s="142" t="s">
        <v>4608</v>
      </c>
      <c r="K27" s="142"/>
      <c r="L27" s="142"/>
      <c r="M27" s="142">
        <v>1</v>
      </c>
      <c r="N27" s="142"/>
      <c r="O27" s="142"/>
      <c r="P27" s="142"/>
      <c r="Q27" s="142">
        <v>1</v>
      </c>
    </row>
    <row r="28" spans="1:17" x14ac:dyDescent="0.15">
      <c r="A28" s="142" t="s">
        <v>4240</v>
      </c>
      <c r="B28" s="142"/>
      <c r="C28" s="142"/>
      <c r="D28" s="142"/>
      <c r="E28" s="142">
        <v>1</v>
      </c>
      <c r="F28" s="142"/>
      <c r="G28" s="142"/>
      <c r="H28" s="142">
        <v>1</v>
      </c>
      <c r="J28" s="142" t="s">
        <v>2177</v>
      </c>
      <c r="K28" s="142"/>
      <c r="L28" s="142">
        <v>1</v>
      </c>
      <c r="M28" s="142"/>
      <c r="N28" s="142"/>
      <c r="O28" s="142"/>
      <c r="P28" s="142"/>
      <c r="Q28" s="142">
        <v>1</v>
      </c>
    </row>
    <row r="29" spans="1:17" x14ac:dyDescent="0.15">
      <c r="A29" s="142" t="s">
        <v>3575</v>
      </c>
      <c r="B29" s="142">
        <v>1</v>
      </c>
      <c r="C29" s="142"/>
      <c r="D29" s="142"/>
      <c r="E29" s="142"/>
      <c r="F29" s="142"/>
      <c r="G29" s="142"/>
      <c r="H29" s="142">
        <v>1</v>
      </c>
      <c r="J29" s="142" t="s">
        <v>3568</v>
      </c>
      <c r="K29" s="142">
        <v>1</v>
      </c>
      <c r="L29" s="142"/>
      <c r="M29" s="142"/>
      <c r="N29" s="142"/>
      <c r="O29" s="142"/>
      <c r="P29" s="142"/>
      <c r="Q29" s="142">
        <v>1</v>
      </c>
    </row>
    <row r="30" spans="1:17" x14ac:dyDescent="0.15">
      <c r="A30" s="142" t="s">
        <v>3940</v>
      </c>
      <c r="B30" s="142"/>
      <c r="C30" s="142"/>
      <c r="D30" s="142"/>
      <c r="E30" s="142"/>
      <c r="F30" s="142">
        <v>1</v>
      </c>
      <c r="G30" s="142"/>
      <c r="H30" s="142">
        <v>1</v>
      </c>
      <c r="J30" s="142" t="s">
        <v>3557</v>
      </c>
      <c r="K30" s="142">
        <v>1</v>
      </c>
      <c r="L30" s="142"/>
      <c r="M30" s="142"/>
      <c r="N30" s="142"/>
      <c r="O30" s="142"/>
      <c r="P30" s="142"/>
      <c r="Q30" s="142">
        <v>1</v>
      </c>
    </row>
    <row r="31" spans="1:17" x14ac:dyDescent="0.15">
      <c r="A31" s="142" t="s">
        <v>548</v>
      </c>
      <c r="B31" s="142">
        <v>1</v>
      </c>
      <c r="C31" s="142"/>
      <c r="D31" s="142"/>
      <c r="E31" s="142"/>
      <c r="F31" s="142"/>
      <c r="G31" s="142"/>
      <c r="H31" s="142">
        <v>1</v>
      </c>
      <c r="J31" s="142" t="s">
        <v>4241</v>
      </c>
      <c r="K31" s="142"/>
      <c r="L31" s="142"/>
      <c r="M31" s="142"/>
      <c r="N31" s="142">
        <v>1</v>
      </c>
      <c r="O31" s="142"/>
      <c r="P31" s="142"/>
      <c r="Q31" s="142">
        <v>1</v>
      </c>
    </row>
    <row r="32" spans="1:17" x14ac:dyDescent="0.15">
      <c r="A32" s="142" t="s">
        <v>6246</v>
      </c>
      <c r="B32" s="142"/>
      <c r="C32" s="142"/>
      <c r="D32" s="142"/>
      <c r="E32" s="142"/>
      <c r="F32" s="142">
        <v>1</v>
      </c>
      <c r="G32" s="142"/>
      <c r="H32" s="142">
        <v>1</v>
      </c>
      <c r="J32" s="142" t="s">
        <v>3525</v>
      </c>
      <c r="K32" s="142">
        <v>1</v>
      </c>
      <c r="L32" s="142"/>
      <c r="M32" s="142"/>
      <c r="N32" s="142"/>
      <c r="O32" s="142"/>
      <c r="P32" s="142"/>
      <c r="Q32" s="142">
        <v>1</v>
      </c>
    </row>
    <row r="33" spans="1:17" x14ac:dyDescent="0.15">
      <c r="A33" s="142" t="s">
        <v>3718</v>
      </c>
      <c r="B33" s="142"/>
      <c r="C33" s="142">
        <v>1</v>
      </c>
      <c r="D33" s="142"/>
      <c r="E33" s="142"/>
      <c r="F33" s="142"/>
      <c r="G33" s="142"/>
      <c r="H33" s="142">
        <v>1</v>
      </c>
      <c r="J33" s="142" t="s">
        <v>3941</v>
      </c>
      <c r="K33" s="142"/>
      <c r="L33" s="142"/>
      <c r="M33" s="142"/>
      <c r="N33" s="142"/>
      <c r="O33" s="142">
        <v>1</v>
      </c>
      <c r="P33" s="142"/>
      <c r="Q33" s="142">
        <v>1</v>
      </c>
    </row>
    <row r="34" spans="1:17" x14ac:dyDescent="0.15">
      <c r="A34" s="142" t="s">
        <v>572</v>
      </c>
      <c r="B34" s="142"/>
      <c r="C34" s="142">
        <v>1</v>
      </c>
      <c r="D34" s="142"/>
      <c r="E34" s="142"/>
      <c r="F34" s="142"/>
      <c r="G34" s="142"/>
      <c r="H34" s="142">
        <v>1</v>
      </c>
      <c r="J34" s="142" t="s">
        <v>3719</v>
      </c>
      <c r="K34" s="142"/>
      <c r="L34" s="142">
        <v>1</v>
      </c>
      <c r="M34" s="142"/>
      <c r="N34" s="142"/>
      <c r="O34" s="142"/>
      <c r="P34" s="142"/>
      <c r="Q34" s="142">
        <v>1</v>
      </c>
    </row>
    <row r="35" spans="1:17" x14ac:dyDescent="0.15">
      <c r="A35" s="142" t="s">
        <v>700</v>
      </c>
      <c r="B35" s="142">
        <v>1</v>
      </c>
      <c r="C35" s="142"/>
      <c r="D35" s="142"/>
      <c r="E35" s="142"/>
      <c r="F35" s="142"/>
      <c r="G35" s="142"/>
      <c r="H35" s="142">
        <v>1</v>
      </c>
      <c r="J35" s="142" t="s">
        <v>6247</v>
      </c>
      <c r="K35" s="142"/>
      <c r="L35" s="142"/>
      <c r="M35" s="142"/>
      <c r="N35" s="142"/>
      <c r="O35" s="142">
        <v>1</v>
      </c>
      <c r="P35" s="142"/>
      <c r="Q35" s="142">
        <v>1</v>
      </c>
    </row>
    <row r="36" spans="1:17" x14ac:dyDescent="0.15">
      <c r="A36" s="144" t="s">
        <v>645</v>
      </c>
      <c r="B36" s="142">
        <v>27</v>
      </c>
      <c r="C36" s="142">
        <v>35</v>
      </c>
      <c r="D36" s="142">
        <v>40</v>
      </c>
      <c r="E36" s="142">
        <v>11</v>
      </c>
      <c r="F36" s="142">
        <v>3</v>
      </c>
      <c r="G36" s="142">
        <v>1</v>
      </c>
      <c r="H36" s="142">
        <v>117</v>
      </c>
      <c r="J36" s="142" t="s">
        <v>4173</v>
      </c>
      <c r="K36" s="142"/>
      <c r="L36" s="142"/>
      <c r="M36" s="142">
        <v>1</v>
      </c>
      <c r="N36" s="142"/>
      <c r="O36" s="142"/>
      <c r="P36" s="142"/>
      <c r="Q36" s="142">
        <v>1</v>
      </c>
    </row>
    <row r="37" spans="1:17" x14ac:dyDescent="0.15">
      <c r="J37" s="142" t="s">
        <v>3586</v>
      </c>
      <c r="K37" s="142">
        <v>1</v>
      </c>
      <c r="L37" s="142"/>
      <c r="M37" s="142"/>
      <c r="N37" s="142"/>
      <c r="O37" s="142"/>
      <c r="P37" s="142"/>
      <c r="Q37" s="142">
        <v>1</v>
      </c>
    </row>
    <row r="38" spans="1:17" x14ac:dyDescent="0.15">
      <c r="J38" s="142" t="s">
        <v>3954</v>
      </c>
      <c r="K38" s="142"/>
      <c r="L38" s="142"/>
      <c r="M38" s="142">
        <v>1</v>
      </c>
      <c r="N38" s="142"/>
      <c r="O38" s="142"/>
      <c r="P38" s="142"/>
      <c r="Q38" s="142">
        <v>1</v>
      </c>
    </row>
    <row r="39" spans="1:17" x14ac:dyDescent="0.15">
      <c r="J39" s="144" t="s">
        <v>645</v>
      </c>
      <c r="K39" s="142">
        <v>27</v>
      </c>
      <c r="L39" s="142">
        <v>35</v>
      </c>
      <c r="M39" s="142">
        <v>40</v>
      </c>
      <c r="N39" s="142">
        <v>11</v>
      </c>
      <c r="O39" s="142">
        <v>3</v>
      </c>
      <c r="P39" s="142">
        <v>1</v>
      </c>
      <c r="Q39" s="142">
        <v>117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Pricelist</vt:lpstr>
      <vt:lpstr>Quotation</vt:lpstr>
      <vt:lpstr>TS</vt:lpstr>
      <vt:lpstr>RMB</vt:lpstr>
      <vt:lpstr>Order</vt:lpstr>
      <vt:lpstr>Staff</vt:lpstr>
      <vt:lpstr>Landmark</vt:lpstr>
      <vt:lpstr>Customer</vt:lpstr>
      <vt:lpstr>Contacts</vt:lpstr>
      <vt:lpstr>Visit</vt:lpstr>
      <vt:lpstr>Dict</vt:lpstr>
      <vt:lpstr>Pivot</vt:lpstr>
    </vt:vector>
  </TitlesOfParts>
  <Company>bz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咚咚呛</cp:lastModifiedBy>
  <dcterms:created xsi:type="dcterms:W3CDTF">2017-02-27T08:08:53Z</dcterms:created>
  <dcterms:modified xsi:type="dcterms:W3CDTF">2019-03-04T02:41:58Z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>
    <vt:lpwstr>10</vt:lpwstr>
  </property>
  <property fmtid="{D5CDD505-2E9C-101B-9397-08002B2CF9AE}" pid="3" name="KSOProductBuildVer">
    <vt:lpwstr>2052-10.1.0.7400</vt:lpwstr>
  </property>
</Properties>
</file>