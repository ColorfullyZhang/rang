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83436F4-E599-4275-A32F-F8343DF2FA67}" xr6:coauthVersionLast="45" xr6:coauthVersionMax="45" xr10:uidLastSave="{00000000-0000-0000-0000-000000000000}"/>
  <bookViews>
    <workbookView xWindow="-120" yWindow="-120" windowWidth="19440" windowHeight="116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客户信息" sheetId="4" r:id="rId5"/>
    <sheet name="费用" sheetId="5" r:id="rId6"/>
  </sheets>
  <definedNames>
    <definedName name="_xlnm.Print_Area" localSheetId="3">流水!#REF!</definedName>
  </definedNames>
  <calcPr calcId="181029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7" i="9" l="1"/>
  <c r="E77" i="9"/>
  <c r="I77" i="9"/>
  <c r="D76" i="9" l="1"/>
  <c r="E76" i="9"/>
  <c r="I76" i="9"/>
  <c r="D75" i="9"/>
  <c r="E75" i="9"/>
  <c r="I75" i="9"/>
  <c r="D74" i="9"/>
  <c r="E74" i="9"/>
  <c r="I74" i="9"/>
  <c r="D72" i="9" l="1"/>
  <c r="E72" i="9"/>
  <c r="I72" i="9"/>
  <c r="D61" i="9" l="1"/>
  <c r="E61" i="9"/>
  <c r="I61" i="9"/>
  <c r="D73" i="9" l="1"/>
  <c r="E73" i="9"/>
  <c r="I73" i="9"/>
  <c r="D68" i="9"/>
  <c r="E68" i="9"/>
  <c r="I68" i="9"/>
  <c r="D67" i="9" l="1"/>
  <c r="E67" i="9"/>
  <c r="I67" i="9"/>
  <c r="D70" i="9"/>
  <c r="E70" i="9"/>
  <c r="I70" i="9"/>
  <c r="D71" i="9"/>
  <c r="E71" i="9"/>
  <c r="I71" i="9"/>
  <c r="D69" i="9" l="1"/>
  <c r="E69" i="9"/>
  <c r="I69" i="9"/>
  <c r="D50" i="9"/>
  <c r="E50" i="9"/>
  <c r="I50" i="9"/>
  <c r="D51" i="9" l="1"/>
  <c r="E51" i="9"/>
  <c r="I51" i="9"/>
  <c r="D60" i="9" l="1"/>
  <c r="L1" i="10"/>
  <c r="L2" i="10"/>
  <c r="M1" i="10" s="1"/>
  <c r="M2" i="10" s="1"/>
  <c r="N1" i="10" s="1"/>
  <c r="N2" i="10" s="1"/>
  <c r="O1" i="10" s="1"/>
  <c r="O2" i="10" s="1"/>
  <c r="K2" i="10"/>
  <c r="K1" i="10"/>
  <c r="J2" i="10"/>
  <c r="E60" i="9" l="1"/>
  <c r="I60" i="9"/>
  <c r="D53" i="9"/>
  <c r="E53" i="9"/>
  <c r="I53" i="9"/>
  <c r="D66" i="9" l="1"/>
  <c r="E66" i="9"/>
  <c r="I66" i="9"/>
  <c r="D2" i="9" l="1"/>
  <c r="E2" i="9"/>
  <c r="I2" i="9"/>
  <c r="D65" i="9" l="1"/>
  <c r="E65" i="9"/>
  <c r="I65" i="9"/>
  <c r="D64" i="9"/>
  <c r="E64" i="9"/>
  <c r="I64" i="9"/>
  <c r="D63" i="9"/>
  <c r="E63" i="9"/>
  <c r="I63" i="9"/>
  <c r="D47" i="9" l="1"/>
  <c r="E47" i="9"/>
  <c r="I47" i="9"/>
  <c r="D31" i="9" l="1"/>
  <c r="E31" i="9"/>
  <c r="I31" i="9"/>
  <c r="D32" i="9" l="1"/>
  <c r="E32" i="9"/>
  <c r="I32" i="9"/>
  <c r="D59" i="9" l="1"/>
  <c r="E59" i="9"/>
  <c r="I59" i="9"/>
  <c r="D36" i="9" l="1"/>
  <c r="E36" i="9"/>
  <c r="I36" i="9"/>
  <c r="D58" i="9" l="1"/>
  <c r="E58" i="9"/>
  <c r="I58" i="9"/>
  <c r="D57" i="9"/>
  <c r="E57" i="9"/>
  <c r="I57" i="9"/>
  <c r="D62" i="9"/>
  <c r="E62" i="9"/>
  <c r="I62" i="9"/>
  <c r="D9" i="9"/>
  <c r="D3" i="9"/>
  <c r="D10" i="9"/>
  <c r="D17" i="9"/>
  <c r="D24" i="9"/>
  <c r="D30" i="9"/>
  <c r="D48" i="9"/>
  <c r="D5" i="9"/>
  <c r="D6" i="9"/>
  <c r="D12" i="9"/>
  <c r="D13" i="9"/>
  <c r="D14" i="9"/>
  <c r="D18" i="9"/>
  <c r="D19" i="9"/>
  <c r="D37" i="9"/>
  <c r="D16" i="9"/>
  <c r="D45" i="9"/>
  <c r="D28" i="9"/>
  <c r="D38" i="9"/>
  <c r="D4" i="9"/>
  <c r="D11" i="9"/>
  <c r="D40" i="9"/>
  <c r="D54" i="9"/>
  <c r="D20" i="9"/>
  <c r="D29" i="9"/>
  <c r="D7" i="9"/>
  <c r="D15" i="9"/>
  <c r="D23" i="9"/>
  <c r="D21" i="9"/>
  <c r="D8" i="9"/>
  <c r="D27" i="9"/>
  <c r="D22" i="9"/>
  <c r="D25" i="9"/>
  <c r="D26" i="9"/>
  <c r="D33" i="9"/>
  <c r="D34" i="9"/>
  <c r="D35" i="9"/>
  <c r="D41" i="9"/>
  <c r="D43" i="9"/>
  <c r="D42" i="9"/>
  <c r="D39" i="9"/>
  <c r="D44" i="9"/>
  <c r="D46" i="9"/>
  <c r="D49" i="9"/>
  <c r="D55" i="9"/>
  <c r="D56" i="9"/>
  <c r="D52" i="9"/>
  <c r="E52" i="9"/>
  <c r="I52" i="9"/>
  <c r="E55" i="9"/>
  <c r="E56" i="9"/>
  <c r="I55" i="9"/>
  <c r="I56" i="9"/>
  <c r="E49" i="9"/>
  <c r="I49" i="9"/>
  <c r="E46" i="9"/>
  <c r="I46" i="9"/>
  <c r="E44" i="9"/>
  <c r="I44" i="9"/>
  <c r="E39" i="9"/>
  <c r="I39" i="9"/>
  <c r="E41" i="9"/>
  <c r="E43" i="9"/>
  <c r="E42" i="9"/>
  <c r="I41" i="9"/>
  <c r="I43" i="9"/>
  <c r="I42" i="9"/>
  <c r="E33" i="9"/>
  <c r="E34" i="9"/>
  <c r="E35" i="9"/>
  <c r="I33" i="9"/>
  <c r="I34" i="9"/>
  <c r="I35" i="9"/>
  <c r="E9" i="9"/>
  <c r="E3" i="9"/>
  <c r="E10" i="9"/>
  <c r="E17" i="9"/>
  <c r="E24" i="9"/>
  <c r="E30" i="9"/>
  <c r="E48" i="9"/>
  <c r="E5" i="9"/>
  <c r="E6" i="9"/>
  <c r="E12" i="9"/>
  <c r="E13" i="9"/>
  <c r="E14" i="9"/>
  <c r="E18" i="9"/>
  <c r="E19" i="9"/>
  <c r="E37" i="9"/>
  <c r="E16" i="9"/>
  <c r="E45" i="9"/>
  <c r="E28" i="9"/>
  <c r="E38" i="9"/>
  <c r="E4" i="9"/>
  <c r="E11" i="9"/>
  <c r="E40" i="9"/>
  <c r="E54" i="9"/>
  <c r="E20" i="9"/>
  <c r="E29" i="9"/>
  <c r="E7" i="9"/>
  <c r="E15" i="9"/>
  <c r="E23" i="9"/>
  <c r="E21" i="9"/>
  <c r="E8" i="9"/>
  <c r="E27" i="9"/>
  <c r="E22" i="9"/>
  <c r="E25" i="9"/>
  <c r="E26" i="9"/>
  <c r="I26" i="9"/>
  <c r="I25" i="9"/>
  <c r="I22" i="9"/>
  <c r="I9" i="9"/>
  <c r="I3" i="9"/>
  <c r="I10" i="9"/>
  <c r="I17" i="9"/>
  <c r="I24" i="9"/>
  <c r="I30" i="9"/>
  <c r="I48" i="9"/>
  <c r="I5" i="9"/>
  <c r="I6" i="9"/>
  <c r="I12" i="9"/>
  <c r="I13" i="9"/>
  <c r="I14" i="9"/>
  <c r="I18" i="9"/>
  <c r="I19" i="9"/>
  <c r="I37" i="9"/>
  <c r="I16" i="9"/>
  <c r="I45" i="9"/>
  <c r="I28" i="9"/>
  <c r="I38" i="9"/>
  <c r="I4" i="9"/>
  <c r="I11" i="9"/>
  <c r="I40" i="9"/>
  <c r="I54" i="9"/>
  <c r="I20" i="9"/>
  <c r="I29" i="9"/>
  <c r="I7" i="9"/>
  <c r="I15" i="9"/>
  <c r="I23" i="9"/>
  <c r="I21" i="9"/>
  <c r="I8" i="9"/>
  <c r="I27" i="9"/>
</calcChain>
</file>

<file path=xl/sharedStrings.xml><?xml version="1.0" encoding="utf-8"?>
<sst xmlns="http://schemas.openxmlformats.org/spreadsheetml/2006/main" count="1641" uniqueCount="542">
  <si>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</si>
  <si>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</si>
  <si>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</si>
  <si>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</si>
  <si>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</si>
  <si>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</si>
  <si>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</si>
  <si>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</si>
  <si>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</si>
  <si>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</si>
  <si>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YJCSHAN1915429</t>
  </si>
  <si>
    <t>YJCSHAN1915772</t>
  </si>
  <si>
    <t>YJCSHAN1915768</t>
  </si>
  <si>
    <t>219CABO-HS040/HS041/HS042</t>
  </si>
  <si>
    <t>YJCSHAN1915769</t>
  </si>
  <si>
    <t>HANSSEM</t>
  </si>
  <si>
    <t>YJCSHAN1915583</t>
  </si>
  <si>
    <t>YJCSHAN1915778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</si>
  <si>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</si>
  <si>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</si>
  <si>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</si>
  <si>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</si>
  <si>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</si>
  <si>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</si>
  <si>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</si>
  <si>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</si>
  <si>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</si>
  <si>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</si>
  <si>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</si>
  <si>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</si>
  <si>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</si>
  <si>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</si>
  <si>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</si>
  <si>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</si>
  <si>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</si>
  <si>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</si>
  <si>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</si>
  <si>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</si>
  <si>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</si>
  <si>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</si>
  <si>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</si>
  <si>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</si>
  <si>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</si>
  <si>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</si>
  <si>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</si>
  <si>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</si>
  <si>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</si>
  <si>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</si>
  <si>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</si>
  <si>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</si>
  <si>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</si>
  <si>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</si>
  <si>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</si>
  <si>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</si>
  <si>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新客户确认：</t>
    <phoneticPr fontId="4" type="noConversion"/>
  </si>
  <si>
    <t>kookyang没通知的话，CASAMIA所有货都是pancon/INC，跟SHPR确认</t>
    <phoneticPr fontId="4" type="noConversion"/>
  </si>
  <si>
    <t>发给KOOKYANG booking list 上 加了一个项目是否surrender、“Conditions of Surrender: YES(  )  NO(O)”</t>
  </si>
  <si>
    <t>SSEM GLOBAL</t>
    <phoneticPr fontId="4" type="noConversion"/>
  </si>
  <si>
    <t>HANSSEM</t>
    <phoneticPr fontId="4" type="noConversion"/>
  </si>
  <si>
    <t>CASAMIA</t>
    <phoneticPr fontId="4" type="noConversion"/>
  </si>
  <si>
    <t>备注</t>
    <phoneticPr fontId="4" type="noConversion"/>
  </si>
  <si>
    <t>QQ</t>
    <phoneticPr fontId="4" type="noConversion"/>
  </si>
  <si>
    <t>发货人</t>
    <phoneticPr fontId="4" type="noConversion"/>
  </si>
  <si>
    <t>收货人</t>
    <phoneticPr fontId="4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</si>
  <si>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</si>
  <si>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</si>
  <si>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</si>
  <si>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</si>
  <si>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</si>
  <si>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</si>
  <si>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</si>
  <si>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HANSSEM EFFEX</t>
    <phoneticPr fontId="4" type="noConversion"/>
  </si>
  <si>
    <t>CASAMIA 要抄送陈鑫，第一个月我们代收代付</t>
    <phoneticPr fontId="4" type="noConversion"/>
  </si>
  <si>
    <t>寄单地址：上海市闵行区吴中路1235号7楼AB座 15050260290 Ellie Luo</t>
    <phoneticPr fontId="2" type="noConversion"/>
  </si>
  <si>
    <t>CASAMIA 每次都要PO NO</t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</si>
  <si>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</si>
  <si>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</si>
  <si>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</si>
  <si>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</si>
  <si>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</si>
  <si>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</si>
  <si>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</si>
  <si>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</si>
  <si>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</si>
  <si>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</si>
  <si>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</si>
  <si>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</si>
  <si>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</si>
  <si>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</si>
  <si>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</si>
  <si>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</si>
  <si>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</si>
  <si>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</si>
  <si>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</si>
  <si>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</si>
  <si>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</si>
  <si>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</si>
  <si>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</si>
  <si>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</si>
  <si>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</si>
  <si>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V/V: 00000000  ETD 00/00  schedule was delayed from 12/25 to 1/1 due to bad weather(typhoon).</t>
  </si>
  <si>
    <t xml:space="preserve">Please confirm delay notice , and we'll contract again if there's a change . </t>
  </si>
  <si>
    <t>振华 周三王燕华做的，周日叶静做的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</si>
  <si>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</si>
  <si>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</si>
  <si>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</si>
  <si>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</si>
  <si>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</si>
  <si>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</si>
  <si>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</si>
  <si>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</si>
  <si>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</si>
  <si>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</si>
  <si>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</si>
  <si>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</si>
  <si>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</si>
  <si>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</si>
  <si>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</si>
  <si>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</si>
  <si>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</si>
  <si>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</si>
  <si>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</si>
  <si>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</si>
  <si>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</si>
  <si>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</si>
  <si>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</si>
  <si>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</si>
  <si>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</si>
  <si>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</si>
  <si>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</si>
  <si>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</si>
  <si>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</si>
  <si>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</si>
  <si>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</si>
  <si>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</si>
  <si>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</si>
  <si>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</si>
  <si>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</si>
  <si>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</si>
  <si>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</si>
  <si>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</si>
  <si>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</si>
  <si>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</si>
  <si>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</si>
  <si>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</si>
  <si>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</si>
  <si>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</si>
  <si>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</si>
  <si>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</si>
  <si>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</si>
  <si>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</si>
  <si>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</si>
  <si>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</si>
  <si>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</si>
  <si>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</si>
  <si>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2285</t>
    <phoneticPr fontId="2" type="noConversion"/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</si>
  <si>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</si>
  <si>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</si>
  <si>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</si>
  <si>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</si>
  <si>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</si>
  <si>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</si>
  <si>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</si>
  <si>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</si>
  <si>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</si>
  <si>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</si>
  <si>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</si>
  <si>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</si>
  <si>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</si>
  <si>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</si>
  <si>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</si>
  <si>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华宝 - 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</si>
  <si>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</si>
  <si>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</si>
  <si>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</si>
  <si>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</si>
  <si>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</si>
  <si>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</si>
  <si>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</si>
  <si>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</si>
  <si>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</si>
  <si>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</si>
  <si>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</si>
  <si>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</si>
  <si>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</si>
  <si>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</si>
  <si>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</si>
  <si>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</si>
  <si>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</si>
  <si>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</si>
  <si>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</si>
  <si>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</si>
  <si>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</si>
  <si>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</si>
  <si>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</si>
  <si>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</si>
  <si>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</si>
  <si>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</si>
  <si>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</si>
  <si>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PCLU1942HN4300</t>
  </si>
  <si>
    <t>周三20TEU</t>
    <phoneticPr fontId="2" type="noConversion"/>
  </si>
  <si>
    <t>周日40TEU</t>
    <phoneticPr fontId="2" type="noConversion"/>
  </si>
  <si>
    <t>列1</t>
    <phoneticPr fontId="2" type="noConversion"/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</si>
  <si>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</si>
  <si>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</si>
  <si>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</si>
  <si>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</si>
  <si>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HBL拼2</t>
    <phoneticPr fontId="2" type="noConversion"/>
  </si>
  <si>
    <t>CASAMIA</t>
  </si>
  <si>
    <t>CASAMIA</t>
    <phoneticPr fontId="2" type="noConversion"/>
  </si>
  <si>
    <t>╳</t>
    <phoneticPr fontId="2" type="noConversion"/>
  </si>
  <si>
    <t>OK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</si>
  <si>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</si>
  <si>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</si>
  <si>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</si>
  <si>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</si>
  <si>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</si>
  <si>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</si>
  <si>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</si>
  <si>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</si>
  <si>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</si>
  <si>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</si>
  <si>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</si>
  <si>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</si>
  <si>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</si>
  <si>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</si>
  <si>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</si>
  <si>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</si>
  <si>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</si>
  <si>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</si>
  <si>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</si>
  <si>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</si>
  <si>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LOUISUN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</si>
  <si>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</si>
  <si>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</si>
  <si>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</si>
  <si>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</si>
  <si>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</si>
  <si>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</si>
  <si>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</si>
  <si>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</si>
  <si>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</si>
  <si>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</si>
  <si>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</si>
  <si>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</si>
  <si>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</si>
  <si>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拼1</t>
    <phoneticPr fontId="2" type="noConversion"/>
  </si>
  <si>
    <t>拼1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</si>
  <si>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</si>
  <si>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</si>
  <si>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</si>
  <si>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</si>
  <si>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</si>
  <si>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</si>
  <si>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</si>
  <si>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</si>
  <si>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</si>
  <si>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</si>
  <si>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</si>
  <si>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</si>
  <si>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</si>
  <si>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OK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</si>
  <si>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</si>
  <si>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</si>
  <si>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</si>
  <si>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</si>
  <si>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</si>
  <si>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</si>
  <si>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</si>
  <si>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</si>
  <si>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</si>
  <si>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</si>
  <si>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</si>
  <si>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</si>
  <si>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</si>
  <si>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</si>
  <si>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</si>
  <si>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</si>
  <si>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</si>
  <si>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</si>
  <si>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</si>
  <si>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</si>
  <si>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</si>
  <si>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</si>
  <si>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</si>
  <si>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</si>
  <si>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</si>
  <si>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</si>
  <si>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</si>
  <si>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</si>
  <si>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</si>
  <si>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</si>
  <si>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</si>
  <si>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</si>
  <si>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</si>
  <si>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</si>
  <si>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</si>
  <si>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</si>
  <si>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</si>
  <si>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</si>
  <si>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</si>
  <si>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</si>
  <si>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</si>
  <si>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</si>
  <si>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</si>
  <si>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</si>
  <si>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YJCSHAN1916287</t>
  </si>
  <si>
    <t>YJCSHAN1916011</t>
  </si>
  <si>
    <t>$00/40(KY)</t>
    <phoneticPr fontId="2" type="noConversion"/>
  </si>
  <si>
    <t>浙江省嘉兴市平湖市独山港镇振业路228号</t>
    <phoneticPr fontId="2" type="noConversion"/>
  </si>
  <si>
    <t>YJCSHAN1916157</t>
  </si>
  <si>
    <t>YJCSHAN1916158</t>
  </si>
  <si>
    <t>YJCSHAN1916156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</si>
  <si>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</si>
  <si>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</si>
  <si>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</si>
  <si>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</si>
  <si>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</si>
  <si>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</si>
  <si>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</si>
  <si>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</si>
  <si>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</si>
  <si>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</si>
  <si>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</si>
  <si>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YJCSHAN1916061</t>
  </si>
  <si>
    <t>YJCSHAN1916063</t>
  </si>
  <si>
    <t>YJCSHAN1916064</t>
  </si>
  <si>
    <t>YJCSHAN1916288</t>
  </si>
  <si>
    <t>YJCSHAN1916289</t>
  </si>
  <si>
    <t>YJCSHAN1916290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</si>
  <si>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</si>
  <si>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</si>
  <si>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</si>
  <si>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</si>
  <si>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</si>
  <si>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</si>
  <si>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</si>
  <si>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</si>
  <si>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</si>
  <si>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</si>
  <si>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(KY)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</si>
  <si>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</si>
  <si>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</si>
  <si>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</si>
  <si>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</si>
  <si>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</si>
  <si>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</si>
  <si>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</si>
  <si>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</si>
  <si>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</si>
  <si>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</si>
  <si>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</si>
  <si>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</si>
  <si>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</si>
  <si>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</si>
  <si>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</si>
  <si>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</si>
  <si>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</si>
  <si>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</si>
  <si>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</si>
  <si>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</si>
  <si>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</si>
  <si>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</si>
  <si>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</si>
  <si>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</si>
  <si>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</si>
  <si>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</si>
  <si>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</si>
  <si>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</si>
  <si>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</si>
  <si>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</si>
  <si>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</si>
  <si>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</si>
  <si>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</si>
  <si>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</si>
  <si>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列2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</si>
  <si>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</si>
  <si>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</si>
  <si>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</si>
  <si>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</si>
  <si>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</si>
  <si>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</si>
  <si>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</si>
  <si>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</si>
  <si>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</si>
  <si>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</si>
  <si>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代收/付款买单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</si>
  <si>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</si>
  <si>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</si>
  <si>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</si>
  <si>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电子票（康芸）</t>
    <phoneticPr fontId="2" type="noConversion"/>
  </si>
  <si>
    <t>电子票（瑞显）</t>
    <phoneticPr fontId="2" type="noConversion"/>
  </si>
  <si>
    <t>电子票（藤越）</t>
    <phoneticPr fontId="2" type="noConversion"/>
  </si>
  <si>
    <t>电子票（纬领）</t>
    <phoneticPr fontId="2" type="noConversion"/>
  </si>
  <si>
    <t>代收/付款买单/抵扣万盛</t>
    <phoneticPr fontId="2" type="noConversion"/>
  </si>
  <si>
    <t>代收/月结</t>
    <phoneticPr fontId="2" type="noConversion"/>
  </si>
  <si>
    <t>华达利</t>
    <phoneticPr fontId="4" type="noConversion"/>
  </si>
  <si>
    <t>瑞显 LOUISUN</t>
    <phoneticPr fontId="4" type="noConversion"/>
  </si>
  <si>
    <t>雅家居</t>
    <phoneticPr fontId="4" type="noConversion"/>
  </si>
  <si>
    <t>海宁洲际</t>
    <phoneticPr fontId="4" type="noConversion"/>
  </si>
  <si>
    <t>卡帛</t>
    <phoneticPr fontId="4" type="noConversion"/>
  </si>
  <si>
    <t>华大</t>
    <phoneticPr fontId="4" type="noConversion"/>
  </si>
  <si>
    <t>顾家</t>
    <phoneticPr fontId="4" type="noConversion"/>
  </si>
  <si>
    <t>万盛</t>
    <phoneticPr fontId="4" type="noConversion"/>
  </si>
  <si>
    <t>安吉</t>
    <phoneticPr fontId="4" type="noConversion"/>
  </si>
  <si>
    <t>永艺</t>
    <phoneticPr fontId="4" type="noConversion"/>
  </si>
  <si>
    <t>华宝</t>
    <phoneticPr fontId="4" type="noConversion"/>
  </si>
  <si>
    <t>SH GLV月结</t>
    <phoneticPr fontId="2" type="noConversion"/>
  </si>
  <si>
    <t>不用发电放提单给SHPR</t>
    <phoneticPr fontId="4" type="noConversion"/>
  </si>
  <si>
    <t>发票要分开开（各单分别开票，按明细显示），25号前和清单一起寄客户。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</si>
  <si>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</si>
  <si>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</si>
  <si>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</si>
  <si>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219CABO-HS039/HS043/HS047/HS048</t>
    <phoneticPr fontId="2" type="noConversion"/>
  </si>
  <si>
    <t>查验没上船，改配13号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</si>
  <si>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</si>
  <si>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</si>
  <si>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</si>
  <si>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</si>
  <si>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华宝</t>
    <phoneticPr fontId="2" type="noConversion"/>
  </si>
  <si>
    <t>CHATTANOOGA 1941E</t>
    <phoneticPr fontId="2" type="noConversion"/>
  </si>
  <si>
    <t>CHATTANOOGA 1935E</t>
  </si>
  <si>
    <t>PCLU1935HN4XXX</t>
  </si>
  <si>
    <t>PEGASUS TERA 1790E</t>
  </si>
  <si>
    <t>PCLU1790PE4XXX</t>
  </si>
  <si>
    <t>CHATTANOOGA 1936E</t>
  </si>
  <si>
    <t>PCLU1936HN4XXX</t>
  </si>
  <si>
    <t>PEGASUS TERA 1791E</t>
  </si>
  <si>
    <t>PCLU1791PE4XXX</t>
  </si>
  <si>
    <t>CHATTANOOGA 1937E</t>
  </si>
  <si>
    <t>PCLU1937HN4XXX</t>
  </si>
  <si>
    <t>PEGASUS TERA 1792E</t>
  </si>
  <si>
    <t>PCLU1792PE4XXX</t>
  </si>
  <si>
    <t>CHATTANOOGA 1938E</t>
  </si>
  <si>
    <t>PCLU1938HN4XXX</t>
  </si>
  <si>
    <t>PEGASUS TERA 1793E</t>
  </si>
  <si>
    <t>PCLU1793PE4XXX</t>
  </si>
  <si>
    <t>CHATTANOOGA 1939E</t>
  </si>
  <si>
    <t>PCLU1939HN4XXX</t>
  </si>
  <si>
    <t>PEGASUS TERA 1794E</t>
  </si>
  <si>
    <t>PCLU1794PE4XXX</t>
  </si>
  <si>
    <t>PCLU1940HN4XXX</t>
  </si>
  <si>
    <t>PCLU1795PE4XXX</t>
  </si>
  <si>
    <t>PCLU1941HN4XXX</t>
  </si>
  <si>
    <t>PEGASUS TERA 1796E</t>
  </si>
  <si>
    <t>PCLU1796PE4XXX</t>
  </si>
  <si>
    <t>CHATTANOOGA 1942E</t>
  </si>
  <si>
    <t>PCLU1942HN4XXX</t>
  </si>
  <si>
    <t>PCLU1797PE4XXX</t>
  </si>
  <si>
    <t>CHATTANOOGA 1943E</t>
  </si>
  <si>
    <t>PCLU1943HN4XXX</t>
  </si>
  <si>
    <t>PEGASUS TERA 1798E</t>
  </si>
  <si>
    <t>PCLU1798PE4XXX</t>
  </si>
  <si>
    <t>PCLU1941HN4303</t>
    <phoneticPr fontId="2" type="noConversion"/>
  </si>
  <si>
    <t>拼4305</t>
    <phoneticPr fontId="2" type="noConversion"/>
  </si>
  <si>
    <t>拼4301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</si>
  <si>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</si>
  <si>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</si>
  <si>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</si>
  <si>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</si>
  <si>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</si>
  <si>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提单盖章不要AS CARRIER，勾上Carrier Print
提单寄郑淑莉，发票寄滕越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</si>
  <si>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</si>
  <si>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</si>
  <si>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</si>
  <si>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</si>
  <si>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</si>
  <si>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</si>
  <si>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</si>
  <si>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</si>
  <si>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</si>
  <si>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</si>
  <si>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</si>
  <si>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</si>
  <si>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</si>
  <si>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</si>
  <si>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HANSSEM</t>
    <phoneticPr fontId="2" type="noConversion"/>
  </si>
  <si>
    <t>YJCSHAN1916610</t>
  </si>
  <si>
    <t>PCLU1797PE4402</t>
    <phoneticPr fontId="2" type="noConversion"/>
  </si>
  <si>
    <t>PCLU1797PE4404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</si>
  <si>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</si>
  <si>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</si>
  <si>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</si>
  <si>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</si>
  <si>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</si>
  <si>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</si>
  <si>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YJCSHAN1916613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</si>
  <si>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</si>
  <si>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</si>
  <si>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</si>
  <si>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</si>
  <si>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</si>
  <si>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</si>
  <si>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</si>
  <si>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</si>
  <si>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</si>
  <si>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</si>
  <si>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</si>
  <si>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MBL已放，HBL等水单</t>
    <phoneticPr fontId="2" type="noConversion"/>
  </si>
  <si>
    <t>1011 773007969724508</t>
    <phoneticPr fontId="2" type="noConversion"/>
  </si>
  <si>
    <t>KMTCSHAE441748</t>
  </si>
  <si>
    <t>PANCON改KMTC</t>
    <phoneticPr fontId="2" type="noConversion"/>
  </si>
  <si>
    <t>分单号不要加字母</t>
    <phoneticPr fontId="2" type="noConversion"/>
  </si>
  <si>
    <t>纸票（按明细显示）</t>
    <phoneticPr fontId="2" type="noConversion"/>
  </si>
  <si>
    <t>200(正本要求)</t>
    <phoneticPr fontId="2" type="noConversion"/>
  </si>
  <si>
    <t>000(电放等通知)</t>
    <phoneticPr fontId="2" type="noConversion"/>
  </si>
  <si>
    <t>正本提单寄: Tang Yong Kai</t>
    <phoneticPr fontId="2" type="noConversion"/>
  </si>
  <si>
    <t>邮件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</si>
  <si>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</si>
  <si>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</si>
  <si>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</si>
  <si>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alison.chen</t>
    <phoneticPr fontId="2" type="noConversion"/>
  </si>
  <si>
    <t>金峰</t>
    <phoneticPr fontId="2" type="noConversion"/>
  </si>
  <si>
    <t>Sara Song</t>
    <phoneticPr fontId="2" type="noConversion"/>
  </si>
  <si>
    <t>zhengshuli/jiangxiaojuan</t>
    <phoneticPr fontId="2" type="noConversion"/>
  </si>
  <si>
    <t>yuming.zhang</t>
    <phoneticPr fontId="2" type="noConversion"/>
  </si>
  <si>
    <t>公司没装</t>
    <phoneticPr fontId="4" type="noConversion"/>
  </si>
  <si>
    <t>苏州众臣</t>
    <phoneticPr fontId="4" type="noConversion"/>
  </si>
  <si>
    <t>亚东潘汝男/潘贵梅/小吴</t>
    <phoneticPr fontId="4" type="noConversion"/>
  </si>
  <si>
    <t>HS指代出货群</t>
    <phoneticPr fontId="4" type="noConversion"/>
  </si>
  <si>
    <t>纬领小宋</t>
    <phoneticPr fontId="4" type="noConversion"/>
  </si>
  <si>
    <t>雅家居 金峰</t>
    <phoneticPr fontId="4" type="noConversion"/>
  </si>
  <si>
    <t>非相陈小姐</t>
    <phoneticPr fontId="2" type="noConversion"/>
  </si>
  <si>
    <t>上海瑞显ELLIE罗小姐</t>
    <phoneticPr fontId="4" type="noConversion"/>
  </si>
  <si>
    <t>郑淑莉</t>
    <phoneticPr fontId="2" type="noConversion"/>
  </si>
  <si>
    <t>徐小姐/车队江</t>
    <phoneticPr fontId="4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</si>
  <si>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</si>
  <si>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</si>
  <si>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</si>
  <si>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</si>
  <si>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</si>
  <si>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</si>
  <si>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</si>
  <si>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</si>
  <si>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</si>
  <si>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</si>
  <si>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两报关 两提单</t>
    <phoneticPr fontId="2" type="noConversion"/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</si>
  <si>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</si>
  <si>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</si>
  <si>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</si>
  <si>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</si>
  <si>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20(A5948 GLV)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</si>
</sst>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9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45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>
      <alignment vertical="center"/>
    </xf>
    <xf numFmtId="0" fontId="3" fillId="0" borderId="0" xfId="3" applyAlignment="1">
      <alignment vertical="center" wrapText="1"/>
    </xf>
    <xf numFmtId="0" fontId="3" fillId="0" borderId="1" xfId="3" applyBorder="1">
      <alignment vertical="center"/>
    </xf>
    <xf numFmtId="0" fontId="0" fillId="0" borderId="2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2" xfId="0" pivotButton="1" applyBorder="1"/>
    <xf numFmtId="0" fontId="0" fillId="0" borderId="0" xfId="0" applyNumberFormat="1" applyAlignment="1"/>
    <xf numFmtId="0" fontId="0" fillId="0" borderId="2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178" fontId="0" fillId="0" borderId="4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8" xfId="0" applyBorder="1" applyAlignment="1"/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7" xfId="0" applyBorder="1" applyAlignment="1">
      <alignment horizontal="left" vertical="center"/>
    </xf>
    <xf numFmtId="179" fontId="0" fillId="0" borderId="2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1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9" formatCode="m&quot;月&quot;d&quot;日&quot;\ aaa"/>
    </dxf>
    <dxf>
      <numFmt numFmtId="177" formatCode="mm/dd\ aaa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361950</xdr:colOff>
      <xdr:row>49</xdr:row>
      <xdr:rowOff>85725</xdr:rowOff>
    </xdr:from>
    <xdr:to>
      <xdr:col>25</xdr:col>
      <xdr:colOff>514350</xdr:colOff>
      <xdr:row>69</xdr:row>
      <xdr:rowOff>152400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835938-3613-4879-B529-664F12B56933}"/>
            </a:ext>
          </a:extLst>
        </xdr:cNvPr>
        <xdr:cNvSpPr txBox="1"/>
      </xdr:nvSpPr>
      <xdr:spPr>
        <a:xfrm>
          <a:off x="11106150" y="2981325"/>
          <a:ext cx="403860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DEPARTUREED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51.675070254627" createdVersion="6" refreshedVersion="6" minRefreshableVersion="3" recordCount="76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04T00:00:00" count="16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</sharedItems>
      <fieldGroup par="13" base="0">
        <rangePr groupBy="days" startDate="2019-09-15T00:00:00" endDate="2019-11-04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4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29">
        <s v="永艺 - SSEM"/>
        <s v="顾家 - HANSSEM"/>
        <s v="卡帛 - HANSSEM"/>
        <s v="万盛 - HANSSEM"/>
        <s v="华宝 - SSEM"/>
        <s v="瑞显 - CASAMIA"/>
        <s v="华达利 - CASAMIA"/>
        <s v="非相 - CASAMIA"/>
        <s v="雅家居 - CASAMIA"/>
        <s v="洲际 - CASAMIA"/>
        <s v="顾家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SSEM - 华宝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1" maxValue="10"/>
    </cacheField>
    <cacheField name="40'" numFmtId="1">
      <sharedItems containsString="0" containsBlank="1" containsNumber="1" containsInteger="1" minValue="0" maxValue="6"/>
    </cacheField>
    <cacheField name="TEU" numFmtId="1">
      <sharedItems containsSemiMixedTypes="0" containsString="0" containsNumber="1" containsInteger="1" minValue="0" maxValue="12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OK" numFmtId="1">
      <sharedItems containsBlank="1"/>
    </cacheField>
    <cacheField name="月" numFmtId="0" databaseField="0">
      <fieldGroup base="0">
        <rangePr groupBy="months" startDate="2019-09-15T00:00:00" endDate="2019-11-04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HANSSEM"/>
    <s v="卡帛"/>
    <x v="2"/>
    <s v="CABO"/>
    <s v="219CABO-HS030"/>
    <m/>
    <n v="1"/>
    <n v="2"/>
    <m/>
    <m/>
    <m/>
    <s v="OK"/>
  </r>
  <r>
    <x v="1"/>
    <s v="HANSSEM"/>
    <s v="万盛"/>
    <x v="3"/>
    <s v="WANSHENG"/>
    <s v="HSO 1811-25E-135"/>
    <m/>
    <n v="2"/>
    <n v="4"/>
    <m/>
    <m/>
    <m/>
    <s v="OK"/>
  </r>
  <r>
    <x v="1"/>
    <s v="HANSSEM"/>
    <s v="万盛"/>
    <x v="3"/>
    <s v="WANSHENG"/>
    <s v="HSO 1811-25E-136"/>
    <m/>
    <n v="1"/>
    <n v="2"/>
    <m/>
    <m/>
    <m/>
    <s v="OK"/>
  </r>
  <r>
    <x v="1"/>
    <s v="SSEM"/>
    <s v="华宝"/>
    <x v="4"/>
    <s v="HUABAO"/>
    <s v="HB190601"/>
    <n v="9"/>
    <m/>
    <n v="9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HANSSEM"/>
    <s v="卡帛"/>
    <x v="2"/>
    <s v="CABO"/>
    <s v="219CABO-HS035/HS044/HS046"/>
    <m/>
    <n v="3"/>
    <n v="6"/>
    <s v="YJCSHAN1915133"/>
    <s v="PCLU1938HN4302"/>
    <m/>
    <s v="OK"/>
  </r>
  <r>
    <x v="3"/>
    <s v="HANSSEM"/>
    <s v="万盛"/>
    <x v="3"/>
    <s v="WANSHENG"/>
    <s v="HSO 1811-25E-139"/>
    <m/>
    <n v="2"/>
    <n v="4"/>
    <m/>
    <m/>
    <m/>
    <s v="OK"/>
  </r>
  <r>
    <x v="3"/>
    <s v="HANSSEM"/>
    <s v="万盛"/>
    <x v="3"/>
    <s v="WANSHENG"/>
    <s v="HSO 1811-25E-140"/>
    <m/>
    <n v="2"/>
    <n v="4"/>
    <m/>
    <m/>
    <m/>
    <s v="OK"/>
  </r>
  <r>
    <x v="3"/>
    <s v="HANSSEM"/>
    <s v="万盛"/>
    <x v="3"/>
    <s v="WANSHENG"/>
    <s v="HSO 1811-25E-141"/>
    <m/>
    <n v="1"/>
    <n v="2"/>
    <m/>
    <m/>
    <m/>
    <s v="OK"/>
  </r>
  <r>
    <x v="3"/>
    <s v="SSEM"/>
    <s v="华宝"/>
    <x v="4"/>
    <s v="HUABAO"/>
    <s v="HB190601"/>
    <n v="10"/>
    <m/>
    <n v="10"/>
    <s v="YJCSHAN1914951"/>
    <s v="PCLU1938HN4400"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HANSSEM"/>
    <s v="万盛"/>
    <x v="3"/>
    <s v="WANSHENG"/>
    <s v="HSO 1811-25E-142"/>
    <m/>
    <n v="1"/>
    <n v="2"/>
    <s v="YJCSHAN1915657"/>
    <s v="PCLU1793PE4302"/>
    <m/>
    <s v="OK"/>
  </r>
  <r>
    <x v="4"/>
    <s v="HANSSEM"/>
    <s v="万盛"/>
    <x v="3"/>
    <s v="WANSHENG"/>
    <s v="HSO 1811-25E-143"/>
    <m/>
    <n v="3"/>
    <n v="6"/>
    <s v="YJCSHAN1915658"/>
    <s v="PCLU1793PE4304"/>
    <s v="1915754 1915755"/>
    <s v="OK"/>
  </r>
  <r>
    <x v="4"/>
    <s v="SSEM"/>
    <s v="华宝"/>
    <x v="4"/>
    <s v="HUABAO"/>
    <s v="HB190601"/>
    <n v="8"/>
    <m/>
    <n v="8"/>
    <s v="YJCSHAN1914953"/>
    <s v="PCLU1793PE4400"/>
    <s v="拼4401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3"/>
    <s v="WANSHENG"/>
    <s v="HSO 1811-25E-145"/>
    <m/>
    <n v="3"/>
    <n v="6"/>
    <s v="YJCSHAN1915929"/>
    <s v="PCLU1939HN4306"/>
    <m/>
    <s v="OK"/>
  </r>
  <r>
    <x v="5"/>
    <s v="HANSSEM"/>
    <s v="万盛"/>
    <x v="3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SSEM"/>
    <s v="华宝"/>
    <x v="4"/>
    <s v="HUABAO"/>
    <s v="HB190601"/>
    <n v="4"/>
    <m/>
    <n v="4"/>
    <s v="YJCSHAN1915697"/>
    <s v="PCLU1794PE4400"/>
    <m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3"/>
    <s v="WANSHENG"/>
    <s v="HSO 1811-25E-147"/>
    <m/>
    <n v="3"/>
    <n v="6"/>
    <s v="YJCSHAN1916055"/>
    <s v="PCLU1940HN4304"/>
    <m/>
    <s v="OK"/>
  </r>
  <r>
    <x v="7"/>
    <s v="HANSSEM"/>
    <s v="万盛"/>
    <x v="3"/>
    <s v="WANSHENG"/>
    <s v="HSO 1811-25E-148"/>
    <m/>
    <n v="1"/>
    <n v="2"/>
    <s v="YJCSHAN1916057"/>
    <s v="PCLU1940HN4306"/>
    <m/>
    <s v="OK"/>
  </r>
  <r>
    <x v="7"/>
    <s v="HANSSEM"/>
    <s v="万盛"/>
    <x v="3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2285"/>
    <m/>
    <n v="1"/>
    <n v="2"/>
    <s v="YJCSHAN1915776"/>
    <s v="PCLU1940HN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HANSSEM"/>
    <s v="卡帛"/>
    <x v="2"/>
    <s v="CABO"/>
    <s v="219CABO-HS037/HS038"/>
    <m/>
    <n v="2"/>
    <n v="4"/>
    <s v="YJCSHAN1915768"/>
    <s v="PCLU1795PE4300"/>
    <s v="出2份提单 A"/>
    <s v="OK"/>
  </r>
  <r>
    <x v="8"/>
    <s v="HANSSEM"/>
    <s v="万盛"/>
    <x v="3"/>
    <s v="WANSHENG"/>
    <s v="HSO 1811-25E-150"/>
    <m/>
    <n v="1"/>
    <n v="2"/>
    <s v="YJCSHAN1916059"/>
    <s v="PCLU1795PE4304"/>
    <m/>
    <s v="OK"/>
  </r>
  <r>
    <x v="8"/>
    <s v="HANSSEM"/>
    <s v="万盛"/>
    <x v="3"/>
    <s v="WANSHENG"/>
    <s v="HSO 1811-25E-151"/>
    <n v="1"/>
    <m/>
    <n v="1"/>
    <s v="YJCSHAN1916060"/>
    <s v="PCLU1795PE4306"/>
    <s v="出2份提单"/>
    <s v="OK"/>
  </r>
  <r>
    <x v="8"/>
    <s v="HANSSEM"/>
    <s v="万盛"/>
    <x v="3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m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HANSSEM"/>
    <s v="万盛"/>
    <x v="3"/>
    <s v="WANSHENG"/>
    <s v="HSO 1811-25E-152"/>
    <m/>
    <n v="1"/>
    <n v="2"/>
    <s v="YJCSHAN1916061"/>
    <s v="PCLU1941HN4300"/>
    <s v="拼4301"/>
    <s v="OK"/>
  </r>
  <r>
    <x v="9"/>
    <s v="HANSSEM"/>
    <s v="万盛"/>
    <x v="3"/>
    <s v="WANSHENG"/>
    <s v="HSO 1811-25E-152"/>
    <m/>
    <n v="1"/>
    <n v="2"/>
    <s v="YJCSHAN1916470"/>
    <s v="PCLU1941HN4303"/>
    <s v="拼4305"/>
    <s v="OK"/>
  </r>
  <r>
    <x v="9"/>
    <s v="SSEM"/>
    <s v="华宝"/>
    <x v="4"/>
    <s v="HUABAO"/>
    <s v="HB190601"/>
    <n v="3"/>
    <m/>
    <n v="3"/>
    <s v="YJCSHAN1916447"/>
    <s v="PCLU1941HN4316"/>
    <s v="10-02三个没上船改配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2"/>
    <s v="CABO"/>
    <s v="219CABO-HS040/HS041/HS042"/>
    <m/>
    <n v="3"/>
    <n v="6"/>
    <s v="YJCSHAN1915769"/>
    <s v="PCLU1796PE4302"/>
    <m/>
    <s v="OK"/>
  </r>
  <r>
    <x v="10"/>
    <s v="HANSSEM"/>
    <s v="万盛"/>
    <x v="3"/>
    <s v="WANSHENG"/>
    <s v="HSO 1811-25E-154"/>
    <m/>
    <n v="1"/>
    <n v="2"/>
    <s v="YJCSHAN1916063"/>
    <s v="PCLU1796PE4306"/>
    <m/>
    <s v="OK"/>
  </r>
  <r>
    <x v="10"/>
    <s v="HANSSEM"/>
    <s v="万盛"/>
    <x v="3"/>
    <s v="WANSHENG"/>
    <s v="HSO 1811-25E-155"/>
    <m/>
    <n v="1"/>
    <n v="2"/>
    <s v="YJCSHAN1916064"/>
    <s v="PCLU1796PE4308"/>
    <m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m/>
    <s v="OK"/>
  </r>
  <r>
    <x v="11"/>
    <s v="CASAMIA"/>
    <s v="华达利"/>
    <x v="6"/>
    <s v="HTL"/>
    <s v="PO1909230012"/>
    <m/>
    <n v="0"/>
    <n v="0"/>
    <s v="YJCSHAN1916228"/>
    <s v="KMTCSHAE441748"/>
    <s v="PANCON改KMTC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HANSSEM"/>
    <s v="顾家"/>
    <x v="1"/>
    <s v="KUKA"/>
    <s v="219JJ52-10000-17"/>
    <m/>
    <n v="1"/>
    <n v="2"/>
    <s v="YJCSHAN1916610"/>
    <s v="PCLU1797PE4404"/>
    <m/>
    <m/>
  </r>
  <r>
    <x v="11"/>
    <s v="HANSSEM"/>
    <s v="卡帛"/>
    <x v="2"/>
    <s v="CABO"/>
    <s v="219CABO-HS039/HS043/HS047/HS048"/>
    <m/>
    <n v="4"/>
    <n v="8"/>
    <s v="YJCSHAN1915927"/>
    <s v="PCLU1942HN4300"/>
    <m/>
    <s v="OK"/>
  </r>
  <r>
    <x v="11"/>
    <s v="HANSSEM"/>
    <s v="万盛"/>
    <x v="3"/>
    <s v="WANSHENG"/>
    <s v="HSO 1811-25E-156"/>
    <m/>
    <n v="2"/>
    <n v="4"/>
    <s v="YJCSHAN1916288"/>
    <s v="PCLU1942HN4302"/>
    <m/>
    <s v="OK"/>
  </r>
  <r>
    <x v="11"/>
    <s v="HANSSEM"/>
    <s v="万盛"/>
    <x v="3"/>
    <s v="WANSHENG"/>
    <s v="HSO 1811-25E-157"/>
    <m/>
    <n v="2"/>
    <n v="4"/>
    <s v="YJCSHAN1916289"/>
    <s v="PCLU1942HN4304"/>
    <m/>
    <s v="OK"/>
  </r>
  <r>
    <x v="11"/>
    <s v="HANSSEM"/>
    <s v="万盛"/>
    <x v="3"/>
    <s v="WANSHENG"/>
    <s v="HSO 1811-25E-158"/>
    <m/>
    <n v="1"/>
    <n v="2"/>
    <s v="YJCSHAN1916290"/>
    <s v="PCLU1942HN4306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m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3"/>
    <s v="HANSSEM"/>
    <s v="顾家"/>
    <x v="1"/>
    <s v="KUKA"/>
    <s v="219JJ52-10000-20"/>
    <m/>
    <n v="2"/>
    <n v="4"/>
    <s v="YJCSHAN1916613"/>
    <s v="PCLU1943HN4302"/>
    <m/>
    <m/>
  </r>
  <r>
    <x v="12"/>
    <s v="HANSSEM"/>
    <s v="万盛"/>
    <x v="3"/>
    <s v="WANSHENG"/>
    <s v="HSO 1811-25E-159"/>
    <m/>
    <n v="2"/>
    <n v="4"/>
    <s v="YJCSHAN1916614"/>
    <s v="PCLU1797PE4406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m/>
    <s v="OK"/>
  </r>
  <r>
    <x v="14"/>
    <s v="HANSSEM"/>
    <s v="顾家"/>
    <x v="1"/>
    <s v="KUKA"/>
    <s v="219JJ52-10000-18"/>
    <m/>
    <n v="1"/>
    <n v="2"/>
    <m/>
    <s v="PCLU1798PE4302"/>
    <m/>
    <m/>
  </r>
  <r>
    <x v="15"/>
    <s v="HANSSEM"/>
    <s v="顾家"/>
    <x v="1"/>
    <s v="KUKA"/>
    <s v="219JJ52-52000-4"/>
    <m/>
    <n v="3"/>
    <n v="6"/>
    <m/>
    <m/>
    <s v="两报关 两提单"/>
    <m/>
  </r>
  <r>
    <x v="13"/>
    <s v="HANSSEM"/>
    <s v="万盛"/>
    <x v="3"/>
    <s v="WANSHENG"/>
    <s v="HSO 1811-25E-160"/>
    <m/>
    <n v="2"/>
    <n v="4"/>
    <m/>
    <s v="PCLU1943HN4304"/>
    <m/>
    <m/>
  </r>
  <r>
    <x v="13"/>
    <s v="HANSSEM"/>
    <s v="万盛"/>
    <x v="3"/>
    <s v="WANSHENG"/>
    <s v="HSO 1811-25E-161"/>
    <m/>
    <n v="1"/>
    <n v="2"/>
    <m/>
    <s v="PCLU1943HN4306"/>
    <m/>
    <m/>
  </r>
  <r>
    <x v="14"/>
    <s v="HANSSEM"/>
    <s v="万盛"/>
    <x v="3"/>
    <s v="WANSHENG"/>
    <s v="HSO 1811-25E-162"/>
    <m/>
    <n v="1"/>
    <n v="2"/>
    <m/>
    <s v="PCLU1798PE4304"/>
    <m/>
    <m/>
  </r>
  <r>
    <x v="11"/>
    <s v="CASAMIA"/>
    <s v="雅家居"/>
    <x v="8"/>
    <s v="YAJIAJU"/>
    <m/>
    <m/>
    <n v="2"/>
    <n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4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50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0">
        <item m="1" x="13"/>
        <item m="1" x="11"/>
        <item m="1" x="16"/>
        <item m="1" x="20"/>
        <item m="1" x="12"/>
        <item m="1" x="25"/>
        <item m="1" x="22"/>
        <item m="1" x="24"/>
        <item m="1" x="23"/>
        <item m="1" x="28"/>
        <item m="1" x="18"/>
        <item m="1" x="26"/>
        <item m="1" x="27"/>
        <item m="1" x="17"/>
        <item x="5"/>
        <item m="1" x="21"/>
        <item x="1"/>
        <item x="3"/>
        <item x="9"/>
        <item m="1" x="15"/>
        <item x="6"/>
        <item x="2"/>
        <item m="1" x="19"/>
        <item x="4"/>
        <item x="8"/>
        <item x="0"/>
        <item x="7"/>
        <item x="10"/>
        <item m="1" x="14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47">
    <i>
      <x v="275"/>
    </i>
    <i r="1">
      <x v="20"/>
    </i>
    <i r="1">
      <x v="23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3"/>
    </i>
    <i r="1">
      <x v="24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>
      <x v="296"/>
    </i>
    <i r="1">
      <x v="16"/>
    </i>
    <i r="1">
      <x v="17"/>
    </i>
    <i r="1">
      <x v="20"/>
    </i>
    <i>
      <x v="300"/>
    </i>
    <i r="1">
      <x v="16"/>
    </i>
    <i r="1">
      <x v="17"/>
    </i>
    <i r="1">
      <x v="20"/>
    </i>
    <i>
      <x v="303"/>
    </i>
    <i r="1">
      <x v="16"/>
    </i>
    <i r="1">
      <x v="17"/>
    </i>
    <i r="1">
      <x v="20"/>
    </i>
    <i>
      <x v="307"/>
    </i>
    <i r="1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0" type="button" dataOnly="0" labelOnly="1" outline="0" axis="axisRow" fieldPosition="0"/>
    </format>
    <format dxfId="89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88">
      <pivotArea dataOnly="0" labelOnly="1" grandRow="1" outline="0" fieldPosition="0"/>
    </format>
    <format dxfId="87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86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85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84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83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82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81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80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79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78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77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76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75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74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F19" totalsRowShown="0" headerRowDxfId="113" dataDxfId="112">
  <autoFilter ref="A1:F19" xr:uid="{820BD5A2-AD66-4D9B-AC3E-64CBF0B4B21A}"/>
  <tableColumns count="6">
    <tableColumn id="1" xr3:uid="{D075319D-DCE2-4203-B078-3F588EAB591A}" name="ETD" dataDxfId="111"/>
    <tableColumn id="2" xr3:uid="{C82A9C09-C14B-443E-912A-E603A3D04F39}" name="船名" dataDxfId="110"/>
    <tableColumn id="3" xr3:uid="{A7532413-2A72-4632-B601-DE7731C72187}" name="航次" dataDxfId="109"/>
    <tableColumn id="4" xr3:uid="{481AEBDD-33EF-4909-9917-F48E051CEF76}" name="船名航次" dataDxfId="108"/>
    <tableColumn id="5" xr3:uid="{E6D1B694-EAB3-43C5-AEF8-5854E76AB417}" name="列1" dataDxfId="107"/>
    <tableColumn id="6" xr3:uid="{EE973C25-430B-4F5A-8A55-AA901FBD80AB}" name="列2" dataDxfId="10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77" totalsRowShown="0">
  <autoFilter ref="A1:M77" xr:uid="{27122EDD-454A-4B5B-BA80-E5D57F9762C1}">
    <filterColumn colId="0">
      <filters>
        <dateGroupItem year="2019" month="10" day="13" dateTimeGrouping="day"/>
      </filters>
    </filterColumn>
  </autoFilter>
  <tableColumns count="13">
    <tableColumn id="5" xr3:uid="{D5A41DDC-7E3C-4252-B958-4FFBB6F0B188}" name="ETD" dataDxfId="104"/>
    <tableColumn id="1" xr3:uid="{E0A23808-EA69-463C-842B-C0CB379DD66A}" name="CNEE" dataDxfId="103"/>
    <tableColumn id="3" xr3:uid="{8852D5F7-2872-4FFE-AF69-A4095F3F311A}" name="CN"/>
    <tableColumn id="6" xr3:uid="{9FDEA0A4-FFA6-4738-AFE3-9127A65192BA}" name="显示名称" dataDxfId="102">
      <calculatedColumnFormula>Table135[[#This Row],[CN]]&amp;" - "&amp;Table135[[#This Row],[CNEE]]</calculatedColumnFormula>
    </tableColumn>
    <tableColumn id="2" xr3:uid="{D99B457A-5E43-4826-89CE-4DF7C66631D0}" name="EN" dataDxfId="101">
      <calculatedColumnFormula>VLOOKUP(Table135[[#This Row],[CN]],表5[],2,FALSE)</calculatedColumnFormula>
    </tableColumn>
    <tableColumn id="4" xr3:uid="{3AE3033B-B2DD-4FF9-845B-D12C06A80CBC}" name="PO" dataDxfId="100"/>
    <tableColumn id="14" xr3:uid="{D9AF6816-6FE9-42B6-90DE-3B1C3A49928E}" name="20'" dataDxfId="99"/>
    <tableColumn id="15" xr3:uid="{64ABF70C-DC54-4BAF-B684-7A0D11798790}" name="40'" dataDxfId="98"/>
    <tableColumn id="7" xr3:uid="{BE98B6FD-F003-4FCB-A09B-5B40F0BECB41}" name="TEU" dataDxfId="97">
      <calculatedColumnFormula>Table135[[#This Row],[20'']]+Table135[[#This Row],[40'']]*2</calculatedColumnFormula>
    </tableColumn>
    <tableColumn id="10" xr3:uid="{D1DAA04E-3900-49B6-9D5B-7360FA9CB116}" name="HBL" dataDxfId="96"/>
    <tableColumn id="9" xr3:uid="{A389ED21-5E02-4B63-AFC5-F1294CD613FF}" name="MBL" dataDxfId="95"/>
    <tableColumn id="11" xr3:uid="{D31A235D-4A91-49D5-8512-BC3C138F03B6}" name="备注" dataDxfId="94"/>
    <tableColumn id="8" xr3:uid="{7410B7FF-4059-4669-8915-AFABD73C023C}" name="OK" dataDxfId="9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4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46" totalsRowShown="0" headerRowDxfId="68" headerRowBorderDxfId="67" tableBorderDxfId="66" totalsRowBorderDxfId="65">
  <autoFilter ref="A1:Z46" xr:uid="{4848E19E-9770-4EF2-957E-4883102A42C0}">
    <filterColumn colId="0">
      <filters>
        <dateGroupItem year="2019" month="10" day="13" dateTimeGrouping="day"/>
      </filters>
    </filterColumn>
  </autoFilter>
  <tableColumns count="26">
    <tableColumn id="33" xr3:uid="{FFB772AD-7961-4AF0-A343-8EF68408E581}" name="ETD" dataDxfId="64"/>
    <tableColumn id="1" xr3:uid="{DD461CCA-4517-4E98-906F-3EAB828CBAE8}" name="SHPR" dataDxfId="63"/>
    <tableColumn id="2" xr3:uid="{610BC8AA-6CF7-4530-BB23-3900696A452B}" name="说明" dataDxfId="62"/>
    <tableColumn id="3" xr3:uid="{C7FBFEAF-3B24-4430-99EE-472866BBB78F}" name="托书_x000a_是否_x000a_超限" dataDxfId="61"/>
    <tableColumn id="7" xr3:uid="{FD9BB9C6-4925-4292-B40A-B2442609822A}" name="五步_x000a_订舱" dataDxfId="60"/>
    <tableColumn id="35" xr3:uid="{1565FDB9-F8CC-4261-88DA-1E0A7AC44F2E}" name="KY_x000a_确认" dataDxfId="59"/>
    <tableColumn id="40" xr3:uid="{79E22D25-B265-4532-9D0C-7BFB902D8675}" name="振华_x000a_审核" dataDxfId="58"/>
    <tableColumn id="37" xr3:uid="{97C717B8-DB44-45AF-8B81-151042B1443A}" name="振华_x000a_加拼_x000a_提交" dataDxfId="57"/>
    <tableColumn id="36" xr3:uid="{8FADEA53-7B52-4F14-83A5-45513FB6EAC2}" name="振华_x000a_拼核" dataDxfId="56"/>
    <tableColumn id="12" xr3:uid="{5A515F49-F89E-4286-B9BD-B318AD2640C1}" name="录_x000a_费用" dataDxfId="55"/>
    <tableColumn id="41" xr3:uid="{380DE760-4572-4325-AE84-0D63150ABC01}" name="收_x000a_资料" dataDxfId="54"/>
    <tableColumn id="13" xr3:uid="{F0049236-1AFC-45B4-9CBB-742944BBE002}" name="YJC_x000a_截单" dataDxfId="53"/>
    <tableColumn id="14" xr3:uid="{D4C67CBE-6558-404F-A8D0-D234A01EA7BF}" name="发HBL_x000a_和INV" dataDxfId="52"/>
    <tableColumn id="15" xr3:uid="{4EA6E925-BC45-44FB-88BE-7E356E832C8E}" name="振华_x000a_录入" dataDxfId="51"/>
    <tableColumn id="16" xr3:uid="{39031770-24D7-4251-83C2-6D9C51435B2F}" name="HBL_x000a_INV_x000a_确认" dataDxfId="50"/>
    <tableColumn id="17" xr3:uid="{C46F7B56-BA33-46DE-819A-3F42D0C61863}" name="发_x000a_舱单" dataDxfId="49"/>
    <tableColumn id="18" xr3:uid="{2409B3B5-68AD-4B2C-8998-95F0DE45831C}" name="确认_x000a_舱单" dataDxfId="48"/>
    <tableColumn id="19" xr3:uid="{E8D84A53-92DE-4877-89A2-36EB1150C2A3}" name="并单" dataDxfId="47"/>
    <tableColumn id="20" xr3:uid="{BA4F5147-A73A-4C12-9D4C-0455962CF9E2}" name="审核" dataDxfId="46"/>
    <tableColumn id="21" xr3:uid="{F8063949-AB34-494B-8DFC-100B64C6369C}" name="VGM" dataDxfId="45"/>
    <tableColumn id="24" xr3:uid="{44CF02AB-D86C-4783-97CD-2E2313B8D659}" name="邮件_x000a_KY" dataDxfId="44"/>
    <tableColumn id="22" xr3:uid="{C1B5B7BF-1648-4A5C-9FF0-68A5372723DA}" name="统计_x000a_费用" dataDxfId="43"/>
    <tableColumn id="31" xr3:uid="{2F64CBB1-11D9-441C-B553-FF0F047C7793}" name="APP" dataDxfId="42"/>
    <tableColumn id="25" xr3:uid="{3D6AC291-A8CB-4072-8908-6B43D3EBF9A9}" name="发票" dataDxfId="41"/>
    <tableColumn id="26" xr3:uid="{72487BE9-2C92-4AAB-B75E-4F1A59FE63BA}" name="水单" dataDxfId="40"/>
    <tableColumn id="30" xr3:uid="{99DFA36B-3339-4FCF-B717-02D841DCF024}" name="放单" dataDxfId="3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8C7C53-4E63-486D-A4CC-1F93E5AC1B60}" name="Table13" displayName="Table13" ref="B1:F15" totalsRowShown="0" headerRowDxfId="38">
  <tableColumns count="5">
    <tableColumn id="1" xr3:uid="{ABE085E9-38AC-47E8-B3A2-5C30C0C8E77B}" name="收货人" dataDxfId="37"/>
    <tableColumn id="2" xr3:uid="{4C1E8850-730C-4891-A86F-DDC1C7895B1E}" name="发货人"/>
    <tableColumn id="5" xr3:uid="{E28A26C9-E593-46BD-BADB-C67576BCBF6D}" name="QQ"/>
    <tableColumn id="3" xr3:uid="{CF66E046-C73F-4051-9DBF-4C6682FCF5D0}" name="邮件" dataDxfId="36" dataCellStyle="Normal 2"/>
    <tableColumn id="11" xr3:uid="{8F8ACAE1-1C91-42B9-A708-323A76D8EA16}" name="备注" dataDxfId="35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L19" totalsRowShown="0" dataDxfId="34">
  <autoFilter ref="A1:L19" xr:uid="{9E57F62D-E58D-4F53-BDCE-5B776E06BFC6}"/>
  <tableColumns count="12">
    <tableColumn id="11" xr3:uid="{5A945112-5F14-41C3-9DE6-7BED351F4092}" name="项目" dataDxfId="33"/>
    <tableColumn id="1" xr3:uid="{C141BEBA-C970-48C1-94D8-B413103D61C8}" name="借方(收)" dataDxfId="32"/>
    <tableColumn id="10" xr3:uid="{BDB2D4D6-4147-4B01-989B-036CBD1C4E8B}" name="贷方(支)" dataDxfId="31"/>
    <tableColumn id="2" xr3:uid="{3CDA95A5-2AD7-4924-8416-52603DB1618A}" name="BKG(CTN)" dataDxfId="30"/>
    <tableColumn id="3" xr3:uid="{4F83CA88-21A0-46EA-85B9-1FBEC95B1F92}" name="THC(CTN)" dataDxfId="29"/>
    <tableColumn id="4" xr3:uid="{C9F7C4B1-4B79-4833-A3C8-3239519938C4}" name="DOC(BL)" dataDxfId="28"/>
    <tableColumn id="5" xr3:uid="{4DB1A085-A827-4E33-A8AC-76804C2E30CA}" name="LSS(CTN)" dataDxfId="27"/>
    <tableColumn id="6" xr3:uid="{866E9090-FC2D-4403-9131-0A9C6FF9DB62}" name="MFF(BL)" dataDxfId="26"/>
    <tableColumn id="7" xr3:uid="{606F8EED-FBB9-472E-9955-C9AEBD7FA87E}" name="OSF(BL)" dataDxfId="25"/>
    <tableColumn id="8" xr3:uid="{66E23A14-4831-49C7-A0F8-629E1A3052D5}" name="HDC(BILL)" dataDxfId="24"/>
    <tableColumn id="12" xr3:uid="{3235F29D-9E23-4C4A-AE7F-ED0E02F0408B}" name="结算方式" dataDxfId="23"/>
    <tableColumn id="9" xr3:uid="{F190C844-170C-4A1F-B9BD-58D0C0CE4E5F}" name="开票" dataDxfId="22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dimension ref="A1:H19"/>
  <sheetViews>
    <sheetView workbookViewId="0">
      <selection activeCell="B15" sqref="B15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7.5" bestFit="1" customWidth="1"/>
    <col min="6" max="6" width="7.125" bestFit="1" customWidth="1"/>
    <col min="8" max="8" width="19" bestFit="1" customWidth="1"/>
  </cols>
  <sheetData>
    <row r="1" spans="1:8" x14ac:dyDescent="0.2">
      <c r="A1" s="16" t="s">
        <v>95</v>
      </c>
      <c r="B1" s="16" t="s">
        <v>96</v>
      </c>
      <c r="C1" s="16" t="s">
        <v>97</v>
      </c>
      <c r="D1" s="16" t="s">
        <v>98</v>
      </c>
      <c r="E1" s="16" t="s">
        <v>202</v>
      </c>
      <c r="F1" s="16" t="s">
        <v>375</v>
      </c>
    </row>
    <row r="2" spans="1:8" x14ac:dyDescent="0.2">
      <c r="A2" s="17">
        <v>43709</v>
      </c>
      <c r="B2" s="16" t="s">
        <v>75</v>
      </c>
      <c r="C2" s="16" t="s">
        <v>77</v>
      </c>
      <c r="D2" s="16" t="s">
        <v>421</v>
      </c>
      <c r="E2" s="16" t="s">
        <v>422</v>
      </c>
      <c r="F2" s="16" t="s">
        <v>374</v>
      </c>
      <c r="H2" t="s">
        <v>200</v>
      </c>
    </row>
    <row r="3" spans="1:8" x14ac:dyDescent="0.2">
      <c r="A3" s="17">
        <v>43712</v>
      </c>
      <c r="B3" s="16" t="s">
        <v>76</v>
      </c>
      <c r="C3" s="16" t="s">
        <v>78</v>
      </c>
      <c r="D3" s="16" t="s">
        <v>423</v>
      </c>
      <c r="E3" s="16" t="s">
        <v>424</v>
      </c>
      <c r="F3" s="16" t="s">
        <v>376</v>
      </c>
      <c r="H3" t="s">
        <v>201</v>
      </c>
    </row>
    <row r="4" spans="1:8" x14ac:dyDescent="0.2">
      <c r="A4" s="17">
        <v>43716</v>
      </c>
      <c r="B4" s="16" t="s">
        <v>75</v>
      </c>
      <c r="C4" s="16" t="s">
        <v>79</v>
      </c>
      <c r="D4" s="16" t="s">
        <v>425</v>
      </c>
      <c r="E4" s="16" t="s">
        <v>426</v>
      </c>
      <c r="F4" s="16" t="s">
        <v>374</v>
      </c>
    </row>
    <row r="5" spans="1:8" x14ac:dyDescent="0.2">
      <c r="A5" s="17">
        <v>43719</v>
      </c>
      <c r="B5" s="16" t="s">
        <v>76</v>
      </c>
      <c r="C5" s="16" t="s">
        <v>80</v>
      </c>
      <c r="D5" s="16" t="s">
        <v>427</v>
      </c>
      <c r="E5" s="16" t="s">
        <v>428</v>
      </c>
      <c r="F5" s="16" t="s">
        <v>376</v>
      </c>
    </row>
    <row r="6" spans="1:8" x14ac:dyDescent="0.2">
      <c r="A6" s="17">
        <v>43723</v>
      </c>
      <c r="B6" s="16" t="s">
        <v>75</v>
      </c>
      <c r="C6" s="16" t="s">
        <v>81</v>
      </c>
      <c r="D6" s="16" t="s">
        <v>429</v>
      </c>
      <c r="E6" s="16" t="s">
        <v>430</v>
      </c>
      <c r="F6" s="16" t="s">
        <v>374</v>
      </c>
    </row>
    <row r="7" spans="1:8" x14ac:dyDescent="0.2">
      <c r="A7" s="17">
        <v>43726</v>
      </c>
      <c r="B7" s="16" t="s">
        <v>76</v>
      </c>
      <c r="C7" s="16" t="s">
        <v>82</v>
      </c>
      <c r="D7" s="16" t="s">
        <v>431</v>
      </c>
      <c r="E7" s="16" t="s">
        <v>432</v>
      </c>
      <c r="F7" s="16" t="s">
        <v>376</v>
      </c>
    </row>
    <row r="8" spans="1:8" x14ac:dyDescent="0.2">
      <c r="A8" s="17">
        <v>43730</v>
      </c>
      <c r="B8" s="16" t="s">
        <v>75</v>
      </c>
      <c r="C8" s="16" t="s">
        <v>83</v>
      </c>
      <c r="D8" s="16" t="s">
        <v>433</v>
      </c>
      <c r="E8" s="16" t="s">
        <v>434</v>
      </c>
      <c r="F8" s="16" t="s">
        <v>374</v>
      </c>
    </row>
    <row r="9" spans="1:8" x14ac:dyDescent="0.2">
      <c r="A9" s="17">
        <v>43733</v>
      </c>
      <c r="B9" s="16" t="s">
        <v>76</v>
      </c>
      <c r="C9" s="16" t="s">
        <v>84</v>
      </c>
      <c r="D9" s="16" t="s">
        <v>435</v>
      </c>
      <c r="E9" s="16" t="s">
        <v>436</v>
      </c>
      <c r="F9" s="16" t="s">
        <v>376</v>
      </c>
    </row>
    <row r="10" spans="1:8" x14ac:dyDescent="0.2">
      <c r="A10" s="17">
        <v>43737</v>
      </c>
      <c r="B10" s="16" t="s">
        <v>75</v>
      </c>
      <c r="C10" s="16" t="s">
        <v>85</v>
      </c>
      <c r="D10" s="16" t="s">
        <v>437</v>
      </c>
      <c r="E10" s="16" t="s">
        <v>438</v>
      </c>
      <c r="F10" s="16" t="s">
        <v>374</v>
      </c>
    </row>
    <row r="11" spans="1:8" x14ac:dyDescent="0.2">
      <c r="A11" s="17">
        <v>43740</v>
      </c>
      <c r="B11" s="16" t="s">
        <v>76</v>
      </c>
      <c r="C11" s="16" t="s">
        <v>86</v>
      </c>
      <c r="D11" s="16" t="s">
        <v>439</v>
      </c>
      <c r="E11" s="16" t="s">
        <v>440</v>
      </c>
      <c r="F11" s="16" t="s">
        <v>376</v>
      </c>
    </row>
    <row r="12" spans="1:8" x14ac:dyDescent="0.2">
      <c r="A12" s="17">
        <v>43744</v>
      </c>
      <c r="B12" s="16" t="s">
        <v>75</v>
      </c>
      <c r="C12" s="16" t="s">
        <v>87</v>
      </c>
      <c r="D12" s="16" t="s">
        <v>460</v>
      </c>
      <c r="E12" s="16" t="s">
        <v>441</v>
      </c>
      <c r="F12" s="16" t="s">
        <v>374</v>
      </c>
    </row>
    <row r="13" spans="1:8" x14ac:dyDescent="0.2">
      <c r="A13" s="17">
        <v>43747</v>
      </c>
      <c r="B13" s="16" t="s">
        <v>99</v>
      </c>
      <c r="C13" s="16" t="s">
        <v>88</v>
      </c>
      <c r="D13" s="16" t="s">
        <v>459</v>
      </c>
      <c r="E13" s="16" t="s">
        <v>442</v>
      </c>
      <c r="F13" s="16" t="s">
        <v>376</v>
      </c>
    </row>
    <row r="14" spans="1:8" x14ac:dyDescent="0.2">
      <c r="A14" s="17">
        <v>43751</v>
      </c>
      <c r="B14" s="16" t="s">
        <v>75</v>
      </c>
      <c r="C14" s="16" t="s">
        <v>89</v>
      </c>
      <c r="D14" s="16" t="s">
        <v>420</v>
      </c>
      <c r="E14" s="16" t="s">
        <v>443</v>
      </c>
      <c r="F14" s="16" t="s">
        <v>374</v>
      </c>
    </row>
    <row r="15" spans="1:8" x14ac:dyDescent="0.2">
      <c r="A15" s="17">
        <v>43754</v>
      </c>
      <c r="B15" s="16" t="s">
        <v>76</v>
      </c>
      <c r="C15" s="16" t="s">
        <v>90</v>
      </c>
      <c r="D15" s="16" t="s">
        <v>444</v>
      </c>
      <c r="E15" s="16" t="s">
        <v>445</v>
      </c>
      <c r="F15" s="16" t="s">
        <v>376</v>
      </c>
    </row>
    <row r="16" spans="1:8" x14ac:dyDescent="0.2">
      <c r="A16" s="17">
        <v>43758</v>
      </c>
      <c r="B16" s="16" t="s">
        <v>75</v>
      </c>
      <c r="C16" s="16" t="s">
        <v>91</v>
      </c>
      <c r="D16" s="16" t="s">
        <v>446</v>
      </c>
      <c r="E16" s="16" t="s">
        <v>447</v>
      </c>
      <c r="F16" s="16" t="s">
        <v>374</v>
      </c>
    </row>
    <row r="17" spans="1:6" x14ac:dyDescent="0.2">
      <c r="A17" s="17">
        <v>43761</v>
      </c>
      <c r="B17" s="16" t="s">
        <v>76</v>
      </c>
      <c r="C17" s="16" t="s">
        <v>92</v>
      </c>
      <c r="D17" s="16" t="s">
        <v>489</v>
      </c>
      <c r="E17" s="16" t="s">
        <v>448</v>
      </c>
      <c r="F17" s="16" t="s">
        <v>376</v>
      </c>
    </row>
    <row r="18" spans="1:6" x14ac:dyDescent="0.2">
      <c r="A18" s="17">
        <v>43765</v>
      </c>
      <c r="B18" s="16" t="s">
        <v>75</v>
      </c>
      <c r="C18" s="16" t="s">
        <v>93</v>
      </c>
      <c r="D18" s="16" t="s">
        <v>449</v>
      </c>
      <c r="E18" s="16" t="s">
        <v>450</v>
      </c>
      <c r="F18" s="16" t="s">
        <v>374</v>
      </c>
    </row>
    <row r="19" spans="1:6" x14ac:dyDescent="0.2">
      <c r="A19" s="17">
        <v>43768</v>
      </c>
      <c r="B19" s="16" t="s">
        <v>76</v>
      </c>
      <c r="C19" s="16" t="s">
        <v>94</v>
      </c>
      <c r="D19" s="16" t="s">
        <v>451</v>
      </c>
      <c r="E19" s="16" t="s">
        <v>452</v>
      </c>
      <c r="F19" s="16" t="s">
        <v>376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dimension ref="A1:R77"/>
  <sheetViews>
    <sheetView zoomScaleNormal="100" workbookViewId="0">
      <pane ySplit="1" topLeftCell="A2" activePane="bottomLeft" state="frozen"/>
      <selection pane="bottomLeft" activeCell="J51" sqref="J51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6.75" bestFit="1" customWidth="1"/>
    <col min="11" max="11" width="17.125" bestFit="1" customWidth="1"/>
    <col min="12" max="12" width="34.375" bestFit="1" customWidth="1"/>
    <col min="13" max="13" width="6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118</v>
      </c>
      <c r="C1" t="s">
        <v>117</v>
      </c>
      <c r="D1" t="s">
        <v>116</v>
      </c>
      <c r="E1" t="s">
        <v>115</v>
      </c>
      <c r="F1" t="s">
        <v>114</v>
      </c>
      <c r="G1" t="s">
        <v>52</v>
      </c>
      <c r="H1" t="s">
        <v>53</v>
      </c>
      <c r="I1" t="s">
        <v>113</v>
      </c>
      <c r="J1" t="s">
        <v>305</v>
      </c>
      <c r="K1" t="s">
        <v>182</v>
      </c>
      <c r="L1" t="s">
        <v>333</v>
      </c>
      <c r="M1" t="s">
        <v>180</v>
      </c>
      <c r="Q1" t="s">
        <v>117</v>
      </c>
      <c r="R1" t="s">
        <v>115</v>
      </c>
    </row>
    <row r="2" spans="1:18" hidden="1" x14ac:dyDescent="0.2">
      <c r="A2" s="1">
        <v>43723</v>
      </c>
      <c r="B2" s="4" t="s">
        <v>163</v>
      </c>
      <c r="C2" t="s">
        <v>103</v>
      </c>
      <c r="D2" s="2" t="str">
        <f>Table135[[#This Row],[CN]]&amp;" - "&amp;Table135[[#This Row],[CNEE]]</f>
        <v>永艺 - SSEM</v>
      </c>
      <c r="E2" s="14" t="str">
        <f>VLOOKUP(Table135[[#This Row],[CN]],表5[],2,FALSE)</f>
        <v>UE</v>
      </c>
      <c r="F2" s="3" t="s">
        <v>336</v>
      </c>
      <c r="G2" s="10"/>
      <c r="H2" s="10">
        <v>1</v>
      </c>
      <c r="I2" s="10">
        <f>Table135[[#This Row],[20'']]+Table135[[#This Row],[40'']]*2</f>
        <v>2</v>
      </c>
      <c r="J2" s="10" t="s">
        <v>35</v>
      </c>
      <c r="K2" s="10" t="s">
        <v>34</v>
      </c>
      <c r="L2" s="10"/>
      <c r="M2" s="10" t="s">
        <v>180</v>
      </c>
      <c r="Q2" t="s">
        <v>135</v>
      </c>
      <c r="R2" t="s">
        <v>43</v>
      </c>
    </row>
    <row r="3" spans="1:18" hidden="1" x14ac:dyDescent="0.2">
      <c r="A3" s="1">
        <v>43726</v>
      </c>
      <c r="B3" t="s">
        <v>15</v>
      </c>
      <c r="C3" t="s">
        <v>111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22</v>
      </c>
      <c r="G3" s="10"/>
      <c r="H3" s="10">
        <v>1</v>
      </c>
      <c r="I3" s="10">
        <f>Table135[[#This Row],[20'']]+Table135[[#This Row],[40'']]*2</f>
        <v>2</v>
      </c>
      <c r="J3" s="10"/>
      <c r="K3" s="10"/>
      <c r="L3" s="10"/>
      <c r="M3" s="10" t="s">
        <v>180</v>
      </c>
      <c r="Q3" t="s">
        <v>136</v>
      </c>
      <c r="R3" t="s">
        <v>146</v>
      </c>
    </row>
    <row r="4" spans="1:18" hidden="1" x14ac:dyDescent="0.2">
      <c r="A4" s="1">
        <v>43726</v>
      </c>
      <c r="B4" t="s">
        <v>15</v>
      </c>
      <c r="C4" t="s">
        <v>106</v>
      </c>
      <c r="D4" t="str">
        <f>Table135[[#This Row],[CN]]&amp;" - "&amp;Table135[[#This Row],[CNEE]]</f>
        <v>卡帛 - HANSSEM</v>
      </c>
      <c r="E4" t="str">
        <f>VLOOKUP(Table135[[#This Row],[CN]],表5[],2,FALSE)</f>
        <v>CABO</v>
      </c>
      <c r="F4" s="3" t="s">
        <v>29</v>
      </c>
      <c r="G4" s="10"/>
      <c r="H4" s="10">
        <v>1</v>
      </c>
      <c r="I4" s="10">
        <f>Table135[[#This Row],[20'']]+Table135[[#This Row],[40'']]*2</f>
        <v>2</v>
      </c>
      <c r="J4" s="10"/>
      <c r="K4" s="10"/>
      <c r="L4" s="10"/>
      <c r="M4" s="10" t="s">
        <v>180</v>
      </c>
      <c r="Q4" t="s">
        <v>137</v>
      </c>
      <c r="R4" t="s">
        <v>147</v>
      </c>
    </row>
    <row r="5" spans="1:18" hidden="1" x14ac:dyDescent="0.2">
      <c r="A5" s="1">
        <v>43726</v>
      </c>
      <c r="B5" t="s">
        <v>15</v>
      </c>
      <c r="C5" t="s">
        <v>110</v>
      </c>
      <c r="D5" t="str">
        <f>Table135[[#This Row],[CN]]&amp;" - "&amp;Table135[[#This Row],[CNEE]]</f>
        <v>万盛 - HANSSEM</v>
      </c>
      <c r="E5" t="str">
        <f>VLOOKUP(Table135[[#This Row],[CN]],表5[],2,FALSE)</f>
        <v>WANSHENG</v>
      </c>
      <c r="F5" s="3" t="s">
        <v>2</v>
      </c>
      <c r="G5" s="10"/>
      <c r="H5" s="10">
        <v>2</v>
      </c>
      <c r="I5" s="10">
        <f>Table135[[#This Row],[20'']]+Table135[[#This Row],[40'']]*2</f>
        <v>4</v>
      </c>
      <c r="J5" s="10"/>
      <c r="K5" s="10"/>
      <c r="L5" s="10"/>
      <c r="M5" s="10" t="s">
        <v>180</v>
      </c>
      <c r="Q5" t="s">
        <v>131</v>
      </c>
      <c r="R5" t="s">
        <v>132</v>
      </c>
    </row>
    <row r="6" spans="1:18" hidden="1" x14ac:dyDescent="0.2">
      <c r="A6" s="1">
        <v>43726</v>
      </c>
      <c r="B6" t="s">
        <v>15</v>
      </c>
      <c r="C6" t="s">
        <v>110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3</v>
      </c>
      <c r="G6" s="10"/>
      <c r="H6" s="10">
        <v>1</v>
      </c>
      <c r="I6" s="10">
        <f>Table135[[#This Row],[20'']]+Table135[[#This Row],[40'']]*2</f>
        <v>2</v>
      </c>
      <c r="J6" s="10"/>
      <c r="K6" s="10"/>
      <c r="L6" s="10"/>
      <c r="M6" s="10" t="s">
        <v>180</v>
      </c>
      <c r="Q6" t="s">
        <v>138</v>
      </c>
      <c r="R6" t="s">
        <v>148</v>
      </c>
    </row>
    <row r="7" spans="1:18" hidden="1" x14ac:dyDescent="0.2">
      <c r="A7" s="1">
        <v>43726</v>
      </c>
      <c r="B7" t="s">
        <v>19</v>
      </c>
      <c r="C7" t="s">
        <v>105</v>
      </c>
      <c r="D7" t="str">
        <f>Table135[[#This Row],[CN]]&amp;" - "&amp;Table135[[#This Row],[CNEE]]</f>
        <v>华宝 - SSEM</v>
      </c>
      <c r="E7" t="str">
        <f>VLOOKUP(Table135[[#This Row],[CN]],表5[],2,FALSE)</f>
        <v>HUABAO</v>
      </c>
      <c r="F7" s="3" t="s">
        <v>33</v>
      </c>
      <c r="G7" s="10">
        <v>9</v>
      </c>
      <c r="H7" s="10"/>
      <c r="I7" s="10">
        <f>Table135[[#This Row],[20'']]+Table135[[#This Row],[40'']]*2</f>
        <v>9</v>
      </c>
      <c r="J7" s="10"/>
      <c r="K7" s="10"/>
      <c r="L7" s="10"/>
      <c r="M7" s="10" t="s">
        <v>180</v>
      </c>
      <c r="Q7" t="s">
        <v>139</v>
      </c>
      <c r="R7" t="s">
        <v>15</v>
      </c>
    </row>
    <row r="8" spans="1:18" hidden="1" x14ac:dyDescent="0.2">
      <c r="A8" s="1">
        <v>43726</v>
      </c>
      <c r="B8" t="s">
        <v>19</v>
      </c>
      <c r="C8" t="s">
        <v>103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336</v>
      </c>
      <c r="G8" s="10">
        <v>1</v>
      </c>
      <c r="H8" s="10"/>
      <c r="I8" s="10">
        <f>Table135[[#This Row],[20'']]+Table135[[#This Row],[40'']]*2</f>
        <v>1</v>
      </c>
      <c r="J8" s="10" t="s">
        <v>37</v>
      </c>
      <c r="K8" s="10" t="s">
        <v>36</v>
      </c>
      <c r="L8" s="10"/>
      <c r="M8" s="10" t="s">
        <v>180</v>
      </c>
      <c r="Q8" t="s">
        <v>140</v>
      </c>
      <c r="R8" t="s">
        <v>149</v>
      </c>
    </row>
    <row r="9" spans="1:18" hidden="1" x14ac:dyDescent="0.2">
      <c r="A9" s="1">
        <v>43727</v>
      </c>
      <c r="B9" t="s">
        <v>51</v>
      </c>
      <c r="C9" t="s">
        <v>112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10">
        <v>1</v>
      </c>
      <c r="H9" s="10"/>
      <c r="I9" s="10">
        <f>Table135[[#This Row],[20'']]+Table135[[#This Row],[40'']]*2</f>
        <v>1</v>
      </c>
      <c r="J9" s="10"/>
      <c r="K9" s="10"/>
      <c r="L9" s="10"/>
      <c r="M9" s="10" t="s">
        <v>180</v>
      </c>
      <c r="Q9" t="s">
        <v>141</v>
      </c>
      <c r="R9" t="s">
        <v>150</v>
      </c>
    </row>
    <row r="10" spans="1:18" hidden="1" x14ac:dyDescent="0.2">
      <c r="A10" s="1">
        <v>43730</v>
      </c>
      <c r="B10" t="s">
        <v>15</v>
      </c>
      <c r="C10" t="s">
        <v>111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23</v>
      </c>
      <c r="G10" s="10"/>
      <c r="H10" s="10">
        <v>1</v>
      </c>
      <c r="I10" s="10">
        <f>Table135[[#This Row],[20'']]+Table135[[#This Row],[40'']]*2</f>
        <v>2</v>
      </c>
      <c r="J10" s="10" t="s">
        <v>25</v>
      </c>
      <c r="K10" s="10" t="s">
        <v>24</v>
      </c>
      <c r="L10" s="10"/>
      <c r="M10" s="10" t="s">
        <v>180</v>
      </c>
      <c r="Q10" t="s">
        <v>142</v>
      </c>
      <c r="R10" t="s">
        <v>151</v>
      </c>
    </row>
    <row r="11" spans="1:18" hidden="1" x14ac:dyDescent="0.2">
      <c r="A11" s="1">
        <v>43730</v>
      </c>
      <c r="B11" t="s">
        <v>15</v>
      </c>
      <c r="C11" t="s">
        <v>106</v>
      </c>
      <c r="D11" t="str">
        <f>Table135[[#This Row],[CN]]&amp;" - "&amp;Table135[[#This Row],[CNEE]]</f>
        <v>卡帛 - HANSSEM</v>
      </c>
      <c r="E11" t="str">
        <f>VLOOKUP(Table135[[#This Row],[CN]],表5[],2,FALSE)</f>
        <v>CABO</v>
      </c>
      <c r="F11" s="3" t="s">
        <v>30</v>
      </c>
      <c r="G11" s="10"/>
      <c r="H11" s="10">
        <v>3</v>
      </c>
      <c r="I11" s="10">
        <f>Table135[[#This Row],[20'']]+Table135[[#This Row],[40'']]*2</f>
        <v>6</v>
      </c>
      <c r="J11" s="10" t="s">
        <v>32</v>
      </c>
      <c r="K11" s="10" t="s">
        <v>31</v>
      </c>
      <c r="L11" s="10"/>
      <c r="M11" s="10" t="s">
        <v>180</v>
      </c>
      <c r="Q11" t="s">
        <v>143</v>
      </c>
      <c r="R11" t="s">
        <v>152</v>
      </c>
    </row>
    <row r="12" spans="1:18" hidden="1" x14ac:dyDescent="0.2">
      <c r="A12" s="1">
        <v>43730</v>
      </c>
      <c r="B12" t="s">
        <v>15</v>
      </c>
      <c r="C12" t="s">
        <v>110</v>
      </c>
      <c r="D12" t="str">
        <f>Table135[[#This Row],[CN]]&amp;" - "&amp;Table135[[#This Row],[CNEE]]</f>
        <v>万盛 - HANSSEM</v>
      </c>
      <c r="E12" t="str">
        <f>VLOOKUP(Table135[[#This Row],[CN]],表5[],2,FALSE)</f>
        <v>WANSHENG</v>
      </c>
      <c r="F12" s="3" t="s">
        <v>4</v>
      </c>
      <c r="G12" s="10"/>
      <c r="H12" s="10">
        <v>2</v>
      </c>
      <c r="I12" s="10">
        <f>Table135[[#This Row],[20'']]+Table135[[#This Row],[40'']]*2</f>
        <v>4</v>
      </c>
      <c r="J12" s="10"/>
      <c r="K12" s="10"/>
      <c r="L12" s="10"/>
      <c r="M12" s="10" t="s">
        <v>180</v>
      </c>
      <c r="Q12" t="s">
        <v>144</v>
      </c>
      <c r="R12" t="s">
        <v>153</v>
      </c>
    </row>
    <row r="13" spans="1:18" hidden="1" x14ac:dyDescent="0.2">
      <c r="A13" s="1">
        <v>43730</v>
      </c>
      <c r="B13" t="s">
        <v>15</v>
      </c>
      <c r="C13" t="s">
        <v>110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5</v>
      </c>
      <c r="G13" s="10"/>
      <c r="H13" s="10">
        <v>2</v>
      </c>
      <c r="I13" s="10">
        <f>Table135[[#This Row],[20'']]+Table135[[#This Row],[40'']]*2</f>
        <v>4</v>
      </c>
      <c r="J13" s="10"/>
      <c r="K13" s="10"/>
      <c r="L13" s="10"/>
      <c r="M13" s="10" t="s">
        <v>180</v>
      </c>
      <c r="Q13" t="s">
        <v>145</v>
      </c>
      <c r="R13" t="s">
        <v>154</v>
      </c>
    </row>
    <row r="14" spans="1:18" hidden="1" x14ac:dyDescent="0.2">
      <c r="A14" s="1">
        <v>43730</v>
      </c>
      <c r="B14" t="s">
        <v>15</v>
      </c>
      <c r="C14" t="s">
        <v>110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6</v>
      </c>
      <c r="G14" s="10"/>
      <c r="H14" s="10">
        <v>1</v>
      </c>
      <c r="I14" s="10">
        <f>Table135[[#This Row],[20'']]+Table135[[#This Row],[40'']]*2</f>
        <v>2</v>
      </c>
      <c r="J14" s="10"/>
      <c r="K14" s="10"/>
      <c r="L14" s="10"/>
      <c r="M14" s="10" t="s">
        <v>180</v>
      </c>
      <c r="Q14" t="s">
        <v>127</v>
      </c>
      <c r="R14" t="s">
        <v>129</v>
      </c>
    </row>
    <row r="15" spans="1:18" hidden="1" x14ac:dyDescent="0.2">
      <c r="A15" s="1">
        <v>43730</v>
      </c>
      <c r="B15" t="s">
        <v>19</v>
      </c>
      <c r="C15" t="s">
        <v>105</v>
      </c>
      <c r="D15" t="str">
        <f>Table135[[#This Row],[CN]]&amp;" - "&amp;Table135[[#This Row],[CNEE]]</f>
        <v>华宝 - SSEM</v>
      </c>
      <c r="E15" t="str">
        <f>VLOOKUP(Table135[[#This Row],[CN]],表5[],2,FALSE)</f>
        <v>HUABAO</v>
      </c>
      <c r="F15" s="3" t="s">
        <v>33</v>
      </c>
      <c r="G15" s="10">
        <v>10</v>
      </c>
      <c r="H15" s="10"/>
      <c r="I15" s="10">
        <f>Table135[[#This Row],[20'']]+Table135[[#This Row],[40'']]*2</f>
        <v>10</v>
      </c>
      <c r="J15" s="10" t="s">
        <v>41</v>
      </c>
      <c r="K15" s="10" t="s">
        <v>40</v>
      </c>
      <c r="L15" s="10"/>
      <c r="M15" s="10" t="s">
        <v>180</v>
      </c>
    </row>
    <row r="16" spans="1:18" ht="42.75" hidden="1" x14ac:dyDescent="0.2">
      <c r="A16" s="1">
        <v>43733</v>
      </c>
      <c r="B16" t="s">
        <v>51</v>
      </c>
      <c r="C16" t="s">
        <v>107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244</v>
      </c>
      <c r="G16" s="10"/>
      <c r="H16" s="10">
        <v>3</v>
      </c>
      <c r="I16" s="10">
        <f>Table135[[#This Row],[20'']]+Table135[[#This Row],[40'']]*2</f>
        <v>6</v>
      </c>
      <c r="J16" s="10" t="s">
        <v>45</v>
      </c>
      <c r="K16" s="10" t="s">
        <v>44</v>
      </c>
      <c r="L16" s="10"/>
      <c r="M16" s="10" t="s">
        <v>180</v>
      </c>
    </row>
    <row r="17" spans="1:13" hidden="1" x14ac:dyDescent="0.2">
      <c r="A17" s="1">
        <v>43733</v>
      </c>
      <c r="B17" t="s">
        <v>15</v>
      </c>
      <c r="C17" t="s">
        <v>111</v>
      </c>
      <c r="D17" t="str">
        <f>Table135[[#This Row],[CN]]&amp;" - "&amp;Table135[[#This Row],[CNEE]]</f>
        <v>顾家 - HANSSEM</v>
      </c>
      <c r="E17" t="str">
        <f>VLOOKUP(Table135[[#This Row],[CN]],表5[],2,FALSE)</f>
        <v>KUKA</v>
      </c>
      <c r="F17" s="3" t="s">
        <v>26</v>
      </c>
      <c r="G17" s="10"/>
      <c r="H17" s="10">
        <v>1</v>
      </c>
      <c r="I17" s="10">
        <f>Table135[[#This Row],[20'']]+Table135[[#This Row],[40'']]*2</f>
        <v>2</v>
      </c>
      <c r="J17" s="10" t="s">
        <v>27</v>
      </c>
      <c r="K17" s="10" t="s">
        <v>245</v>
      </c>
      <c r="L17" s="10"/>
      <c r="M17" s="10" t="s">
        <v>180</v>
      </c>
    </row>
    <row r="18" spans="1:13" hidden="1" x14ac:dyDescent="0.2">
      <c r="A18" s="1">
        <v>43733</v>
      </c>
      <c r="B18" t="s">
        <v>15</v>
      </c>
      <c r="C18" t="s">
        <v>110</v>
      </c>
      <c r="D18" t="str">
        <f>Table135[[#This Row],[CN]]&amp;" - "&amp;Table135[[#This Row],[CNEE]]</f>
        <v>万盛 - HANSSEM</v>
      </c>
      <c r="E18" t="str">
        <f>VLOOKUP(Table135[[#This Row],[CN]],表5[],2,FALSE)</f>
        <v>WANSHENG</v>
      </c>
      <c r="F18" s="3" t="s">
        <v>7</v>
      </c>
      <c r="G18" s="10"/>
      <c r="H18" s="10">
        <v>1</v>
      </c>
      <c r="I18" s="10">
        <f>Table135[[#This Row],[20'']]+Table135[[#This Row],[40'']]*2</f>
        <v>2</v>
      </c>
      <c r="J18" s="10" t="s">
        <v>8</v>
      </c>
      <c r="K18" s="10" t="s">
        <v>20</v>
      </c>
      <c r="L18" s="10"/>
      <c r="M18" s="10" t="s">
        <v>180</v>
      </c>
    </row>
    <row r="19" spans="1:13" hidden="1" x14ac:dyDescent="0.2">
      <c r="A19" s="1">
        <v>43733</v>
      </c>
      <c r="B19" t="s">
        <v>15</v>
      </c>
      <c r="C19" t="s">
        <v>110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9</v>
      </c>
      <c r="G19" s="10"/>
      <c r="H19" s="10">
        <v>3</v>
      </c>
      <c r="I19" s="10">
        <f>Table135[[#This Row],[20'']]+Table135[[#This Row],[40'']]*2</f>
        <v>6</v>
      </c>
      <c r="J19" s="10" t="s">
        <v>314</v>
      </c>
      <c r="K19" s="10" t="s">
        <v>21</v>
      </c>
      <c r="L19" s="10" t="s">
        <v>347</v>
      </c>
      <c r="M19" s="10" t="s">
        <v>180</v>
      </c>
    </row>
    <row r="20" spans="1:13" hidden="1" x14ac:dyDescent="0.2">
      <c r="A20" s="1">
        <v>43733</v>
      </c>
      <c r="B20" t="s">
        <v>19</v>
      </c>
      <c r="C20" t="s">
        <v>105</v>
      </c>
      <c r="D20" t="str">
        <f>Table135[[#This Row],[CN]]&amp;" - "&amp;Table135[[#This Row],[CNEE]]</f>
        <v>华宝 - SSEM</v>
      </c>
      <c r="E20" t="str">
        <f>VLOOKUP(Table135[[#This Row],[CN]],表5[],2,FALSE)</f>
        <v>HUABAO</v>
      </c>
      <c r="F20" s="3" t="s">
        <v>343</v>
      </c>
      <c r="G20" s="10">
        <v>8</v>
      </c>
      <c r="H20" s="10"/>
      <c r="I20" s="10">
        <f>Table135[[#This Row],[20'']]+Table135[[#This Row],[40'']]*2</f>
        <v>8</v>
      </c>
      <c r="J20" s="10" t="s">
        <v>42</v>
      </c>
      <c r="K20" s="10" t="s">
        <v>344</v>
      </c>
      <c r="L20" s="10" t="s">
        <v>339</v>
      </c>
      <c r="M20" s="10" t="s">
        <v>180</v>
      </c>
    </row>
    <row r="21" spans="1:13" hidden="1" x14ac:dyDescent="0.2">
      <c r="A21" s="1">
        <v>43733</v>
      </c>
      <c r="B21" t="s">
        <v>19</v>
      </c>
      <c r="C21" t="s">
        <v>103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338</v>
      </c>
      <c r="G21" s="10"/>
      <c r="H21" s="10">
        <v>2</v>
      </c>
      <c r="I21" s="10">
        <f>Table135[[#This Row],[20'']]+Table135[[#This Row],[40'']]*2</f>
        <v>4</v>
      </c>
      <c r="J21" s="10" t="s">
        <v>16</v>
      </c>
      <c r="K21" s="10" t="s">
        <v>38</v>
      </c>
      <c r="L21" s="10" t="s">
        <v>348</v>
      </c>
      <c r="M21" s="10" t="s">
        <v>180</v>
      </c>
    </row>
    <row r="22" spans="1:13" hidden="1" x14ac:dyDescent="0.2">
      <c r="A22" s="1">
        <v>43737</v>
      </c>
      <c r="B22" t="s">
        <v>51</v>
      </c>
      <c r="C22" t="s">
        <v>128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130</v>
      </c>
      <c r="G22" s="10">
        <v>1</v>
      </c>
      <c r="H22" s="10"/>
      <c r="I22" s="10">
        <f>Table135[[#This Row],[20'']]+Table135[[#This Row],[40'']]*2</f>
        <v>1</v>
      </c>
      <c r="J22" s="10" t="s">
        <v>307</v>
      </c>
      <c r="K22" s="10" t="s">
        <v>183</v>
      </c>
      <c r="L22" s="10"/>
      <c r="M22" s="10" t="s">
        <v>180</v>
      </c>
    </row>
    <row r="23" spans="1:13" hidden="1" x14ac:dyDescent="0.2">
      <c r="A23" s="1">
        <v>43737</v>
      </c>
      <c r="B23" t="s">
        <v>51</v>
      </c>
      <c r="C23" t="s">
        <v>104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126</v>
      </c>
      <c r="G23" s="10"/>
      <c r="H23" s="10">
        <v>2</v>
      </c>
      <c r="I23" s="10">
        <f>Table135[[#This Row],[20'']]+Table135[[#This Row],[40'']]*2</f>
        <v>4</v>
      </c>
      <c r="J23" s="10" t="s">
        <v>47</v>
      </c>
      <c r="K23" s="10" t="s">
        <v>46</v>
      </c>
      <c r="L23" s="10"/>
      <c r="M23" s="10" t="s">
        <v>180</v>
      </c>
    </row>
    <row r="24" spans="1:13" hidden="1" x14ac:dyDescent="0.2">
      <c r="A24" s="1">
        <v>43737</v>
      </c>
      <c r="B24" t="s">
        <v>15</v>
      </c>
      <c r="C24" t="s">
        <v>111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345</v>
      </c>
      <c r="G24" s="10"/>
      <c r="H24" s="10">
        <v>2</v>
      </c>
      <c r="I24" s="10">
        <f>Table135[[#This Row],[20'']]+Table135[[#This Row],[40'']]*2</f>
        <v>4</v>
      </c>
      <c r="J24" s="10" t="s">
        <v>10</v>
      </c>
      <c r="K24" s="10" t="s">
        <v>28</v>
      </c>
      <c r="L24" s="10"/>
      <c r="M24" s="10" t="s">
        <v>180</v>
      </c>
    </row>
    <row r="25" spans="1:13" hidden="1" x14ac:dyDescent="0.2">
      <c r="A25" s="1">
        <v>43737</v>
      </c>
      <c r="B25" t="s">
        <v>15</v>
      </c>
      <c r="C25" t="s">
        <v>110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133</v>
      </c>
      <c r="G25" s="10"/>
      <c r="H25" s="10">
        <v>3</v>
      </c>
      <c r="I25" s="10">
        <f>Table135[[#This Row],[20'']]+Table135[[#This Row],[40'']]*2</f>
        <v>6</v>
      </c>
      <c r="J25" s="10" t="s">
        <v>315</v>
      </c>
      <c r="K25" s="10" t="s">
        <v>186</v>
      </c>
      <c r="L25" s="10"/>
      <c r="M25" s="10" t="s">
        <v>180</v>
      </c>
    </row>
    <row r="26" spans="1:13" hidden="1" x14ac:dyDescent="0.2">
      <c r="A26" s="1">
        <v>43737</v>
      </c>
      <c r="B26" t="s">
        <v>15</v>
      </c>
      <c r="C26" t="s">
        <v>110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134</v>
      </c>
      <c r="G26" s="10"/>
      <c r="H26" s="10">
        <v>2</v>
      </c>
      <c r="I26" s="10">
        <f>Table135[[#This Row],[20'']]+Table135[[#This Row],[40'']]*2</f>
        <v>4</v>
      </c>
      <c r="J26" s="10" t="s">
        <v>316</v>
      </c>
      <c r="K26" s="10" t="s">
        <v>187</v>
      </c>
      <c r="L26" s="10"/>
      <c r="M26" s="10" t="s">
        <v>180</v>
      </c>
    </row>
    <row r="27" spans="1:13" hidden="1" x14ac:dyDescent="0.2">
      <c r="A27" s="1">
        <v>43737</v>
      </c>
      <c r="B27" t="s">
        <v>19</v>
      </c>
      <c r="C27" t="s">
        <v>103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337</v>
      </c>
      <c r="G27" s="10"/>
      <c r="H27" s="10">
        <v>4</v>
      </c>
      <c r="I27" s="10">
        <f>Table135[[#This Row],[20'']]+Table135[[#This Row],[40'']]*2</f>
        <v>8</v>
      </c>
      <c r="J27" s="10" t="s">
        <v>17</v>
      </c>
      <c r="K27" s="10" t="s">
        <v>39</v>
      </c>
      <c r="L27" s="10"/>
      <c r="M27" s="10" t="s">
        <v>180</v>
      </c>
    </row>
    <row r="28" spans="1:13" ht="42.75" hidden="1" x14ac:dyDescent="0.2">
      <c r="A28" s="1">
        <v>43740</v>
      </c>
      <c r="B28" t="s">
        <v>51</v>
      </c>
      <c r="C28" t="s">
        <v>107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353</v>
      </c>
      <c r="G28" s="10"/>
      <c r="H28" s="10">
        <v>3</v>
      </c>
      <c r="I28" s="10">
        <f>Table135[[#This Row],[20'']]+Table135[[#This Row],[40'']]*2</f>
        <v>6</v>
      </c>
      <c r="J28" s="10" t="s">
        <v>355</v>
      </c>
      <c r="K28" s="10" t="s">
        <v>356</v>
      </c>
      <c r="L28" s="40" t="s">
        <v>358</v>
      </c>
      <c r="M28" s="10" t="s">
        <v>179</v>
      </c>
    </row>
    <row r="29" spans="1:13" hidden="1" x14ac:dyDescent="0.2">
      <c r="A29" s="1">
        <v>43740</v>
      </c>
      <c r="B29" t="s">
        <v>19</v>
      </c>
      <c r="C29" t="s">
        <v>105</v>
      </c>
      <c r="D29" t="str">
        <f>Table135[[#This Row],[CN]]&amp;" - "&amp;Table135[[#This Row],[CNEE]]</f>
        <v>华宝 - SSEM</v>
      </c>
      <c r="E29" t="str">
        <f>VLOOKUP(Table135[[#This Row],[CN]],表5[],2,FALSE)</f>
        <v>HUABAO</v>
      </c>
      <c r="F29" s="3" t="s">
        <v>33</v>
      </c>
      <c r="G29" s="10">
        <v>4</v>
      </c>
      <c r="H29" s="10"/>
      <c r="I29" s="10">
        <f>Table135[[#This Row],[20'']]+Table135[[#This Row],[40'']]*2</f>
        <v>4</v>
      </c>
      <c r="J29" s="10" t="s">
        <v>18</v>
      </c>
      <c r="K29" s="10" t="s">
        <v>184</v>
      </c>
      <c r="L29" s="10"/>
      <c r="M29" s="10" t="s">
        <v>180</v>
      </c>
    </row>
    <row r="30" spans="1:13" hidden="1" x14ac:dyDescent="0.2">
      <c r="A30" s="1">
        <v>43744</v>
      </c>
      <c r="B30" t="s">
        <v>15</v>
      </c>
      <c r="C30" t="s">
        <v>111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255</v>
      </c>
      <c r="G30" s="10"/>
      <c r="H30" s="10">
        <v>1</v>
      </c>
      <c r="I30" s="10">
        <f>Table135[[#This Row],[20'']]+Table135[[#This Row],[40'']]*2</f>
        <v>2</v>
      </c>
      <c r="J30" s="10" t="s">
        <v>369</v>
      </c>
      <c r="K30" s="10" t="s">
        <v>370</v>
      </c>
      <c r="L30" s="10"/>
      <c r="M30" s="10" t="s">
        <v>180</v>
      </c>
    </row>
    <row r="31" spans="1:13" hidden="1" x14ac:dyDescent="0.2">
      <c r="A31" s="1">
        <v>43744</v>
      </c>
      <c r="B31" s="4" t="s">
        <v>251</v>
      </c>
      <c r="C31" t="s">
        <v>252</v>
      </c>
      <c r="D31" s="2" t="str">
        <f>Table135[[#This Row],[CN]]&amp;" - "&amp;Table135[[#This Row],[CNEE]]</f>
        <v>顾家 - HANSSEM</v>
      </c>
      <c r="E31" s="14" t="str">
        <f>VLOOKUP(Table135[[#This Row],[CN]],表5[],2,FALSE)</f>
        <v>KUKA</v>
      </c>
      <c r="F31" s="3" t="s">
        <v>253</v>
      </c>
      <c r="G31" s="10"/>
      <c r="H31" s="10">
        <v>1</v>
      </c>
      <c r="I31" s="10">
        <f>Table135[[#This Row],[20'']]+Table135[[#This Row],[40'']]*2</f>
        <v>2</v>
      </c>
      <c r="J31" s="10" t="s">
        <v>371</v>
      </c>
      <c r="K31" s="10" t="s">
        <v>259</v>
      </c>
      <c r="L31" s="10"/>
      <c r="M31" s="10" t="s">
        <v>179</v>
      </c>
    </row>
    <row r="32" spans="1:13" hidden="1" x14ac:dyDescent="0.2">
      <c r="A32" s="1">
        <v>43744</v>
      </c>
      <c r="B32" s="4" t="s">
        <v>251</v>
      </c>
      <c r="C32" t="s">
        <v>252</v>
      </c>
      <c r="D32" s="2" t="str">
        <f>Table135[[#This Row],[CN]]&amp;" - "&amp;Table135[[#This Row],[CNEE]]</f>
        <v>顾家 - HANSSEM</v>
      </c>
      <c r="E32" s="14" t="str">
        <f>VLOOKUP(Table135[[#This Row],[CN]],表5[],2,FALSE)</f>
        <v>KUKA</v>
      </c>
      <c r="F32" s="3" t="s">
        <v>294</v>
      </c>
      <c r="G32" s="10"/>
      <c r="H32" s="10">
        <v>1</v>
      </c>
      <c r="I32" s="10">
        <f>Table135[[#This Row],[20'']]+Table135[[#This Row],[40'']]*2</f>
        <v>2</v>
      </c>
      <c r="J32" s="10" t="s">
        <v>372</v>
      </c>
      <c r="K32" s="10" t="s">
        <v>373</v>
      </c>
      <c r="L32" s="10"/>
      <c r="M32" s="10" t="s">
        <v>179</v>
      </c>
    </row>
    <row r="33" spans="1:13" hidden="1" x14ac:dyDescent="0.2">
      <c r="A33" s="1">
        <v>43744</v>
      </c>
      <c r="B33" s="4" t="s">
        <v>15</v>
      </c>
      <c r="C33" t="s">
        <v>110</v>
      </c>
      <c r="D33" s="2" t="str">
        <f>Table135[[#This Row],[CN]]&amp;" - "&amp;Table135[[#This Row],[CNEE]]</f>
        <v>万盛 - HANSSEM</v>
      </c>
      <c r="E33" s="14" t="str">
        <f>VLOOKUP(Table135[[#This Row],[CN]],表5[],2,FALSE)</f>
        <v>WANSHENG</v>
      </c>
      <c r="F33" s="3" t="s">
        <v>156</v>
      </c>
      <c r="G33" s="10"/>
      <c r="H33" s="10">
        <v>3</v>
      </c>
      <c r="I33" s="10">
        <f>Table135[[#This Row],[20'']]+Table135[[#This Row],[40'']]*2</f>
        <v>6</v>
      </c>
      <c r="J33" s="10" t="s">
        <v>317</v>
      </c>
      <c r="K33" s="10" t="s">
        <v>188</v>
      </c>
      <c r="L33" s="10"/>
      <c r="M33" s="10" t="s">
        <v>180</v>
      </c>
    </row>
    <row r="34" spans="1:13" hidden="1" x14ac:dyDescent="0.2">
      <c r="A34" s="1">
        <v>43744</v>
      </c>
      <c r="B34" s="4" t="s">
        <v>15</v>
      </c>
      <c r="C34" t="s">
        <v>110</v>
      </c>
      <c r="D34" s="2" t="str">
        <f>Table135[[#This Row],[CN]]&amp;" - "&amp;Table135[[#This Row],[CNEE]]</f>
        <v>万盛 - HANSSEM</v>
      </c>
      <c r="E34" s="14" t="str">
        <f>VLOOKUP(Table135[[#This Row],[CN]],表5[],2,FALSE)</f>
        <v>WANSHENG</v>
      </c>
      <c r="F34" s="3" t="s">
        <v>157</v>
      </c>
      <c r="G34" s="10"/>
      <c r="H34" s="10">
        <v>1</v>
      </c>
      <c r="I34" s="10">
        <f>Table135[[#This Row],[20'']]+Table135[[#This Row],[40'']]*2</f>
        <v>2</v>
      </c>
      <c r="J34" s="10" t="s">
        <v>318</v>
      </c>
      <c r="K34" s="10" t="s">
        <v>189</v>
      </c>
      <c r="L34" s="10"/>
      <c r="M34" s="10" t="s">
        <v>180</v>
      </c>
    </row>
    <row r="35" spans="1:13" hidden="1" x14ac:dyDescent="0.2">
      <c r="A35" s="1">
        <v>43744</v>
      </c>
      <c r="B35" s="4" t="s">
        <v>15</v>
      </c>
      <c r="C35" t="s">
        <v>110</v>
      </c>
      <c r="D35" s="2" t="str">
        <f>Table135[[#This Row],[CN]]&amp;" - "&amp;Table135[[#This Row],[CNEE]]</f>
        <v>万盛 - HANSSEM</v>
      </c>
      <c r="E35" s="14" t="str">
        <f>VLOOKUP(Table135[[#This Row],[CN]],表5[],2,FALSE)</f>
        <v>WANSHENG</v>
      </c>
      <c r="F35" s="3" t="s">
        <v>158</v>
      </c>
      <c r="G35" s="10"/>
      <c r="H35" s="10">
        <v>1</v>
      </c>
      <c r="I35" s="10">
        <f>Table135[[#This Row],[20'']]+Table135[[#This Row],[40'']]*2</f>
        <v>2</v>
      </c>
      <c r="J35" s="10" t="s">
        <v>319</v>
      </c>
      <c r="K35" s="10" t="s">
        <v>190</v>
      </c>
      <c r="L35" s="10"/>
      <c r="M35" s="10" t="s">
        <v>180</v>
      </c>
    </row>
    <row r="36" spans="1:13" hidden="1" x14ac:dyDescent="0.2">
      <c r="A36" s="1">
        <v>43744</v>
      </c>
      <c r="B36" s="4" t="s">
        <v>248</v>
      </c>
      <c r="C36" t="s">
        <v>103</v>
      </c>
      <c r="D36" s="2" t="str">
        <f>Table135[[#This Row],[CN]]&amp;" - "&amp;Table135[[#This Row],[CNEE]]</f>
        <v>永艺 - SSEM</v>
      </c>
      <c r="E36" s="14" t="str">
        <f>VLOOKUP(Table135[[#This Row],[CN]],表5[],2,FALSE)</f>
        <v>UE</v>
      </c>
      <c r="F36" s="3" t="s">
        <v>335</v>
      </c>
      <c r="G36" s="10"/>
      <c r="H36" s="10">
        <v>6</v>
      </c>
      <c r="I36" s="10">
        <f>Table135[[#This Row],[20'']]+Table135[[#This Row],[40'']]*2</f>
        <v>12</v>
      </c>
      <c r="J36" s="10" t="s">
        <v>331</v>
      </c>
      <c r="K36" s="10" t="s">
        <v>256</v>
      </c>
      <c r="L36" s="10" t="s">
        <v>496</v>
      </c>
      <c r="M36" s="10" t="s">
        <v>179</v>
      </c>
    </row>
    <row r="37" spans="1:13" hidden="1" x14ac:dyDescent="0.2">
      <c r="A37" s="1">
        <v>43744</v>
      </c>
      <c r="B37" t="s">
        <v>51</v>
      </c>
      <c r="C37" t="s">
        <v>109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8" t="s">
        <v>155</v>
      </c>
      <c r="G37" s="10"/>
      <c r="H37" s="10">
        <v>1</v>
      </c>
      <c r="I37" s="10">
        <f>Table135[[#This Row],[20'']]+Table135[[#This Row],[40'']]*2</f>
        <v>2</v>
      </c>
      <c r="J37" s="10" t="s">
        <v>48</v>
      </c>
      <c r="K37" s="10" t="s">
        <v>49</v>
      </c>
      <c r="L37" s="10"/>
      <c r="M37" s="10" t="s">
        <v>180</v>
      </c>
    </row>
    <row r="38" spans="1:13" ht="28.5" hidden="1" x14ac:dyDescent="0.2">
      <c r="A38" s="1">
        <v>43747</v>
      </c>
      <c r="B38" t="s">
        <v>51</v>
      </c>
      <c r="C38" t="s">
        <v>107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352</v>
      </c>
      <c r="G38" s="10"/>
      <c r="H38" s="10">
        <v>2</v>
      </c>
      <c r="I38" s="10">
        <f>Table135[[#This Row],[20'']]+Table135[[#This Row],[40'']]*2</f>
        <v>4</v>
      </c>
      <c r="J38" s="10" t="s">
        <v>384</v>
      </c>
      <c r="K38" s="10" t="s">
        <v>50</v>
      </c>
      <c r="L38" s="10" t="s">
        <v>540</v>
      </c>
      <c r="M38" s="10" t="s">
        <v>179</v>
      </c>
    </row>
    <row r="39" spans="1:13" hidden="1" x14ac:dyDescent="0.2">
      <c r="A39" s="1">
        <v>43747</v>
      </c>
      <c r="B39" s="4" t="s">
        <v>15</v>
      </c>
      <c r="C39" t="s">
        <v>111</v>
      </c>
      <c r="D39" s="2" t="str">
        <f>Table135[[#This Row],[CN]]&amp;" - "&amp;Table135[[#This Row],[CNEE]]</f>
        <v>顾家 - HANSSEM</v>
      </c>
      <c r="E39" s="14" t="str">
        <f>VLOOKUP(Table135[[#This Row],[CN]],表5[],2,FALSE)</f>
        <v>KUKA</v>
      </c>
      <c r="F39" s="3" t="s">
        <v>162</v>
      </c>
      <c r="G39" s="10"/>
      <c r="H39" s="10">
        <v>1</v>
      </c>
      <c r="I39" s="10">
        <f>Table135[[#This Row],[20'']]+Table135[[#This Row],[40'']]*2</f>
        <v>2</v>
      </c>
      <c r="J39" s="10" t="s">
        <v>323</v>
      </c>
      <c r="K39" s="10" t="s">
        <v>192</v>
      </c>
      <c r="L39" s="10"/>
      <c r="M39" s="10" t="s">
        <v>180</v>
      </c>
    </row>
    <row r="40" spans="1:13" hidden="1" x14ac:dyDescent="0.2">
      <c r="A40" s="1">
        <v>43747</v>
      </c>
      <c r="B40" t="s">
        <v>15</v>
      </c>
      <c r="C40" t="s">
        <v>106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412</v>
      </c>
      <c r="G40" s="10"/>
      <c r="H40" s="10">
        <v>2</v>
      </c>
      <c r="I40" s="10">
        <f>Table135[[#This Row],[20'']]+Table135[[#This Row],[40'']]*2</f>
        <v>4</v>
      </c>
      <c r="J40" s="10" t="s">
        <v>12</v>
      </c>
      <c r="K40" s="10" t="s">
        <v>191</v>
      </c>
      <c r="L40" s="10" t="s">
        <v>540</v>
      </c>
      <c r="M40" s="10" t="s">
        <v>180</v>
      </c>
    </row>
    <row r="41" spans="1:13" hidden="1" x14ac:dyDescent="0.2">
      <c r="A41" s="1">
        <v>43747</v>
      </c>
      <c r="B41" s="4" t="s">
        <v>15</v>
      </c>
      <c r="C41" t="s">
        <v>110</v>
      </c>
      <c r="D41" s="2" t="str">
        <f>Table135[[#This Row],[CN]]&amp;" - "&amp;Table135[[#This Row],[CNEE]]</f>
        <v>万盛 - HANSSEM</v>
      </c>
      <c r="E41" s="14" t="str">
        <f>VLOOKUP(Table135[[#This Row],[CN]],表5[],2,FALSE)</f>
        <v>WANSHENG</v>
      </c>
      <c r="F41" s="3" t="s">
        <v>159</v>
      </c>
      <c r="G41" s="10"/>
      <c r="H41" s="10">
        <v>1</v>
      </c>
      <c r="I41" s="10">
        <f>Table135[[#This Row],[20'']]+Table135[[#This Row],[40'']]*2</f>
        <v>2</v>
      </c>
      <c r="J41" s="10" t="s">
        <v>320</v>
      </c>
      <c r="K41" s="10" t="s">
        <v>193</v>
      </c>
      <c r="L41" s="10"/>
      <c r="M41" s="10" t="s">
        <v>180</v>
      </c>
    </row>
    <row r="42" spans="1:13" hidden="1" x14ac:dyDescent="0.2">
      <c r="A42" s="1">
        <v>43747</v>
      </c>
      <c r="B42" s="4" t="s">
        <v>15</v>
      </c>
      <c r="C42" t="s">
        <v>110</v>
      </c>
      <c r="D42" s="2" t="str">
        <f>Table135[[#This Row],[CN]]&amp;" - "&amp;Table135[[#This Row],[CNEE]]</f>
        <v>万盛 - HANSSEM</v>
      </c>
      <c r="E42" s="14" t="str">
        <f>VLOOKUP(Table135[[#This Row],[CN]],表5[],2,FALSE)</f>
        <v>WANSHENG</v>
      </c>
      <c r="F42" s="3" t="s">
        <v>161</v>
      </c>
      <c r="G42" s="10">
        <v>1</v>
      </c>
      <c r="H42" s="10"/>
      <c r="I42" s="10">
        <f>Table135[[#This Row],[20'']]+Table135[[#This Row],[40'']]*2</f>
        <v>1</v>
      </c>
      <c r="J42" s="10" t="s">
        <v>322</v>
      </c>
      <c r="K42" s="10" t="s">
        <v>194</v>
      </c>
      <c r="L42" s="10" t="s">
        <v>411</v>
      </c>
      <c r="M42" s="10" t="s">
        <v>179</v>
      </c>
    </row>
    <row r="43" spans="1:13" hidden="1" x14ac:dyDescent="0.2">
      <c r="A43" s="1">
        <v>43747</v>
      </c>
      <c r="B43" s="4" t="s">
        <v>15</v>
      </c>
      <c r="C43" t="s">
        <v>110</v>
      </c>
      <c r="D43" s="2" t="str">
        <f>Table135[[#This Row],[CN]]&amp;" - "&amp;Table135[[#This Row],[CNEE]]</f>
        <v>万盛 - HANSSEM</v>
      </c>
      <c r="E43" s="14" t="str">
        <f>VLOOKUP(Table135[[#This Row],[CN]],表5[],2,FALSE)</f>
        <v>WANSHENG</v>
      </c>
      <c r="F43" s="3" t="s">
        <v>160</v>
      </c>
      <c r="G43" s="10"/>
      <c r="H43" s="10">
        <v>1</v>
      </c>
      <c r="I43" s="10">
        <f>Table135[[#This Row],[20'']]+Table135[[#This Row],[40'']]*2</f>
        <v>2</v>
      </c>
      <c r="J43" s="10" t="s">
        <v>321</v>
      </c>
      <c r="K43" s="10" t="s">
        <v>346</v>
      </c>
      <c r="L43" s="10" t="s">
        <v>342</v>
      </c>
      <c r="M43" s="10" t="s">
        <v>180</v>
      </c>
    </row>
    <row r="44" spans="1:13" hidden="1" x14ac:dyDescent="0.2">
      <c r="A44" s="1">
        <v>43747</v>
      </c>
      <c r="B44" s="4" t="s">
        <v>163</v>
      </c>
      <c r="C44" t="s">
        <v>103</v>
      </c>
      <c r="D44" s="2" t="str">
        <f>Table135[[#This Row],[CN]]&amp;" - "&amp;Table135[[#This Row],[CNEE]]</f>
        <v>永艺 - SSEM</v>
      </c>
      <c r="E44" s="14" t="str">
        <f>VLOOKUP(Table135[[#This Row],[CN]],表5[],2,FALSE)</f>
        <v>UE</v>
      </c>
      <c r="F44" s="3" t="s">
        <v>336</v>
      </c>
      <c r="G44" s="10"/>
      <c r="H44" s="10">
        <v>1</v>
      </c>
      <c r="I44" s="10">
        <f>Table135[[#This Row],[20'']]+Table135[[#This Row],[40'']]*2</f>
        <v>2</v>
      </c>
      <c r="J44" s="10" t="s">
        <v>332</v>
      </c>
      <c r="K44" s="10" t="s">
        <v>185</v>
      </c>
      <c r="L44" s="10" t="s">
        <v>334</v>
      </c>
      <c r="M44" s="10" t="s">
        <v>180</v>
      </c>
    </row>
    <row r="45" spans="1:13" ht="28.5" x14ac:dyDescent="0.2">
      <c r="A45" s="1">
        <v>43751</v>
      </c>
      <c r="B45" t="s">
        <v>51</v>
      </c>
      <c r="C45" t="s">
        <v>107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383</v>
      </c>
      <c r="G45" s="10"/>
      <c r="H45" s="10">
        <v>2</v>
      </c>
      <c r="I45" s="10">
        <f>Table135[[#This Row],[20'']]+Table135[[#This Row],[40'']]*2</f>
        <v>4</v>
      </c>
      <c r="J45" s="10" t="s">
        <v>354</v>
      </c>
      <c r="K45" s="10" t="s">
        <v>416</v>
      </c>
      <c r="L45" s="10" t="s">
        <v>414</v>
      </c>
      <c r="M45" s="10" t="s">
        <v>179</v>
      </c>
    </row>
    <row r="46" spans="1:13" ht="57" x14ac:dyDescent="0.2">
      <c r="A46" s="1">
        <v>43751</v>
      </c>
      <c r="B46" s="4" t="s">
        <v>51</v>
      </c>
      <c r="C46" t="s">
        <v>107</v>
      </c>
      <c r="D46" s="2" t="str">
        <f>Table135[[#This Row],[CN]]&amp;" - "&amp;Table135[[#This Row],[CNEE]]</f>
        <v>华达利 - CASAMIA</v>
      </c>
      <c r="E46" s="14" t="str">
        <f>VLOOKUP(Table135[[#This Row],[CN]],表5[],2,FALSE)</f>
        <v>HTL</v>
      </c>
      <c r="F46" s="3" t="s">
        <v>351</v>
      </c>
      <c r="G46" s="10"/>
      <c r="H46" s="10">
        <v>4</v>
      </c>
      <c r="I46" s="10">
        <f>Table135[[#This Row],[20'']]+Table135[[#This Row],[40'']]*2</f>
        <v>8</v>
      </c>
      <c r="J46" s="10" t="s">
        <v>493</v>
      </c>
      <c r="K46" s="10" t="s">
        <v>495</v>
      </c>
      <c r="L46" s="10" t="s">
        <v>494</v>
      </c>
      <c r="M46" s="10" t="s">
        <v>179</v>
      </c>
    </row>
    <row r="47" spans="1:13" x14ac:dyDescent="0.2">
      <c r="A47" s="1">
        <v>43751</v>
      </c>
      <c r="B47" s="4" t="s">
        <v>51</v>
      </c>
      <c r="C47" t="s">
        <v>104</v>
      </c>
      <c r="D47" s="2" t="str">
        <f>Table135[[#This Row],[CN]]&amp;" - "&amp;Table135[[#This Row],[CNEE]]</f>
        <v>雅家居 - CASAMIA</v>
      </c>
      <c r="E47" s="14" t="str">
        <f>VLOOKUP(Table135[[#This Row],[CN]],表5[],2,FALSE)</f>
        <v>YAJIAJU</v>
      </c>
      <c r="F47" s="3" t="s">
        <v>264</v>
      </c>
      <c r="G47" s="10"/>
      <c r="H47" s="10">
        <v>2</v>
      </c>
      <c r="I47" s="10">
        <f>Table135[[#This Row],[20'']]+Table135[[#This Row],[40'']]*2</f>
        <v>4</v>
      </c>
      <c r="J47" s="10" t="s">
        <v>306</v>
      </c>
      <c r="K47" s="10" t="s">
        <v>292</v>
      </c>
      <c r="L47" s="10"/>
      <c r="M47" s="10" t="s">
        <v>179</v>
      </c>
    </row>
    <row r="48" spans="1:13" x14ac:dyDescent="0.2">
      <c r="A48" s="1">
        <v>43751</v>
      </c>
      <c r="B48" t="s">
        <v>15</v>
      </c>
      <c r="C48" t="s">
        <v>111</v>
      </c>
      <c r="D48" t="str">
        <f>Table135[[#This Row],[CN]]&amp;" - "&amp;Table135[[#This Row],[CNEE]]</f>
        <v>顾家 - HANSSEM</v>
      </c>
      <c r="E48" t="str">
        <f>VLOOKUP(Table135[[#This Row],[CN]],表5[],2,FALSE)</f>
        <v>KUKA</v>
      </c>
      <c r="F48" s="3" t="s">
        <v>357</v>
      </c>
      <c r="G48" s="10"/>
      <c r="H48" s="10">
        <v>2</v>
      </c>
      <c r="I48" s="10">
        <f>Table135[[#This Row],[20'']]+Table135[[#This Row],[40'']]*2</f>
        <v>4</v>
      </c>
      <c r="J48" s="10" t="s">
        <v>11</v>
      </c>
      <c r="K48" s="10" t="s">
        <v>295</v>
      </c>
      <c r="L48" s="10" t="s">
        <v>539</v>
      </c>
      <c r="M48" s="10" t="s">
        <v>179</v>
      </c>
    </row>
    <row r="49" spans="1:13" x14ac:dyDescent="0.2">
      <c r="A49" s="1">
        <v>43751</v>
      </c>
      <c r="B49" s="4" t="s">
        <v>108</v>
      </c>
      <c r="C49" t="s">
        <v>110</v>
      </c>
      <c r="D49" s="2" t="str">
        <f>Table135[[#This Row],[CN]]&amp;" - "&amp;Table135[[#This Row],[CNEE]]</f>
        <v>万盛 - HANSSEM</v>
      </c>
      <c r="E49" s="14" t="str">
        <f>VLOOKUP(Table135[[#This Row],[CN]],表5[],2,FALSE)</f>
        <v>WANSHENG</v>
      </c>
      <c r="F49" s="3" t="s">
        <v>164</v>
      </c>
      <c r="G49" s="10"/>
      <c r="H49" s="10">
        <v>1</v>
      </c>
      <c r="I49" s="10">
        <f>Table135[[#This Row],[20'']]+Table135[[#This Row],[40'']]*2</f>
        <v>2</v>
      </c>
      <c r="J49" s="10" t="s">
        <v>324</v>
      </c>
      <c r="K49" s="10" t="s">
        <v>195</v>
      </c>
      <c r="L49" s="10" t="s">
        <v>455</v>
      </c>
      <c r="M49" s="10" t="s">
        <v>179</v>
      </c>
    </row>
    <row r="50" spans="1:13" x14ac:dyDescent="0.2">
      <c r="A50" s="1">
        <v>43751</v>
      </c>
      <c r="B50" s="4" t="s">
        <v>108</v>
      </c>
      <c r="C50" t="s">
        <v>110</v>
      </c>
      <c r="D50" s="2" t="str">
        <f>Table135[[#This Row],[CN]]&amp;" - "&amp;Table135[[#This Row],[CNEE]]</f>
        <v>万盛 - HANSSEM</v>
      </c>
      <c r="E50" s="14" t="str">
        <f>VLOOKUP(Table135[[#This Row],[CN]],表5[],2,FALSE)</f>
        <v>WANSHENG</v>
      </c>
      <c r="F50" s="3" t="s">
        <v>164</v>
      </c>
      <c r="G50" s="10"/>
      <c r="H50" s="10">
        <v>1</v>
      </c>
      <c r="I50" s="10">
        <f>Table135[[#This Row],[20'']]+Table135[[#This Row],[40'']]*2</f>
        <v>2</v>
      </c>
      <c r="J50" s="10" t="s">
        <v>456</v>
      </c>
      <c r="K50" s="10" t="s">
        <v>453</v>
      </c>
      <c r="L50" s="10" t="s">
        <v>454</v>
      </c>
      <c r="M50" s="10" t="s">
        <v>179</v>
      </c>
    </row>
    <row r="51" spans="1:13" x14ac:dyDescent="0.2">
      <c r="A51" s="1">
        <v>43751</v>
      </c>
      <c r="B51" s="4" t="s">
        <v>19</v>
      </c>
      <c r="C51" t="s">
        <v>105</v>
      </c>
      <c r="D51" s="2" t="str">
        <f>Table135[[#This Row],[CN]]&amp;" - "&amp;Table135[[#This Row],[CNEE]]</f>
        <v>华宝 - SSEM</v>
      </c>
      <c r="E51" s="14" t="str">
        <f>VLOOKUP(Table135[[#This Row],[CN]],表5[],2,FALSE)</f>
        <v>HUABAO</v>
      </c>
      <c r="F51" s="3" t="s">
        <v>33</v>
      </c>
      <c r="G51" s="10">
        <v>3</v>
      </c>
      <c r="H51" s="10"/>
      <c r="I51" s="10">
        <f>Table135[[#This Row],[20'']]+Table135[[#This Row],[40'']]*2</f>
        <v>3</v>
      </c>
      <c r="J51" s="10" t="s">
        <v>418</v>
      </c>
      <c r="K51" s="10" t="s">
        <v>417</v>
      </c>
      <c r="L51" s="10" t="s">
        <v>415</v>
      </c>
      <c r="M51" s="10" t="s">
        <v>179</v>
      </c>
    </row>
    <row r="52" spans="1:13" ht="57" hidden="1" x14ac:dyDescent="0.2">
      <c r="A52" s="1">
        <v>43754</v>
      </c>
      <c r="B52" s="4" t="s">
        <v>51</v>
      </c>
      <c r="C52" t="s">
        <v>111</v>
      </c>
      <c r="D52" s="2" t="str">
        <f>Table135[[#This Row],[CN]]&amp;" - "&amp;Table135[[#This Row],[CNEE]]</f>
        <v>顾家 - CASAMIA</v>
      </c>
      <c r="E52" s="14" t="str">
        <f>VLOOKUP(Table135[[#This Row],[CN]],表5[],2,FALSE)</f>
        <v>KUKA</v>
      </c>
      <c r="F52" s="3" t="s">
        <v>178</v>
      </c>
      <c r="G52" s="10"/>
      <c r="H52" s="10">
        <v>4</v>
      </c>
      <c r="I52" s="10">
        <f>Table135[[#This Row],[20'']]+Table135[[#This Row],[40'']]*2</f>
        <v>8</v>
      </c>
      <c r="J52" s="10" t="s">
        <v>310</v>
      </c>
      <c r="K52" s="10" t="s">
        <v>203</v>
      </c>
      <c r="L52" s="10"/>
      <c r="M52" s="10" t="s">
        <v>179</v>
      </c>
    </row>
    <row r="53" spans="1:13" hidden="1" x14ac:dyDescent="0.2">
      <c r="A53" s="1">
        <v>43754</v>
      </c>
      <c r="B53" s="4" t="s">
        <v>51</v>
      </c>
      <c r="C53" t="s">
        <v>109</v>
      </c>
      <c r="D53" s="2" t="str">
        <f>Table135[[#This Row],[CN]]&amp;" - "&amp;Table135[[#This Row],[CNEE]]</f>
        <v>洲际 - CASAMIA</v>
      </c>
      <c r="E53" s="14" t="str">
        <f>VLOOKUP(Table135[[#This Row],[CN]],表5[],2,FALSE)</f>
        <v>ZHOUJI</v>
      </c>
      <c r="F53" s="3" t="s">
        <v>362</v>
      </c>
      <c r="G53" s="10"/>
      <c r="H53" s="10">
        <v>1</v>
      </c>
      <c r="I53" s="10">
        <f>Table135[[#This Row],[20'']]+Table135[[#This Row],[40'']]*2</f>
        <v>2</v>
      </c>
      <c r="J53" s="10" t="s">
        <v>367</v>
      </c>
      <c r="K53" s="10" t="s">
        <v>365</v>
      </c>
      <c r="L53" s="10" t="s">
        <v>465</v>
      </c>
      <c r="M53" s="10" t="s">
        <v>179</v>
      </c>
    </row>
    <row r="54" spans="1:13" hidden="1" x14ac:dyDescent="0.2">
      <c r="A54" s="1">
        <v>43754</v>
      </c>
      <c r="B54" t="s">
        <v>15</v>
      </c>
      <c r="C54" t="s">
        <v>106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13</v>
      </c>
      <c r="G54" s="10"/>
      <c r="H54" s="10">
        <v>3</v>
      </c>
      <c r="I54" s="10">
        <f>Table135[[#This Row],[20'']]+Table135[[#This Row],[40'']]*2</f>
        <v>6</v>
      </c>
      <c r="J54" s="10" t="s">
        <v>14</v>
      </c>
      <c r="K54" s="10" t="s">
        <v>196</v>
      </c>
      <c r="L54" s="10"/>
      <c r="M54" s="10" t="s">
        <v>180</v>
      </c>
    </row>
    <row r="55" spans="1:13" hidden="1" x14ac:dyDescent="0.2">
      <c r="A55" s="1">
        <v>43754</v>
      </c>
      <c r="B55" t="s">
        <v>15</v>
      </c>
      <c r="C55" t="s">
        <v>110</v>
      </c>
      <c r="D55" s="2" t="str">
        <f>Table135[[#This Row],[CN]]&amp;" - "&amp;Table135[[#This Row],[CNEE]]</f>
        <v>万盛 - HANSSEM</v>
      </c>
      <c r="E55" s="14" t="str">
        <f>VLOOKUP(Table135[[#This Row],[CN]],表5[],2,FALSE)</f>
        <v>WANSHENG</v>
      </c>
      <c r="F55" s="3" t="s">
        <v>165</v>
      </c>
      <c r="G55" s="10"/>
      <c r="H55" s="10">
        <v>1</v>
      </c>
      <c r="I55" s="10">
        <f>Table135[[#This Row],[20'']]+Table135[[#This Row],[40'']]*2</f>
        <v>2</v>
      </c>
      <c r="J55" s="10" t="s">
        <v>325</v>
      </c>
      <c r="K55" s="10" t="s">
        <v>197</v>
      </c>
      <c r="L55" s="10"/>
      <c r="M55" s="10" t="s">
        <v>180</v>
      </c>
    </row>
    <row r="56" spans="1:13" hidden="1" x14ac:dyDescent="0.2">
      <c r="A56" s="1">
        <v>43754</v>
      </c>
      <c r="B56" t="s">
        <v>15</v>
      </c>
      <c r="C56" t="s">
        <v>110</v>
      </c>
      <c r="D56" s="2" t="str">
        <f>Table135[[#This Row],[CN]]&amp;" - "&amp;Table135[[#This Row],[CNEE]]</f>
        <v>万盛 - HANSSEM</v>
      </c>
      <c r="E56" s="14" t="str">
        <f>VLOOKUP(Table135[[#This Row],[CN]],表5[],2,FALSE)</f>
        <v>WANSHENG</v>
      </c>
      <c r="F56" s="3" t="s">
        <v>166</v>
      </c>
      <c r="G56" s="10"/>
      <c r="H56" s="10">
        <v>1</v>
      </c>
      <c r="I56" s="10">
        <f>Table135[[#This Row],[20'']]+Table135[[#This Row],[40'']]*2</f>
        <v>2</v>
      </c>
      <c r="J56" s="10" t="s">
        <v>326</v>
      </c>
      <c r="K56" s="10" t="s">
        <v>198</v>
      </c>
      <c r="L56" s="10"/>
      <c r="M56" s="10" t="s">
        <v>180</v>
      </c>
    </row>
    <row r="57" spans="1:13" hidden="1" x14ac:dyDescent="0.2">
      <c r="A57" s="1">
        <v>43758</v>
      </c>
      <c r="B57" s="4" t="s">
        <v>51</v>
      </c>
      <c r="C57" t="s">
        <v>111</v>
      </c>
      <c r="D57" s="2" t="str">
        <f>Table135[[#This Row],[CN]]&amp;" - "&amp;Table135[[#This Row],[CNEE]]</f>
        <v>顾家 - CASAMIA</v>
      </c>
      <c r="E57" s="14" t="str">
        <f>VLOOKUP(Table135[[#This Row],[CN]],表5[],2,FALSE)</f>
        <v>KUKA</v>
      </c>
      <c r="F57" s="3" t="s">
        <v>341</v>
      </c>
      <c r="G57" s="10"/>
      <c r="H57" s="10">
        <v>1</v>
      </c>
      <c r="I57" s="10">
        <f>Table135[[#This Row],[20'']]+Table135[[#This Row],[40'']]*2</f>
        <v>2</v>
      </c>
      <c r="J57" s="10" t="s">
        <v>311</v>
      </c>
      <c r="K57" s="10" t="s">
        <v>204</v>
      </c>
      <c r="L57" s="10"/>
      <c r="M57" s="10" t="s">
        <v>179</v>
      </c>
    </row>
    <row r="58" spans="1:13" ht="57" hidden="1" x14ac:dyDescent="0.2">
      <c r="A58" s="1">
        <v>43758</v>
      </c>
      <c r="B58" s="4" t="s">
        <v>51</v>
      </c>
      <c r="C58" t="s">
        <v>107</v>
      </c>
      <c r="D58" s="2" t="str">
        <f>Table135[[#This Row],[CN]]&amp;" - "&amp;Table135[[#This Row],[CNEE]]</f>
        <v>华达利 - CASAMIA</v>
      </c>
      <c r="E58" s="14" t="str">
        <f>VLOOKUP(Table135[[#This Row],[CN]],表5[],2,FALSE)</f>
        <v>HTL</v>
      </c>
      <c r="F58" s="3" t="s">
        <v>181</v>
      </c>
      <c r="G58" s="10"/>
      <c r="H58" s="10">
        <v>4</v>
      </c>
      <c r="I58" s="10">
        <f>Table135[[#This Row],[20'']]+Table135[[#This Row],[40'']]*2</f>
        <v>8</v>
      </c>
      <c r="J58" s="10" t="s">
        <v>312</v>
      </c>
      <c r="K58" s="10" t="s">
        <v>205</v>
      </c>
      <c r="L58" s="10"/>
      <c r="M58" s="10" t="s">
        <v>179</v>
      </c>
    </row>
    <row r="59" spans="1:13" hidden="1" x14ac:dyDescent="0.2">
      <c r="A59" s="1">
        <v>43758</v>
      </c>
      <c r="B59" s="4" t="s">
        <v>51</v>
      </c>
      <c r="C59" t="s">
        <v>107</v>
      </c>
      <c r="D59" s="2" t="str">
        <f>Table135[[#This Row],[CN]]&amp;" - "&amp;Table135[[#This Row],[CNEE]]</f>
        <v>华达利 - CASAMIA</v>
      </c>
      <c r="E59" s="14" t="str">
        <f>VLOOKUP(Table135[[#This Row],[CN]],表5[],2,FALSE)</f>
        <v>HTL</v>
      </c>
      <c r="F59" s="3" t="s">
        <v>458</v>
      </c>
      <c r="G59" s="10"/>
      <c r="H59" s="10">
        <v>0</v>
      </c>
      <c r="I59" s="10">
        <f>Table135[[#This Row],[20'']]+Table135[[#This Row],[40'']]*2</f>
        <v>0</v>
      </c>
      <c r="J59" s="10" t="s">
        <v>313</v>
      </c>
      <c r="K59" s="10" t="s">
        <v>500</v>
      </c>
      <c r="L59" s="10" t="s">
        <v>501</v>
      </c>
      <c r="M59" s="10" t="s">
        <v>179</v>
      </c>
    </row>
    <row r="60" spans="1:13" hidden="1" x14ac:dyDescent="0.2">
      <c r="A60" s="1">
        <v>43758</v>
      </c>
      <c r="B60" s="4" t="s">
        <v>51</v>
      </c>
      <c r="C60" t="s">
        <v>109</v>
      </c>
      <c r="D60" s="2" t="str">
        <f>Table135[[#This Row],[CN]]&amp;" - "&amp;Table135[[#This Row],[CNEE]]</f>
        <v>洲际 - CASAMIA</v>
      </c>
      <c r="E60" s="14" t="str">
        <f>VLOOKUP(Table135[[#This Row],[CN]],表5[],2,FALSE)</f>
        <v>ZHOUJI</v>
      </c>
      <c r="F60" s="3" t="s">
        <v>363</v>
      </c>
      <c r="G60" s="10"/>
      <c r="H60" s="10">
        <v>1</v>
      </c>
      <c r="I60" s="10">
        <f>Table135[[#This Row],[20'']]+Table135[[#This Row],[40'']]*2</f>
        <v>2</v>
      </c>
      <c r="J60" s="10" t="s">
        <v>368</v>
      </c>
      <c r="K60" s="10" t="s">
        <v>366</v>
      </c>
      <c r="L60" s="10" t="s">
        <v>466</v>
      </c>
      <c r="M60" s="10" t="s">
        <v>179</v>
      </c>
    </row>
    <row r="61" spans="1:13" hidden="1" x14ac:dyDescent="0.2">
      <c r="A61" s="1">
        <v>43761</v>
      </c>
      <c r="B61" s="4" t="s">
        <v>108</v>
      </c>
      <c r="C61" t="s">
        <v>111</v>
      </c>
      <c r="D61" s="2" t="str">
        <f>Table135[[#This Row],[CN]]&amp;" - "&amp;Table135[[#This Row],[CNEE]]</f>
        <v>顾家 - HANSSEM</v>
      </c>
      <c r="E61" s="14" t="str">
        <f>VLOOKUP(Table135[[#This Row],[CN]],表5[],2,FALSE)</f>
        <v>KUKA</v>
      </c>
      <c r="F61" s="3" t="s">
        <v>475</v>
      </c>
      <c r="G61" s="10"/>
      <c r="H61" s="10">
        <v>1</v>
      </c>
      <c r="I61" s="10">
        <f>Table135[[#This Row],[20'']]+Table135[[#This Row],[40'']]*2</f>
        <v>2</v>
      </c>
      <c r="J61" s="10" t="s">
        <v>477</v>
      </c>
      <c r="K61" s="10" t="s">
        <v>479</v>
      </c>
      <c r="L61" s="10"/>
      <c r="M61" s="10"/>
    </row>
    <row r="62" spans="1:13" hidden="1" x14ac:dyDescent="0.2">
      <c r="A62" s="1">
        <v>43758</v>
      </c>
      <c r="B62" s="4" t="s">
        <v>108</v>
      </c>
      <c r="C62" t="s">
        <v>106</v>
      </c>
      <c r="D62" s="2" t="str">
        <f>Table135[[#This Row],[CN]]&amp;" - "&amp;Table135[[#This Row],[CNEE]]</f>
        <v>卡帛 - HANSSEM</v>
      </c>
      <c r="E62" s="14" t="str">
        <f>VLOOKUP(Table135[[#This Row],[CN]],表5[],2,FALSE)</f>
        <v>CABO</v>
      </c>
      <c r="F62" s="3" t="s">
        <v>413</v>
      </c>
      <c r="G62" s="10"/>
      <c r="H62" s="10">
        <v>4</v>
      </c>
      <c r="I62" s="10">
        <f>Table135[[#This Row],[20'']]+Table135[[#This Row],[40'']]*2</f>
        <v>8</v>
      </c>
      <c r="J62" s="10" t="s">
        <v>330</v>
      </c>
      <c r="K62" s="10" t="s">
        <v>199</v>
      </c>
      <c r="L62" s="10"/>
      <c r="M62" s="10" t="s">
        <v>179</v>
      </c>
    </row>
    <row r="63" spans="1:13" hidden="1" x14ac:dyDescent="0.2">
      <c r="A63" s="1">
        <v>43758</v>
      </c>
      <c r="B63" s="4" t="s">
        <v>265</v>
      </c>
      <c r="C63" t="s">
        <v>110</v>
      </c>
      <c r="D63" s="2" t="str">
        <f>Table135[[#This Row],[CN]]&amp;" - "&amp;Table135[[#This Row],[CNEE]]</f>
        <v>万盛 - HANSSEM</v>
      </c>
      <c r="E63" s="14" t="str">
        <f>VLOOKUP(Table135[[#This Row],[CN]],表5[],2,FALSE)</f>
        <v>WANSHENG</v>
      </c>
      <c r="F63" s="3" t="s">
        <v>299</v>
      </c>
      <c r="G63" s="10"/>
      <c r="H63" s="10">
        <v>2</v>
      </c>
      <c r="I63" s="10">
        <f>Table135[[#This Row],[20'']]+Table135[[#This Row],[40'']]*2</f>
        <v>4</v>
      </c>
      <c r="J63" s="10" t="s">
        <v>327</v>
      </c>
      <c r="K63" s="10" t="s">
        <v>296</v>
      </c>
      <c r="L63" s="10"/>
      <c r="M63" s="10" t="s">
        <v>179</v>
      </c>
    </row>
    <row r="64" spans="1:13" hidden="1" x14ac:dyDescent="0.2">
      <c r="A64" s="1">
        <v>43758</v>
      </c>
      <c r="B64" s="4" t="s">
        <v>265</v>
      </c>
      <c r="C64" t="s">
        <v>110</v>
      </c>
      <c r="D64" s="2" t="str">
        <f>Table135[[#This Row],[CN]]&amp;" - "&amp;Table135[[#This Row],[CNEE]]</f>
        <v>万盛 - HANSSEM</v>
      </c>
      <c r="E64" s="14" t="str">
        <f>VLOOKUP(Table135[[#This Row],[CN]],表5[],2,FALSE)</f>
        <v>WANSHENG</v>
      </c>
      <c r="F64" s="3" t="s">
        <v>300</v>
      </c>
      <c r="G64" s="10"/>
      <c r="H64" s="10">
        <v>2</v>
      </c>
      <c r="I64" s="10">
        <f>Table135[[#This Row],[20'']]+Table135[[#This Row],[40'']]*2</f>
        <v>4</v>
      </c>
      <c r="J64" s="10" t="s">
        <v>328</v>
      </c>
      <c r="K64" s="10" t="s">
        <v>297</v>
      </c>
      <c r="L64" s="10"/>
      <c r="M64" s="10" t="s">
        <v>179</v>
      </c>
    </row>
    <row r="65" spans="1:13" hidden="1" x14ac:dyDescent="0.2">
      <c r="A65" s="1">
        <v>43758</v>
      </c>
      <c r="B65" s="4" t="s">
        <v>265</v>
      </c>
      <c r="C65" t="s">
        <v>110</v>
      </c>
      <c r="D65" s="2" t="str">
        <f>Table135[[#This Row],[CN]]&amp;" - "&amp;Table135[[#This Row],[CNEE]]</f>
        <v>万盛 - HANSSEM</v>
      </c>
      <c r="E65" s="14" t="str">
        <f>VLOOKUP(Table135[[#This Row],[CN]],表5[],2,FALSE)</f>
        <v>WANSHENG</v>
      </c>
      <c r="F65" s="3" t="s">
        <v>301</v>
      </c>
      <c r="G65" s="10"/>
      <c r="H65" s="10">
        <v>1</v>
      </c>
      <c r="I65" s="10">
        <f>Table135[[#This Row],[20'']]+Table135[[#This Row],[40'']]*2</f>
        <v>2</v>
      </c>
      <c r="J65" s="10" t="s">
        <v>329</v>
      </c>
      <c r="K65" s="10" t="s">
        <v>298</v>
      </c>
      <c r="L65" s="10"/>
      <c r="M65" s="10" t="s">
        <v>179</v>
      </c>
    </row>
    <row r="66" spans="1:13" ht="42.75" hidden="1" x14ac:dyDescent="0.2">
      <c r="A66" s="1">
        <v>43761</v>
      </c>
      <c r="B66" t="s">
        <v>51</v>
      </c>
      <c r="C66" t="s">
        <v>107</v>
      </c>
      <c r="D66" s="2" t="str">
        <f>Table135[[#This Row],[CN]]&amp;" - "&amp;Table135[[#This Row],[CNEE]]</f>
        <v>华达利 - CASAMIA</v>
      </c>
      <c r="E66" s="14" t="str">
        <f>VLOOKUP(Table135[[#This Row],[CN]],表5[],2,FALSE)</f>
        <v>HTL</v>
      </c>
      <c r="F66" s="3" t="s">
        <v>497</v>
      </c>
      <c r="G66" s="10"/>
      <c r="H66" s="10">
        <v>3</v>
      </c>
      <c r="I66" s="10">
        <f>Table135[[#This Row],[20'']]+Table135[[#This Row],[40'']]*2</f>
        <v>6</v>
      </c>
      <c r="J66" s="10" t="s">
        <v>360</v>
      </c>
      <c r="K66" s="10" t="s">
        <v>359</v>
      </c>
      <c r="L66" s="10"/>
      <c r="M66" s="10" t="s">
        <v>179</v>
      </c>
    </row>
    <row r="67" spans="1:13" ht="28.5" hidden="1" x14ac:dyDescent="0.2">
      <c r="A67" s="1">
        <v>43761</v>
      </c>
      <c r="B67" s="4" t="s">
        <v>51</v>
      </c>
      <c r="C67" t="s">
        <v>107</v>
      </c>
      <c r="D67" s="2" t="str">
        <f>Table135[[#This Row],[CN]]&amp;" - "&amp;Table135[[#This Row],[CNEE]]</f>
        <v>华达利 - CASAMIA</v>
      </c>
      <c r="E67" s="14" t="str">
        <f>VLOOKUP(Table135[[#This Row],[CN]],表5[],2,FALSE)</f>
        <v>HTL</v>
      </c>
      <c r="F67" s="3" t="s">
        <v>469</v>
      </c>
      <c r="G67" s="10"/>
      <c r="H67" s="10">
        <v>2</v>
      </c>
      <c r="I67" s="10">
        <f>Table135[[#This Row],[20'']]+Table135[[#This Row],[40'']]*2</f>
        <v>4</v>
      </c>
      <c r="J67" s="10" t="s">
        <v>485</v>
      </c>
      <c r="K67" s="10" t="s">
        <v>478</v>
      </c>
      <c r="L67" s="10"/>
      <c r="M67" s="10" t="s">
        <v>179</v>
      </c>
    </row>
    <row r="68" spans="1:13" hidden="1" x14ac:dyDescent="0.2">
      <c r="A68" s="1">
        <v>43765</v>
      </c>
      <c r="B68" s="4" t="s">
        <v>108</v>
      </c>
      <c r="C68" t="s">
        <v>472</v>
      </c>
      <c r="D68" s="2" t="str">
        <f>Table135[[#This Row],[CN]]&amp;" - "&amp;Table135[[#This Row],[CNEE]]</f>
        <v>顾家 - HANSSEM</v>
      </c>
      <c r="E68" s="14" t="str">
        <f>VLOOKUP(Table135[[#This Row],[CN]],表5[],2,FALSE)</f>
        <v>KUKA</v>
      </c>
      <c r="F68" s="3" t="s">
        <v>534</v>
      </c>
      <c r="G68" s="10"/>
      <c r="H68" s="10">
        <v>2</v>
      </c>
      <c r="I68" s="10">
        <f>Table135[[#This Row],[20'']]+Table135[[#This Row],[40'']]*2</f>
        <v>4</v>
      </c>
      <c r="J68" s="10" t="s">
        <v>486</v>
      </c>
      <c r="K68" s="10" t="s">
        <v>482</v>
      </c>
      <c r="L68" s="10"/>
      <c r="M68" s="10"/>
    </row>
    <row r="69" spans="1:13" hidden="1" x14ac:dyDescent="0.2">
      <c r="A69" s="1">
        <v>43761</v>
      </c>
      <c r="B69" s="4" t="s">
        <v>15</v>
      </c>
      <c r="C69" t="s">
        <v>110</v>
      </c>
      <c r="D69" s="2" t="str">
        <f>Table135[[#This Row],[CN]]&amp;" - "&amp;Table135[[#This Row],[CNEE]]</f>
        <v>万盛 - HANSSEM</v>
      </c>
      <c r="E69" s="14" t="str">
        <f>VLOOKUP(Table135[[#This Row],[CN]],表5[],2,FALSE)</f>
        <v>WANSHENG</v>
      </c>
      <c r="F69" s="3" t="s">
        <v>457</v>
      </c>
      <c r="G69" s="10"/>
      <c r="H69" s="10">
        <v>2</v>
      </c>
      <c r="I69" s="10">
        <f>Table135[[#This Row],[20'']]+Table135[[#This Row],[40'']]*2</f>
        <v>4</v>
      </c>
      <c r="J69" s="10" t="s">
        <v>488</v>
      </c>
      <c r="K69" s="10" t="s">
        <v>480</v>
      </c>
      <c r="L69" s="10"/>
      <c r="M69" s="10" t="s">
        <v>179</v>
      </c>
    </row>
    <row r="70" spans="1:13" ht="28.5" hidden="1" x14ac:dyDescent="0.2">
      <c r="A70" s="1">
        <v>43765</v>
      </c>
      <c r="B70" s="4" t="s">
        <v>51</v>
      </c>
      <c r="C70" t="s">
        <v>107</v>
      </c>
      <c r="D70" s="2" t="str">
        <f>Table135[[#This Row],[CN]]&amp;" - "&amp;Table135[[#This Row],[CNEE]]</f>
        <v>华达利 - CASAMIA</v>
      </c>
      <c r="E70" s="14" t="str">
        <f>VLOOKUP(Table135[[#This Row],[CN]],表5[],2,FALSE)</f>
        <v>HTL</v>
      </c>
      <c r="F70" s="3" t="s">
        <v>468</v>
      </c>
      <c r="G70" s="10"/>
      <c r="H70" s="10">
        <v>2</v>
      </c>
      <c r="I70" s="10">
        <f>Table135[[#This Row],[20'']]+Table135[[#This Row],[40'']]*2</f>
        <v>4</v>
      </c>
      <c r="J70" s="10" t="s">
        <v>491</v>
      </c>
      <c r="K70" s="10" t="s">
        <v>481</v>
      </c>
      <c r="L70" s="10"/>
      <c r="M70" s="10" t="s">
        <v>179</v>
      </c>
    </row>
    <row r="71" spans="1:13" ht="42.75" hidden="1" x14ac:dyDescent="0.2">
      <c r="A71" s="1">
        <v>43768</v>
      </c>
      <c r="B71" s="4" t="s">
        <v>51</v>
      </c>
      <c r="C71" t="s">
        <v>107</v>
      </c>
      <c r="D71" s="2" t="str">
        <f>Table135[[#This Row],[CN]]&amp;" - "&amp;Table135[[#This Row],[CNEE]]</f>
        <v>华达利 - CASAMIA</v>
      </c>
      <c r="E71" s="14" t="str">
        <f>VLOOKUP(Table135[[#This Row],[CN]],表5[],2,FALSE)</f>
        <v>HTL</v>
      </c>
      <c r="F71" s="3" t="s">
        <v>467</v>
      </c>
      <c r="G71" s="10"/>
      <c r="H71" s="10">
        <v>3</v>
      </c>
      <c r="I71" s="10">
        <f>Table135[[#This Row],[20'']]+Table135[[#This Row],[40'']]*2</f>
        <v>6</v>
      </c>
      <c r="J71" s="10" t="s">
        <v>492</v>
      </c>
      <c r="K71" s="10" t="s">
        <v>483</v>
      </c>
      <c r="L71" s="10"/>
      <c r="M71" s="10" t="s">
        <v>179</v>
      </c>
    </row>
    <row r="72" spans="1:13" hidden="1" x14ac:dyDescent="0.2">
      <c r="A72" s="1">
        <v>43768</v>
      </c>
      <c r="B72" s="4" t="s">
        <v>108</v>
      </c>
      <c r="C72" t="s">
        <v>111</v>
      </c>
      <c r="D72" s="2" t="str">
        <f>Table135[[#This Row],[CN]]&amp;" - "&amp;Table135[[#This Row],[CNEE]]</f>
        <v>顾家 - HANSSEM</v>
      </c>
      <c r="E72" s="14" t="str">
        <f>VLOOKUP(Table135[[#This Row],[CN]],表5[],2,FALSE)</f>
        <v>KUKA</v>
      </c>
      <c r="F72" s="3" t="s">
        <v>535</v>
      </c>
      <c r="G72" s="10"/>
      <c r="H72" s="10">
        <v>1</v>
      </c>
      <c r="I72" s="10">
        <f>Table135[[#This Row],[20'']]+Table135[[#This Row],[40'']]*2</f>
        <v>2</v>
      </c>
      <c r="J72" s="10"/>
      <c r="K72" s="10" t="s">
        <v>532</v>
      </c>
      <c r="L72" s="10"/>
      <c r="M72" s="10"/>
    </row>
    <row r="73" spans="1:13" hidden="1" x14ac:dyDescent="0.2">
      <c r="A73" s="1">
        <v>43772</v>
      </c>
      <c r="B73" s="4" t="s">
        <v>108</v>
      </c>
      <c r="C73" t="s">
        <v>472</v>
      </c>
      <c r="D73" s="2" t="str">
        <f>Table135[[#This Row],[CN]]&amp;" - "&amp;Table135[[#This Row],[CNEE]]</f>
        <v>顾家 - HANSSEM</v>
      </c>
      <c r="E73" s="14" t="str">
        <f>VLOOKUP(Table135[[#This Row],[CN]],表5[],2,FALSE)</f>
        <v>KUKA</v>
      </c>
      <c r="F73" s="3" t="s">
        <v>473</v>
      </c>
      <c r="G73" s="10"/>
      <c r="H73" s="10">
        <v>3</v>
      </c>
      <c r="I73" s="10">
        <f>Table135[[#This Row],[20'']]+Table135[[#This Row],[40'']]*2</f>
        <v>6</v>
      </c>
      <c r="J73" s="10"/>
      <c r="K73" s="10"/>
      <c r="L73" s="10" t="s">
        <v>536</v>
      </c>
      <c r="M73" s="10"/>
    </row>
    <row r="74" spans="1:13" hidden="1" x14ac:dyDescent="0.2">
      <c r="A74" s="1">
        <v>43765</v>
      </c>
      <c r="B74" s="4" t="s">
        <v>108</v>
      </c>
      <c r="C74" t="s">
        <v>110</v>
      </c>
      <c r="D74" s="2" t="str">
        <f>Table135[[#This Row],[CN]]&amp;" - "&amp;Table135[[#This Row],[CNEE]]</f>
        <v>万盛 - HANSSEM</v>
      </c>
      <c r="E74" s="14" t="str">
        <f>VLOOKUP(Table135[[#This Row],[CN]],表5[],2,FALSE)</f>
        <v>WANSHENG</v>
      </c>
      <c r="F74" s="3" t="s">
        <v>527</v>
      </c>
      <c r="G74" s="10"/>
      <c r="H74" s="10">
        <v>2</v>
      </c>
      <c r="I74" s="10">
        <f>Table135[[#This Row],[20'']]+Table135[[#This Row],[40'']]*2</f>
        <v>4</v>
      </c>
      <c r="J74" s="10"/>
      <c r="K74" s="10" t="s">
        <v>530</v>
      </c>
      <c r="L74" s="10"/>
      <c r="M74" s="10"/>
    </row>
    <row r="75" spans="1:13" hidden="1" x14ac:dyDescent="0.2">
      <c r="A75" s="1">
        <v>43765</v>
      </c>
      <c r="B75" s="4" t="s">
        <v>108</v>
      </c>
      <c r="C75" t="s">
        <v>110</v>
      </c>
      <c r="D75" s="2" t="str">
        <f>Table135[[#This Row],[CN]]&amp;" - "&amp;Table135[[#This Row],[CNEE]]</f>
        <v>万盛 - HANSSEM</v>
      </c>
      <c r="E75" s="14" t="str">
        <f>VLOOKUP(Table135[[#This Row],[CN]],表5[],2,FALSE)</f>
        <v>WANSHENG</v>
      </c>
      <c r="F75" s="3" t="s">
        <v>528</v>
      </c>
      <c r="G75" s="10"/>
      <c r="H75" s="10">
        <v>1</v>
      </c>
      <c r="I75" s="10">
        <f>Table135[[#This Row],[20'']]+Table135[[#This Row],[40'']]*2</f>
        <v>2</v>
      </c>
      <c r="J75" s="10"/>
      <c r="K75" s="10" t="s">
        <v>531</v>
      </c>
      <c r="L75" s="10"/>
      <c r="M75" s="10"/>
    </row>
    <row r="76" spans="1:13" hidden="1" x14ac:dyDescent="0.2">
      <c r="A76" s="1">
        <v>43768</v>
      </c>
      <c r="B76" s="4" t="s">
        <v>108</v>
      </c>
      <c r="C76" t="s">
        <v>110</v>
      </c>
      <c r="D76" s="2" t="str">
        <f>Table135[[#This Row],[CN]]&amp;" - "&amp;Table135[[#This Row],[CNEE]]</f>
        <v>万盛 - HANSSEM</v>
      </c>
      <c r="E76" s="14" t="str">
        <f>VLOOKUP(Table135[[#This Row],[CN]],表5[],2,FALSE)</f>
        <v>WANSHENG</v>
      </c>
      <c r="F76" s="3" t="s">
        <v>526</v>
      </c>
      <c r="G76" s="10"/>
      <c r="H76" s="10">
        <v>1</v>
      </c>
      <c r="I76" s="10">
        <f>Table135[[#This Row],[20'']]+Table135[[#This Row],[40'']]*2</f>
        <v>2</v>
      </c>
      <c r="J76" s="10"/>
      <c r="K76" s="10" t="s">
        <v>533</v>
      </c>
      <c r="L76" s="10"/>
      <c r="M76" s="10"/>
    </row>
    <row r="77" spans="1:13" hidden="1" x14ac:dyDescent="0.2">
      <c r="A77" s="1">
        <v>43758</v>
      </c>
      <c r="B77" s="4" t="s">
        <v>51</v>
      </c>
      <c r="C77" t="s">
        <v>104</v>
      </c>
      <c r="D77" s="2" t="str">
        <f>Table135[[#This Row],[CN]]&amp;" - "&amp;Table135[[#This Row],[CNEE]]</f>
        <v>雅家居 - CASAMIA</v>
      </c>
      <c r="E77" s="14" t="str">
        <f>VLOOKUP(Table135[[#This Row],[CN]],表5[],2,FALSE)</f>
        <v>YAJIAJU</v>
      </c>
      <c r="F77" s="3"/>
      <c r="G77" s="10"/>
      <c r="H77" s="10">
        <v>2</v>
      </c>
      <c r="I77" s="10">
        <f>Table135[[#This Row],[20'']]+Table135[[#This Row],[40'']]*2</f>
        <v>4</v>
      </c>
      <c r="J77" s="10"/>
      <c r="K77" s="10"/>
      <c r="L77" s="10"/>
      <c r="M77" s="10"/>
    </row>
  </sheetData>
  <sortState ref="R34:S63">
    <sortCondition ref="R34:R63"/>
    <sortCondition ref="S34:S63"/>
  </sortState>
  <phoneticPr fontId="2" type="noConversion"/>
  <conditionalFormatting sqref="K2:K77">
    <cfRule type="duplicateValues" dxfId="105" priority="34"/>
  </conditionalFormatting>
  <dataValidations count="1">
    <dataValidation type="list" allowBlank="1" showInputMessage="1" showErrorMessage="1" sqref="M2:M77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dimension ref="A1:O53"/>
  <sheetViews>
    <sheetView workbookViewId="0">
      <pane ySplit="3" topLeftCell="A37" activePane="bottomLeft" state="frozen"/>
      <selection pane="bottomLeft" activeCell="H54" sqref="H54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5" x14ac:dyDescent="0.2">
      <c r="A1" s="13" t="s">
        <v>125</v>
      </c>
      <c r="B1" s="8" t="s">
        <v>124</v>
      </c>
      <c r="G1" t="s">
        <v>377</v>
      </c>
      <c r="H1" t="s">
        <v>376</v>
      </c>
      <c r="I1" t="s">
        <v>249</v>
      </c>
      <c r="J1" s="41">
        <v>43740</v>
      </c>
      <c r="K1" s="41">
        <f>J2+3</f>
        <v>43747</v>
      </c>
      <c r="L1" s="41">
        <f t="shared" ref="L1:O1" si="0">K2+3</f>
        <v>43754</v>
      </c>
      <c r="M1" s="41">
        <f t="shared" si="0"/>
        <v>43761</v>
      </c>
      <c r="N1" s="41">
        <f t="shared" si="0"/>
        <v>43768</v>
      </c>
      <c r="O1" s="41">
        <f t="shared" si="0"/>
        <v>43775</v>
      </c>
    </row>
    <row r="2" spans="1:15" x14ac:dyDescent="0.2">
      <c r="G2" t="s">
        <v>378</v>
      </c>
      <c r="H2" t="s">
        <v>374</v>
      </c>
      <c r="I2" t="s">
        <v>250</v>
      </c>
      <c r="J2" s="41">
        <f>J1+4</f>
        <v>43744</v>
      </c>
      <c r="K2" s="41">
        <f>K1+4</f>
        <v>43751</v>
      </c>
      <c r="L2" s="41">
        <f t="shared" ref="L2:O2" si="1">L1+4</f>
        <v>43758</v>
      </c>
      <c r="M2" s="41">
        <f t="shared" si="1"/>
        <v>43765</v>
      </c>
      <c r="N2" s="41">
        <f t="shared" si="1"/>
        <v>43772</v>
      </c>
      <c r="O2" s="41">
        <f t="shared" si="1"/>
        <v>43779</v>
      </c>
    </row>
    <row r="3" spans="1:15" x14ac:dyDescent="0.2">
      <c r="A3" s="8"/>
      <c r="B3" s="8" t="s">
        <v>214</v>
      </c>
      <c r="C3" s="8" t="s">
        <v>215</v>
      </c>
      <c r="D3" s="8" t="s">
        <v>216</v>
      </c>
    </row>
    <row r="4" spans="1:15" x14ac:dyDescent="0.2">
      <c r="A4" s="31" t="s">
        <v>123</v>
      </c>
      <c r="B4" s="15">
        <v>4</v>
      </c>
      <c r="C4" s="15">
        <v>3</v>
      </c>
      <c r="D4" s="15">
        <v>10</v>
      </c>
    </row>
    <row r="5" spans="1:15" x14ac:dyDescent="0.2">
      <c r="A5" s="12" t="s">
        <v>173</v>
      </c>
      <c r="B5" s="15"/>
      <c r="C5" s="15">
        <v>3</v>
      </c>
      <c r="D5" s="15">
        <v>6</v>
      </c>
    </row>
    <row r="6" spans="1:15" x14ac:dyDescent="0.2">
      <c r="A6" s="12" t="s">
        <v>171</v>
      </c>
      <c r="B6" s="15">
        <v>4</v>
      </c>
      <c r="C6" s="15"/>
      <c r="D6" s="15">
        <v>4</v>
      </c>
    </row>
    <row r="7" spans="1:15" x14ac:dyDescent="0.2">
      <c r="A7" s="31" t="s">
        <v>122</v>
      </c>
      <c r="B7" s="15"/>
      <c r="C7" s="15">
        <v>15</v>
      </c>
      <c r="D7" s="15">
        <v>30</v>
      </c>
    </row>
    <row r="8" spans="1:15" x14ac:dyDescent="0.2">
      <c r="A8" s="12" t="s">
        <v>169</v>
      </c>
      <c r="B8" s="15"/>
      <c r="C8" s="15">
        <v>3</v>
      </c>
      <c r="D8" s="15">
        <v>6</v>
      </c>
    </row>
    <row r="9" spans="1:15" x14ac:dyDescent="0.2">
      <c r="A9" s="12" t="s">
        <v>168</v>
      </c>
      <c r="B9" s="15"/>
      <c r="C9" s="15">
        <v>5</v>
      </c>
      <c r="D9" s="15">
        <v>10</v>
      </c>
    </row>
    <row r="10" spans="1:15" x14ac:dyDescent="0.2">
      <c r="A10" s="12" t="s">
        <v>175</v>
      </c>
      <c r="B10" s="15"/>
      <c r="C10" s="15">
        <v>1</v>
      </c>
      <c r="D10" s="15">
        <v>2</v>
      </c>
    </row>
    <row r="11" spans="1:15" x14ac:dyDescent="0.2">
      <c r="A11" s="12" t="s">
        <v>172</v>
      </c>
      <c r="B11" s="15"/>
      <c r="C11" s="15">
        <v>6</v>
      </c>
      <c r="D11" s="15">
        <v>12</v>
      </c>
    </row>
    <row r="12" spans="1:15" x14ac:dyDescent="0.2">
      <c r="A12" s="31" t="s">
        <v>121</v>
      </c>
      <c r="B12" s="15">
        <v>1</v>
      </c>
      <c r="C12" s="15">
        <v>8</v>
      </c>
      <c r="D12" s="15">
        <v>17</v>
      </c>
    </row>
    <row r="13" spans="1:15" x14ac:dyDescent="0.2">
      <c r="A13" s="12" t="s">
        <v>169</v>
      </c>
      <c r="B13" s="15"/>
      <c r="C13" s="15">
        <v>1</v>
      </c>
      <c r="D13" s="15">
        <v>2</v>
      </c>
    </row>
    <row r="14" spans="1:15" x14ac:dyDescent="0.2">
      <c r="A14" s="12" t="s">
        <v>168</v>
      </c>
      <c r="B14" s="15">
        <v>1</v>
      </c>
      <c r="C14" s="15">
        <v>2</v>
      </c>
      <c r="D14" s="15">
        <v>5</v>
      </c>
    </row>
    <row r="15" spans="1:15" x14ac:dyDescent="0.2">
      <c r="A15" s="12" t="s">
        <v>173</v>
      </c>
      <c r="B15" s="15"/>
      <c r="C15" s="15">
        <v>2</v>
      </c>
      <c r="D15" s="15">
        <v>4</v>
      </c>
    </row>
    <row r="16" spans="1:15" x14ac:dyDescent="0.2">
      <c r="A16" s="12" t="s">
        <v>170</v>
      </c>
      <c r="B16" s="15"/>
      <c r="C16" s="15">
        <v>2</v>
      </c>
      <c r="D16" s="15">
        <v>4</v>
      </c>
    </row>
    <row r="17" spans="1:4" x14ac:dyDescent="0.2">
      <c r="A17" s="12" t="s">
        <v>172</v>
      </c>
      <c r="B17" s="15"/>
      <c r="C17" s="15">
        <v>1</v>
      </c>
      <c r="D17" s="15">
        <v>2</v>
      </c>
    </row>
    <row r="18" spans="1:4" x14ac:dyDescent="0.2">
      <c r="A18" s="31" t="s">
        <v>167</v>
      </c>
      <c r="B18" s="15">
        <v>3</v>
      </c>
      <c r="C18" s="15">
        <v>12</v>
      </c>
      <c r="D18" s="15">
        <v>27</v>
      </c>
    </row>
    <row r="19" spans="1:4" x14ac:dyDescent="0.2">
      <c r="A19" s="12" t="s">
        <v>169</v>
      </c>
      <c r="B19" s="15"/>
      <c r="C19" s="15">
        <v>2</v>
      </c>
      <c r="D19" s="15">
        <v>4</v>
      </c>
    </row>
    <row r="20" spans="1:4" x14ac:dyDescent="0.2">
      <c r="A20" s="12" t="s">
        <v>168</v>
      </c>
      <c r="B20" s="15"/>
      <c r="C20" s="15">
        <v>2</v>
      </c>
      <c r="D20" s="15">
        <v>4</v>
      </c>
    </row>
    <row r="21" spans="1:4" x14ac:dyDescent="0.2">
      <c r="A21" s="12" t="s">
        <v>173</v>
      </c>
      <c r="B21" s="15"/>
      <c r="C21" s="15">
        <v>6</v>
      </c>
      <c r="D21" s="15">
        <v>12</v>
      </c>
    </row>
    <row r="22" spans="1:4" x14ac:dyDescent="0.2">
      <c r="A22" s="12" t="s">
        <v>171</v>
      </c>
      <c r="B22" s="15">
        <v>3</v>
      </c>
      <c r="C22" s="15"/>
      <c r="D22" s="15">
        <v>3</v>
      </c>
    </row>
    <row r="23" spans="1:4" x14ac:dyDescent="0.2">
      <c r="A23" s="12" t="s">
        <v>174</v>
      </c>
      <c r="B23" s="15"/>
      <c r="C23" s="15">
        <v>2</v>
      </c>
      <c r="D23" s="15">
        <v>4</v>
      </c>
    </row>
    <row r="24" spans="1:4" x14ac:dyDescent="0.2">
      <c r="A24" s="31" t="s">
        <v>120</v>
      </c>
      <c r="B24" s="15"/>
      <c r="C24" s="15">
        <v>10</v>
      </c>
      <c r="D24" s="15">
        <v>20</v>
      </c>
    </row>
    <row r="25" spans="1:4" x14ac:dyDescent="0.2">
      <c r="A25" s="12" t="s">
        <v>168</v>
      </c>
      <c r="B25" s="15"/>
      <c r="C25" s="15">
        <v>2</v>
      </c>
      <c r="D25" s="15">
        <v>4</v>
      </c>
    </row>
    <row r="26" spans="1:4" x14ac:dyDescent="0.2">
      <c r="A26" s="12" t="s">
        <v>175</v>
      </c>
      <c r="B26" s="15"/>
      <c r="C26" s="15">
        <v>1</v>
      </c>
      <c r="D26" s="15">
        <v>2</v>
      </c>
    </row>
    <row r="27" spans="1:4" x14ac:dyDescent="0.2">
      <c r="A27" s="12" t="s">
        <v>170</v>
      </c>
      <c r="B27" s="15"/>
      <c r="C27" s="15">
        <v>3</v>
      </c>
      <c r="D27" s="15">
        <v>6</v>
      </c>
    </row>
    <row r="28" spans="1:4" x14ac:dyDescent="0.2">
      <c r="A28" s="12" t="s">
        <v>176</v>
      </c>
      <c r="B28" s="15"/>
      <c r="C28" s="15">
        <v>4</v>
      </c>
      <c r="D28" s="15">
        <v>8</v>
      </c>
    </row>
    <row r="29" spans="1:4" x14ac:dyDescent="0.2">
      <c r="A29" s="31" t="s">
        <v>177</v>
      </c>
      <c r="B29" s="15"/>
      <c r="C29" s="15">
        <v>17</v>
      </c>
      <c r="D29" s="15">
        <v>34</v>
      </c>
    </row>
    <row r="30" spans="1:4" x14ac:dyDescent="0.2">
      <c r="A30" s="12" t="s">
        <v>168</v>
      </c>
      <c r="B30" s="15"/>
      <c r="C30" s="15">
        <v>5</v>
      </c>
      <c r="D30" s="15">
        <v>10</v>
      </c>
    </row>
    <row r="31" spans="1:4" x14ac:dyDescent="0.2">
      <c r="A31" s="12" t="s">
        <v>175</v>
      </c>
      <c r="B31" s="15"/>
      <c r="C31" s="15">
        <v>1</v>
      </c>
      <c r="D31" s="15">
        <v>2</v>
      </c>
    </row>
    <row r="32" spans="1:4" x14ac:dyDescent="0.2">
      <c r="A32" s="12" t="s">
        <v>173</v>
      </c>
      <c r="B32" s="15"/>
      <c r="C32" s="15">
        <v>4</v>
      </c>
      <c r="D32" s="15">
        <v>8</v>
      </c>
    </row>
    <row r="33" spans="1:10" x14ac:dyDescent="0.2">
      <c r="A33" s="12" t="s">
        <v>170</v>
      </c>
      <c r="B33" s="15"/>
      <c r="C33" s="15">
        <v>4</v>
      </c>
      <c r="D33" s="15">
        <v>8</v>
      </c>
    </row>
    <row r="34" spans="1:10" x14ac:dyDescent="0.2">
      <c r="A34" s="12" t="s">
        <v>174</v>
      </c>
      <c r="B34" s="15"/>
      <c r="C34" s="15">
        <v>2</v>
      </c>
      <c r="D34" s="15">
        <v>4</v>
      </c>
    </row>
    <row r="35" spans="1:10" x14ac:dyDescent="0.2">
      <c r="A35" s="12" t="s">
        <v>176</v>
      </c>
      <c r="B35" s="15"/>
      <c r="C35" s="15">
        <v>1</v>
      </c>
      <c r="D35" s="15">
        <v>2</v>
      </c>
    </row>
    <row r="36" spans="1:10" x14ac:dyDescent="0.2">
      <c r="A36" s="39" t="s">
        <v>349</v>
      </c>
      <c r="B36" s="15"/>
      <c r="C36" s="15">
        <v>8</v>
      </c>
      <c r="D36" s="15">
        <v>16</v>
      </c>
    </row>
    <row r="37" spans="1:10" x14ac:dyDescent="0.2">
      <c r="A37" s="12" t="s">
        <v>169</v>
      </c>
      <c r="B37" s="15"/>
      <c r="C37" s="15">
        <v>1</v>
      </c>
      <c r="D37" s="15">
        <v>2</v>
      </c>
    </row>
    <row r="38" spans="1:10" x14ac:dyDescent="0.2">
      <c r="A38" s="12" t="s">
        <v>168</v>
      </c>
      <c r="B38" s="15"/>
      <c r="C38" s="15">
        <v>2</v>
      </c>
      <c r="D38" s="15">
        <v>4</v>
      </c>
    </row>
    <row r="39" spans="1:10" x14ac:dyDescent="0.2">
      <c r="A39" s="12" t="s">
        <v>173</v>
      </c>
      <c r="B39" s="15"/>
      <c r="C39" s="15">
        <v>5</v>
      </c>
      <c r="D39" s="15">
        <v>10</v>
      </c>
    </row>
    <row r="40" spans="1:10" x14ac:dyDescent="0.2">
      <c r="A40" s="39" t="s">
        <v>470</v>
      </c>
      <c r="B40" s="15"/>
      <c r="C40" s="15">
        <v>7</v>
      </c>
      <c r="D40" s="15">
        <v>14</v>
      </c>
    </row>
    <row r="41" spans="1:10" x14ac:dyDescent="0.2">
      <c r="A41" s="12" t="s">
        <v>169</v>
      </c>
      <c r="B41" s="15"/>
      <c r="C41" s="15">
        <v>2</v>
      </c>
      <c r="D41" s="15">
        <v>4</v>
      </c>
    </row>
    <row r="42" spans="1:10" x14ac:dyDescent="0.2">
      <c r="A42" s="12" t="s">
        <v>168</v>
      </c>
      <c r="B42" s="15"/>
      <c r="C42" s="15">
        <v>3</v>
      </c>
      <c r="D42" s="15">
        <v>6</v>
      </c>
    </row>
    <row r="43" spans="1:10" x14ac:dyDescent="0.2">
      <c r="A43" s="12" t="s">
        <v>173</v>
      </c>
      <c r="B43" s="15"/>
      <c r="C43" s="15">
        <v>2</v>
      </c>
      <c r="D43" s="15">
        <v>4</v>
      </c>
    </row>
    <row r="44" spans="1:10" x14ac:dyDescent="0.2">
      <c r="A44" s="39" t="s">
        <v>471</v>
      </c>
      <c r="B44" s="15"/>
      <c r="C44" s="15">
        <v>5</v>
      </c>
      <c r="D44" s="15">
        <v>10</v>
      </c>
    </row>
    <row r="45" spans="1:10" x14ac:dyDescent="0.2">
      <c r="A45" s="12" t="s">
        <v>169</v>
      </c>
      <c r="B45" s="15"/>
      <c r="C45" s="15">
        <v>1</v>
      </c>
      <c r="D45" s="15">
        <v>2</v>
      </c>
    </row>
    <row r="46" spans="1:10" x14ac:dyDescent="0.2">
      <c r="A46" s="12" t="s">
        <v>168</v>
      </c>
      <c r="B46" s="15"/>
      <c r="C46" s="15">
        <v>1</v>
      </c>
      <c r="D46" s="15">
        <v>2</v>
      </c>
    </row>
    <row r="47" spans="1:10" x14ac:dyDescent="0.2">
      <c r="A47" s="12" t="s">
        <v>173</v>
      </c>
      <c r="B47" s="15"/>
      <c r="C47" s="15">
        <v>3</v>
      </c>
      <c r="D47" s="15">
        <v>6</v>
      </c>
    </row>
    <row r="48" spans="1:10" x14ac:dyDescent="0.2">
      <c r="A48" s="39" t="s">
        <v>474</v>
      </c>
      <c r="B48" s="15"/>
      <c r="C48" s="15">
        <v>3</v>
      </c>
      <c r="D48" s="15">
        <v>6</v>
      </c>
      <c r="J48" s="34"/>
    </row>
    <row r="49" spans="1:10" x14ac:dyDescent="0.2">
      <c r="A49" s="12" t="s">
        <v>169</v>
      </c>
      <c r="B49" s="15"/>
      <c r="C49" s="15">
        <v>3</v>
      </c>
      <c r="D49" s="15">
        <v>6</v>
      </c>
      <c r="J49" s="34"/>
    </row>
    <row r="50" spans="1:10" x14ac:dyDescent="0.2">
      <c r="A50" s="11" t="s">
        <v>119</v>
      </c>
      <c r="B50" s="15">
        <v>8</v>
      </c>
      <c r="C50" s="15">
        <v>88</v>
      </c>
      <c r="D50" s="15">
        <v>184</v>
      </c>
      <c r="J50" s="34"/>
    </row>
    <row r="51" spans="1:10" x14ac:dyDescent="0.2">
      <c r="J51" s="34"/>
    </row>
    <row r="52" spans="1:10" x14ac:dyDescent="0.2">
      <c r="J52" s="34"/>
    </row>
    <row r="53" spans="1:10" x14ac:dyDescent="0.2">
      <c r="J53" s="3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>
    <pageSetUpPr autoPageBreaks="0"/>
  </sheetPr>
  <dimension ref="A1:Z46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H61" sqref="H61"/>
    </sheetView>
  </sheetViews>
  <sheetFormatPr defaultColWidth="12.625" defaultRowHeight="14.25" x14ac:dyDescent="0.2"/>
  <cols>
    <col min="1" max="1" width="6.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6" width="7.25" bestFit="1" customWidth="1"/>
  </cols>
  <sheetData>
    <row r="1" spans="1:26" ht="42.75" x14ac:dyDescent="0.2">
      <c r="A1" s="36" t="s">
        <v>95</v>
      </c>
      <c r="B1" s="37" t="s">
        <v>213</v>
      </c>
      <c r="C1" s="36" t="s">
        <v>206</v>
      </c>
      <c r="D1" s="26" t="s">
        <v>212</v>
      </c>
      <c r="E1" s="26" t="s">
        <v>484</v>
      </c>
      <c r="F1" s="26" t="s">
        <v>262</v>
      </c>
      <c r="G1" s="26" t="s">
        <v>274</v>
      </c>
      <c r="H1" s="26" t="s">
        <v>291</v>
      </c>
      <c r="I1" s="26" t="s">
        <v>275</v>
      </c>
      <c r="J1" s="26" t="s">
        <v>273</v>
      </c>
      <c r="K1" s="26" t="s">
        <v>276</v>
      </c>
      <c r="L1" s="26" t="s">
        <v>277</v>
      </c>
      <c r="M1" s="26" t="s">
        <v>289</v>
      </c>
      <c r="N1" s="26" t="s">
        <v>278</v>
      </c>
      <c r="O1" s="26" t="s">
        <v>288</v>
      </c>
      <c r="P1" s="26" t="s">
        <v>279</v>
      </c>
      <c r="Q1" s="26" t="s">
        <v>290</v>
      </c>
      <c r="R1" s="26" t="s">
        <v>280</v>
      </c>
      <c r="S1" s="26" t="s">
        <v>281</v>
      </c>
      <c r="T1" s="26" t="s">
        <v>282</v>
      </c>
      <c r="U1" s="26" t="s">
        <v>283</v>
      </c>
      <c r="V1" s="26" t="s">
        <v>284</v>
      </c>
      <c r="W1" s="26" t="s">
        <v>285</v>
      </c>
      <c r="X1" s="26" t="s">
        <v>286</v>
      </c>
      <c r="Y1" s="26" t="s">
        <v>287</v>
      </c>
      <c r="Z1" s="27" t="s">
        <v>263</v>
      </c>
    </row>
    <row r="2" spans="1:26" hidden="1" x14ac:dyDescent="0.2">
      <c r="A2" s="28">
        <v>43733</v>
      </c>
      <c r="B2" s="19" t="s">
        <v>137</v>
      </c>
      <c r="C2" s="8"/>
      <c r="D2" s="22" t="s">
        <v>211</v>
      </c>
      <c r="E2" s="22" t="s">
        <v>211</v>
      </c>
      <c r="F2" s="22" t="s">
        <v>211</v>
      </c>
      <c r="G2" s="22" t="s">
        <v>211</v>
      </c>
      <c r="H2" s="22" t="s">
        <v>210</v>
      </c>
      <c r="I2" s="22" t="s">
        <v>210</v>
      </c>
      <c r="J2" s="22" t="s">
        <v>180</v>
      </c>
      <c r="K2" s="22" t="s">
        <v>211</v>
      </c>
      <c r="L2" s="22" t="s">
        <v>211</v>
      </c>
      <c r="M2" s="22" t="s">
        <v>211</v>
      </c>
      <c r="N2" s="22" t="s">
        <v>211</v>
      </c>
      <c r="O2" s="22" t="s">
        <v>211</v>
      </c>
      <c r="P2" s="22" t="s">
        <v>211</v>
      </c>
      <c r="Q2" s="22" t="s">
        <v>211</v>
      </c>
      <c r="R2" s="22" t="s">
        <v>210</v>
      </c>
      <c r="S2" s="22" t="s">
        <v>210</v>
      </c>
      <c r="T2" s="22" t="s">
        <v>211</v>
      </c>
      <c r="U2" s="22" t="s">
        <v>180</v>
      </c>
      <c r="V2" s="22" t="s">
        <v>211</v>
      </c>
      <c r="W2" s="22" t="s">
        <v>180</v>
      </c>
      <c r="X2" s="22" t="s">
        <v>180</v>
      </c>
      <c r="Y2" s="22" t="s">
        <v>180</v>
      </c>
      <c r="Z2" s="22" t="s">
        <v>180</v>
      </c>
    </row>
    <row r="3" spans="1:26" hidden="1" x14ac:dyDescent="0.2">
      <c r="A3" s="29">
        <v>43733</v>
      </c>
      <c r="B3" s="19" t="s">
        <v>143</v>
      </c>
      <c r="C3" s="8" t="s">
        <v>246</v>
      </c>
      <c r="D3" s="22" t="s">
        <v>211</v>
      </c>
      <c r="E3" s="22" t="s">
        <v>211</v>
      </c>
      <c r="F3" s="22" t="s">
        <v>211</v>
      </c>
      <c r="G3" s="22" t="s">
        <v>211</v>
      </c>
      <c r="H3" s="22" t="s">
        <v>211</v>
      </c>
      <c r="I3" s="22" t="s">
        <v>211</v>
      </c>
      <c r="J3" s="22" t="s">
        <v>180</v>
      </c>
      <c r="K3" s="22" t="s">
        <v>211</v>
      </c>
      <c r="L3" s="22" t="s">
        <v>211</v>
      </c>
      <c r="M3" s="22" t="s">
        <v>211</v>
      </c>
      <c r="N3" s="22" t="s">
        <v>211</v>
      </c>
      <c r="O3" s="22" t="s">
        <v>211</v>
      </c>
      <c r="P3" s="22" t="s">
        <v>211</v>
      </c>
      <c r="Q3" s="22" t="s">
        <v>211</v>
      </c>
      <c r="R3" s="22" t="s">
        <v>211</v>
      </c>
      <c r="S3" s="22" t="s">
        <v>211</v>
      </c>
      <c r="T3" s="22" t="s">
        <v>211</v>
      </c>
      <c r="U3" s="22" t="s">
        <v>180</v>
      </c>
      <c r="V3" s="22" t="s">
        <v>211</v>
      </c>
      <c r="W3" s="22" t="s">
        <v>180</v>
      </c>
      <c r="X3" s="22" t="s">
        <v>180</v>
      </c>
      <c r="Y3" s="22" t="s">
        <v>210</v>
      </c>
      <c r="Z3" s="22" t="s">
        <v>180</v>
      </c>
    </row>
    <row r="4" spans="1:26" hidden="1" x14ac:dyDescent="0.2">
      <c r="A4" s="29">
        <v>43733</v>
      </c>
      <c r="B4" s="19" t="s">
        <v>140</v>
      </c>
      <c r="C4" s="8"/>
      <c r="D4" s="22" t="s">
        <v>211</v>
      </c>
      <c r="E4" s="22" t="s">
        <v>211</v>
      </c>
      <c r="F4" s="22" t="s">
        <v>211</v>
      </c>
      <c r="G4" s="22" t="s">
        <v>211</v>
      </c>
      <c r="H4" s="22" t="s">
        <v>210</v>
      </c>
      <c r="I4" s="22" t="s">
        <v>210</v>
      </c>
      <c r="J4" s="22" t="s">
        <v>180</v>
      </c>
      <c r="K4" s="22" t="s">
        <v>211</v>
      </c>
      <c r="L4" s="22" t="s">
        <v>211</v>
      </c>
      <c r="M4" s="22" t="s">
        <v>211</v>
      </c>
      <c r="N4" s="22" t="s">
        <v>211</v>
      </c>
      <c r="O4" s="22" t="s">
        <v>180</v>
      </c>
      <c r="P4" s="22" t="s">
        <v>211</v>
      </c>
      <c r="Q4" s="22" t="s">
        <v>211</v>
      </c>
      <c r="R4" s="22" t="s">
        <v>210</v>
      </c>
      <c r="S4" s="22" t="s">
        <v>210</v>
      </c>
      <c r="T4" s="22" t="s">
        <v>211</v>
      </c>
      <c r="U4" s="22" t="s">
        <v>180</v>
      </c>
      <c r="V4" s="22" t="s">
        <v>180</v>
      </c>
      <c r="W4" s="22" t="s">
        <v>180</v>
      </c>
      <c r="X4" s="22" t="s">
        <v>180</v>
      </c>
      <c r="Y4" s="22" t="s">
        <v>180</v>
      </c>
      <c r="Z4" s="22" t="s">
        <v>180</v>
      </c>
    </row>
    <row r="5" spans="1:26" hidden="1" x14ac:dyDescent="0.2">
      <c r="A5" s="29">
        <v>43733</v>
      </c>
      <c r="B5" s="19" t="s">
        <v>131</v>
      </c>
      <c r="C5" s="8" t="s">
        <v>207</v>
      </c>
      <c r="D5" s="22" t="s">
        <v>211</v>
      </c>
      <c r="E5" s="22" t="s">
        <v>211</v>
      </c>
      <c r="F5" s="22" t="s">
        <v>211</v>
      </c>
      <c r="G5" s="22" t="s">
        <v>211</v>
      </c>
      <c r="H5" s="22" t="s">
        <v>210</v>
      </c>
      <c r="I5" s="22" t="s">
        <v>210</v>
      </c>
      <c r="J5" s="22" t="s">
        <v>180</v>
      </c>
      <c r="K5" s="22" t="s">
        <v>211</v>
      </c>
      <c r="L5" s="22" t="s">
        <v>211</v>
      </c>
      <c r="M5" s="22" t="s">
        <v>211</v>
      </c>
      <c r="N5" s="22" t="s">
        <v>211</v>
      </c>
      <c r="O5" s="22" t="s">
        <v>211</v>
      </c>
      <c r="P5" s="22" t="s">
        <v>211</v>
      </c>
      <c r="Q5" s="22" t="s">
        <v>211</v>
      </c>
      <c r="R5" s="22" t="s">
        <v>210</v>
      </c>
      <c r="S5" s="22" t="s">
        <v>210</v>
      </c>
      <c r="T5" s="22" t="s">
        <v>211</v>
      </c>
      <c r="U5" s="22" t="s">
        <v>180</v>
      </c>
      <c r="V5" s="22" t="s">
        <v>211</v>
      </c>
      <c r="W5" s="22" t="s">
        <v>180</v>
      </c>
      <c r="X5" s="22" t="s">
        <v>210</v>
      </c>
      <c r="Y5" s="22" t="s">
        <v>210</v>
      </c>
      <c r="Z5" s="22" t="s">
        <v>180</v>
      </c>
    </row>
    <row r="6" spans="1:26" hidden="1" x14ac:dyDescent="0.2">
      <c r="A6" s="29">
        <v>43733</v>
      </c>
      <c r="B6" s="19" t="s">
        <v>145</v>
      </c>
      <c r="C6" s="8" t="s">
        <v>247</v>
      </c>
      <c r="D6" s="22" t="s">
        <v>211</v>
      </c>
      <c r="E6" s="22" t="s">
        <v>211</v>
      </c>
      <c r="F6" s="22" t="s">
        <v>211</v>
      </c>
      <c r="G6" s="22" t="s">
        <v>211</v>
      </c>
      <c r="H6" s="22" t="s">
        <v>211</v>
      </c>
      <c r="I6" s="22" t="s">
        <v>211</v>
      </c>
      <c r="J6" s="22" t="s">
        <v>180</v>
      </c>
      <c r="K6" s="22" t="s">
        <v>211</v>
      </c>
      <c r="L6" s="22" t="s">
        <v>211</v>
      </c>
      <c r="M6" s="22" t="s">
        <v>211</v>
      </c>
      <c r="N6" s="22" t="s">
        <v>211</v>
      </c>
      <c r="O6" s="22" t="s">
        <v>211</v>
      </c>
      <c r="P6" s="22" t="s">
        <v>211</v>
      </c>
      <c r="Q6" s="22" t="s">
        <v>211</v>
      </c>
      <c r="R6" s="22" t="s">
        <v>211</v>
      </c>
      <c r="S6" s="22" t="s">
        <v>211</v>
      </c>
      <c r="T6" s="22" t="s">
        <v>211</v>
      </c>
      <c r="U6" s="22" t="s">
        <v>180</v>
      </c>
      <c r="V6" s="22" t="s">
        <v>211</v>
      </c>
      <c r="W6" s="22" t="s">
        <v>180</v>
      </c>
      <c r="X6" s="22" t="s">
        <v>210</v>
      </c>
      <c r="Y6" s="22" t="s">
        <v>210</v>
      </c>
      <c r="Z6" s="22" t="s">
        <v>180</v>
      </c>
    </row>
    <row r="7" spans="1:26" hidden="1" x14ac:dyDescent="0.2">
      <c r="A7" s="29">
        <v>43737</v>
      </c>
      <c r="B7" s="19" t="s">
        <v>127</v>
      </c>
      <c r="C7" s="8"/>
      <c r="D7" s="22" t="s">
        <v>180</v>
      </c>
      <c r="E7" s="22" t="s">
        <v>180</v>
      </c>
      <c r="F7" s="22" t="s">
        <v>180</v>
      </c>
      <c r="G7" s="22" t="s">
        <v>180</v>
      </c>
      <c r="H7" s="22" t="s">
        <v>210</v>
      </c>
      <c r="I7" s="22" t="s">
        <v>210</v>
      </c>
      <c r="J7" s="22" t="s">
        <v>180</v>
      </c>
      <c r="K7" s="22" t="s">
        <v>211</v>
      </c>
      <c r="L7" s="22" t="s">
        <v>180</v>
      </c>
      <c r="M7" s="22" t="s">
        <v>180</v>
      </c>
      <c r="N7" s="22" t="s">
        <v>211</v>
      </c>
      <c r="O7" s="22" t="s">
        <v>180</v>
      </c>
      <c r="P7" s="22" t="s">
        <v>180</v>
      </c>
      <c r="Q7" s="22" t="s">
        <v>180</v>
      </c>
      <c r="R7" s="22" t="s">
        <v>210</v>
      </c>
      <c r="S7" s="22" t="s">
        <v>210</v>
      </c>
      <c r="T7" s="22" t="s">
        <v>211</v>
      </c>
      <c r="U7" s="22" t="s">
        <v>180</v>
      </c>
      <c r="V7" s="22" t="s">
        <v>180</v>
      </c>
      <c r="W7" s="22" t="s">
        <v>180</v>
      </c>
      <c r="X7" s="22" t="s">
        <v>261</v>
      </c>
      <c r="Y7" s="22" t="s">
        <v>180</v>
      </c>
      <c r="Z7" s="22" t="s">
        <v>180</v>
      </c>
    </row>
    <row r="8" spans="1:26" hidden="1" x14ac:dyDescent="0.2">
      <c r="A8" s="29">
        <v>43737</v>
      </c>
      <c r="B8" s="19" t="s">
        <v>137</v>
      </c>
      <c r="C8" s="8"/>
      <c r="D8" s="22" t="s">
        <v>180</v>
      </c>
      <c r="E8" s="22" t="s">
        <v>180</v>
      </c>
      <c r="F8" s="22" t="s">
        <v>180</v>
      </c>
      <c r="G8" s="22" t="s">
        <v>180</v>
      </c>
      <c r="H8" s="22" t="s">
        <v>210</v>
      </c>
      <c r="I8" s="22" t="s">
        <v>210</v>
      </c>
      <c r="J8" s="22" t="s">
        <v>180</v>
      </c>
      <c r="K8" s="22" t="s">
        <v>180</v>
      </c>
      <c r="L8" s="22" t="s">
        <v>180</v>
      </c>
      <c r="M8" s="22" t="s">
        <v>180</v>
      </c>
      <c r="N8" s="22" t="s">
        <v>180</v>
      </c>
      <c r="O8" s="22" t="s">
        <v>180</v>
      </c>
      <c r="P8" s="22" t="s">
        <v>180</v>
      </c>
      <c r="Q8" s="22" t="s">
        <v>180</v>
      </c>
      <c r="R8" s="22" t="s">
        <v>210</v>
      </c>
      <c r="S8" s="22" t="s">
        <v>210</v>
      </c>
      <c r="T8" s="22" t="s">
        <v>180</v>
      </c>
      <c r="U8" s="22" t="s">
        <v>180</v>
      </c>
      <c r="V8" s="22" t="s">
        <v>180</v>
      </c>
      <c r="W8" s="22" t="s">
        <v>180</v>
      </c>
      <c r="X8" s="22" t="s">
        <v>180</v>
      </c>
      <c r="Y8" s="22" t="s">
        <v>180</v>
      </c>
      <c r="Z8" s="22" t="s">
        <v>180</v>
      </c>
    </row>
    <row r="9" spans="1:26" hidden="1" x14ac:dyDescent="0.2">
      <c r="A9" s="29">
        <v>43737</v>
      </c>
      <c r="B9" s="19" t="s">
        <v>131</v>
      </c>
      <c r="C9" s="8"/>
      <c r="D9" s="22" t="s">
        <v>180</v>
      </c>
      <c r="E9" s="22" t="s">
        <v>180</v>
      </c>
      <c r="F9" s="22" t="s">
        <v>180</v>
      </c>
      <c r="G9" s="22" t="s">
        <v>180</v>
      </c>
      <c r="H9" s="22" t="s">
        <v>210</v>
      </c>
      <c r="I9" s="22" t="s">
        <v>210</v>
      </c>
      <c r="J9" s="22" t="s">
        <v>180</v>
      </c>
      <c r="K9" s="22" t="s">
        <v>180</v>
      </c>
      <c r="L9" s="22" t="s">
        <v>180</v>
      </c>
      <c r="M9" s="22" t="s">
        <v>180</v>
      </c>
      <c r="N9" s="22" t="s">
        <v>180</v>
      </c>
      <c r="O9" s="22" t="s">
        <v>180</v>
      </c>
      <c r="P9" s="22" t="s">
        <v>180</v>
      </c>
      <c r="Q9" s="22" t="s">
        <v>180</v>
      </c>
      <c r="R9" s="22" t="s">
        <v>210</v>
      </c>
      <c r="S9" s="22" t="s">
        <v>210</v>
      </c>
      <c r="T9" s="22" t="s">
        <v>180</v>
      </c>
      <c r="U9" s="22" t="s">
        <v>180</v>
      </c>
      <c r="V9" s="22" t="s">
        <v>180</v>
      </c>
      <c r="W9" s="22" t="s">
        <v>180</v>
      </c>
      <c r="X9" s="22" t="s">
        <v>210</v>
      </c>
      <c r="Y9" s="22" t="s">
        <v>210</v>
      </c>
      <c r="Z9" s="22" t="s">
        <v>180</v>
      </c>
    </row>
    <row r="10" spans="1:26" hidden="1" x14ac:dyDescent="0.2">
      <c r="A10" s="29">
        <v>43737</v>
      </c>
      <c r="B10" s="19" t="s">
        <v>144</v>
      </c>
      <c r="C10" s="8"/>
      <c r="D10" s="22" t="s">
        <v>180</v>
      </c>
      <c r="E10" s="22" t="s">
        <v>180</v>
      </c>
      <c r="F10" s="22" t="s">
        <v>180</v>
      </c>
      <c r="G10" s="22" t="s">
        <v>180</v>
      </c>
      <c r="H10" s="22" t="s">
        <v>210</v>
      </c>
      <c r="I10" s="22" t="s">
        <v>210</v>
      </c>
      <c r="J10" s="22" t="s">
        <v>180</v>
      </c>
      <c r="K10" s="22" t="s">
        <v>180</v>
      </c>
      <c r="L10" s="22" t="s">
        <v>180</v>
      </c>
      <c r="M10" s="22" t="s">
        <v>180</v>
      </c>
      <c r="N10" s="22" t="s">
        <v>180</v>
      </c>
      <c r="O10" s="22" t="s">
        <v>180</v>
      </c>
      <c r="P10" s="22" t="s">
        <v>180</v>
      </c>
      <c r="Q10" s="22" t="s">
        <v>180</v>
      </c>
      <c r="R10" s="22" t="s">
        <v>210</v>
      </c>
      <c r="S10" s="22" t="s">
        <v>210</v>
      </c>
      <c r="T10" s="22" t="s">
        <v>180</v>
      </c>
      <c r="U10" s="22" t="s">
        <v>180</v>
      </c>
      <c r="V10" s="22" t="s">
        <v>180</v>
      </c>
      <c r="W10" s="22" t="s">
        <v>180</v>
      </c>
      <c r="X10" s="22" t="s">
        <v>180</v>
      </c>
      <c r="Y10" s="22" t="s">
        <v>180</v>
      </c>
      <c r="Z10" s="22" t="s">
        <v>180</v>
      </c>
    </row>
    <row r="11" spans="1:26" hidden="1" x14ac:dyDescent="0.2">
      <c r="A11" s="29">
        <v>43737</v>
      </c>
      <c r="B11" s="19" t="s">
        <v>145</v>
      </c>
      <c r="C11" s="8"/>
      <c r="D11" s="22" t="s">
        <v>180</v>
      </c>
      <c r="E11" s="22" t="s">
        <v>180</v>
      </c>
      <c r="F11" s="22" t="s">
        <v>180</v>
      </c>
      <c r="G11" s="22" t="s">
        <v>180</v>
      </c>
      <c r="H11" s="22" t="s">
        <v>210</v>
      </c>
      <c r="I11" s="22" t="s">
        <v>210</v>
      </c>
      <c r="J11" s="22" t="s">
        <v>180</v>
      </c>
      <c r="K11" s="22" t="s">
        <v>180</v>
      </c>
      <c r="L11" s="22" t="s">
        <v>180</v>
      </c>
      <c r="M11" s="22" t="s">
        <v>210</v>
      </c>
      <c r="N11" s="22" t="s">
        <v>180</v>
      </c>
      <c r="O11" s="22" t="s">
        <v>210</v>
      </c>
      <c r="P11" s="22" t="s">
        <v>180</v>
      </c>
      <c r="Q11" s="22" t="s">
        <v>180</v>
      </c>
      <c r="R11" s="22" t="s">
        <v>210</v>
      </c>
      <c r="S11" s="22" t="s">
        <v>210</v>
      </c>
      <c r="T11" s="22" t="s">
        <v>180</v>
      </c>
      <c r="U11" s="22" t="s">
        <v>180</v>
      </c>
      <c r="V11" s="22" t="s">
        <v>210</v>
      </c>
      <c r="W11" s="22" t="s">
        <v>180</v>
      </c>
      <c r="X11" s="22" t="s">
        <v>210</v>
      </c>
      <c r="Y11" s="22" t="s">
        <v>210</v>
      </c>
      <c r="Z11" s="22" t="s">
        <v>180</v>
      </c>
    </row>
    <row r="12" spans="1:26" hidden="1" x14ac:dyDescent="0.2">
      <c r="A12" s="29">
        <v>43740</v>
      </c>
      <c r="B12" s="19" t="s">
        <v>143</v>
      </c>
      <c r="C12" s="8"/>
      <c r="D12" s="22" t="s">
        <v>180</v>
      </c>
      <c r="E12" s="22" t="s">
        <v>180</v>
      </c>
      <c r="F12" s="22" t="s">
        <v>180</v>
      </c>
      <c r="G12" s="22" t="s">
        <v>180</v>
      </c>
      <c r="H12" s="22" t="s">
        <v>180</v>
      </c>
      <c r="I12" s="22" t="s">
        <v>180</v>
      </c>
      <c r="J12" s="22" t="s">
        <v>180</v>
      </c>
      <c r="K12" s="22" t="s">
        <v>180</v>
      </c>
      <c r="L12" s="22" t="s">
        <v>180</v>
      </c>
      <c r="M12" s="22" t="s">
        <v>180</v>
      </c>
      <c r="N12" s="22" t="s">
        <v>180</v>
      </c>
      <c r="O12" s="22" t="s">
        <v>180</v>
      </c>
      <c r="P12" s="22" t="s">
        <v>180</v>
      </c>
      <c r="Q12" s="22" t="s">
        <v>180</v>
      </c>
      <c r="R12" s="22" t="s">
        <v>180</v>
      </c>
      <c r="S12" s="22" t="s">
        <v>180</v>
      </c>
      <c r="T12" s="22" t="s">
        <v>180</v>
      </c>
      <c r="U12" s="22" t="s">
        <v>180</v>
      </c>
      <c r="V12" s="22" t="s">
        <v>180</v>
      </c>
      <c r="W12" s="22" t="s">
        <v>180</v>
      </c>
      <c r="X12" s="22" t="s">
        <v>210</v>
      </c>
      <c r="Y12" s="22" t="s">
        <v>210</v>
      </c>
      <c r="Z12" s="22" t="s">
        <v>180</v>
      </c>
    </row>
    <row r="13" spans="1:26" hidden="1" x14ac:dyDescent="0.2">
      <c r="A13" s="29">
        <v>43740</v>
      </c>
      <c r="B13" s="19" t="s">
        <v>140</v>
      </c>
      <c r="C13" s="8"/>
      <c r="D13" s="22" t="s">
        <v>180</v>
      </c>
      <c r="E13" s="22" t="s">
        <v>180</v>
      </c>
      <c r="F13" s="22" t="s">
        <v>180</v>
      </c>
      <c r="G13" s="22" t="s">
        <v>180</v>
      </c>
      <c r="H13" s="22" t="s">
        <v>210</v>
      </c>
      <c r="I13" s="22" t="s">
        <v>210</v>
      </c>
      <c r="J13" s="22" t="s">
        <v>180</v>
      </c>
      <c r="K13" s="22" t="s">
        <v>180</v>
      </c>
      <c r="L13" s="22" t="s">
        <v>180</v>
      </c>
      <c r="M13" s="22" t="s">
        <v>180</v>
      </c>
      <c r="N13" s="22" t="s">
        <v>180</v>
      </c>
      <c r="O13" s="22" t="s">
        <v>180</v>
      </c>
      <c r="P13" s="22" t="s">
        <v>180</v>
      </c>
      <c r="Q13" s="22" t="s">
        <v>180</v>
      </c>
      <c r="R13" s="22" t="s">
        <v>210</v>
      </c>
      <c r="S13" s="22" t="s">
        <v>210</v>
      </c>
      <c r="T13" s="22" t="s">
        <v>180</v>
      </c>
      <c r="U13" s="22" t="s">
        <v>180</v>
      </c>
      <c r="V13" s="22" t="s">
        <v>180</v>
      </c>
      <c r="W13" s="22" t="s">
        <v>180</v>
      </c>
      <c r="X13" s="22" t="s">
        <v>180</v>
      </c>
      <c r="Y13" s="22" t="s">
        <v>180</v>
      </c>
      <c r="Z13" s="22" t="s">
        <v>180</v>
      </c>
    </row>
    <row r="14" spans="1:26" hidden="1" x14ac:dyDescent="0.2">
      <c r="A14" s="29">
        <v>43744</v>
      </c>
      <c r="B14" s="19" t="s">
        <v>260</v>
      </c>
      <c r="C14" s="8"/>
      <c r="D14" s="22" t="s">
        <v>258</v>
      </c>
      <c r="E14" s="22" t="s">
        <v>258</v>
      </c>
      <c r="F14" s="22" t="s">
        <v>180</v>
      </c>
      <c r="G14" s="22" t="s">
        <v>180</v>
      </c>
      <c r="H14" s="22" t="s">
        <v>210</v>
      </c>
      <c r="I14" s="22" t="s">
        <v>210</v>
      </c>
      <c r="J14" s="22" t="s">
        <v>180</v>
      </c>
      <c r="K14" s="22" t="s">
        <v>180</v>
      </c>
      <c r="L14" s="22" t="s">
        <v>180</v>
      </c>
      <c r="M14" s="22" t="s">
        <v>180</v>
      </c>
      <c r="N14" s="22" t="s">
        <v>180</v>
      </c>
      <c r="O14" s="22" t="s">
        <v>180</v>
      </c>
      <c r="P14" s="22" t="s">
        <v>180</v>
      </c>
      <c r="Q14" s="22" t="s">
        <v>180</v>
      </c>
      <c r="R14" s="22" t="s">
        <v>210</v>
      </c>
      <c r="S14" s="22" t="s">
        <v>210</v>
      </c>
      <c r="T14" s="22" t="s">
        <v>180</v>
      </c>
      <c r="U14" s="22" t="s">
        <v>180</v>
      </c>
      <c r="V14" s="22" t="s">
        <v>180</v>
      </c>
      <c r="W14" s="22" t="s">
        <v>180</v>
      </c>
      <c r="X14" s="22" t="s">
        <v>180</v>
      </c>
      <c r="Y14" s="22" t="s">
        <v>180</v>
      </c>
      <c r="Z14" s="38" t="s">
        <v>499</v>
      </c>
    </row>
    <row r="15" spans="1:26" hidden="1" x14ac:dyDescent="0.2">
      <c r="A15" s="29">
        <v>43744</v>
      </c>
      <c r="B15" s="19" t="s">
        <v>131</v>
      </c>
      <c r="C15" s="8"/>
      <c r="D15" s="22" t="s">
        <v>180</v>
      </c>
      <c r="E15" s="22" t="s">
        <v>180</v>
      </c>
      <c r="F15" s="22" t="s">
        <v>180</v>
      </c>
      <c r="G15" s="22" t="s">
        <v>180</v>
      </c>
      <c r="H15" s="22" t="s">
        <v>210</v>
      </c>
      <c r="I15" s="22" t="s">
        <v>210</v>
      </c>
      <c r="J15" s="22" t="s">
        <v>180</v>
      </c>
      <c r="K15" s="22" t="s">
        <v>180</v>
      </c>
      <c r="L15" s="22" t="s">
        <v>180</v>
      </c>
      <c r="M15" s="22" t="s">
        <v>180</v>
      </c>
      <c r="N15" s="22" t="s">
        <v>180</v>
      </c>
      <c r="O15" s="22" t="s">
        <v>180</v>
      </c>
      <c r="P15" s="22" t="s">
        <v>180</v>
      </c>
      <c r="Q15" s="22" t="s">
        <v>180</v>
      </c>
      <c r="R15" s="22" t="s">
        <v>210</v>
      </c>
      <c r="S15" s="22" t="s">
        <v>210</v>
      </c>
      <c r="T15" s="22" t="s">
        <v>180</v>
      </c>
      <c r="U15" s="22" t="s">
        <v>180</v>
      </c>
      <c r="V15" s="22" t="s">
        <v>180</v>
      </c>
      <c r="W15" s="22" t="s">
        <v>180</v>
      </c>
      <c r="X15" s="22" t="s">
        <v>210</v>
      </c>
      <c r="Y15" s="22" t="s">
        <v>210</v>
      </c>
      <c r="Z15" s="22" t="s">
        <v>180</v>
      </c>
    </row>
    <row r="16" spans="1:26" hidden="1" x14ac:dyDescent="0.2">
      <c r="A16" s="29">
        <v>43744</v>
      </c>
      <c r="B16" s="19" t="s">
        <v>257</v>
      </c>
      <c r="C16" s="8"/>
      <c r="D16" s="22" t="s">
        <v>258</v>
      </c>
      <c r="E16" s="22" t="s">
        <v>180</v>
      </c>
      <c r="F16" s="22" t="s">
        <v>180</v>
      </c>
      <c r="G16" s="22" t="s">
        <v>180</v>
      </c>
      <c r="H16" s="22" t="s">
        <v>210</v>
      </c>
      <c r="I16" s="22" t="s">
        <v>210</v>
      </c>
      <c r="J16" s="22" t="s">
        <v>180</v>
      </c>
      <c r="K16" s="22" t="s">
        <v>180</v>
      </c>
      <c r="L16" s="22" t="s">
        <v>180</v>
      </c>
      <c r="M16" s="22" t="s">
        <v>180</v>
      </c>
      <c r="N16" s="22" t="s">
        <v>180</v>
      </c>
      <c r="O16" s="22" t="s">
        <v>180</v>
      </c>
      <c r="P16" s="22" t="s">
        <v>180</v>
      </c>
      <c r="Q16" s="22" t="s">
        <v>180</v>
      </c>
      <c r="R16" s="22" t="s">
        <v>210</v>
      </c>
      <c r="S16" s="22" t="s">
        <v>210</v>
      </c>
      <c r="T16" s="22" t="s">
        <v>180</v>
      </c>
      <c r="U16" s="22" t="s">
        <v>180</v>
      </c>
      <c r="V16" s="22" t="s">
        <v>180</v>
      </c>
      <c r="W16" s="22" t="s">
        <v>180</v>
      </c>
      <c r="X16" s="22" t="s">
        <v>210</v>
      </c>
      <c r="Y16" s="22" t="s">
        <v>210</v>
      </c>
      <c r="Z16" s="22" t="s">
        <v>180</v>
      </c>
    </row>
    <row r="17" spans="1:26" hidden="1" x14ac:dyDescent="0.2">
      <c r="A17" s="29">
        <v>43744</v>
      </c>
      <c r="B17" s="19" t="s">
        <v>138</v>
      </c>
      <c r="C17" s="8"/>
      <c r="D17" s="22" t="s">
        <v>180</v>
      </c>
      <c r="E17" s="22" t="s">
        <v>180</v>
      </c>
      <c r="F17" s="22" t="s">
        <v>180</v>
      </c>
      <c r="G17" s="22" t="s">
        <v>180</v>
      </c>
      <c r="H17" s="22" t="s">
        <v>210</v>
      </c>
      <c r="I17" s="22" t="s">
        <v>210</v>
      </c>
      <c r="J17" s="22" t="s">
        <v>180</v>
      </c>
      <c r="K17" s="22" t="s">
        <v>180</v>
      </c>
      <c r="L17" s="22" t="s">
        <v>180</v>
      </c>
      <c r="M17" s="22" t="s">
        <v>180</v>
      </c>
      <c r="N17" s="22" t="s">
        <v>180</v>
      </c>
      <c r="O17" s="22" t="s">
        <v>180</v>
      </c>
      <c r="P17" s="22" t="s">
        <v>180</v>
      </c>
      <c r="Q17" s="22" t="s">
        <v>180</v>
      </c>
      <c r="R17" s="22" t="s">
        <v>210</v>
      </c>
      <c r="S17" s="22" t="s">
        <v>210</v>
      </c>
      <c r="T17" s="22" t="s">
        <v>180</v>
      </c>
      <c r="U17" s="22" t="s">
        <v>180</v>
      </c>
      <c r="V17" s="22" t="s">
        <v>180</v>
      </c>
      <c r="W17" s="22" t="s">
        <v>180</v>
      </c>
      <c r="X17" s="22" t="s">
        <v>180</v>
      </c>
      <c r="Y17" s="22"/>
      <c r="Z17" s="38" t="s">
        <v>498</v>
      </c>
    </row>
    <row r="18" spans="1:26" hidden="1" x14ac:dyDescent="0.2">
      <c r="A18" s="29">
        <v>43747</v>
      </c>
      <c r="B18" s="19" t="s">
        <v>140</v>
      </c>
      <c r="C18" s="8"/>
      <c r="D18" s="22" t="s">
        <v>180</v>
      </c>
      <c r="E18" s="22" t="s">
        <v>180</v>
      </c>
      <c r="F18" s="22" t="s">
        <v>180</v>
      </c>
      <c r="G18" s="22" t="s">
        <v>180</v>
      </c>
      <c r="H18" s="22" t="s">
        <v>210</v>
      </c>
      <c r="I18" s="22" t="s">
        <v>210</v>
      </c>
      <c r="J18" s="22" t="s">
        <v>180</v>
      </c>
      <c r="K18" s="22" t="s">
        <v>180</v>
      </c>
      <c r="L18" s="22" t="s">
        <v>180</v>
      </c>
      <c r="M18" s="22" t="s">
        <v>180</v>
      </c>
      <c r="N18" s="22" t="s">
        <v>180</v>
      </c>
      <c r="O18" s="22" t="s">
        <v>180</v>
      </c>
      <c r="P18" s="22" t="s">
        <v>180</v>
      </c>
      <c r="Q18" s="22" t="s">
        <v>180</v>
      </c>
      <c r="R18" s="22" t="s">
        <v>210</v>
      </c>
      <c r="S18" s="22" t="s">
        <v>210</v>
      </c>
      <c r="T18" s="22" t="s">
        <v>180</v>
      </c>
      <c r="U18" s="22" t="s">
        <v>180</v>
      </c>
      <c r="V18" s="22" t="s">
        <v>180</v>
      </c>
      <c r="W18" s="22" t="s">
        <v>180</v>
      </c>
      <c r="X18" s="22" t="s">
        <v>180</v>
      </c>
      <c r="Y18" s="22" t="s">
        <v>180</v>
      </c>
      <c r="Z18" s="23"/>
    </row>
    <row r="19" spans="1:26" hidden="1" x14ac:dyDescent="0.2">
      <c r="A19" s="29">
        <v>43747</v>
      </c>
      <c r="B19" s="19" t="s">
        <v>141</v>
      </c>
      <c r="C19" s="8"/>
      <c r="D19" s="22" t="s">
        <v>180</v>
      </c>
      <c r="E19" s="22" t="s">
        <v>180</v>
      </c>
      <c r="F19" s="22" t="s">
        <v>180</v>
      </c>
      <c r="G19" s="22" t="s">
        <v>180</v>
      </c>
      <c r="H19" s="22" t="s">
        <v>210</v>
      </c>
      <c r="I19" s="22" t="s">
        <v>210</v>
      </c>
      <c r="J19" s="22" t="s">
        <v>180</v>
      </c>
      <c r="K19" s="22" t="s">
        <v>180</v>
      </c>
      <c r="L19" s="22" t="s">
        <v>180</v>
      </c>
      <c r="M19" s="22" t="s">
        <v>180</v>
      </c>
      <c r="N19" s="22" t="s">
        <v>180</v>
      </c>
      <c r="O19" s="22" t="s">
        <v>180</v>
      </c>
      <c r="P19" s="22" t="s">
        <v>180</v>
      </c>
      <c r="Q19" s="22" t="s">
        <v>180</v>
      </c>
      <c r="R19" s="22" t="s">
        <v>210</v>
      </c>
      <c r="S19" s="22" t="s">
        <v>210</v>
      </c>
      <c r="T19" s="22" t="s">
        <v>180</v>
      </c>
      <c r="U19" s="22" t="s">
        <v>180</v>
      </c>
      <c r="V19" s="22" t="s">
        <v>180</v>
      </c>
      <c r="W19" s="22" t="s">
        <v>180</v>
      </c>
      <c r="X19" s="22" t="s">
        <v>180</v>
      </c>
      <c r="Y19" s="22" t="s">
        <v>180</v>
      </c>
      <c r="Z19" s="22" t="s">
        <v>180</v>
      </c>
    </row>
    <row r="20" spans="1:26" hidden="1" x14ac:dyDescent="0.2">
      <c r="A20" s="29">
        <v>43747</v>
      </c>
      <c r="B20" s="19" t="s">
        <v>131</v>
      </c>
      <c r="C20" s="8"/>
      <c r="D20" s="22" t="s">
        <v>180</v>
      </c>
      <c r="E20" s="22" t="s">
        <v>180</v>
      </c>
      <c r="F20" s="22" t="s">
        <v>180</v>
      </c>
      <c r="G20" s="22" t="s">
        <v>180</v>
      </c>
      <c r="H20" s="22" t="s">
        <v>180</v>
      </c>
      <c r="I20" s="22" t="s">
        <v>180</v>
      </c>
      <c r="J20" s="22" t="s">
        <v>180</v>
      </c>
      <c r="K20" s="22" t="s">
        <v>180</v>
      </c>
      <c r="L20" s="22" t="s">
        <v>180</v>
      </c>
      <c r="M20" s="22" t="s">
        <v>180</v>
      </c>
      <c r="N20" s="22" t="s">
        <v>180</v>
      </c>
      <c r="O20" s="22" t="s">
        <v>180</v>
      </c>
      <c r="P20" s="22" t="s">
        <v>180</v>
      </c>
      <c r="Q20" s="22" t="s">
        <v>180</v>
      </c>
      <c r="R20" s="22" t="s">
        <v>180</v>
      </c>
      <c r="S20" s="22" t="s">
        <v>180</v>
      </c>
      <c r="T20" s="22" t="s">
        <v>180</v>
      </c>
      <c r="U20" s="22" t="s">
        <v>180</v>
      </c>
      <c r="V20" s="22" t="s">
        <v>180</v>
      </c>
      <c r="W20" s="22" t="s">
        <v>180</v>
      </c>
      <c r="X20" s="22" t="s">
        <v>210</v>
      </c>
      <c r="Y20" s="22" t="s">
        <v>210</v>
      </c>
      <c r="Z20" s="22" t="s">
        <v>180</v>
      </c>
    </row>
    <row r="21" spans="1:26" hidden="1" x14ac:dyDescent="0.2">
      <c r="A21" s="29">
        <v>43747</v>
      </c>
      <c r="B21" s="19" t="s">
        <v>145</v>
      </c>
      <c r="C21" s="8" t="s">
        <v>254</v>
      </c>
      <c r="D21" s="22" t="s">
        <v>180</v>
      </c>
      <c r="E21" s="22" t="s">
        <v>180</v>
      </c>
      <c r="F21" s="22" t="s">
        <v>180</v>
      </c>
      <c r="G21" s="22" t="s">
        <v>180</v>
      </c>
      <c r="H21" s="22" t="s">
        <v>180</v>
      </c>
      <c r="I21" s="22" t="s">
        <v>180</v>
      </c>
      <c r="J21" s="22" t="s">
        <v>180</v>
      </c>
      <c r="K21" s="22" t="s">
        <v>180</v>
      </c>
      <c r="L21" s="22" t="s">
        <v>180</v>
      </c>
      <c r="M21" s="22" t="s">
        <v>180</v>
      </c>
      <c r="N21" s="22" t="s">
        <v>180</v>
      </c>
      <c r="O21" s="22" t="s">
        <v>180</v>
      </c>
      <c r="P21" s="22" t="s">
        <v>180</v>
      </c>
      <c r="Q21" s="22" t="s">
        <v>180</v>
      </c>
      <c r="R21" s="22" t="s">
        <v>180</v>
      </c>
      <c r="S21" s="22" t="s">
        <v>180</v>
      </c>
      <c r="T21" s="22" t="s">
        <v>180</v>
      </c>
      <c r="U21" s="22" t="s">
        <v>180</v>
      </c>
      <c r="V21" s="22" t="s">
        <v>210</v>
      </c>
      <c r="W21" s="22" t="s">
        <v>180</v>
      </c>
      <c r="X21" s="22" t="s">
        <v>210</v>
      </c>
      <c r="Y21" s="22" t="s">
        <v>210</v>
      </c>
      <c r="Z21" s="22" t="s">
        <v>180</v>
      </c>
    </row>
    <row r="22" spans="1:26" hidden="1" x14ac:dyDescent="0.2">
      <c r="A22" s="29">
        <v>43747</v>
      </c>
      <c r="B22" s="19" t="s">
        <v>137</v>
      </c>
      <c r="C22" s="8"/>
      <c r="D22" s="22" t="s">
        <v>180</v>
      </c>
      <c r="E22" s="22" t="s">
        <v>180</v>
      </c>
      <c r="F22" s="22" t="s">
        <v>180</v>
      </c>
      <c r="G22" s="22" t="s">
        <v>180</v>
      </c>
      <c r="H22" s="22" t="s">
        <v>210</v>
      </c>
      <c r="I22" s="22" t="s">
        <v>210</v>
      </c>
      <c r="J22" s="22" t="s">
        <v>180</v>
      </c>
      <c r="K22" s="22" t="s">
        <v>180</v>
      </c>
      <c r="L22" s="22" t="s">
        <v>180</v>
      </c>
      <c r="M22" s="22" t="s">
        <v>180</v>
      </c>
      <c r="N22" s="22" t="s">
        <v>180</v>
      </c>
      <c r="O22" s="22" t="s">
        <v>180</v>
      </c>
      <c r="P22" s="22" t="s">
        <v>180</v>
      </c>
      <c r="Q22" s="22" t="s">
        <v>180</v>
      </c>
      <c r="R22" s="22" t="s">
        <v>210</v>
      </c>
      <c r="S22" s="22" t="s">
        <v>210</v>
      </c>
      <c r="T22" s="22" t="s">
        <v>180</v>
      </c>
      <c r="U22" s="22" t="s">
        <v>180</v>
      </c>
      <c r="V22" s="22" t="s">
        <v>180</v>
      </c>
      <c r="W22" s="22" t="s">
        <v>180</v>
      </c>
      <c r="X22" s="22" t="s">
        <v>180</v>
      </c>
      <c r="Y22" s="22" t="s">
        <v>180</v>
      </c>
      <c r="Z22" s="23"/>
    </row>
    <row r="23" spans="1:26" x14ac:dyDescent="0.2">
      <c r="A23" s="29">
        <v>43751</v>
      </c>
      <c r="B23" s="19" t="s">
        <v>140</v>
      </c>
      <c r="C23" s="8"/>
      <c r="D23" s="22" t="s">
        <v>180</v>
      </c>
      <c r="E23" s="22" t="s">
        <v>180</v>
      </c>
      <c r="F23" s="22" t="s">
        <v>180</v>
      </c>
      <c r="G23" s="22" t="s">
        <v>180</v>
      </c>
      <c r="H23" s="22" t="s">
        <v>210</v>
      </c>
      <c r="I23" s="22" t="s">
        <v>210</v>
      </c>
      <c r="J23" s="22" t="s">
        <v>180</v>
      </c>
      <c r="K23" s="22" t="s">
        <v>180</v>
      </c>
      <c r="L23" s="22" t="s">
        <v>180</v>
      </c>
      <c r="M23" s="22" t="s">
        <v>180</v>
      </c>
      <c r="N23" s="22" t="s">
        <v>180</v>
      </c>
      <c r="O23" s="22" t="s">
        <v>180</v>
      </c>
      <c r="P23" s="22" t="s">
        <v>180</v>
      </c>
      <c r="Q23" s="22" t="s">
        <v>180</v>
      </c>
      <c r="R23" s="22" t="s">
        <v>210</v>
      </c>
      <c r="S23" s="22" t="s">
        <v>210</v>
      </c>
      <c r="T23" s="22" t="s">
        <v>180</v>
      </c>
      <c r="U23" s="22" t="s">
        <v>180</v>
      </c>
      <c r="V23" s="22" t="s">
        <v>180</v>
      </c>
      <c r="W23" s="22"/>
      <c r="X23" s="22"/>
      <c r="Y23" s="22"/>
      <c r="Z23" s="23"/>
    </row>
    <row r="24" spans="1:26" x14ac:dyDescent="0.2">
      <c r="A24" s="29">
        <v>43751</v>
      </c>
      <c r="B24" s="19" t="s">
        <v>131</v>
      </c>
      <c r="C24" s="8"/>
      <c r="D24" s="22" t="s">
        <v>180</v>
      </c>
      <c r="E24" s="22" t="s">
        <v>180</v>
      </c>
      <c r="F24" s="22" t="s">
        <v>180</v>
      </c>
      <c r="G24" s="22" t="s">
        <v>180</v>
      </c>
      <c r="H24" s="22" t="s">
        <v>180</v>
      </c>
      <c r="I24" s="22" t="s">
        <v>180</v>
      </c>
      <c r="J24" s="22" t="s">
        <v>180</v>
      </c>
      <c r="K24" s="22" t="s">
        <v>180</v>
      </c>
      <c r="L24" s="22" t="s">
        <v>180</v>
      </c>
      <c r="M24" s="22" t="s">
        <v>180</v>
      </c>
      <c r="N24" s="22" t="s">
        <v>180</v>
      </c>
      <c r="O24" s="22" t="s">
        <v>180</v>
      </c>
      <c r="P24" s="22" t="s">
        <v>180</v>
      </c>
      <c r="Q24" s="22" t="s">
        <v>180</v>
      </c>
      <c r="R24" s="22" t="s">
        <v>180</v>
      </c>
      <c r="S24" s="22" t="s">
        <v>180</v>
      </c>
      <c r="T24" s="22" t="s">
        <v>180</v>
      </c>
      <c r="U24" s="22" t="s">
        <v>180</v>
      </c>
      <c r="V24" s="22" t="s">
        <v>180</v>
      </c>
      <c r="W24" s="22" t="s">
        <v>180</v>
      </c>
      <c r="X24" s="22" t="s">
        <v>210</v>
      </c>
      <c r="Y24" s="22" t="s">
        <v>210</v>
      </c>
      <c r="Z24" s="23"/>
    </row>
    <row r="25" spans="1:26" x14ac:dyDescent="0.2">
      <c r="A25" s="29">
        <v>43751</v>
      </c>
      <c r="B25" s="19" t="s">
        <v>293</v>
      </c>
      <c r="C25" s="8"/>
      <c r="D25" s="22" t="s">
        <v>180</v>
      </c>
      <c r="E25" s="22" t="s">
        <v>180</v>
      </c>
      <c r="F25" s="22" t="s">
        <v>180</v>
      </c>
      <c r="G25" s="22" t="s">
        <v>180</v>
      </c>
      <c r="H25" s="22" t="s">
        <v>210</v>
      </c>
      <c r="I25" s="22" t="s">
        <v>210</v>
      </c>
      <c r="J25" s="22" t="s">
        <v>180</v>
      </c>
      <c r="K25" s="22" t="s">
        <v>180</v>
      </c>
      <c r="L25" s="22" t="s">
        <v>180</v>
      </c>
      <c r="M25" s="22" t="s">
        <v>180</v>
      </c>
      <c r="N25" s="22" t="s">
        <v>180</v>
      </c>
      <c r="O25" s="22" t="s">
        <v>180</v>
      </c>
      <c r="P25" s="22" t="s">
        <v>180</v>
      </c>
      <c r="Q25" s="22" t="s">
        <v>180</v>
      </c>
      <c r="R25" s="22" t="s">
        <v>210</v>
      </c>
      <c r="S25" s="22" t="s">
        <v>210</v>
      </c>
      <c r="T25" s="22" t="s">
        <v>180</v>
      </c>
      <c r="U25" s="22" t="s">
        <v>180</v>
      </c>
      <c r="V25" s="22" t="s">
        <v>180</v>
      </c>
      <c r="W25" s="22"/>
      <c r="X25" s="22"/>
      <c r="Y25" s="22"/>
      <c r="Z25" s="23"/>
    </row>
    <row r="26" spans="1:26" x14ac:dyDescent="0.2">
      <c r="A26" s="29">
        <v>43751</v>
      </c>
      <c r="B26" s="19" t="s">
        <v>303</v>
      </c>
      <c r="C26" s="8"/>
      <c r="D26" s="22" t="s">
        <v>180</v>
      </c>
      <c r="E26" s="22" t="s">
        <v>180</v>
      </c>
      <c r="F26" s="22" t="s">
        <v>180</v>
      </c>
      <c r="G26" s="22" t="s">
        <v>180</v>
      </c>
      <c r="H26" s="22" t="s">
        <v>180</v>
      </c>
      <c r="I26" s="22" t="s">
        <v>180</v>
      </c>
      <c r="J26" s="22" t="s">
        <v>180</v>
      </c>
      <c r="K26" s="22" t="s">
        <v>180</v>
      </c>
      <c r="L26" s="22" t="s">
        <v>180</v>
      </c>
      <c r="M26" s="22" t="s">
        <v>180</v>
      </c>
      <c r="N26" s="22" t="s">
        <v>180</v>
      </c>
      <c r="O26" s="22"/>
      <c r="P26" s="22" t="s">
        <v>180</v>
      </c>
      <c r="Q26" s="22" t="s">
        <v>180</v>
      </c>
      <c r="R26" s="22" t="s">
        <v>180</v>
      </c>
      <c r="S26" s="22" t="s">
        <v>180</v>
      </c>
      <c r="T26" s="22" t="s">
        <v>180</v>
      </c>
      <c r="U26" s="22" t="s">
        <v>180</v>
      </c>
      <c r="V26" s="22" t="s">
        <v>180</v>
      </c>
      <c r="W26" s="22" t="s">
        <v>180</v>
      </c>
      <c r="X26" s="22"/>
      <c r="Y26" s="22"/>
      <c r="Z26" s="23"/>
    </row>
    <row r="27" spans="1:26" hidden="1" x14ac:dyDescent="0.2">
      <c r="A27" s="30">
        <v>43754</v>
      </c>
      <c r="B27" s="20" t="s">
        <v>141</v>
      </c>
      <c r="C27" s="21"/>
      <c r="D27" s="22" t="s">
        <v>180</v>
      </c>
      <c r="E27" s="22" t="s">
        <v>180</v>
      </c>
      <c r="F27" s="22" t="s">
        <v>180</v>
      </c>
      <c r="G27" s="22" t="s">
        <v>180</v>
      </c>
      <c r="H27" s="22" t="s">
        <v>210</v>
      </c>
      <c r="I27" s="22" t="s">
        <v>210</v>
      </c>
      <c r="J27" s="24"/>
      <c r="K27" s="24"/>
      <c r="L27" s="24"/>
      <c r="M27" s="24"/>
      <c r="N27" s="24"/>
      <c r="O27" s="24"/>
      <c r="P27" s="24"/>
      <c r="Q27" s="24"/>
      <c r="R27" s="22" t="s">
        <v>210</v>
      </c>
      <c r="S27" s="22" t="s">
        <v>210</v>
      </c>
      <c r="T27" s="24"/>
      <c r="U27" s="24"/>
      <c r="V27" s="24"/>
      <c r="W27" s="24"/>
      <c r="X27" s="24"/>
      <c r="Y27" s="24"/>
      <c r="Z27" s="25"/>
    </row>
    <row r="28" spans="1:26" hidden="1" x14ac:dyDescent="0.2">
      <c r="A28" s="30">
        <v>43754</v>
      </c>
      <c r="B28" s="20" t="s">
        <v>131</v>
      </c>
      <c r="C28" s="21"/>
      <c r="D28" s="24" t="s">
        <v>180</v>
      </c>
      <c r="E28" s="24" t="s">
        <v>180</v>
      </c>
      <c r="F28" s="24" t="s">
        <v>180</v>
      </c>
      <c r="G28" s="22" t="s">
        <v>180</v>
      </c>
      <c r="H28" s="24" t="s">
        <v>210</v>
      </c>
      <c r="I28" s="24" t="s">
        <v>210</v>
      </c>
      <c r="J28" s="24"/>
      <c r="K28" s="24"/>
      <c r="L28" s="24"/>
      <c r="M28" s="24"/>
      <c r="N28" s="24"/>
      <c r="O28" s="24"/>
      <c r="P28" s="24"/>
      <c r="Q28" s="24"/>
      <c r="R28" s="24" t="s">
        <v>210</v>
      </c>
      <c r="S28" s="24" t="s">
        <v>210</v>
      </c>
      <c r="T28" s="24"/>
      <c r="U28" s="24"/>
      <c r="V28" s="24"/>
      <c r="W28" s="24"/>
      <c r="X28" s="24" t="s">
        <v>210</v>
      </c>
      <c r="Y28" s="24" t="s">
        <v>210</v>
      </c>
      <c r="Z28" s="25"/>
    </row>
    <row r="29" spans="1:26" hidden="1" x14ac:dyDescent="0.2">
      <c r="A29" s="30">
        <v>43754</v>
      </c>
      <c r="B29" s="20" t="s">
        <v>111</v>
      </c>
      <c r="C29" s="21" t="s">
        <v>209</v>
      </c>
      <c r="D29" s="24" t="s">
        <v>180</v>
      </c>
      <c r="E29" s="24" t="s">
        <v>180</v>
      </c>
      <c r="F29" s="24" t="s">
        <v>180</v>
      </c>
      <c r="G29" s="22" t="s">
        <v>180</v>
      </c>
      <c r="H29" s="24" t="s">
        <v>210</v>
      </c>
      <c r="I29" s="24" t="s">
        <v>210</v>
      </c>
      <c r="J29" s="24"/>
      <c r="K29" s="24"/>
      <c r="L29" s="24"/>
      <c r="M29" s="24"/>
      <c r="N29" s="24"/>
      <c r="O29" s="24"/>
      <c r="P29" s="24"/>
      <c r="Q29" s="24"/>
      <c r="R29" s="24" t="s">
        <v>210</v>
      </c>
      <c r="S29" s="24" t="s">
        <v>210</v>
      </c>
      <c r="T29" s="24"/>
      <c r="U29" s="24"/>
      <c r="V29" s="24"/>
      <c r="W29" s="24"/>
      <c r="X29" s="24"/>
      <c r="Y29" s="24"/>
      <c r="Z29" s="25"/>
    </row>
    <row r="30" spans="1:26" hidden="1" x14ac:dyDescent="0.2">
      <c r="A30" s="30">
        <v>43754</v>
      </c>
      <c r="B30" s="20" t="s">
        <v>364</v>
      </c>
      <c r="C30" s="21"/>
      <c r="D30" s="24" t="s">
        <v>180</v>
      </c>
      <c r="E30" s="24" t="s">
        <v>180</v>
      </c>
      <c r="F30" s="24" t="s">
        <v>180</v>
      </c>
      <c r="G30" s="24" t="s">
        <v>180</v>
      </c>
      <c r="H30" s="24" t="s">
        <v>180</v>
      </c>
      <c r="I30" s="24" t="s">
        <v>180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5"/>
    </row>
    <row r="31" spans="1:26" hidden="1" x14ac:dyDescent="0.2">
      <c r="A31" s="30">
        <v>43758</v>
      </c>
      <c r="B31" s="20" t="s">
        <v>141</v>
      </c>
      <c r="C31" s="21"/>
      <c r="D31" s="24" t="s">
        <v>180</v>
      </c>
      <c r="E31" s="24" t="s">
        <v>180</v>
      </c>
      <c r="F31" s="24" t="s">
        <v>180</v>
      </c>
      <c r="G31" s="24" t="s">
        <v>180</v>
      </c>
      <c r="H31" s="24" t="s">
        <v>210</v>
      </c>
      <c r="I31" s="24" t="s">
        <v>210</v>
      </c>
      <c r="J31" s="24"/>
      <c r="K31" s="24"/>
      <c r="L31" s="24"/>
      <c r="M31" s="24"/>
      <c r="N31" s="24"/>
      <c r="O31" s="24"/>
      <c r="P31" s="24"/>
      <c r="Q31" s="24"/>
      <c r="R31" s="24" t="s">
        <v>210</v>
      </c>
      <c r="S31" s="24" t="s">
        <v>210</v>
      </c>
      <c r="T31" s="24"/>
      <c r="U31" s="24"/>
      <c r="V31" s="24"/>
      <c r="W31" s="24"/>
      <c r="X31" s="24"/>
      <c r="Y31" s="24"/>
      <c r="Z31" s="25"/>
    </row>
    <row r="32" spans="1:26" hidden="1" x14ac:dyDescent="0.2">
      <c r="A32" s="30">
        <v>43758</v>
      </c>
      <c r="B32" s="20" t="s">
        <v>137</v>
      </c>
      <c r="C32" s="21" t="s">
        <v>209</v>
      </c>
      <c r="D32" s="24" t="s">
        <v>180</v>
      </c>
      <c r="E32" s="24" t="s">
        <v>180</v>
      </c>
      <c r="F32" s="24" t="s">
        <v>180</v>
      </c>
      <c r="G32" s="24" t="s">
        <v>180</v>
      </c>
      <c r="H32" s="24" t="s">
        <v>210</v>
      </c>
      <c r="I32" s="24" t="s">
        <v>210</v>
      </c>
      <c r="J32" s="24"/>
      <c r="K32" s="24"/>
      <c r="L32" s="24"/>
      <c r="M32" s="24"/>
      <c r="N32" s="24"/>
      <c r="O32" s="24"/>
      <c r="P32" s="24"/>
      <c r="Q32" s="24"/>
      <c r="R32" s="24" t="s">
        <v>210</v>
      </c>
      <c r="S32" s="24" t="s">
        <v>210</v>
      </c>
      <c r="T32" s="24"/>
      <c r="U32" s="24"/>
      <c r="V32" s="24"/>
      <c r="W32" s="24"/>
      <c r="X32" s="24"/>
      <c r="Y32" s="24"/>
      <c r="Z32" s="25"/>
    </row>
    <row r="33" spans="1:26" hidden="1" x14ac:dyDescent="0.2">
      <c r="A33" s="30">
        <v>43758</v>
      </c>
      <c r="B33" s="35" t="s">
        <v>107</v>
      </c>
      <c r="C33" s="21"/>
      <c r="D33" s="24" t="s">
        <v>180</v>
      </c>
      <c r="E33" s="24" t="s">
        <v>180</v>
      </c>
      <c r="F33" s="22" t="s">
        <v>180</v>
      </c>
      <c r="G33" s="24" t="s">
        <v>180</v>
      </c>
      <c r="H33" s="24" t="s">
        <v>210</v>
      </c>
      <c r="I33" s="24" t="s">
        <v>210</v>
      </c>
      <c r="J33" s="24"/>
      <c r="K33" s="24"/>
      <c r="L33" s="24"/>
      <c r="M33" s="24"/>
      <c r="N33" s="24"/>
      <c r="O33" s="24"/>
      <c r="P33" s="24"/>
      <c r="Q33" s="24"/>
      <c r="R33" s="24" t="s">
        <v>210</v>
      </c>
      <c r="S33" s="24" t="s">
        <v>210</v>
      </c>
      <c r="T33" s="24"/>
      <c r="U33" s="24"/>
      <c r="V33" s="24"/>
      <c r="W33" s="24"/>
      <c r="X33" s="24"/>
      <c r="Y33" s="24"/>
      <c r="Z33" s="25"/>
    </row>
    <row r="34" spans="1:26" hidden="1" x14ac:dyDescent="0.2">
      <c r="A34" s="29">
        <v>43758</v>
      </c>
      <c r="B34" s="19" t="s">
        <v>302</v>
      </c>
      <c r="C34" s="8"/>
      <c r="D34" s="22" t="s">
        <v>180</v>
      </c>
      <c r="E34" s="24" t="s">
        <v>180</v>
      </c>
      <c r="F34" s="24"/>
      <c r="G34" s="24"/>
      <c r="H34" s="22" t="s">
        <v>210</v>
      </c>
      <c r="I34" s="22" t="s">
        <v>210</v>
      </c>
      <c r="J34" s="22"/>
      <c r="K34" s="22"/>
      <c r="L34" s="22"/>
      <c r="M34" s="22"/>
      <c r="N34" s="22"/>
      <c r="O34" s="22"/>
      <c r="P34" s="22"/>
      <c r="Q34" s="22"/>
      <c r="R34" s="22" t="s">
        <v>210</v>
      </c>
      <c r="S34" s="22" t="s">
        <v>210</v>
      </c>
      <c r="T34" s="22"/>
      <c r="U34" s="22"/>
      <c r="V34" s="22"/>
      <c r="W34" s="22"/>
      <c r="X34" s="22" t="s">
        <v>210</v>
      </c>
      <c r="Y34" s="22" t="s">
        <v>210</v>
      </c>
      <c r="Z34" s="22"/>
    </row>
    <row r="35" spans="1:26" hidden="1" x14ac:dyDescent="0.2">
      <c r="A35" s="30">
        <v>43758</v>
      </c>
      <c r="B35" s="20" t="s">
        <v>364</v>
      </c>
      <c r="C35" s="21"/>
      <c r="D35" s="22" t="s">
        <v>180</v>
      </c>
      <c r="E35" s="22" t="s">
        <v>180</v>
      </c>
      <c r="F35" s="22" t="s">
        <v>180</v>
      </c>
      <c r="G35" s="22" t="s">
        <v>180</v>
      </c>
      <c r="H35" s="22" t="s">
        <v>180</v>
      </c>
      <c r="I35" s="22" t="s">
        <v>180</v>
      </c>
      <c r="J35" s="24"/>
      <c r="K35" s="24"/>
      <c r="L35" s="24"/>
      <c r="M35" s="24"/>
      <c r="N35" s="24"/>
      <c r="O35" s="24"/>
      <c r="P35" s="24"/>
      <c r="Q35" s="24"/>
      <c r="R35" s="22"/>
      <c r="S35" s="22"/>
      <c r="T35" s="24"/>
      <c r="U35" s="24"/>
      <c r="V35" s="24"/>
      <c r="W35" s="24"/>
      <c r="X35" s="24"/>
      <c r="Y35" s="24"/>
      <c r="Z35" s="25"/>
    </row>
    <row r="36" spans="1:26" hidden="1" x14ac:dyDescent="0.2">
      <c r="A36" s="30">
        <v>43761</v>
      </c>
      <c r="B36" s="20" t="s">
        <v>350</v>
      </c>
      <c r="C36" s="21"/>
      <c r="D36" s="22" t="s">
        <v>180</v>
      </c>
      <c r="E36" s="24" t="s">
        <v>180</v>
      </c>
      <c r="F36" s="24" t="s">
        <v>180</v>
      </c>
      <c r="G36" s="24"/>
      <c r="H36" s="22" t="s">
        <v>210</v>
      </c>
      <c r="I36" s="22" t="s">
        <v>210</v>
      </c>
      <c r="J36" s="24"/>
      <c r="K36" s="24"/>
      <c r="L36" s="24"/>
      <c r="M36" s="24"/>
      <c r="N36" s="24"/>
      <c r="O36" s="24"/>
      <c r="P36" s="24"/>
      <c r="Q36" s="24"/>
      <c r="R36" s="22" t="s">
        <v>210</v>
      </c>
      <c r="S36" s="22" t="s">
        <v>210</v>
      </c>
      <c r="T36" s="24"/>
      <c r="U36" s="24"/>
      <c r="V36" s="24"/>
      <c r="W36" s="24"/>
      <c r="X36" s="24"/>
      <c r="Y36" s="24"/>
      <c r="Z36" s="25"/>
    </row>
    <row r="37" spans="1:26" x14ac:dyDescent="0.2">
      <c r="A37" s="30">
        <v>43751</v>
      </c>
      <c r="B37" s="20" t="s">
        <v>419</v>
      </c>
      <c r="C37" s="21"/>
      <c r="D37" s="22" t="s">
        <v>180</v>
      </c>
      <c r="E37" s="22" t="s">
        <v>180</v>
      </c>
      <c r="F37" s="22" t="s">
        <v>180</v>
      </c>
      <c r="G37" s="22" t="s">
        <v>180</v>
      </c>
      <c r="H37" s="24" t="s">
        <v>210</v>
      </c>
      <c r="I37" s="24" t="s">
        <v>210</v>
      </c>
      <c r="J37" s="22" t="s">
        <v>180</v>
      </c>
      <c r="K37" s="22" t="s">
        <v>180</v>
      </c>
      <c r="L37" s="22" t="s">
        <v>180</v>
      </c>
      <c r="M37" s="22" t="s">
        <v>180</v>
      </c>
      <c r="N37" s="22" t="s">
        <v>180</v>
      </c>
      <c r="O37" s="22" t="s">
        <v>180</v>
      </c>
      <c r="P37" s="22" t="s">
        <v>180</v>
      </c>
      <c r="Q37" s="22" t="s">
        <v>180</v>
      </c>
      <c r="R37" s="24" t="s">
        <v>210</v>
      </c>
      <c r="S37" s="24" t="s">
        <v>210</v>
      </c>
      <c r="T37" s="22" t="s">
        <v>180</v>
      </c>
      <c r="U37" s="22" t="s">
        <v>180</v>
      </c>
      <c r="V37" s="22" t="s">
        <v>180</v>
      </c>
      <c r="W37" s="24"/>
      <c r="X37" s="24"/>
      <c r="Y37" s="24"/>
      <c r="Z37" s="25"/>
    </row>
    <row r="38" spans="1:26" hidden="1" x14ac:dyDescent="0.2">
      <c r="A38" s="30">
        <v>43758</v>
      </c>
      <c r="B38" s="20" t="s">
        <v>137</v>
      </c>
      <c r="C38" s="21" t="s">
        <v>476</v>
      </c>
      <c r="D38" s="22" t="s">
        <v>180</v>
      </c>
      <c r="E38" s="22" t="s">
        <v>180</v>
      </c>
      <c r="F38" s="24"/>
      <c r="G38" s="22" t="s">
        <v>180</v>
      </c>
      <c r="H38" s="22" t="s">
        <v>210</v>
      </c>
      <c r="I38" s="22" t="s">
        <v>210</v>
      </c>
      <c r="J38" s="24"/>
      <c r="K38" s="24"/>
      <c r="L38" s="24"/>
      <c r="M38" s="24"/>
      <c r="N38" s="24"/>
      <c r="O38" s="24"/>
      <c r="P38" s="24"/>
      <c r="Q38" s="24"/>
      <c r="R38" s="22" t="s">
        <v>210</v>
      </c>
      <c r="S38" s="22" t="s">
        <v>210</v>
      </c>
      <c r="T38" s="24"/>
      <c r="U38" s="24"/>
      <c r="V38" s="24"/>
      <c r="W38" s="24"/>
      <c r="X38" s="24"/>
      <c r="Y38" s="24"/>
      <c r="Z38" s="25"/>
    </row>
    <row r="39" spans="1:26" hidden="1" x14ac:dyDescent="0.2">
      <c r="A39" s="30">
        <v>43761</v>
      </c>
      <c r="B39" s="20" t="s">
        <v>487</v>
      </c>
      <c r="C39" s="21"/>
      <c r="D39" s="22" t="s">
        <v>180</v>
      </c>
      <c r="E39" s="24" t="s">
        <v>180</v>
      </c>
      <c r="F39" s="22" t="s">
        <v>180</v>
      </c>
      <c r="G39" s="24"/>
      <c r="H39" s="22" t="s">
        <v>210</v>
      </c>
      <c r="I39" s="22" t="s">
        <v>210</v>
      </c>
      <c r="J39" s="24"/>
      <c r="K39" s="24"/>
      <c r="L39" s="24"/>
      <c r="M39" s="24"/>
      <c r="N39" s="24"/>
      <c r="O39" s="24"/>
      <c r="P39" s="24"/>
      <c r="Q39" s="24"/>
      <c r="R39" s="22" t="s">
        <v>210</v>
      </c>
      <c r="S39" s="22" t="s">
        <v>210</v>
      </c>
      <c r="T39" s="24"/>
      <c r="U39" s="24"/>
      <c r="V39" s="24"/>
      <c r="W39" s="24"/>
      <c r="X39" s="24"/>
      <c r="Y39" s="24"/>
      <c r="Z39" s="25"/>
    </row>
    <row r="40" spans="1:26" hidden="1" x14ac:dyDescent="0.2">
      <c r="A40" s="30">
        <v>43761</v>
      </c>
      <c r="B40" s="20" t="s">
        <v>490</v>
      </c>
      <c r="C40" s="21"/>
      <c r="D40" s="22" t="s">
        <v>180</v>
      </c>
      <c r="E40" s="24" t="s">
        <v>180</v>
      </c>
      <c r="F40" s="24" t="s">
        <v>180</v>
      </c>
      <c r="G40" s="24"/>
      <c r="H40" s="22" t="s">
        <v>210</v>
      </c>
      <c r="I40" s="22" t="s">
        <v>210</v>
      </c>
      <c r="J40" s="24"/>
      <c r="K40" s="24"/>
      <c r="L40" s="24"/>
      <c r="M40" s="24"/>
      <c r="N40" s="24"/>
      <c r="O40" s="24"/>
      <c r="P40" s="24"/>
      <c r="Q40" s="24"/>
      <c r="R40" s="22" t="s">
        <v>210</v>
      </c>
      <c r="S40" s="22" t="s">
        <v>210</v>
      </c>
      <c r="T40" s="24"/>
      <c r="U40" s="24"/>
      <c r="V40" s="24"/>
      <c r="W40" s="24"/>
      <c r="X40" s="24"/>
      <c r="Y40" s="24"/>
      <c r="Z40" s="25"/>
    </row>
    <row r="41" spans="1:26" hidden="1" x14ac:dyDescent="0.2">
      <c r="A41" s="30">
        <v>43765</v>
      </c>
      <c r="B41" s="20" t="s">
        <v>107</v>
      </c>
      <c r="C41" s="21"/>
      <c r="D41" s="22" t="s">
        <v>180</v>
      </c>
      <c r="E41" s="22" t="s">
        <v>180</v>
      </c>
      <c r="F41" s="22" t="s">
        <v>180</v>
      </c>
      <c r="G41" s="24"/>
      <c r="H41" s="22" t="s">
        <v>210</v>
      </c>
      <c r="I41" s="22" t="s">
        <v>210</v>
      </c>
      <c r="J41" s="24"/>
      <c r="K41" s="24"/>
      <c r="L41" s="24"/>
      <c r="M41" s="24"/>
      <c r="N41" s="24"/>
      <c r="O41" s="24"/>
      <c r="P41" s="24"/>
      <c r="Q41" s="24"/>
      <c r="R41" s="22" t="s">
        <v>210</v>
      </c>
      <c r="S41" s="22" t="s">
        <v>210</v>
      </c>
      <c r="T41" s="24"/>
      <c r="U41" s="24"/>
      <c r="V41" s="24"/>
      <c r="W41" s="24"/>
      <c r="X41" s="24"/>
      <c r="Y41" s="24"/>
      <c r="Z41" s="25"/>
    </row>
    <row r="42" spans="1:26" hidden="1" x14ac:dyDescent="0.2">
      <c r="A42" s="30">
        <v>43765</v>
      </c>
      <c r="B42" s="20" t="s">
        <v>487</v>
      </c>
      <c r="C42" s="21"/>
      <c r="D42" s="22" t="s">
        <v>180</v>
      </c>
      <c r="E42" s="22" t="s">
        <v>180</v>
      </c>
      <c r="F42" s="22" t="s">
        <v>180</v>
      </c>
      <c r="G42" s="24"/>
      <c r="H42" s="22" t="s">
        <v>210</v>
      </c>
      <c r="I42" s="22" t="s">
        <v>210</v>
      </c>
      <c r="J42" s="24"/>
      <c r="K42" s="24"/>
      <c r="L42" s="24"/>
      <c r="M42" s="24"/>
      <c r="N42" s="24"/>
      <c r="O42" s="24"/>
      <c r="P42" s="24"/>
      <c r="Q42" s="24"/>
      <c r="R42" s="22" t="s">
        <v>210</v>
      </c>
      <c r="S42" s="22" t="s">
        <v>210</v>
      </c>
      <c r="T42" s="24"/>
      <c r="U42" s="24"/>
      <c r="V42" s="24"/>
      <c r="W42" s="24"/>
      <c r="X42" s="24"/>
      <c r="Y42" s="24"/>
      <c r="Z42" s="25"/>
    </row>
    <row r="43" spans="1:26" hidden="1" x14ac:dyDescent="0.2">
      <c r="A43" s="30">
        <v>43768</v>
      </c>
      <c r="B43" s="20" t="s">
        <v>107</v>
      </c>
      <c r="C43" s="21"/>
      <c r="D43" s="22" t="s">
        <v>180</v>
      </c>
      <c r="E43" s="22" t="s">
        <v>180</v>
      </c>
      <c r="F43" s="24" t="s">
        <v>180</v>
      </c>
      <c r="G43" s="24"/>
      <c r="H43" s="22" t="s">
        <v>210</v>
      </c>
      <c r="I43" s="22" t="s">
        <v>210</v>
      </c>
      <c r="J43" s="24"/>
      <c r="K43" s="24"/>
      <c r="L43" s="24"/>
      <c r="M43" s="24"/>
      <c r="N43" s="24"/>
      <c r="O43" s="24"/>
      <c r="P43" s="24"/>
      <c r="Q43" s="24"/>
      <c r="R43" s="22" t="s">
        <v>210</v>
      </c>
      <c r="S43" s="22" t="s">
        <v>210</v>
      </c>
      <c r="T43" s="24"/>
      <c r="U43" s="24"/>
      <c r="V43" s="24"/>
      <c r="W43" s="24"/>
      <c r="X43" s="24"/>
      <c r="Y43" s="24"/>
      <c r="Z43" s="25"/>
    </row>
    <row r="44" spans="1:26" hidden="1" x14ac:dyDescent="0.2">
      <c r="A44" s="30">
        <v>43765</v>
      </c>
      <c r="B44" s="20" t="s">
        <v>529</v>
      </c>
      <c r="C44" s="21"/>
      <c r="D44" s="22" t="s">
        <v>180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5"/>
    </row>
    <row r="45" spans="1:26" hidden="1" x14ac:dyDescent="0.2">
      <c r="A45" s="30">
        <v>43768</v>
      </c>
      <c r="B45" s="20" t="s">
        <v>529</v>
      </c>
      <c r="C45" s="21"/>
      <c r="D45" s="22" t="s">
        <v>180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5"/>
    </row>
    <row r="46" spans="1:26" hidden="1" x14ac:dyDescent="0.2">
      <c r="A46" s="30">
        <v>43758</v>
      </c>
      <c r="B46" s="20" t="s">
        <v>537</v>
      </c>
      <c r="C46" s="21"/>
      <c r="D46" s="24" t="s">
        <v>538</v>
      </c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5"/>
    </row>
  </sheetData>
  <phoneticPr fontId="2" type="noConversion"/>
  <conditionalFormatting sqref="D1:Z46">
    <cfRule type="cellIs" dxfId="70" priority="29" stopIfTrue="1" operator="equal">
      <formula>"╳"</formula>
    </cfRule>
    <cfRule type="cellIs" dxfId="69" priority="30" stopIfTrue="1" operator="equal">
      <formula>"OK"</formula>
    </cfRule>
  </conditionalFormatting>
  <pageMargins left="0.70866141732283472" right="0.70866141732283472" top="0.74803149606299213" bottom="0.74803149606299213" header="0" footer="0"/>
  <pageSetup paperSize="9" scale="98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BEE7E-3DDE-47A2-8659-3602DA3093E8}">
  <sheetPr>
    <pageSetUpPr fitToPage="1"/>
  </sheetPr>
  <dimension ref="B1:H28"/>
  <sheetViews>
    <sheetView workbookViewId="0">
      <selection activeCell="D40" sqref="D40"/>
    </sheetView>
  </sheetViews>
  <sheetFormatPr defaultRowHeight="14.25" x14ac:dyDescent="0.2"/>
  <cols>
    <col min="1" max="1" width="1.375" style="5" customWidth="1"/>
    <col min="2" max="2" width="15.625" style="5" customWidth="1"/>
    <col min="3" max="3" width="15.125" style="5" bestFit="1" customWidth="1"/>
    <col min="4" max="4" width="28.875" style="5" bestFit="1" customWidth="1"/>
    <col min="5" max="5" width="28.875" style="5" customWidth="1"/>
    <col min="6" max="6" width="45" style="5" customWidth="1"/>
    <col min="7" max="16384" width="9" style="5"/>
  </cols>
  <sheetData>
    <row r="1" spans="2:8" x14ac:dyDescent="0.2">
      <c r="B1" s="5" t="s">
        <v>63</v>
      </c>
      <c r="C1" s="5" t="s">
        <v>62</v>
      </c>
      <c r="D1" s="5" t="s">
        <v>61</v>
      </c>
      <c r="E1" s="5" t="s">
        <v>507</v>
      </c>
      <c r="F1" s="7" t="s">
        <v>60</v>
      </c>
    </row>
    <row r="2" spans="2:8" x14ac:dyDescent="0.2">
      <c r="B2" s="5" t="s">
        <v>59</v>
      </c>
      <c r="C2" s="6" t="s">
        <v>396</v>
      </c>
      <c r="D2" s="6" t="s">
        <v>516</v>
      </c>
      <c r="E2" s="6" t="s">
        <v>508</v>
      </c>
      <c r="F2" s="9" t="s">
        <v>506</v>
      </c>
      <c r="H2" s="5" t="s">
        <v>74</v>
      </c>
    </row>
    <row r="3" spans="2:8" ht="28.5" x14ac:dyDescent="0.2">
      <c r="B3" s="5" t="s">
        <v>59</v>
      </c>
      <c r="C3" s="6" t="s">
        <v>397</v>
      </c>
      <c r="D3" s="6" t="s">
        <v>523</v>
      </c>
      <c r="E3" s="6" t="s">
        <v>509</v>
      </c>
      <c r="F3" s="9" t="s">
        <v>73</v>
      </c>
      <c r="H3" s="5" t="s">
        <v>102</v>
      </c>
    </row>
    <row r="4" spans="2:8" x14ac:dyDescent="0.2">
      <c r="B4" s="5" t="s">
        <v>59</v>
      </c>
      <c r="C4" s="6" t="s">
        <v>111</v>
      </c>
      <c r="D4" s="6"/>
      <c r="E4" s="6" t="s">
        <v>510</v>
      </c>
      <c r="F4" s="9"/>
    </row>
    <row r="5" spans="2:8" x14ac:dyDescent="0.2">
      <c r="B5" s="5" t="s">
        <v>59</v>
      </c>
      <c r="C5" s="6" t="s">
        <v>128</v>
      </c>
      <c r="D5" s="6" t="s">
        <v>522</v>
      </c>
      <c r="E5" s="6" t="s">
        <v>511</v>
      </c>
      <c r="F5" s="9"/>
    </row>
    <row r="6" spans="2:8" x14ac:dyDescent="0.2">
      <c r="B6" s="5" t="s">
        <v>59</v>
      </c>
      <c r="C6" s="6" t="s">
        <v>398</v>
      </c>
      <c r="D6" s="6" t="s">
        <v>521</v>
      </c>
      <c r="E6" s="6" t="s">
        <v>512</v>
      </c>
      <c r="F6" s="9" t="s">
        <v>309</v>
      </c>
    </row>
    <row r="7" spans="2:8" x14ac:dyDescent="0.2">
      <c r="B7" s="5" t="s">
        <v>59</v>
      </c>
      <c r="C7" s="6" t="s">
        <v>399</v>
      </c>
      <c r="D7" s="6" t="s">
        <v>520</v>
      </c>
      <c r="E7" s="6" t="s">
        <v>513</v>
      </c>
      <c r="F7" s="9"/>
    </row>
    <row r="8" spans="2:8" x14ac:dyDescent="0.2">
      <c r="B8" s="5" t="s">
        <v>58</v>
      </c>
      <c r="C8" s="6" t="s">
        <v>400</v>
      </c>
      <c r="D8" s="6" t="s">
        <v>519</v>
      </c>
      <c r="E8" s="6"/>
      <c r="F8" s="9"/>
    </row>
    <row r="9" spans="2:8" x14ac:dyDescent="0.2">
      <c r="B9" s="5" t="s">
        <v>58</v>
      </c>
      <c r="C9" s="6" t="s">
        <v>401</v>
      </c>
      <c r="D9" s="6"/>
      <c r="E9" s="6"/>
      <c r="F9" s="9"/>
    </row>
    <row r="10" spans="2:8" ht="28.5" x14ac:dyDescent="0.2">
      <c r="B10" s="5" t="s">
        <v>58</v>
      </c>
      <c r="C10" s="6" t="s">
        <v>402</v>
      </c>
      <c r="D10" s="6" t="s">
        <v>524</v>
      </c>
      <c r="E10" s="6" t="s">
        <v>514</v>
      </c>
      <c r="F10" s="9" t="s">
        <v>461</v>
      </c>
    </row>
    <row r="11" spans="2:8" x14ac:dyDescent="0.2">
      <c r="B11" s="5" t="s">
        <v>58</v>
      </c>
      <c r="C11" s="6" t="s">
        <v>403</v>
      </c>
      <c r="D11" s="6" t="s">
        <v>525</v>
      </c>
      <c r="E11" s="6"/>
      <c r="F11" s="9" t="s">
        <v>408</v>
      </c>
    </row>
    <row r="12" spans="2:8" x14ac:dyDescent="0.2">
      <c r="B12" s="5" t="s">
        <v>58</v>
      </c>
      <c r="C12" s="6" t="s">
        <v>381</v>
      </c>
      <c r="D12" s="6"/>
      <c r="E12" s="6"/>
      <c r="F12" s="9"/>
    </row>
    <row r="13" spans="2:8" x14ac:dyDescent="0.2">
      <c r="B13" s="5" t="s">
        <v>57</v>
      </c>
      <c r="C13" s="6" t="s">
        <v>404</v>
      </c>
      <c r="D13" s="6"/>
      <c r="E13" s="6"/>
      <c r="F13" s="9"/>
    </row>
    <row r="14" spans="2:8" x14ac:dyDescent="0.2">
      <c r="B14" s="5" t="s">
        <v>57</v>
      </c>
      <c r="C14" s="6" t="s">
        <v>405</v>
      </c>
      <c r="D14" s="6" t="s">
        <v>518</v>
      </c>
      <c r="E14" s="6" t="s">
        <v>515</v>
      </c>
      <c r="F14" s="9"/>
    </row>
    <row r="15" spans="2:8" ht="28.5" x14ac:dyDescent="0.2">
      <c r="B15" s="5" t="s">
        <v>71</v>
      </c>
      <c r="C15" s="6" t="s">
        <v>406</v>
      </c>
      <c r="D15" s="6" t="s">
        <v>517</v>
      </c>
      <c r="E15" s="6"/>
      <c r="F15" s="9" t="s">
        <v>409</v>
      </c>
    </row>
    <row r="17" spans="2:2" x14ac:dyDescent="0.2">
      <c r="B17" s="5" t="s">
        <v>72</v>
      </c>
    </row>
    <row r="18" spans="2:2" x14ac:dyDescent="0.2">
      <c r="B18" s="5" t="s">
        <v>56</v>
      </c>
    </row>
    <row r="19" spans="2:2" x14ac:dyDescent="0.2">
      <c r="B19" s="5" t="s">
        <v>55</v>
      </c>
    </row>
    <row r="20" spans="2:2" x14ac:dyDescent="0.2">
      <c r="B20" s="5" t="s">
        <v>502</v>
      </c>
    </row>
    <row r="25" spans="2:2" x14ac:dyDescent="0.2">
      <c r="B25" s="5" t="s">
        <v>54</v>
      </c>
    </row>
    <row r="27" spans="2:2" x14ac:dyDescent="0.2">
      <c r="B27" s="5" t="s">
        <v>100</v>
      </c>
    </row>
    <row r="28" spans="2:2" x14ac:dyDescent="0.2">
      <c r="B28" s="5" t="s">
        <v>101</v>
      </c>
    </row>
  </sheetData>
  <phoneticPr fontId="2" type="noConversion"/>
  <pageMargins left="0.7" right="0.7" top="0.75" bottom="0.75" header="0.3" footer="0.3"/>
  <pageSetup scale="68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dimension ref="A1:L19"/>
  <sheetViews>
    <sheetView workbookViewId="0">
      <pane ySplit="3" topLeftCell="A19" activePane="bottomLeft" state="frozen"/>
      <selection pane="bottomLeft" activeCell="D37" sqref="D37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1.25" bestFit="1" customWidth="1"/>
    <col min="8" max="8" width="13.875" bestFit="1" customWidth="1"/>
    <col min="9" max="9" width="15.375" style="4" bestFit="1" customWidth="1"/>
    <col min="10" max="10" width="12" bestFit="1" customWidth="1"/>
    <col min="11" max="11" width="23" bestFit="1" customWidth="1"/>
    <col min="12" max="12" width="19.25" bestFit="1" customWidth="1"/>
  </cols>
  <sheetData>
    <row r="1" spans="1:12" ht="18" customHeight="1" x14ac:dyDescent="0.2">
      <c r="A1" t="s">
        <v>226</v>
      </c>
      <c r="B1" t="s">
        <v>234</v>
      </c>
      <c r="C1" t="s">
        <v>235</v>
      </c>
      <c r="D1" t="s">
        <v>217</v>
      </c>
      <c r="E1" t="s">
        <v>218</v>
      </c>
      <c r="F1" t="s">
        <v>241</v>
      </c>
      <c r="G1" t="s">
        <v>219</v>
      </c>
      <c r="H1" t="s">
        <v>242</v>
      </c>
      <c r="I1" t="s">
        <v>243</v>
      </c>
      <c r="J1" t="s">
        <v>304</v>
      </c>
      <c r="K1" t="s">
        <v>387</v>
      </c>
      <c r="L1" t="s">
        <v>388</v>
      </c>
    </row>
    <row r="2" spans="1:12" ht="18" customHeight="1" x14ac:dyDescent="0.2">
      <c r="A2" s="32" t="s">
        <v>227</v>
      </c>
      <c r="B2" s="33" t="s">
        <v>233</v>
      </c>
      <c r="C2" s="33" t="s">
        <v>230</v>
      </c>
      <c r="D2" s="32" t="s">
        <v>64</v>
      </c>
      <c r="E2" s="32" t="s">
        <v>66</v>
      </c>
      <c r="F2" s="32">
        <v>430</v>
      </c>
      <c r="G2" s="32" t="s">
        <v>68</v>
      </c>
      <c r="H2" s="32">
        <v>20</v>
      </c>
      <c r="I2" s="32"/>
      <c r="J2" s="32"/>
      <c r="K2" s="32"/>
      <c r="L2" s="32"/>
    </row>
    <row r="3" spans="1:12" ht="18" customHeight="1" x14ac:dyDescent="0.2">
      <c r="A3" s="42" t="s">
        <v>227</v>
      </c>
      <c r="B3" s="43" t="s">
        <v>230</v>
      </c>
      <c r="C3" s="43" t="s">
        <v>231</v>
      </c>
      <c r="D3" s="44" t="s">
        <v>65</v>
      </c>
      <c r="E3" s="44" t="s">
        <v>66</v>
      </c>
      <c r="F3" s="44">
        <v>500</v>
      </c>
      <c r="G3" s="44" t="s">
        <v>67</v>
      </c>
      <c r="H3" s="44">
        <v>20</v>
      </c>
      <c r="I3" s="44"/>
      <c r="J3" s="44"/>
      <c r="K3" s="44"/>
      <c r="L3" s="44"/>
    </row>
    <row r="4" spans="1:12" ht="18" customHeight="1" x14ac:dyDescent="0.2">
      <c r="A4" s="32" t="s">
        <v>228</v>
      </c>
      <c r="B4" s="33" t="s">
        <v>233</v>
      </c>
      <c r="C4" s="33" t="s">
        <v>230</v>
      </c>
      <c r="D4" s="32" t="s">
        <v>221</v>
      </c>
      <c r="E4" s="32" t="s">
        <v>222</v>
      </c>
      <c r="F4" s="32">
        <v>425</v>
      </c>
      <c r="G4" s="32" t="s">
        <v>223</v>
      </c>
      <c r="H4" s="32"/>
      <c r="I4" s="32"/>
      <c r="J4" s="32"/>
      <c r="K4" s="32"/>
      <c r="L4" s="32"/>
    </row>
    <row r="5" spans="1:12" ht="18" customHeight="1" x14ac:dyDescent="0.2">
      <c r="A5" s="32" t="s">
        <v>228</v>
      </c>
      <c r="B5" s="33" t="s">
        <v>230</v>
      </c>
      <c r="C5" s="33" t="s">
        <v>231</v>
      </c>
      <c r="D5" s="32" t="s">
        <v>224</v>
      </c>
      <c r="E5" s="32" t="s">
        <v>225</v>
      </c>
      <c r="F5" s="32">
        <v>500</v>
      </c>
      <c r="G5" s="32" t="s">
        <v>220</v>
      </c>
      <c r="H5" s="32"/>
      <c r="I5" s="32"/>
      <c r="J5" s="32"/>
      <c r="K5" s="32"/>
      <c r="L5" s="32"/>
    </row>
    <row r="6" spans="1:12" ht="18" customHeight="1" x14ac:dyDescent="0.2">
      <c r="A6" s="32" t="s">
        <v>208</v>
      </c>
      <c r="B6" s="33" t="s">
        <v>231</v>
      </c>
      <c r="C6" s="33" t="s">
        <v>107</v>
      </c>
      <c r="D6" s="32" t="s">
        <v>236</v>
      </c>
      <c r="E6" s="32" t="s">
        <v>237</v>
      </c>
      <c r="F6" s="32">
        <v>500</v>
      </c>
      <c r="G6" s="32" t="s">
        <v>238</v>
      </c>
      <c r="H6" s="32" t="s">
        <v>541</v>
      </c>
      <c r="I6" s="32" t="s">
        <v>410</v>
      </c>
      <c r="J6" s="32">
        <v>100</v>
      </c>
      <c r="K6" s="32" t="s">
        <v>386</v>
      </c>
      <c r="L6" s="32" t="s">
        <v>390</v>
      </c>
    </row>
    <row r="7" spans="1:12" ht="18" customHeight="1" x14ac:dyDescent="0.2">
      <c r="A7" s="32" t="s">
        <v>208</v>
      </c>
      <c r="B7" s="33" t="s">
        <v>231</v>
      </c>
      <c r="C7" s="33" t="s">
        <v>232</v>
      </c>
      <c r="D7" s="32" t="s">
        <v>69</v>
      </c>
      <c r="E7" s="32" t="s">
        <v>70</v>
      </c>
      <c r="F7" s="32">
        <v>500</v>
      </c>
      <c r="G7" s="32" t="s">
        <v>67</v>
      </c>
      <c r="H7" s="32" t="s">
        <v>541</v>
      </c>
      <c r="I7" s="32" t="s">
        <v>410</v>
      </c>
      <c r="J7" s="32">
        <v>100</v>
      </c>
      <c r="K7" s="32" t="s">
        <v>386</v>
      </c>
      <c r="L7" s="32" t="s">
        <v>391</v>
      </c>
    </row>
    <row r="8" spans="1:12" ht="18" customHeight="1" x14ac:dyDescent="0.2">
      <c r="A8" s="32" t="s">
        <v>266</v>
      </c>
      <c r="B8" s="33" t="s">
        <v>267</v>
      </c>
      <c r="C8" s="33" t="s">
        <v>111</v>
      </c>
      <c r="D8" s="32" t="s">
        <v>268</v>
      </c>
      <c r="E8" s="32" t="s">
        <v>269</v>
      </c>
      <c r="F8" s="32">
        <v>500</v>
      </c>
      <c r="G8" s="32" t="s">
        <v>270</v>
      </c>
      <c r="H8" s="32" t="s">
        <v>541</v>
      </c>
      <c r="I8" s="32"/>
      <c r="J8" s="32">
        <v>100</v>
      </c>
      <c r="K8" s="32" t="s">
        <v>386</v>
      </c>
      <c r="L8" s="32" t="s">
        <v>392</v>
      </c>
    </row>
    <row r="9" spans="1:12" ht="18" customHeight="1" x14ac:dyDescent="0.2">
      <c r="A9" s="32" t="s">
        <v>208</v>
      </c>
      <c r="B9" s="33" t="s">
        <v>231</v>
      </c>
      <c r="C9" s="33" t="s">
        <v>109</v>
      </c>
      <c r="D9" s="32" t="s">
        <v>236</v>
      </c>
      <c r="E9" s="32" t="s">
        <v>237</v>
      </c>
      <c r="F9" s="32">
        <v>500</v>
      </c>
      <c r="G9" s="32" t="s">
        <v>239</v>
      </c>
      <c r="H9" s="32" t="s">
        <v>541</v>
      </c>
      <c r="I9" s="32" t="s">
        <v>361</v>
      </c>
      <c r="J9" s="32">
        <v>100</v>
      </c>
      <c r="K9" s="32" t="s">
        <v>386</v>
      </c>
      <c r="L9" s="32" t="s">
        <v>393</v>
      </c>
    </row>
    <row r="10" spans="1:12" ht="18" customHeight="1" x14ac:dyDescent="0.2">
      <c r="A10" s="32" t="s">
        <v>208</v>
      </c>
      <c r="B10" s="33" t="s">
        <v>231</v>
      </c>
      <c r="C10" s="33" t="s">
        <v>379</v>
      </c>
      <c r="D10" s="32" t="s">
        <v>240</v>
      </c>
      <c r="E10" s="32" t="s">
        <v>237</v>
      </c>
      <c r="F10" s="32">
        <v>500</v>
      </c>
      <c r="G10" s="32" t="s">
        <v>238</v>
      </c>
      <c r="H10" s="32" t="s">
        <v>541</v>
      </c>
      <c r="I10" s="32" t="s">
        <v>361</v>
      </c>
      <c r="J10" s="32"/>
      <c r="K10" s="32" t="s">
        <v>386</v>
      </c>
      <c r="L10" s="32" t="s">
        <v>385</v>
      </c>
    </row>
    <row r="11" spans="1:12" ht="18" customHeight="1" x14ac:dyDescent="0.2">
      <c r="A11" s="32" t="s">
        <v>208</v>
      </c>
      <c r="B11" s="33" t="s">
        <v>231</v>
      </c>
      <c r="C11" s="33" t="s">
        <v>128</v>
      </c>
      <c r="D11" s="32" t="s">
        <v>268</v>
      </c>
      <c r="E11" s="32" t="s">
        <v>269</v>
      </c>
      <c r="F11" s="32">
        <v>500</v>
      </c>
      <c r="G11" s="32" t="s">
        <v>270</v>
      </c>
      <c r="H11" s="32" t="s">
        <v>541</v>
      </c>
      <c r="I11" s="32" t="s">
        <v>361</v>
      </c>
      <c r="J11" s="32">
        <v>100</v>
      </c>
      <c r="K11" s="32" t="s">
        <v>389</v>
      </c>
      <c r="L11" s="32" t="s">
        <v>385</v>
      </c>
    </row>
    <row r="12" spans="1:12" ht="18" customHeight="1" x14ac:dyDescent="0.2">
      <c r="A12" s="32" t="s">
        <v>15</v>
      </c>
      <c r="B12" s="33" t="s">
        <v>231</v>
      </c>
      <c r="C12" s="33" t="s">
        <v>106</v>
      </c>
      <c r="D12" s="32" t="s">
        <v>462</v>
      </c>
      <c r="E12" s="32" t="s">
        <v>463</v>
      </c>
      <c r="F12" s="32">
        <v>500</v>
      </c>
      <c r="G12" s="32" t="s">
        <v>464</v>
      </c>
      <c r="H12" s="32" t="s">
        <v>541</v>
      </c>
      <c r="I12" s="32" t="s">
        <v>361</v>
      </c>
      <c r="J12" s="32">
        <v>100</v>
      </c>
      <c r="K12" s="32" t="s">
        <v>394</v>
      </c>
      <c r="L12" s="32" t="s">
        <v>385</v>
      </c>
    </row>
    <row r="13" spans="1:12" ht="18" customHeight="1" x14ac:dyDescent="0.2">
      <c r="A13" s="32" t="s">
        <v>15</v>
      </c>
      <c r="B13" s="33" t="s">
        <v>231</v>
      </c>
      <c r="C13" s="33" t="s">
        <v>380</v>
      </c>
      <c r="D13" s="32"/>
      <c r="E13" s="32"/>
      <c r="F13" s="32"/>
      <c r="G13" s="32"/>
      <c r="H13" s="32" t="s">
        <v>541</v>
      </c>
      <c r="I13" s="32"/>
      <c r="J13" s="32"/>
      <c r="K13" s="32" t="s">
        <v>407</v>
      </c>
      <c r="L13" s="32"/>
    </row>
    <row r="14" spans="1:12" ht="18" customHeight="1" x14ac:dyDescent="0.2">
      <c r="A14" s="32" t="s">
        <v>15</v>
      </c>
      <c r="B14" s="33" t="s">
        <v>231</v>
      </c>
      <c r="C14" s="33" t="s">
        <v>111</v>
      </c>
      <c r="D14" s="32" t="s">
        <v>271</v>
      </c>
      <c r="E14" s="32" t="s">
        <v>272</v>
      </c>
      <c r="F14" s="32">
        <v>500</v>
      </c>
      <c r="G14" s="32" t="s">
        <v>308</v>
      </c>
      <c r="H14" s="32" t="s">
        <v>541</v>
      </c>
      <c r="I14" s="32" t="s">
        <v>504</v>
      </c>
      <c r="J14" s="32"/>
      <c r="K14" s="32" t="s">
        <v>394</v>
      </c>
      <c r="L14" s="32" t="s">
        <v>392</v>
      </c>
    </row>
    <row r="15" spans="1:12" ht="18" customHeight="1" x14ac:dyDescent="0.2">
      <c r="A15" s="32" t="s">
        <v>15</v>
      </c>
      <c r="B15" s="33" t="s">
        <v>231</v>
      </c>
      <c r="C15" s="33" t="s">
        <v>110</v>
      </c>
      <c r="D15" s="32"/>
      <c r="E15" s="32"/>
      <c r="F15" s="32"/>
      <c r="G15" s="32" t="s">
        <v>340</v>
      </c>
      <c r="H15" s="32" t="s">
        <v>541</v>
      </c>
      <c r="I15" s="32"/>
      <c r="J15" s="32"/>
      <c r="K15" s="32" t="s">
        <v>407</v>
      </c>
      <c r="L15" s="32"/>
    </row>
    <row r="16" spans="1:12" ht="18" customHeight="1" x14ac:dyDescent="0.2">
      <c r="A16" s="32" t="s">
        <v>15</v>
      </c>
      <c r="B16" s="33" t="s">
        <v>231</v>
      </c>
      <c r="C16" s="33" t="s">
        <v>381</v>
      </c>
      <c r="D16" s="32"/>
      <c r="E16" s="32"/>
      <c r="F16" s="32"/>
      <c r="G16" s="32"/>
      <c r="H16" s="32" t="s">
        <v>541</v>
      </c>
      <c r="I16" s="32"/>
      <c r="J16" s="32"/>
      <c r="K16" s="32" t="s">
        <v>394</v>
      </c>
      <c r="L16" s="32"/>
    </row>
    <row r="17" spans="1:12" ht="18" customHeight="1" x14ac:dyDescent="0.2">
      <c r="A17" s="32" t="s">
        <v>19</v>
      </c>
      <c r="B17" s="33" t="s">
        <v>231</v>
      </c>
      <c r="C17" s="33" t="s">
        <v>382</v>
      </c>
      <c r="D17" s="32" t="s">
        <v>69</v>
      </c>
      <c r="E17" s="32" t="s">
        <v>70</v>
      </c>
      <c r="F17" s="32">
        <v>500</v>
      </c>
      <c r="G17" s="32" t="s">
        <v>67</v>
      </c>
      <c r="H17" s="32" t="s">
        <v>541</v>
      </c>
      <c r="I17" s="32" t="s">
        <v>361</v>
      </c>
      <c r="J17" s="32">
        <v>100</v>
      </c>
      <c r="K17" s="32" t="s">
        <v>386</v>
      </c>
      <c r="L17" s="32"/>
    </row>
    <row r="18" spans="1:12" ht="18" customHeight="1" x14ac:dyDescent="0.2">
      <c r="A18" s="32" t="s">
        <v>19</v>
      </c>
      <c r="B18" s="33" t="s">
        <v>231</v>
      </c>
      <c r="C18" s="33" t="s">
        <v>103</v>
      </c>
      <c r="D18" s="32" t="s">
        <v>69</v>
      </c>
      <c r="E18" s="32" t="s">
        <v>70</v>
      </c>
      <c r="F18" s="32">
        <v>500</v>
      </c>
      <c r="G18" s="32" t="s">
        <v>67</v>
      </c>
      <c r="H18" s="32" t="s">
        <v>541</v>
      </c>
      <c r="I18" s="32" t="s">
        <v>361</v>
      </c>
      <c r="J18" s="32">
        <v>100</v>
      </c>
      <c r="K18" s="32" t="s">
        <v>407</v>
      </c>
      <c r="L18" s="32"/>
    </row>
    <row r="19" spans="1:12" ht="18" customHeight="1" x14ac:dyDescent="0.2">
      <c r="A19" s="32" t="s">
        <v>229</v>
      </c>
      <c r="B19" s="33" t="s">
        <v>231</v>
      </c>
      <c r="C19" s="33" t="s">
        <v>105</v>
      </c>
      <c r="D19" s="32" t="s">
        <v>69</v>
      </c>
      <c r="E19" s="32" t="s">
        <v>70</v>
      </c>
      <c r="F19" s="32">
        <v>500</v>
      </c>
      <c r="G19" s="32" t="s">
        <v>67</v>
      </c>
      <c r="H19" s="32" t="s">
        <v>541</v>
      </c>
      <c r="I19" s="32" t="s">
        <v>505</v>
      </c>
      <c r="J19" s="32">
        <v>200</v>
      </c>
      <c r="K19" s="32" t="s">
        <v>395</v>
      </c>
      <c r="L19" s="32" t="s">
        <v>503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船期表</vt:lpstr>
      <vt:lpstr>预订</vt:lpstr>
      <vt:lpstr>统计</vt:lpstr>
      <vt:lpstr>流水</vt:lpstr>
      <vt:lpstr>客户信息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yjc</cp:lastModifiedBy>
  <cp:lastPrinted>2019-09-25T14:25:42Z</cp:lastPrinted>
  <dcterms:created xsi:type="dcterms:W3CDTF">2015-06-05T18:17:20Z</dcterms:created>
  <dcterms:modified xsi:type="dcterms:W3CDTF">2019-10-13T09:24:36Z</dcterms:modified>
</cp:coreProperties>
</file>