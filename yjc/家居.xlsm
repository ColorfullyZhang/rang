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026" codeName="{4AEB4F63-F33D-04DF-ECAF-5796C6CBFC7C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E:\rang\yjc\"/>
    </mc:Choice>
  </mc:AlternateContent>
  <xr:revisionPtr revIDLastSave="0" documentId="13_ncr:1_{1E736772-C225-4AE0-83AF-6FF50C9129D6}" xr6:coauthVersionLast="45" xr6:coauthVersionMax="45" xr10:uidLastSave="{00000000-0000-0000-0000-000000000000}"/>
  <bookViews>
    <workbookView xWindow="-120" yWindow="-120" windowWidth="29040" windowHeight="15840" activeTab="3" xr2:uid="{00000000-000D-0000-FFFF-FFFF00000000}"/>
  </bookViews>
  <sheets>
    <sheet name="船期表" sheetId="7" r:id="rId1"/>
    <sheet name="预订" sheetId="9" r:id="rId2"/>
    <sheet name="统计" sheetId="10" r:id="rId3"/>
    <sheet name="流水" sheetId="11" r:id="rId4"/>
    <sheet name="费用" sheetId="5" r:id="rId5"/>
  </sheets>
  <calcPr calcId="181029"/>
  <pivotCaches>
    <pivotCache cacheId="67" r:id="rId6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D103" i="9" l="1"/>
  <c r="E103" i="9"/>
  <c r="I103" i="9"/>
  <c r="D102" i="9" l="1"/>
  <c r="E102" i="9"/>
  <c r="I102" i="9"/>
  <c r="D99" i="9" l="1"/>
  <c r="E99" i="9"/>
  <c r="D91" i="9" l="1"/>
  <c r="E91" i="9"/>
  <c r="I91" i="9"/>
  <c r="D95" i="9" l="1"/>
  <c r="E95" i="9"/>
  <c r="I95" i="9"/>
  <c r="D76" i="9" l="1"/>
  <c r="E76" i="9"/>
  <c r="I76" i="9"/>
  <c r="D92" i="9" l="1"/>
  <c r="E92" i="9"/>
  <c r="I92" i="9"/>
  <c r="D98" i="9" l="1"/>
  <c r="E98" i="9"/>
  <c r="I98" i="9"/>
  <c r="D93" i="9"/>
  <c r="E93" i="9"/>
  <c r="I93" i="9"/>
  <c r="D88" i="9" l="1"/>
  <c r="E88" i="9"/>
  <c r="I88" i="9"/>
  <c r="D100" i="9" l="1"/>
  <c r="E100" i="9"/>
  <c r="I100" i="9"/>
  <c r="D94" i="9" l="1"/>
  <c r="E94" i="9"/>
  <c r="I94" i="9"/>
  <c r="D97" i="9" l="1"/>
  <c r="E97" i="9"/>
  <c r="I97" i="9"/>
  <c r="D101" i="9"/>
  <c r="E101" i="9"/>
  <c r="I101" i="9"/>
  <c r="D96" i="9" l="1"/>
  <c r="E96" i="9"/>
  <c r="I96" i="9"/>
  <c r="D82" i="9" l="1"/>
  <c r="E82" i="9"/>
  <c r="I82" i="9"/>
  <c r="D86" i="9" l="1"/>
  <c r="E86" i="9"/>
  <c r="I86" i="9"/>
  <c r="D75" i="9"/>
  <c r="E75" i="9"/>
  <c r="I75" i="9"/>
  <c r="D84" i="9" l="1"/>
  <c r="E84" i="9"/>
  <c r="I84" i="9"/>
  <c r="D85" i="9" l="1"/>
  <c r="E85" i="9"/>
  <c r="I85" i="9"/>
  <c r="D89" i="9" l="1"/>
  <c r="E89" i="9"/>
  <c r="I89" i="9"/>
  <c r="D73" i="9" l="1"/>
  <c r="E73" i="9"/>
  <c r="I73" i="9"/>
  <c r="D62" i="9" l="1"/>
  <c r="E62" i="9"/>
  <c r="I62" i="9"/>
  <c r="D81" i="9" l="1"/>
  <c r="E81" i="9"/>
  <c r="I81" i="9"/>
  <c r="D70" i="9" l="1"/>
  <c r="E70" i="9"/>
  <c r="I70" i="9"/>
  <c r="D72" i="9" l="1"/>
  <c r="E72" i="9"/>
  <c r="I72" i="9"/>
  <c r="D60" i="9" l="1"/>
  <c r="E60" i="9"/>
  <c r="I60" i="9"/>
  <c r="D80" i="9" l="1"/>
  <c r="E80" i="9"/>
  <c r="I80" i="9"/>
  <c r="D79" i="9"/>
  <c r="E79" i="9"/>
  <c r="I79" i="9"/>
  <c r="D78" i="9"/>
  <c r="E78" i="9"/>
  <c r="I78" i="9"/>
  <c r="D87" i="9" l="1"/>
  <c r="E87" i="9"/>
  <c r="I87" i="9"/>
  <c r="D71" i="9" l="1"/>
  <c r="E71" i="9"/>
  <c r="I71" i="9"/>
  <c r="D90" i="9" l="1"/>
  <c r="E90" i="9"/>
  <c r="I90" i="9"/>
  <c r="D77" i="9"/>
  <c r="E77" i="9"/>
  <c r="I77" i="9"/>
  <c r="D69" i="9" l="1"/>
  <c r="E69" i="9"/>
  <c r="I69" i="9"/>
  <c r="D74" i="9"/>
  <c r="E74" i="9"/>
  <c r="I74" i="9"/>
  <c r="D83" i="9"/>
  <c r="E83" i="9"/>
  <c r="I83" i="9"/>
  <c r="D67" i="9" l="1"/>
  <c r="E67" i="9"/>
  <c r="I67" i="9"/>
  <c r="D65" i="9"/>
  <c r="E65" i="9"/>
  <c r="I65" i="9"/>
  <c r="D48" i="9" l="1"/>
  <c r="E48" i="9"/>
  <c r="I48" i="9"/>
  <c r="D61" i="9" l="1"/>
  <c r="J2" i="10"/>
  <c r="K1" i="10" s="1"/>
  <c r="K2" i="10" s="1"/>
  <c r="L1" i="10" s="1"/>
  <c r="L2" i="10" s="1"/>
  <c r="M1" i="10" s="1"/>
  <c r="M2" i="10" s="1"/>
  <c r="N1" i="10" s="1"/>
  <c r="N2" i="10" s="1"/>
  <c r="O1" i="10" s="1"/>
  <c r="O2" i="10" s="1"/>
  <c r="E61" i="9" l="1"/>
  <c r="I61" i="9"/>
  <c r="D53" i="9"/>
  <c r="E53" i="9"/>
  <c r="I53" i="9"/>
  <c r="D68" i="9" l="1"/>
  <c r="E68" i="9"/>
  <c r="I68" i="9"/>
  <c r="D2" i="9" l="1"/>
  <c r="E2" i="9"/>
  <c r="I2" i="9"/>
  <c r="D66" i="9" l="1"/>
  <c r="E66" i="9"/>
  <c r="I66" i="9"/>
  <c r="D64" i="9"/>
  <c r="E64" i="9"/>
  <c r="I64" i="9"/>
  <c r="D51" i="9"/>
  <c r="E51" i="9"/>
  <c r="I51" i="9"/>
  <c r="D47" i="9" l="1"/>
  <c r="E47" i="9"/>
  <c r="I47" i="9"/>
  <c r="D32" i="9" l="1"/>
  <c r="E32" i="9"/>
  <c r="I32" i="9"/>
  <c r="D33" i="9" l="1"/>
  <c r="E33" i="9"/>
  <c r="I33" i="9"/>
  <c r="D58" i="9" l="1"/>
  <c r="E58" i="9"/>
  <c r="I58" i="9"/>
  <c r="D37" i="9" l="1"/>
  <c r="E37" i="9"/>
  <c r="I37" i="9"/>
  <c r="D59" i="9" l="1"/>
  <c r="E59" i="9"/>
  <c r="I59" i="9"/>
  <c r="D57" i="9"/>
  <c r="E57" i="9"/>
  <c r="I57" i="9"/>
  <c r="D63" i="9"/>
  <c r="E63" i="9"/>
  <c r="I63" i="9"/>
  <c r="D9" i="9"/>
  <c r="D4" i="9"/>
  <c r="D11" i="9"/>
  <c r="D18" i="9"/>
  <c r="D24" i="9"/>
  <c r="D31" i="9"/>
  <c r="D49" i="9"/>
  <c r="D6" i="9"/>
  <c r="D7" i="9"/>
  <c r="D13" i="9"/>
  <c r="D14" i="9"/>
  <c r="D15" i="9"/>
  <c r="D19" i="9"/>
  <c r="D20" i="9"/>
  <c r="D30" i="9"/>
  <c r="D16" i="9"/>
  <c r="D45" i="9"/>
  <c r="D28" i="9"/>
  <c r="D38" i="9"/>
  <c r="D5" i="9"/>
  <c r="D12" i="9"/>
  <c r="D40" i="9"/>
  <c r="D54" i="9"/>
  <c r="D17" i="9"/>
  <c r="D29" i="9"/>
  <c r="D3" i="9"/>
  <c r="D10" i="9"/>
  <c r="D23" i="9"/>
  <c r="D21" i="9"/>
  <c r="D8" i="9"/>
  <c r="D27" i="9"/>
  <c r="D22" i="9"/>
  <c r="D25" i="9"/>
  <c r="D26" i="9"/>
  <c r="D34" i="9"/>
  <c r="D35" i="9"/>
  <c r="D36" i="9"/>
  <c r="D41" i="9"/>
  <c r="D50" i="9"/>
  <c r="D42" i="9"/>
  <c r="D39" i="9"/>
  <c r="D44" i="9"/>
  <c r="D46" i="9"/>
  <c r="D43" i="9"/>
  <c r="D55" i="9"/>
  <c r="D56" i="9"/>
  <c r="D52" i="9"/>
  <c r="E52" i="9"/>
  <c r="I52" i="9"/>
  <c r="E55" i="9"/>
  <c r="E56" i="9"/>
  <c r="I55" i="9"/>
  <c r="I56" i="9"/>
  <c r="E43" i="9"/>
  <c r="I43" i="9"/>
  <c r="E46" i="9"/>
  <c r="I46" i="9"/>
  <c r="E44" i="9"/>
  <c r="I44" i="9"/>
  <c r="E39" i="9"/>
  <c r="I39" i="9"/>
  <c r="E41" i="9"/>
  <c r="E50" i="9"/>
  <c r="E42" i="9"/>
  <c r="I41" i="9"/>
  <c r="I50" i="9"/>
  <c r="I42" i="9"/>
  <c r="E34" i="9"/>
  <c r="E35" i="9"/>
  <c r="E36" i="9"/>
  <c r="I34" i="9"/>
  <c r="I35" i="9"/>
  <c r="I36" i="9"/>
  <c r="E9" i="9"/>
  <c r="E4" i="9"/>
  <c r="E11" i="9"/>
  <c r="E18" i="9"/>
  <c r="E24" i="9"/>
  <c r="E31" i="9"/>
  <c r="E49" i="9"/>
  <c r="E6" i="9"/>
  <c r="E7" i="9"/>
  <c r="E13" i="9"/>
  <c r="E14" i="9"/>
  <c r="E15" i="9"/>
  <c r="E19" i="9"/>
  <c r="E20" i="9"/>
  <c r="E30" i="9"/>
  <c r="E16" i="9"/>
  <c r="E45" i="9"/>
  <c r="E28" i="9"/>
  <c r="E38" i="9"/>
  <c r="E5" i="9"/>
  <c r="E12" i="9"/>
  <c r="E40" i="9"/>
  <c r="E54" i="9"/>
  <c r="E17" i="9"/>
  <c r="E29" i="9"/>
  <c r="E3" i="9"/>
  <c r="E10" i="9"/>
  <c r="E23" i="9"/>
  <c r="E21" i="9"/>
  <c r="E8" i="9"/>
  <c r="E27" i="9"/>
  <c r="E22" i="9"/>
  <c r="E25" i="9"/>
  <c r="E26" i="9"/>
  <c r="I26" i="9"/>
  <c r="I25" i="9"/>
  <c r="I22" i="9"/>
  <c r="I9" i="9"/>
  <c r="I4" i="9"/>
  <c r="I11" i="9"/>
  <c r="I18" i="9"/>
  <c r="I24" i="9"/>
  <c r="I31" i="9"/>
  <c r="I49" i="9"/>
  <c r="I6" i="9"/>
  <c r="I7" i="9"/>
  <c r="I13" i="9"/>
  <c r="I14" i="9"/>
  <c r="I15" i="9"/>
  <c r="I19" i="9"/>
  <c r="I20" i="9"/>
  <c r="I30" i="9"/>
  <c r="I16" i="9"/>
  <c r="I45" i="9"/>
  <c r="I28" i="9"/>
  <c r="I38" i="9"/>
  <c r="I5" i="9"/>
  <c r="I12" i="9"/>
  <c r="I40" i="9"/>
  <c r="I54" i="9"/>
  <c r="I17" i="9"/>
  <c r="I29" i="9"/>
  <c r="I3" i="9"/>
  <c r="I10" i="9"/>
  <c r="I23" i="9"/>
  <c r="I21" i="9"/>
  <c r="I8" i="9"/>
  <c r="I27" i="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咚咚呛</author>
    <author>yjc</author>
  </authors>
  <commentList>
    <comment ref="F3" authorId="0" shapeId="0" xr:uid="{5BFF9A9E-B04B-4A04-8DD0-F4F299C657AE}">
      <text>
        <r>
          <rPr>
            <b/>
            <sz val="9"/>
            <color indexed="81"/>
            <rFont val="宋体"/>
            <family val="3"/>
            <charset val="134"/>
          </rPr>
          <t>咚咚呛:</t>
        </r>
        <r>
          <rPr>
            <sz val="9"/>
            <color indexed="81"/>
            <rFont val="宋体"/>
            <family val="3"/>
            <charset val="134"/>
          </rPr>
          <t xml:space="preserve">
每多签一份提单，YJC多收GLV100元</t>
        </r>
      </text>
    </comment>
    <comment ref="K4" authorId="1" shapeId="0" xr:uid="{B8817CB0-7077-41D4-9A34-66224B7C731A}">
      <text>
        <r>
          <rPr>
            <b/>
            <sz val="9"/>
            <color indexed="81"/>
            <rFont val="宋体"/>
            <family val="3"/>
            <charset val="134"/>
          </rPr>
          <t>zds:</t>
        </r>
        <r>
          <rPr>
            <sz val="9"/>
            <color indexed="81"/>
            <rFont val="宋体"/>
            <family val="3"/>
            <charset val="134"/>
          </rPr>
          <t xml:space="preserve">
正本提单寄: Tang Yong Kai</t>
        </r>
      </text>
    </comment>
    <comment ref="K5" authorId="1" shapeId="0" xr:uid="{1AD34367-053B-472D-AD5D-0D75C2E739C2}">
      <text>
        <r>
          <rPr>
            <b/>
            <sz val="9"/>
            <color indexed="81"/>
            <rFont val="宋体"/>
            <family val="3"/>
            <charset val="134"/>
          </rPr>
          <t>zds:</t>
        </r>
        <r>
          <rPr>
            <sz val="9"/>
            <color indexed="81"/>
            <rFont val="宋体"/>
            <family val="3"/>
            <charset val="134"/>
          </rPr>
          <t xml:space="preserve">
正本提单寄：上海市闵行区吴中路1235号7楼AB座 15050260290 Ellie Luo</t>
        </r>
      </text>
    </comment>
    <comment ref="K10" authorId="0" shapeId="0" xr:uid="{1789A600-62E1-4677-81D5-767B2A52B6E7}">
      <text>
        <r>
          <rPr>
            <b/>
            <sz val="9"/>
            <color indexed="81"/>
            <rFont val="宋体"/>
            <family val="3"/>
            <charset val="134"/>
          </rPr>
          <t>咚咚呛:</t>
        </r>
        <r>
          <rPr>
            <sz val="9"/>
            <color indexed="81"/>
            <rFont val="宋体"/>
            <family val="3"/>
            <charset val="134"/>
          </rPr>
          <t xml:space="preserve">
发票请备注船名航次和关单号。
</t>
        </r>
      </text>
    </comment>
    <comment ref="K13" authorId="1" shapeId="0" xr:uid="{F1EDC711-5F4C-4CCC-AA41-2966684376B9}">
      <text>
        <r>
          <rPr>
            <b/>
            <sz val="9"/>
            <color indexed="81"/>
            <rFont val="宋体"/>
            <family val="3"/>
            <charset val="134"/>
          </rPr>
          <t>zds:</t>
        </r>
        <r>
          <rPr>
            <sz val="9"/>
            <color indexed="81"/>
            <rFont val="宋体"/>
            <family val="3"/>
            <charset val="134"/>
          </rPr>
          <t xml:space="preserve">
提单盖章不要AS CARRIER，勾上Carrier Print
提单寄郑淑莉，发票寄滕越</t>
        </r>
      </text>
    </comment>
    <comment ref="K14" authorId="0" shapeId="0" xr:uid="{08F6B602-B7B0-41D4-B9A1-7AA532450CCD}">
      <text>
        <r>
          <rPr>
            <b/>
            <sz val="9"/>
            <color indexed="81"/>
            <rFont val="宋体"/>
            <family val="3"/>
            <charset val="134"/>
          </rPr>
          <t>咚咚呛:</t>
        </r>
        <r>
          <rPr>
            <sz val="9"/>
            <color indexed="81"/>
            <rFont val="宋体"/>
            <family val="3"/>
            <charset val="134"/>
          </rPr>
          <t xml:space="preserve">
SHPR不要HBL</t>
        </r>
      </text>
    </comment>
    <comment ref="K18" authorId="1" shapeId="0" xr:uid="{547A3536-0C6F-406D-AB6C-C65E0A7D7DE7}">
      <text>
        <r>
          <rPr>
            <b/>
            <sz val="9"/>
            <color indexed="81"/>
            <rFont val="宋体"/>
            <family val="3"/>
            <charset val="134"/>
          </rPr>
          <t>zds:</t>
        </r>
        <r>
          <rPr>
            <sz val="9"/>
            <color indexed="81"/>
            <rFont val="宋体"/>
            <family val="3"/>
            <charset val="134"/>
          </rPr>
          <t xml:space="preserve">
发票要分开开（各单分别开票，按明细显示），25号前和清单一起寄客户。</t>
        </r>
      </text>
    </comment>
  </commentList>
</comments>
</file>

<file path=xl/sharedStrings.xml><?xml version="1.0" encoding="utf-8"?>
<sst xmlns="http://schemas.openxmlformats.org/spreadsheetml/2006/main" count="2196" uniqueCount="631">
  <si>
    <t>ETD</t>
  </si>
  <si>
    <t>FURNITURE</t>
  </si>
  <si>
    <t>HSO 1811-25E-135</t>
  </si>
  <si>
    <t>HSO 1811-25E-136</t>
  </si>
  <si>
    <t>HSO 1811-25E-139</t>
  </si>
  <si>
    <t>HSO 1811-25E-140</t>
  </si>
  <si>
    <t>HSO 1811-25E-141</t>
  </si>
  <si>
    <t>HSO 1811-25E-142</t>
  </si>
  <si>
    <t>YJCSHAN1915657</t>
  </si>
  <si>
    <t>HSO 1811-25E-143</t>
  </si>
  <si>
    <t>YJCSHAN1915772</t>
  </si>
  <si>
    <t>YJCSHAN1915768</t>
  </si>
  <si>
    <t>YJCSHAN1915769</t>
  </si>
  <si>
    <t>HANSSEM</t>
  </si>
  <si>
    <t>YJCSHAN1915583</t>
  </si>
  <si>
    <t>YJCSHAN1915697</t>
  </si>
  <si>
    <t>SSEM</t>
  </si>
  <si>
    <t>PCLU1793PE4302</t>
  </si>
  <si>
    <t>PCLU1793PE4304</t>
  </si>
  <si>
    <t>219JJ52-10000-6</t>
  </si>
  <si>
    <t>219JJ52-10000-9</t>
  </si>
  <si>
    <t>PCLU1938HN4300</t>
  </si>
  <si>
    <t>YJCSHAN1915130</t>
  </si>
  <si>
    <t>219JJ52-10000-5</t>
  </si>
  <si>
    <t>YJCSHAN1914680</t>
  </si>
  <si>
    <t>PCLU1939HN4300</t>
  </si>
  <si>
    <t>219CABO-HS030</t>
  </si>
  <si>
    <t>219CABO-HS035/HS044/HS046</t>
  </si>
  <si>
    <t>PCLU1938HN4302</t>
  </si>
  <si>
    <t>YJCSHAN1915133</t>
  </si>
  <si>
    <t>HB190601</t>
  </si>
  <si>
    <t>PCLU1937HN4402</t>
  </si>
  <si>
    <t>YJCSHAN1914865</t>
  </si>
  <si>
    <t>PCLU1792PE4404</t>
  </si>
  <si>
    <t>YJCSHAN1915136</t>
  </si>
  <si>
    <t>PCLU1793PE4404</t>
  </si>
  <si>
    <t>PCLU1939HN4304</t>
  </si>
  <si>
    <t>PCLU1938HN4400</t>
  </si>
  <si>
    <t>YJCSHAN1914951</t>
  </si>
  <si>
    <t>YJCSHAN1914953</t>
  </si>
  <si>
    <t>LOUISUN</t>
  </si>
  <si>
    <t>PCLU1793PE4308</t>
  </si>
  <si>
    <t>YJCSHAN1915718</t>
  </si>
  <si>
    <t>PCLU1939HN4302</t>
  </si>
  <si>
    <t>YJCSHAN1915777</t>
  </si>
  <si>
    <t>YJCSHAN1915776</t>
  </si>
  <si>
    <t>PCLU1940HN4302</t>
  </si>
  <si>
    <t>PCLU1795PE4400</t>
  </si>
  <si>
    <t>CASAMIA</t>
    <phoneticPr fontId="2" type="noConversion"/>
  </si>
  <si>
    <t>20'</t>
    <phoneticPr fontId="2" type="noConversion"/>
  </si>
  <si>
    <t>40'</t>
    <phoneticPr fontId="2" type="noConversion"/>
  </si>
  <si>
    <t>220/340</t>
    <phoneticPr fontId="2" type="noConversion"/>
  </si>
  <si>
    <t>230/340</t>
    <phoneticPr fontId="2" type="noConversion"/>
  </si>
  <si>
    <t>660/990</t>
    <phoneticPr fontId="2" type="noConversion"/>
  </si>
  <si>
    <t>140/280</t>
    <phoneticPr fontId="2" type="noConversion"/>
  </si>
  <si>
    <t>$20/40</t>
    <phoneticPr fontId="2" type="noConversion"/>
  </si>
  <si>
    <t>250/340</t>
    <phoneticPr fontId="2" type="noConversion"/>
  </si>
  <si>
    <t>775/1162</t>
    <phoneticPr fontId="2" type="noConversion"/>
  </si>
  <si>
    <t>CHATTANOOGA</t>
  </si>
  <si>
    <t>PEGASUS TERA</t>
  </si>
  <si>
    <t>1935E</t>
  </si>
  <si>
    <t>1790E</t>
  </si>
  <si>
    <t>1936E</t>
  </si>
  <si>
    <t>1791E</t>
  </si>
  <si>
    <t>1937E</t>
  </si>
  <si>
    <t>1792E</t>
  </si>
  <si>
    <t>1938E</t>
  </si>
  <si>
    <t>1793E</t>
  </si>
  <si>
    <t>1939E</t>
  </si>
  <si>
    <t>1794E</t>
  </si>
  <si>
    <t>1940E</t>
  </si>
  <si>
    <t>1795E</t>
  </si>
  <si>
    <t>1941E</t>
  </si>
  <si>
    <t>1796E</t>
  </si>
  <si>
    <t>1942E</t>
  </si>
  <si>
    <t>1797E</t>
  </si>
  <si>
    <t>1943E</t>
  </si>
  <si>
    <t>1798E</t>
  </si>
  <si>
    <t>ETD</t>
    <phoneticPr fontId="2" type="noConversion"/>
  </si>
  <si>
    <t>船名</t>
    <phoneticPr fontId="2" type="noConversion"/>
  </si>
  <si>
    <t>航次</t>
    <phoneticPr fontId="2" type="noConversion"/>
  </si>
  <si>
    <t>船名航次</t>
    <phoneticPr fontId="2" type="noConversion"/>
  </si>
  <si>
    <t>PEGASUS TERA</t>
    <phoneticPr fontId="2" type="noConversion"/>
  </si>
  <si>
    <t>永艺</t>
    <phoneticPr fontId="2" type="noConversion"/>
  </si>
  <si>
    <t>雅家居</t>
    <phoneticPr fontId="2" type="noConversion"/>
  </si>
  <si>
    <t>华宝</t>
    <phoneticPr fontId="2" type="noConversion"/>
  </si>
  <si>
    <t>卡帛</t>
    <phoneticPr fontId="2" type="noConversion"/>
  </si>
  <si>
    <t>华达利</t>
    <phoneticPr fontId="2" type="noConversion"/>
  </si>
  <si>
    <t>HANSSEM</t>
    <phoneticPr fontId="2" type="noConversion"/>
  </si>
  <si>
    <t>洲际</t>
    <phoneticPr fontId="2" type="noConversion"/>
  </si>
  <si>
    <t>万盛</t>
    <phoneticPr fontId="2" type="noConversion"/>
  </si>
  <si>
    <t>顾家</t>
    <phoneticPr fontId="2" type="noConversion"/>
  </si>
  <si>
    <t>瑞显</t>
    <phoneticPr fontId="2" type="noConversion"/>
  </si>
  <si>
    <t>TEU</t>
    <phoneticPr fontId="2" type="noConversion"/>
  </si>
  <si>
    <t>PO</t>
    <phoneticPr fontId="2" type="noConversion"/>
  </si>
  <si>
    <t>EN</t>
    <phoneticPr fontId="2" type="noConversion"/>
  </si>
  <si>
    <t>显示名称</t>
    <phoneticPr fontId="2" type="noConversion"/>
  </si>
  <si>
    <t>CN</t>
    <phoneticPr fontId="2" type="noConversion"/>
  </si>
  <si>
    <t>CNEE</t>
    <phoneticPr fontId="2" type="noConversion"/>
  </si>
  <si>
    <t>总计</t>
  </si>
  <si>
    <t>10月16日</t>
  </si>
  <si>
    <t>10月9日</t>
  </si>
  <si>
    <t>10月6日</t>
  </si>
  <si>
    <t>10月2日</t>
  </si>
  <si>
    <t>(多项)</t>
  </si>
  <si>
    <t>月</t>
  </si>
  <si>
    <t>shcsm190920</t>
  </si>
  <si>
    <t>非相</t>
  </si>
  <si>
    <t>非相</t>
    <phoneticPr fontId="2" type="noConversion"/>
  </si>
  <si>
    <t>PHILOSOPHY</t>
  </si>
  <si>
    <t>PO1907230017</t>
  </si>
  <si>
    <t>万盛</t>
  </si>
  <si>
    <t>WANSHENG</t>
  </si>
  <si>
    <t>HSO 1811-25E-145</t>
  </si>
  <si>
    <t>HSO 1811-25E-146</t>
  </si>
  <si>
    <t>瑞显</t>
  </si>
  <si>
    <t>安吉</t>
  </si>
  <si>
    <t>顾家</t>
  </si>
  <si>
    <t>洲际</t>
  </si>
  <si>
    <t>韩森</t>
  </si>
  <si>
    <t>华达利</t>
  </si>
  <si>
    <t>卡帛</t>
  </si>
  <si>
    <t>华大</t>
  </si>
  <si>
    <t>华宝</t>
  </si>
  <si>
    <t>雅家居</t>
  </si>
  <si>
    <t>永艺</t>
  </si>
  <si>
    <t>ANJI</t>
  </si>
  <si>
    <t>KUKA</t>
  </si>
  <si>
    <t>ZHOUJI</t>
  </si>
  <si>
    <t>HTL</t>
  </si>
  <si>
    <t>CABO</t>
  </si>
  <si>
    <t>HUADA</t>
  </si>
  <si>
    <t>HUABAO</t>
  </si>
  <si>
    <t>YAJIAJU</t>
  </si>
  <si>
    <t>UE</t>
  </si>
  <si>
    <t>HSO 1811-25E-147</t>
  </si>
  <si>
    <t>HSO 1811-25E-148</t>
  </si>
  <si>
    <t>HSO 1811-25E-149</t>
  </si>
  <si>
    <t>HSO 1811-25E-150</t>
  </si>
  <si>
    <t>HSO 1811-25E-156</t>
  </si>
  <si>
    <t>HSO 1811-25E-151</t>
  </si>
  <si>
    <t>219JJ52-10000-14</t>
  </si>
  <si>
    <t>SSEM</t>
    <phoneticPr fontId="2" type="noConversion"/>
  </si>
  <si>
    <t>HSO 1811-25E-152</t>
  </si>
  <si>
    <t>HSO 1811-25E-154</t>
  </si>
  <si>
    <t>HSO 1811-25E-155</t>
  </si>
  <si>
    <t>10月13日</t>
  </si>
  <si>
    <t>万盛 - HANSSEM</t>
  </si>
  <si>
    <t>顾家 - HANSSEM</t>
  </si>
  <si>
    <t>卡帛 - HANSSEM</t>
  </si>
  <si>
    <t>永艺 - SSEM</t>
  </si>
  <si>
    <t>华达利 - CASAMIA</t>
  </si>
  <si>
    <t>雅家居 - CASAMIA</t>
  </si>
  <si>
    <t>洲际 - CASAMIA</t>
  </si>
  <si>
    <t>顾家 - CASAMIA</t>
  </si>
  <si>
    <t>10月20日</t>
  </si>
  <si>
    <t>PO1908020039
PO1908020041
PO1908020042
PO1908020043</t>
    <phoneticPr fontId="2" type="noConversion"/>
  </si>
  <si>
    <t>OK</t>
  </si>
  <si>
    <t>OK</t>
    <phoneticPr fontId="2" type="noConversion"/>
  </si>
  <si>
    <t>PO1909100004
PO1909100013
PO1908020007
PO1908020013</t>
    <phoneticPr fontId="2" type="noConversion"/>
  </si>
  <si>
    <t>MBL</t>
    <phoneticPr fontId="2" type="noConversion"/>
  </si>
  <si>
    <t>PCLU1939HN4310</t>
  </si>
  <si>
    <t>PCLU1794PE4400</t>
  </si>
  <si>
    <t>PCLU1795PE4402</t>
  </si>
  <si>
    <t>PCLU1939HN4306</t>
  </si>
  <si>
    <t>PCLU1939HN4308</t>
  </si>
  <si>
    <t>PCLU1940HN4304</t>
  </si>
  <si>
    <t>PCLU1940HN4306</t>
  </si>
  <si>
    <t>PCLU1940HN4308</t>
  </si>
  <si>
    <t>PCLU1795PE4300</t>
  </si>
  <si>
    <t>PCLU1795PE4302</t>
  </si>
  <si>
    <t>PCLU1795PE4304</t>
  </si>
  <si>
    <t>PCLU1795PE4306</t>
  </si>
  <si>
    <t>PCLU1941HN4300</t>
  </si>
  <si>
    <t>PCLU1796PE4302</t>
  </si>
  <si>
    <t>PCLU1796PE4306</t>
  </si>
  <si>
    <t>PCLU1796PE4308</t>
  </si>
  <si>
    <t>PCLU1796PE4400</t>
    <phoneticPr fontId="2" type="noConversion"/>
  </si>
  <si>
    <t>PCLU1942HN4400</t>
    <phoneticPr fontId="2" type="noConversion"/>
  </si>
  <si>
    <t>PCLU1942HN4402</t>
    <phoneticPr fontId="2" type="noConversion"/>
  </si>
  <si>
    <t>说明</t>
    <phoneticPr fontId="2" type="noConversion"/>
  </si>
  <si>
    <t>CASAMIA</t>
  </si>
  <si>
    <t>CASAMIA</t>
    <phoneticPr fontId="2" type="noConversion"/>
  </si>
  <si>
    <t>╳</t>
    <phoneticPr fontId="2" type="noConversion"/>
  </si>
  <si>
    <t>托书
是否
超限</t>
    <phoneticPr fontId="2" type="noConversion"/>
  </si>
  <si>
    <t>SHPR</t>
    <phoneticPr fontId="2" type="noConversion"/>
  </si>
  <si>
    <t>20GP</t>
  </si>
  <si>
    <t>40HQ</t>
  </si>
  <si>
    <t>TEUU</t>
  </si>
  <si>
    <t>BKG(CTN)</t>
    <phoneticPr fontId="2" type="noConversion"/>
  </si>
  <si>
    <t>THC(CTN)</t>
    <phoneticPr fontId="2" type="noConversion"/>
  </si>
  <si>
    <t>LSS(CTN)</t>
    <phoneticPr fontId="2" type="noConversion"/>
  </si>
  <si>
    <t>140/280</t>
  </si>
  <si>
    <t>225/350</t>
  </si>
  <si>
    <t>656/998</t>
  </si>
  <si>
    <t>$20/40</t>
  </si>
  <si>
    <t>250/380</t>
  </si>
  <si>
    <t>668/998</t>
  </si>
  <si>
    <t>项目</t>
    <phoneticPr fontId="2" type="noConversion"/>
  </si>
  <si>
    <t>PANCON</t>
  </si>
  <si>
    <t>SINOKOR</t>
  </si>
  <si>
    <t>EFFEX</t>
  </si>
  <si>
    <t>YJC</t>
    <phoneticPr fontId="2" type="noConversion"/>
  </si>
  <si>
    <t>GLV</t>
    <phoneticPr fontId="2" type="noConversion"/>
  </si>
  <si>
    <t>LOUISUN</t>
    <phoneticPr fontId="2" type="noConversion"/>
  </si>
  <si>
    <t>振华</t>
    <phoneticPr fontId="2" type="noConversion"/>
  </si>
  <si>
    <t>借方(收)</t>
    <phoneticPr fontId="2" type="noConversion"/>
  </si>
  <si>
    <t>贷方(支)</t>
    <phoneticPr fontId="2" type="noConversion"/>
  </si>
  <si>
    <t>250/380</t>
    <phoneticPr fontId="2" type="noConversion"/>
  </si>
  <si>
    <t>775/1162</t>
    <phoneticPr fontId="2" type="noConversion"/>
  </si>
  <si>
    <t>140/280</t>
    <phoneticPr fontId="2" type="noConversion"/>
  </si>
  <si>
    <t>140/250</t>
    <phoneticPr fontId="2" type="noConversion"/>
  </si>
  <si>
    <t>250/450</t>
    <phoneticPr fontId="2" type="noConversion"/>
  </si>
  <si>
    <t>DOC(BL)</t>
    <phoneticPr fontId="2" type="noConversion"/>
  </si>
  <si>
    <t>MFF(BL)</t>
    <phoneticPr fontId="2" type="noConversion"/>
  </si>
  <si>
    <t>OSF(BL)</t>
    <phoneticPr fontId="2" type="noConversion"/>
  </si>
  <si>
    <t>PO1908020017
PO1908020027
PO1908020011</t>
  </si>
  <si>
    <t>PCLU1793PE4300</t>
  </si>
  <si>
    <t>SSEM</t>
    <phoneticPr fontId="2" type="noConversion"/>
  </si>
  <si>
    <t>20T</t>
    <phoneticPr fontId="2" type="noConversion"/>
  </si>
  <si>
    <t>40T</t>
    <phoneticPr fontId="2" type="noConversion"/>
  </si>
  <si>
    <t>HANSSEM</t>
    <phoneticPr fontId="2" type="noConversion"/>
  </si>
  <si>
    <t>顾家</t>
    <phoneticPr fontId="2" type="noConversion"/>
  </si>
  <si>
    <t>219JJ52-10000-15</t>
  </si>
  <si>
    <t>1拼1</t>
    <phoneticPr fontId="2" type="noConversion"/>
  </si>
  <si>
    <t>219JJ52-10000-10</t>
    <phoneticPr fontId="2" type="noConversion"/>
  </si>
  <si>
    <t>PCLU1940HN4400</t>
    <phoneticPr fontId="2" type="noConversion"/>
  </si>
  <si>
    <t>永艺</t>
    <phoneticPr fontId="2" type="noConversion"/>
  </si>
  <si>
    <t>OK</t>
    <phoneticPr fontId="2" type="noConversion"/>
  </si>
  <si>
    <t>PCLU1940HN4310</t>
    <phoneticPr fontId="2" type="noConversion"/>
  </si>
  <si>
    <t>顾家</t>
    <phoneticPr fontId="2" type="noConversion"/>
  </si>
  <si>
    <t>KY
确认</t>
    <phoneticPr fontId="2" type="noConversion"/>
  </si>
  <si>
    <t>放单</t>
    <phoneticPr fontId="2" type="noConversion"/>
  </si>
  <si>
    <t>shcsm190927</t>
    <phoneticPr fontId="2" type="noConversion"/>
  </si>
  <si>
    <t>HANSSEM</t>
    <phoneticPr fontId="2" type="noConversion"/>
  </si>
  <si>
    <t>CASAMIA</t>
    <phoneticPr fontId="2" type="noConversion"/>
  </si>
  <si>
    <t>GLV</t>
    <phoneticPr fontId="2" type="noConversion"/>
  </si>
  <si>
    <t>250/380</t>
    <phoneticPr fontId="2" type="noConversion"/>
  </si>
  <si>
    <t>775/1162</t>
    <phoneticPr fontId="2" type="noConversion"/>
  </si>
  <si>
    <t>140/280</t>
    <phoneticPr fontId="2" type="noConversion"/>
  </si>
  <si>
    <t>000/340</t>
    <phoneticPr fontId="2" type="noConversion"/>
  </si>
  <si>
    <t>000/1162</t>
    <phoneticPr fontId="2" type="noConversion"/>
  </si>
  <si>
    <t>录
费用</t>
    <phoneticPr fontId="2" type="noConversion"/>
  </si>
  <si>
    <t>振华
审核</t>
    <phoneticPr fontId="2" type="noConversion"/>
  </si>
  <si>
    <t>振华
拼核</t>
    <phoneticPr fontId="2" type="noConversion"/>
  </si>
  <si>
    <t>收
资料</t>
    <phoneticPr fontId="2" type="noConversion"/>
  </si>
  <si>
    <t>YJC
截单</t>
    <phoneticPr fontId="2" type="noConversion"/>
  </si>
  <si>
    <t>振华
录入</t>
    <phoneticPr fontId="2" type="noConversion"/>
  </si>
  <si>
    <t>发
舱单</t>
    <phoneticPr fontId="2" type="noConversion"/>
  </si>
  <si>
    <t>并单</t>
    <phoneticPr fontId="2" type="noConversion"/>
  </si>
  <si>
    <t>审核</t>
    <phoneticPr fontId="2" type="noConversion"/>
  </si>
  <si>
    <t>VGM</t>
    <phoneticPr fontId="2" type="noConversion"/>
  </si>
  <si>
    <t>邮件
KY</t>
    <phoneticPr fontId="2" type="noConversion"/>
  </si>
  <si>
    <t>统计
费用</t>
    <phoneticPr fontId="2" type="noConversion"/>
  </si>
  <si>
    <t>APP</t>
    <phoneticPr fontId="2" type="noConversion"/>
  </si>
  <si>
    <t>发票</t>
    <phoneticPr fontId="2" type="noConversion"/>
  </si>
  <si>
    <t>水单</t>
    <phoneticPr fontId="2" type="noConversion"/>
  </si>
  <si>
    <t>HBL
INV
确认</t>
    <phoneticPr fontId="2" type="noConversion"/>
  </si>
  <si>
    <t>发HBL
和INV</t>
    <phoneticPr fontId="2" type="noConversion"/>
  </si>
  <si>
    <t>确认
舱单</t>
    <phoneticPr fontId="2" type="noConversion"/>
  </si>
  <si>
    <t>振华
加拼
提交</t>
    <phoneticPr fontId="2" type="noConversion"/>
  </si>
  <si>
    <t>PCLU1941HN4306</t>
    <phoneticPr fontId="2" type="noConversion"/>
  </si>
  <si>
    <t>雅家居</t>
    <phoneticPr fontId="2" type="noConversion"/>
  </si>
  <si>
    <t>219JJ52-10000-13</t>
    <phoneticPr fontId="2" type="noConversion"/>
  </si>
  <si>
    <t>PCLU1941HN4308</t>
    <phoneticPr fontId="2" type="noConversion"/>
  </si>
  <si>
    <t>PCLU1942HN4302</t>
    <phoneticPr fontId="2" type="noConversion"/>
  </si>
  <si>
    <t>PCLU1942HN4304</t>
    <phoneticPr fontId="2" type="noConversion"/>
  </si>
  <si>
    <t>PCLU1942HN4306</t>
    <phoneticPr fontId="2" type="noConversion"/>
  </si>
  <si>
    <t>HSO 1811-25E-156</t>
  </si>
  <si>
    <t>HSO 1811-25E-157</t>
  </si>
  <si>
    <t>HSO 1811-25E-158</t>
  </si>
  <si>
    <t>万盛</t>
    <phoneticPr fontId="2" type="noConversion"/>
  </si>
  <si>
    <t>顾家</t>
    <phoneticPr fontId="2" type="noConversion"/>
  </si>
  <si>
    <t>HDC(BILL)</t>
    <phoneticPr fontId="2" type="noConversion"/>
  </si>
  <si>
    <t>HBL</t>
    <phoneticPr fontId="2" type="noConversion"/>
  </si>
  <si>
    <t>YJCSHAN1916011</t>
  </si>
  <si>
    <t>YJCSHAN1916157</t>
  </si>
  <si>
    <t>YJCSHAN1916158</t>
  </si>
  <si>
    <t>YJCSHAN1916228</t>
  </si>
  <si>
    <t>YJCSHAN1915658</t>
  </si>
  <si>
    <t>YJCSHAN1915929</t>
  </si>
  <si>
    <t>YJCSHAN1915930</t>
  </si>
  <si>
    <t>YJCSHAN1916055</t>
  </si>
  <si>
    <t>YJCSHAN1916057</t>
  </si>
  <si>
    <t>YJCSHAN1916058</t>
  </si>
  <si>
    <t>YJCSHAN1916059</t>
  </si>
  <si>
    <t>YJCSHAN1916137</t>
  </si>
  <si>
    <t>YJCSHAN1916060</t>
  </si>
  <si>
    <t>YJCSHAN1916027</t>
  </si>
  <si>
    <t>YJCSHAN1916063</t>
  </si>
  <si>
    <t>YJCSHAN1916064</t>
  </si>
  <si>
    <t>YJCSHAN1915927</t>
  </si>
  <si>
    <t>YJCSHAN1916225</t>
  </si>
  <si>
    <t>YJCSHAN1915928</t>
  </si>
  <si>
    <t>备注</t>
    <phoneticPr fontId="2" type="noConversion"/>
  </si>
  <si>
    <t>拼4403</t>
    <phoneticPr fontId="2" type="noConversion"/>
  </si>
  <si>
    <t>10-1 ORDER</t>
    <phoneticPr fontId="2" type="noConversion"/>
  </si>
  <si>
    <t xml:space="preserve">8-3 ORDER </t>
    <phoneticPr fontId="2" type="noConversion"/>
  </si>
  <si>
    <t>9-8 ORDER</t>
    <phoneticPr fontId="2" type="noConversion"/>
  </si>
  <si>
    <t>9-7 ORDER</t>
    <phoneticPr fontId="2" type="noConversion"/>
  </si>
  <si>
    <t>拼4401</t>
    <phoneticPr fontId="2" type="noConversion"/>
  </si>
  <si>
    <t>PO1908020044</t>
    <phoneticPr fontId="2" type="noConversion"/>
  </si>
  <si>
    <t>拼4309</t>
    <phoneticPr fontId="2" type="noConversion"/>
  </si>
  <si>
    <t>HB190601</t>
    <phoneticPr fontId="2" type="noConversion"/>
  </si>
  <si>
    <t>PCLU1793PE4400</t>
    <phoneticPr fontId="2" type="noConversion"/>
  </si>
  <si>
    <t>219JJ52-10000-7-11</t>
    <phoneticPr fontId="2" type="noConversion"/>
  </si>
  <si>
    <t>PCLU1795PE4308</t>
    <phoneticPr fontId="2" type="noConversion"/>
  </si>
  <si>
    <t>1915754 1915755</t>
    <phoneticPr fontId="2" type="noConversion"/>
  </si>
  <si>
    <t>拼4405 1915810</t>
    <phoneticPr fontId="2" type="noConversion"/>
  </si>
  <si>
    <t>10月23日</t>
  </si>
  <si>
    <t>华达利</t>
    <phoneticPr fontId="2" type="noConversion"/>
  </si>
  <si>
    <t>PO1909100009
PO1908020012
PO1908020019
PO1908020029</t>
    <phoneticPr fontId="2" type="noConversion"/>
  </si>
  <si>
    <t>PO1908020006
PO1908140034</t>
    <phoneticPr fontId="2" type="noConversion"/>
  </si>
  <si>
    <t>PO1908140032
PO1908140033
PO1908140035</t>
    <phoneticPr fontId="2" type="noConversion"/>
  </si>
  <si>
    <t>YJCSHAN1915773</t>
    <phoneticPr fontId="2" type="noConversion"/>
  </si>
  <si>
    <t>YJCSHAN1915774</t>
    <phoneticPr fontId="2" type="noConversion"/>
  </si>
  <si>
    <t>PCLU1794PE4404</t>
    <phoneticPr fontId="2" type="noConversion"/>
  </si>
  <si>
    <t>219JJ52-10000-12-16</t>
    <phoneticPr fontId="2" type="noConversion"/>
  </si>
  <si>
    <t>原4，套用1个到1009</t>
    <phoneticPr fontId="2" type="noConversion"/>
  </si>
  <si>
    <t>PCLU1797PE4400</t>
    <phoneticPr fontId="2" type="noConversion"/>
  </si>
  <si>
    <t>YJCSHAN1916372</t>
  </si>
  <si>
    <t>200(电放)</t>
    <phoneticPr fontId="2" type="noConversion"/>
  </si>
  <si>
    <t>AHL2332</t>
    <phoneticPr fontId="2" type="noConversion"/>
  </si>
  <si>
    <t>AHL2333</t>
    <phoneticPr fontId="2" type="noConversion"/>
  </si>
  <si>
    <t>洲际</t>
    <phoneticPr fontId="2" type="noConversion"/>
  </si>
  <si>
    <t>PCLU1796PE4402</t>
    <phoneticPr fontId="2" type="noConversion"/>
  </si>
  <si>
    <t>PCLU1942HN4406</t>
    <phoneticPr fontId="2" type="noConversion"/>
  </si>
  <si>
    <t>YJCSHAN1916390</t>
  </si>
  <si>
    <t>YJCSHAN1916391</t>
  </si>
  <si>
    <t>YJCSHAN1915771</t>
    <phoneticPr fontId="2" type="noConversion"/>
  </si>
  <si>
    <t>PCLU1940HN4300</t>
    <phoneticPr fontId="2" type="noConversion"/>
  </si>
  <si>
    <t>YJCSHAN1916226</t>
    <phoneticPr fontId="2" type="noConversion"/>
  </si>
  <si>
    <t>YJCSHAN1916227</t>
    <phoneticPr fontId="2" type="noConversion"/>
  </si>
  <si>
    <t>PCLU1940HN4312</t>
    <phoneticPr fontId="2" type="noConversion"/>
  </si>
  <si>
    <t>叶静</t>
    <phoneticPr fontId="2" type="noConversion"/>
  </si>
  <si>
    <t>王燕华</t>
    <phoneticPr fontId="2" type="noConversion"/>
  </si>
  <si>
    <t>周三</t>
    <phoneticPr fontId="2" type="noConversion"/>
  </si>
  <si>
    <t>周日</t>
    <phoneticPr fontId="2" type="noConversion"/>
  </si>
  <si>
    <t>雅佳居</t>
    <phoneticPr fontId="2" type="noConversion"/>
  </si>
  <si>
    <t>华大</t>
    <phoneticPr fontId="2" type="noConversion"/>
  </si>
  <si>
    <t>韩森</t>
    <phoneticPr fontId="2" type="noConversion"/>
  </si>
  <si>
    <t>安吉</t>
    <phoneticPr fontId="2" type="noConversion"/>
  </si>
  <si>
    <t>PO1908020018
PO1908020028</t>
    <phoneticPr fontId="2" type="noConversion"/>
  </si>
  <si>
    <t>YJCSHAN1915775</t>
    <phoneticPr fontId="2" type="noConversion"/>
  </si>
  <si>
    <t>电子票</t>
    <phoneticPr fontId="2" type="noConversion"/>
  </si>
  <si>
    <t>结算方式</t>
    <phoneticPr fontId="2" type="noConversion"/>
  </si>
  <si>
    <t>开票</t>
    <phoneticPr fontId="2" type="noConversion"/>
  </si>
  <si>
    <t>代收/申请月结</t>
    <phoneticPr fontId="2" type="noConversion"/>
  </si>
  <si>
    <t>SH GLV月结</t>
    <phoneticPr fontId="2" type="noConversion"/>
  </si>
  <si>
    <t>200(正本)</t>
    <phoneticPr fontId="2" type="noConversion"/>
  </si>
  <si>
    <t>出2份提单</t>
    <phoneticPr fontId="2" type="noConversion"/>
  </si>
  <si>
    <t>219CABO-HS037/HS038</t>
    <phoneticPr fontId="2" type="noConversion"/>
  </si>
  <si>
    <t>10-02三个没上船改配</t>
    <phoneticPr fontId="2" type="noConversion"/>
  </si>
  <si>
    <t>PCLU1941HN4314</t>
    <phoneticPr fontId="2" type="noConversion"/>
  </si>
  <si>
    <t>PCLU1941HN4316</t>
    <phoneticPr fontId="2" type="noConversion"/>
  </si>
  <si>
    <t>YJCSHAN1916447</t>
  </si>
  <si>
    <t>CHATTANOOGA 1941E</t>
    <phoneticPr fontId="2" type="noConversion"/>
  </si>
  <si>
    <t>CHATTANOOGA 1935E</t>
  </si>
  <si>
    <t>PEGASUS TERA 1790E</t>
  </si>
  <si>
    <t>CHATTANOOGA 1936E</t>
  </si>
  <si>
    <t>PEGASUS TERA 1791E</t>
  </si>
  <si>
    <t>CHATTANOOGA 1937E</t>
  </si>
  <si>
    <t>PEGASUS TERA 1792E</t>
  </si>
  <si>
    <t>CHATTANOOGA 1938E</t>
  </si>
  <si>
    <t>PEGASUS TERA 1793E</t>
  </si>
  <si>
    <t>CHATTANOOGA 1939E</t>
  </si>
  <si>
    <t>PEGASUS TERA 1794E</t>
  </si>
  <si>
    <t>PCLU1941HN4303</t>
    <phoneticPr fontId="2" type="noConversion"/>
  </si>
  <si>
    <t>拼4305</t>
    <phoneticPr fontId="2" type="noConversion"/>
  </si>
  <si>
    <t>YJCSHAN1916470</t>
  </si>
  <si>
    <t>HSO 1811-25E-159</t>
    <phoneticPr fontId="2" type="noConversion"/>
  </si>
  <si>
    <t>PO1909230012</t>
  </si>
  <si>
    <t>PEGASUS TERA 1795E</t>
    <phoneticPr fontId="2" type="noConversion"/>
  </si>
  <si>
    <t>CHATTANOOGA 1940E</t>
    <phoneticPr fontId="2" type="noConversion"/>
  </si>
  <si>
    <t>000/340</t>
    <phoneticPr fontId="2" type="noConversion"/>
  </si>
  <si>
    <t>000/1162</t>
    <phoneticPr fontId="2" type="noConversion"/>
  </si>
  <si>
    <t>000/280</t>
    <phoneticPr fontId="2" type="noConversion"/>
  </si>
  <si>
    <t>拼4403</t>
    <phoneticPr fontId="2" type="noConversion"/>
  </si>
  <si>
    <t>拼4407</t>
    <phoneticPr fontId="2" type="noConversion"/>
  </si>
  <si>
    <t>PO1909230015
PO1909230016
PO1909230017</t>
    <phoneticPr fontId="2" type="noConversion"/>
  </si>
  <si>
    <t>PO1908020021
PO1908020031</t>
    <phoneticPr fontId="2" type="noConversion"/>
  </si>
  <si>
    <t>PO1909230013
PO1909230014</t>
    <phoneticPr fontId="2" type="noConversion"/>
  </si>
  <si>
    <t>10月27日</t>
  </si>
  <si>
    <t>10月30日</t>
  </si>
  <si>
    <t>顾家</t>
    <phoneticPr fontId="2" type="noConversion"/>
  </si>
  <si>
    <t>219JJ52-52000-4</t>
  </si>
  <si>
    <t>11月3日</t>
  </si>
  <si>
    <t>219JJ52-10000-17</t>
    <phoneticPr fontId="2" type="noConversion"/>
  </si>
  <si>
    <t>PCLU1797PE4402</t>
    <phoneticPr fontId="2" type="noConversion"/>
  </si>
  <si>
    <t>PCLU1797PE4406</t>
    <phoneticPr fontId="2" type="noConversion"/>
  </si>
  <si>
    <t>PCLU1943HN4300</t>
    <phoneticPr fontId="2" type="noConversion"/>
  </si>
  <si>
    <t>PCLU1943HN4302</t>
    <phoneticPr fontId="2" type="noConversion"/>
  </si>
  <si>
    <t>PCLU1798PE4300</t>
    <phoneticPr fontId="2" type="noConversion"/>
  </si>
  <si>
    <t>五步
订舱</t>
    <phoneticPr fontId="2" type="noConversion"/>
  </si>
  <si>
    <t>YJCSHAN1916612</t>
  </si>
  <si>
    <t>顾家</t>
    <phoneticPr fontId="2" type="noConversion"/>
  </si>
  <si>
    <t>YJCSHAN1916614</t>
  </si>
  <si>
    <t>PEGASUS TERA 1797E</t>
    <phoneticPr fontId="2" type="noConversion"/>
  </si>
  <si>
    <t>万盛</t>
    <phoneticPr fontId="2" type="noConversion"/>
  </si>
  <si>
    <t>YJCSHAN1916615</t>
  </si>
  <si>
    <t>YJCSHAN1916617</t>
  </si>
  <si>
    <t>YJCSHAN1916054</t>
    <phoneticPr fontId="2" type="noConversion"/>
  </si>
  <si>
    <t>出3提单A B</t>
    <phoneticPr fontId="2" type="noConversion"/>
  </si>
  <si>
    <t>PCLU1941HN4400</t>
    <phoneticPr fontId="2" type="noConversion"/>
  </si>
  <si>
    <t>3HBL 并1916398/4401 1916400/4402</t>
    <phoneticPr fontId="2" type="noConversion"/>
  </si>
  <si>
    <t>PO1909100010
PO1908020020
PO1908020030</t>
    <phoneticPr fontId="2" type="noConversion"/>
  </si>
  <si>
    <t>200(正本要求)</t>
    <phoneticPr fontId="2" type="noConversion"/>
  </si>
  <si>
    <t>000(电放等通知)</t>
    <phoneticPr fontId="2" type="noConversion"/>
  </si>
  <si>
    <t>Tang Yong Kai</t>
    <phoneticPr fontId="2" type="noConversion"/>
  </si>
  <si>
    <t>Ellie Luo</t>
    <phoneticPr fontId="2" type="noConversion"/>
  </si>
  <si>
    <t>wangweiping/jiangxiaojuan</t>
    <phoneticPr fontId="2" type="noConversion"/>
  </si>
  <si>
    <t>HSO 1811-25E-162</t>
  </si>
  <si>
    <t>HSO 1811-25E-160</t>
  </si>
  <si>
    <t>HSO 1811-25E-161</t>
  </si>
  <si>
    <t>万盛</t>
    <phoneticPr fontId="2" type="noConversion"/>
  </si>
  <si>
    <t>PCLU1943HN4304</t>
    <phoneticPr fontId="2" type="noConversion"/>
  </si>
  <si>
    <t>PCLU1943HN4306</t>
    <phoneticPr fontId="2" type="noConversion"/>
  </si>
  <si>
    <t>PCLU1798PE4302</t>
    <phoneticPr fontId="2" type="noConversion"/>
  </si>
  <si>
    <t>PCLU1798PE4304</t>
    <phoneticPr fontId="2" type="noConversion"/>
  </si>
  <si>
    <t>219JJ52-10000-20</t>
  </si>
  <si>
    <t>219JJ52-10000-18</t>
  </si>
  <si>
    <t>雅家居</t>
    <phoneticPr fontId="2" type="noConversion"/>
  </si>
  <si>
    <t>OK</t>
    <phoneticPr fontId="2" type="noConversion"/>
  </si>
  <si>
    <t>拼4310 4312</t>
    <phoneticPr fontId="2" type="noConversion"/>
  </si>
  <si>
    <t>出2份提单 A</t>
    <phoneticPr fontId="2" type="noConversion"/>
  </si>
  <si>
    <t>PEGASUS TERA 1796E</t>
    <phoneticPr fontId="2" type="noConversion"/>
  </si>
  <si>
    <t>219CABO-HS040/HS041/HS042</t>
    <phoneticPr fontId="2" type="noConversion"/>
  </si>
  <si>
    <t>219CABO-HS039/HS040/HS041/ HS042/HS043/HS047/HS048</t>
    <phoneticPr fontId="2" type="noConversion"/>
  </si>
  <si>
    <t>1个改到20号</t>
    <phoneticPr fontId="2" type="noConversion"/>
  </si>
  <si>
    <t>改到20</t>
    <phoneticPr fontId="2" type="noConversion"/>
  </si>
  <si>
    <t>PCLU1942HN4300</t>
    <phoneticPr fontId="2" type="noConversion"/>
  </si>
  <si>
    <t>EFFEX</t>
    <phoneticPr fontId="2" type="noConversion"/>
  </si>
  <si>
    <t>华宝 - EFFEX</t>
  </si>
  <si>
    <t>PCLU1942HN4308</t>
    <phoneticPr fontId="2" type="noConversion"/>
  </si>
  <si>
    <t>PCLU1797PE4408</t>
    <phoneticPr fontId="2" type="noConversion"/>
  </si>
  <si>
    <t>YJCSHAN1916977</t>
  </si>
  <si>
    <t>YJCSHAN1916978</t>
  </si>
  <si>
    <t>YJCSHAN1916979</t>
  </si>
  <si>
    <t>YJCSHAN1916981</t>
  </si>
  <si>
    <t>YJCSHAN1916983</t>
  </si>
  <si>
    <t>YJCSHAN1916984</t>
  </si>
  <si>
    <t>PCLU1942HN4312</t>
    <phoneticPr fontId="2" type="noConversion"/>
  </si>
  <si>
    <t>OK</t>
    <phoneticPr fontId="2" type="noConversion"/>
  </si>
  <si>
    <t>PEGASUS TERA 1798E</t>
    <phoneticPr fontId="2" type="noConversion"/>
  </si>
  <si>
    <t>shcsm191012</t>
    <phoneticPr fontId="2" type="noConversion"/>
  </si>
  <si>
    <t>CHATTANOOGA 1942E</t>
    <phoneticPr fontId="2" type="noConversion"/>
  </si>
  <si>
    <t>华宝</t>
    <phoneticPr fontId="2" type="noConversion"/>
  </si>
  <si>
    <t>YJCSHAN1916616</t>
  </si>
  <si>
    <t>PCLU1797PE4410</t>
    <phoneticPr fontId="2" type="noConversion"/>
  </si>
  <si>
    <t>YJCSHAN1916999</t>
  </si>
  <si>
    <t>10-2  ORDER</t>
  </si>
  <si>
    <t>PCLU1943HN4308</t>
    <phoneticPr fontId="2" type="noConversion"/>
  </si>
  <si>
    <t>YJCSHAN1917123</t>
  </si>
  <si>
    <t>KMTC</t>
    <phoneticPr fontId="2" type="noConversion"/>
  </si>
  <si>
    <t>YJCSHAN1917125</t>
  </si>
  <si>
    <t>永艺</t>
    <phoneticPr fontId="2" type="noConversion"/>
  </si>
  <si>
    <t>加上13号一票舱单费</t>
    <phoneticPr fontId="2" type="noConversion"/>
  </si>
  <si>
    <t>舱单费在20号那票里收</t>
    <phoneticPr fontId="2" type="noConversion"/>
  </si>
  <si>
    <t>27改23</t>
    <phoneticPr fontId="2" type="noConversion"/>
  </si>
  <si>
    <t>PCLU1797PE4412</t>
    <phoneticPr fontId="2" type="noConversion"/>
  </si>
  <si>
    <t>顾家CASAMIA</t>
    <phoneticPr fontId="2" type="noConversion"/>
  </si>
  <si>
    <t>华达利</t>
    <phoneticPr fontId="2" type="noConversion"/>
  </si>
  <si>
    <t>PO1909100005
PO1909100011</t>
    <phoneticPr fontId="2" type="noConversion"/>
  </si>
  <si>
    <t>YJCSHAN1916156</t>
    <phoneticPr fontId="2" type="noConversion"/>
  </si>
  <si>
    <t>2提单 1917205</t>
    <phoneticPr fontId="2" type="noConversion"/>
  </si>
  <si>
    <t>YJCSHAN1916288</t>
    <phoneticPr fontId="2" type="noConversion"/>
  </si>
  <si>
    <t>YJCSHAN1916289</t>
    <phoneticPr fontId="2" type="noConversion"/>
  </si>
  <si>
    <t>YJCSHAN1916290</t>
    <phoneticPr fontId="2" type="noConversion"/>
  </si>
  <si>
    <t>YJCSHAN1916980</t>
    <phoneticPr fontId="2" type="noConversion"/>
  </si>
  <si>
    <t>WX 唐</t>
    <phoneticPr fontId="4" type="noConversion"/>
  </si>
  <si>
    <t>QQ WX</t>
    <phoneticPr fontId="2" type="noConversion"/>
  </si>
  <si>
    <t>邮件</t>
    <phoneticPr fontId="2" type="noConversion"/>
  </si>
  <si>
    <t>瑞显 罗小姐</t>
    <phoneticPr fontId="4" type="noConversion"/>
  </si>
  <si>
    <t>非相陈小姐</t>
  </si>
  <si>
    <t>alison.chen</t>
  </si>
  <si>
    <t>雅家居 金峰</t>
  </si>
  <si>
    <t>金峰</t>
  </si>
  <si>
    <t>纬领小宋</t>
  </si>
  <si>
    <t>Sara Song</t>
  </si>
  <si>
    <t>HS指代出货群</t>
  </si>
  <si>
    <t>郑淑莉</t>
  </si>
  <si>
    <t>徐小姐/车队江</t>
  </si>
  <si>
    <t>亚东潘汝男/潘贵梅/小吴</t>
  </si>
  <si>
    <t>yuming.zhang</t>
  </si>
  <si>
    <t>做船王燕华 周一HCM 周三 周五 周日BUSAN，其他叶静</t>
    <phoneticPr fontId="2" type="noConversion"/>
  </si>
  <si>
    <t>订舱放预配都是王燕华</t>
    <phoneticPr fontId="2" type="noConversion"/>
  </si>
  <si>
    <t>KMTC</t>
    <phoneticPr fontId="2" type="noConversion"/>
  </si>
  <si>
    <t>PCLU1798PE4306</t>
    <phoneticPr fontId="2" type="noConversion"/>
  </si>
  <si>
    <t>YJCSHAN1917277</t>
  </si>
  <si>
    <t>AHL2286</t>
    <phoneticPr fontId="2" type="noConversion"/>
  </si>
  <si>
    <t>KMTCSHAE441748</t>
    <phoneticPr fontId="2" type="noConversion"/>
  </si>
  <si>
    <t>KMTC KMTC SHENZHEN 1910N BUSAN</t>
    <phoneticPr fontId="2" type="noConversion"/>
  </si>
  <si>
    <t>1报3提 1917333 1917334</t>
    <phoneticPr fontId="2" type="noConversion"/>
  </si>
  <si>
    <t>PCLU1943HN4310</t>
    <phoneticPr fontId="2" type="noConversion"/>
  </si>
  <si>
    <t>拼4311 4313</t>
    <phoneticPr fontId="2" type="noConversion"/>
  </si>
  <si>
    <t>PCLU1798PE4308</t>
    <phoneticPr fontId="2" type="noConversion"/>
  </si>
  <si>
    <t>PCLU1798PE4310</t>
    <phoneticPr fontId="2" type="noConversion"/>
  </si>
  <si>
    <t>拼4311</t>
    <phoneticPr fontId="2" type="noConversion"/>
  </si>
  <si>
    <t>YJCSHAN1917391</t>
  </si>
  <si>
    <t>shcsm191018</t>
    <phoneticPr fontId="2" type="noConversion"/>
  </si>
  <si>
    <t>YJCSHAN1917392</t>
  </si>
  <si>
    <t>YJCSHAN1917393</t>
  </si>
  <si>
    <t>CHATTANOOGA 1943E</t>
    <phoneticPr fontId="2" type="noConversion"/>
  </si>
  <si>
    <t>华宝</t>
    <phoneticPr fontId="2" type="noConversion"/>
  </si>
  <si>
    <t>1944E</t>
  </si>
  <si>
    <t>1799E</t>
  </si>
  <si>
    <t>1945E</t>
  </si>
  <si>
    <t>1800E</t>
  </si>
  <si>
    <t>1946E</t>
  </si>
  <si>
    <t>1801E</t>
  </si>
  <si>
    <t>1947E</t>
  </si>
  <si>
    <t>1802E</t>
  </si>
  <si>
    <t>CHATTANOOGA 1944E</t>
    <phoneticPr fontId="2" type="noConversion"/>
  </si>
  <si>
    <t>PEGASUS TERA 1799E</t>
    <phoneticPr fontId="2" type="noConversion"/>
  </si>
  <si>
    <t>CHATTANOOGA 1945E</t>
    <phoneticPr fontId="2" type="noConversion"/>
  </si>
  <si>
    <t>PEGASUS TERA 1800E</t>
    <phoneticPr fontId="2" type="noConversion"/>
  </si>
  <si>
    <t>CHATTANOOGA 1946E</t>
    <phoneticPr fontId="2" type="noConversion"/>
  </si>
  <si>
    <t>PEGASUS TERA 1801E</t>
    <phoneticPr fontId="2" type="noConversion"/>
  </si>
  <si>
    <t>CHATTANOOGA 1947E</t>
    <phoneticPr fontId="2" type="noConversion"/>
  </si>
  <si>
    <t>PEGASUS TERA 1802E</t>
    <phoneticPr fontId="2" type="noConversion"/>
  </si>
  <si>
    <t>2提 1917394</t>
    <phoneticPr fontId="2" type="noConversion"/>
  </si>
  <si>
    <t>2提 1917389</t>
    <phoneticPr fontId="2" type="noConversion"/>
  </si>
  <si>
    <t>代收/付买</t>
    <phoneticPr fontId="2" type="noConversion"/>
  </si>
  <si>
    <t>代收/付买/抵扣万盛</t>
    <phoneticPr fontId="2" type="noConversion"/>
  </si>
  <si>
    <t>电子票(康芸)</t>
    <phoneticPr fontId="2" type="noConversion"/>
  </si>
  <si>
    <t>电子票(瑞显)</t>
    <phoneticPr fontId="2" type="noConversion"/>
  </si>
  <si>
    <t>电子票(藤越)</t>
    <phoneticPr fontId="2" type="noConversion"/>
  </si>
  <si>
    <t>电子票(纬领)</t>
    <phoneticPr fontId="2" type="noConversion"/>
  </si>
  <si>
    <t>纸票(按明细显示)</t>
    <phoneticPr fontId="2" type="noConversion"/>
  </si>
  <si>
    <t>拼4409</t>
    <phoneticPr fontId="2" type="noConversion"/>
  </si>
  <si>
    <t>AHL2285</t>
    <phoneticPr fontId="2" type="noConversion"/>
  </si>
  <si>
    <t>10-3  ORDER</t>
  </si>
  <si>
    <t>代收/月结/明细显示</t>
    <phoneticPr fontId="2" type="noConversion"/>
  </si>
  <si>
    <t>219CABO-HS049</t>
  </si>
  <si>
    <t>HANSSEM</t>
    <phoneticPr fontId="2" type="noConversion"/>
  </si>
  <si>
    <t>卡帛</t>
    <phoneticPr fontId="2" type="noConversion"/>
  </si>
  <si>
    <t>11月10日</t>
  </si>
  <si>
    <t>219CABO-HS050/HS052/HS057</t>
  </si>
  <si>
    <t>11月20日</t>
  </si>
  <si>
    <t>CASAMIA</t>
    <phoneticPr fontId="2" type="noConversion"/>
  </si>
  <si>
    <t>伟誉</t>
  </si>
  <si>
    <t>WEIYU</t>
    <phoneticPr fontId="2" type="noConversion"/>
  </si>
  <si>
    <t>11月13日</t>
  </si>
  <si>
    <t>伟誉 - CASAMIA</t>
  </si>
  <si>
    <t>PCLU1943HN4312</t>
    <phoneticPr fontId="2" type="noConversion"/>
  </si>
  <si>
    <t>YJCSHAN1917663</t>
  </si>
  <si>
    <t>代收/已申请月结</t>
    <phoneticPr fontId="2" type="noConversion"/>
  </si>
  <si>
    <t>拼4301 4303</t>
    <phoneticPr fontId="2" type="noConversion"/>
  </si>
  <si>
    <t>UE-SSEMGLOBAL-201</t>
  </si>
  <si>
    <t>11月6日</t>
  </si>
  <si>
    <t>列1</t>
  </si>
  <si>
    <t>PCLU1944HN430</t>
    <phoneticPr fontId="2" type="noConversion"/>
  </si>
  <si>
    <t>PCLU1799PE430</t>
    <phoneticPr fontId="2" type="noConversion"/>
  </si>
  <si>
    <t>PCLU1945HN430</t>
    <phoneticPr fontId="2" type="noConversion"/>
  </si>
  <si>
    <t>PCLU1800PE430</t>
    <phoneticPr fontId="2" type="noConversion"/>
  </si>
  <si>
    <t>PCLU1946HN430</t>
    <phoneticPr fontId="2" type="noConversion"/>
  </si>
  <si>
    <t>PCLU1801PE430</t>
    <phoneticPr fontId="2" type="noConversion"/>
  </si>
  <si>
    <t>PCLU1947HN430</t>
    <phoneticPr fontId="2" type="noConversion"/>
  </si>
  <si>
    <t>PCLU1802PE430</t>
    <phoneticPr fontId="2" type="noConversion"/>
  </si>
  <si>
    <t>PCLU1944HN4302</t>
    <phoneticPr fontId="2" type="noConversion"/>
  </si>
  <si>
    <t>PCLU1944HN4304</t>
    <phoneticPr fontId="2" type="noConversion"/>
  </si>
  <si>
    <t>PCLU1799PE4302</t>
    <phoneticPr fontId="2" type="noConversion"/>
  </si>
  <si>
    <t>PCLU1945HN4302</t>
    <phoneticPr fontId="2" type="noConversion"/>
  </si>
  <si>
    <t>PCLU1800PE4302</t>
    <phoneticPr fontId="2" type="noConversion"/>
  </si>
  <si>
    <t>PCLU1801PE4302</t>
    <phoneticPr fontId="2" type="noConversion"/>
  </si>
  <si>
    <t>YJCSHAN1917708</t>
  </si>
  <si>
    <t>YJCSHAN1917711</t>
  </si>
  <si>
    <t>YJCSHAN1917712</t>
  </si>
  <si>
    <t>YJCSHAN1917713</t>
  </si>
  <si>
    <t>YJCSHAN1917714</t>
  </si>
  <si>
    <t>伟誉</t>
    <phoneticPr fontId="2" type="noConversion"/>
  </si>
  <si>
    <t>OK</t>
    <phoneticPr fontId="2" type="noConversion"/>
  </si>
  <si>
    <t>╳</t>
  </si>
  <si>
    <t>200(电放???)</t>
    <phoneticPr fontId="2" type="noConversion"/>
  </si>
  <si>
    <t>电子票(启胜)</t>
    <phoneticPr fontId="2" type="noConversion"/>
  </si>
  <si>
    <t>李琳，刘晶晶</t>
    <phoneticPr fontId="2" type="noConversion"/>
  </si>
  <si>
    <t>郑淑莉，蒋小娟</t>
    <phoneticPr fontId="2" type="noConversion"/>
  </si>
  <si>
    <t>1113改1117</t>
    <phoneticPr fontId="2" type="noConversion"/>
  </si>
  <si>
    <t>11月17日</t>
  </si>
  <si>
    <t>进港后退关，改27号，费用见文件</t>
    <phoneticPr fontId="2" type="noConversion"/>
  </si>
  <si>
    <t>20号退关改</t>
    <phoneticPr fontId="2" type="noConversion"/>
  </si>
  <si>
    <t>PCLU1943HN4316</t>
    <phoneticPr fontId="2" type="noConversion"/>
  </si>
  <si>
    <t>PCLU1946HN4302</t>
    <phoneticPr fontId="2" type="noConversion"/>
  </si>
  <si>
    <t>AHL2330</t>
    <phoneticPr fontId="2" type="noConversion"/>
  </si>
  <si>
    <t>219JJ52-10000-29</t>
  </si>
  <si>
    <t>219JJ52-10000-32</t>
  </si>
  <si>
    <t>YJCSHAN1917759</t>
  </si>
  <si>
    <t>PCLU1799PE4304</t>
    <phoneticPr fontId="2" type="noConversion"/>
  </si>
  <si>
    <t>拼4305</t>
    <phoneticPr fontId="2" type="noConversion"/>
  </si>
  <si>
    <t>PCLU1800PE4304</t>
    <phoneticPr fontId="2" type="noConversion"/>
  </si>
  <si>
    <t>YJCSHAN1917763</t>
  </si>
  <si>
    <t>YJCSHAN1917764</t>
  </si>
  <si>
    <t>KMTC CHATTANOOGA 1942E 漏装至1027</t>
    <phoneticPr fontId="2" type="noConversion"/>
  </si>
  <si>
    <t>1020漏装  SUNNY CALLA 1943N</t>
    <phoneticPr fontId="2" type="noConversion"/>
  </si>
  <si>
    <t>KMTCSHAE473303.</t>
    <phoneticPr fontId="2" type="noConversion"/>
  </si>
  <si>
    <t>拼1917782/4314 1917781/4315 3提</t>
    <phoneticPr fontId="2" type="noConversion"/>
  </si>
  <si>
    <t>1113改1117 1117改1110</t>
    <phoneticPr fontId="2" type="noConversion"/>
  </si>
  <si>
    <t>1117改1110</t>
  </si>
  <si>
    <t>HANSSEM</t>
    <phoneticPr fontId="2" type="noConversion"/>
  </si>
  <si>
    <t>PO1909100006
PO1909100012</t>
    <phoneticPr fontId="2" type="noConversion"/>
  </si>
  <si>
    <t>等通知</t>
    <phoneticPr fontId="2" type="noConversion"/>
  </si>
  <si>
    <t>PCLU1944HN4306</t>
    <phoneticPr fontId="2" type="noConversion"/>
  </si>
  <si>
    <t>PCLU1944HN4308</t>
    <phoneticPr fontId="2" type="noConversion"/>
  </si>
  <si>
    <t>PCLU1945HN4304</t>
    <phoneticPr fontId="2" type="noConversion"/>
  </si>
  <si>
    <t>PCLU1946HN4304</t>
    <phoneticPr fontId="2" type="noConversion"/>
  </si>
  <si>
    <t>KMTCSHAE473303</t>
    <phoneticPr fontId="2" type="noConversion"/>
  </si>
  <si>
    <t>五步</t>
    <phoneticPr fontId="2" type="noConversion"/>
  </si>
  <si>
    <t>KMTC</t>
    <phoneticPr fontId="2" type="noConversion"/>
  </si>
  <si>
    <t>HSO 1811-25E-164</t>
  </si>
  <si>
    <t>-</t>
    <phoneticPr fontId="2" type="noConversion"/>
  </si>
  <si>
    <t>PO.LF029</t>
  </si>
  <si>
    <t>YJCSHAN1917907</t>
  </si>
  <si>
    <t>YJCSHAN1917908</t>
  </si>
  <si>
    <t>YJCSHAN1917713.</t>
    <phoneticPr fontId="2" type="noConversion"/>
  </si>
  <si>
    <t>1002查验没上船，改配13号</t>
    <phoneticPr fontId="2" type="noConversion"/>
  </si>
  <si>
    <t>YJCSHAN1916287</t>
    <phoneticPr fontId="2" type="noConversion"/>
  </si>
  <si>
    <t>拼4301 少一票舱单费1027 1917759代收</t>
    <phoneticPr fontId="2" type="noConversion"/>
  </si>
  <si>
    <t>YJCSHAN1916061</t>
    <phoneticPr fontId="2" type="noConversion"/>
  </si>
  <si>
    <t>YJCSHAN1916986</t>
    <phoneticPr fontId="2" type="noConversion"/>
  </si>
  <si>
    <t>$00/40【KY】</t>
    <phoneticPr fontId="2" type="noConversion"/>
  </si>
  <si>
    <t>$20/40【KY】</t>
    <phoneticPr fontId="2" type="noConversion"/>
  </si>
  <si>
    <t>一小改一高</t>
    <phoneticPr fontId="2" type="noConversion"/>
  </si>
  <si>
    <t>1020退关改1027 查验改封号 代收1113 1916061一票舱单费</t>
    <phoneticPr fontId="2" type="noConversion"/>
  </si>
  <si>
    <t>振华查验改封号不用另外通知振华改，他们按理货来，HBL改好就可以了</t>
    <phoneticPr fontId="2" type="noConversion"/>
  </si>
  <si>
    <t>YJCSHAN1915429</t>
    <phoneticPr fontId="2" type="noConversion"/>
  </si>
  <si>
    <t>YJCSHAN1915778</t>
    <phoneticPr fontId="2" type="noConversion"/>
  </si>
  <si>
    <t>等月结水单放单</t>
    <phoneticPr fontId="2" type="noConversion"/>
  </si>
  <si>
    <t>CASAMIA</t>
    <phoneticPr fontId="2" type="noConversion"/>
  </si>
  <si>
    <t>拼4303 4309</t>
    <phoneticPr fontId="2" type="noConversion"/>
  </si>
  <si>
    <t>YJCSHAN1917906</t>
    <phoneticPr fontId="2" type="noConversion"/>
  </si>
  <si>
    <t>拼1917709/4305 1917710/4307 两提，拼都取消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</si>
</sst>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mmdd"/>
    <numFmt numFmtId="177" formatCode="mm/dd\ aaa"/>
    <numFmt numFmtId="178" formatCode="mm/dd"/>
    <numFmt numFmtId="179" formatCode="m&quot;月&quot;d&quot;日&quot;\ aaa"/>
  </numFmts>
  <fonts count="11" x14ac:knownFonts="1">
    <font>
      <sz val="11"/>
      <color theme="1"/>
      <name val="等线"/>
      <family val="2"/>
      <scheme val="minor"/>
    </font>
    <font>
      <sz val="11"/>
      <color indexed="8"/>
      <name val="宋体"/>
      <family val="3"/>
      <charset val="134"/>
    </font>
    <font>
      <sz val="9"/>
      <name val="等线"/>
      <family val="3"/>
      <charset val="134"/>
      <scheme val="minor"/>
    </font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rgb="FFFF0000"/>
      <name val="等线"/>
      <family val="2"/>
      <scheme val="minor"/>
    </font>
    <font>
      <sz val="11"/>
      <color rgb="FFFF0000"/>
      <name val="等线"/>
      <family val="3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</borders>
  <cellStyleXfs count="4">
    <xf numFmtId="0" fontId="0" fillId="0" borderId="0"/>
    <xf numFmtId="0" fontId="1" fillId="0" borderId="0">
      <alignment vertical="center"/>
    </xf>
    <xf numFmtId="0" fontId="1" fillId="0" borderId="0">
      <alignment vertical="center"/>
    </xf>
    <xf numFmtId="0" fontId="3" fillId="0" borderId="0">
      <alignment vertical="center"/>
    </xf>
  </cellStyleXfs>
  <cellXfs count="50">
    <xf numFmtId="0" fontId="0" fillId="0" borderId="0" xfId="0"/>
    <xf numFmtId="176" fontId="0" fillId="0" borderId="0" xfId="0" applyNumberFormat="1"/>
    <xf numFmtId="0" fontId="0" fillId="0" borderId="0" xfId="0" applyNumberFormat="1"/>
    <xf numFmtId="0" fontId="0" fillId="0" borderId="0" xfId="0" applyAlignment="1">
      <alignment wrapText="1"/>
    </xf>
    <xf numFmtId="0" fontId="0" fillId="0" borderId="0" xfId="0" applyAlignment="1"/>
    <xf numFmtId="0" fontId="3" fillId="0" borderId="0" xfId="3" applyAlignment="1">
      <alignment vertical="center" wrapText="1"/>
    </xf>
    <xf numFmtId="0" fontId="0" fillId="0" borderId="1" xfId="0" applyBorder="1"/>
    <xf numFmtId="0" fontId="5" fillId="0" borderId="0" xfId="3" applyFont="1" applyAlignment="1">
      <alignment vertical="center" wrapText="1"/>
    </xf>
    <xf numFmtId="1" fontId="0" fillId="0" borderId="0" xfId="0" applyNumberFormat="1"/>
    <xf numFmtId="176" fontId="0" fillId="0" borderId="1" xfId="0" applyNumberFormat="1" applyBorder="1" applyAlignment="1">
      <alignment horizontal="left"/>
    </xf>
    <xf numFmtId="0" fontId="0" fillId="0" borderId="1" xfId="0" applyBorder="1" applyAlignment="1">
      <alignment horizontal="left" indent="1"/>
    </xf>
    <xf numFmtId="0" fontId="0" fillId="0" borderId="1" xfId="0" pivotButton="1" applyBorder="1"/>
    <xf numFmtId="0" fontId="0" fillId="0" borderId="0" xfId="0" applyNumberFormat="1" applyAlignment="1"/>
    <xf numFmtId="0" fontId="0" fillId="0" borderId="1" xfId="0" applyNumberFormat="1" applyBorder="1"/>
    <xf numFmtId="0" fontId="6" fillId="0" borderId="0" xfId="0" applyFont="1"/>
    <xf numFmtId="177" fontId="6" fillId="0" borderId="0" xfId="0" applyNumberFormat="1" applyFont="1"/>
    <xf numFmtId="0" fontId="0" fillId="0" borderId="0" xfId="0" quotePrefix="1" applyAlignment="1">
      <alignment wrapText="1"/>
    </xf>
    <xf numFmtId="0" fontId="0" fillId="0" borderId="5" xfId="0" applyBorder="1"/>
    <xf numFmtId="0" fontId="0" fillId="0" borderId="6" xfId="0" applyBorder="1"/>
    <xf numFmtId="0" fontId="0" fillId="0" borderId="1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3" xfId="0" applyBorder="1" applyAlignment="1">
      <alignment vertical="top" wrapText="1"/>
    </xf>
    <xf numFmtId="0" fontId="0" fillId="0" borderId="4" xfId="0" applyBorder="1" applyAlignment="1">
      <alignment vertical="top" wrapText="1"/>
    </xf>
    <xf numFmtId="178" fontId="0" fillId="0" borderId="1" xfId="0" applyNumberFormat="1" applyBorder="1" applyAlignment="1">
      <alignment horizontal="center" vertical="center"/>
    </xf>
    <xf numFmtId="178" fontId="0" fillId="0" borderId="7" xfId="0" applyNumberFormat="1" applyBorder="1" applyAlignment="1">
      <alignment horizontal="center" vertical="center"/>
    </xf>
    <xf numFmtId="177" fontId="0" fillId="0" borderId="1" xfId="0" applyNumberFormat="1" applyBorder="1" applyAlignment="1">
      <alignment horizontal="left"/>
    </xf>
    <xf numFmtId="0" fontId="0" fillId="0" borderId="0" xfId="0" applyAlignment="1">
      <alignment horizontal="left" vertical="center"/>
    </xf>
    <xf numFmtId="0" fontId="0" fillId="0" borderId="0" xfId="0" applyAlignment="1">
      <alignment vertical="center"/>
    </xf>
    <xf numFmtId="177" fontId="0" fillId="0" borderId="0" xfId="0" applyNumberFormat="1"/>
    <xf numFmtId="0" fontId="0" fillId="0" borderId="6" xfId="0" applyBorder="1" applyAlignment="1"/>
    <xf numFmtId="0" fontId="0" fillId="0" borderId="3" xfId="0" applyBorder="1" applyAlignment="1">
      <alignment vertical="top"/>
    </xf>
    <xf numFmtId="0" fontId="0" fillId="0" borderId="2" xfId="0" applyBorder="1" applyAlignment="1">
      <alignment vertical="top"/>
    </xf>
    <xf numFmtId="179" fontId="0" fillId="0" borderId="1" xfId="0" applyNumberFormat="1" applyBorder="1" applyAlignment="1">
      <alignment horizontal="left"/>
    </xf>
    <xf numFmtId="1" fontId="0" fillId="0" borderId="0" xfId="0" applyNumberFormat="1" applyAlignment="1">
      <alignment wrapText="1"/>
    </xf>
    <xf numFmtId="178" fontId="0" fillId="0" borderId="0" xfId="0" applyNumberFormat="1"/>
    <xf numFmtId="0" fontId="7" fillId="0" borderId="0" xfId="0" applyFont="1" applyAlignment="1">
      <alignment horizontal="left" vertical="center"/>
    </xf>
    <xf numFmtId="0" fontId="8" fillId="0" borderId="0" xfId="0" applyFont="1" applyAlignment="1">
      <alignment vertical="center"/>
    </xf>
    <xf numFmtId="0" fontId="8" fillId="0" borderId="0" xfId="0" applyFont="1" applyAlignment="1">
      <alignment horizontal="left" vertical="center"/>
    </xf>
    <xf numFmtId="0" fontId="0" fillId="0" borderId="0" xfId="0" applyAlignment="1">
      <alignment horizontal="left" wrapText="1"/>
    </xf>
    <xf numFmtId="0" fontId="3" fillId="0" borderId="0" xfId="3" applyAlignment="1">
      <alignment horizontal="left" vertical="center"/>
    </xf>
    <xf numFmtId="0" fontId="3" fillId="0" borderId="0" xfId="3" applyAlignment="1">
      <alignment vertical="center"/>
    </xf>
    <xf numFmtId="0" fontId="6" fillId="0" borderId="0" xfId="0" applyNumberFormat="1" applyFont="1"/>
    <xf numFmtId="0" fontId="0" fillId="2" borderId="9" xfId="0" applyFont="1" applyFill="1" applyBorder="1" applyAlignment="1">
      <alignment horizontal="left" vertical="center"/>
    </xf>
    <xf numFmtId="0" fontId="0" fillId="2" borderId="9" xfId="0" applyFont="1" applyFill="1" applyBorder="1" applyAlignment="1">
      <alignment vertical="center"/>
    </xf>
    <xf numFmtId="0" fontId="0" fillId="0" borderId="9" xfId="0" applyFont="1" applyBorder="1" applyAlignment="1">
      <alignment horizontal="left" vertical="center"/>
    </xf>
    <xf numFmtId="0" fontId="0" fillId="0" borderId="9" xfId="0" applyFont="1" applyBorder="1" applyAlignment="1">
      <alignment vertical="center"/>
    </xf>
    <xf numFmtId="0" fontId="0" fillId="0" borderId="1" xfId="0" applyBorder="1" applyAlignment="1">
      <alignment vertical="center"/>
    </xf>
    <xf numFmtId="0" fontId="0" fillId="0" borderId="8" xfId="0" applyBorder="1" applyAlignment="1">
      <alignment vertical="center"/>
    </xf>
    <xf numFmtId="0" fontId="0" fillId="0" borderId="1" xfId="0" applyBorder="1" applyAlignment="1">
      <alignment horizontal="left"/>
    </xf>
    <xf numFmtId="0" fontId="0" fillId="0" borderId="7" xfId="0" applyBorder="1" applyAlignment="1">
      <alignment horizontal="left"/>
    </xf>
  </cellXfs>
  <cellStyles count="4">
    <cellStyle name="Normal 2" xfId="3" xr:uid="{11464406-CB42-4231-9033-59DF1DE107D9}"/>
    <cellStyle name="常规" xfId="0" builtinId="0"/>
    <cellStyle name="표준 2" xfId="1" xr:uid="{08E4E7BD-B9F9-42CD-AE60-3D130BABA0F0}"/>
    <cellStyle name="표준 8" xfId="2" xr:uid="{AFC6B669-AECF-4343-B3D5-6010716D6012}"/>
  </cellStyles>
  <dxfs count="90"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78" formatCode="mm/dd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numFmt numFmtId="177" formatCode="mm/dd\ aaa"/>
    </dxf>
    <dxf>
      <numFmt numFmtId="179" formatCode="m&quot;月&quot;d&quot;日&quot;\ aaa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>
          <bgColor rgb="FF92D050"/>
        </patternFill>
      </fill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alignment horizontal="general" vertical="bottom" textRotation="0" wrapText="1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</dxf>
    <dxf>
      <alignment horizontal="general" vertical="bottom" textRotation="0" wrapText="0" indent="0" justifyLastLine="0" shrinkToFit="0" readingOrder="0"/>
    </dxf>
    <dxf>
      <numFmt numFmtId="176" formatCode="mmdd"/>
    </dxf>
    <dxf>
      <font>
        <color rgb="FF9C0006"/>
      </font>
      <fill>
        <patternFill>
          <bgColor rgb="FFFFC7CE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  <numFmt numFmtId="177" formatCode="mm/dd\ aaa"/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114300</xdr:colOff>
      <xdr:row>61</xdr:row>
      <xdr:rowOff>152400</xdr:rowOff>
    </xdr:from>
    <xdr:to>
      <xdr:col>25</xdr:col>
      <xdr:colOff>266700</xdr:colOff>
      <xdr:row>82</xdr:row>
      <xdr:rowOff>38100</xdr:rowOff>
    </xdr:to>
    <xdr:sp macro="" textlink="">
      <xdr:nvSpPr>
        <xdr:cNvPr id="2" name="文本框 1">
          <a:extLst>
            <a:ext uri="{FF2B5EF4-FFF2-40B4-BE49-F238E27FC236}">
              <a16:creationId xmlns:a16="http://schemas.microsoft.com/office/drawing/2014/main" id="{6A835938-3613-4879-B529-664F12B56933}"/>
            </a:ext>
          </a:extLst>
        </xdr:cNvPr>
        <xdr:cNvSpPr txBox="1"/>
      </xdr:nvSpPr>
      <xdr:spPr>
        <a:xfrm>
          <a:off x="11410950" y="3048000"/>
          <a:ext cx="3486150" cy="3686175"/>
        </a:xfrm>
        <a:prstGeom prst="rect">
          <a:avLst/>
        </a:prstGeom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zh-CN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五步订舱：表格 </a:t>
          </a:r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--&gt;</a:t>
          </a:r>
          <a:r>
            <a:rPr lang="en-US" altLang="zh-CN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zh-CN" altLang="en-US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系统 </a:t>
          </a:r>
          <a:r>
            <a:rPr lang="en-US" altLang="zh-CN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--&gt; </a:t>
          </a:r>
          <a:r>
            <a:rPr lang="zh-CN" altLang="en-US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振华 </a:t>
          </a:r>
          <a:r>
            <a:rPr lang="en-US" altLang="zh-CN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--&gt; KY --&gt; </a:t>
          </a:r>
          <a:r>
            <a:rPr lang="zh-CN" altLang="en-US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客户</a:t>
          </a:r>
          <a:endParaRPr lang="en-US" altLang="zh-CN" sz="11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endParaRPr lang="en-US" altLang="zh-CN" sz="11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Dear</a:t>
          </a:r>
        </a:p>
        <a:p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       Please kindly refer to the attached files.</a:t>
          </a:r>
          <a:endParaRPr lang="zh-CN" altLang="zh-CN" sz="11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eaLnBrk="1" fontAlgn="auto" latinLnBrk="0" hangingPunct="1"/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       </a:t>
          </a:r>
          <a:r>
            <a:rPr lang="zh-CN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◆</a:t>
          </a:r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HBL DRAFT</a:t>
          </a:r>
          <a:endParaRPr lang="zh-CN" altLang="zh-CN">
            <a:effectLst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       </a:t>
          </a:r>
          <a:r>
            <a:rPr lang="zh-CN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◆</a:t>
          </a:r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MBL DRAFT</a:t>
          </a:r>
          <a:endParaRPr lang="zh-CN" altLang="zh-CN">
            <a:effectLst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       </a:t>
          </a:r>
          <a:r>
            <a:rPr lang="zh-CN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◆</a:t>
          </a:r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DEBIT NOTE</a:t>
          </a:r>
          <a:endParaRPr lang="zh-CN" altLang="zh-CN">
            <a:effectLst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       </a:t>
          </a:r>
          <a:r>
            <a:rPr lang="zh-CN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◆</a:t>
          </a:r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DELAY NOTICE</a:t>
          </a:r>
          <a:endParaRPr lang="zh-CN" altLang="zh-CN" sz="11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       </a:t>
          </a:r>
          <a:r>
            <a:rPr lang="zh-CN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◆</a:t>
          </a:r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BK LIST</a:t>
          </a:r>
          <a:endParaRPr lang="zh-CN" altLang="zh-CN" sz="11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       </a:t>
          </a:r>
          <a:r>
            <a:rPr lang="zh-CN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◆</a:t>
          </a:r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TERMINAL SITE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zh-CN" sz="11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Dear</a:t>
          </a:r>
          <a:endParaRPr lang="zh-CN" altLang="zh-CN" sz="11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       Please kindly refer to the attached files.</a:t>
          </a:r>
          <a:endParaRPr lang="zh-CN" altLang="zh-CN" sz="11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       </a:t>
          </a:r>
          <a:r>
            <a:rPr lang="zh-CN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◆</a:t>
          </a:r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HBL</a:t>
          </a:r>
          <a:endParaRPr lang="zh-CN" altLang="zh-CN" sz="11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       </a:t>
          </a:r>
          <a:r>
            <a:rPr lang="zh-CN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◆</a:t>
          </a:r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MBL</a:t>
          </a:r>
          <a:endParaRPr lang="zh-CN" altLang="zh-CN" sz="11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       </a:t>
          </a:r>
          <a:r>
            <a:rPr lang="zh-CN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◆ </a:t>
          </a:r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VESSEL DEPARTED ON: </a:t>
          </a:r>
          <a:endParaRPr lang="zh-CN" altLang="zh-CN" sz="11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咚咚呛" refreshedDate="43767.602761458336" createdVersion="6" refreshedVersion="6" minRefreshableVersion="3" recordCount="102" xr:uid="{FD88DD72-01B5-423A-9DFA-2D2210298B54}">
  <cacheSource type="worksheet">
    <worksheetSource name="Table135"/>
  </cacheSource>
  <cacheFields count="14">
    <cacheField name="ETD" numFmtId="176">
      <sharedItems containsSemiMixedTypes="0" containsNonDate="0" containsDate="1" containsString="0" minDate="2019-09-15T00:00:00" maxDate="2019-11-21T00:00:00" count="21">
        <d v="2019-09-15T00:00:00"/>
        <d v="2019-09-18T00:00:00"/>
        <d v="2019-09-19T00:00:00"/>
        <d v="2019-09-22T00:00:00"/>
        <d v="2019-09-25T00:00:00"/>
        <d v="2019-09-29T00:00:00"/>
        <d v="2019-10-02T00:00:00"/>
        <d v="2019-10-06T00:00:00"/>
        <d v="2019-10-09T00:00:00"/>
        <d v="2019-10-13T00:00:00"/>
        <d v="2019-10-20T00:00:00"/>
        <d v="2019-10-16T00:00:00"/>
        <d v="2019-10-23T00:00:00"/>
        <d v="2019-10-27T00:00:00"/>
        <d v="2019-10-30T00:00:00"/>
        <d v="2019-11-03T00:00:00"/>
        <d v="2019-11-06T00:00:00"/>
        <d v="2019-11-10T00:00:00"/>
        <d v="2019-11-13T00:00:00"/>
        <d v="2019-11-17T00:00:00"/>
        <d v="2019-11-20T00:00:00"/>
      </sharedItems>
      <fieldGroup par="13" base="0">
        <rangePr groupBy="days" startDate="2019-09-15T00:00:00" endDate="2019-11-21T00:00:00"/>
        <groupItems count="368">
          <s v="&lt;2019-9-15"/>
          <s v="1月1日"/>
          <s v="1月2日"/>
          <s v="1月3日"/>
          <s v="1月4日"/>
          <s v="1月5日"/>
          <s v="1月6日"/>
          <s v="1月7日"/>
          <s v="1月8日"/>
          <s v="1月9日"/>
          <s v="1月10日"/>
          <s v="1月11日"/>
          <s v="1月12日"/>
          <s v="1月13日"/>
          <s v="1月14日"/>
          <s v="1月15日"/>
          <s v="1月16日"/>
          <s v="1月17日"/>
          <s v="1月18日"/>
          <s v="1月19日"/>
          <s v="1月20日"/>
          <s v="1月21日"/>
          <s v="1月22日"/>
          <s v="1月23日"/>
          <s v="1月24日"/>
          <s v="1月25日"/>
          <s v="1月26日"/>
          <s v="1月27日"/>
          <s v="1月28日"/>
          <s v="1月29日"/>
          <s v="1月30日"/>
          <s v="1月31日"/>
          <s v="2月1日"/>
          <s v="2月2日"/>
          <s v="2月3日"/>
          <s v="2月4日"/>
          <s v="2月5日"/>
          <s v="2月6日"/>
          <s v="2月7日"/>
          <s v="2月8日"/>
          <s v="2月9日"/>
          <s v="2月10日"/>
          <s v="2月11日"/>
          <s v="2月12日"/>
          <s v="2月13日"/>
          <s v="2月14日"/>
          <s v="2月15日"/>
          <s v="2月16日"/>
          <s v="2月17日"/>
          <s v="2月18日"/>
          <s v="2月19日"/>
          <s v="2月20日"/>
          <s v="2月21日"/>
          <s v="2月22日"/>
          <s v="2月23日"/>
          <s v="2月24日"/>
          <s v="2月25日"/>
          <s v="2月26日"/>
          <s v="2月27日"/>
          <s v="2月28日"/>
          <s v="2月29日"/>
          <s v="3月1日"/>
          <s v="3月2日"/>
          <s v="3月3日"/>
          <s v="3月4日"/>
          <s v="3月5日"/>
          <s v="3月6日"/>
          <s v="3月7日"/>
          <s v="3月8日"/>
          <s v="3月9日"/>
          <s v="3月10日"/>
          <s v="3月11日"/>
          <s v="3月12日"/>
          <s v="3月13日"/>
          <s v="3月14日"/>
          <s v="3月15日"/>
          <s v="3月16日"/>
          <s v="3月17日"/>
          <s v="3月18日"/>
          <s v="3月19日"/>
          <s v="3月20日"/>
          <s v="3月21日"/>
          <s v="3月22日"/>
          <s v="3月23日"/>
          <s v="3月24日"/>
          <s v="3月25日"/>
          <s v="3月26日"/>
          <s v="3月27日"/>
          <s v="3月28日"/>
          <s v="3月29日"/>
          <s v="3月30日"/>
          <s v="3月31日"/>
          <s v="4月1日"/>
          <s v="4月2日"/>
          <s v="4月3日"/>
          <s v="4月4日"/>
          <s v="4月5日"/>
          <s v="4月6日"/>
          <s v="4月7日"/>
          <s v="4月8日"/>
          <s v="4月9日"/>
          <s v="4月10日"/>
          <s v="4月11日"/>
          <s v="4月12日"/>
          <s v="4月13日"/>
          <s v="4月14日"/>
          <s v="4月15日"/>
          <s v="4月16日"/>
          <s v="4月17日"/>
          <s v="4月18日"/>
          <s v="4月19日"/>
          <s v="4月20日"/>
          <s v="4月21日"/>
          <s v="4月22日"/>
          <s v="4月23日"/>
          <s v="4月24日"/>
          <s v="4月25日"/>
          <s v="4月26日"/>
          <s v="4月27日"/>
          <s v="4月28日"/>
          <s v="4月29日"/>
          <s v="4月30日"/>
          <s v="5月1日"/>
          <s v="5月2日"/>
          <s v="5月3日"/>
          <s v="5月4日"/>
          <s v="5月5日"/>
          <s v="5月6日"/>
          <s v="5月7日"/>
          <s v="5月8日"/>
          <s v="5月9日"/>
          <s v="5月10日"/>
          <s v="5月11日"/>
          <s v="5月12日"/>
          <s v="5月13日"/>
          <s v="5月14日"/>
          <s v="5月15日"/>
          <s v="5月16日"/>
          <s v="5月17日"/>
          <s v="5月18日"/>
          <s v="5月19日"/>
          <s v="5月20日"/>
          <s v="5月21日"/>
          <s v="5月22日"/>
          <s v="5月23日"/>
          <s v="5月24日"/>
          <s v="5月25日"/>
          <s v="5月26日"/>
          <s v="5月27日"/>
          <s v="5月28日"/>
          <s v="5月29日"/>
          <s v="5月30日"/>
          <s v="5月31日"/>
          <s v="6月1日"/>
          <s v="6月2日"/>
          <s v="6月3日"/>
          <s v="6月4日"/>
          <s v="6月5日"/>
          <s v="6月6日"/>
          <s v="6月7日"/>
          <s v="6月8日"/>
          <s v="6月9日"/>
          <s v="6月10日"/>
          <s v="6月11日"/>
          <s v="6月12日"/>
          <s v="6月13日"/>
          <s v="6月14日"/>
          <s v="6月15日"/>
          <s v="6月16日"/>
          <s v="6月17日"/>
          <s v="6月18日"/>
          <s v="6月19日"/>
          <s v="6月20日"/>
          <s v="6月21日"/>
          <s v="6月22日"/>
          <s v="6月23日"/>
          <s v="6月24日"/>
          <s v="6月25日"/>
          <s v="6月26日"/>
          <s v="6月27日"/>
          <s v="6月28日"/>
          <s v="6月29日"/>
          <s v="6月30日"/>
          <s v="7月1日"/>
          <s v="7月2日"/>
          <s v="7月3日"/>
          <s v="7月4日"/>
          <s v="7月5日"/>
          <s v="7月6日"/>
          <s v="7月7日"/>
          <s v="7月8日"/>
          <s v="7月9日"/>
          <s v="7月10日"/>
          <s v="7月11日"/>
          <s v="7月12日"/>
          <s v="7月13日"/>
          <s v="7月14日"/>
          <s v="7月15日"/>
          <s v="7月16日"/>
          <s v="7月17日"/>
          <s v="7月18日"/>
          <s v="7月19日"/>
          <s v="7月20日"/>
          <s v="7月21日"/>
          <s v="7月22日"/>
          <s v="7月23日"/>
          <s v="7月24日"/>
          <s v="7月25日"/>
          <s v="7月26日"/>
          <s v="7月27日"/>
          <s v="7月28日"/>
          <s v="7月29日"/>
          <s v="7月30日"/>
          <s v="7月31日"/>
          <s v="8月1日"/>
          <s v="8月2日"/>
          <s v="8月3日"/>
          <s v="8月4日"/>
          <s v="8月5日"/>
          <s v="8月6日"/>
          <s v="8月7日"/>
          <s v="8月8日"/>
          <s v="8月9日"/>
          <s v="8月10日"/>
          <s v="8月11日"/>
          <s v="8月12日"/>
          <s v="8月13日"/>
          <s v="8月14日"/>
          <s v="8月15日"/>
          <s v="8月16日"/>
          <s v="8月17日"/>
          <s v="8月18日"/>
          <s v="8月19日"/>
          <s v="8月20日"/>
          <s v="8月21日"/>
          <s v="8月22日"/>
          <s v="8月23日"/>
          <s v="8月24日"/>
          <s v="8月25日"/>
          <s v="8月26日"/>
          <s v="8月27日"/>
          <s v="8月28日"/>
          <s v="8月29日"/>
          <s v="8月30日"/>
          <s v="8月31日"/>
          <s v="9月1日"/>
          <s v="9月2日"/>
          <s v="9月3日"/>
          <s v="9月4日"/>
          <s v="9月5日"/>
          <s v="9月6日"/>
          <s v="9月7日"/>
          <s v="9月8日"/>
          <s v="9月9日"/>
          <s v="9月10日"/>
          <s v="9月11日"/>
          <s v="9月12日"/>
          <s v="9月13日"/>
          <s v="9月14日"/>
          <s v="9月15日"/>
          <s v="9月16日"/>
          <s v="9月17日"/>
          <s v="9月18日"/>
          <s v="9月19日"/>
          <s v="9月20日"/>
          <s v="9月21日"/>
          <s v="9月22日"/>
          <s v="9月23日"/>
          <s v="9月24日"/>
          <s v="9月25日"/>
          <s v="9月26日"/>
          <s v="9月27日"/>
          <s v="9月28日"/>
          <s v="9月29日"/>
          <s v="9月30日"/>
          <s v="10月1日"/>
          <s v="10月2日"/>
          <s v="10月3日"/>
          <s v="10月4日"/>
          <s v="10月5日"/>
          <s v="10月6日"/>
          <s v="10月7日"/>
          <s v="10月8日"/>
          <s v="10月9日"/>
          <s v="10月10日"/>
          <s v="10月11日"/>
          <s v="10月12日"/>
          <s v="10月13日"/>
          <s v="10月14日"/>
          <s v="10月15日"/>
          <s v="10月16日"/>
          <s v="10月17日"/>
          <s v="10月18日"/>
          <s v="10月19日"/>
          <s v="10月20日"/>
          <s v="10月21日"/>
          <s v="10月22日"/>
          <s v="10月23日"/>
          <s v="10月24日"/>
          <s v="10月25日"/>
          <s v="10月26日"/>
          <s v="10月27日"/>
          <s v="10月28日"/>
          <s v="10月29日"/>
          <s v="10月30日"/>
          <s v="10月31日"/>
          <s v="11月1日"/>
          <s v="11月2日"/>
          <s v="11月3日"/>
          <s v="11月4日"/>
          <s v="11月5日"/>
          <s v="11月6日"/>
          <s v="11月7日"/>
          <s v="11月8日"/>
          <s v="11月9日"/>
          <s v="11月10日"/>
          <s v="11月11日"/>
          <s v="11月12日"/>
          <s v="11月13日"/>
          <s v="11月14日"/>
          <s v="11月15日"/>
          <s v="11月16日"/>
          <s v="11月17日"/>
          <s v="11月18日"/>
          <s v="11月19日"/>
          <s v="11月20日"/>
          <s v="11月21日"/>
          <s v="11月22日"/>
          <s v="11月23日"/>
          <s v="11月24日"/>
          <s v="11月25日"/>
          <s v="11月26日"/>
          <s v="11月27日"/>
          <s v="11月28日"/>
          <s v="11月29日"/>
          <s v="11月30日"/>
          <s v="12月1日"/>
          <s v="12月2日"/>
          <s v="12月3日"/>
          <s v="12月4日"/>
          <s v="12月5日"/>
          <s v="12月6日"/>
          <s v="12月7日"/>
          <s v="12月8日"/>
          <s v="12月9日"/>
          <s v="12月10日"/>
          <s v="12月11日"/>
          <s v="12月12日"/>
          <s v="12月13日"/>
          <s v="12月14日"/>
          <s v="12月15日"/>
          <s v="12月16日"/>
          <s v="12月17日"/>
          <s v="12月18日"/>
          <s v="12月19日"/>
          <s v="12月20日"/>
          <s v="12月21日"/>
          <s v="12月22日"/>
          <s v="12月23日"/>
          <s v="12月24日"/>
          <s v="12月25日"/>
          <s v="12月26日"/>
          <s v="12月27日"/>
          <s v="12月28日"/>
          <s v="12月29日"/>
          <s v="12月30日"/>
          <s v="12月31日"/>
          <s v="&gt;2019-11-21"/>
        </groupItems>
      </fieldGroup>
    </cacheField>
    <cacheField name="CNEE" numFmtId="0">
      <sharedItems/>
    </cacheField>
    <cacheField name="CN" numFmtId="0">
      <sharedItems/>
    </cacheField>
    <cacheField name="显示名称" numFmtId="0">
      <sharedItems count="32">
        <s v="永艺 - SSEM"/>
        <s v="华宝 - EFFEX"/>
        <s v="顾家 - HANSSEM"/>
        <s v="卡帛 - HANSSEM"/>
        <s v="万盛 - HANSSEM"/>
        <s v="瑞显 - CASAMIA"/>
        <s v="华达利 - CASAMIA"/>
        <s v="非相 - CASAMIA"/>
        <s v="雅家居 - CASAMIA"/>
        <s v="洲际 - CASAMIA"/>
        <s v="顾家 - CASAMIA"/>
        <s v="伟誉 - CASAMIA"/>
        <s v="CASAMIA - 瑞显" u="1"/>
        <s v="HANSSEM - 顾家" u="1"/>
        <s v="CASAMIA - 华达利" u="1"/>
        <s v="ZHOUJI" u="1"/>
        <s v="韩森 - HANSSEM" u="1"/>
        <s v="CASAMIA - 雅家居" u="1"/>
        <s v="CASAMIA - 顾家" u="1"/>
        <s v=" - 两家" u="1"/>
        <s v="SSEM - 华宝" u="1"/>
        <s v="华宝 - SSEM" u="1"/>
        <s v="华大 - HANSSEM" u="1"/>
        <s v="CASAMIA - 洲际" u="1"/>
        <s v="安吉 - SSEM" u="1"/>
        <s v="HANSSEM - 华大" u="1"/>
        <s v="HANSSEM - 万盛" u="1"/>
        <s v="HANSSEM - 卡帛" u="1"/>
        <s v="HANSSEM - 韩森" u="1"/>
        <s v="SSEM - 永艺" u="1"/>
        <s v="CASAMIA - 非相" u="1"/>
        <s v="SSEM - 安吉" u="1"/>
      </sharedItems>
    </cacheField>
    <cacheField name="EN" numFmtId="0">
      <sharedItems/>
    </cacheField>
    <cacheField name="PO" numFmtId="0">
      <sharedItems containsBlank="1"/>
    </cacheField>
    <cacheField name="20'" numFmtId="1">
      <sharedItems containsString="0" containsBlank="1" containsNumber="1" containsInteger="1" minValue="0" maxValue="10"/>
    </cacheField>
    <cacheField name="40'" numFmtId="1">
      <sharedItems containsString="0" containsBlank="1" containsNumber="1" containsInteger="1" minValue="0" maxValue="7"/>
    </cacheField>
    <cacheField name="TEU" numFmtId="1">
      <sharedItems containsString="0" containsBlank="1" containsNumber="1" containsInteger="1" minValue="0" maxValue="14"/>
    </cacheField>
    <cacheField name="HBL" numFmtId="1">
      <sharedItems containsBlank="1"/>
    </cacheField>
    <cacheField name="MBL" numFmtId="1">
      <sharedItems containsBlank="1"/>
    </cacheField>
    <cacheField name="备注" numFmtId="1">
      <sharedItems containsBlank="1"/>
    </cacheField>
    <cacheField name="五步" numFmtId="1">
      <sharedItems containsBlank="1"/>
    </cacheField>
    <cacheField name="月" numFmtId="0" databaseField="0">
      <fieldGroup base="0">
        <rangePr groupBy="months" startDate="2019-09-15T00:00:00" endDate="2019-11-21T00:00:00"/>
        <groupItems count="14">
          <s v="&lt;2019-9-15"/>
          <s v="1月"/>
          <s v="2月"/>
          <s v="3月"/>
          <s v="4月"/>
          <s v="5月"/>
          <s v="6月"/>
          <s v="7月"/>
          <s v="8月"/>
          <s v="9月"/>
          <s v="10月"/>
          <s v="11月"/>
          <s v="12月"/>
          <s v="&gt;2019-11-21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2">
  <r>
    <x v="0"/>
    <s v="SSEM"/>
    <s v="永艺"/>
    <x v="0"/>
    <s v="UE"/>
    <s v="8-3 ORDER "/>
    <m/>
    <n v="1"/>
    <n v="2"/>
    <s v="YJCSHAN1914865"/>
    <s v="PCLU1937HN4402"/>
    <m/>
    <s v="OK"/>
  </r>
  <r>
    <x v="1"/>
    <s v="EFFEX"/>
    <s v="华宝"/>
    <x v="1"/>
    <s v="HUABAO"/>
    <s v="HB190601"/>
    <n v="9"/>
    <m/>
    <n v="9"/>
    <m/>
    <m/>
    <m/>
    <s v="OK"/>
  </r>
  <r>
    <x v="1"/>
    <s v="HANSSEM"/>
    <s v="顾家"/>
    <x v="2"/>
    <s v="KUKA"/>
    <s v="219JJ52-10000-6"/>
    <m/>
    <n v="1"/>
    <n v="2"/>
    <m/>
    <m/>
    <m/>
    <s v="OK"/>
  </r>
  <r>
    <x v="1"/>
    <s v="HANSSEM"/>
    <s v="卡帛"/>
    <x v="3"/>
    <s v="CABO"/>
    <s v="219CABO-HS030"/>
    <m/>
    <n v="1"/>
    <n v="2"/>
    <m/>
    <m/>
    <m/>
    <s v="OK"/>
  </r>
  <r>
    <x v="1"/>
    <s v="HANSSEM"/>
    <s v="万盛"/>
    <x v="4"/>
    <s v="WANSHENG"/>
    <s v="HSO 1811-25E-135"/>
    <m/>
    <n v="2"/>
    <n v="4"/>
    <m/>
    <m/>
    <m/>
    <s v="OK"/>
  </r>
  <r>
    <x v="1"/>
    <s v="HANSSEM"/>
    <s v="万盛"/>
    <x v="4"/>
    <s v="WANSHENG"/>
    <s v="HSO 1811-25E-136"/>
    <m/>
    <n v="1"/>
    <n v="2"/>
    <m/>
    <m/>
    <m/>
    <s v="OK"/>
  </r>
  <r>
    <x v="1"/>
    <s v="SSEM"/>
    <s v="永艺"/>
    <x v="0"/>
    <s v="UE"/>
    <s v="8-3 ORDER "/>
    <n v="1"/>
    <m/>
    <n v="1"/>
    <s v="YJCSHAN1915136"/>
    <s v="PCLU1792PE4404"/>
    <m/>
    <s v="OK"/>
  </r>
  <r>
    <x v="2"/>
    <s v="CASAMIA"/>
    <s v="瑞显"/>
    <x v="5"/>
    <s v="LOUISUN"/>
    <s v="FURNITURE"/>
    <n v="1"/>
    <m/>
    <n v="1"/>
    <m/>
    <m/>
    <m/>
    <s v="OK"/>
  </r>
  <r>
    <x v="3"/>
    <s v="EFFEX"/>
    <s v="华宝"/>
    <x v="1"/>
    <s v="HUABAO"/>
    <s v="HB190601"/>
    <n v="10"/>
    <m/>
    <n v="10"/>
    <s v="YJCSHAN1914951"/>
    <s v="PCLU1938HN4400"/>
    <m/>
    <s v="OK"/>
  </r>
  <r>
    <x v="3"/>
    <s v="HANSSEM"/>
    <s v="顾家"/>
    <x v="2"/>
    <s v="KUKA"/>
    <s v="219JJ52-10000-9"/>
    <m/>
    <n v="1"/>
    <n v="2"/>
    <s v="YJCSHAN1915130"/>
    <s v="PCLU1938HN4300"/>
    <m/>
    <s v="OK"/>
  </r>
  <r>
    <x v="3"/>
    <s v="HANSSEM"/>
    <s v="卡帛"/>
    <x v="3"/>
    <s v="CABO"/>
    <s v="219CABO-HS035/HS044/HS046"/>
    <m/>
    <n v="3"/>
    <n v="6"/>
    <s v="YJCSHAN1915133"/>
    <s v="PCLU1938HN4302"/>
    <m/>
    <s v="OK"/>
  </r>
  <r>
    <x v="3"/>
    <s v="HANSSEM"/>
    <s v="万盛"/>
    <x v="4"/>
    <s v="WANSHENG"/>
    <s v="HSO 1811-25E-139"/>
    <m/>
    <n v="2"/>
    <n v="4"/>
    <m/>
    <m/>
    <m/>
    <s v="OK"/>
  </r>
  <r>
    <x v="3"/>
    <s v="HANSSEM"/>
    <s v="万盛"/>
    <x v="4"/>
    <s v="WANSHENG"/>
    <s v="HSO 1811-25E-140"/>
    <m/>
    <n v="2"/>
    <n v="4"/>
    <m/>
    <m/>
    <m/>
    <s v="OK"/>
  </r>
  <r>
    <x v="3"/>
    <s v="HANSSEM"/>
    <s v="万盛"/>
    <x v="4"/>
    <s v="WANSHENG"/>
    <s v="HSO 1811-25E-141"/>
    <m/>
    <n v="1"/>
    <n v="2"/>
    <m/>
    <m/>
    <m/>
    <s v="OK"/>
  </r>
  <r>
    <x v="4"/>
    <s v="CASAMIA"/>
    <s v="华达利"/>
    <x v="6"/>
    <s v="HTL"/>
    <s v="PO1908020017_x000a_PO1908020027_x000a_PO1908020011"/>
    <m/>
    <n v="3"/>
    <n v="6"/>
    <s v="YJCSHAN1915718"/>
    <s v="PCLU1793PE4308"/>
    <m/>
    <s v="OK"/>
  </r>
  <r>
    <x v="4"/>
    <s v="EFFEX"/>
    <s v="华宝"/>
    <x v="1"/>
    <s v="HUABAO"/>
    <s v="HB190601"/>
    <n v="8"/>
    <m/>
    <n v="8"/>
    <s v="YJCSHAN1914953"/>
    <s v="PCLU1793PE4400"/>
    <s v="拼4401"/>
    <s v="OK"/>
  </r>
  <r>
    <x v="4"/>
    <s v="HANSSEM"/>
    <s v="顾家"/>
    <x v="2"/>
    <s v="KUKA"/>
    <s v="219JJ52-10000-5"/>
    <m/>
    <n v="1"/>
    <n v="2"/>
    <s v="YJCSHAN1914680"/>
    <s v="PCLU1793PE4300"/>
    <m/>
    <s v="OK"/>
  </r>
  <r>
    <x v="4"/>
    <s v="HANSSEM"/>
    <s v="万盛"/>
    <x v="4"/>
    <s v="WANSHENG"/>
    <s v="HSO 1811-25E-142"/>
    <m/>
    <n v="1"/>
    <n v="2"/>
    <s v="YJCSHAN1915657"/>
    <s v="PCLU1793PE4302"/>
    <m/>
    <s v="OK"/>
  </r>
  <r>
    <x v="4"/>
    <s v="HANSSEM"/>
    <s v="万盛"/>
    <x v="4"/>
    <s v="WANSHENG"/>
    <s v="HSO 1811-25E-143"/>
    <m/>
    <n v="3"/>
    <n v="6"/>
    <s v="YJCSHAN1915658"/>
    <s v="PCLU1793PE4304"/>
    <s v="1915754 1915755"/>
    <s v="OK"/>
  </r>
  <r>
    <x v="4"/>
    <s v="SSEM"/>
    <s v="永艺"/>
    <x v="0"/>
    <s v="UE"/>
    <s v="9-7 ORDER"/>
    <m/>
    <n v="2"/>
    <n v="4"/>
    <s v="YJCSHAN1915583"/>
    <s v="PCLU1793PE4404"/>
    <s v="拼4405 1915810"/>
    <s v="OK"/>
  </r>
  <r>
    <x v="5"/>
    <s v="CASAMIA"/>
    <s v="非相"/>
    <x v="7"/>
    <s v="PHILOSOPHY"/>
    <s v="PO1907230017"/>
    <n v="1"/>
    <m/>
    <n v="1"/>
    <s v="YJCSHAN1916011"/>
    <s v="PCLU1939HN4310"/>
    <m/>
    <s v="OK"/>
  </r>
  <r>
    <x v="5"/>
    <s v="CASAMIA"/>
    <s v="雅家居"/>
    <x v="8"/>
    <s v="YAJIAJU"/>
    <s v="shcsm190920"/>
    <m/>
    <n v="2"/>
    <n v="4"/>
    <s v="YJCSHAN1915777"/>
    <s v="PCLU1939HN4302"/>
    <m/>
    <s v="OK"/>
  </r>
  <r>
    <x v="5"/>
    <s v="HANSSEM"/>
    <s v="顾家"/>
    <x v="2"/>
    <s v="KUKA"/>
    <s v="219JJ52-10000-7-11"/>
    <m/>
    <n v="2"/>
    <n v="4"/>
    <s v="YJCSHAN1915429"/>
    <s v="PCLU1939HN4300"/>
    <m/>
    <s v="OK"/>
  </r>
  <r>
    <x v="5"/>
    <s v="HANSSEM"/>
    <s v="万盛"/>
    <x v="4"/>
    <s v="WANSHENG"/>
    <s v="HSO 1811-25E-145"/>
    <m/>
    <n v="3"/>
    <n v="6"/>
    <s v="YJCSHAN1915929"/>
    <s v="PCLU1939HN4306"/>
    <m/>
    <s v="OK"/>
  </r>
  <r>
    <x v="5"/>
    <s v="HANSSEM"/>
    <s v="万盛"/>
    <x v="4"/>
    <s v="WANSHENG"/>
    <s v="HSO 1811-25E-146"/>
    <m/>
    <n v="2"/>
    <n v="4"/>
    <s v="YJCSHAN1915930"/>
    <s v="PCLU1939HN4308"/>
    <m/>
    <s v="OK"/>
  </r>
  <r>
    <x v="5"/>
    <s v="SSEM"/>
    <s v="永艺"/>
    <x v="0"/>
    <s v="UE"/>
    <s v="9-8 ORDER"/>
    <m/>
    <n v="4"/>
    <n v="8"/>
    <s v="YJCSHAN1915778"/>
    <s v="PCLU1939HN4304"/>
    <m/>
    <s v="OK"/>
  </r>
  <r>
    <x v="6"/>
    <s v="CASAMIA"/>
    <s v="华达利"/>
    <x v="6"/>
    <s v="HTL"/>
    <s v="PO1908140032_x000a_PO1908140033_x000a_PO1908140035"/>
    <m/>
    <n v="3"/>
    <n v="6"/>
    <s v="YJCSHAN1915774"/>
    <s v="PCLU1794PE4404"/>
    <s v="原4，套用1个到1009"/>
    <s v="OK"/>
  </r>
  <r>
    <x v="6"/>
    <s v="EFFEX"/>
    <s v="华宝"/>
    <x v="1"/>
    <s v="HUABAO"/>
    <s v="HB190601"/>
    <n v="4"/>
    <m/>
    <n v="4"/>
    <s v="YJCSHAN1915697"/>
    <s v="PCLU1794PE4400"/>
    <m/>
    <s v="OK"/>
  </r>
  <r>
    <x v="7"/>
    <s v="CASAMIA"/>
    <s v="洲际"/>
    <x v="9"/>
    <s v="ZHOUJI"/>
    <s v="AHL2285"/>
    <m/>
    <n v="1"/>
    <n v="2"/>
    <s v="YJCSHAN1915776"/>
    <s v="PCLU1940HN4302"/>
    <m/>
    <s v="OK"/>
  </r>
  <r>
    <x v="7"/>
    <s v="HANSSEM"/>
    <s v="顾家"/>
    <x v="2"/>
    <s v="KUKA"/>
    <s v="219JJ52-10000-10"/>
    <m/>
    <n v="1"/>
    <n v="2"/>
    <s v="YJCSHAN1915771"/>
    <s v="PCLU1940HN4300"/>
    <m/>
    <s v="OK"/>
  </r>
  <r>
    <x v="7"/>
    <s v="HANSSEM"/>
    <s v="顾家"/>
    <x v="2"/>
    <s v="KUKA"/>
    <s v="219JJ52-10000-15"/>
    <m/>
    <n v="1"/>
    <n v="2"/>
    <s v="YJCSHAN1916226"/>
    <s v="PCLU1940HN4310"/>
    <m/>
    <s v="OK"/>
  </r>
  <r>
    <x v="7"/>
    <s v="HANSSEM"/>
    <s v="顾家"/>
    <x v="2"/>
    <s v="KUKA"/>
    <s v="219JJ52-10000-13"/>
    <m/>
    <n v="1"/>
    <n v="2"/>
    <s v="YJCSHAN1916227"/>
    <s v="PCLU1940HN4312"/>
    <m/>
    <s v="OK"/>
  </r>
  <r>
    <x v="7"/>
    <s v="HANSSEM"/>
    <s v="万盛"/>
    <x v="4"/>
    <s v="WANSHENG"/>
    <s v="HSO 1811-25E-147"/>
    <m/>
    <n v="3"/>
    <n v="6"/>
    <s v="YJCSHAN1916055"/>
    <s v="PCLU1940HN4304"/>
    <m/>
    <s v="OK"/>
  </r>
  <r>
    <x v="7"/>
    <s v="HANSSEM"/>
    <s v="万盛"/>
    <x v="4"/>
    <s v="WANSHENG"/>
    <s v="HSO 1811-25E-148"/>
    <m/>
    <n v="1"/>
    <n v="2"/>
    <s v="YJCSHAN1916057"/>
    <s v="PCLU1940HN4306"/>
    <m/>
    <s v="OK"/>
  </r>
  <r>
    <x v="7"/>
    <s v="HANSSEM"/>
    <s v="万盛"/>
    <x v="4"/>
    <s v="WANSHENG"/>
    <s v="HSO 1811-25E-149"/>
    <m/>
    <n v="1"/>
    <n v="2"/>
    <s v="YJCSHAN1916058"/>
    <s v="PCLU1940HN4308"/>
    <m/>
    <s v="OK"/>
  </r>
  <r>
    <x v="7"/>
    <s v="SSEM"/>
    <s v="永艺"/>
    <x v="0"/>
    <s v="UE"/>
    <s v="10-1 ORDER"/>
    <m/>
    <n v="6"/>
    <n v="12"/>
    <s v="YJCSHAN1916225"/>
    <s v="PCLU1940HN4400"/>
    <s v="3HBL 并1916398/4401 1916400/4402"/>
    <s v="OK"/>
  </r>
  <r>
    <x v="8"/>
    <s v="CASAMIA"/>
    <s v="华达利"/>
    <x v="6"/>
    <s v="HTL"/>
    <s v="PO1908020006_x000a_PO1908140034"/>
    <m/>
    <n v="2"/>
    <n v="4"/>
    <s v="YJCSHAN1915775"/>
    <s v="PCLU1795PE4400"/>
    <s v="出2份提单 A"/>
    <s v="OK"/>
  </r>
  <r>
    <x v="8"/>
    <s v="HANSSEM"/>
    <s v="顾家"/>
    <x v="2"/>
    <s v="KUKA"/>
    <s v="219JJ52-10000-14"/>
    <m/>
    <n v="1"/>
    <n v="2"/>
    <s v="YJCSHAN1916027"/>
    <s v="PCLU1795PE4302"/>
    <m/>
    <s v="OK"/>
  </r>
  <r>
    <x v="8"/>
    <s v="HANSSEM"/>
    <s v="卡帛"/>
    <x v="3"/>
    <s v="CABO"/>
    <s v="219CABO-HS037/HS038"/>
    <m/>
    <n v="2"/>
    <n v="4"/>
    <s v="YJCSHAN1915768"/>
    <s v="PCLU1795PE4300"/>
    <s v="出2份提单 A"/>
    <s v="OK"/>
  </r>
  <r>
    <x v="8"/>
    <s v="HANSSEM"/>
    <s v="万盛"/>
    <x v="4"/>
    <s v="WANSHENG"/>
    <s v="HSO 1811-25E-150"/>
    <m/>
    <n v="1"/>
    <n v="2"/>
    <s v="YJCSHAN1916059"/>
    <s v="PCLU1795PE4304"/>
    <m/>
    <s v="OK"/>
  </r>
  <r>
    <x v="8"/>
    <s v="HANSSEM"/>
    <s v="万盛"/>
    <x v="4"/>
    <s v="WANSHENG"/>
    <s v="HSO 1811-25E-151"/>
    <n v="1"/>
    <m/>
    <n v="1"/>
    <s v="YJCSHAN1916060"/>
    <s v="PCLU1795PE4306"/>
    <s v="出2份提单"/>
    <s v="OK"/>
  </r>
  <r>
    <x v="9"/>
    <s v="HANSSEM"/>
    <s v="万盛"/>
    <x v="4"/>
    <s v="WANSHENG"/>
    <s v="HSO 1811-25E-152"/>
    <m/>
    <n v="1"/>
    <n v="2"/>
    <s v="YJCSHAN1916061"/>
    <s v="PCLU1941HN4300"/>
    <s v="拼4301 少一票舱单费1027 1917759代收"/>
    <s v="OK"/>
  </r>
  <r>
    <x v="8"/>
    <s v="SSEM"/>
    <s v="永艺"/>
    <x v="0"/>
    <s v="UE"/>
    <s v="8-3 ORDER "/>
    <m/>
    <n v="1"/>
    <n v="2"/>
    <s v="YJCSHAN1915928"/>
    <s v="PCLU1795PE4402"/>
    <s v="拼4403"/>
    <s v="OK"/>
  </r>
  <r>
    <x v="9"/>
    <s v="CASAMIA"/>
    <s v="华达利"/>
    <x v="6"/>
    <s v="HTL"/>
    <s v="PO1908020018_x000a_PO1908020028"/>
    <m/>
    <n v="2"/>
    <n v="4"/>
    <s v="YJCSHAN1915773"/>
    <s v="PCLU1941HN4314"/>
    <s v="1002查验没上船，改配13号"/>
    <s v="OK"/>
  </r>
  <r>
    <x v="9"/>
    <s v="CASAMIA"/>
    <s v="华达利"/>
    <x v="6"/>
    <s v="HTL"/>
    <s v="PO1909100009_x000a_PO1908020012_x000a_PO1908020019_x000a_PO1908020029"/>
    <m/>
    <n v="4"/>
    <n v="8"/>
    <s v="YJCSHAN1916054"/>
    <s v="PCLU1941HN4400"/>
    <s v="出3提单A B"/>
    <s v="OK"/>
  </r>
  <r>
    <x v="9"/>
    <s v="CASAMIA"/>
    <s v="雅家居"/>
    <x v="8"/>
    <s v="YAJIAJU"/>
    <s v="shcsm190927"/>
    <m/>
    <n v="2"/>
    <n v="4"/>
    <s v="YJCSHAN1916287"/>
    <s v="PCLU1941HN4306"/>
    <s v="舱单费在20号那票里收"/>
    <s v="OK"/>
  </r>
  <r>
    <x v="9"/>
    <s v="EFFEX"/>
    <s v="华宝"/>
    <x v="1"/>
    <s v="HUABAO"/>
    <s v="HB190601"/>
    <n v="3"/>
    <m/>
    <n v="3"/>
    <s v="YJCSHAN1916447"/>
    <s v="PCLU1941HN4316"/>
    <s v="10-02三个没上船改配"/>
    <s v="OK"/>
  </r>
  <r>
    <x v="9"/>
    <s v="HANSSEM"/>
    <s v="顾家"/>
    <x v="2"/>
    <s v="KUKA"/>
    <s v="219JJ52-10000-12-16"/>
    <m/>
    <n v="2"/>
    <n v="4"/>
    <s v="YJCSHAN1915772"/>
    <s v="PCLU1941HN4308"/>
    <s v="拼4310 4312"/>
    <s v="OK"/>
  </r>
  <r>
    <x v="8"/>
    <s v="HANSSEM"/>
    <s v="万盛"/>
    <x v="4"/>
    <s v="WANSHENG"/>
    <s v="HSO 1811-25E-156"/>
    <m/>
    <n v="1"/>
    <n v="2"/>
    <s v="YJCSHAN1916137"/>
    <s v="PCLU1795PE4308"/>
    <s v="拼4309"/>
    <s v="OK"/>
  </r>
  <r>
    <x v="10"/>
    <s v="HANSSEM"/>
    <s v="万盛"/>
    <x v="4"/>
    <s v="WANSHENG"/>
    <s v="HSO 1811-25E-156"/>
    <m/>
    <n v="2"/>
    <n v="4"/>
    <s v="YJCSHAN1916288"/>
    <s v="PCLU1942HN4302"/>
    <m/>
    <s v="OK"/>
  </r>
  <r>
    <x v="11"/>
    <s v="CASAMIA"/>
    <s v="顾家"/>
    <x v="10"/>
    <s v="KUKA"/>
    <s v="PO1908020039_x000a_PO1908020041_x000a_PO1908020042_x000a_PO1908020043"/>
    <m/>
    <n v="4"/>
    <n v="8"/>
    <s v="YJCSHAN1916157"/>
    <s v="PCLU1796PE4400"/>
    <m/>
    <s v="OK"/>
  </r>
  <r>
    <x v="11"/>
    <s v="CASAMIA"/>
    <s v="洲际"/>
    <x v="9"/>
    <s v="ZHOUJI"/>
    <s v="AHL2332"/>
    <m/>
    <n v="1"/>
    <n v="2"/>
    <s v="YJCSHAN1916390"/>
    <s v="PCLU1796PE4402"/>
    <s v="拼4403"/>
    <s v="OK"/>
  </r>
  <r>
    <x v="11"/>
    <s v="HANSSEM"/>
    <s v="卡帛"/>
    <x v="3"/>
    <s v="CABO"/>
    <s v="219CABO-HS040/HS041/HS042"/>
    <m/>
    <n v="0"/>
    <n v="0"/>
    <s v="YJCSHAN1915769"/>
    <s v="PCLU1796PE4302"/>
    <s v="改到20"/>
    <s v="OK"/>
  </r>
  <r>
    <x v="11"/>
    <s v="HANSSEM"/>
    <s v="万盛"/>
    <x v="4"/>
    <s v="WANSHENG"/>
    <s v="HSO 1811-25E-154"/>
    <m/>
    <n v="0"/>
    <n v="0"/>
    <s v="YJCSHAN1916063"/>
    <s v="PCLU1796PE4306"/>
    <s v="1个改到20号"/>
    <s v="OK"/>
  </r>
  <r>
    <x v="11"/>
    <s v="HANSSEM"/>
    <s v="万盛"/>
    <x v="4"/>
    <s v="WANSHENG"/>
    <s v="HSO 1811-25E-155"/>
    <m/>
    <n v="0"/>
    <n v="0"/>
    <s v="YJCSHAN1916064"/>
    <s v="PCLU1796PE4308"/>
    <s v="1个改到20号"/>
    <s v="OK"/>
  </r>
  <r>
    <x v="10"/>
    <s v="CASAMIA"/>
    <s v="顾家"/>
    <x v="10"/>
    <s v="KUKA"/>
    <s v="PO1908020044"/>
    <m/>
    <n v="1"/>
    <n v="2"/>
    <s v="YJCSHAN1916158"/>
    <s v="PCLU1942HN4400"/>
    <m/>
    <s v="OK"/>
  </r>
  <r>
    <x v="10"/>
    <s v="CASAMIA"/>
    <s v="华达利"/>
    <x v="6"/>
    <s v="HTL"/>
    <s v="PO1909230012"/>
    <m/>
    <n v="1"/>
    <n v="2"/>
    <s v="YJCSHAN1916228"/>
    <s v="KMTCSHAE441748"/>
    <s v="KMTC KMTC SHENZHEN 1910N BUSAN"/>
    <s v="OK"/>
  </r>
  <r>
    <x v="10"/>
    <s v="CASAMIA"/>
    <s v="华达利"/>
    <x v="6"/>
    <s v="HTL"/>
    <s v="PO1909100004_x000a_PO1909100013_x000a_PO1908020007_x000a_PO1908020013"/>
    <m/>
    <n v="4"/>
    <n v="8"/>
    <s v="YJCSHAN1916156"/>
    <s v="PCLU1942HN4402"/>
    <s v="2提单 1917205"/>
    <s v="OK"/>
  </r>
  <r>
    <x v="10"/>
    <s v="CASAMIA"/>
    <s v="雅家居"/>
    <x v="8"/>
    <s v="YAJIAJU"/>
    <s v="shcsm191012"/>
    <m/>
    <n v="2"/>
    <n v="4"/>
    <s v="YJCSHAN1916986"/>
    <s v="PCLU1942HN4312"/>
    <s v="加上13号一票舱单费"/>
    <s v="OK"/>
  </r>
  <r>
    <x v="10"/>
    <s v="CASAMIA"/>
    <s v="洲际"/>
    <x v="9"/>
    <s v="ZHOUJI"/>
    <s v="AHL2333"/>
    <m/>
    <n v="1"/>
    <n v="2"/>
    <s v="YJCSHAN1916391"/>
    <s v="PCLU1942HN4406"/>
    <s v="拼4407"/>
    <s v="OK"/>
  </r>
  <r>
    <x v="10"/>
    <s v="EFFEX"/>
    <s v="华宝"/>
    <x v="1"/>
    <s v="HUABAO"/>
    <s v="HB190601"/>
    <n v="0"/>
    <m/>
    <n v="0"/>
    <s v="YJCSHAN1917123"/>
    <s v="KMTCSHAE473303."/>
    <s v="KMTC CHATTANOOGA 1942E 漏装至1027"/>
    <s v="OK"/>
  </r>
  <r>
    <x v="10"/>
    <s v="HANSSEM"/>
    <s v="卡帛"/>
    <x v="3"/>
    <s v="CABO"/>
    <s v="219CABO-HS039/HS040/HS041/ HS042/HS043/HS047/HS048"/>
    <m/>
    <n v="7"/>
    <n v="14"/>
    <s v="YJCSHAN1915927"/>
    <s v="PCLU1942HN4300"/>
    <s v="1报3提 1917333 1917334"/>
    <s v="OK"/>
  </r>
  <r>
    <x v="10"/>
    <s v="HANSSEM"/>
    <s v="万盛"/>
    <x v="4"/>
    <s v="WANSHENG"/>
    <s v="HSO 1811-25E-157"/>
    <m/>
    <n v="2"/>
    <n v="4"/>
    <s v="YJCSHAN1916289"/>
    <s v="PCLU1942HN4304"/>
    <m/>
    <s v="OK"/>
  </r>
  <r>
    <x v="9"/>
    <s v="HANSSEM"/>
    <s v="万盛"/>
    <x v="4"/>
    <s v="WANSHENG"/>
    <s v="HSO 1811-25E-152"/>
    <m/>
    <n v="1"/>
    <n v="2"/>
    <s v="YJCSHAN1916470"/>
    <s v="PCLU1941HN4303"/>
    <s v="拼4305"/>
    <s v="OK"/>
  </r>
  <r>
    <x v="10"/>
    <s v="HANSSEM"/>
    <s v="万盛"/>
    <x v="4"/>
    <s v="WANSHENG"/>
    <s v="HSO 1811-25E-158"/>
    <m/>
    <n v="0"/>
    <n v="0"/>
    <s v="YJCSHAN1916290"/>
    <s v="PCLU1942HN4306"/>
    <s v="进港后退关，改27号，费用见文件"/>
    <s v="OK"/>
  </r>
  <r>
    <x v="12"/>
    <s v="HANSSEM"/>
    <s v="万盛"/>
    <x v="4"/>
    <s v="WANSHENG"/>
    <s v="HSO 1811-25E-159"/>
    <m/>
    <n v="2"/>
    <n v="4"/>
    <s v="YJCSHAN1916614"/>
    <s v="PCLU1797PE4406"/>
    <m/>
    <s v="OK"/>
  </r>
  <r>
    <x v="12"/>
    <s v="CASAMIA"/>
    <s v="华达利"/>
    <x v="6"/>
    <s v="HTL"/>
    <s v="PO1909100010_x000a_PO1908020020_x000a_PO1908020030"/>
    <m/>
    <n v="3"/>
    <n v="6"/>
    <s v="YJCSHAN1916372"/>
    <s v="PCLU1797PE4400"/>
    <s v="2提 1917389"/>
    <s v="OK"/>
  </r>
  <r>
    <x v="12"/>
    <s v="CASAMIA"/>
    <s v="华达利"/>
    <x v="6"/>
    <s v="HTL"/>
    <s v="PO1909230013_x000a_PO1909230014"/>
    <m/>
    <n v="2"/>
    <n v="4"/>
    <s v="YJCSHAN1916612"/>
    <s v="PCLU1797PE4402"/>
    <m/>
    <s v="OK"/>
  </r>
  <r>
    <x v="12"/>
    <s v="EFFEX"/>
    <s v="华宝"/>
    <x v="1"/>
    <s v="HUABAO"/>
    <s v="HB190601"/>
    <n v="7"/>
    <m/>
    <n v="7"/>
    <s v="YJCSHAN1916979"/>
    <s v="PCLU1797PE4408"/>
    <s v="拼4409"/>
    <s v="OK"/>
  </r>
  <r>
    <x v="12"/>
    <s v="HANSSEM"/>
    <s v="顾家"/>
    <x v="2"/>
    <s v="KUKA"/>
    <s v="219JJ52-10000-17"/>
    <m/>
    <n v="1"/>
    <n v="2"/>
    <s v="YJCSHAN1916999"/>
    <s v="PCLU1797PE4410"/>
    <s v="2提 1917394"/>
    <s v="OK"/>
  </r>
  <r>
    <x v="10"/>
    <s v="HANSSEM"/>
    <s v="万盛"/>
    <x v="4"/>
    <s v="WANSHENG"/>
    <s v="HSO 1811-25E-154"/>
    <m/>
    <n v="2"/>
    <n v="4"/>
    <s v="YJCSHAN1916980"/>
    <s v="PCLU1942HN4308"/>
    <m/>
    <s v="OK"/>
  </r>
  <r>
    <x v="12"/>
    <s v="SSEM"/>
    <s v="永艺"/>
    <x v="0"/>
    <s v="UE"/>
    <s v="10-2  ORDER"/>
    <m/>
    <n v="2"/>
    <n v="4"/>
    <s v="YJCSHAN1917125"/>
    <s v="PCLU1797PE4412"/>
    <m/>
    <s v="OK"/>
  </r>
  <r>
    <x v="13"/>
    <s v="CASAMIA"/>
    <s v="华达利"/>
    <x v="6"/>
    <s v="HTL"/>
    <s v="PO1908020021_x000a_PO1908020031"/>
    <m/>
    <n v="2"/>
    <n v="4"/>
    <s v="YJCSHAN1916615"/>
    <s v="PCLU1943HN4300"/>
    <m/>
    <s v="OK"/>
  </r>
  <r>
    <x v="13"/>
    <s v="EFFEX"/>
    <s v="华宝"/>
    <x v="1"/>
    <s v="HUABAO"/>
    <s v="HB190601"/>
    <n v="10"/>
    <m/>
    <n v="10"/>
    <s v="YJCSHAN1917392"/>
    <s v="PCLU1943HN4310"/>
    <s v="拼4311 4313"/>
    <s v="OK"/>
  </r>
  <r>
    <x v="13"/>
    <s v="EFFEX"/>
    <s v="华宝"/>
    <x v="1"/>
    <s v="HUABAO"/>
    <s v="HB190601"/>
    <n v="3"/>
    <m/>
    <n v="3"/>
    <s v="YJCSHAN1917123"/>
    <s v="KMTCSHAE473303"/>
    <s v="1020漏装  SUNNY CALLA 1943N"/>
    <s v="OK"/>
  </r>
  <r>
    <x v="13"/>
    <s v="HANSSEM"/>
    <s v="顾家"/>
    <x v="2"/>
    <s v="KUKA"/>
    <s v="219JJ52-10000-20"/>
    <m/>
    <n v="2"/>
    <n v="4"/>
    <s v="YJCSHAN1916616"/>
    <s v="PCLU1943HN4302"/>
    <m/>
    <s v="OK"/>
  </r>
  <r>
    <x v="13"/>
    <s v="HANSSEM"/>
    <s v="万盛"/>
    <x v="4"/>
    <s v="WANSHENG"/>
    <s v="HSO 1811-25E-160"/>
    <m/>
    <n v="2"/>
    <n v="4"/>
    <s v="YJCSHAN1916981"/>
    <s v="PCLU1943HN4304"/>
    <m/>
    <s v="OK"/>
  </r>
  <r>
    <x v="13"/>
    <s v="HANSSEM"/>
    <s v="万盛"/>
    <x v="4"/>
    <s v="WANSHENG"/>
    <s v="HSO 1811-25E-161"/>
    <m/>
    <n v="1"/>
    <n v="2"/>
    <s v="YJCSHAN1916983"/>
    <s v="PCLU1943HN4306"/>
    <m/>
    <s v="OK"/>
  </r>
  <r>
    <x v="14"/>
    <s v="HANSSEM"/>
    <s v="万盛"/>
    <x v="4"/>
    <s v="WANSHENG"/>
    <s v="HSO 1811-25E-162"/>
    <m/>
    <n v="1"/>
    <n v="2"/>
    <s v="YJCSHAN1916984"/>
    <s v="PCLU1798PE4304"/>
    <m/>
    <s v="OK"/>
  </r>
  <r>
    <x v="13"/>
    <s v="SSEM"/>
    <s v="永艺"/>
    <x v="0"/>
    <s v="UE"/>
    <s v="10-2  ORDER"/>
    <m/>
    <n v="0"/>
    <n v="0"/>
    <s v="YJCSHAN1916290"/>
    <s v="PCLU1943HN4308"/>
    <s v="27改23"/>
    <s v="OK"/>
  </r>
  <r>
    <x v="13"/>
    <s v="SSEM"/>
    <s v="永艺"/>
    <x v="0"/>
    <s v="UE"/>
    <s v="10-3  ORDER"/>
    <m/>
    <n v="4"/>
    <n v="8"/>
    <s v="YJCSHAN1917663"/>
    <s v="PCLU1943HN4312"/>
    <s v="拼1917782/4314 1917781/4315 3提"/>
    <s v="OK"/>
  </r>
  <r>
    <x v="14"/>
    <s v="CASAMIA"/>
    <s v="华达利"/>
    <x v="6"/>
    <s v="HTL"/>
    <s v="PO1909230015_x000a_PO1909230016_x000a_PO1909230017"/>
    <m/>
    <n v="3"/>
    <n v="6"/>
    <s v="YJCSHAN1916617"/>
    <s v="PCLU1798PE4300"/>
    <s v="拼4301 4303"/>
    <s v="OK"/>
  </r>
  <r>
    <x v="14"/>
    <s v="CASAMIA"/>
    <s v="雅家居"/>
    <x v="8"/>
    <s v="YAJIAJU"/>
    <s v="shcsm191018"/>
    <m/>
    <n v="2"/>
    <n v="4"/>
    <s v="YJCSHAN1917391"/>
    <s v="PCLU1798PE4308"/>
    <m/>
    <s v="OK"/>
  </r>
  <r>
    <x v="14"/>
    <s v="CASAMIA"/>
    <s v="洲际"/>
    <x v="9"/>
    <s v="ZHOUJI"/>
    <s v="AHL2286"/>
    <m/>
    <n v="1"/>
    <n v="2"/>
    <s v="YJCSHAN1917277"/>
    <s v="PCLU1798PE4306"/>
    <m/>
    <s v="OK"/>
  </r>
  <r>
    <x v="14"/>
    <s v="EFFEX"/>
    <s v="华宝"/>
    <x v="1"/>
    <s v="HUABAO"/>
    <s v="HB190601"/>
    <n v="8"/>
    <m/>
    <n v="8"/>
    <s v="YJCSHAN1917393"/>
    <s v="PCLU1798PE4310"/>
    <s v="拼4311"/>
    <s v="OK"/>
  </r>
  <r>
    <x v="14"/>
    <s v="HANSSEM"/>
    <s v="顾家"/>
    <x v="2"/>
    <s v="KUKA"/>
    <s v="219JJ52-10000-18"/>
    <m/>
    <n v="1"/>
    <n v="2"/>
    <s v="YJCSHAN1916977"/>
    <s v="PCLU1798PE4302"/>
    <m/>
    <s v="OK"/>
  </r>
  <r>
    <x v="13"/>
    <s v="HANSSEM"/>
    <s v="万盛"/>
    <x v="4"/>
    <s v="WANSHENG"/>
    <s v="HSO 1811-25E-158"/>
    <m/>
    <n v="1"/>
    <n v="2"/>
    <s v="YJCSHAN1917759"/>
    <s v="PCLU1943HN4316"/>
    <s v="1020退关改1027 查验改封号 代收1113 1916061一票舱单费"/>
    <s v="OK"/>
  </r>
  <r>
    <x v="15"/>
    <s v="CASAMIA"/>
    <s v="华达利"/>
    <x v="6"/>
    <s v="HTL"/>
    <s v="PO1909100005_x000a_PO1909100011"/>
    <m/>
    <n v="2"/>
    <n v="4"/>
    <s v="YJCSHAN1917708"/>
    <s v="PCLU1944HN4302"/>
    <s v="拼4303 4309"/>
    <s v="OK"/>
  </r>
  <r>
    <x v="15"/>
    <s v="HANSSEM"/>
    <s v="顾家"/>
    <x v="2"/>
    <s v="KUKA"/>
    <s v="219JJ52-52000-4"/>
    <m/>
    <n v="3"/>
    <n v="6"/>
    <s v="YJCSHAN1916978"/>
    <s v="PCLU1944HN4304"/>
    <s v="拼1917709/4305 1917710/4307 两提"/>
    <s v="OK"/>
  </r>
  <r>
    <x v="15"/>
    <s v="HANSSEM"/>
    <s v="万盛"/>
    <x v="4"/>
    <s v="WANSHENG"/>
    <s v="HSO 1811-25E-164"/>
    <m/>
    <n v="1"/>
    <n v="2"/>
    <s v="YJCSHAN1917906"/>
    <s v="PCLU1944HN4308"/>
    <s v="一小改一高"/>
    <m/>
  </r>
  <r>
    <x v="15"/>
    <s v="SSEM"/>
    <s v="永艺"/>
    <x v="0"/>
    <s v="UE"/>
    <s v="PO.LF029"/>
    <m/>
    <n v="1"/>
    <n v="2"/>
    <s v="YJCSHAN1917907"/>
    <s v="PCLU1944HN4306"/>
    <m/>
    <s v="OK"/>
  </r>
  <r>
    <x v="16"/>
    <s v="HANSSEM"/>
    <s v="顾家"/>
    <x v="2"/>
    <s v="KUKA"/>
    <s v="219JJ52-10000-29"/>
    <m/>
    <n v="1"/>
    <n v="2"/>
    <s v="YJCSHAN1917763"/>
    <s v="PCLU1799PE4304"/>
    <s v="拼4305"/>
    <s v="OK"/>
  </r>
  <r>
    <x v="16"/>
    <s v="SSEM"/>
    <s v="永艺"/>
    <x v="0"/>
    <s v="UE"/>
    <s v="UE-SSEMGLOBAL-201"/>
    <n v="1"/>
    <m/>
    <n v="1"/>
    <s v="YJCSHAN1917714"/>
    <s v="PCLU1799PE4302"/>
    <m/>
    <s v="OK"/>
  </r>
  <r>
    <x v="17"/>
    <s v="CASAMIA"/>
    <s v="伟誉"/>
    <x v="11"/>
    <s v="WEIYU"/>
    <s v="AHL2330"/>
    <m/>
    <n v="1"/>
    <n v="2"/>
    <s v="YJCSHAN1917713"/>
    <s v="PCLU1945HN4304"/>
    <s v="1117改1110"/>
    <s v="OK"/>
  </r>
  <r>
    <x v="17"/>
    <s v="HANSSEM"/>
    <s v="卡帛"/>
    <x v="3"/>
    <s v="CABO"/>
    <s v="219CABO-HS049"/>
    <m/>
    <n v="1"/>
    <n v="2"/>
    <s v="YJCSHAN1917711"/>
    <s v="PCLU1945HN4302"/>
    <m/>
    <s v="OK"/>
  </r>
  <r>
    <x v="18"/>
    <s v="CASAMIA"/>
    <s v="伟誉"/>
    <x v="11"/>
    <s v="WEIYU"/>
    <m/>
    <m/>
    <n v="0"/>
    <n v="0"/>
    <m/>
    <s v="PCLU1800PE4302"/>
    <s v="1113改1117"/>
    <s v="OK"/>
  </r>
  <r>
    <x v="18"/>
    <s v="HANSSEM"/>
    <s v="顾家"/>
    <x v="2"/>
    <s v="KUKA"/>
    <s v="219JJ52-10000-32"/>
    <m/>
    <n v="1"/>
    <n v="2"/>
    <s v="YJCSHAN1917764"/>
    <s v="PCLU1800PE4304"/>
    <s v="拼4305"/>
    <s v="OK"/>
  </r>
  <r>
    <x v="19"/>
    <s v="CASAMIA"/>
    <s v="华达利"/>
    <x v="6"/>
    <s v="HTL"/>
    <s v="PO1909100006_x000a_PO1909100012"/>
    <m/>
    <n v="2"/>
    <m/>
    <s v="YJCSHAN1917908"/>
    <s v="PCLU1946HN4304"/>
    <m/>
    <s v="OK"/>
  </r>
  <r>
    <x v="19"/>
    <s v="CASAMIA"/>
    <s v="伟誉"/>
    <x v="11"/>
    <s v="WEIYU"/>
    <s v="AHL2330"/>
    <m/>
    <n v="0"/>
    <n v="0"/>
    <s v="YJCSHAN1917713."/>
    <s v="PCLU1946HN4302"/>
    <s v="1113改1117 1117改1110"/>
    <s v="OK"/>
  </r>
  <r>
    <x v="20"/>
    <s v="HANSSEM"/>
    <s v="卡帛"/>
    <x v="3"/>
    <s v="CABO"/>
    <s v="219CABO-HS050/HS052/HS057"/>
    <m/>
    <n v="3"/>
    <n v="6"/>
    <s v="YJCSHAN1917712"/>
    <s v="PCLU1801PE4302"/>
    <m/>
    <s v="OK"/>
  </r>
  <r>
    <x v="16"/>
    <s v="HANSSEM"/>
    <s v="万盛"/>
    <x v="4"/>
    <s v="WANSHENG"/>
    <m/>
    <m/>
    <n v="2"/>
    <n v="4"/>
    <m/>
    <m/>
    <m/>
    <m/>
  </r>
  <r>
    <x v="17"/>
    <s v="CASAMIA"/>
    <s v="雅家居"/>
    <x v="8"/>
    <s v="YAJIAJU"/>
    <m/>
    <m/>
    <n v="2"/>
    <n v="4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D71FF22-6E7F-452C-9333-B934B1ADBFE2}" name="数据透视表3" cacheId="67" applyNumberFormats="0" applyBorderFormats="0" applyFontFormats="0" applyPatternFormats="0" applyAlignmentFormats="0" applyWidthHeightFormats="1" dataCaption="值" updatedVersion="6" minRefreshableVersion="3" showDrill="0" useAutoFormatting="1" itemPrintTitles="1" createdVersion="6" indent="0" showHeaders="0" outline="1" outlineData="1" multipleFieldFilters="0">
  <location ref="A3:D77" firstHeaderRow="0" firstDataRow="1" firstDataCol="1" rowPageCount="1" colPageCount="1"/>
  <pivotFields count="14">
    <pivotField axis="axisRow" numFmtId="176" showAll="0">
      <items count="369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  <item t="default"/>
      </items>
    </pivotField>
    <pivotField showAll="0"/>
    <pivotField showAll="0"/>
    <pivotField axis="axisRow" showAll="0">
      <items count="33">
        <item m="1" x="14"/>
        <item m="1" x="12"/>
        <item m="1" x="17"/>
        <item m="1" x="23"/>
        <item m="1" x="13"/>
        <item m="1" x="28"/>
        <item m="1" x="25"/>
        <item m="1" x="27"/>
        <item m="1" x="26"/>
        <item m="1" x="31"/>
        <item m="1" x="20"/>
        <item m="1" x="29"/>
        <item m="1" x="30"/>
        <item m="1" x="18"/>
        <item x="5"/>
        <item m="1" x="24"/>
        <item x="2"/>
        <item x="4"/>
        <item x="9"/>
        <item m="1" x="16"/>
        <item x="6"/>
        <item x="3"/>
        <item m="1" x="22"/>
        <item m="1" x="21"/>
        <item x="8"/>
        <item x="0"/>
        <item x="7"/>
        <item x="10"/>
        <item m="1" x="15"/>
        <item x="1"/>
        <item m="1" x="19"/>
        <item x="11"/>
        <item t="default"/>
      </items>
    </pivotField>
    <pivotField showAll="0"/>
    <pivotField showAll="0"/>
    <pivotField dataField="1" showAll="0"/>
    <pivotField dataField="1" showAll="0"/>
    <pivotField dataField="1" numFmtId="1" showAll="0"/>
    <pivotField showAll="0"/>
    <pivotField showAll="0"/>
    <pivotField showAll="0"/>
    <pivotField showAll="0"/>
    <pivotField axis="axisPage" multipleItemSelectionAllowed="1" showAll="0">
      <items count="15">
        <item h="1" sd="0" x="0"/>
        <item h="1" sd="0" x="1"/>
        <item h="1" sd="0" x="2"/>
        <item h="1" sd="0" x="3"/>
        <item h="1" sd="0" x="4"/>
        <item h="1" sd="0" x="5"/>
        <item h="1" sd="0" x="6"/>
        <item h="1" sd="0" x="7"/>
        <item h="1" sd="0" x="8"/>
        <item h="1" sd="0" x="9"/>
        <item sd="0" x="10"/>
        <item sd="0" x="11"/>
        <item h="1" sd="0" x="12"/>
        <item h="1" sd="0" x="13"/>
        <item t="default"/>
      </items>
    </pivotField>
  </pivotFields>
  <rowFields count="2">
    <field x="0"/>
    <field x="3"/>
  </rowFields>
  <rowItems count="74">
    <i>
      <x v="275"/>
    </i>
    <i r="1">
      <x v="20"/>
    </i>
    <i r="1">
      <x v="29"/>
    </i>
    <i>
      <x v="279"/>
    </i>
    <i r="1">
      <x v="16"/>
    </i>
    <i r="1">
      <x v="17"/>
    </i>
    <i r="1">
      <x v="18"/>
    </i>
    <i r="1">
      <x v="25"/>
    </i>
    <i>
      <x v="282"/>
    </i>
    <i r="1">
      <x v="16"/>
    </i>
    <i r="1">
      <x v="17"/>
    </i>
    <i r="1">
      <x v="20"/>
    </i>
    <i r="1">
      <x v="21"/>
    </i>
    <i r="1">
      <x v="25"/>
    </i>
    <i>
      <x v="286"/>
    </i>
    <i r="1">
      <x v="16"/>
    </i>
    <i r="1">
      <x v="17"/>
    </i>
    <i r="1">
      <x v="20"/>
    </i>
    <i r="1">
      <x v="24"/>
    </i>
    <i r="1">
      <x v="29"/>
    </i>
    <i>
      <x v="289"/>
    </i>
    <i r="1">
      <x v="17"/>
    </i>
    <i r="1">
      <x v="18"/>
    </i>
    <i r="1">
      <x v="21"/>
    </i>
    <i r="1">
      <x v="27"/>
    </i>
    <i>
      <x v="293"/>
    </i>
    <i r="1">
      <x v="17"/>
    </i>
    <i r="1">
      <x v="18"/>
    </i>
    <i r="1">
      <x v="20"/>
    </i>
    <i r="1">
      <x v="21"/>
    </i>
    <i r="1">
      <x v="24"/>
    </i>
    <i r="1">
      <x v="27"/>
    </i>
    <i r="1">
      <x v="29"/>
    </i>
    <i>
      <x v="296"/>
    </i>
    <i r="1">
      <x v="16"/>
    </i>
    <i r="1">
      <x v="17"/>
    </i>
    <i r="1">
      <x v="20"/>
    </i>
    <i r="1">
      <x v="25"/>
    </i>
    <i r="1">
      <x v="29"/>
    </i>
    <i>
      <x v="300"/>
    </i>
    <i r="1">
      <x v="16"/>
    </i>
    <i r="1">
      <x v="17"/>
    </i>
    <i r="1">
      <x v="20"/>
    </i>
    <i r="1">
      <x v="25"/>
    </i>
    <i r="1">
      <x v="29"/>
    </i>
    <i>
      <x v="303"/>
    </i>
    <i r="1">
      <x v="16"/>
    </i>
    <i r="1">
      <x v="17"/>
    </i>
    <i r="1">
      <x v="18"/>
    </i>
    <i r="1">
      <x v="20"/>
    </i>
    <i r="1">
      <x v="24"/>
    </i>
    <i r="1">
      <x v="29"/>
    </i>
    <i>
      <x v="307"/>
    </i>
    <i r="1">
      <x v="16"/>
    </i>
    <i r="1">
      <x v="17"/>
    </i>
    <i r="1">
      <x v="20"/>
    </i>
    <i r="1">
      <x v="25"/>
    </i>
    <i>
      <x v="310"/>
    </i>
    <i r="1">
      <x v="16"/>
    </i>
    <i r="1">
      <x v="17"/>
    </i>
    <i r="1">
      <x v="25"/>
    </i>
    <i>
      <x v="314"/>
    </i>
    <i r="1">
      <x v="21"/>
    </i>
    <i r="1">
      <x v="24"/>
    </i>
    <i r="1">
      <x v="31"/>
    </i>
    <i>
      <x v="317"/>
    </i>
    <i r="1">
      <x v="16"/>
    </i>
    <i r="1">
      <x v="31"/>
    </i>
    <i>
      <x v="321"/>
    </i>
    <i r="1">
      <x v="20"/>
    </i>
    <i r="1">
      <x v="31"/>
    </i>
    <i>
      <x v="324"/>
    </i>
    <i r="1">
      <x v="21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13" hier="-1"/>
  </pageFields>
  <dataFields count="3">
    <dataField name="20GP" fld="6" baseField="0" baseItem="0"/>
    <dataField name="40HQ" fld="7" baseField="0" baseItem="0"/>
    <dataField name="TEUU" fld="8" baseField="0" baseItem="0"/>
  </dataFields>
  <formats count="22">
    <format dxfId="68">
      <pivotArea type="all" dataOnly="0" outline="0" fieldPosition="0"/>
    </format>
    <format dxfId="67">
      <pivotArea outline="0" collapsedLevelsAreSubtotals="1" fieldPosition="0"/>
    </format>
    <format dxfId="66">
      <pivotArea field="0" type="button" dataOnly="0" labelOnly="1" outline="0" axis="axisRow" fieldPosition="0"/>
    </format>
    <format dxfId="65">
      <pivotArea dataOnly="0" labelOnly="1" fieldPosition="0">
        <references count="1">
          <reference field="0" count="14">
            <x v="244"/>
            <x v="247"/>
            <x v="251"/>
            <x v="254"/>
            <x v="258"/>
            <x v="261"/>
            <x v="262"/>
            <x v="265"/>
            <x v="268"/>
            <x v="272"/>
            <x v="275"/>
            <x v="279"/>
            <x v="282"/>
            <x v="289"/>
          </reference>
        </references>
      </pivotArea>
    </format>
    <format dxfId="64">
      <pivotArea dataOnly="0" labelOnly="1" grandRow="1" outline="0" fieldPosition="0"/>
    </format>
    <format dxfId="63">
      <pivotArea dataOnly="0" labelOnly="1" fieldPosition="0">
        <references count="2">
          <reference field="0" count="1" selected="0">
            <x v="244"/>
          </reference>
          <reference field="3" count="1">
            <x v="8"/>
          </reference>
        </references>
      </pivotArea>
    </format>
    <format dxfId="62">
      <pivotArea dataOnly="0" labelOnly="1" fieldPosition="0">
        <references count="2">
          <reference field="0" count="1" selected="0">
            <x v="247"/>
          </reference>
          <reference field="3" count="2">
            <x v="4"/>
            <x v="8"/>
          </reference>
        </references>
      </pivotArea>
    </format>
    <format dxfId="61">
      <pivotArea dataOnly="0" labelOnly="1" fieldPosition="0">
        <references count="2">
          <reference field="0" count="1" selected="0">
            <x v="251"/>
          </reference>
          <reference field="3" count="2">
            <x v="7"/>
            <x v="8"/>
          </reference>
        </references>
      </pivotArea>
    </format>
    <format dxfId="60">
      <pivotArea dataOnly="0" labelOnly="1" fieldPosition="0">
        <references count="2">
          <reference field="0" count="1" selected="0">
            <x v="254"/>
          </reference>
          <reference field="3" count="5">
            <x v="4"/>
            <x v="5"/>
            <x v="7"/>
            <x v="8"/>
            <x v="10"/>
          </reference>
        </references>
      </pivotArea>
    </format>
    <format dxfId="59">
      <pivotArea dataOnly="0" labelOnly="1" fieldPosition="0">
        <references count="2">
          <reference field="0" count="1" selected="0">
            <x v="258"/>
          </reference>
          <reference field="3" count="4">
            <x v="4"/>
            <x v="7"/>
            <x v="8"/>
            <x v="11"/>
          </reference>
        </references>
      </pivotArea>
    </format>
    <format dxfId="58">
      <pivotArea dataOnly="0" labelOnly="1" fieldPosition="0">
        <references count="2">
          <reference field="0" count="1" selected="0">
            <x v="261"/>
          </reference>
          <reference field="3" count="5">
            <x v="4"/>
            <x v="7"/>
            <x v="8"/>
            <x v="10"/>
            <x v="11"/>
          </reference>
        </references>
      </pivotArea>
    </format>
    <format dxfId="57">
      <pivotArea dataOnly="0" labelOnly="1" fieldPosition="0">
        <references count="2">
          <reference field="0" count="1" selected="0">
            <x v="262"/>
          </reference>
          <reference field="3" count="1">
            <x v="1"/>
          </reference>
        </references>
      </pivotArea>
    </format>
    <format dxfId="56">
      <pivotArea dataOnly="0" labelOnly="1" fieldPosition="0">
        <references count="2">
          <reference field="0" count="1" selected="0">
            <x v="265"/>
          </reference>
          <reference field="3" count="4">
            <x v="4"/>
            <x v="7"/>
            <x v="8"/>
            <x v="10"/>
          </reference>
        </references>
      </pivotArea>
    </format>
    <format dxfId="55">
      <pivotArea dataOnly="0" labelOnly="1" fieldPosition="0">
        <references count="2">
          <reference field="0" count="1" selected="0">
            <x v="268"/>
          </reference>
          <reference field="3" count="5">
            <x v="0"/>
            <x v="4"/>
            <x v="8"/>
            <x v="10"/>
            <x v="11"/>
          </reference>
        </references>
      </pivotArea>
    </format>
    <format dxfId="54">
      <pivotArea dataOnly="0" labelOnly="1" fieldPosition="0">
        <references count="2">
          <reference field="0" count="1" selected="0">
            <x v="272"/>
          </reference>
          <reference field="3" count="3">
            <x v="2"/>
            <x v="4"/>
            <x v="11"/>
          </reference>
        </references>
      </pivotArea>
    </format>
    <format dxfId="53">
      <pivotArea dataOnly="0" labelOnly="1" fieldPosition="0">
        <references count="2">
          <reference field="0" count="1" selected="0">
            <x v="275"/>
          </reference>
          <reference field="3" count="2">
            <x v="0"/>
            <x v="10"/>
          </reference>
        </references>
      </pivotArea>
    </format>
    <format dxfId="52">
      <pivotArea dataOnly="0" labelOnly="1" fieldPosition="0">
        <references count="2">
          <reference field="0" count="1" selected="0">
            <x v="279"/>
          </reference>
          <reference field="3" count="2">
            <x v="3"/>
            <x v="4"/>
          </reference>
        </references>
      </pivotArea>
    </format>
    <format dxfId="51">
      <pivotArea dataOnly="0" labelOnly="1" fieldPosition="0">
        <references count="2">
          <reference field="0" count="1" selected="0">
            <x v="282"/>
          </reference>
          <reference field="3" count="2">
            <x v="0"/>
            <x v="7"/>
          </reference>
        </references>
      </pivotArea>
    </format>
    <format dxfId="50">
      <pivotArea dataOnly="0" labelOnly="1" fieldPosition="0">
        <references count="2">
          <reference field="0" count="1" selected="0">
            <x v="289"/>
          </reference>
          <reference field="3" count="2">
            <x v="4"/>
            <x v="7"/>
          </reference>
        </references>
      </pivotArea>
    </format>
    <format dxfId="4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8">
      <pivotArea dataOnly="0" labelOnly="1" fieldPosition="0">
        <references count="1">
          <reference field="0" count="0"/>
        </references>
      </pivotArea>
    </format>
    <format dxfId="47">
      <pivotArea dataOnly="0" labelOnly="1" fieldPosition="0">
        <references count="1">
          <reference field="0" count="16">
            <x v="244"/>
            <x v="247"/>
            <x v="251"/>
            <x v="254"/>
            <x v="258"/>
            <x v="261"/>
            <x v="262"/>
            <x v="265"/>
            <x v="268"/>
            <x v="272"/>
            <x v="275"/>
            <x v="279"/>
            <x v="282"/>
            <x v="286"/>
            <x v="289"/>
            <x v="293"/>
          </reference>
        </references>
      </pivotArea>
    </format>
  </formats>
  <pivotTableStyleInfo name="PivotStyleMedium13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F251878-450B-4C6C-9BD9-08C3E722BFDB}" name="表3" displayName="表3" ref="A1:E27" totalsRowShown="0" headerRowDxfId="89" dataDxfId="88">
  <autoFilter ref="A1:E27" xr:uid="{820BD5A2-AD66-4D9B-AC3E-64CBF0B4B21A}"/>
  <tableColumns count="5">
    <tableColumn id="1" xr3:uid="{D075319D-DCE2-4203-B078-3F588EAB591A}" name="ETD" dataDxfId="87"/>
    <tableColumn id="2" xr3:uid="{C82A9C09-C14B-443E-912A-E603A3D04F39}" name="船名" dataDxfId="86"/>
    <tableColumn id="3" xr3:uid="{A7532413-2A72-4632-B601-DE7731C72187}" name="航次" dataDxfId="85"/>
    <tableColumn id="4" xr3:uid="{481AEBDD-33EF-4909-9917-F48E051CEF76}" name="船名航次" dataDxfId="84"/>
    <tableColumn id="5" xr3:uid="{ECFD88C0-E7A6-4868-8EB0-EE443E07D335}" name="列1" dataDxfId="83"/>
  </tableColumns>
  <tableStyleInfo name="TableStyleLight1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6A5E682-6FCC-4DC5-B412-FBC444028D65}" name="Table135" displayName="Table135" ref="A1:M103" totalsRowShown="0">
  <autoFilter ref="A1:M103" xr:uid="{27122EDD-454A-4B5B-BA80-E5D57F9762C1}">
    <filterColumn colId="12">
      <filters blank="1"/>
    </filterColumn>
  </autoFilter>
  <tableColumns count="13">
    <tableColumn id="5" xr3:uid="{D5A41DDC-7E3C-4252-B958-4FFBB6F0B188}" name="ETD" dataDxfId="81"/>
    <tableColumn id="1" xr3:uid="{E0A23808-EA69-463C-842B-C0CB379DD66A}" name="CNEE" dataDxfId="80"/>
    <tableColumn id="3" xr3:uid="{8852D5F7-2872-4FFE-AF69-A4095F3F311A}" name="CN"/>
    <tableColumn id="6" xr3:uid="{9FDEA0A4-FFA6-4738-AFE3-9127A65192BA}" name="显示名称" dataDxfId="79">
      <calculatedColumnFormula>Table135[[#This Row],[CN]]&amp;" - "&amp;Table135[[#This Row],[CNEE]]</calculatedColumnFormula>
    </tableColumn>
    <tableColumn id="2" xr3:uid="{D99B457A-5E43-4826-89CE-4DF7C66631D0}" name="EN" dataDxfId="78">
      <calculatedColumnFormula>VLOOKUP(Table135[[#This Row],[CN]],表5[],2,FALSE)</calculatedColumnFormula>
    </tableColumn>
    <tableColumn id="4" xr3:uid="{3AE3033B-B2DD-4FF9-845B-D12C06A80CBC}" name="PO" dataDxfId="77"/>
    <tableColumn id="14" xr3:uid="{D9AF6816-6FE9-42B6-90DE-3B1C3A49928E}" name="20'" dataDxfId="76"/>
    <tableColumn id="15" xr3:uid="{64ABF70C-DC54-4BAF-B684-7A0D11798790}" name="40'" dataDxfId="75"/>
    <tableColumn id="7" xr3:uid="{BE98B6FD-F003-4FCB-A09B-5B40F0BECB41}" name="TEU" dataDxfId="74">
      <calculatedColumnFormula>Table135[[#This Row],[20'']]+Table135[[#This Row],[40'']]*2</calculatedColumnFormula>
    </tableColumn>
    <tableColumn id="10" xr3:uid="{D1DAA04E-3900-49B6-9D5B-7360FA9CB116}" name="HBL" dataDxfId="73"/>
    <tableColumn id="9" xr3:uid="{A389ED21-5E02-4B63-AFC5-F1294CD613FF}" name="MBL" dataDxfId="72"/>
    <tableColumn id="11" xr3:uid="{D31A235D-4A91-49D5-8512-BC3C138F03B6}" name="备注" dataDxfId="71"/>
    <tableColumn id="8" xr3:uid="{7410B7FF-4059-4669-8915-AFABD73C023C}" name="五步" dataDxfId="70"/>
  </tableColumns>
  <tableStyleInfo name="TableStyleLight1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18427A5-975A-4C4E-9C19-344D1E27B177}" name="表5" displayName="表5" ref="Q1:R15" totalsRowShown="0">
  <tableColumns count="2">
    <tableColumn id="1" xr3:uid="{507C5105-A916-4A79-BF18-C0332AC374A3}" name="CN"/>
    <tableColumn id="2" xr3:uid="{EFA9AF39-841C-4D47-9022-C1DD4DC70FC2}" name="EN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B441CA60-9996-4823-9631-6B79F1CBAF83}" name="表8" displayName="表8" ref="A1:Z57" totalsRowShown="0" headerRowDxfId="44" headerRowBorderDxfId="43" tableBorderDxfId="42" totalsRowBorderDxfId="41">
  <autoFilter ref="A1:Z57" xr:uid="{4848E19E-9770-4EF2-957E-4883102A42C0}"/>
  <tableColumns count="26">
    <tableColumn id="33" xr3:uid="{FFB772AD-7961-4AF0-A343-8EF68408E581}" name="ETD" dataDxfId="40"/>
    <tableColumn id="1" xr3:uid="{DD461CCA-4517-4E98-906F-3EAB828CBAE8}" name="SHPR" dataDxfId="39"/>
    <tableColumn id="2" xr3:uid="{610BC8AA-6CF7-4530-BB23-3900696A452B}" name="说明" dataDxfId="38"/>
    <tableColumn id="3" xr3:uid="{C7FBFEAF-3B24-4430-99EE-472866BBB78F}" name="托书_x000a_是否_x000a_超限" dataDxfId="37"/>
    <tableColumn id="7" xr3:uid="{FD9BB9C6-4925-4292-B40A-B2442609822A}" name="五步_x000a_订舱" dataDxfId="36"/>
    <tableColumn id="35" xr3:uid="{1565FDB9-F8CC-4261-88DA-1E0A7AC44F2E}" name="KY_x000a_确认" dataDxfId="35"/>
    <tableColumn id="40" xr3:uid="{79E22D25-B265-4532-9D0C-7BFB902D8675}" name="振华_x000a_审核" dataDxfId="34"/>
    <tableColumn id="37" xr3:uid="{97C717B8-DB44-45AF-8B81-151042B1443A}" name="振华_x000a_加拼_x000a_提交" dataDxfId="33"/>
    <tableColumn id="36" xr3:uid="{8FADEA53-7B52-4F14-83A5-45513FB6EAC2}" name="振华_x000a_拼核" dataDxfId="32"/>
    <tableColumn id="12" xr3:uid="{5A515F49-F89E-4286-B9BD-B318AD2640C1}" name="录_x000a_费用" dataDxfId="31"/>
    <tableColumn id="41" xr3:uid="{380DE760-4572-4325-AE84-0D63150ABC01}" name="收_x000a_资料" dataDxfId="30"/>
    <tableColumn id="13" xr3:uid="{F0049236-1AFC-45B4-9CBB-742944BBE002}" name="YJC_x000a_截单" dataDxfId="29"/>
    <tableColumn id="14" xr3:uid="{D4C67CBE-6558-404F-A8D0-D234A01EA7BF}" name="发HBL_x000a_和INV" dataDxfId="28"/>
    <tableColumn id="15" xr3:uid="{4EA6E925-BC45-44FB-88BE-7E356E832C8E}" name="振华_x000a_录入" dataDxfId="27"/>
    <tableColumn id="16" xr3:uid="{39031770-24D7-4251-83C2-6D9C51435B2F}" name="HBL_x000a_INV_x000a_确认" dataDxfId="26"/>
    <tableColumn id="17" xr3:uid="{C46F7B56-BA33-46DE-819A-3F42D0C61863}" name="发_x000a_舱单" dataDxfId="25"/>
    <tableColumn id="18" xr3:uid="{2409B3B5-68AD-4B2C-8998-95F0DE45831C}" name="确认_x000a_舱单" dataDxfId="24"/>
    <tableColumn id="19" xr3:uid="{E8D84A53-92DE-4877-89A2-36EB1150C2A3}" name="并单" dataDxfId="23"/>
    <tableColumn id="20" xr3:uid="{BA4F5147-A73A-4C12-9D4C-0455962CF9E2}" name="审核" dataDxfId="22"/>
    <tableColumn id="21" xr3:uid="{F8063949-AB34-494B-8DFC-100B64C6369C}" name="VGM" dataDxfId="21"/>
    <tableColumn id="24" xr3:uid="{44CF02AB-D86C-4783-97CD-2E2313B8D659}" name="邮件_x000a_KY" dataDxfId="20"/>
    <tableColumn id="22" xr3:uid="{C1B5B7BF-1648-4A5C-9FF0-68A5372723DA}" name="统计_x000a_费用" dataDxfId="19"/>
    <tableColumn id="31" xr3:uid="{2F64CBB1-11D9-441C-B553-FF0F047C7793}" name="APP" dataDxfId="18"/>
    <tableColumn id="25" xr3:uid="{3D6AC291-A8CB-4072-8908-6B43D3EBF9A9}" name="发票" dataDxfId="17"/>
    <tableColumn id="26" xr3:uid="{72487BE9-2C92-4AAB-B75E-4F1A59FE63BA}" name="水单" dataDxfId="16"/>
    <tableColumn id="30" xr3:uid="{99DFA36B-3339-4FCF-B717-02D841DCF024}" name="放单" dataDxfId="15"/>
  </tableColumns>
  <tableStyleInfo name="TableStyleLight8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801A5A6A-1E4C-4174-ACE2-C6A418A902D6}" name="表9" displayName="表9" ref="A1:N18" totalsRowShown="0" dataDxfId="14">
  <autoFilter ref="A1:N18" xr:uid="{9E57F62D-E58D-4F53-BDCE-5B776E06BFC6}">
    <filterColumn colId="2">
      <filters>
        <filter val="GLV"/>
        <filter val="YJC"/>
        <filter val="雅佳居"/>
      </filters>
    </filterColumn>
  </autoFilter>
  <tableColumns count="14">
    <tableColumn id="11" xr3:uid="{5A945112-5F14-41C3-9DE6-7BED351F4092}" name="项目" dataDxfId="13"/>
    <tableColumn id="1" xr3:uid="{C141BEBA-C970-48C1-94D8-B413103D61C8}" name="借方(收)" dataDxfId="12"/>
    <tableColumn id="10" xr3:uid="{BDB2D4D6-4147-4B01-989B-036CBD1C4E8B}" name="贷方(支)" dataDxfId="11"/>
    <tableColumn id="2" xr3:uid="{3CDA95A5-2AD7-4924-8416-52603DB1618A}" name="BKG(CTN)" dataDxfId="10"/>
    <tableColumn id="3" xr3:uid="{4F83CA88-21A0-46EA-85B9-1FBEC95B1F92}" name="THC(CTN)" dataDxfId="9"/>
    <tableColumn id="4" xr3:uid="{C9F7C4B1-4B79-4833-A3C8-3239519938C4}" name="DOC(BL)" dataDxfId="8"/>
    <tableColumn id="5" xr3:uid="{4DB1A085-A827-4E33-A8AC-76804C2E30CA}" name="LSS(CTN)" dataDxfId="7"/>
    <tableColumn id="6" xr3:uid="{866E9090-FC2D-4403-9131-0A9C6FF9DB62}" name="MFF(BL)" dataDxfId="6"/>
    <tableColumn id="7" xr3:uid="{606F8EED-FBB9-472E-9955-C9AEBD7FA87E}" name="OSF(BL)" dataDxfId="5"/>
    <tableColumn id="8" xr3:uid="{66E23A14-4831-49C7-A0F8-629E1A3052D5}" name="HDC(BILL)" dataDxfId="4"/>
    <tableColumn id="12" xr3:uid="{3235F29D-9E23-4C4A-AE7F-ED0E02F0408B}" name="结算方式" dataDxfId="3"/>
    <tableColumn id="9" xr3:uid="{F190C844-170C-4A1F-B9BD-58D0C0CE4E5F}" name="开票" dataDxfId="2"/>
    <tableColumn id="13" xr3:uid="{15CF985D-BB5B-4853-9A1C-7342FDC01AFC}" name="QQ WX" dataDxfId="1"/>
    <tableColumn id="14" xr3:uid="{F13E91D4-6E7A-4AE3-97F6-2C730DB3B0FB}" name="邮件" dataDxfId="0"/>
  </tableColumns>
  <tableStyleInfo name="TableStyleLight16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8C9E53-52A4-49C8-8D25-9D2312F1C6E3}">
  <sheetPr codeName="Sheet1"/>
  <dimension ref="A1:E27"/>
  <sheetViews>
    <sheetView workbookViewId="0">
      <selection activeCell="K20" sqref="K20"/>
    </sheetView>
  </sheetViews>
  <sheetFormatPr defaultRowHeight="14.25" x14ac:dyDescent="0.2"/>
  <cols>
    <col min="1" max="1" width="8.875" bestFit="1" customWidth="1"/>
    <col min="2" max="2" width="15.5" bestFit="1" customWidth="1"/>
    <col min="3" max="3" width="7.25" bestFit="1" customWidth="1"/>
    <col min="4" max="4" width="21.625" bestFit="1" customWidth="1"/>
    <col min="5" max="5" width="16" bestFit="1" customWidth="1"/>
    <col min="6" max="6" width="7.125" bestFit="1" customWidth="1"/>
    <col min="8" max="8" width="19" bestFit="1" customWidth="1"/>
  </cols>
  <sheetData>
    <row r="1" spans="1:5" x14ac:dyDescent="0.2">
      <c r="A1" s="14" t="s">
        <v>78</v>
      </c>
      <c r="B1" s="14" t="s">
        <v>79</v>
      </c>
      <c r="C1" s="14" t="s">
        <v>80</v>
      </c>
      <c r="D1" s="14" t="s">
        <v>81</v>
      </c>
      <c r="E1" s="14" t="s">
        <v>550</v>
      </c>
    </row>
    <row r="2" spans="1:5" x14ac:dyDescent="0.2">
      <c r="A2" s="15">
        <v>43709</v>
      </c>
      <c r="B2" s="14" t="s">
        <v>58</v>
      </c>
      <c r="C2" s="14" t="s">
        <v>60</v>
      </c>
      <c r="D2" s="14" t="s">
        <v>357</v>
      </c>
      <c r="E2" s="14"/>
    </row>
    <row r="3" spans="1:5" x14ac:dyDescent="0.2">
      <c r="A3" s="15">
        <v>43712</v>
      </c>
      <c r="B3" s="14" t="s">
        <v>59</v>
      </c>
      <c r="C3" s="14" t="s">
        <v>61</v>
      </c>
      <c r="D3" s="14" t="s">
        <v>358</v>
      </c>
      <c r="E3" s="14"/>
    </row>
    <row r="4" spans="1:5" x14ac:dyDescent="0.2">
      <c r="A4" s="15">
        <v>43716</v>
      </c>
      <c r="B4" s="14" t="s">
        <v>58</v>
      </c>
      <c r="C4" s="14" t="s">
        <v>62</v>
      </c>
      <c r="D4" s="14" t="s">
        <v>359</v>
      </c>
      <c r="E4" s="14"/>
    </row>
    <row r="5" spans="1:5" x14ac:dyDescent="0.2">
      <c r="A5" s="15">
        <v>43719</v>
      </c>
      <c r="B5" s="14" t="s">
        <v>59</v>
      </c>
      <c r="C5" s="14" t="s">
        <v>63</v>
      </c>
      <c r="D5" s="14" t="s">
        <v>360</v>
      </c>
      <c r="E5" s="14"/>
    </row>
    <row r="6" spans="1:5" x14ac:dyDescent="0.2">
      <c r="A6" s="15">
        <v>43723</v>
      </c>
      <c r="B6" s="14" t="s">
        <v>58</v>
      </c>
      <c r="C6" s="14" t="s">
        <v>64</v>
      </c>
      <c r="D6" s="14" t="s">
        <v>361</v>
      </c>
      <c r="E6" s="14"/>
    </row>
    <row r="7" spans="1:5" x14ac:dyDescent="0.2">
      <c r="A7" s="15">
        <v>43726</v>
      </c>
      <c r="B7" s="14" t="s">
        <v>59</v>
      </c>
      <c r="C7" s="14" t="s">
        <v>65</v>
      </c>
      <c r="D7" s="14" t="s">
        <v>362</v>
      </c>
      <c r="E7" s="14"/>
    </row>
    <row r="8" spans="1:5" x14ac:dyDescent="0.2">
      <c r="A8" s="15">
        <v>43730</v>
      </c>
      <c r="B8" s="14" t="s">
        <v>58</v>
      </c>
      <c r="C8" s="14" t="s">
        <v>66</v>
      </c>
      <c r="D8" s="14" t="s">
        <v>363</v>
      </c>
      <c r="E8" s="14"/>
    </row>
    <row r="9" spans="1:5" x14ac:dyDescent="0.2">
      <c r="A9" s="15">
        <v>43733</v>
      </c>
      <c r="B9" s="14" t="s">
        <v>59</v>
      </c>
      <c r="C9" s="14" t="s">
        <v>67</v>
      </c>
      <c r="D9" s="14" t="s">
        <v>364</v>
      </c>
      <c r="E9" s="14"/>
    </row>
    <row r="10" spans="1:5" x14ac:dyDescent="0.2">
      <c r="A10" s="15">
        <v>43737</v>
      </c>
      <c r="B10" s="14" t="s">
        <v>58</v>
      </c>
      <c r="C10" s="14" t="s">
        <v>68</v>
      </c>
      <c r="D10" s="14" t="s">
        <v>365</v>
      </c>
      <c r="E10" s="14"/>
    </row>
    <row r="11" spans="1:5" x14ac:dyDescent="0.2">
      <c r="A11" s="15">
        <v>43740</v>
      </c>
      <c r="B11" s="14" t="s">
        <v>59</v>
      </c>
      <c r="C11" s="14" t="s">
        <v>69</v>
      </c>
      <c r="D11" s="14" t="s">
        <v>366</v>
      </c>
      <c r="E11" s="14"/>
    </row>
    <row r="12" spans="1:5" x14ac:dyDescent="0.2">
      <c r="A12" s="15">
        <v>43744</v>
      </c>
      <c r="B12" s="14" t="s">
        <v>58</v>
      </c>
      <c r="C12" s="14" t="s">
        <v>70</v>
      </c>
      <c r="D12" s="14" t="s">
        <v>373</v>
      </c>
      <c r="E12" s="14"/>
    </row>
    <row r="13" spans="1:5" x14ac:dyDescent="0.2">
      <c r="A13" s="15">
        <v>43747</v>
      </c>
      <c r="B13" s="14" t="s">
        <v>82</v>
      </c>
      <c r="C13" s="14" t="s">
        <v>71</v>
      </c>
      <c r="D13" s="14" t="s">
        <v>372</v>
      </c>
      <c r="E13" s="14"/>
    </row>
    <row r="14" spans="1:5" x14ac:dyDescent="0.2">
      <c r="A14" s="15">
        <v>43751</v>
      </c>
      <c r="B14" s="14" t="s">
        <v>58</v>
      </c>
      <c r="C14" s="14" t="s">
        <v>72</v>
      </c>
      <c r="D14" s="14" t="s">
        <v>356</v>
      </c>
      <c r="E14" s="14"/>
    </row>
    <row r="15" spans="1:5" x14ac:dyDescent="0.2">
      <c r="A15" s="15">
        <v>43754</v>
      </c>
      <c r="B15" s="14" t="s">
        <v>59</v>
      </c>
      <c r="C15" s="14" t="s">
        <v>73</v>
      </c>
      <c r="D15" s="14" t="s">
        <v>425</v>
      </c>
      <c r="E15" s="14"/>
    </row>
    <row r="16" spans="1:5" x14ac:dyDescent="0.2">
      <c r="A16" s="15">
        <v>43758</v>
      </c>
      <c r="B16" s="14" t="s">
        <v>58</v>
      </c>
      <c r="C16" s="14" t="s">
        <v>74</v>
      </c>
      <c r="D16" s="14" t="s">
        <v>445</v>
      </c>
      <c r="E16" s="14"/>
    </row>
    <row r="17" spans="1:5" x14ac:dyDescent="0.2">
      <c r="A17" s="15">
        <v>43761</v>
      </c>
      <c r="B17" s="14" t="s">
        <v>59</v>
      </c>
      <c r="C17" s="14" t="s">
        <v>75</v>
      </c>
      <c r="D17" s="14" t="s">
        <v>397</v>
      </c>
      <c r="E17" s="14"/>
    </row>
    <row r="18" spans="1:5" x14ac:dyDescent="0.2">
      <c r="A18" s="15">
        <v>43765</v>
      </c>
      <c r="B18" s="14" t="s">
        <v>58</v>
      </c>
      <c r="C18" s="14" t="s">
        <v>76</v>
      </c>
      <c r="D18" s="14" t="s">
        <v>502</v>
      </c>
      <c r="E18" s="14"/>
    </row>
    <row r="19" spans="1:5" x14ac:dyDescent="0.2">
      <c r="A19" s="15">
        <v>43768</v>
      </c>
      <c r="B19" s="14" t="s">
        <v>59</v>
      </c>
      <c r="C19" s="14" t="s">
        <v>77</v>
      </c>
      <c r="D19" s="14" t="s">
        <v>443</v>
      </c>
      <c r="E19" s="14"/>
    </row>
    <row r="20" spans="1:5" x14ac:dyDescent="0.2">
      <c r="A20" s="15">
        <v>43772</v>
      </c>
      <c r="B20" s="14" t="s">
        <v>58</v>
      </c>
      <c r="C20" s="14" t="s">
        <v>504</v>
      </c>
      <c r="D20" s="41" t="s">
        <v>512</v>
      </c>
      <c r="E20" s="14" t="s">
        <v>551</v>
      </c>
    </row>
    <row r="21" spans="1:5" x14ac:dyDescent="0.2">
      <c r="A21" s="15">
        <v>43775</v>
      </c>
      <c r="B21" s="14" t="s">
        <v>59</v>
      </c>
      <c r="C21" s="14" t="s">
        <v>505</v>
      </c>
      <c r="D21" s="41" t="s">
        <v>513</v>
      </c>
      <c r="E21" s="14" t="s">
        <v>552</v>
      </c>
    </row>
    <row r="22" spans="1:5" x14ac:dyDescent="0.2">
      <c r="A22" s="15">
        <v>43779</v>
      </c>
      <c r="B22" s="14" t="s">
        <v>58</v>
      </c>
      <c r="C22" s="14" t="s">
        <v>506</v>
      </c>
      <c r="D22" s="41" t="s">
        <v>514</v>
      </c>
      <c r="E22" s="14" t="s">
        <v>553</v>
      </c>
    </row>
    <row r="23" spans="1:5" x14ac:dyDescent="0.2">
      <c r="A23" s="15">
        <v>43782</v>
      </c>
      <c r="B23" s="14" t="s">
        <v>59</v>
      </c>
      <c r="C23" s="14" t="s">
        <v>507</v>
      </c>
      <c r="D23" s="41" t="s">
        <v>515</v>
      </c>
      <c r="E23" s="14" t="s">
        <v>554</v>
      </c>
    </row>
    <row r="24" spans="1:5" x14ac:dyDescent="0.2">
      <c r="A24" s="15">
        <v>43786</v>
      </c>
      <c r="B24" s="14" t="s">
        <v>58</v>
      </c>
      <c r="C24" s="14" t="s">
        <v>508</v>
      </c>
      <c r="D24" s="41" t="s">
        <v>516</v>
      </c>
      <c r="E24" s="14" t="s">
        <v>555</v>
      </c>
    </row>
    <row r="25" spans="1:5" x14ac:dyDescent="0.2">
      <c r="A25" s="15">
        <v>43789</v>
      </c>
      <c r="B25" s="14" t="s">
        <v>59</v>
      </c>
      <c r="C25" s="14" t="s">
        <v>509</v>
      </c>
      <c r="D25" s="41" t="s">
        <v>517</v>
      </c>
      <c r="E25" s="14" t="s">
        <v>556</v>
      </c>
    </row>
    <row r="26" spans="1:5" x14ac:dyDescent="0.2">
      <c r="A26" s="15">
        <v>43793</v>
      </c>
      <c r="B26" s="14" t="s">
        <v>58</v>
      </c>
      <c r="C26" s="14" t="s">
        <v>510</v>
      </c>
      <c r="D26" s="41" t="s">
        <v>518</v>
      </c>
      <c r="E26" s="14" t="s">
        <v>557</v>
      </c>
    </row>
    <row r="27" spans="1:5" x14ac:dyDescent="0.2">
      <c r="A27" s="15">
        <v>43796</v>
      </c>
      <c r="B27" s="14" t="s">
        <v>59</v>
      </c>
      <c r="C27" s="14" t="s">
        <v>511</v>
      </c>
      <c r="D27" s="41" t="s">
        <v>519</v>
      </c>
      <c r="E27" s="14" t="s">
        <v>558</v>
      </c>
    </row>
  </sheetData>
  <phoneticPr fontId="2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B549AE-7F1C-4627-B536-77B8D1131A88}">
  <sheetPr codeName="Sheet2"/>
  <dimension ref="A1:R103"/>
  <sheetViews>
    <sheetView zoomScaleNormal="100" workbookViewId="0">
      <pane ySplit="1" topLeftCell="A2" activePane="bottomLeft" state="frozen"/>
      <selection pane="bottomLeft" activeCell="O126" sqref="O126"/>
    </sheetView>
  </sheetViews>
  <sheetFormatPr defaultRowHeight="14.25" x14ac:dyDescent="0.2"/>
  <cols>
    <col min="1" max="1" width="6.875" bestFit="1" customWidth="1"/>
    <col min="2" max="2" width="10" bestFit="1" customWidth="1"/>
    <col min="3" max="3" width="7.125" customWidth="1"/>
    <col min="4" max="4" width="17.875" hidden="1" customWidth="1"/>
    <col min="5" max="5" width="11.875" customWidth="1"/>
    <col min="6" max="6" width="32.625" customWidth="1"/>
    <col min="7" max="8" width="6" bestFit="1" customWidth="1"/>
    <col min="9" max="9" width="6.875" hidden="1" customWidth="1"/>
    <col min="10" max="10" width="19" bestFit="1" customWidth="1"/>
    <col min="11" max="11" width="17.125" bestFit="1" customWidth="1"/>
    <col min="12" max="12" width="53.625" customWidth="1"/>
    <col min="13" max="13" width="7.25" bestFit="1" customWidth="1"/>
    <col min="17" max="17" width="7.125" bestFit="1" customWidth="1"/>
    <col min="18" max="18" width="12.375" bestFit="1" customWidth="1"/>
  </cols>
  <sheetData>
    <row r="1" spans="1:18" x14ac:dyDescent="0.2">
      <c r="A1" t="s">
        <v>0</v>
      </c>
      <c r="B1" t="s">
        <v>98</v>
      </c>
      <c r="C1" t="s">
        <v>97</v>
      </c>
      <c r="D1" t="s">
        <v>96</v>
      </c>
      <c r="E1" t="s">
        <v>95</v>
      </c>
      <c r="F1" t="s">
        <v>94</v>
      </c>
      <c r="G1" t="s">
        <v>49</v>
      </c>
      <c r="H1" t="s">
        <v>50</v>
      </c>
      <c r="I1" t="s">
        <v>93</v>
      </c>
      <c r="J1" t="s">
        <v>274</v>
      </c>
      <c r="K1" t="s">
        <v>160</v>
      </c>
      <c r="L1" t="s">
        <v>294</v>
      </c>
      <c r="M1" t="s">
        <v>606</v>
      </c>
      <c r="Q1" t="s">
        <v>97</v>
      </c>
      <c r="R1" t="s">
        <v>95</v>
      </c>
    </row>
    <row r="2" spans="1:18" hidden="1" x14ac:dyDescent="0.2">
      <c r="A2" s="1">
        <v>43723</v>
      </c>
      <c r="B2" s="4" t="s">
        <v>142</v>
      </c>
      <c r="C2" t="s">
        <v>83</v>
      </c>
      <c r="D2" s="2" t="str">
        <f>Table135[[#This Row],[CN]]&amp;" - "&amp;Table135[[#This Row],[CNEE]]</f>
        <v>永艺 - SSEM</v>
      </c>
      <c r="E2" s="12" t="str">
        <f>VLOOKUP(Table135[[#This Row],[CN]],表5[],2,FALSE)</f>
        <v>UE</v>
      </c>
      <c r="F2" s="3" t="s">
        <v>297</v>
      </c>
      <c r="G2" s="8"/>
      <c r="H2" s="8">
        <v>1</v>
      </c>
      <c r="I2" s="8">
        <f>Table135[[#This Row],[20'']]+Table135[[#This Row],[40'']]*2</f>
        <v>2</v>
      </c>
      <c r="J2" s="8" t="s">
        <v>32</v>
      </c>
      <c r="K2" s="8" t="s">
        <v>31</v>
      </c>
      <c r="L2" s="8"/>
      <c r="M2" s="8" t="s">
        <v>158</v>
      </c>
      <c r="Q2" t="s">
        <v>115</v>
      </c>
      <c r="R2" t="s">
        <v>40</v>
      </c>
    </row>
    <row r="3" spans="1:18" hidden="1" x14ac:dyDescent="0.2">
      <c r="A3" s="1">
        <v>43726</v>
      </c>
      <c r="B3" s="4" t="s">
        <v>431</v>
      </c>
      <c r="C3" t="s">
        <v>85</v>
      </c>
      <c r="D3" t="str">
        <f>Table135[[#This Row],[CN]]&amp;" - "&amp;Table135[[#This Row],[CNEE]]</f>
        <v>华宝 - EFFEX</v>
      </c>
      <c r="E3" t="str">
        <f>VLOOKUP(Table135[[#This Row],[CN]],表5[],2,FALSE)</f>
        <v>HUABAO</v>
      </c>
      <c r="F3" s="3" t="s">
        <v>30</v>
      </c>
      <c r="G3" s="8">
        <v>9</v>
      </c>
      <c r="H3" s="8"/>
      <c r="I3" s="8">
        <f>Table135[[#This Row],[20'']]+Table135[[#This Row],[40'']]*2</f>
        <v>9</v>
      </c>
      <c r="J3" s="8"/>
      <c r="K3" s="8"/>
      <c r="L3" s="8"/>
      <c r="M3" s="8" t="s">
        <v>158</v>
      </c>
      <c r="Q3" t="s">
        <v>116</v>
      </c>
      <c r="R3" t="s">
        <v>126</v>
      </c>
    </row>
    <row r="4" spans="1:18" hidden="1" x14ac:dyDescent="0.2">
      <c r="A4" s="1">
        <v>43726</v>
      </c>
      <c r="B4" t="s">
        <v>13</v>
      </c>
      <c r="C4" t="s">
        <v>91</v>
      </c>
      <c r="D4" t="str">
        <f>Table135[[#This Row],[CN]]&amp;" - "&amp;Table135[[#This Row],[CNEE]]</f>
        <v>顾家 - HANSSEM</v>
      </c>
      <c r="E4" t="str">
        <f>VLOOKUP(Table135[[#This Row],[CN]],表5[],2,FALSE)</f>
        <v>KUKA</v>
      </c>
      <c r="F4" s="3" t="s">
        <v>19</v>
      </c>
      <c r="G4" s="8"/>
      <c r="H4" s="8">
        <v>1</v>
      </c>
      <c r="I4" s="8">
        <f>Table135[[#This Row],[20'']]+Table135[[#This Row],[40'']]*2</f>
        <v>2</v>
      </c>
      <c r="J4" s="8"/>
      <c r="K4" s="8"/>
      <c r="L4" s="8"/>
      <c r="M4" s="8" t="s">
        <v>158</v>
      </c>
      <c r="Q4" t="s">
        <v>117</v>
      </c>
      <c r="R4" t="s">
        <v>127</v>
      </c>
    </row>
    <row r="5" spans="1:18" hidden="1" x14ac:dyDescent="0.2">
      <c r="A5" s="1">
        <v>43726</v>
      </c>
      <c r="B5" t="s">
        <v>13</v>
      </c>
      <c r="C5" t="s">
        <v>86</v>
      </c>
      <c r="D5" t="str">
        <f>Table135[[#This Row],[CN]]&amp;" - "&amp;Table135[[#This Row],[CNEE]]</f>
        <v>卡帛 - HANSSEM</v>
      </c>
      <c r="E5" t="str">
        <f>VLOOKUP(Table135[[#This Row],[CN]],表5[],2,FALSE)</f>
        <v>CABO</v>
      </c>
      <c r="F5" s="3" t="s">
        <v>26</v>
      </c>
      <c r="G5" s="8"/>
      <c r="H5" s="8">
        <v>1</v>
      </c>
      <c r="I5" s="8">
        <f>Table135[[#This Row],[20'']]+Table135[[#This Row],[40'']]*2</f>
        <v>2</v>
      </c>
      <c r="J5" s="8"/>
      <c r="K5" s="8"/>
      <c r="L5" s="8"/>
      <c r="M5" s="8" t="s">
        <v>158</v>
      </c>
      <c r="Q5" t="s">
        <v>111</v>
      </c>
      <c r="R5" t="s">
        <v>112</v>
      </c>
    </row>
    <row r="6" spans="1:18" hidden="1" x14ac:dyDescent="0.2">
      <c r="A6" s="1">
        <v>43726</v>
      </c>
      <c r="B6" t="s">
        <v>13</v>
      </c>
      <c r="C6" t="s">
        <v>90</v>
      </c>
      <c r="D6" t="str">
        <f>Table135[[#This Row],[CN]]&amp;" - "&amp;Table135[[#This Row],[CNEE]]</f>
        <v>万盛 - HANSSEM</v>
      </c>
      <c r="E6" t="str">
        <f>VLOOKUP(Table135[[#This Row],[CN]],表5[],2,FALSE)</f>
        <v>WANSHENG</v>
      </c>
      <c r="F6" s="3" t="s">
        <v>2</v>
      </c>
      <c r="G6" s="8"/>
      <c r="H6" s="8">
        <v>2</v>
      </c>
      <c r="I6" s="8">
        <f>Table135[[#This Row],[20'']]+Table135[[#This Row],[40'']]*2</f>
        <v>4</v>
      </c>
      <c r="J6" s="8"/>
      <c r="K6" s="8"/>
      <c r="L6" s="8"/>
      <c r="M6" s="8" t="s">
        <v>158</v>
      </c>
      <c r="Q6" t="s">
        <v>118</v>
      </c>
      <c r="R6" t="s">
        <v>128</v>
      </c>
    </row>
    <row r="7" spans="1:18" hidden="1" x14ac:dyDescent="0.2">
      <c r="A7" s="1">
        <v>43726</v>
      </c>
      <c r="B7" t="s">
        <v>13</v>
      </c>
      <c r="C7" t="s">
        <v>90</v>
      </c>
      <c r="D7" t="str">
        <f>Table135[[#This Row],[CN]]&amp;" - "&amp;Table135[[#This Row],[CNEE]]</f>
        <v>万盛 - HANSSEM</v>
      </c>
      <c r="E7" t="str">
        <f>VLOOKUP(Table135[[#This Row],[CN]],表5[],2,FALSE)</f>
        <v>WANSHENG</v>
      </c>
      <c r="F7" s="3" t="s">
        <v>3</v>
      </c>
      <c r="G7" s="8"/>
      <c r="H7" s="8">
        <v>1</v>
      </c>
      <c r="I7" s="8">
        <f>Table135[[#This Row],[20'']]+Table135[[#This Row],[40'']]*2</f>
        <v>2</v>
      </c>
      <c r="J7" s="8"/>
      <c r="K7" s="8"/>
      <c r="L7" s="8"/>
      <c r="M7" s="8" t="s">
        <v>158</v>
      </c>
      <c r="Q7" t="s">
        <v>119</v>
      </c>
      <c r="R7" t="s">
        <v>13</v>
      </c>
    </row>
    <row r="8" spans="1:18" hidden="1" x14ac:dyDescent="0.2">
      <c r="A8" s="1">
        <v>43726</v>
      </c>
      <c r="B8" t="s">
        <v>16</v>
      </c>
      <c r="C8" t="s">
        <v>83</v>
      </c>
      <c r="D8" t="str">
        <f>Table135[[#This Row],[CN]]&amp;" - "&amp;Table135[[#This Row],[CNEE]]</f>
        <v>永艺 - SSEM</v>
      </c>
      <c r="E8" t="str">
        <f>VLOOKUP(Table135[[#This Row],[CN]],表5[],2,FALSE)</f>
        <v>UE</v>
      </c>
      <c r="F8" s="3" t="s">
        <v>297</v>
      </c>
      <c r="G8" s="8">
        <v>1</v>
      </c>
      <c r="H8" s="8"/>
      <c r="I8" s="8">
        <f>Table135[[#This Row],[20'']]+Table135[[#This Row],[40'']]*2</f>
        <v>1</v>
      </c>
      <c r="J8" s="8" t="s">
        <v>34</v>
      </c>
      <c r="K8" s="8" t="s">
        <v>33</v>
      </c>
      <c r="L8" s="8"/>
      <c r="M8" s="8" t="s">
        <v>158</v>
      </c>
      <c r="Q8" t="s">
        <v>120</v>
      </c>
      <c r="R8" t="s">
        <v>129</v>
      </c>
    </row>
    <row r="9" spans="1:18" hidden="1" x14ac:dyDescent="0.2">
      <c r="A9" s="1">
        <v>43727</v>
      </c>
      <c r="B9" t="s">
        <v>48</v>
      </c>
      <c r="C9" t="s">
        <v>92</v>
      </c>
      <c r="D9" t="str">
        <f>Table135[[#This Row],[CN]]&amp;" - "&amp;Table135[[#This Row],[CNEE]]</f>
        <v>瑞显 - CASAMIA</v>
      </c>
      <c r="E9" t="str">
        <f>VLOOKUP(Table135[[#This Row],[CN]],表5[],2,FALSE)</f>
        <v>LOUISUN</v>
      </c>
      <c r="F9" s="3" t="s">
        <v>1</v>
      </c>
      <c r="G9" s="8">
        <v>1</v>
      </c>
      <c r="H9" s="8"/>
      <c r="I9" s="8">
        <f>Table135[[#This Row],[20'']]+Table135[[#This Row],[40'']]*2</f>
        <v>1</v>
      </c>
      <c r="J9" s="8"/>
      <c r="K9" s="8"/>
      <c r="L9" s="8"/>
      <c r="M9" s="8" t="s">
        <v>158</v>
      </c>
      <c r="Q9" t="s">
        <v>121</v>
      </c>
      <c r="R9" t="s">
        <v>130</v>
      </c>
    </row>
    <row r="10" spans="1:18" hidden="1" x14ac:dyDescent="0.2">
      <c r="A10" s="1">
        <v>43730</v>
      </c>
      <c r="B10" s="4" t="s">
        <v>431</v>
      </c>
      <c r="C10" t="s">
        <v>85</v>
      </c>
      <c r="D10" t="str">
        <f>Table135[[#This Row],[CN]]&amp;" - "&amp;Table135[[#This Row],[CNEE]]</f>
        <v>华宝 - EFFEX</v>
      </c>
      <c r="E10" t="str">
        <f>VLOOKUP(Table135[[#This Row],[CN]],表5[],2,FALSE)</f>
        <v>HUABAO</v>
      </c>
      <c r="F10" s="3" t="s">
        <v>30</v>
      </c>
      <c r="G10" s="8">
        <v>10</v>
      </c>
      <c r="H10" s="8"/>
      <c r="I10" s="8">
        <f>Table135[[#This Row],[20'']]+Table135[[#This Row],[40'']]*2</f>
        <v>10</v>
      </c>
      <c r="J10" s="8" t="s">
        <v>38</v>
      </c>
      <c r="K10" s="8" t="s">
        <v>37</v>
      </c>
      <c r="L10" s="8"/>
      <c r="M10" s="8" t="s">
        <v>158</v>
      </c>
      <c r="Q10" t="s">
        <v>122</v>
      </c>
      <c r="R10" t="s">
        <v>131</v>
      </c>
    </row>
    <row r="11" spans="1:18" hidden="1" x14ac:dyDescent="0.2">
      <c r="A11" s="1">
        <v>43730</v>
      </c>
      <c r="B11" t="s">
        <v>13</v>
      </c>
      <c r="C11" t="s">
        <v>91</v>
      </c>
      <c r="D11" t="str">
        <f>Table135[[#This Row],[CN]]&amp;" - "&amp;Table135[[#This Row],[CNEE]]</f>
        <v>顾家 - HANSSEM</v>
      </c>
      <c r="E11" t="str">
        <f>VLOOKUP(Table135[[#This Row],[CN]],表5[],2,FALSE)</f>
        <v>KUKA</v>
      </c>
      <c r="F11" s="3" t="s">
        <v>20</v>
      </c>
      <c r="G11" s="8"/>
      <c r="H11" s="8">
        <v>1</v>
      </c>
      <c r="I11" s="8">
        <f>Table135[[#This Row],[20'']]+Table135[[#This Row],[40'']]*2</f>
        <v>2</v>
      </c>
      <c r="J11" s="8" t="s">
        <v>22</v>
      </c>
      <c r="K11" s="8" t="s">
        <v>21</v>
      </c>
      <c r="L11" s="8"/>
      <c r="M11" s="8" t="s">
        <v>158</v>
      </c>
      <c r="Q11" t="s">
        <v>123</v>
      </c>
      <c r="R11" t="s">
        <v>132</v>
      </c>
    </row>
    <row r="12" spans="1:18" hidden="1" x14ac:dyDescent="0.2">
      <c r="A12" s="1">
        <v>43730</v>
      </c>
      <c r="B12" t="s">
        <v>13</v>
      </c>
      <c r="C12" t="s">
        <v>86</v>
      </c>
      <c r="D12" t="str">
        <f>Table135[[#This Row],[CN]]&amp;" - "&amp;Table135[[#This Row],[CNEE]]</f>
        <v>卡帛 - HANSSEM</v>
      </c>
      <c r="E12" t="str">
        <f>VLOOKUP(Table135[[#This Row],[CN]],表5[],2,FALSE)</f>
        <v>CABO</v>
      </c>
      <c r="F12" s="3" t="s">
        <v>27</v>
      </c>
      <c r="G12" s="8"/>
      <c r="H12" s="8">
        <v>3</v>
      </c>
      <c r="I12" s="8">
        <f>Table135[[#This Row],[20'']]+Table135[[#This Row],[40'']]*2</f>
        <v>6</v>
      </c>
      <c r="J12" s="8" t="s">
        <v>29</v>
      </c>
      <c r="K12" s="8" t="s">
        <v>28</v>
      </c>
      <c r="L12" s="8"/>
      <c r="M12" s="8" t="s">
        <v>158</v>
      </c>
      <c r="Q12" t="s">
        <v>124</v>
      </c>
      <c r="R12" t="s">
        <v>133</v>
      </c>
    </row>
    <row r="13" spans="1:18" hidden="1" x14ac:dyDescent="0.2">
      <c r="A13" s="1">
        <v>43730</v>
      </c>
      <c r="B13" t="s">
        <v>13</v>
      </c>
      <c r="C13" t="s">
        <v>90</v>
      </c>
      <c r="D13" t="str">
        <f>Table135[[#This Row],[CN]]&amp;" - "&amp;Table135[[#This Row],[CNEE]]</f>
        <v>万盛 - HANSSEM</v>
      </c>
      <c r="E13" t="str">
        <f>VLOOKUP(Table135[[#This Row],[CN]],表5[],2,FALSE)</f>
        <v>WANSHENG</v>
      </c>
      <c r="F13" s="3" t="s">
        <v>4</v>
      </c>
      <c r="G13" s="8"/>
      <c r="H13" s="8">
        <v>2</v>
      </c>
      <c r="I13" s="8">
        <f>Table135[[#This Row],[20'']]+Table135[[#This Row],[40'']]*2</f>
        <v>4</v>
      </c>
      <c r="J13" s="8"/>
      <c r="K13" s="8"/>
      <c r="L13" s="8"/>
      <c r="M13" s="8" t="s">
        <v>158</v>
      </c>
      <c r="Q13" t="s">
        <v>125</v>
      </c>
      <c r="R13" t="s">
        <v>134</v>
      </c>
    </row>
    <row r="14" spans="1:18" hidden="1" x14ac:dyDescent="0.2">
      <c r="A14" s="1">
        <v>43730</v>
      </c>
      <c r="B14" t="s">
        <v>13</v>
      </c>
      <c r="C14" t="s">
        <v>90</v>
      </c>
      <c r="D14" t="str">
        <f>Table135[[#This Row],[CN]]&amp;" - "&amp;Table135[[#This Row],[CNEE]]</f>
        <v>万盛 - HANSSEM</v>
      </c>
      <c r="E14" t="str">
        <f>VLOOKUP(Table135[[#This Row],[CN]],表5[],2,FALSE)</f>
        <v>WANSHENG</v>
      </c>
      <c r="F14" s="3" t="s">
        <v>5</v>
      </c>
      <c r="G14" s="8"/>
      <c r="H14" s="8">
        <v>2</v>
      </c>
      <c r="I14" s="8">
        <f>Table135[[#This Row],[20'']]+Table135[[#This Row],[40'']]*2</f>
        <v>4</v>
      </c>
      <c r="J14" s="8"/>
      <c r="K14" s="8"/>
      <c r="L14" s="8"/>
      <c r="M14" s="8" t="s">
        <v>158</v>
      </c>
      <c r="Q14" t="s">
        <v>107</v>
      </c>
      <c r="R14" t="s">
        <v>109</v>
      </c>
    </row>
    <row r="15" spans="1:18" hidden="1" x14ac:dyDescent="0.2">
      <c r="A15" s="1">
        <v>43730</v>
      </c>
      <c r="B15" t="s">
        <v>13</v>
      </c>
      <c r="C15" t="s">
        <v>90</v>
      </c>
      <c r="D15" t="str">
        <f>Table135[[#This Row],[CN]]&amp;" - "&amp;Table135[[#This Row],[CNEE]]</f>
        <v>万盛 - HANSSEM</v>
      </c>
      <c r="E15" t="str">
        <f>VLOOKUP(Table135[[#This Row],[CN]],表5[],2,FALSE)</f>
        <v>WANSHENG</v>
      </c>
      <c r="F15" s="3" t="s">
        <v>6</v>
      </c>
      <c r="G15" s="8"/>
      <c r="H15" s="8">
        <v>1</v>
      </c>
      <c r="I15" s="8">
        <f>Table135[[#This Row],[20'']]+Table135[[#This Row],[40'']]*2</f>
        <v>2</v>
      </c>
      <c r="J15" s="8"/>
      <c r="K15" s="8"/>
      <c r="L15" s="8"/>
      <c r="M15" s="8" t="s">
        <v>158</v>
      </c>
      <c r="Q15" t="s">
        <v>540</v>
      </c>
      <c r="R15" t="s">
        <v>541</v>
      </c>
    </row>
    <row r="16" spans="1:18" ht="42.75" hidden="1" x14ac:dyDescent="0.2">
      <c r="A16" s="1">
        <v>43733</v>
      </c>
      <c r="B16" t="s">
        <v>48</v>
      </c>
      <c r="C16" t="s">
        <v>87</v>
      </c>
      <c r="D16" t="str">
        <f>Table135[[#This Row],[CN]]&amp;" - "&amp;Table135[[#This Row],[CNEE]]</f>
        <v>华达利 - CASAMIA</v>
      </c>
      <c r="E16" t="str">
        <f>VLOOKUP(Table135[[#This Row],[CN]],表5[],2,FALSE)</f>
        <v>HTL</v>
      </c>
      <c r="F16" s="3" t="s">
        <v>216</v>
      </c>
      <c r="G16" s="8"/>
      <c r="H16" s="8">
        <v>3</v>
      </c>
      <c r="I16" s="8">
        <f>Table135[[#This Row],[20'']]+Table135[[#This Row],[40'']]*2</f>
        <v>6</v>
      </c>
      <c r="J16" s="8" t="s">
        <v>42</v>
      </c>
      <c r="K16" s="8" t="s">
        <v>41</v>
      </c>
      <c r="L16" s="8"/>
      <c r="M16" s="8" t="s">
        <v>158</v>
      </c>
    </row>
    <row r="17" spans="1:13" hidden="1" x14ac:dyDescent="0.2">
      <c r="A17" s="1">
        <v>43733</v>
      </c>
      <c r="B17" s="4" t="s">
        <v>431</v>
      </c>
      <c r="C17" t="s">
        <v>85</v>
      </c>
      <c r="D17" t="str">
        <f>Table135[[#This Row],[CN]]&amp;" - "&amp;Table135[[#This Row],[CNEE]]</f>
        <v>华宝 - EFFEX</v>
      </c>
      <c r="E17" t="str">
        <f>VLOOKUP(Table135[[#This Row],[CN]],表5[],2,FALSE)</f>
        <v>HUABAO</v>
      </c>
      <c r="F17" s="3" t="s">
        <v>303</v>
      </c>
      <c r="G17" s="8">
        <v>8</v>
      </c>
      <c r="H17" s="8"/>
      <c r="I17" s="8">
        <f>Table135[[#This Row],[20'']]+Table135[[#This Row],[40'']]*2</f>
        <v>8</v>
      </c>
      <c r="J17" s="8" t="s">
        <v>39</v>
      </c>
      <c r="K17" s="8" t="s">
        <v>304</v>
      </c>
      <c r="L17" s="8" t="s">
        <v>300</v>
      </c>
      <c r="M17" s="8" t="s">
        <v>158</v>
      </c>
    </row>
    <row r="18" spans="1:13" hidden="1" x14ac:dyDescent="0.2">
      <c r="A18" s="1">
        <v>43733</v>
      </c>
      <c r="B18" t="s">
        <v>13</v>
      </c>
      <c r="C18" t="s">
        <v>91</v>
      </c>
      <c r="D18" t="str">
        <f>Table135[[#This Row],[CN]]&amp;" - "&amp;Table135[[#This Row],[CNEE]]</f>
        <v>顾家 - HANSSEM</v>
      </c>
      <c r="E18" t="str">
        <f>VLOOKUP(Table135[[#This Row],[CN]],表5[],2,FALSE)</f>
        <v>KUKA</v>
      </c>
      <c r="F18" s="3" t="s">
        <v>23</v>
      </c>
      <c r="G18" s="8"/>
      <c r="H18" s="8">
        <v>1</v>
      </c>
      <c r="I18" s="8">
        <f>Table135[[#This Row],[20'']]+Table135[[#This Row],[40'']]*2</f>
        <v>2</v>
      </c>
      <c r="J18" s="8" t="s">
        <v>24</v>
      </c>
      <c r="K18" s="8" t="s">
        <v>217</v>
      </c>
      <c r="L18" s="8"/>
      <c r="M18" s="8" t="s">
        <v>158</v>
      </c>
    </row>
    <row r="19" spans="1:13" hidden="1" x14ac:dyDescent="0.2">
      <c r="A19" s="1">
        <v>43733</v>
      </c>
      <c r="B19" t="s">
        <v>13</v>
      </c>
      <c r="C19" t="s">
        <v>90</v>
      </c>
      <c r="D19" t="str">
        <f>Table135[[#This Row],[CN]]&amp;" - "&amp;Table135[[#This Row],[CNEE]]</f>
        <v>万盛 - HANSSEM</v>
      </c>
      <c r="E19" t="str">
        <f>VLOOKUP(Table135[[#This Row],[CN]],表5[],2,FALSE)</f>
        <v>WANSHENG</v>
      </c>
      <c r="F19" s="3" t="s">
        <v>7</v>
      </c>
      <c r="G19" s="8"/>
      <c r="H19" s="8">
        <v>1</v>
      </c>
      <c r="I19" s="8">
        <f>Table135[[#This Row],[20'']]+Table135[[#This Row],[40'']]*2</f>
        <v>2</v>
      </c>
      <c r="J19" s="8" t="s">
        <v>8</v>
      </c>
      <c r="K19" s="8" t="s">
        <v>17</v>
      </c>
      <c r="L19" s="8"/>
      <c r="M19" s="8" t="s">
        <v>158</v>
      </c>
    </row>
    <row r="20" spans="1:13" hidden="1" x14ac:dyDescent="0.2">
      <c r="A20" s="1">
        <v>43733</v>
      </c>
      <c r="B20" t="s">
        <v>13</v>
      </c>
      <c r="C20" t="s">
        <v>90</v>
      </c>
      <c r="D20" t="str">
        <f>Table135[[#This Row],[CN]]&amp;" - "&amp;Table135[[#This Row],[CNEE]]</f>
        <v>万盛 - HANSSEM</v>
      </c>
      <c r="E20" t="str">
        <f>VLOOKUP(Table135[[#This Row],[CN]],表5[],2,FALSE)</f>
        <v>WANSHENG</v>
      </c>
      <c r="F20" s="3" t="s">
        <v>9</v>
      </c>
      <c r="G20" s="8"/>
      <c r="H20" s="8">
        <v>3</v>
      </c>
      <c r="I20" s="8">
        <f>Table135[[#This Row],[20'']]+Table135[[#This Row],[40'']]*2</f>
        <v>6</v>
      </c>
      <c r="J20" s="8" t="s">
        <v>279</v>
      </c>
      <c r="K20" s="8" t="s">
        <v>18</v>
      </c>
      <c r="L20" s="8" t="s">
        <v>307</v>
      </c>
      <c r="M20" s="8" t="s">
        <v>158</v>
      </c>
    </row>
    <row r="21" spans="1:13" hidden="1" x14ac:dyDescent="0.2">
      <c r="A21" s="1">
        <v>43733</v>
      </c>
      <c r="B21" t="s">
        <v>16</v>
      </c>
      <c r="C21" t="s">
        <v>83</v>
      </c>
      <c r="D21" t="str">
        <f>Table135[[#This Row],[CN]]&amp;" - "&amp;Table135[[#This Row],[CNEE]]</f>
        <v>永艺 - SSEM</v>
      </c>
      <c r="E21" t="str">
        <f>VLOOKUP(Table135[[#This Row],[CN]],表5[],2,FALSE)</f>
        <v>UE</v>
      </c>
      <c r="F21" s="3" t="s">
        <v>299</v>
      </c>
      <c r="G21" s="8"/>
      <c r="H21" s="8">
        <v>2</v>
      </c>
      <c r="I21" s="8">
        <f>Table135[[#This Row],[20'']]+Table135[[#This Row],[40'']]*2</f>
        <v>4</v>
      </c>
      <c r="J21" s="8" t="s">
        <v>14</v>
      </c>
      <c r="K21" s="8" t="s">
        <v>35</v>
      </c>
      <c r="L21" s="8" t="s">
        <v>308</v>
      </c>
      <c r="M21" s="8" t="s">
        <v>158</v>
      </c>
    </row>
    <row r="22" spans="1:13" hidden="1" x14ac:dyDescent="0.2">
      <c r="A22" s="1">
        <v>43737</v>
      </c>
      <c r="B22" t="s">
        <v>48</v>
      </c>
      <c r="C22" t="s">
        <v>108</v>
      </c>
      <c r="D22" s="2" t="str">
        <f>Table135[[#This Row],[CN]]&amp;" - "&amp;Table135[[#This Row],[CNEE]]</f>
        <v>非相 - CASAMIA</v>
      </c>
      <c r="E22" s="4" t="str">
        <f>VLOOKUP(Table135[[#This Row],[CN]],表5[],2,FALSE)</f>
        <v>PHILOSOPHY</v>
      </c>
      <c r="F22" s="3" t="s">
        <v>110</v>
      </c>
      <c r="G22" s="8">
        <v>1</v>
      </c>
      <c r="H22" s="8"/>
      <c r="I22" s="8">
        <f>Table135[[#This Row],[20'']]+Table135[[#This Row],[40'']]*2</f>
        <v>1</v>
      </c>
      <c r="J22" s="8" t="s">
        <v>275</v>
      </c>
      <c r="K22" s="8" t="s">
        <v>161</v>
      </c>
      <c r="L22" s="8"/>
      <c r="M22" s="8" t="s">
        <v>158</v>
      </c>
    </row>
    <row r="23" spans="1:13" hidden="1" x14ac:dyDescent="0.2">
      <c r="A23" s="1">
        <v>43737</v>
      </c>
      <c r="B23" t="s">
        <v>48</v>
      </c>
      <c r="C23" t="s">
        <v>84</v>
      </c>
      <c r="D23" t="str">
        <f>Table135[[#This Row],[CN]]&amp;" - "&amp;Table135[[#This Row],[CNEE]]</f>
        <v>雅家居 - CASAMIA</v>
      </c>
      <c r="E23" s="3" t="str">
        <f>VLOOKUP(Table135[[#This Row],[CN]],表5[],2,FALSE)</f>
        <v>YAJIAJU</v>
      </c>
      <c r="F23" s="3" t="s">
        <v>106</v>
      </c>
      <c r="G23" s="8"/>
      <c r="H23" s="8">
        <v>2</v>
      </c>
      <c r="I23" s="8">
        <f>Table135[[#This Row],[20'']]+Table135[[#This Row],[40'']]*2</f>
        <v>4</v>
      </c>
      <c r="J23" s="8" t="s">
        <v>44</v>
      </c>
      <c r="K23" s="8" t="s">
        <v>43</v>
      </c>
      <c r="L23" s="8"/>
      <c r="M23" s="8" t="s">
        <v>158</v>
      </c>
    </row>
    <row r="24" spans="1:13" hidden="1" x14ac:dyDescent="0.2">
      <c r="A24" s="1">
        <v>43737</v>
      </c>
      <c r="B24" t="s">
        <v>13</v>
      </c>
      <c r="C24" t="s">
        <v>91</v>
      </c>
      <c r="D24" t="str">
        <f>Table135[[#This Row],[CN]]&amp;" - "&amp;Table135[[#This Row],[CNEE]]</f>
        <v>顾家 - HANSSEM</v>
      </c>
      <c r="E24" t="str">
        <f>VLOOKUP(Table135[[#This Row],[CN]],表5[],2,FALSE)</f>
        <v>KUKA</v>
      </c>
      <c r="F24" s="3" t="s">
        <v>305</v>
      </c>
      <c r="G24" s="8"/>
      <c r="H24" s="8">
        <v>2</v>
      </c>
      <c r="I24" s="8">
        <f>Table135[[#This Row],[20'']]+Table135[[#This Row],[40'']]*2</f>
        <v>4</v>
      </c>
      <c r="J24" s="8" t="s">
        <v>624</v>
      </c>
      <c r="K24" s="8" t="s">
        <v>25</v>
      </c>
      <c r="L24" s="8"/>
      <c r="M24" s="8" t="s">
        <v>158</v>
      </c>
    </row>
    <row r="25" spans="1:13" hidden="1" x14ac:dyDescent="0.2">
      <c r="A25" s="1">
        <v>43737</v>
      </c>
      <c r="B25" t="s">
        <v>13</v>
      </c>
      <c r="C25" t="s">
        <v>90</v>
      </c>
      <c r="D25" s="2" t="str">
        <f>Table135[[#This Row],[CN]]&amp;" - "&amp;Table135[[#This Row],[CNEE]]</f>
        <v>万盛 - HANSSEM</v>
      </c>
      <c r="E25" s="4" t="str">
        <f>VLOOKUP(Table135[[#This Row],[CN]],表5[],2,FALSE)</f>
        <v>WANSHENG</v>
      </c>
      <c r="F25" s="3" t="s">
        <v>113</v>
      </c>
      <c r="G25" s="8"/>
      <c r="H25" s="8">
        <v>3</v>
      </c>
      <c r="I25" s="8">
        <f>Table135[[#This Row],[20'']]+Table135[[#This Row],[40'']]*2</f>
        <v>6</v>
      </c>
      <c r="J25" s="8" t="s">
        <v>280</v>
      </c>
      <c r="K25" s="8" t="s">
        <v>164</v>
      </c>
      <c r="L25" s="8"/>
      <c r="M25" s="8" t="s">
        <v>158</v>
      </c>
    </row>
    <row r="26" spans="1:13" hidden="1" x14ac:dyDescent="0.2">
      <c r="A26" s="1">
        <v>43737</v>
      </c>
      <c r="B26" t="s">
        <v>13</v>
      </c>
      <c r="C26" t="s">
        <v>90</v>
      </c>
      <c r="D26" s="2" t="str">
        <f>Table135[[#This Row],[CN]]&amp;" - "&amp;Table135[[#This Row],[CNEE]]</f>
        <v>万盛 - HANSSEM</v>
      </c>
      <c r="E26" s="4" t="str">
        <f>VLOOKUP(Table135[[#This Row],[CN]],表5[],2,FALSE)</f>
        <v>WANSHENG</v>
      </c>
      <c r="F26" s="3" t="s">
        <v>114</v>
      </c>
      <c r="G26" s="8"/>
      <c r="H26" s="8">
        <v>2</v>
      </c>
      <c r="I26" s="8">
        <f>Table135[[#This Row],[20'']]+Table135[[#This Row],[40'']]*2</f>
        <v>4</v>
      </c>
      <c r="J26" s="8" t="s">
        <v>281</v>
      </c>
      <c r="K26" s="8" t="s">
        <v>165</v>
      </c>
      <c r="L26" s="8"/>
      <c r="M26" s="8" t="s">
        <v>158</v>
      </c>
    </row>
    <row r="27" spans="1:13" hidden="1" x14ac:dyDescent="0.2">
      <c r="A27" s="1">
        <v>43737</v>
      </c>
      <c r="B27" t="s">
        <v>16</v>
      </c>
      <c r="C27" t="s">
        <v>83</v>
      </c>
      <c r="D27" t="str">
        <f>Table135[[#This Row],[CN]]&amp;" - "&amp;Table135[[#This Row],[CNEE]]</f>
        <v>永艺 - SSEM</v>
      </c>
      <c r="E27" t="str">
        <f>VLOOKUP(Table135[[#This Row],[CN]],表5[],2,FALSE)</f>
        <v>UE</v>
      </c>
      <c r="F27" s="3" t="s">
        <v>298</v>
      </c>
      <c r="G27" s="8"/>
      <c r="H27" s="8">
        <v>4</v>
      </c>
      <c r="I27" s="8">
        <f>Table135[[#This Row],[20'']]+Table135[[#This Row],[40'']]*2</f>
        <v>8</v>
      </c>
      <c r="J27" s="8" t="s">
        <v>625</v>
      </c>
      <c r="K27" s="8" t="s">
        <v>36</v>
      </c>
      <c r="L27" s="8"/>
      <c r="M27" s="8" t="s">
        <v>158</v>
      </c>
    </row>
    <row r="28" spans="1:13" ht="42.75" hidden="1" x14ac:dyDescent="0.2">
      <c r="A28" s="1">
        <v>43740</v>
      </c>
      <c r="B28" t="s">
        <v>48</v>
      </c>
      <c r="C28" t="s">
        <v>87</v>
      </c>
      <c r="D28" t="str">
        <f>Table135[[#This Row],[CN]]&amp;" - "&amp;Table135[[#This Row],[CNEE]]</f>
        <v>华达利 - CASAMIA</v>
      </c>
      <c r="E28" t="str">
        <f>VLOOKUP(Table135[[#This Row],[CN]],表5[],2,FALSE)</f>
        <v>HTL</v>
      </c>
      <c r="F28" s="3" t="s">
        <v>313</v>
      </c>
      <c r="G28" s="8"/>
      <c r="H28" s="8">
        <v>3</v>
      </c>
      <c r="I28" s="8">
        <f>Table135[[#This Row],[20'']]+Table135[[#This Row],[40'']]*2</f>
        <v>6</v>
      </c>
      <c r="J28" s="8" t="s">
        <v>315</v>
      </c>
      <c r="K28" s="8" t="s">
        <v>316</v>
      </c>
      <c r="L28" s="33" t="s">
        <v>318</v>
      </c>
      <c r="M28" s="8" t="s">
        <v>157</v>
      </c>
    </row>
    <row r="29" spans="1:13" hidden="1" x14ac:dyDescent="0.2">
      <c r="A29" s="1">
        <v>43740</v>
      </c>
      <c r="B29" s="4" t="s">
        <v>431</v>
      </c>
      <c r="C29" t="s">
        <v>85</v>
      </c>
      <c r="D29" t="str">
        <f>Table135[[#This Row],[CN]]&amp;" - "&amp;Table135[[#This Row],[CNEE]]</f>
        <v>华宝 - EFFEX</v>
      </c>
      <c r="E29" t="str">
        <f>VLOOKUP(Table135[[#This Row],[CN]],表5[],2,FALSE)</f>
        <v>HUABAO</v>
      </c>
      <c r="F29" s="3" t="s">
        <v>30</v>
      </c>
      <c r="G29" s="8">
        <v>4</v>
      </c>
      <c r="H29" s="8"/>
      <c r="I29" s="8">
        <f>Table135[[#This Row],[20'']]+Table135[[#This Row],[40'']]*2</f>
        <v>4</v>
      </c>
      <c r="J29" s="8" t="s">
        <v>15</v>
      </c>
      <c r="K29" s="8" t="s">
        <v>162</v>
      </c>
      <c r="L29" s="8"/>
      <c r="M29" s="8" t="s">
        <v>158</v>
      </c>
    </row>
    <row r="30" spans="1:13" hidden="1" x14ac:dyDescent="0.2">
      <c r="A30" s="1">
        <v>43744</v>
      </c>
      <c r="B30" t="s">
        <v>48</v>
      </c>
      <c r="C30" t="s">
        <v>89</v>
      </c>
      <c r="D30" t="str">
        <f>Table135[[#This Row],[CN]]&amp;" - "&amp;Table135[[#This Row],[CNEE]]</f>
        <v>洲际 - CASAMIA</v>
      </c>
      <c r="E30" t="str">
        <f>VLOOKUP(Table135[[#This Row],[CN]],表5[],2,FALSE)</f>
        <v>ZHOUJI</v>
      </c>
      <c r="F30" s="16" t="s">
        <v>530</v>
      </c>
      <c r="G30" s="8"/>
      <c r="H30" s="8">
        <v>1</v>
      </c>
      <c r="I30" s="8">
        <f>Table135[[#This Row],[20'']]+Table135[[#This Row],[40'']]*2</f>
        <v>2</v>
      </c>
      <c r="J30" s="8" t="s">
        <v>45</v>
      </c>
      <c r="K30" s="8" t="s">
        <v>46</v>
      </c>
      <c r="L30" s="8"/>
      <c r="M30" s="8" t="s">
        <v>158</v>
      </c>
    </row>
    <row r="31" spans="1:13" hidden="1" x14ac:dyDescent="0.2">
      <c r="A31" s="1">
        <v>43744</v>
      </c>
      <c r="B31" t="s">
        <v>13</v>
      </c>
      <c r="C31" t="s">
        <v>91</v>
      </c>
      <c r="D31" t="str">
        <f>Table135[[#This Row],[CN]]&amp;" - "&amp;Table135[[#This Row],[CNEE]]</f>
        <v>顾家 - HANSSEM</v>
      </c>
      <c r="E31" t="str">
        <f>VLOOKUP(Table135[[#This Row],[CN]],表5[],2,FALSE)</f>
        <v>KUKA</v>
      </c>
      <c r="F31" s="3" t="s">
        <v>225</v>
      </c>
      <c r="G31" s="8"/>
      <c r="H31" s="8">
        <v>1</v>
      </c>
      <c r="I31" s="8">
        <f>Table135[[#This Row],[20'']]+Table135[[#This Row],[40'']]*2</f>
        <v>2</v>
      </c>
      <c r="J31" s="8" t="s">
        <v>329</v>
      </c>
      <c r="K31" s="8" t="s">
        <v>330</v>
      </c>
      <c r="L31" s="8"/>
      <c r="M31" s="8" t="s">
        <v>158</v>
      </c>
    </row>
    <row r="32" spans="1:13" hidden="1" x14ac:dyDescent="0.2">
      <c r="A32" s="1">
        <v>43744</v>
      </c>
      <c r="B32" s="4" t="s">
        <v>221</v>
      </c>
      <c r="C32" t="s">
        <v>222</v>
      </c>
      <c r="D32" s="2" t="str">
        <f>Table135[[#This Row],[CN]]&amp;" - "&amp;Table135[[#This Row],[CNEE]]</f>
        <v>顾家 - HANSSEM</v>
      </c>
      <c r="E32" s="12" t="str">
        <f>VLOOKUP(Table135[[#This Row],[CN]],表5[],2,FALSE)</f>
        <v>KUKA</v>
      </c>
      <c r="F32" s="3" t="s">
        <v>223</v>
      </c>
      <c r="G32" s="8"/>
      <c r="H32" s="8">
        <v>1</v>
      </c>
      <c r="I32" s="8">
        <f>Table135[[#This Row],[20'']]+Table135[[#This Row],[40'']]*2</f>
        <v>2</v>
      </c>
      <c r="J32" s="8" t="s">
        <v>331</v>
      </c>
      <c r="K32" s="8" t="s">
        <v>229</v>
      </c>
      <c r="L32" s="8"/>
      <c r="M32" s="8" t="s">
        <v>157</v>
      </c>
    </row>
    <row r="33" spans="1:13" hidden="1" x14ac:dyDescent="0.2">
      <c r="A33" s="1">
        <v>43744</v>
      </c>
      <c r="B33" s="4" t="s">
        <v>221</v>
      </c>
      <c r="C33" t="s">
        <v>222</v>
      </c>
      <c r="D33" s="2" t="str">
        <f>Table135[[#This Row],[CN]]&amp;" - "&amp;Table135[[#This Row],[CNEE]]</f>
        <v>顾家 - HANSSEM</v>
      </c>
      <c r="E33" s="12" t="str">
        <f>VLOOKUP(Table135[[#This Row],[CN]],表5[],2,FALSE)</f>
        <v>KUKA</v>
      </c>
      <c r="F33" s="3" t="s">
        <v>263</v>
      </c>
      <c r="G33" s="8"/>
      <c r="H33" s="8">
        <v>1</v>
      </c>
      <c r="I33" s="8">
        <f>Table135[[#This Row],[20'']]+Table135[[#This Row],[40'']]*2</f>
        <v>2</v>
      </c>
      <c r="J33" s="8" t="s">
        <v>332</v>
      </c>
      <c r="K33" s="8" t="s">
        <v>333</v>
      </c>
      <c r="L33" s="8"/>
      <c r="M33" s="8" t="s">
        <v>157</v>
      </c>
    </row>
    <row r="34" spans="1:13" hidden="1" x14ac:dyDescent="0.2">
      <c r="A34" s="1">
        <v>43744</v>
      </c>
      <c r="B34" s="4" t="s">
        <v>13</v>
      </c>
      <c r="C34" t="s">
        <v>90</v>
      </c>
      <c r="D34" s="2" t="str">
        <f>Table135[[#This Row],[CN]]&amp;" - "&amp;Table135[[#This Row],[CNEE]]</f>
        <v>万盛 - HANSSEM</v>
      </c>
      <c r="E34" s="12" t="str">
        <f>VLOOKUP(Table135[[#This Row],[CN]],表5[],2,FALSE)</f>
        <v>WANSHENG</v>
      </c>
      <c r="F34" s="3" t="s">
        <v>135</v>
      </c>
      <c r="G34" s="8"/>
      <c r="H34" s="8">
        <v>3</v>
      </c>
      <c r="I34" s="8">
        <f>Table135[[#This Row],[20'']]+Table135[[#This Row],[40'']]*2</f>
        <v>6</v>
      </c>
      <c r="J34" s="8" t="s">
        <v>282</v>
      </c>
      <c r="K34" s="8" t="s">
        <v>166</v>
      </c>
      <c r="L34" s="8"/>
      <c r="M34" s="8" t="s">
        <v>158</v>
      </c>
    </row>
    <row r="35" spans="1:13" hidden="1" x14ac:dyDescent="0.2">
      <c r="A35" s="1">
        <v>43744</v>
      </c>
      <c r="B35" s="4" t="s">
        <v>13</v>
      </c>
      <c r="C35" t="s">
        <v>90</v>
      </c>
      <c r="D35" s="2" t="str">
        <f>Table135[[#This Row],[CN]]&amp;" - "&amp;Table135[[#This Row],[CNEE]]</f>
        <v>万盛 - HANSSEM</v>
      </c>
      <c r="E35" s="12" t="str">
        <f>VLOOKUP(Table135[[#This Row],[CN]],表5[],2,FALSE)</f>
        <v>WANSHENG</v>
      </c>
      <c r="F35" s="3" t="s">
        <v>136</v>
      </c>
      <c r="G35" s="8"/>
      <c r="H35" s="8">
        <v>1</v>
      </c>
      <c r="I35" s="8">
        <f>Table135[[#This Row],[20'']]+Table135[[#This Row],[40'']]*2</f>
        <v>2</v>
      </c>
      <c r="J35" s="8" t="s">
        <v>283</v>
      </c>
      <c r="K35" s="8" t="s">
        <v>167</v>
      </c>
      <c r="L35" s="8"/>
      <c r="M35" s="8" t="s">
        <v>158</v>
      </c>
    </row>
    <row r="36" spans="1:13" hidden="1" x14ac:dyDescent="0.2">
      <c r="A36" s="1">
        <v>43744</v>
      </c>
      <c r="B36" s="4" t="s">
        <v>13</v>
      </c>
      <c r="C36" t="s">
        <v>90</v>
      </c>
      <c r="D36" s="2" t="str">
        <f>Table135[[#This Row],[CN]]&amp;" - "&amp;Table135[[#This Row],[CNEE]]</f>
        <v>万盛 - HANSSEM</v>
      </c>
      <c r="E36" s="12" t="str">
        <f>VLOOKUP(Table135[[#This Row],[CN]],表5[],2,FALSE)</f>
        <v>WANSHENG</v>
      </c>
      <c r="F36" s="3" t="s">
        <v>137</v>
      </c>
      <c r="G36" s="8"/>
      <c r="H36" s="8">
        <v>1</v>
      </c>
      <c r="I36" s="8">
        <f>Table135[[#This Row],[20'']]+Table135[[#This Row],[40'']]*2</f>
        <v>2</v>
      </c>
      <c r="J36" s="8" t="s">
        <v>284</v>
      </c>
      <c r="K36" s="8" t="s">
        <v>168</v>
      </c>
      <c r="L36" s="8"/>
      <c r="M36" s="8" t="s">
        <v>158</v>
      </c>
    </row>
    <row r="37" spans="1:13" hidden="1" x14ac:dyDescent="0.2">
      <c r="A37" s="1">
        <v>43744</v>
      </c>
      <c r="B37" s="4" t="s">
        <v>218</v>
      </c>
      <c r="C37" t="s">
        <v>83</v>
      </c>
      <c r="D37" s="2" t="str">
        <f>Table135[[#This Row],[CN]]&amp;" - "&amp;Table135[[#This Row],[CNEE]]</f>
        <v>永艺 - SSEM</v>
      </c>
      <c r="E37" s="12" t="str">
        <f>VLOOKUP(Table135[[#This Row],[CN]],表5[],2,FALSE)</f>
        <v>UE</v>
      </c>
      <c r="F37" s="3" t="s">
        <v>296</v>
      </c>
      <c r="G37" s="8"/>
      <c r="H37" s="8">
        <v>6</v>
      </c>
      <c r="I37" s="8">
        <f>Table135[[#This Row],[20'']]+Table135[[#This Row],[40'']]*2</f>
        <v>12</v>
      </c>
      <c r="J37" s="8" t="s">
        <v>292</v>
      </c>
      <c r="K37" s="8" t="s">
        <v>226</v>
      </c>
      <c r="L37" s="8" t="s">
        <v>404</v>
      </c>
      <c r="M37" s="8" t="s">
        <v>157</v>
      </c>
    </row>
    <row r="38" spans="1:13" ht="28.5" hidden="1" x14ac:dyDescent="0.2">
      <c r="A38" s="1">
        <v>43747</v>
      </c>
      <c r="B38" t="s">
        <v>48</v>
      </c>
      <c r="C38" t="s">
        <v>87</v>
      </c>
      <c r="D38" t="str">
        <f>Table135[[#This Row],[CN]]&amp;" - "&amp;Table135[[#This Row],[CNEE]]</f>
        <v>华达利 - CASAMIA</v>
      </c>
      <c r="E38" t="str">
        <f>VLOOKUP(Table135[[#This Row],[CN]],表5[],2,FALSE)</f>
        <v>HTL</v>
      </c>
      <c r="F38" s="3" t="s">
        <v>312</v>
      </c>
      <c r="G38" s="8"/>
      <c r="H38" s="8">
        <v>2</v>
      </c>
      <c r="I38" s="8">
        <f>Table135[[#This Row],[20'']]+Table135[[#This Row],[40'']]*2</f>
        <v>4</v>
      </c>
      <c r="J38" s="8" t="s">
        <v>343</v>
      </c>
      <c r="K38" s="8" t="s">
        <v>47</v>
      </c>
      <c r="L38" s="8" t="s">
        <v>424</v>
      </c>
      <c r="M38" s="8" t="s">
        <v>157</v>
      </c>
    </row>
    <row r="39" spans="1:13" hidden="1" x14ac:dyDescent="0.2">
      <c r="A39" s="1">
        <v>43747</v>
      </c>
      <c r="B39" s="4" t="s">
        <v>13</v>
      </c>
      <c r="C39" t="s">
        <v>91</v>
      </c>
      <c r="D39" s="2" t="str">
        <f>Table135[[#This Row],[CN]]&amp;" - "&amp;Table135[[#This Row],[CNEE]]</f>
        <v>顾家 - HANSSEM</v>
      </c>
      <c r="E39" s="12" t="str">
        <f>VLOOKUP(Table135[[#This Row],[CN]],表5[],2,FALSE)</f>
        <v>KUKA</v>
      </c>
      <c r="F39" s="3" t="s">
        <v>141</v>
      </c>
      <c r="G39" s="8"/>
      <c r="H39" s="8">
        <v>1</v>
      </c>
      <c r="I39" s="8">
        <f>Table135[[#This Row],[20'']]+Table135[[#This Row],[40'']]*2</f>
        <v>2</v>
      </c>
      <c r="J39" s="8" t="s">
        <v>288</v>
      </c>
      <c r="K39" s="8" t="s">
        <v>170</v>
      </c>
      <c r="L39" s="8"/>
      <c r="M39" s="8" t="s">
        <v>158</v>
      </c>
    </row>
    <row r="40" spans="1:13" hidden="1" x14ac:dyDescent="0.2">
      <c r="A40" s="1">
        <v>43747</v>
      </c>
      <c r="B40" t="s">
        <v>13</v>
      </c>
      <c r="C40" t="s">
        <v>86</v>
      </c>
      <c r="D40" t="str">
        <f>Table135[[#This Row],[CN]]&amp;" - "&amp;Table135[[#This Row],[CNEE]]</f>
        <v>卡帛 - HANSSEM</v>
      </c>
      <c r="E40" t="str">
        <f>VLOOKUP(Table135[[#This Row],[CN]],表5[],2,FALSE)</f>
        <v>CABO</v>
      </c>
      <c r="F40" s="3" t="s">
        <v>351</v>
      </c>
      <c r="G40" s="8"/>
      <c r="H40" s="8">
        <v>2</v>
      </c>
      <c r="I40" s="8">
        <f>Table135[[#This Row],[20'']]+Table135[[#This Row],[40'']]*2</f>
        <v>4</v>
      </c>
      <c r="J40" s="8" t="s">
        <v>11</v>
      </c>
      <c r="K40" s="8" t="s">
        <v>169</v>
      </c>
      <c r="L40" s="8" t="s">
        <v>424</v>
      </c>
      <c r="M40" s="8" t="s">
        <v>158</v>
      </c>
    </row>
    <row r="41" spans="1:13" hidden="1" x14ac:dyDescent="0.2">
      <c r="A41" s="1">
        <v>43747</v>
      </c>
      <c r="B41" s="4" t="s">
        <v>13</v>
      </c>
      <c r="C41" t="s">
        <v>90</v>
      </c>
      <c r="D41" s="2" t="str">
        <f>Table135[[#This Row],[CN]]&amp;" - "&amp;Table135[[#This Row],[CNEE]]</f>
        <v>万盛 - HANSSEM</v>
      </c>
      <c r="E41" s="12" t="str">
        <f>VLOOKUP(Table135[[#This Row],[CN]],表5[],2,FALSE)</f>
        <v>WANSHENG</v>
      </c>
      <c r="F41" s="3" t="s">
        <v>138</v>
      </c>
      <c r="G41" s="8"/>
      <c r="H41" s="8">
        <v>1</v>
      </c>
      <c r="I41" s="8">
        <f>Table135[[#This Row],[20'']]+Table135[[#This Row],[40'']]*2</f>
        <v>2</v>
      </c>
      <c r="J41" s="8" t="s">
        <v>285</v>
      </c>
      <c r="K41" s="8" t="s">
        <v>171</v>
      </c>
      <c r="L41" s="8"/>
      <c r="M41" s="8" t="s">
        <v>158</v>
      </c>
    </row>
    <row r="42" spans="1:13" hidden="1" x14ac:dyDescent="0.2">
      <c r="A42" s="1">
        <v>43747</v>
      </c>
      <c r="B42" s="4" t="s">
        <v>13</v>
      </c>
      <c r="C42" t="s">
        <v>90</v>
      </c>
      <c r="D42" s="2" t="str">
        <f>Table135[[#This Row],[CN]]&amp;" - "&amp;Table135[[#This Row],[CNEE]]</f>
        <v>万盛 - HANSSEM</v>
      </c>
      <c r="E42" s="12" t="str">
        <f>VLOOKUP(Table135[[#This Row],[CN]],表5[],2,FALSE)</f>
        <v>WANSHENG</v>
      </c>
      <c r="F42" s="3" t="s">
        <v>140</v>
      </c>
      <c r="G42" s="8">
        <v>1</v>
      </c>
      <c r="H42" s="8"/>
      <c r="I42" s="8">
        <f>Table135[[#This Row],[20'']]+Table135[[#This Row],[40'']]*2</f>
        <v>1</v>
      </c>
      <c r="J42" s="8" t="s">
        <v>287</v>
      </c>
      <c r="K42" s="8" t="s">
        <v>172</v>
      </c>
      <c r="L42" s="8" t="s">
        <v>350</v>
      </c>
      <c r="M42" s="8" t="s">
        <v>157</v>
      </c>
    </row>
    <row r="43" spans="1:13" hidden="1" x14ac:dyDescent="0.2">
      <c r="A43" s="1">
        <v>43751</v>
      </c>
      <c r="B43" s="4" t="s">
        <v>88</v>
      </c>
      <c r="C43" t="s">
        <v>90</v>
      </c>
      <c r="D43" s="2" t="str">
        <f>Table135[[#This Row],[CN]]&amp;" - "&amp;Table135[[#This Row],[CNEE]]</f>
        <v>万盛 - HANSSEM</v>
      </c>
      <c r="E43" s="12" t="str">
        <f>VLOOKUP(Table135[[#This Row],[CN]],表5[],2,FALSE)</f>
        <v>WANSHENG</v>
      </c>
      <c r="F43" s="3" t="s">
        <v>143</v>
      </c>
      <c r="G43" s="8"/>
      <c r="H43" s="8">
        <v>1</v>
      </c>
      <c r="I43" s="8">
        <f>Table135[[#This Row],[20'']]+Table135[[#This Row],[40'']]*2</f>
        <v>2</v>
      </c>
      <c r="J43" s="8" t="s">
        <v>617</v>
      </c>
      <c r="K43" s="8" t="s">
        <v>173</v>
      </c>
      <c r="L43" s="8" t="s">
        <v>616</v>
      </c>
      <c r="M43" s="8" t="s">
        <v>157</v>
      </c>
    </row>
    <row r="44" spans="1:13" hidden="1" x14ac:dyDescent="0.2">
      <c r="A44" s="1">
        <v>43747</v>
      </c>
      <c r="B44" s="4" t="s">
        <v>142</v>
      </c>
      <c r="C44" t="s">
        <v>83</v>
      </c>
      <c r="D44" s="2" t="str">
        <f>Table135[[#This Row],[CN]]&amp;" - "&amp;Table135[[#This Row],[CNEE]]</f>
        <v>永艺 - SSEM</v>
      </c>
      <c r="E44" s="12" t="str">
        <f>VLOOKUP(Table135[[#This Row],[CN]],表5[],2,FALSE)</f>
        <v>UE</v>
      </c>
      <c r="F44" s="3" t="s">
        <v>297</v>
      </c>
      <c r="G44" s="8"/>
      <c r="H44" s="8">
        <v>1</v>
      </c>
      <c r="I44" s="8">
        <f>Table135[[#This Row],[20'']]+Table135[[#This Row],[40'']]*2</f>
        <v>2</v>
      </c>
      <c r="J44" s="8" t="s">
        <v>293</v>
      </c>
      <c r="K44" s="8" t="s">
        <v>163</v>
      </c>
      <c r="L44" s="8" t="s">
        <v>295</v>
      </c>
      <c r="M44" s="8" t="s">
        <v>158</v>
      </c>
    </row>
    <row r="45" spans="1:13" ht="28.5" hidden="1" x14ac:dyDescent="0.2">
      <c r="A45" s="1">
        <v>43751</v>
      </c>
      <c r="B45" t="s">
        <v>48</v>
      </c>
      <c r="C45" t="s">
        <v>87</v>
      </c>
      <c r="D45" t="str">
        <f>Table135[[#This Row],[CN]]&amp;" - "&amp;Table135[[#This Row],[CNEE]]</f>
        <v>华达利 - CASAMIA</v>
      </c>
      <c r="E45" t="str">
        <f>VLOOKUP(Table135[[#This Row],[CN]],表5[],2,FALSE)</f>
        <v>HTL</v>
      </c>
      <c r="F45" s="3" t="s">
        <v>342</v>
      </c>
      <c r="G45" s="8"/>
      <c r="H45" s="8">
        <v>2</v>
      </c>
      <c r="I45" s="8">
        <f>Table135[[#This Row],[20'']]+Table135[[#This Row],[40'']]*2</f>
        <v>4</v>
      </c>
      <c r="J45" s="8" t="s">
        <v>314</v>
      </c>
      <c r="K45" s="8" t="s">
        <v>353</v>
      </c>
      <c r="L45" s="8" t="s">
        <v>614</v>
      </c>
      <c r="M45" s="8" t="s">
        <v>157</v>
      </c>
    </row>
    <row r="46" spans="1:13" ht="57" hidden="1" x14ac:dyDescent="0.2">
      <c r="A46" s="1">
        <v>43751</v>
      </c>
      <c r="B46" s="4" t="s">
        <v>48</v>
      </c>
      <c r="C46" t="s">
        <v>87</v>
      </c>
      <c r="D46" s="2" t="str">
        <f>Table135[[#This Row],[CN]]&amp;" - "&amp;Table135[[#This Row],[CNEE]]</f>
        <v>华达利 - CASAMIA</v>
      </c>
      <c r="E46" s="12" t="str">
        <f>VLOOKUP(Table135[[#This Row],[CN]],表5[],2,FALSE)</f>
        <v>HTL</v>
      </c>
      <c r="F46" s="3" t="s">
        <v>311</v>
      </c>
      <c r="G46" s="8"/>
      <c r="H46" s="8">
        <v>4</v>
      </c>
      <c r="I46" s="8">
        <f>Table135[[#This Row],[20'']]+Table135[[#This Row],[40'']]*2</f>
        <v>8</v>
      </c>
      <c r="J46" s="8" t="s">
        <v>401</v>
      </c>
      <c r="K46" s="8" t="s">
        <v>403</v>
      </c>
      <c r="L46" s="8" t="s">
        <v>402</v>
      </c>
      <c r="M46" s="8" t="s">
        <v>157</v>
      </c>
    </row>
    <row r="47" spans="1:13" hidden="1" x14ac:dyDescent="0.2">
      <c r="A47" s="1">
        <v>43751</v>
      </c>
      <c r="B47" s="4" t="s">
        <v>48</v>
      </c>
      <c r="C47" t="s">
        <v>84</v>
      </c>
      <c r="D47" s="2" t="str">
        <f>Table135[[#This Row],[CN]]&amp;" - "&amp;Table135[[#This Row],[CNEE]]</f>
        <v>雅家居 - CASAMIA</v>
      </c>
      <c r="E47" s="12" t="str">
        <f>VLOOKUP(Table135[[#This Row],[CN]],表5[],2,FALSE)</f>
        <v>YAJIAJU</v>
      </c>
      <c r="F47" s="3" t="s">
        <v>233</v>
      </c>
      <c r="G47" s="8"/>
      <c r="H47" s="8">
        <v>2</v>
      </c>
      <c r="I47" s="8">
        <f>Table135[[#This Row],[20'']]+Table135[[#This Row],[40'']]*2</f>
        <v>4</v>
      </c>
      <c r="J47" s="8" t="s">
        <v>615</v>
      </c>
      <c r="K47" s="8" t="s">
        <v>261</v>
      </c>
      <c r="L47" s="8" t="s">
        <v>457</v>
      </c>
      <c r="M47" s="8" t="s">
        <v>157</v>
      </c>
    </row>
    <row r="48" spans="1:13" hidden="1" x14ac:dyDescent="0.2">
      <c r="A48" s="1">
        <v>43751</v>
      </c>
      <c r="B48" s="4" t="s">
        <v>431</v>
      </c>
      <c r="C48" t="s">
        <v>85</v>
      </c>
      <c r="D48" s="2" t="str">
        <f>Table135[[#This Row],[CN]]&amp;" - "&amp;Table135[[#This Row],[CNEE]]</f>
        <v>华宝 - EFFEX</v>
      </c>
      <c r="E48" s="12" t="str">
        <f>VLOOKUP(Table135[[#This Row],[CN]],表5[],2,FALSE)</f>
        <v>HUABAO</v>
      </c>
      <c r="F48" s="3" t="s">
        <v>30</v>
      </c>
      <c r="G48" s="8">
        <v>3</v>
      </c>
      <c r="H48" s="8"/>
      <c r="I48" s="8">
        <f>Table135[[#This Row],[20'']]+Table135[[#This Row],[40'']]*2</f>
        <v>3</v>
      </c>
      <c r="J48" s="8" t="s">
        <v>355</v>
      </c>
      <c r="K48" s="8" t="s">
        <v>354</v>
      </c>
      <c r="L48" s="8" t="s">
        <v>352</v>
      </c>
      <c r="M48" s="8" t="s">
        <v>157</v>
      </c>
    </row>
    <row r="49" spans="1:13" hidden="1" x14ac:dyDescent="0.2">
      <c r="A49" s="1">
        <v>43751</v>
      </c>
      <c r="B49" t="s">
        <v>13</v>
      </c>
      <c r="C49" t="s">
        <v>91</v>
      </c>
      <c r="D49" t="str">
        <f>Table135[[#This Row],[CN]]&amp;" - "&amp;Table135[[#This Row],[CNEE]]</f>
        <v>顾家 - HANSSEM</v>
      </c>
      <c r="E49" t="str">
        <f>VLOOKUP(Table135[[#This Row],[CN]],表5[],2,FALSE)</f>
        <v>KUKA</v>
      </c>
      <c r="F49" s="3" t="s">
        <v>317</v>
      </c>
      <c r="G49" s="8"/>
      <c r="H49" s="8">
        <v>2</v>
      </c>
      <c r="I49" s="8">
        <f>Table135[[#This Row],[20'']]+Table135[[#This Row],[40'']]*2</f>
        <v>4</v>
      </c>
      <c r="J49" s="8" t="s">
        <v>10</v>
      </c>
      <c r="K49" s="8" t="s">
        <v>264</v>
      </c>
      <c r="L49" s="8" t="s">
        <v>423</v>
      </c>
      <c r="M49" s="8" t="s">
        <v>157</v>
      </c>
    </row>
    <row r="50" spans="1:13" hidden="1" x14ac:dyDescent="0.2">
      <c r="A50" s="1">
        <v>43747</v>
      </c>
      <c r="B50" s="4" t="s">
        <v>13</v>
      </c>
      <c r="C50" t="s">
        <v>90</v>
      </c>
      <c r="D50" s="2" t="str">
        <f>Table135[[#This Row],[CN]]&amp;" - "&amp;Table135[[#This Row],[CNEE]]</f>
        <v>万盛 - HANSSEM</v>
      </c>
      <c r="E50" s="12" t="str">
        <f>VLOOKUP(Table135[[#This Row],[CN]],表5[],2,FALSE)</f>
        <v>WANSHENG</v>
      </c>
      <c r="F50" s="3" t="s">
        <v>139</v>
      </c>
      <c r="G50" s="8"/>
      <c r="H50" s="8">
        <v>1</v>
      </c>
      <c r="I50" s="8">
        <f>Table135[[#This Row],[20'']]+Table135[[#This Row],[40'']]*2</f>
        <v>2</v>
      </c>
      <c r="J50" s="8" t="s">
        <v>286</v>
      </c>
      <c r="K50" s="8" t="s">
        <v>306</v>
      </c>
      <c r="L50" s="8" t="s">
        <v>302</v>
      </c>
      <c r="M50" s="8" t="s">
        <v>158</v>
      </c>
    </row>
    <row r="51" spans="1:13" hidden="1" x14ac:dyDescent="0.2">
      <c r="A51" s="1">
        <v>43758</v>
      </c>
      <c r="B51" s="4" t="s">
        <v>234</v>
      </c>
      <c r="C51" t="s">
        <v>90</v>
      </c>
      <c r="D51" s="2" t="str">
        <f>Table135[[#This Row],[CN]]&amp;" - "&amp;Table135[[#This Row],[CNEE]]</f>
        <v>万盛 - HANSSEM</v>
      </c>
      <c r="E51" s="12" t="str">
        <f>VLOOKUP(Table135[[#This Row],[CN]],表5[],2,FALSE)</f>
        <v>WANSHENG</v>
      </c>
      <c r="F51" s="3" t="s">
        <v>268</v>
      </c>
      <c r="G51" s="8"/>
      <c r="H51" s="8">
        <v>2</v>
      </c>
      <c r="I51" s="8">
        <f>Table135[[#This Row],[20'']]+Table135[[#This Row],[40'']]*2</f>
        <v>4</v>
      </c>
      <c r="J51" s="8" t="s">
        <v>465</v>
      </c>
      <c r="K51" s="8" t="s">
        <v>265</v>
      </c>
      <c r="L51" s="8"/>
      <c r="M51" s="8" t="s">
        <v>157</v>
      </c>
    </row>
    <row r="52" spans="1:13" ht="57" hidden="1" x14ac:dyDescent="0.2">
      <c r="A52" s="1">
        <v>43754</v>
      </c>
      <c r="B52" s="4" t="s">
        <v>48</v>
      </c>
      <c r="C52" t="s">
        <v>91</v>
      </c>
      <c r="D52" s="2" t="str">
        <f>Table135[[#This Row],[CN]]&amp;" - "&amp;Table135[[#This Row],[CNEE]]</f>
        <v>顾家 - CASAMIA</v>
      </c>
      <c r="E52" s="12" t="str">
        <f>VLOOKUP(Table135[[#This Row],[CN]],表5[],2,FALSE)</f>
        <v>KUKA</v>
      </c>
      <c r="F52" s="3" t="s">
        <v>156</v>
      </c>
      <c r="G52" s="8"/>
      <c r="H52" s="8">
        <v>4</v>
      </c>
      <c r="I52" s="8">
        <f>Table135[[#This Row],[20'']]+Table135[[#This Row],[40'']]*2</f>
        <v>8</v>
      </c>
      <c r="J52" s="8" t="s">
        <v>276</v>
      </c>
      <c r="K52" s="8" t="s">
        <v>177</v>
      </c>
      <c r="L52" s="8"/>
      <c r="M52" s="8" t="s">
        <v>157</v>
      </c>
    </row>
    <row r="53" spans="1:13" hidden="1" x14ac:dyDescent="0.2">
      <c r="A53" s="1">
        <v>43754</v>
      </c>
      <c r="B53" s="4" t="s">
        <v>48</v>
      </c>
      <c r="C53" t="s">
        <v>89</v>
      </c>
      <c r="D53" s="2" t="str">
        <f>Table135[[#This Row],[CN]]&amp;" - "&amp;Table135[[#This Row],[CNEE]]</f>
        <v>洲际 - CASAMIA</v>
      </c>
      <c r="E53" s="12" t="str">
        <f>VLOOKUP(Table135[[#This Row],[CN]],表5[],2,FALSE)</f>
        <v>ZHOUJI</v>
      </c>
      <c r="F53" s="3" t="s">
        <v>322</v>
      </c>
      <c r="G53" s="8"/>
      <c r="H53" s="8">
        <v>1</v>
      </c>
      <c r="I53" s="8">
        <f>Table135[[#This Row],[20'']]+Table135[[#This Row],[40'']]*2</f>
        <v>2</v>
      </c>
      <c r="J53" s="8" t="s">
        <v>327</v>
      </c>
      <c r="K53" s="8" t="s">
        <v>325</v>
      </c>
      <c r="L53" s="8" t="s">
        <v>377</v>
      </c>
      <c r="M53" s="8" t="s">
        <v>157</v>
      </c>
    </row>
    <row r="54" spans="1:13" hidden="1" x14ac:dyDescent="0.2">
      <c r="A54" s="1">
        <v>43754</v>
      </c>
      <c r="B54" t="s">
        <v>13</v>
      </c>
      <c r="C54" t="s">
        <v>86</v>
      </c>
      <c r="D54" t="str">
        <f>Table135[[#This Row],[CN]]&amp;" - "&amp;Table135[[#This Row],[CNEE]]</f>
        <v>卡帛 - HANSSEM</v>
      </c>
      <c r="E54" t="str">
        <f>VLOOKUP(Table135[[#This Row],[CN]],表5[],2,FALSE)</f>
        <v>CABO</v>
      </c>
      <c r="F54" s="3" t="s">
        <v>426</v>
      </c>
      <c r="G54" s="8"/>
      <c r="H54" s="8">
        <v>0</v>
      </c>
      <c r="I54" s="8">
        <f>Table135[[#This Row],[20'']]+Table135[[#This Row],[40'']]*2</f>
        <v>0</v>
      </c>
      <c r="J54" s="8" t="s">
        <v>12</v>
      </c>
      <c r="K54" s="8" t="s">
        <v>174</v>
      </c>
      <c r="L54" s="8" t="s">
        <v>429</v>
      </c>
      <c r="M54" s="8" t="s">
        <v>158</v>
      </c>
    </row>
    <row r="55" spans="1:13" hidden="1" x14ac:dyDescent="0.2">
      <c r="A55" s="1">
        <v>43754</v>
      </c>
      <c r="B55" t="s">
        <v>13</v>
      </c>
      <c r="C55" t="s">
        <v>90</v>
      </c>
      <c r="D55" s="2" t="str">
        <f>Table135[[#This Row],[CN]]&amp;" - "&amp;Table135[[#This Row],[CNEE]]</f>
        <v>万盛 - HANSSEM</v>
      </c>
      <c r="E55" s="12" t="str">
        <f>VLOOKUP(Table135[[#This Row],[CN]],表5[],2,FALSE)</f>
        <v>WANSHENG</v>
      </c>
      <c r="F55" s="3" t="s">
        <v>144</v>
      </c>
      <c r="G55" s="8"/>
      <c r="H55" s="8">
        <v>0</v>
      </c>
      <c r="I55" s="8">
        <f>Table135[[#This Row],[20'']]+Table135[[#This Row],[40'']]*2</f>
        <v>0</v>
      </c>
      <c r="J55" s="8" t="s">
        <v>289</v>
      </c>
      <c r="K55" s="8" t="s">
        <v>175</v>
      </c>
      <c r="L55" s="8" t="s">
        <v>428</v>
      </c>
      <c r="M55" s="8" t="s">
        <v>158</v>
      </c>
    </row>
    <row r="56" spans="1:13" hidden="1" x14ac:dyDescent="0.2">
      <c r="A56" s="1">
        <v>43754</v>
      </c>
      <c r="B56" t="s">
        <v>13</v>
      </c>
      <c r="C56" t="s">
        <v>90</v>
      </c>
      <c r="D56" s="2" t="str">
        <f>Table135[[#This Row],[CN]]&amp;" - "&amp;Table135[[#This Row],[CNEE]]</f>
        <v>万盛 - HANSSEM</v>
      </c>
      <c r="E56" s="12" t="str">
        <f>VLOOKUP(Table135[[#This Row],[CN]],表5[],2,FALSE)</f>
        <v>WANSHENG</v>
      </c>
      <c r="F56" s="3" t="s">
        <v>145</v>
      </c>
      <c r="G56" s="8"/>
      <c r="H56" s="8">
        <v>0</v>
      </c>
      <c r="I56" s="8">
        <f>Table135[[#This Row],[20'']]+Table135[[#This Row],[40'']]*2</f>
        <v>0</v>
      </c>
      <c r="J56" s="8" t="s">
        <v>290</v>
      </c>
      <c r="K56" s="8" t="s">
        <v>176</v>
      </c>
      <c r="L56" s="8" t="s">
        <v>428</v>
      </c>
      <c r="M56" s="8" t="s">
        <v>158</v>
      </c>
    </row>
    <row r="57" spans="1:13" hidden="1" x14ac:dyDescent="0.2">
      <c r="A57" s="1">
        <v>43758</v>
      </c>
      <c r="B57" s="4" t="s">
        <v>48</v>
      </c>
      <c r="C57" t="s">
        <v>91</v>
      </c>
      <c r="D57" s="2" t="str">
        <f>Table135[[#This Row],[CN]]&amp;" - "&amp;Table135[[#This Row],[CNEE]]</f>
        <v>顾家 - CASAMIA</v>
      </c>
      <c r="E57" s="12" t="str">
        <f>VLOOKUP(Table135[[#This Row],[CN]],表5[],2,FALSE)</f>
        <v>KUKA</v>
      </c>
      <c r="F57" s="3" t="s">
        <v>301</v>
      </c>
      <c r="G57" s="8"/>
      <c r="H57" s="8">
        <v>1</v>
      </c>
      <c r="I57" s="8">
        <f>Table135[[#This Row],[20'']]+Table135[[#This Row],[40'']]*2</f>
        <v>2</v>
      </c>
      <c r="J57" s="8" t="s">
        <v>277</v>
      </c>
      <c r="K57" s="8" t="s">
        <v>178</v>
      </c>
      <c r="L57" s="8"/>
      <c r="M57" s="8" t="s">
        <v>157</v>
      </c>
    </row>
    <row r="58" spans="1:13" hidden="1" x14ac:dyDescent="0.2">
      <c r="A58" s="1">
        <v>43758</v>
      </c>
      <c r="B58" s="4" t="s">
        <v>48</v>
      </c>
      <c r="C58" t="s">
        <v>87</v>
      </c>
      <c r="D58" s="2" t="str">
        <f>Table135[[#This Row],[CN]]&amp;" - "&amp;Table135[[#This Row],[CNEE]]</f>
        <v>华达利 - CASAMIA</v>
      </c>
      <c r="E58" s="12" t="str">
        <f>VLOOKUP(Table135[[#This Row],[CN]],表5[],2,FALSE)</f>
        <v>HTL</v>
      </c>
      <c r="F58" s="3" t="s">
        <v>371</v>
      </c>
      <c r="G58" s="8"/>
      <c r="H58" s="8">
        <v>1</v>
      </c>
      <c r="I58" s="8">
        <f>Table135[[#This Row],[20'']]+Table135[[#This Row],[40'']]*2</f>
        <v>2</v>
      </c>
      <c r="J58" s="8" t="s">
        <v>278</v>
      </c>
      <c r="K58" s="8" t="s">
        <v>490</v>
      </c>
      <c r="L58" s="8" t="s">
        <v>491</v>
      </c>
      <c r="M58" s="8" t="s">
        <v>157</v>
      </c>
    </row>
    <row r="59" spans="1:13" ht="57" hidden="1" x14ac:dyDescent="0.2">
      <c r="A59" s="1">
        <v>43758</v>
      </c>
      <c r="B59" s="4" t="s">
        <v>48</v>
      </c>
      <c r="C59" t="s">
        <v>87</v>
      </c>
      <c r="D59" s="2" t="str">
        <f>Table135[[#This Row],[CN]]&amp;" - "&amp;Table135[[#This Row],[CNEE]]</f>
        <v>华达利 - CASAMIA</v>
      </c>
      <c r="E59" s="12" t="str">
        <f>VLOOKUP(Table135[[#This Row],[CN]],表5[],2,FALSE)</f>
        <v>HTL</v>
      </c>
      <c r="F59" s="3" t="s">
        <v>159</v>
      </c>
      <c r="G59" s="8"/>
      <c r="H59" s="8">
        <v>4</v>
      </c>
      <c r="I59" s="8">
        <f>Table135[[#This Row],[20'']]+Table135[[#This Row],[40'']]*2</f>
        <v>8</v>
      </c>
      <c r="J59" s="8" t="s">
        <v>463</v>
      </c>
      <c r="K59" s="8" t="s">
        <v>179</v>
      </c>
      <c r="L59" s="8" t="s">
        <v>464</v>
      </c>
      <c r="M59" s="8" t="s">
        <v>157</v>
      </c>
    </row>
    <row r="60" spans="1:13" hidden="1" x14ac:dyDescent="0.2">
      <c r="A60" s="1">
        <v>43758</v>
      </c>
      <c r="B60" s="4" t="s">
        <v>48</v>
      </c>
      <c r="C60" t="s">
        <v>84</v>
      </c>
      <c r="D60" s="2" t="str">
        <f>Table135[[#This Row],[CN]]&amp;" - "&amp;Table135[[#This Row],[CNEE]]</f>
        <v>雅家居 - CASAMIA</v>
      </c>
      <c r="E60" s="12" t="str">
        <f>VLOOKUP(Table135[[#This Row],[CN]],表5[],2,FALSE)</f>
        <v>YAJIAJU</v>
      </c>
      <c r="F60" s="3" t="s">
        <v>444</v>
      </c>
      <c r="G60" s="8"/>
      <c r="H60" s="8">
        <v>2</v>
      </c>
      <c r="I60" s="8">
        <f>Table135[[#This Row],[20'']]+Table135[[#This Row],[40'']]*2</f>
        <v>4</v>
      </c>
      <c r="J60" s="8" t="s">
        <v>618</v>
      </c>
      <c r="K60" s="8" t="s">
        <v>441</v>
      </c>
      <c r="L60" s="8" t="s">
        <v>456</v>
      </c>
      <c r="M60" s="8" t="s">
        <v>157</v>
      </c>
    </row>
    <row r="61" spans="1:13" hidden="1" x14ac:dyDescent="0.2">
      <c r="A61" s="1">
        <v>43758</v>
      </c>
      <c r="B61" s="4" t="s">
        <v>48</v>
      </c>
      <c r="C61" t="s">
        <v>89</v>
      </c>
      <c r="D61" s="2" t="str">
        <f>Table135[[#This Row],[CN]]&amp;" - "&amp;Table135[[#This Row],[CNEE]]</f>
        <v>洲际 - CASAMIA</v>
      </c>
      <c r="E61" s="12" t="str">
        <f>VLOOKUP(Table135[[#This Row],[CN]],表5[],2,FALSE)</f>
        <v>ZHOUJI</v>
      </c>
      <c r="F61" s="3" t="s">
        <v>323</v>
      </c>
      <c r="G61" s="8"/>
      <c r="H61" s="8">
        <v>1</v>
      </c>
      <c r="I61" s="8">
        <f>Table135[[#This Row],[20'']]+Table135[[#This Row],[40'']]*2</f>
        <v>2</v>
      </c>
      <c r="J61" s="8" t="s">
        <v>328</v>
      </c>
      <c r="K61" s="8" t="s">
        <v>326</v>
      </c>
      <c r="L61" s="8" t="s">
        <v>378</v>
      </c>
      <c r="M61" s="8" t="s">
        <v>157</v>
      </c>
    </row>
    <row r="62" spans="1:13" hidden="1" x14ac:dyDescent="0.2">
      <c r="A62" s="1">
        <v>43758</v>
      </c>
      <c r="B62" s="4" t="s">
        <v>431</v>
      </c>
      <c r="C62" t="s">
        <v>85</v>
      </c>
      <c r="D62" s="2" t="str">
        <f>Table135[[#This Row],[CN]]&amp;" - "&amp;Table135[[#This Row],[CNEE]]</f>
        <v>华宝 - EFFEX</v>
      </c>
      <c r="E62" s="12" t="str">
        <f>VLOOKUP(Table135[[#This Row],[CN]],表5[],2,FALSE)</f>
        <v>HUABAO</v>
      </c>
      <c r="F62" s="3" t="s">
        <v>30</v>
      </c>
      <c r="G62" s="8">
        <v>0</v>
      </c>
      <c r="H62" s="8"/>
      <c r="I62" s="8">
        <f>Table135[[#This Row],[20'']]+Table135[[#This Row],[40'']]*2</f>
        <v>0</v>
      </c>
      <c r="J62" s="8" t="s">
        <v>452</v>
      </c>
      <c r="K62" s="8" t="s">
        <v>594</v>
      </c>
      <c r="L62" s="8" t="s">
        <v>592</v>
      </c>
      <c r="M62" s="8" t="s">
        <v>157</v>
      </c>
    </row>
    <row r="63" spans="1:13" ht="28.5" hidden="1" x14ac:dyDescent="0.2">
      <c r="A63" s="1">
        <v>43758</v>
      </c>
      <c r="B63" s="4" t="s">
        <v>88</v>
      </c>
      <c r="C63" t="s">
        <v>86</v>
      </c>
      <c r="D63" s="2" t="str">
        <f>Table135[[#This Row],[CN]]&amp;" - "&amp;Table135[[#This Row],[CNEE]]</f>
        <v>卡帛 - HANSSEM</v>
      </c>
      <c r="E63" s="12" t="str">
        <f>VLOOKUP(Table135[[#This Row],[CN]],表5[],2,FALSE)</f>
        <v>CABO</v>
      </c>
      <c r="F63" s="3" t="s">
        <v>427</v>
      </c>
      <c r="G63" s="8"/>
      <c r="H63" s="8">
        <v>7</v>
      </c>
      <c r="I63" s="8">
        <f>Table135[[#This Row],[20'']]+Table135[[#This Row],[40'']]*2</f>
        <v>14</v>
      </c>
      <c r="J63" s="8" t="s">
        <v>291</v>
      </c>
      <c r="K63" s="8" t="s">
        <v>430</v>
      </c>
      <c r="L63" s="8" t="s">
        <v>492</v>
      </c>
      <c r="M63" s="8" t="s">
        <v>157</v>
      </c>
    </row>
    <row r="64" spans="1:13" hidden="1" x14ac:dyDescent="0.2">
      <c r="A64" s="1">
        <v>43758</v>
      </c>
      <c r="B64" s="4" t="s">
        <v>234</v>
      </c>
      <c r="C64" t="s">
        <v>90</v>
      </c>
      <c r="D64" s="2" t="str">
        <f>Table135[[#This Row],[CN]]&amp;" - "&amp;Table135[[#This Row],[CNEE]]</f>
        <v>万盛 - HANSSEM</v>
      </c>
      <c r="E64" s="12" t="str">
        <f>VLOOKUP(Table135[[#This Row],[CN]],表5[],2,FALSE)</f>
        <v>WANSHENG</v>
      </c>
      <c r="F64" s="3" t="s">
        <v>269</v>
      </c>
      <c r="G64" s="8"/>
      <c r="H64" s="8">
        <v>2</v>
      </c>
      <c r="I64" s="8">
        <f>Table135[[#This Row],[20'']]+Table135[[#This Row],[40'']]*2</f>
        <v>4</v>
      </c>
      <c r="J64" s="8" t="s">
        <v>466</v>
      </c>
      <c r="K64" s="8" t="s">
        <v>266</v>
      </c>
      <c r="L64" s="8"/>
      <c r="M64" s="8" t="s">
        <v>157</v>
      </c>
    </row>
    <row r="65" spans="1:13" hidden="1" x14ac:dyDescent="0.2">
      <c r="A65" s="1">
        <v>43751</v>
      </c>
      <c r="B65" s="4" t="s">
        <v>88</v>
      </c>
      <c r="C65" t="s">
        <v>90</v>
      </c>
      <c r="D65" s="2" t="str">
        <f>Table135[[#This Row],[CN]]&amp;" - "&amp;Table135[[#This Row],[CNEE]]</f>
        <v>万盛 - HANSSEM</v>
      </c>
      <c r="E65" s="12" t="str">
        <f>VLOOKUP(Table135[[#This Row],[CN]],表5[],2,FALSE)</f>
        <v>WANSHENG</v>
      </c>
      <c r="F65" s="3" t="s">
        <v>143</v>
      </c>
      <c r="G65" s="8"/>
      <c r="H65" s="8">
        <v>1</v>
      </c>
      <c r="I65" s="8">
        <f>Table135[[#This Row],[20'']]+Table135[[#This Row],[40'']]*2</f>
        <v>2</v>
      </c>
      <c r="J65" s="8" t="s">
        <v>369</v>
      </c>
      <c r="K65" s="8" t="s">
        <v>367</v>
      </c>
      <c r="L65" s="8" t="s">
        <v>368</v>
      </c>
      <c r="M65" s="8" t="s">
        <v>157</v>
      </c>
    </row>
    <row r="66" spans="1:13" hidden="1" x14ac:dyDescent="0.2">
      <c r="A66" s="1">
        <v>43758</v>
      </c>
      <c r="B66" s="4" t="s">
        <v>234</v>
      </c>
      <c r="C66" t="s">
        <v>90</v>
      </c>
      <c r="D66" s="2" t="str">
        <f>Table135[[#This Row],[CN]]&amp;" - "&amp;Table135[[#This Row],[CNEE]]</f>
        <v>万盛 - HANSSEM</v>
      </c>
      <c r="E66" s="12" t="str">
        <f>VLOOKUP(Table135[[#This Row],[CN]],表5[],2,FALSE)</f>
        <v>WANSHENG</v>
      </c>
      <c r="F66" s="3" t="s">
        <v>270</v>
      </c>
      <c r="G66" s="8"/>
      <c r="H66" s="8">
        <v>0</v>
      </c>
      <c r="I66" s="8">
        <f>Table135[[#This Row],[20'']]+Table135[[#This Row],[40'']]*2</f>
        <v>0</v>
      </c>
      <c r="J66" s="8" t="s">
        <v>467</v>
      </c>
      <c r="K66" s="8" t="s">
        <v>267</v>
      </c>
      <c r="L66" s="8" t="s">
        <v>579</v>
      </c>
      <c r="M66" s="8" t="s">
        <v>157</v>
      </c>
    </row>
    <row r="67" spans="1:13" hidden="1" x14ac:dyDescent="0.2">
      <c r="A67" s="1">
        <v>43761</v>
      </c>
      <c r="B67" s="4" t="s">
        <v>13</v>
      </c>
      <c r="C67" t="s">
        <v>90</v>
      </c>
      <c r="D67" s="2" t="str">
        <f>Table135[[#This Row],[CN]]&amp;" - "&amp;Table135[[#This Row],[CNEE]]</f>
        <v>万盛 - HANSSEM</v>
      </c>
      <c r="E67" s="12" t="str">
        <f>VLOOKUP(Table135[[#This Row],[CN]],表5[],2,FALSE)</f>
        <v>WANSHENG</v>
      </c>
      <c r="F67" s="3" t="s">
        <v>370</v>
      </c>
      <c r="G67" s="8"/>
      <c r="H67" s="8">
        <v>2</v>
      </c>
      <c r="I67" s="8">
        <f>Table135[[#This Row],[20'']]+Table135[[#This Row],[40'']]*2</f>
        <v>4</v>
      </c>
      <c r="J67" s="8" t="s">
        <v>396</v>
      </c>
      <c r="K67" s="8" t="s">
        <v>389</v>
      </c>
      <c r="L67" s="8"/>
      <c r="M67" s="8" t="s">
        <v>157</v>
      </c>
    </row>
    <row r="68" spans="1:13" ht="42.75" hidden="1" x14ac:dyDescent="0.2">
      <c r="A68" s="1">
        <v>43761</v>
      </c>
      <c r="B68" t="s">
        <v>48</v>
      </c>
      <c r="C68" t="s">
        <v>87</v>
      </c>
      <c r="D68" s="2" t="str">
        <f>Table135[[#This Row],[CN]]&amp;" - "&amp;Table135[[#This Row],[CNEE]]</f>
        <v>华达利 - CASAMIA</v>
      </c>
      <c r="E68" s="12" t="str">
        <f>VLOOKUP(Table135[[#This Row],[CN]],表5[],2,FALSE)</f>
        <v>HTL</v>
      </c>
      <c r="F68" s="3" t="s">
        <v>405</v>
      </c>
      <c r="G68" s="8"/>
      <c r="H68" s="8">
        <v>3</v>
      </c>
      <c r="I68" s="8">
        <f>Table135[[#This Row],[20'']]+Table135[[#This Row],[40'']]*2</f>
        <v>6</v>
      </c>
      <c r="J68" s="8" t="s">
        <v>320</v>
      </c>
      <c r="K68" s="8" t="s">
        <v>319</v>
      </c>
      <c r="L68" s="8" t="s">
        <v>521</v>
      </c>
      <c r="M68" s="8" t="s">
        <v>157</v>
      </c>
    </row>
    <row r="69" spans="1:13" ht="28.5" hidden="1" x14ac:dyDescent="0.2">
      <c r="A69" s="1">
        <v>43761</v>
      </c>
      <c r="B69" s="4" t="s">
        <v>48</v>
      </c>
      <c r="C69" t="s">
        <v>87</v>
      </c>
      <c r="D69" s="2" t="str">
        <f>Table135[[#This Row],[CN]]&amp;" - "&amp;Table135[[#This Row],[CNEE]]</f>
        <v>华达利 - CASAMIA</v>
      </c>
      <c r="E69" s="12" t="str">
        <f>VLOOKUP(Table135[[#This Row],[CN]],表5[],2,FALSE)</f>
        <v>HTL</v>
      </c>
      <c r="F69" s="3" t="s">
        <v>381</v>
      </c>
      <c r="G69" s="8"/>
      <c r="H69" s="8">
        <v>2</v>
      </c>
      <c r="I69" s="8">
        <f>Table135[[#This Row],[20'']]+Table135[[#This Row],[40'']]*2</f>
        <v>4</v>
      </c>
      <c r="J69" s="8" t="s">
        <v>394</v>
      </c>
      <c r="K69" s="8" t="s">
        <v>388</v>
      </c>
      <c r="L69" s="8"/>
      <c r="M69" s="8" t="s">
        <v>157</v>
      </c>
    </row>
    <row r="70" spans="1:13" hidden="1" x14ac:dyDescent="0.2">
      <c r="A70" s="1">
        <v>43761</v>
      </c>
      <c r="B70" s="4" t="s">
        <v>431</v>
      </c>
      <c r="C70" t="s">
        <v>85</v>
      </c>
      <c r="D70" s="2" t="str">
        <f>Table135[[#This Row],[CN]]&amp;" - "&amp;Table135[[#This Row],[CNEE]]</f>
        <v>华宝 - EFFEX</v>
      </c>
      <c r="E70" s="12" t="str">
        <f>VLOOKUP(Table135[[#This Row],[CN]],表5[],2,FALSE)</f>
        <v>HUABAO</v>
      </c>
      <c r="F70" s="3" t="s">
        <v>30</v>
      </c>
      <c r="G70" s="8">
        <v>7</v>
      </c>
      <c r="H70" s="8"/>
      <c r="I70" s="8">
        <f>Table135[[#This Row],[20'']]+Table135[[#This Row],[40'']]*2</f>
        <v>7</v>
      </c>
      <c r="J70" s="8" t="s">
        <v>437</v>
      </c>
      <c r="K70" s="8" t="s">
        <v>434</v>
      </c>
      <c r="L70" s="8" t="s">
        <v>529</v>
      </c>
      <c r="M70" s="8" t="s">
        <v>157</v>
      </c>
    </row>
    <row r="71" spans="1:13" hidden="1" x14ac:dyDescent="0.2">
      <c r="A71" s="1">
        <v>43761</v>
      </c>
      <c r="B71" s="4" t="s">
        <v>88</v>
      </c>
      <c r="C71" t="s">
        <v>91</v>
      </c>
      <c r="D71" s="2" t="str">
        <f>Table135[[#This Row],[CN]]&amp;" - "&amp;Table135[[#This Row],[CNEE]]</f>
        <v>顾家 - HANSSEM</v>
      </c>
      <c r="E71" s="12" t="str">
        <f>VLOOKUP(Table135[[#This Row],[CN]],表5[],2,FALSE)</f>
        <v>KUKA</v>
      </c>
      <c r="F71" s="3" t="s">
        <v>387</v>
      </c>
      <c r="G71" s="8"/>
      <c r="H71" s="8">
        <v>1</v>
      </c>
      <c r="I71" s="8">
        <f>Table135[[#This Row],[20'']]+Table135[[#This Row],[40'']]*2</f>
        <v>2</v>
      </c>
      <c r="J71" s="8" t="s">
        <v>449</v>
      </c>
      <c r="K71" s="8" t="s">
        <v>448</v>
      </c>
      <c r="L71" s="8" t="s">
        <v>520</v>
      </c>
      <c r="M71" s="8" t="s">
        <v>157</v>
      </c>
    </row>
    <row r="72" spans="1:13" hidden="1" x14ac:dyDescent="0.2">
      <c r="A72" s="1">
        <v>43758</v>
      </c>
      <c r="B72" s="4" t="s">
        <v>88</v>
      </c>
      <c r="C72" t="s">
        <v>90</v>
      </c>
      <c r="D72" s="2" t="str">
        <f>Table135[[#This Row],[CN]]&amp;" - "&amp;Table135[[#This Row],[CNEE]]</f>
        <v>万盛 - HANSSEM</v>
      </c>
      <c r="E72" s="12" t="str">
        <f>VLOOKUP(Table135[[#This Row],[CN]],表5[],2,FALSE)</f>
        <v>WANSHENG</v>
      </c>
      <c r="F72" s="3" t="s">
        <v>144</v>
      </c>
      <c r="G72" s="8"/>
      <c r="H72" s="8">
        <v>2</v>
      </c>
      <c r="I72" s="8">
        <f>Table135[[#This Row],[20'']]+Table135[[#This Row],[40'']]*2</f>
        <v>4</v>
      </c>
      <c r="J72" s="8" t="s">
        <v>468</v>
      </c>
      <c r="K72" s="8" t="s">
        <v>433</v>
      </c>
      <c r="L72" s="8"/>
      <c r="M72" s="8" t="s">
        <v>442</v>
      </c>
    </row>
    <row r="73" spans="1:13" hidden="1" x14ac:dyDescent="0.2">
      <c r="A73" s="1">
        <v>43761</v>
      </c>
      <c r="B73" s="4" t="s">
        <v>142</v>
      </c>
      <c r="C73" t="s">
        <v>83</v>
      </c>
      <c r="D73" s="2" t="str">
        <f>Table135[[#This Row],[CN]]&amp;" - "&amp;Table135[[#This Row],[CNEE]]</f>
        <v>永艺 - SSEM</v>
      </c>
      <c r="E73" s="12" t="str">
        <f>VLOOKUP(Table135[[#This Row],[CN]],表5[],2,FALSE)</f>
        <v>UE</v>
      </c>
      <c r="F73" s="3" t="s">
        <v>450</v>
      </c>
      <c r="G73" s="8"/>
      <c r="H73" s="8">
        <v>2</v>
      </c>
      <c r="I73" s="8">
        <f>Table135[[#This Row],[20'']]+Table135[[#This Row],[40'']]*2</f>
        <v>4</v>
      </c>
      <c r="J73" s="8" t="s">
        <v>454</v>
      </c>
      <c r="K73" s="8" t="s">
        <v>459</v>
      </c>
      <c r="L73" s="8"/>
      <c r="M73" s="8" t="s">
        <v>157</v>
      </c>
    </row>
    <row r="74" spans="1:13" ht="28.5" hidden="1" x14ac:dyDescent="0.2">
      <c r="A74" s="1">
        <v>43765</v>
      </c>
      <c r="B74" s="4" t="s">
        <v>48</v>
      </c>
      <c r="C74" t="s">
        <v>87</v>
      </c>
      <c r="D74" s="2" t="str">
        <f>Table135[[#This Row],[CN]]&amp;" - "&amp;Table135[[#This Row],[CNEE]]</f>
        <v>华达利 - CASAMIA</v>
      </c>
      <c r="E74" s="12" t="str">
        <f>VLOOKUP(Table135[[#This Row],[CN]],表5[],2,FALSE)</f>
        <v>HTL</v>
      </c>
      <c r="F74" s="3" t="s">
        <v>380</v>
      </c>
      <c r="G74" s="8"/>
      <c r="H74" s="8">
        <v>2</v>
      </c>
      <c r="I74" s="8">
        <f>Table135[[#This Row],[20'']]+Table135[[#This Row],[40'']]*2</f>
        <v>4</v>
      </c>
      <c r="J74" s="8" t="s">
        <v>399</v>
      </c>
      <c r="K74" s="8" t="s">
        <v>390</v>
      </c>
      <c r="L74" s="8"/>
      <c r="M74" s="8" t="s">
        <v>157</v>
      </c>
    </row>
    <row r="75" spans="1:13" hidden="1" x14ac:dyDescent="0.2">
      <c r="A75" s="1">
        <v>43765</v>
      </c>
      <c r="B75" s="4" t="s">
        <v>431</v>
      </c>
      <c r="C75" t="s">
        <v>85</v>
      </c>
      <c r="D75" s="2" t="str">
        <f>Table135[[#This Row],[CN]]&amp;" - "&amp;Table135[[#This Row],[CNEE]]</f>
        <v>华宝 - EFFEX</v>
      </c>
      <c r="E75" s="12" t="str">
        <f>VLOOKUP(Table135[[#This Row],[CN]],表5[],2,FALSE)</f>
        <v>HUABAO</v>
      </c>
      <c r="F75" s="3" t="s">
        <v>30</v>
      </c>
      <c r="G75" s="8">
        <v>10</v>
      </c>
      <c r="H75" s="8"/>
      <c r="I75" s="8">
        <f>Table135[[#This Row],[20'']]+Table135[[#This Row],[40'']]*2</f>
        <v>10</v>
      </c>
      <c r="J75" s="8" t="s">
        <v>500</v>
      </c>
      <c r="K75" s="8" t="s">
        <v>493</v>
      </c>
      <c r="L75" s="8" t="s">
        <v>494</v>
      </c>
      <c r="M75" s="8" t="s">
        <v>157</v>
      </c>
    </row>
    <row r="76" spans="1:13" hidden="1" x14ac:dyDescent="0.2">
      <c r="A76" s="1">
        <v>43765</v>
      </c>
      <c r="B76" s="4" t="s">
        <v>431</v>
      </c>
      <c r="C76" t="s">
        <v>85</v>
      </c>
      <c r="D76" s="2" t="str">
        <f>Table135[[#This Row],[CN]]&amp;" - "&amp;Table135[[#This Row],[CNEE]]</f>
        <v>华宝 - EFFEX</v>
      </c>
      <c r="E76" s="12" t="str">
        <f>VLOOKUP(Table135[[#This Row],[CN]],表5[],2,FALSE)</f>
        <v>HUABAO</v>
      </c>
      <c r="F76" s="3" t="s">
        <v>30</v>
      </c>
      <c r="G76" s="8">
        <v>3</v>
      </c>
      <c r="H76" s="8"/>
      <c r="I76" s="8">
        <f>Table135[[#This Row],[20'']]+Table135[[#This Row],[40'']]*2</f>
        <v>3</v>
      </c>
      <c r="J76" s="8" t="s">
        <v>452</v>
      </c>
      <c r="K76" s="8" t="s">
        <v>605</v>
      </c>
      <c r="L76" s="8" t="s">
        <v>593</v>
      </c>
      <c r="M76" s="8" t="s">
        <v>157</v>
      </c>
    </row>
    <row r="77" spans="1:13" hidden="1" x14ac:dyDescent="0.2">
      <c r="A77" s="1">
        <v>43765</v>
      </c>
      <c r="B77" s="4" t="s">
        <v>88</v>
      </c>
      <c r="C77" t="s">
        <v>384</v>
      </c>
      <c r="D77" s="2" t="str">
        <f>Table135[[#This Row],[CN]]&amp;" - "&amp;Table135[[#This Row],[CNEE]]</f>
        <v>顾家 - HANSSEM</v>
      </c>
      <c r="E77" s="12" t="str">
        <f>VLOOKUP(Table135[[#This Row],[CN]],表5[],2,FALSE)</f>
        <v>KUKA</v>
      </c>
      <c r="F77" s="3" t="s">
        <v>419</v>
      </c>
      <c r="G77" s="8"/>
      <c r="H77" s="8">
        <v>2</v>
      </c>
      <c r="I77" s="8">
        <f>Table135[[#This Row],[20'']]+Table135[[#This Row],[40'']]*2</f>
        <v>4</v>
      </c>
      <c r="J77" s="8" t="s">
        <v>447</v>
      </c>
      <c r="K77" s="8" t="s">
        <v>391</v>
      </c>
      <c r="L77" s="8"/>
      <c r="M77" s="8" t="s">
        <v>157</v>
      </c>
    </row>
    <row r="78" spans="1:13" hidden="1" x14ac:dyDescent="0.2">
      <c r="A78" s="1">
        <v>43765</v>
      </c>
      <c r="B78" s="4" t="s">
        <v>88</v>
      </c>
      <c r="C78" t="s">
        <v>90</v>
      </c>
      <c r="D78" s="2" t="str">
        <f>Table135[[#This Row],[CN]]&amp;" - "&amp;Table135[[#This Row],[CNEE]]</f>
        <v>万盛 - HANSSEM</v>
      </c>
      <c r="E78" s="12" t="str">
        <f>VLOOKUP(Table135[[#This Row],[CN]],表5[],2,FALSE)</f>
        <v>WANSHENG</v>
      </c>
      <c r="F78" s="3" t="s">
        <v>412</v>
      </c>
      <c r="G78" s="8"/>
      <c r="H78" s="8">
        <v>2</v>
      </c>
      <c r="I78" s="8">
        <f>Table135[[#This Row],[20'']]+Table135[[#This Row],[40'']]*2</f>
        <v>4</v>
      </c>
      <c r="J78" s="8" t="s">
        <v>438</v>
      </c>
      <c r="K78" s="8" t="s">
        <v>415</v>
      </c>
      <c r="L78" s="8"/>
      <c r="M78" s="8" t="s">
        <v>157</v>
      </c>
    </row>
    <row r="79" spans="1:13" hidden="1" x14ac:dyDescent="0.2">
      <c r="A79" s="1">
        <v>43765</v>
      </c>
      <c r="B79" s="4" t="s">
        <v>88</v>
      </c>
      <c r="C79" t="s">
        <v>90</v>
      </c>
      <c r="D79" s="2" t="str">
        <f>Table135[[#This Row],[CN]]&amp;" - "&amp;Table135[[#This Row],[CNEE]]</f>
        <v>万盛 - HANSSEM</v>
      </c>
      <c r="E79" s="12" t="str">
        <f>VLOOKUP(Table135[[#This Row],[CN]],表5[],2,FALSE)</f>
        <v>WANSHENG</v>
      </c>
      <c r="F79" s="3" t="s">
        <v>413</v>
      </c>
      <c r="G79" s="8"/>
      <c r="H79" s="8">
        <v>1</v>
      </c>
      <c r="I79" s="8">
        <f>Table135[[#This Row],[20'']]+Table135[[#This Row],[40'']]*2</f>
        <v>2</v>
      </c>
      <c r="J79" s="8" t="s">
        <v>439</v>
      </c>
      <c r="K79" s="8" t="s">
        <v>416</v>
      </c>
      <c r="L79" s="8"/>
      <c r="M79" s="8" t="s">
        <v>157</v>
      </c>
    </row>
    <row r="80" spans="1:13" hidden="1" x14ac:dyDescent="0.2">
      <c r="A80" s="1">
        <v>43768</v>
      </c>
      <c r="B80" s="4" t="s">
        <v>88</v>
      </c>
      <c r="C80" t="s">
        <v>90</v>
      </c>
      <c r="D80" s="2" t="str">
        <f>Table135[[#This Row],[CN]]&amp;" - "&amp;Table135[[#This Row],[CNEE]]</f>
        <v>万盛 - HANSSEM</v>
      </c>
      <c r="E80" s="12" t="str">
        <f>VLOOKUP(Table135[[#This Row],[CN]],表5[],2,FALSE)</f>
        <v>WANSHENG</v>
      </c>
      <c r="F80" s="3" t="s">
        <v>411</v>
      </c>
      <c r="G80" s="8"/>
      <c r="H80" s="8">
        <v>1</v>
      </c>
      <c r="I80" s="8">
        <f>Table135[[#This Row],[20'']]+Table135[[#This Row],[40'']]*2</f>
        <v>2</v>
      </c>
      <c r="J80" s="8" t="s">
        <v>440</v>
      </c>
      <c r="K80" s="8" t="s">
        <v>418</v>
      </c>
      <c r="L80" s="8"/>
      <c r="M80" s="8" t="s">
        <v>157</v>
      </c>
    </row>
    <row r="81" spans="1:13" hidden="1" x14ac:dyDescent="0.2">
      <c r="A81" s="1">
        <v>43765</v>
      </c>
      <c r="B81" s="4" t="s">
        <v>142</v>
      </c>
      <c r="C81" t="s">
        <v>83</v>
      </c>
      <c r="D81" s="2" t="str">
        <f>Table135[[#This Row],[CN]]&amp;" - "&amp;Table135[[#This Row],[CNEE]]</f>
        <v>永艺 - SSEM</v>
      </c>
      <c r="E81" s="12" t="str">
        <f>VLOOKUP(Table135[[#This Row],[CN]],表5[],2,FALSE)</f>
        <v>UE</v>
      </c>
      <c r="F81" s="3" t="s">
        <v>450</v>
      </c>
      <c r="G81" s="8"/>
      <c r="H81" s="8">
        <v>0</v>
      </c>
      <c r="I81" s="8">
        <f>Table135[[#This Row],[20'']]+Table135[[#This Row],[40'']]*2</f>
        <v>0</v>
      </c>
      <c r="J81" s="8" t="s">
        <v>467</v>
      </c>
      <c r="K81" s="8" t="s">
        <v>451</v>
      </c>
      <c r="L81" s="8" t="s">
        <v>458</v>
      </c>
      <c r="M81" s="8" t="s">
        <v>157</v>
      </c>
    </row>
    <row r="82" spans="1:13" hidden="1" x14ac:dyDescent="0.2">
      <c r="A82" s="1">
        <v>43765</v>
      </c>
      <c r="B82" s="4" t="s">
        <v>142</v>
      </c>
      <c r="C82" t="s">
        <v>83</v>
      </c>
      <c r="D82" s="2" t="str">
        <f>Table135[[#This Row],[CN]]&amp;" - "&amp;Table135[[#This Row],[CNEE]]</f>
        <v>永艺 - SSEM</v>
      </c>
      <c r="E82" s="12" t="str">
        <f>VLOOKUP(Table135[[#This Row],[CN]],表5[],2,FALSE)</f>
        <v>UE</v>
      </c>
      <c r="F82" s="3" t="s">
        <v>531</v>
      </c>
      <c r="G82" s="8"/>
      <c r="H82" s="8">
        <v>4</v>
      </c>
      <c r="I82" s="8">
        <f>Table135[[#This Row],[20'']]+Table135[[#This Row],[40'']]*2</f>
        <v>8</v>
      </c>
      <c r="J82" s="8" t="s">
        <v>545</v>
      </c>
      <c r="K82" s="8" t="s">
        <v>544</v>
      </c>
      <c r="L82" s="8" t="s">
        <v>595</v>
      </c>
      <c r="M82" s="8" t="s">
        <v>157</v>
      </c>
    </row>
    <row r="83" spans="1:13" ht="42.75" hidden="1" x14ac:dyDescent="0.2">
      <c r="A83" s="1">
        <v>43768</v>
      </c>
      <c r="B83" s="4" t="s">
        <v>48</v>
      </c>
      <c r="C83" t="s">
        <v>87</v>
      </c>
      <c r="D83" s="2" t="str">
        <f>Table135[[#This Row],[CN]]&amp;" - "&amp;Table135[[#This Row],[CNEE]]</f>
        <v>华达利 - CASAMIA</v>
      </c>
      <c r="E83" s="12" t="str">
        <f>VLOOKUP(Table135[[#This Row],[CN]],表5[],2,FALSE)</f>
        <v>HTL</v>
      </c>
      <c r="F83" s="3" t="s">
        <v>379</v>
      </c>
      <c r="G83" s="8"/>
      <c r="H83" s="8">
        <v>3</v>
      </c>
      <c r="I83" s="8">
        <f>Table135[[#This Row],[20'']]+Table135[[#This Row],[40'']]*2</f>
        <v>6</v>
      </c>
      <c r="J83" s="8" t="s">
        <v>400</v>
      </c>
      <c r="K83" s="8" t="s">
        <v>392</v>
      </c>
      <c r="L83" s="8" t="s">
        <v>547</v>
      </c>
      <c r="M83" s="8" t="s">
        <v>157</v>
      </c>
    </row>
    <row r="84" spans="1:13" hidden="1" x14ac:dyDescent="0.2">
      <c r="A84" s="1">
        <v>43768</v>
      </c>
      <c r="B84" s="4" t="s">
        <v>48</v>
      </c>
      <c r="C84" t="s">
        <v>84</v>
      </c>
      <c r="D84" s="2" t="str">
        <f>Table135[[#This Row],[CN]]&amp;" - "&amp;Table135[[#This Row],[CNEE]]</f>
        <v>雅家居 - CASAMIA</v>
      </c>
      <c r="E84" s="12" t="str">
        <f>VLOOKUP(Table135[[#This Row],[CN]],表5[],2,FALSE)</f>
        <v>YAJIAJU</v>
      </c>
      <c r="F84" s="3" t="s">
        <v>499</v>
      </c>
      <c r="G84" s="8"/>
      <c r="H84" s="8">
        <v>2</v>
      </c>
      <c r="I84" s="8">
        <f>Table135[[#This Row],[20'']]+Table135[[#This Row],[40'']]*2</f>
        <v>4</v>
      </c>
      <c r="J84" s="8" t="s">
        <v>498</v>
      </c>
      <c r="K84" s="8" t="s">
        <v>495</v>
      </c>
      <c r="L84" s="8"/>
      <c r="M84" s="8" t="s">
        <v>157</v>
      </c>
    </row>
    <row r="85" spans="1:13" hidden="1" x14ac:dyDescent="0.2">
      <c r="A85" s="1">
        <v>43768</v>
      </c>
      <c r="B85" s="4" t="s">
        <v>48</v>
      </c>
      <c r="C85" t="s">
        <v>89</v>
      </c>
      <c r="D85" s="2" t="str">
        <f>Table135[[#This Row],[CN]]&amp;" - "&amp;Table135[[#This Row],[CNEE]]</f>
        <v>洲际 - CASAMIA</v>
      </c>
      <c r="E85" s="12" t="str">
        <f>VLOOKUP(Table135[[#This Row],[CN]],表5[],2,FALSE)</f>
        <v>ZHOUJI</v>
      </c>
      <c r="F85" s="38" t="s">
        <v>489</v>
      </c>
      <c r="G85" s="8"/>
      <c r="H85" s="8">
        <v>1</v>
      </c>
      <c r="I85" s="8">
        <f>Table135[[#This Row],[20'']]+Table135[[#This Row],[40'']]*2</f>
        <v>2</v>
      </c>
      <c r="J85" s="8" t="s">
        <v>488</v>
      </c>
      <c r="K85" s="8" t="s">
        <v>487</v>
      </c>
      <c r="L85" s="8"/>
      <c r="M85" s="8" t="s">
        <v>157</v>
      </c>
    </row>
    <row r="86" spans="1:13" hidden="1" x14ac:dyDescent="0.2">
      <c r="A86" s="1">
        <v>43768</v>
      </c>
      <c r="B86" s="4" t="s">
        <v>431</v>
      </c>
      <c r="C86" t="s">
        <v>85</v>
      </c>
      <c r="D86" s="2" t="str">
        <f>Table135[[#This Row],[CN]]&amp;" - "&amp;Table135[[#This Row],[CNEE]]</f>
        <v>华宝 - EFFEX</v>
      </c>
      <c r="E86" s="12" t="str">
        <f>VLOOKUP(Table135[[#This Row],[CN]],表5[],2,FALSE)</f>
        <v>HUABAO</v>
      </c>
      <c r="F86" s="3" t="s">
        <v>30</v>
      </c>
      <c r="G86" s="8">
        <v>8</v>
      </c>
      <c r="H86" s="8"/>
      <c r="I86" s="8">
        <f>Table135[[#This Row],[20'']]+Table135[[#This Row],[40'']]*2</f>
        <v>8</v>
      </c>
      <c r="J86" s="8" t="s">
        <v>501</v>
      </c>
      <c r="K86" s="8" t="s">
        <v>496</v>
      </c>
      <c r="L86" s="8" t="s">
        <v>497</v>
      </c>
      <c r="M86" s="8" t="s">
        <v>157</v>
      </c>
    </row>
    <row r="87" spans="1:13" hidden="1" x14ac:dyDescent="0.2">
      <c r="A87" s="1">
        <v>43768</v>
      </c>
      <c r="B87" s="4" t="s">
        <v>88</v>
      </c>
      <c r="C87" t="s">
        <v>91</v>
      </c>
      <c r="D87" s="2" t="str">
        <f>Table135[[#This Row],[CN]]&amp;" - "&amp;Table135[[#This Row],[CNEE]]</f>
        <v>顾家 - HANSSEM</v>
      </c>
      <c r="E87" s="12" t="str">
        <f>VLOOKUP(Table135[[#This Row],[CN]],表5[],2,FALSE)</f>
        <v>KUKA</v>
      </c>
      <c r="F87" s="3" t="s">
        <v>420</v>
      </c>
      <c r="G87" s="8"/>
      <c r="H87" s="8">
        <v>1</v>
      </c>
      <c r="I87" s="8">
        <f>Table135[[#This Row],[20'']]+Table135[[#This Row],[40'']]*2</f>
        <v>2</v>
      </c>
      <c r="J87" s="8" t="s">
        <v>435</v>
      </c>
      <c r="K87" s="8" t="s">
        <v>417</v>
      </c>
      <c r="L87" s="8"/>
      <c r="M87" s="8" t="s">
        <v>157</v>
      </c>
    </row>
    <row r="88" spans="1:13" hidden="1" x14ac:dyDescent="0.2">
      <c r="A88" s="1">
        <v>43765</v>
      </c>
      <c r="B88" s="4" t="s">
        <v>88</v>
      </c>
      <c r="C88" t="s">
        <v>90</v>
      </c>
      <c r="D88" s="2" t="str">
        <f>Table135[[#This Row],[CN]]&amp;" - "&amp;Table135[[#This Row],[CNEE]]</f>
        <v>万盛 - HANSSEM</v>
      </c>
      <c r="E88" s="12" t="str">
        <f>VLOOKUP(Table135[[#This Row],[CN]],表5[],2,FALSE)</f>
        <v>WANSHENG</v>
      </c>
      <c r="F88" s="3" t="s">
        <v>270</v>
      </c>
      <c r="G88" s="8"/>
      <c r="H88" s="8">
        <v>1</v>
      </c>
      <c r="I88" s="8">
        <f>Table135[[#This Row],[20'']]+Table135[[#This Row],[40'']]*2</f>
        <v>2</v>
      </c>
      <c r="J88" s="8" t="s">
        <v>586</v>
      </c>
      <c r="K88" s="8" t="s">
        <v>581</v>
      </c>
      <c r="L88" s="8" t="s">
        <v>622</v>
      </c>
      <c r="M88" s="8" t="s">
        <v>157</v>
      </c>
    </row>
    <row r="89" spans="1:13" ht="28.5" hidden="1" x14ac:dyDescent="0.2">
      <c r="A89" s="1">
        <v>43772</v>
      </c>
      <c r="B89" s="4" t="s">
        <v>48</v>
      </c>
      <c r="C89" t="s">
        <v>461</v>
      </c>
      <c r="D89" s="2" t="str">
        <f>Table135[[#This Row],[CN]]&amp;" - "&amp;Table135[[#This Row],[CNEE]]</f>
        <v>华达利 - CASAMIA</v>
      </c>
      <c r="E89" s="12" t="str">
        <f>VLOOKUP(Table135[[#This Row],[CN]],表5[],2,FALSE)</f>
        <v>HTL</v>
      </c>
      <c r="F89" s="3" t="s">
        <v>462</v>
      </c>
      <c r="G89" s="8"/>
      <c r="H89" s="8">
        <v>2</v>
      </c>
      <c r="I89" s="8">
        <f>Table135[[#This Row],[20'']]+Table135[[#This Row],[40'']]*2</f>
        <v>4</v>
      </c>
      <c r="J89" s="8" t="s">
        <v>565</v>
      </c>
      <c r="K89" s="8" t="s">
        <v>559</v>
      </c>
      <c r="L89" s="8" t="s">
        <v>628</v>
      </c>
      <c r="M89" s="8" t="s">
        <v>157</v>
      </c>
    </row>
    <row r="90" spans="1:13" hidden="1" x14ac:dyDescent="0.2">
      <c r="A90" s="1">
        <v>43772</v>
      </c>
      <c r="B90" s="4" t="s">
        <v>88</v>
      </c>
      <c r="C90" t="s">
        <v>384</v>
      </c>
      <c r="D90" s="2" t="str">
        <f>Table135[[#This Row],[CN]]&amp;" - "&amp;Table135[[#This Row],[CNEE]]</f>
        <v>顾家 - HANSSEM</v>
      </c>
      <c r="E90" s="12" t="str">
        <f>VLOOKUP(Table135[[#This Row],[CN]],表5[],2,FALSE)</f>
        <v>KUKA</v>
      </c>
      <c r="F90" s="3" t="s">
        <v>385</v>
      </c>
      <c r="G90" s="8"/>
      <c r="H90" s="8">
        <v>2</v>
      </c>
      <c r="I90" s="8">
        <f>Table135[[#This Row],[20'']]+Table135[[#This Row],[40'']]*2</f>
        <v>4</v>
      </c>
      <c r="J90" s="8" t="s">
        <v>436</v>
      </c>
      <c r="K90" s="8" t="s">
        <v>560</v>
      </c>
      <c r="L90" s="8" t="s">
        <v>630</v>
      </c>
      <c r="M90" s="8" t="s">
        <v>157</v>
      </c>
    </row>
    <row r="91" spans="1:13" hidden="1" x14ac:dyDescent="0.2">
      <c r="A91" s="1">
        <v>43772</v>
      </c>
      <c r="B91" s="4" t="s">
        <v>598</v>
      </c>
      <c r="C91" t="s">
        <v>90</v>
      </c>
      <c r="D91" s="2" t="str">
        <f>Table135[[#This Row],[CN]]&amp;" - "&amp;Table135[[#This Row],[CNEE]]</f>
        <v>万盛 - HANSSEM</v>
      </c>
      <c r="E91" s="12" t="str">
        <f>VLOOKUP(Table135[[#This Row],[CN]],表5[],2,FALSE)</f>
        <v>WANSHENG</v>
      </c>
      <c r="F91" s="3" t="s">
        <v>608</v>
      </c>
      <c r="G91" s="8"/>
      <c r="H91" s="8">
        <v>1</v>
      </c>
      <c r="I91" s="8">
        <f>Table135[[#This Row],[20'']]+Table135[[#This Row],[40'']]*2</f>
        <v>2</v>
      </c>
      <c r="J91" s="8" t="s">
        <v>629</v>
      </c>
      <c r="K91" s="8" t="s">
        <v>602</v>
      </c>
      <c r="L91" s="8" t="s">
        <v>621</v>
      </c>
      <c r="M91" s="8" t="s">
        <v>157</v>
      </c>
    </row>
    <row r="92" spans="1:13" hidden="1" x14ac:dyDescent="0.2">
      <c r="A92" s="1">
        <v>43772</v>
      </c>
      <c r="B92" s="4" t="s">
        <v>142</v>
      </c>
      <c r="C92" t="s">
        <v>83</v>
      </c>
      <c r="D92" s="2" t="str">
        <f>Table135[[#This Row],[CN]]&amp;" - "&amp;Table135[[#This Row],[CNEE]]</f>
        <v>永艺 - SSEM</v>
      </c>
      <c r="E92" s="12" t="str">
        <f>VLOOKUP(Table135[[#This Row],[CN]],表5[],2,FALSE)</f>
        <v>UE</v>
      </c>
      <c r="F92" s="3" t="s">
        <v>610</v>
      </c>
      <c r="G92" s="8"/>
      <c r="H92" s="8">
        <v>1</v>
      </c>
      <c r="I92" s="8">
        <f>Table135[[#This Row],[20'']]+Table135[[#This Row],[40'']]*2</f>
        <v>2</v>
      </c>
      <c r="J92" s="8" t="s">
        <v>611</v>
      </c>
      <c r="K92" s="8" t="s">
        <v>601</v>
      </c>
      <c r="L92" s="8"/>
      <c r="M92" s="8" t="s">
        <v>157</v>
      </c>
    </row>
    <row r="93" spans="1:13" hidden="1" x14ac:dyDescent="0.2">
      <c r="A93" s="1">
        <v>43775</v>
      </c>
      <c r="B93" s="4" t="s">
        <v>88</v>
      </c>
      <c r="C93" t="s">
        <v>91</v>
      </c>
      <c r="D93" s="2" t="str">
        <f>Table135[[#This Row],[CN]]&amp;" - "&amp;Table135[[#This Row],[CNEE]]</f>
        <v>顾家 - HANSSEM</v>
      </c>
      <c r="E93" s="12" t="str">
        <f>VLOOKUP(Table135[[#This Row],[CN]],表5[],2,FALSE)</f>
        <v>KUKA</v>
      </c>
      <c r="F93" s="3" t="s">
        <v>584</v>
      </c>
      <c r="G93" s="8"/>
      <c r="H93" s="8">
        <v>1</v>
      </c>
      <c r="I93" s="8">
        <f>Table135[[#This Row],[20'']]+Table135[[#This Row],[40'']]*2</f>
        <v>2</v>
      </c>
      <c r="J93" s="8" t="s">
        <v>590</v>
      </c>
      <c r="K93" s="8" t="s">
        <v>587</v>
      </c>
      <c r="L93" s="8" t="s">
        <v>588</v>
      </c>
      <c r="M93" s="8" t="s">
        <v>157</v>
      </c>
    </row>
    <row r="94" spans="1:13" hidden="1" x14ac:dyDescent="0.2">
      <c r="A94" s="1">
        <v>43775</v>
      </c>
      <c r="B94" s="4" t="s">
        <v>142</v>
      </c>
      <c r="C94" t="s">
        <v>83</v>
      </c>
      <c r="D94" s="2" t="str">
        <f>Table135[[#This Row],[CN]]&amp;" - "&amp;Table135[[#This Row],[CNEE]]</f>
        <v>永艺 - SSEM</v>
      </c>
      <c r="E94" s="12" t="str">
        <f>VLOOKUP(Table135[[#This Row],[CN]],表5[],2,FALSE)</f>
        <v>UE</v>
      </c>
      <c r="F94" s="3" t="s">
        <v>548</v>
      </c>
      <c r="G94" s="8">
        <v>1</v>
      </c>
      <c r="H94" s="8"/>
      <c r="I94" s="8">
        <f>Table135[[#This Row],[20'']]+Table135[[#This Row],[40'']]*2</f>
        <v>1</v>
      </c>
      <c r="J94" s="8" t="s">
        <v>569</v>
      </c>
      <c r="K94" s="8" t="s">
        <v>561</v>
      </c>
      <c r="L94" s="8"/>
      <c r="M94" s="8" t="s">
        <v>157</v>
      </c>
    </row>
    <row r="95" spans="1:13" hidden="1" x14ac:dyDescent="0.2">
      <c r="A95" s="1">
        <v>43779</v>
      </c>
      <c r="B95" s="4" t="s">
        <v>48</v>
      </c>
      <c r="C95" t="s">
        <v>540</v>
      </c>
      <c r="D95" s="2" t="str">
        <f>Table135[[#This Row],[CN]]&amp;" - "&amp;Table135[[#This Row],[CNEE]]</f>
        <v>伟誉 - CASAMIA</v>
      </c>
      <c r="E95" s="12" t="str">
        <f>VLOOKUP(Table135[[#This Row],[CN]],表5[],2,FALSE)</f>
        <v>WEIYU</v>
      </c>
      <c r="F95" s="3" t="s">
        <v>583</v>
      </c>
      <c r="G95" s="8"/>
      <c r="H95" s="8">
        <v>1</v>
      </c>
      <c r="I95" s="8">
        <f>Table135[[#This Row],[20'']]+Table135[[#This Row],[40'']]*2</f>
        <v>2</v>
      </c>
      <c r="J95" s="8" t="s">
        <v>568</v>
      </c>
      <c r="K95" s="8" t="s">
        <v>603</v>
      </c>
      <c r="L95" s="8" t="s">
        <v>597</v>
      </c>
      <c r="M95" s="8" t="s">
        <v>157</v>
      </c>
    </row>
    <row r="96" spans="1:13" hidden="1" x14ac:dyDescent="0.2">
      <c r="A96" s="1">
        <v>43779</v>
      </c>
      <c r="B96" s="4" t="s">
        <v>534</v>
      </c>
      <c r="C96" t="s">
        <v>535</v>
      </c>
      <c r="D96" s="2" t="str">
        <f>Table135[[#This Row],[CN]]&amp;" - "&amp;Table135[[#This Row],[CNEE]]</f>
        <v>卡帛 - HANSSEM</v>
      </c>
      <c r="E96" s="12" t="str">
        <f>VLOOKUP(Table135[[#This Row],[CN]],表5[],2,FALSE)</f>
        <v>CABO</v>
      </c>
      <c r="F96" s="3" t="s">
        <v>533</v>
      </c>
      <c r="G96" s="8"/>
      <c r="H96" s="8">
        <v>1</v>
      </c>
      <c r="I96" s="8">
        <f>Table135[[#This Row],[20'']]+Table135[[#This Row],[40'']]*2</f>
        <v>2</v>
      </c>
      <c r="J96" s="8" t="s">
        <v>566</v>
      </c>
      <c r="K96" s="8" t="s">
        <v>562</v>
      </c>
      <c r="L96" s="8"/>
      <c r="M96" s="8" t="s">
        <v>157</v>
      </c>
    </row>
    <row r="97" spans="1:13" hidden="1" x14ac:dyDescent="0.2">
      <c r="A97" s="1">
        <v>43782</v>
      </c>
      <c r="B97" s="4" t="s">
        <v>539</v>
      </c>
      <c r="C97" t="s">
        <v>540</v>
      </c>
      <c r="D97" s="2" t="str">
        <f>Table135[[#This Row],[CN]]&amp;" - "&amp;Table135[[#This Row],[CNEE]]</f>
        <v>伟誉 - CASAMIA</v>
      </c>
      <c r="E97" s="12" t="str">
        <f>VLOOKUP(Table135[[#This Row],[CN]],表5[],2,FALSE)</f>
        <v>WEIYU</v>
      </c>
      <c r="F97" s="3"/>
      <c r="G97" s="8"/>
      <c r="H97" s="8">
        <v>0</v>
      </c>
      <c r="I97" s="8">
        <f>Table135[[#This Row],[20'']]+Table135[[#This Row],[40'']]*2</f>
        <v>0</v>
      </c>
      <c r="J97" s="8"/>
      <c r="K97" s="8" t="s">
        <v>563</v>
      </c>
      <c r="L97" s="8" t="s">
        <v>577</v>
      </c>
      <c r="M97" s="8" t="s">
        <v>157</v>
      </c>
    </row>
    <row r="98" spans="1:13" hidden="1" x14ac:dyDescent="0.2">
      <c r="A98" s="1">
        <v>43782</v>
      </c>
      <c r="B98" s="4" t="s">
        <v>88</v>
      </c>
      <c r="C98" t="s">
        <v>91</v>
      </c>
      <c r="D98" s="2" t="str">
        <f>Table135[[#This Row],[CN]]&amp;" - "&amp;Table135[[#This Row],[CNEE]]</f>
        <v>顾家 - HANSSEM</v>
      </c>
      <c r="E98" s="12" t="str">
        <f>VLOOKUP(Table135[[#This Row],[CN]],表5[],2,FALSE)</f>
        <v>KUKA</v>
      </c>
      <c r="F98" s="3" t="s">
        <v>585</v>
      </c>
      <c r="G98" s="8"/>
      <c r="H98" s="8">
        <v>1</v>
      </c>
      <c r="I98" s="8">
        <f>Table135[[#This Row],[20'']]+Table135[[#This Row],[40'']]*2</f>
        <v>2</v>
      </c>
      <c r="J98" s="8" t="s">
        <v>591</v>
      </c>
      <c r="K98" s="8" t="s">
        <v>589</v>
      </c>
      <c r="L98" s="8" t="s">
        <v>588</v>
      </c>
      <c r="M98" s="8" t="s">
        <v>157</v>
      </c>
    </row>
    <row r="99" spans="1:13" ht="28.5" hidden="1" x14ac:dyDescent="0.2">
      <c r="A99" s="1">
        <v>43786</v>
      </c>
      <c r="B99" s="4" t="s">
        <v>48</v>
      </c>
      <c r="C99" t="s">
        <v>87</v>
      </c>
      <c r="D99" s="2" t="str">
        <f>Table135[[#This Row],[CN]]&amp;" - "&amp;Table135[[#This Row],[CNEE]]</f>
        <v>华达利 - CASAMIA</v>
      </c>
      <c r="E99" s="12" t="str">
        <f>VLOOKUP(Table135[[#This Row],[CN]],表5[],2,FALSE)</f>
        <v>HTL</v>
      </c>
      <c r="F99" s="3" t="s">
        <v>599</v>
      </c>
      <c r="G99" s="8"/>
      <c r="H99" s="8">
        <v>2</v>
      </c>
      <c r="I99" s="8"/>
      <c r="J99" s="8" t="s">
        <v>612</v>
      </c>
      <c r="K99" s="8" t="s">
        <v>604</v>
      </c>
      <c r="L99" s="8"/>
      <c r="M99" s="8" t="s">
        <v>157</v>
      </c>
    </row>
    <row r="100" spans="1:13" hidden="1" x14ac:dyDescent="0.2">
      <c r="A100" s="1">
        <v>43786</v>
      </c>
      <c r="B100" s="4" t="s">
        <v>48</v>
      </c>
      <c r="C100" t="s">
        <v>540</v>
      </c>
      <c r="D100" s="2" t="str">
        <f>Table135[[#This Row],[CN]]&amp;" - "&amp;Table135[[#This Row],[CNEE]]</f>
        <v>伟誉 - CASAMIA</v>
      </c>
      <c r="E100" s="12" t="str">
        <f>VLOOKUP(Table135[[#This Row],[CN]],表5[],2,FALSE)</f>
        <v>WEIYU</v>
      </c>
      <c r="F100" s="3" t="s">
        <v>583</v>
      </c>
      <c r="G100" s="8"/>
      <c r="H100" s="8">
        <v>0</v>
      </c>
      <c r="I100" s="8">
        <f>Table135[[#This Row],[20'']]+Table135[[#This Row],[40'']]*2</f>
        <v>0</v>
      </c>
      <c r="J100" s="8" t="s">
        <v>613</v>
      </c>
      <c r="K100" s="8" t="s">
        <v>582</v>
      </c>
      <c r="L100" s="8" t="s">
        <v>596</v>
      </c>
      <c r="M100" s="8" t="s">
        <v>157</v>
      </c>
    </row>
    <row r="101" spans="1:13" hidden="1" x14ac:dyDescent="0.2">
      <c r="A101" s="1">
        <v>43789</v>
      </c>
      <c r="B101" s="4" t="s">
        <v>88</v>
      </c>
      <c r="C101" t="s">
        <v>86</v>
      </c>
      <c r="D101" s="2" t="str">
        <f>Table135[[#This Row],[CN]]&amp;" - "&amp;Table135[[#This Row],[CNEE]]</f>
        <v>卡帛 - HANSSEM</v>
      </c>
      <c r="E101" s="12" t="str">
        <f>VLOOKUP(Table135[[#This Row],[CN]],表5[],2,FALSE)</f>
        <v>CABO</v>
      </c>
      <c r="F101" s="3" t="s">
        <v>537</v>
      </c>
      <c r="G101" s="8"/>
      <c r="H101" s="8">
        <v>3</v>
      </c>
      <c r="I101" s="8">
        <f>Table135[[#This Row],[20'']]+Table135[[#This Row],[40'']]*2</f>
        <v>6</v>
      </c>
      <c r="J101" s="8" t="s">
        <v>567</v>
      </c>
      <c r="K101" s="8" t="s">
        <v>564</v>
      </c>
      <c r="L101" s="8"/>
      <c r="M101" s="8" t="s">
        <v>157</v>
      </c>
    </row>
    <row r="102" spans="1:13" x14ac:dyDescent="0.2">
      <c r="A102" s="1">
        <v>43775</v>
      </c>
      <c r="B102" s="4" t="s">
        <v>88</v>
      </c>
      <c r="C102" t="s">
        <v>90</v>
      </c>
      <c r="D102" s="2" t="str">
        <f>Table135[[#This Row],[CN]]&amp;" - "&amp;Table135[[#This Row],[CNEE]]</f>
        <v>万盛 - HANSSEM</v>
      </c>
      <c r="E102" s="12" t="str">
        <f>VLOOKUP(Table135[[#This Row],[CN]],表5[],2,FALSE)</f>
        <v>WANSHENG</v>
      </c>
      <c r="F102" s="3"/>
      <c r="G102" s="8"/>
      <c r="H102" s="8">
        <v>2</v>
      </c>
      <c r="I102" s="8">
        <f>Table135[[#This Row],[20'']]+Table135[[#This Row],[40'']]*2</f>
        <v>4</v>
      </c>
      <c r="J102" s="8"/>
      <c r="K102" s="8"/>
      <c r="L102" s="8"/>
      <c r="M102" s="8"/>
    </row>
    <row r="103" spans="1:13" x14ac:dyDescent="0.2">
      <c r="A103" s="1">
        <v>43779</v>
      </c>
      <c r="B103" s="4" t="s">
        <v>627</v>
      </c>
      <c r="C103" t="s">
        <v>84</v>
      </c>
      <c r="D103" s="2" t="str">
        <f>Table135[[#This Row],[CN]]&amp;" - "&amp;Table135[[#This Row],[CNEE]]</f>
        <v>雅家居 - CASAMIA</v>
      </c>
      <c r="E103" s="12" t="str">
        <f>VLOOKUP(Table135[[#This Row],[CN]],表5[],2,FALSE)</f>
        <v>YAJIAJU</v>
      </c>
      <c r="F103" s="3"/>
      <c r="G103" s="8"/>
      <c r="H103" s="8">
        <v>2</v>
      </c>
      <c r="I103" s="8">
        <f>Table135[[#This Row],[20'']]+Table135[[#This Row],[40'']]*2</f>
        <v>4</v>
      </c>
      <c r="J103" s="8"/>
      <c r="K103" s="8"/>
      <c r="L103" s="8"/>
      <c r="M103" s="8"/>
    </row>
  </sheetData>
  <sortState ref="R34:S63">
    <sortCondition ref="R34:R63"/>
    <sortCondition ref="S34:S63"/>
  </sortState>
  <phoneticPr fontId="2" type="noConversion"/>
  <conditionalFormatting sqref="K2:K103">
    <cfRule type="duplicateValues" dxfId="82" priority="89"/>
  </conditionalFormatting>
  <dataValidations count="1">
    <dataValidation type="list" allowBlank="1" showInputMessage="1" showErrorMessage="1" sqref="M2:M103" xr:uid="{A79C949C-5D3E-4F28-9A58-4BF936B5CF66}">
      <formula1>"OK"</formula1>
    </dataValidation>
  </dataValidations>
  <pageMargins left="0.7" right="0.7" top="0.75" bottom="0.75" header="0.3" footer="0.3"/>
  <pageSetup paperSize="9" orientation="portrait" r:id="rId1"/>
  <tableParts count="2">
    <tablePart r:id="rId2"/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8A4E38-2CCC-440F-8550-06500B8A4D94}">
  <sheetPr codeName="Sheet3"/>
  <dimension ref="A1:Q77"/>
  <sheetViews>
    <sheetView workbookViewId="0">
      <pane ySplit="3" topLeftCell="A43" activePane="bottomLeft" state="frozen"/>
      <selection pane="bottomLeft" activeCell="E66" sqref="E66"/>
    </sheetView>
  </sheetViews>
  <sheetFormatPr defaultRowHeight="14.25" x14ac:dyDescent="0.2"/>
  <cols>
    <col min="1" max="1" width="19.5" bestFit="1" customWidth="1"/>
    <col min="2" max="2" width="8.25" bestFit="1" customWidth="1"/>
    <col min="3" max="4" width="6.25" bestFit="1" customWidth="1"/>
    <col min="7" max="7" width="5.25" bestFit="1" customWidth="1"/>
    <col min="8" max="8" width="7.125" bestFit="1" customWidth="1"/>
    <col min="9" max="9" width="4.5" bestFit="1" customWidth="1"/>
    <col min="10" max="15" width="6.5" bestFit="1" customWidth="1"/>
  </cols>
  <sheetData>
    <row r="1" spans="1:17" x14ac:dyDescent="0.2">
      <c r="A1" s="11" t="s">
        <v>105</v>
      </c>
      <c r="B1" s="6" t="s">
        <v>104</v>
      </c>
      <c r="G1" t="s">
        <v>336</v>
      </c>
      <c r="H1" t="s">
        <v>335</v>
      </c>
      <c r="I1" t="s">
        <v>219</v>
      </c>
      <c r="J1" s="34">
        <v>43754</v>
      </c>
      <c r="K1" s="34">
        <f>J2+3</f>
        <v>43761</v>
      </c>
      <c r="L1" s="34">
        <f t="shared" ref="L1:O1" si="0">K2+3</f>
        <v>43768</v>
      </c>
      <c r="M1" s="34">
        <f t="shared" si="0"/>
        <v>43775</v>
      </c>
      <c r="N1" s="34">
        <f t="shared" si="0"/>
        <v>43782</v>
      </c>
      <c r="O1" s="34">
        <f t="shared" si="0"/>
        <v>43789</v>
      </c>
      <c r="Q1" t="s">
        <v>485</v>
      </c>
    </row>
    <row r="2" spans="1:17" x14ac:dyDescent="0.2">
      <c r="G2" t="s">
        <v>337</v>
      </c>
      <c r="H2" t="s">
        <v>334</v>
      </c>
      <c r="I2" t="s">
        <v>220</v>
      </c>
      <c r="J2" s="34">
        <f>J1+4</f>
        <v>43758</v>
      </c>
      <c r="K2" s="34">
        <f>K1+4</f>
        <v>43765</v>
      </c>
      <c r="L2" s="34">
        <f t="shared" ref="L2:O2" si="1">L1+4</f>
        <v>43772</v>
      </c>
      <c r="M2" s="34">
        <f t="shared" si="1"/>
        <v>43779</v>
      </c>
      <c r="N2" s="34">
        <f t="shared" si="1"/>
        <v>43786</v>
      </c>
      <c r="O2" s="34">
        <f t="shared" si="1"/>
        <v>43793</v>
      </c>
      <c r="Q2" t="s">
        <v>484</v>
      </c>
    </row>
    <row r="3" spans="1:17" x14ac:dyDescent="0.2">
      <c r="A3" s="6"/>
      <c r="B3" s="6" t="s">
        <v>186</v>
      </c>
      <c r="C3" s="6" t="s">
        <v>187</v>
      </c>
      <c r="D3" s="6" t="s">
        <v>188</v>
      </c>
    </row>
    <row r="4" spans="1:17" x14ac:dyDescent="0.2">
      <c r="A4" s="25" t="s">
        <v>103</v>
      </c>
      <c r="B4" s="13">
        <v>4</v>
      </c>
      <c r="C4" s="13">
        <v>3</v>
      </c>
      <c r="D4" s="13">
        <v>10</v>
      </c>
    </row>
    <row r="5" spans="1:17" x14ac:dyDescent="0.2">
      <c r="A5" s="10" t="s">
        <v>151</v>
      </c>
      <c r="B5" s="13"/>
      <c r="C5" s="13">
        <v>3</v>
      </c>
      <c r="D5" s="13">
        <v>6</v>
      </c>
    </row>
    <row r="6" spans="1:17" x14ac:dyDescent="0.2">
      <c r="A6" s="10" t="s">
        <v>432</v>
      </c>
      <c r="B6" s="13">
        <v>4</v>
      </c>
      <c r="C6" s="13"/>
      <c r="D6" s="13">
        <v>4</v>
      </c>
    </row>
    <row r="7" spans="1:17" x14ac:dyDescent="0.2">
      <c r="A7" s="25" t="s">
        <v>102</v>
      </c>
      <c r="B7" s="13"/>
      <c r="C7" s="13">
        <v>15</v>
      </c>
      <c r="D7" s="13">
        <v>30</v>
      </c>
    </row>
    <row r="8" spans="1:17" x14ac:dyDescent="0.2">
      <c r="A8" s="10" t="s">
        <v>148</v>
      </c>
      <c r="B8" s="13"/>
      <c r="C8" s="13">
        <v>3</v>
      </c>
      <c r="D8" s="13">
        <v>6</v>
      </c>
    </row>
    <row r="9" spans="1:17" x14ac:dyDescent="0.2">
      <c r="A9" s="10" t="s">
        <v>147</v>
      </c>
      <c r="B9" s="13"/>
      <c r="C9" s="13">
        <v>5</v>
      </c>
      <c r="D9" s="13">
        <v>10</v>
      </c>
    </row>
    <row r="10" spans="1:17" x14ac:dyDescent="0.2">
      <c r="A10" s="10" t="s">
        <v>153</v>
      </c>
      <c r="B10" s="13"/>
      <c r="C10" s="13">
        <v>1</v>
      </c>
      <c r="D10" s="13">
        <v>2</v>
      </c>
    </row>
    <row r="11" spans="1:17" x14ac:dyDescent="0.2">
      <c r="A11" s="10" t="s">
        <v>150</v>
      </c>
      <c r="B11" s="13"/>
      <c r="C11" s="13">
        <v>6</v>
      </c>
      <c r="D11" s="13">
        <v>12</v>
      </c>
    </row>
    <row r="12" spans="1:17" x14ac:dyDescent="0.2">
      <c r="A12" s="25" t="s">
        <v>101</v>
      </c>
      <c r="B12" s="13">
        <v>1</v>
      </c>
      <c r="C12" s="13">
        <v>8</v>
      </c>
      <c r="D12" s="13">
        <v>17</v>
      </c>
    </row>
    <row r="13" spans="1:17" x14ac:dyDescent="0.2">
      <c r="A13" s="10" t="s">
        <v>148</v>
      </c>
      <c r="B13" s="13"/>
      <c r="C13" s="13">
        <v>1</v>
      </c>
      <c r="D13" s="13">
        <v>2</v>
      </c>
    </row>
    <row r="14" spans="1:17" x14ac:dyDescent="0.2">
      <c r="A14" s="10" t="s">
        <v>147</v>
      </c>
      <c r="B14" s="13">
        <v>1</v>
      </c>
      <c r="C14" s="13">
        <v>2</v>
      </c>
      <c r="D14" s="13">
        <v>5</v>
      </c>
    </row>
    <row r="15" spans="1:17" x14ac:dyDescent="0.2">
      <c r="A15" s="10" t="s">
        <v>151</v>
      </c>
      <c r="B15" s="13"/>
      <c r="C15" s="13">
        <v>2</v>
      </c>
      <c r="D15" s="13">
        <v>4</v>
      </c>
    </row>
    <row r="16" spans="1:17" x14ac:dyDescent="0.2">
      <c r="A16" s="10" t="s">
        <v>149</v>
      </c>
      <c r="B16" s="13"/>
      <c r="C16" s="13">
        <v>2</v>
      </c>
      <c r="D16" s="13">
        <v>4</v>
      </c>
    </row>
    <row r="17" spans="1:4" x14ac:dyDescent="0.2">
      <c r="A17" s="10" t="s">
        <v>150</v>
      </c>
      <c r="B17" s="13"/>
      <c r="C17" s="13">
        <v>1</v>
      </c>
      <c r="D17" s="13">
        <v>2</v>
      </c>
    </row>
    <row r="18" spans="1:4" x14ac:dyDescent="0.2">
      <c r="A18" s="25" t="s">
        <v>146</v>
      </c>
      <c r="B18" s="13">
        <v>3</v>
      </c>
      <c r="C18" s="13">
        <v>12</v>
      </c>
      <c r="D18" s="13">
        <v>27</v>
      </c>
    </row>
    <row r="19" spans="1:4" x14ac:dyDescent="0.2">
      <c r="A19" s="10" t="s">
        <v>148</v>
      </c>
      <c r="B19" s="13"/>
      <c r="C19" s="13">
        <v>2</v>
      </c>
      <c r="D19" s="13">
        <v>4</v>
      </c>
    </row>
    <row r="20" spans="1:4" x14ac:dyDescent="0.2">
      <c r="A20" s="10" t="s">
        <v>147</v>
      </c>
      <c r="B20" s="13"/>
      <c r="C20" s="13">
        <v>2</v>
      </c>
      <c r="D20" s="13">
        <v>4</v>
      </c>
    </row>
    <row r="21" spans="1:4" x14ac:dyDescent="0.2">
      <c r="A21" s="10" t="s">
        <v>151</v>
      </c>
      <c r="B21" s="13"/>
      <c r="C21" s="13">
        <v>6</v>
      </c>
      <c r="D21" s="13">
        <v>12</v>
      </c>
    </row>
    <row r="22" spans="1:4" x14ac:dyDescent="0.2">
      <c r="A22" s="10" t="s">
        <v>152</v>
      </c>
      <c r="B22" s="13"/>
      <c r="C22" s="13">
        <v>2</v>
      </c>
      <c r="D22" s="13">
        <v>4</v>
      </c>
    </row>
    <row r="23" spans="1:4" x14ac:dyDescent="0.2">
      <c r="A23" s="10" t="s">
        <v>432</v>
      </c>
      <c r="B23" s="13">
        <v>3</v>
      </c>
      <c r="C23" s="13"/>
      <c r="D23" s="13">
        <v>3</v>
      </c>
    </row>
    <row r="24" spans="1:4" x14ac:dyDescent="0.2">
      <c r="A24" s="25" t="s">
        <v>100</v>
      </c>
      <c r="B24" s="13"/>
      <c r="C24" s="13">
        <v>5</v>
      </c>
      <c r="D24" s="13">
        <v>10</v>
      </c>
    </row>
    <row r="25" spans="1:4" x14ac:dyDescent="0.2">
      <c r="A25" s="10" t="s">
        <v>147</v>
      </c>
      <c r="B25" s="13"/>
      <c r="C25" s="13">
        <v>0</v>
      </c>
      <c r="D25" s="13">
        <v>0</v>
      </c>
    </row>
    <row r="26" spans="1:4" x14ac:dyDescent="0.2">
      <c r="A26" s="10" t="s">
        <v>153</v>
      </c>
      <c r="B26" s="13"/>
      <c r="C26" s="13">
        <v>1</v>
      </c>
      <c r="D26" s="13">
        <v>2</v>
      </c>
    </row>
    <row r="27" spans="1:4" x14ac:dyDescent="0.2">
      <c r="A27" s="10" t="s">
        <v>149</v>
      </c>
      <c r="B27" s="13"/>
      <c r="C27" s="13">
        <v>0</v>
      </c>
      <c r="D27" s="13">
        <v>0</v>
      </c>
    </row>
    <row r="28" spans="1:4" x14ac:dyDescent="0.2">
      <c r="A28" s="10" t="s">
        <v>154</v>
      </c>
      <c r="B28" s="13"/>
      <c r="C28" s="13">
        <v>4</v>
      </c>
      <c r="D28" s="13">
        <v>8</v>
      </c>
    </row>
    <row r="29" spans="1:4" x14ac:dyDescent="0.2">
      <c r="A29" s="25" t="s">
        <v>155</v>
      </c>
      <c r="B29" s="13">
        <v>0</v>
      </c>
      <c r="C29" s="13">
        <v>22</v>
      </c>
      <c r="D29" s="13">
        <v>44</v>
      </c>
    </row>
    <row r="30" spans="1:4" x14ac:dyDescent="0.2">
      <c r="A30" s="10" t="s">
        <v>147</v>
      </c>
      <c r="B30" s="13"/>
      <c r="C30" s="13">
        <v>6</v>
      </c>
      <c r="D30" s="13">
        <v>12</v>
      </c>
    </row>
    <row r="31" spans="1:4" x14ac:dyDescent="0.2">
      <c r="A31" s="10" t="s">
        <v>153</v>
      </c>
      <c r="B31" s="13"/>
      <c r="C31" s="13">
        <v>1</v>
      </c>
      <c r="D31" s="13">
        <v>2</v>
      </c>
    </row>
    <row r="32" spans="1:4" x14ac:dyDescent="0.2">
      <c r="A32" s="10" t="s">
        <v>151</v>
      </c>
      <c r="B32" s="13"/>
      <c r="C32" s="13">
        <v>5</v>
      </c>
      <c r="D32" s="13">
        <v>10</v>
      </c>
    </row>
    <row r="33" spans="1:10" x14ac:dyDescent="0.2">
      <c r="A33" s="10" t="s">
        <v>149</v>
      </c>
      <c r="B33" s="13"/>
      <c r="C33" s="13">
        <v>7</v>
      </c>
      <c r="D33" s="13">
        <v>14</v>
      </c>
    </row>
    <row r="34" spans="1:10" x14ac:dyDescent="0.2">
      <c r="A34" s="10" t="s">
        <v>152</v>
      </c>
      <c r="B34" s="13"/>
      <c r="C34" s="13">
        <v>2</v>
      </c>
      <c r="D34" s="13">
        <v>4</v>
      </c>
    </row>
    <row r="35" spans="1:10" x14ac:dyDescent="0.2">
      <c r="A35" s="10" t="s">
        <v>154</v>
      </c>
      <c r="B35" s="13"/>
      <c r="C35" s="13">
        <v>1</v>
      </c>
      <c r="D35" s="13">
        <v>2</v>
      </c>
    </row>
    <row r="36" spans="1:10" x14ac:dyDescent="0.2">
      <c r="A36" s="10" t="s">
        <v>432</v>
      </c>
      <c r="B36" s="13">
        <v>0</v>
      </c>
      <c r="C36" s="13"/>
      <c r="D36" s="13">
        <v>0</v>
      </c>
    </row>
    <row r="37" spans="1:10" x14ac:dyDescent="0.2">
      <c r="A37" s="32" t="s">
        <v>309</v>
      </c>
      <c r="B37" s="13">
        <v>7</v>
      </c>
      <c r="C37" s="13">
        <v>10</v>
      </c>
      <c r="D37" s="13">
        <v>27</v>
      </c>
    </row>
    <row r="38" spans="1:10" x14ac:dyDescent="0.2">
      <c r="A38" s="10" t="s">
        <v>148</v>
      </c>
      <c r="B38" s="13"/>
      <c r="C38" s="13">
        <v>1</v>
      </c>
      <c r="D38" s="13">
        <v>2</v>
      </c>
    </row>
    <row r="39" spans="1:10" x14ac:dyDescent="0.2">
      <c r="A39" s="10" t="s">
        <v>147</v>
      </c>
      <c r="B39" s="13"/>
      <c r="C39" s="13">
        <v>2</v>
      </c>
      <c r="D39" s="13">
        <v>4</v>
      </c>
    </row>
    <row r="40" spans="1:10" x14ac:dyDescent="0.2">
      <c r="A40" s="10" t="s">
        <v>151</v>
      </c>
      <c r="B40" s="13"/>
      <c r="C40" s="13">
        <v>5</v>
      </c>
      <c r="D40" s="13">
        <v>10</v>
      </c>
    </row>
    <row r="41" spans="1:10" x14ac:dyDescent="0.2">
      <c r="A41" s="10" t="s">
        <v>150</v>
      </c>
      <c r="B41" s="13"/>
      <c r="C41" s="13">
        <v>2</v>
      </c>
      <c r="D41" s="13">
        <v>4</v>
      </c>
    </row>
    <row r="42" spans="1:10" x14ac:dyDescent="0.2">
      <c r="A42" s="10" t="s">
        <v>432</v>
      </c>
      <c r="B42" s="13">
        <v>7</v>
      </c>
      <c r="C42" s="13"/>
      <c r="D42" s="13">
        <v>7</v>
      </c>
    </row>
    <row r="43" spans="1:10" x14ac:dyDescent="0.2">
      <c r="A43" s="32" t="s">
        <v>382</v>
      </c>
      <c r="B43" s="13">
        <v>13</v>
      </c>
      <c r="C43" s="13">
        <v>12</v>
      </c>
      <c r="D43" s="13">
        <v>37</v>
      </c>
    </row>
    <row r="44" spans="1:10" x14ac:dyDescent="0.2">
      <c r="A44" s="10" t="s">
        <v>148</v>
      </c>
      <c r="B44" s="13"/>
      <c r="C44" s="13">
        <v>2</v>
      </c>
      <c r="D44" s="13">
        <v>4</v>
      </c>
    </row>
    <row r="45" spans="1:10" x14ac:dyDescent="0.2">
      <c r="A45" s="10" t="s">
        <v>147</v>
      </c>
      <c r="B45" s="13"/>
      <c r="C45" s="13">
        <v>4</v>
      </c>
      <c r="D45" s="13">
        <v>8</v>
      </c>
    </row>
    <row r="46" spans="1:10" x14ac:dyDescent="0.2">
      <c r="A46" s="10" t="s">
        <v>151</v>
      </c>
      <c r="B46" s="13"/>
      <c r="C46" s="13">
        <v>2</v>
      </c>
      <c r="D46" s="13">
        <v>4</v>
      </c>
    </row>
    <row r="47" spans="1:10" x14ac:dyDescent="0.2">
      <c r="A47" s="10" t="s">
        <v>150</v>
      </c>
      <c r="B47" s="13"/>
      <c r="C47" s="13">
        <v>4</v>
      </c>
      <c r="D47" s="13">
        <v>8</v>
      </c>
    </row>
    <row r="48" spans="1:10" x14ac:dyDescent="0.2">
      <c r="A48" s="10" t="s">
        <v>432</v>
      </c>
      <c r="B48" s="13">
        <v>13</v>
      </c>
      <c r="C48" s="13"/>
      <c r="D48" s="13">
        <v>13</v>
      </c>
      <c r="J48" s="28"/>
    </row>
    <row r="49" spans="1:10" x14ac:dyDescent="0.2">
      <c r="A49" s="32" t="s">
        <v>383</v>
      </c>
      <c r="B49" s="13">
        <v>8</v>
      </c>
      <c r="C49" s="13">
        <v>8</v>
      </c>
      <c r="D49" s="13">
        <v>24</v>
      </c>
      <c r="J49" s="28"/>
    </row>
    <row r="50" spans="1:10" x14ac:dyDescent="0.2">
      <c r="A50" s="10" t="s">
        <v>148</v>
      </c>
      <c r="B50" s="13"/>
      <c r="C50" s="13">
        <v>1</v>
      </c>
      <c r="D50" s="13">
        <v>2</v>
      </c>
      <c r="J50" s="28"/>
    </row>
    <row r="51" spans="1:10" x14ac:dyDescent="0.2">
      <c r="A51" s="10" t="s">
        <v>147</v>
      </c>
      <c r="B51" s="13"/>
      <c r="C51" s="13">
        <v>1</v>
      </c>
      <c r="D51" s="13">
        <v>2</v>
      </c>
      <c r="J51" s="28"/>
    </row>
    <row r="52" spans="1:10" x14ac:dyDescent="0.2">
      <c r="A52" s="10" t="s">
        <v>153</v>
      </c>
      <c r="B52" s="13"/>
      <c r="C52" s="13">
        <v>1</v>
      </c>
      <c r="D52" s="13">
        <v>2</v>
      </c>
      <c r="J52" s="28"/>
    </row>
    <row r="53" spans="1:10" x14ac:dyDescent="0.2">
      <c r="A53" s="10" t="s">
        <v>151</v>
      </c>
      <c r="B53" s="13"/>
      <c r="C53" s="13">
        <v>3</v>
      </c>
      <c r="D53" s="13">
        <v>6</v>
      </c>
      <c r="J53" s="28"/>
    </row>
    <row r="54" spans="1:10" x14ac:dyDescent="0.2">
      <c r="A54" s="10" t="s">
        <v>152</v>
      </c>
      <c r="B54" s="13"/>
      <c r="C54" s="13">
        <v>2</v>
      </c>
      <c r="D54" s="13">
        <v>4</v>
      </c>
    </row>
    <row r="55" spans="1:10" x14ac:dyDescent="0.2">
      <c r="A55" s="10" t="s">
        <v>432</v>
      </c>
      <c r="B55" s="13">
        <v>8</v>
      </c>
      <c r="C55" s="13"/>
      <c r="D55" s="13">
        <v>8</v>
      </c>
    </row>
    <row r="56" spans="1:10" x14ac:dyDescent="0.2">
      <c r="A56" s="32" t="s">
        <v>386</v>
      </c>
      <c r="B56" s="13"/>
      <c r="C56" s="13">
        <v>7</v>
      </c>
      <c r="D56" s="13">
        <v>14</v>
      </c>
    </row>
    <row r="57" spans="1:10" x14ac:dyDescent="0.2">
      <c r="A57" s="10" t="s">
        <v>148</v>
      </c>
      <c r="B57" s="13"/>
      <c r="C57" s="13">
        <v>3</v>
      </c>
      <c r="D57" s="13">
        <v>6</v>
      </c>
    </row>
    <row r="58" spans="1:10" x14ac:dyDescent="0.2">
      <c r="A58" s="10" t="s">
        <v>147</v>
      </c>
      <c r="B58" s="13"/>
      <c r="C58" s="13">
        <v>1</v>
      </c>
      <c r="D58" s="13">
        <v>2</v>
      </c>
    </row>
    <row r="59" spans="1:10" x14ac:dyDescent="0.2">
      <c r="A59" s="10" t="s">
        <v>151</v>
      </c>
      <c r="B59" s="13"/>
      <c r="C59" s="13">
        <v>2</v>
      </c>
      <c r="D59" s="13">
        <v>4</v>
      </c>
    </row>
    <row r="60" spans="1:10" x14ac:dyDescent="0.2">
      <c r="A60" s="10" t="s">
        <v>150</v>
      </c>
      <c r="B60" s="13"/>
      <c r="C60" s="13">
        <v>1</v>
      </c>
      <c r="D60" s="13">
        <v>2</v>
      </c>
    </row>
    <row r="61" spans="1:10" x14ac:dyDescent="0.2">
      <c r="A61" s="32" t="s">
        <v>549</v>
      </c>
      <c r="B61" s="13">
        <v>1</v>
      </c>
      <c r="C61" s="13">
        <v>3</v>
      </c>
      <c r="D61" s="13">
        <v>7</v>
      </c>
    </row>
    <row r="62" spans="1:10" x14ac:dyDescent="0.2">
      <c r="A62" s="10" t="s">
        <v>148</v>
      </c>
      <c r="B62" s="13"/>
      <c r="C62" s="13">
        <v>1</v>
      </c>
      <c r="D62" s="13">
        <v>2</v>
      </c>
    </row>
    <row r="63" spans="1:10" x14ac:dyDescent="0.2">
      <c r="A63" s="10" t="s">
        <v>147</v>
      </c>
      <c r="B63" s="13"/>
      <c r="C63" s="13">
        <v>2</v>
      </c>
      <c r="D63" s="13">
        <v>4</v>
      </c>
    </row>
    <row r="64" spans="1:10" x14ac:dyDescent="0.2">
      <c r="A64" s="10" t="s">
        <v>150</v>
      </c>
      <c r="B64" s="13">
        <v>1</v>
      </c>
      <c r="C64" s="13"/>
      <c r="D64" s="13">
        <v>1</v>
      </c>
    </row>
    <row r="65" spans="1:4" x14ac:dyDescent="0.2">
      <c r="A65" s="32" t="s">
        <v>536</v>
      </c>
      <c r="B65" s="13"/>
      <c r="C65" s="13">
        <v>4</v>
      </c>
      <c r="D65" s="13">
        <v>8</v>
      </c>
    </row>
    <row r="66" spans="1:4" x14ac:dyDescent="0.2">
      <c r="A66" s="10" t="s">
        <v>149</v>
      </c>
      <c r="B66" s="13"/>
      <c r="C66" s="13">
        <v>1</v>
      </c>
      <c r="D66" s="13">
        <v>2</v>
      </c>
    </row>
    <row r="67" spans="1:4" x14ac:dyDescent="0.2">
      <c r="A67" s="10" t="s">
        <v>152</v>
      </c>
      <c r="B67" s="13"/>
      <c r="C67" s="13">
        <v>2</v>
      </c>
      <c r="D67" s="13">
        <v>4</v>
      </c>
    </row>
    <row r="68" spans="1:4" x14ac:dyDescent="0.2">
      <c r="A68" s="10" t="s">
        <v>543</v>
      </c>
      <c r="B68" s="13"/>
      <c r="C68" s="13">
        <v>1</v>
      </c>
      <c r="D68" s="13">
        <v>2</v>
      </c>
    </row>
    <row r="69" spans="1:4" x14ac:dyDescent="0.2">
      <c r="A69" s="32" t="s">
        <v>542</v>
      </c>
      <c r="B69" s="13"/>
      <c r="C69" s="13">
        <v>1</v>
      </c>
      <c r="D69" s="13">
        <v>2</v>
      </c>
    </row>
    <row r="70" spans="1:4" x14ac:dyDescent="0.2">
      <c r="A70" s="10" t="s">
        <v>148</v>
      </c>
      <c r="B70" s="13"/>
      <c r="C70" s="13">
        <v>1</v>
      </c>
      <c r="D70" s="13">
        <v>2</v>
      </c>
    </row>
    <row r="71" spans="1:4" x14ac:dyDescent="0.2">
      <c r="A71" s="10" t="s">
        <v>543</v>
      </c>
      <c r="B71" s="13"/>
      <c r="C71" s="13">
        <v>0</v>
      </c>
      <c r="D71" s="13">
        <v>0</v>
      </c>
    </row>
    <row r="72" spans="1:4" x14ac:dyDescent="0.2">
      <c r="A72" s="32" t="s">
        <v>578</v>
      </c>
      <c r="B72" s="13"/>
      <c r="C72" s="13">
        <v>2</v>
      </c>
      <c r="D72" s="13">
        <v>0</v>
      </c>
    </row>
    <row r="73" spans="1:4" x14ac:dyDescent="0.2">
      <c r="A73" s="10" t="s">
        <v>151</v>
      </c>
      <c r="B73" s="13"/>
      <c r="C73" s="13">
        <v>2</v>
      </c>
      <c r="D73" s="13"/>
    </row>
    <row r="74" spans="1:4" x14ac:dyDescent="0.2">
      <c r="A74" s="10" t="s">
        <v>543</v>
      </c>
      <c r="B74" s="13"/>
      <c r="C74" s="13">
        <v>0</v>
      </c>
      <c r="D74" s="13">
        <v>0</v>
      </c>
    </row>
    <row r="75" spans="1:4" x14ac:dyDescent="0.2">
      <c r="A75" s="32" t="s">
        <v>538</v>
      </c>
      <c r="B75" s="13"/>
      <c r="C75" s="13">
        <v>3</v>
      </c>
      <c r="D75" s="13">
        <v>6</v>
      </c>
    </row>
    <row r="76" spans="1:4" x14ac:dyDescent="0.2">
      <c r="A76" s="10" t="s">
        <v>149</v>
      </c>
      <c r="B76" s="13"/>
      <c r="C76" s="13">
        <v>3</v>
      </c>
      <c r="D76" s="13">
        <v>6</v>
      </c>
    </row>
    <row r="77" spans="1:4" x14ac:dyDescent="0.2">
      <c r="A77" s="9" t="s">
        <v>99</v>
      </c>
      <c r="B77" s="13">
        <v>37</v>
      </c>
      <c r="C77" s="13">
        <v>115</v>
      </c>
      <c r="D77" s="13">
        <v>263</v>
      </c>
    </row>
  </sheetData>
  <phoneticPr fontId="2" type="noConversion"/>
  <conditionalFormatting sqref="J1:O2">
    <cfRule type="expression" dxfId="69" priority="1">
      <formula>ABS(J1-TODAY())&lt;3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7C8CC4-CBA3-45F8-8E9E-D0203A15D05C}">
  <sheetPr codeName="Sheet4">
    <pageSetUpPr autoPageBreaks="0"/>
  </sheetPr>
  <dimension ref="A1:Z57"/>
  <sheetViews>
    <sheetView showGridLines="0" tabSelected="1" zoomScaleNormal="100" workbookViewId="0">
      <pane xSplit="2" ySplit="1" topLeftCell="C26" activePane="bottomRight" state="frozen"/>
      <selection pane="topRight" activeCell="D1" sqref="D1"/>
      <selection pane="bottomLeft" activeCell="A2" sqref="A2"/>
      <selection pane="bottomRight" activeCell="I46" sqref="I46"/>
    </sheetView>
  </sheetViews>
  <sheetFormatPr defaultColWidth="12.625" defaultRowHeight="14.25" x14ac:dyDescent="0.2"/>
  <cols>
    <col min="1" max="1" width="6.5" bestFit="1" customWidth="1"/>
    <col min="2" max="2" width="7.125" bestFit="1" customWidth="1"/>
    <col min="3" max="3" width="17.125" bestFit="1" customWidth="1"/>
    <col min="4" max="12" width="7.25" bestFit="1" customWidth="1"/>
    <col min="13" max="13" width="8.75" bestFit="1" customWidth="1"/>
    <col min="14" max="19" width="7.25" bestFit="1" customWidth="1"/>
    <col min="20" max="20" width="7.75" bestFit="1" customWidth="1"/>
    <col min="21" max="22" width="7.25" bestFit="1" customWidth="1"/>
    <col min="23" max="23" width="7" bestFit="1" customWidth="1"/>
    <col min="24" max="25" width="7.25" bestFit="1" customWidth="1"/>
  </cols>
  <sheetData>
    <row r="1" spans="1:26" ht="42.75" x14ac:dyDescent="0.2">
      <c r="A1" s="30" t="s">
        <v>78</v>
      </c>
      <c r="B1" s="31" t="s">
        <v>185</v>
      </c>
      <c r="C1" s="30" t="s">
        <v>180</v>
      </c>
      <c r="D1" s="21" t="s">
        <v>184</v>
      </c>
      <c r="E1" s="21" t="s">
        <v>393</v>
      </c>
      <c r="F1" s="21" t="s">
        <v>231</v>
      </c>
      <c r="G1" s="21" t="s">
        <v>243</v>
      </c>
      <c r="H1" s="21" t="s">
        <v>260</v>
      </c>
      <c r="I1" s="21" t="s">
        <v>244</v>
      </c>
      <c r="J1" s="21" t="s">
        <v>242</v>
      </c>
      <c r="K1" s="21" t="s">
        <v>245</v>
      </c>
      <c r="L1" s="21" t="s">
        <v>246</v>
      </c>
      <c r="M1" s="21" t="s">
        <v>258</v>
      </c>
      <c r="N1" s="21" t="s">
        <v>247</v>
      </c>
      <c r="O1" s="21" t="s">
        <v>257</v>
      </c>
      <c r="P1" s="21" t="s">
        <v>248</v>
      </c>
      <c r="Q1" s="21" t="s">
        <v>259</v>
      </c>
      <c r="R1" s="21" t="s">
        <v>249</v>
      </c>
      <c r="S1" s="21" t="s">
        <v>250</v>
      </c>
      <c r="T1" s="21" t="s">
        <v>251</v>
      </c>
      <c r="U1" s="21" t="s">
        <v>252</v>
      </c>
      <c r="V1" s="21" t="s">
        <v>253</v>
      </c>
      <c r="W1" s="21" t="s">
        <v>254</v>
      </c>
      <c r="X1" s="21" t="s">
        <v>255</v>
      </c>
      <c r="Y1" s="21" t="s">
        <v>256</v>
      </c>
      <c r="Z1" s="22" t="s">
        <v>232</v>
      </c>
    </row>
    <row r="2" spans="1:26" x14ac:dyDescent="0.2">
      <c r="A2" s="23">
        <v>43744</v>
      </c>
      <c r="B2" s="17" t="s">
        <v>230</v>
      </c>
      <c r="C2" s="48"/>
      <c r="D2" s="19" t="s">
        <v>228</v>
      </c>
      <c r="E2" s="19" t="s">
        <v>228</v>
      </c>
      <c r="F2" s="19" t="s">
        <v>158</v>
      </c>
      <c r="G2" s="19" t="s">
        <v>158</v>
      </c>
      <c r="H2" s="19" t="s">
        <v>183</v>
      </c>
      <c r="I2" s="19" t="s">
        <v>183</v>
      </c>
      <c r="J2" s="19" t="s">
        <v>158</v>
      </c>
      <c r="K2" s="19" t="s">
        <v>158</v>
      </c>
      <c r="L2" s="19" t="s">
        <v>158</v>
      </c>
      <c r="M2" s="19" t="s">
        <v>158</v>
      </c>
      <c r="N2" s="19" t="s">
        <v>158</v>
      </c>
      <c r="O2" s="19" t="s">
        <v>158</v>
      </c>
      <c r="P2" s="19" t="s">
        <v>158</v>
      </c>
      <c r="Q2" s="19" t="s">
        <v>158</v>
      </c>
      <c r="R2" s="19" t="s">
        <v>183</v>
      </c>
      <c r="S2" s="19" t="s">
        <v>183</v>
      </c>
      <c r="T2" s="19" t="s">
        <v>158</v>
      </c>
      <c r="U2" s="19" t="s">
        <v>158</v>
      </c>
      <c r="V2" s="19" t="s">
        <v>158</v>
      </c>
      <c r="W2" s="19" t="s">
        <v>158</v>
      </c>
      <c r="X2" s="19" t="s">
        <v>158</v>
      </c>
      <c r="Y2" s="19" t="s">
        <v>158</v>
      </c>
      <c r="Z2" s="46" t="s">
        <v>158</v>
      </c>
    </row>
    <row r="3" spans="1:26" x14ac:dyDescent="0.2">
      <c r="A3" s="23">
        <v>43744</v>
      </c>
      <c r="B3" s="17" t="s">
        <v>111</v>
      </c>
      <c r="C3" s="48"/>
      <c r="D3" s="19" t="s">
        <v>158</v>
      </c>
      <c r="E3" s="19" t="s">
        <v>158</v>
      </c>
      <c r="F3" s="19" t="s">
        <v>158</v>
      </c>
      <c r="G3" s="19" t="s">
        <v>158</v>
      </c>
      <c r="H3" s="19" t="s">
        <v>183</v>
      </c>
      <c r="I3" s="19" t="s">
        <v>183</v>
      </c>
      <c r="J3" s="19" t="s">
        <v>158</v>
      </c>
      <c r="K3" s="19" t="s">
        <v>158</v>
      </c>
      <c r="L3" s="19" t="s">
        <v>158</v>
      </c>
      <c r="M3" s="19" t="s">
        <v>158</v>
      </c>
      <c r="N3" s="19" t="s">
        <v>158</v>
      </c>
      <c r="O3" s="19" t="s">
        <v>158</v>
      </c>
      <c r="P3" s="19" t="s">
        <v>158</v>
      </c>
      <c r="Q3" s="19" t="s">
        <v>158</v>
      </c>
      <c r="R3" s="19" t="s">
        <v>183</v>
      </c>
      <c r="S3" s="19" t="s">
        <v>183</v>
      </c>
      <c r="T3" s="19" t="s">
        <v>158</v>
      </c>
      <c r="U3" s="19" t="s">
        <v>158</v>
      </c>
      <c r="V3" s="19" t="s">
        <v>158</v>
      </c>
      <c r="W3" s="19" t="s">
        <v>158</v>
      </c>
      <c r="X3" s="19" t="s">
        <v>183</v>
      </c>
      <c r="Y3" s="19" t="s">
        <v>183</v>
      </c>
      <c r="Z3" s="46" t="s">
        <v>158</v>
      </c>
    </row>
    <row r="4" spans="1:26" x14ac:dyDescent="0.2">
      <c r="A4" s="23">
        <v>43744</v>
      </c>
      <c r="B4" s="17" t="s">
        <v>227</v>
      </c>
      <c r="C4" s="48"/>
      <c r="D4" s="19" t="s">
        <v>228</v>
      </c>
      <c r="E4" s="19" t="s">
        <v>158</v>
      </c>
      <c r="F4" s="19" t="s">
        <v>158</v>
      </c>
      <c r="G4" s="19" t="s">
        <v>158</v>
      </c>
      <c r="H4" s="19" t="s">
        <v>183</v>
      </c>
      <c r="I4" s="19" t="s">
        <v>183</v>
      </c>
      <c r="J4" s="19" t="s">
        <v>158</v>
      </c>
      <c r="K4" s="19" t="s">
        <v>158</v>
      </c>
      <c r="L4" s="19" t="s">
        <v>158</v>
      </c>
      <c r="M4" s="19" t="s">
        <v>158</v>
      </c>
      <c r="N4" s="19" t="s">
        <v>158</v>
      </c>
      <c r="O4" s="19" t="s">
        <v>158</v>
      </c>
      <c r="P4" s="19" t="s">
        <v>158</v>
      </c>
      <c r="Q4" s="19" t="s">
        <v>158</v>
      </c>
      <c r="R4" s="19" t="s">
        <v>183</v>
      </c>
      <c r="S4" s="19" t="s">
        <v>183</v>
      </c>
      <c r="T4" s="19" t="s">
        <v>158</v>
      </c>
      <c r="U4" s="19" t="s">
        <v>158</v>
      </c>
      <c r="V4" s="19" t="s">
        <v>158</v>
      </c>
      <c r="W4" s="19" t="s">
        <v>158</v>
      </c>
      <c r="X4" s="19" t="s">
        <v>183</v>
      </c>
      <c r="Y4" s="19" t="s">
        <v>183</v>
      </c>
      <c r="Z4" s="46" t="s">
        <v>158</v>
      </c>
    </row>
    <row r="5" spans="1:26" x14ac:dyDescent="0.2">
      <c r="A5" s="23">
        <v>43744</v>
      </c>
      <c r="B5" s="17" t="s">
        <v>118</v>
      </c>
      <c r="C5" s="48"/>
      <c r="D5" s="19" t="s">
        <v>158</v>
      </c>
      <c r="E5" s="19" t="s">
        <v>158</v>
      </c>
      <c r="F5" s="19" t="s">
        <v>158</v>
      </c>
      <c r="G5" s="19" t="s">
        <v>158</v>
      </c>
      <c r="H5" s="19" t="s">
        <v>183</v>
      </c>
      <c r="I5" s="19" t="s">
        <v>183</v>
      </c>
      <c r="J5" s="19" t="s">
        <v>158</v>
      </c>
      <c r="K5" s="19" t="s">
        <v>158</v>
      </c>
      <c r="L5" s="19" t="s">
        <v>158</v>
      </c>
      <c r="M5" s="19" t="s">
        <v>158</v>
      </c>
      <c r="N5" s="19" t="s">
        <v>158</v>
      </c>
      <c r="O5" s="19" t="s">
        <v>158</v>
      </c>
      <c r="P5" s="19" t="s">
        <v>158</v>
      </c>
      <c r="Q5" s="19" t="s">
        <v>158</v>
      </c>
      <c r="R5" s="19" t="s">
        <v>183</v>
      </c>
      <c r="S5" s="19" t="s">
        <v>183</v>
      </c>
      <c r="T5" s="19" t="s">
        <v>158</v>
      </c>
      <c r="U5" s="19" t="s">
        <v>158</v>
      </c>
      <c r="V5" s="19" t="s">
        <v>158</v>
      </c>
      <c r="W5" s="19" t="s">
        <v>158</v>
      </c>
      <c r="X5" s="19" t="s">
        <v>158</v>
      </c>
      <c r="Y5" s="19" t="s">
        <v>158</v>
      </c>
      <c r="Z5" s="46" t="s">
        <v>158</v>
      </c>
    </row>
    <row r="6" spans="1:26" x14ac:dyDescent="0.2">
      <c r="A6" s="23">
        <v>43747</v>
      </c>
      <c r="B6" s="17" t="s">
        <v>117</v>
      </c>
      <c r="C6" s="48"/>
      <c r="D6" s="19" t="s">
        <v>158</v>
      </c>
      <c r="E6" s="19" t="s">
        <v>158</v>
      </c>
      <c r="F6" s="19" t="s">
        <v>158</v>
      </c>
      <c r="G6" s="19" t="s">
        <v>158</v>
      </c>
      <c r="H6" s="19" t="s">
        <v>183</v>
      </c>
      <c r="I6" s="19" t="s">
        <v>183</v>
      </c>
      <c r="J6" s="19" t="s">
        <v>158</v>
      </c>
      <c r="K6" s="19" t="s">
        <v>158</v>
      </c>
      <c r="L6" s="19" t="s">
        <v>158</v>
      </c>
      <c r="M6" s="19" t="s">
        <v>158</v>
      </c>
      <c r="N6" s="19" t="s">
        <v>158</v>
      </c>
      <c r="O6" s="19" t="s">
        <v>158</v>
      </c>
      <c r="P6" s="19" t="s">
        <v>158</v>
      </c>
      <c r="Q6" s="19" t="s">
        <v>158</v>
      </c>
      <c r="R6" s="19" t="s">
        <v>183</v>
      </c>
      <c r="S6" s="19" t="s">
        <v>183</v>
      </c>
      <c r="T6" s="19" t="s">
        <v>158</v>
      </c>
      <c r="U6" s="19" t="s">
        <v>158</v>
      </c>
      <c r="V6" s="19" t="s">
        <v>158</v>
      </c>
      <c r="W6" s="19" t="s">
        <v>158</v>
      </c>
      <c r="X6" s="19" t="s">
        <v>158</v>
      </c>
      <c r="Y6" s="19" t="s">
        <v>158</v>
      </c>
      <c r="Z6" s="46" t="s">
        <v>158</v>
      </c>
    </row>
    <row r="7" spans="1:26" x14ac:dyDescent="0.2">
      <c r="A7" s="23">
        <v>43747</v>
      </c>
      <c r="B7" s="17" t="s">
        <v>120</v>
      </c>
      <c r="C7" s="48"/>
      <c r="D7" s="19" t="s">
        <v>158</v>
      </c>
      <c r="E7" s="19" t="s">
        <v>158</v>
      </c>
      <c r="F7" s="19" t="s">
        <v>158</v>
      </c>
      <c r="G7" s="19" t="s">
        <v>158</v>
      </c>
      <c r="H7" s="19" t="s">
        <v>183</v>
      </c>
      <c r="I7" s="19" t="s">
        <v>183</v>
      </c>
      <c r="J7" s="19" t="s">
        <v>158</v>
      </c>
      <c r="K7" s="19" t="s">
        <v>158</v>
      </c>
      <c r="L7" s="19" t="s">
        <v>158</v>
      </c>
      <c r="M7" s="19" t="s">
        <v>158</v>
      </c>
      <c r="N7" s="19" t="s">
        <v>158</v>
      </c>
      <c r="O7" s="19" t="s">
        <v>158</v>
      </c>
      <c r="P7" s="19" t="s">
        <v>158</v>
      </c>
      <c r="Q7" s="19" t="s">
        <v>158</v>
      </c>
      <c r="R7" s="19" t="s">
        <v>183</v>
      </c>
      <c r="S7" s="19" t="s">
        <v>183</v>
      </c>
      <c r="T7" s="19" t="s">
        <v>158</v>
      </c>
      <c r="U7" s="19" t="s">
        <v>158</v>
      </c>
      <c r="V7" s="19" t="s">
        <v>158</v>
      </c>
      <c r="W7" s="19" t="s">
        <v>158</v>
      </c>
      <c r="X7" s="19" t="s">
        <v>158</v>
      </c>
      <c r="Y7" s="19" t="s">
        <v>158</v>
      </c>
      <c r="Z7" s="46" t="s">
        <v>158</v>
      </c>
    </row>
    <row r="8" spans="1:26" x14ac:dyDescent="0.2">
      <c r="A8" s="23">
        <v>43747</v>
      </c>
      <c r="B8" s="17" t="s">
        <v>121</v>
      </c>
      <c r="C8" s="48"/>
      <c r="D8" s="19" t="s">
        <v>158</v>
      </c>
      <c r="E8" s="19" t="s">
        <v>158</v>
      </c>
      <c r="F8" s="19" t="s">
        <v>158</v>
      </c>
      <c r="G8" s="19" t="s">
        <v>158</v>
      </c>
      <c r="H8" s="19" t="s">
        <v>183</v>
      </c>
      <c r="I8" s="19" t="s">
        <v>183</v>
      </c>
      <c r="J8" s="19" t="s">
        <v>158</v>
      </c>
      <c r="K8" s="19" t="s">
        <v>158</v>
      </c>
      <c r="L8" s="19" t="s">
        <v>158</v>
      </c>
      <c r="M8" s="19" t="s">
        <v>158</v>
      </c>
      <c r="N8" s="19" t="s">
        <v>158</v>
      </c>
      <c r="O8" s="19" t="s">
        <v>158</v>
      </c>
      <c r="P8" s="19" t="s">
        <v>158</v>
      </c>
      <c r="Q8" s="19" t="s">
        <v>158</v>
      </c>
      <c r="R8" s="19" t="s">
        <v>183</v>
      </c>
      <c r="S8" s="19" t="s">
        <v>183</v>
      </c>
      <c r="T8" s="19" t="s">
        <v>158</v>
      </c>
      <c r="U8" s="19" t="s">
        <v>158</v>
      </c>
      <c r="V8" s="19" t="s">
        <v>158</v>
      </c>
      <c r="W8" s="19" t="s">
        <v>158</v>
      </c>
      <c r="X8" s="19" t="s">
        <v>158</v>
      </c>
      <c r="Y8" s="19" t="s">
        <v>158</v>
      </c>
      <c r="Z8" s="46" t="s">
        <v>158</v>
      </c>
    </row>
    <row r="9" spans="1:26" x14ac:dyDescent="0.2">
      <c r="A9" s="23">
        <v>43747</v>
      </c>
      <c r="B9" s="17" t="s">
        <v>111</v>
      </c>
      <c r="C9" s="48"/>
      <c r="D9" s="19" t="s">
        <v>158</v>
      </c>
      <c r="E9" s="19" t="s">
        <v>158</v>
      </c>
      <c r="F9" s="19" t="s">
        <v>158</v>
      </c>
      <c r="G9" s="19" t="s">
        <v>158</v>
      </c>
      <c r="H9" s="19" t="s">
        <v>158</v>
      </c>
      <c r="I9" s="19" t="s">
        <v>158</v>
      </c>
      <c r="J9" s="19" t="s">
        <v>158</v>
      </c>
      <c r="K9" s="19" t="s">
        <v>158</v>
      </c>
      <c r="L9" s="19" t="s">
        <v>158</v>
      </c>
      <c r="M9" s="19" t="s">
        <v>158</v>
      </c>
      <c r="N9" s="19" t="s">
        <v>158</v>
      </c>
      <c r="O9" s="19" t="s">
        <v>158</v>
      </c>
      <c r="P9" s="19" t="s">
        <v>158</v>
      </c>
      <c r="Q9" s="19" t="s">
        <v>158</v>
      </c>
      <c r="R9" s="19" t="s">
        <v>158</v>
      </c>
      <c r="S9" s="19" t="s">
        <v>158</v>
      </c>
      <c r="T9" s="19" t="s">
        <v>158</v>
      </c>
      <c r="U9" s="19" t="s">
        <v>158</v>
      </c>
      <c r="V9" s="19" t="s">
        <v>158</v>
      </c>
      <c r="W9" s="19" t="s">
        <v>158</v>
      </c>
      <c r="X9" s="19" t="s">
        <v>183</v>
      </c>
      <c r="Y9" s="19" t="s">
        <v>183</v>
      </c>
      <c r="Z9" s="46" t="s">
        <v>158</v>
      </c>
    </row>
    <row r="10" spans="1:26" x14ac:dyDescent="0.2">
      <c r="A10" s="23">
        <v>43747</v>
      </c>
      <c r="B10" s="17" t="s">
        <v>125</v>
      </c>
      <c r="C10" s="48" t="s">
        <v>224</v>
      </c>
      <c r="D10" s="19" t="s">
        <v>158</v>
      </c>
      <c r="E10" s="19" t="s">
        <v>158</v>
      </c>
      <c r="F10" s="19" t="s">
        <v>158</v>
      </c>
      <c r="G10" s="19" t="s">
        <v>158</v>
      </c>
      <c r="H10" s="19" t="s">
        <v>158</v>
      </c>
      <c r="I10" s="19" t="s">
        <v>158</v>
      </c>
      <c r="J10" s="19" t="s">
        <v>158</v>
      </c>
      <c r="K10" s="19" t="s">
        <v>158</v>
      </c>
      <c r="L10" s="19" t="s">
        <v>158</v>
      </c>
      <c r="M10" s="19" t="s">
        <v>158</v>
      </c>
      <c r="N10" s="19" t="s">
        <v>158</v>
      </c>
      <c r="O10" s="19" t="s">
        <v>158</v>
      </c>
      <c r="P10" s="19" t="s">
        <v>158</v>
      </c>
      <c r="Q10" s="19" t="s">
        <v>158</v>
      </c>
      <c r="R10" s="19" t="s">
        <v>158</v>
      </c>
      <c r="S10" s="19" t="s">
        <v>158</v>
      </c>
      <c r="T10" s="19" t="s">
        <v>158</v>
      </c>
      <c r="U10" s="19" t="s">
        <v>158</v>
      </c>
      <c r="V10" s="19" t="s">
        <v>183</v>
      </c>
      <c r="W10" s="19" t="s">
        <v>158</v>
      </c>
      <c r="X10" s="19" t="s">
        <v>183</v>
      </c>
      <c r="Y10" s="19" t="s">
        <v>183</v>
      </c>
      <c r="Z10" s="46" t="s">
        <v>158</v>
      </c>
    </row>
    <row r="11" spans="1:26" x14ac:dyDescent="0.2">
      <c r="A11" s="23">
        <v>43747</v>
      </c>
      <c r="B11" s="17" t="s">
        <v>455</v>
      </c>
      <c r="C11" s="48"/>
      <c r="D11" s="19" t="s">
        <v>158</v>
      </c>
      <c r="E11" s="19" t="s">
        <v>158</v>
      </c>
      <c r="F11" s="19" t="s">
        <v>158</v>
      </c>
      <c r="G11" s="19" t="s">
        <v>158</v>
      </c>
      <c r="H11" s="19" t="s">
        <v>183</v>
      </c>
      <c r="I11" s="19" t="s">
        <v>183</v>
      </c>
      <c r="J11" s="19" t="s">
        <v>158</v>
      </c>
      <c r="K11" s="19" t="s">
        <v>158</v>
      </c>
      <c r="L11" s="19" t="s">
        <v>158</v>
      </c>
      <c r="M11" s="19" t="s">
        <v>158</v>
      </c>
      <c r="N11" s="19" t="s">
        <v>158</v>
      </c>
      <c r="O11" s="19" t="s">
        <v>158</v>
      </c>
      <c r="P11" s="19" t="s">
        <v>158</v>
      </c>
      <c r="Q11" s="19" t="s">
        <v>158</v>
      </c>
      <c r="R11" s="19" t="s">
        <v>183</v>
      </c>
      <c r="S11" s="19" t="s">
        <v>183</v>
      </c>
      <c r="T11" s="19" t="s">
        <v>158</v>
      </c>
      <c r="U11" s="19" t="s">
        <v>158</v>
      </c>
      <c r="V11" s="19" t="s">
        <v>158</v>
      </c>
      <c r="W11" s="19" t="s">
        <v>158</v>
      </c>
      <c r="X11" s="19" t="s">
        <v>183</v>
      </c>
      <c r="Y11" s="19" t="s">
        <v>183</v>
      </c>
      <c r="Z11" s="46" t="s">
        <v>158</v>
      </c>
    </row>
    <row r="12" spans="1:26" x14ac:dyDescent="0.2">
      <c r="A12" s="23">
        <v>43751</v>
      </c>
      <c r="B12" s="17" t="s">
        <v>272</v>
      </c>
      <c r="C12" s="48"/>
      <c r="D12" s="19" t="s">
        <v>158</v>
      </c>
      <c r="E12" s="19" t="s">
        <v>158</v>
      </c>
      <c r="F12" s="19" t="s">
        <v>158</v>
      </c>
      <c r="G12" s="19" t="s">
        <v>158</v>
      </c>
      <c r="H12" s="19" t="s">
        <v>158</v>
      </c>
      <c r="I12" s="19" t="s">
        <v>158</v>
      </c>
      <c r="J12" s="19" t="s">
        <v>158</v>
      </c>
      <c r="K12" s="19" t="s">
        <v>158</v>
      </c>
      <c r="L12" s="19" t="s">
        <v>158</v>
      </c>
      <c r="M12" s="19" t="s">
        <v>158</v>
      </c>
      <c r="N12" s="19" t="s">
        <v>158</v>
      </c>
      <c r="O12" s="19" t="s">
        <v>158</v>
      </c>
      <c r="P12" s="19" t="s">
        <v>158</v>
      </c>
      <c r="Q12" s="19" t="s">
        <v>158</v>
      </c>
      <c r="R12" s="19" t="s">
        <v>158</v>
      </c>
      <c r="S12" s="19" t="s">
        <v>158</v>
      </c>
      <c r="T12" s="19" t="s">
        <v>158</v>
      </c>
      <c r="U12" s="19" t="s">
        <v>158</v>
      </c>
      <c r="V12" s="19" t="s">
        <v>158</v>
      </c>
      <c r="W12" s="19" t="s">
        <v>158</v>
      </c>
      <c r="X12" s="19" t="s">
        <v>158</v>
      </c>
      <c r="Y12" s="19" t="s">
        <v>158</v>
      </c>
      <c r="Z12" s="46" t="s">
        <v>158</v>
      </c>
    </row>
    <row r="13" spans="1:26" x14ac:dyDescent="0.2">
      <c r="A13" s="23">
        <v>43751</v>
      </c>
      <c r="B13" s="17" t="s">
        <v>85</v>
      </c>
      <c r="C13" s="48"/>
      <c r="D13" s="19" t="s">
        <v>158</v>
      </c>
      <c r="E13" s="19" t="s">
        <v>158</v>
      </c>
      <c r="F13" s="19" t="s">
        <v>158</v>
      </c>
      <c r="G13" s="19" t="s">
        <v>158</v>
      </c>
      <c r="H13" s="19" t="s">
        <v>183</v>
      </c>
      <c r="I13" s="19" t="s">
        <v>183</v>
      </c>
      <c r="J13" s="19" t="s">
        <v>158</v>
      </c>
      <c r="K13" s="19" t="s">
        <v>158</v>
      </c>
      <c r="L13" s="19" t="s">
        <v>158</v>
      </c>
      <c r="M13" s="19" t="s">
        <v>158</v>
      </c>
      <c r="N13" s="19" t="s">
        <v>158</v>
      </c>
      <c r="O13" s="19" t="s">
        <v>158</v>
      </c>
      <c r="P13" s="19" t="s">
        <v>158</v>
      </c>
      <c r="Q13" s="19" t="s">
        <v>158</v>
      </c>
      <c r="R13" s="19" t="s">
        <v>183</v>
      </c>
      <c r="S13" s="19" t="s">
        <v>183</v>
      </c>
      <c r="T13" s="19" t="s">
        <v>158</v>
      </c>
      <c r="U13" s="19" t="s">
        <v>158</v>
      </c>
      <c r="V13" s="19" t="s">
        <v>158</v>
      </c>
      <c r="W13" s="19" t="s">
        <v>158</v>
      </c>
      <c r="X13" s="19" t="s">
        <v>157</v>
      </c>
      <c r="Y13" s="19"/>
      <c r="Z13" s="46" t="s">
        <v>600</v>
      </c>
    </row>
    <row r="14" spans="1:26" x14ac:dyDescent="0.2">
      <c r="A14" s="23">
        <v>43751</v>
      </c>
      <c r="B14" s="17" t="s">
        <v>120</v>
      </c>
      <c r="C14" s="48"/>
      <c r="D14" s="19" t="s">
        <v>158</v>
      </c>
      <c r="E14" s="19" t="s">
        <v>158</v>
      </c>
      <c r="F14" s="19" t="s">
        <v>158</v>
      </c>
      <c r="G14" s="19" t="s">
        <v>158</v>
      </c>
      <c r="H14" s="19" t="s">
        <v>183</v>
      </c>
      <c r="I14" s="19" t="s">
        <v>183</v>
      </c>
      <c r="J14" s="19" t="s">
        <v>158</v>
      </c>
      <c r="K14" s="19" t="s">
        <v>158</v>
      </c>
      <c r="L14" s="19" t="s">
        <v>158</v>
      </c>
      <c r="M14" s="19" t="s">
        <v>158</v>
      </c>
      <c r="N14" s="19" t="s">
        <v>158</v>
      </c>
      <c r="O14" s="19" t="s">
        <v>158</v>
      </c>
      <c r="P14" s="19" t="s">
        <v>158</v>
      </c>
      <c r="Q14" s="19" t="s">
        <v>158</v>
      </c>
      <c r="R14" s="19" t="s">
        <v>183</v>
      </c>
      <c r="S14" s="19" t="s">
        <v>183</v>
      </c>
      <c r="T14" s="19" t="s">
        <v>158</v>
      </c>
      <c r="U14" s="19" t="s">
        <v>158</v>
      </c>
      <c r="V14" s="19" t="s">
        <v>158</v>
      </c>
      <c r="W14" s="19" t="s">
        <v>158</v>
      </c>
      <c r="X14" s="19" t="s">
        <v>158</v>
      </c>
      <c r="Y14" s="19" t="s">
        <v>158</v>
      </c>
      <c r="Z14" s="46" t="s">
        <v>158</v>
      </c>
    </row>
    <row r="15" spans="1:26" x14ac:dyDescent="0.2">
      <c r="A15" s="24">
        <v>43751</v>
      </c>
      <c r="B15" s="18" t="s">
        <v>111</v>
      </c>
      <c r="C15" s="49"/>
      <c r="D15" s="20" t="s">
        <v>158</v>
      </c>
      <c r="E15" s="20" t="s">
        <v>158</v>
      </c>
      <c r="F15" s="20" t="s">
        <v>158</v>
      </c>
      <c r="G15" s="19" t="s">
        <v>158</v>
      </c>
      <c r="H15" s="20" t="s">
        <v>158</v>
      </c>
      <c r="I15" s="20" t="s">
        <v>158</v>
      </c>
      <c r="J15" s="20" t="s">
        <v>158</v>
      </c>
      <c r="K15" s="19" t="s">
        <v>158</v>
      </c>
      <c r="L15" s="19" t="s">
        <v>158</v>
      </c>
      <c r="M15" s="19" t="s">
        <v>158</v>
      </c>
      <c r="N15" s="19" t="s">
        <v>158</v>
      </c>
      <c r="O15" s="19" t="s">
        <v>158</v>
      </c>
      <c r="P15" s="19" t="s">
        <v>158</v>
      </c>
      <c r="Q15" s="19" t="s">
        <v>158</v>
      </c>
      <c r="R15" s="20" t="s">
        <v>158</v>
      </c>
      <c r="S15" s="20" t="s">
        <v>158</v>
      </c>
      <c r="T15" s="19" t="s">
        <v>158</v>
      </c>
      <c r="U15" s="19" t="s">
        <v>158</v>
      </c>
      <c r="V15" s="19" t="s">
        <v>158</v>
      </c>
      <c r="W15" s="19" t="s">
        <v>158</v>
      </c>
      <c r="X15" s="19" t="s">
        <v>183</v>
      </c>
      <c r="Y15" s="19" t="s">
        <v>183</v>
      </c>
      <c r="Z15" s="46" t="s">
        <v>158</v>
      </c>
    </row>
    <row r="16" spans="1:26" x14ac:dyDescent="0.2">
      <c r="A16" s="24">
        <v>43751</v>
      </c>
      <c r="B16" s="18" t="s">
        <v>262</v>
      </c>
      <c r="C16" s="49"/>
      <c r="D16" s="20" t="s">
        <v>158</v>
      </c>
      <c r="E16" s="20" t="s">
        <v>158</v>
      </c>
      <c r="F16" s="20" t="s">
        <v>158</v>
      </c>
      <c r="G16" s="20" t="s">
        <v>158</v>
      </c>
      <c r="H16" s="20" t="s">
        <v>183</v>
      </c>
      <c r="I16" s="20" t="s">
        <v>183</v>
      </c>
      <c r="J16" s="20" t="s">
        <v>158</v>
      </c>
      <c r="K16" s="20" t="s">
        <v>158</v>
      </c>
      <c r="L16" s="20" t="s">
        <v>158</v>
      </c>
      <c r="M16" s="20" t="s">
        <v>158</v>
      </c>
      <c r="N16" s="20" t="s">
        <v>158</v>
      </c>
      <c r="O16" s="20" t="s">
        <v>158</v>
      </c>
      <c r="P16" s="20" t="s">
        <v>158</v>
      </c>
      <c r="Q16" s="20" t="s">
        <v>158</v>
      </c>
      <c r="R16" s="20" t="s">
        <v>183</v>
      </c>
      <c r="S16" s="20" t="s">
        <v>183</v>
      </c>
      <c r="T16" s="20" t="s">
        <v>158</v>
      </c>
      <c r="U16" s="19" t="s">
        <v>158</v>
      </c>
      <c r="V16" s="19" t="s">
        <v>158</v>
      </c>
      <c r="W16" s="19" t="s">
        <v>158</v>
      </c>
      <c r="X16" s="19" t="s">
        <v>158</v>
      </c>
      <c r="Y16" s="20" t="s">
        <v>158</v>
      </c>
      <c r="Z16" s="47" t="s">
        <v>158</v>
      </c>
    </row>
    <row r="17" spans="1:26" x14ac:dyDescent="0.2">
      <c r="A17" s="24">
        <v>43754</v>
      </c>
      <c r="B17" s="18" t="s">
        <v>91</v>
      </c>
      <c r="C17" s="49" t="s">
        <v>182</v>
      </c>
      <c r="D17" s="20" t="s">
        <v>158</v>
      </c>
      <c r="E17" s="20" t="s">
        <v>158</v>
      </c>
      <c r="F17" s="20" t="s">
        <v>158</v>
      </c>
      <c r="G17" s="20" t="s">
        <v>158</v>
      </c>
      <c r="H17" s="20" t="s">
        <v>183</v>
      </c>
      <c r="I17" s="20" t="s">
        <v>183</v>
      </c>
      <c r="J17" s="19" t="s">
        <v>158</v>
      </c>
      <c r="K17" s="20" t="s">
        <v>158</v>
      </c>
      <c r="L17" s="19" t="s">
        <v>158</v>
      </c>
      <c r="M17" s="19" t="s">
        <v>158</v>
      </c>
      <c r="N17" s="19" t="s">
        <v>158</v>
      </c>
      <c r="O17" s="19" t="s">
        <v>158</v>
      </c>
      <c r="P17" s="19" t="s">
        <v>158</v>
      </c>
      <c r="Q17" s="19" t="s">
        <v>158</v>
      </c>
      <c r="R17" s="20" t="s">
        <v>183</v>
      </c>
      <c r="S17" s="20" t="s">
        <v>183</v>
      </c>
      <c r="T17" s="19" t="s">
        <v>158</v>
      </c>
      <c r="U17" s="19" t="s">
        <v>158</v>
      </c>
      <c r="V17" s="20" t="s">
        <v>158</v>
      </c>
      <c r="W17" s="20" t="s">
        <v>158</v>
      </c>
      <c r="X17" s="20" t="s">
        <v>158</v>
      </c>
      <c r="Y17" s="20" t="s">
        <v>158</v>
      </c>
      <c r="Z17" s="47" t="s">
        <v>158</v>
      </c>
    </row>
    <row r="18" spans="1:26" x14ac:dyDescent="0.2">
      <c r="A18" s="24">
        <v>43754</v>
      </c>
      <c r="B18" s="18" t="s">
        <v>324</v>
      </c>
      <c r="C18" s="49"/>
      <c r="D18" s="20" t="s">
        <v>158</v>
      </c>
      <c r="E18" s="20" t="s">
        <v>158</v>
      </c>
      <c r="F18" s="20" t="s">
        <v>158</v>
      </c>
      <c r="G18" s="20" t="s">
        <v>158</v>
      </c>
      <c r="H18" s="20" t="s">
        <v>158</v>
      </c>
      <c r="I18" s="20" t="s">
        <v>158</v>
      </c>
      <c r="J18" s="20" t="s">
        <v>158</v>
      </c>
      <c r="K18" s="20" t="s">
        <v>158</v>
      </c>
      <c r="L18" s="20" t="s">
        <v>158</v>
      </c>
      <c r="M18" s="20" t="s">
        <v>158</v>
      </c>
      <c r="N18" s="20" t="s">
        <v>158</v>
      </c>
      <c r="O18" s="20" t="s">
        <v>158</v>
      </c>
      <c r="P18" s="20" t="s">
        <v>158</v>
      </c>
      <c r="Q18" s="20" t="s">
        <v>158</v>
      </c>
      <c r="R18" s="20" t="s">
        <v>158</v>
      </c>
      <c r="S18" s="20" t="s">
        <v>158</v>
      </c>
      <c r="T18" s="20" t="s">
        <v>158</v>
      </c>
      <c r="U18" s="20" t="s">
        <v>158</v>
      </c>
      <c r="V18" s="20" t="s">
        <v>158</v>
      </c>
      <c r="W18" s="20" t="s">
        <v>158</v>
      </c>
      <c r="X18" s="20" t="s">
        <v>158</v>
      </c>
      <c r="Y18" s="20"/>
      <c r="Z18" s="47"/>
    </row>
    <row r="19" spans="1:26" x14ac:dyDescent="0.2">
      <c r="A19" s="24">
        <v>43758</v>
      </c>
      <c r="B19" s="18" t="s">
        <v>117</v>
      </c>
      <c r="C19" s="49" t="s">
        <v>182</v>
      </c>
      <c r="D19" s="20" t="s">
        <v>158</v>
      </c>
      <c r="E19" s="20" t="s">
        <v>158</v>
      </c>
      <c r="F19" s="20" t="s">
        <v>158</v>
      </c>
      <c r="G19" s="20" t="s">
        <v>158</v>
      </c>
      <c r="H19" s="20" t="s">
        <v>183</v>
      </c>
      <c r="I19" s="20" t="s">
        <v>183</v>
      </c>
      <c r="J19" s="20" t="s">
        <v>158</v>
      </c>
      <c r="K19" s="20" t="s">
        <v>158</v>
      </c>
      <c r="L19" s="20" t="s">
        <v>158</v>
      </c>
      <c r="M19" s="20" t="s">
        <v>158</v>
      </c>
      <c r="N19" s="20" t="s">
        <v>158</v>
      </c>
      <c r="O19" s="20" t="s">
        <v>158</v>
      </c>
      <c r="P19" s="20" t="s">
        <v>158</v>
      </c>
      <c r="Q19" s="20" t="s">
        <v>158</v>
      </c>
      <c r="R19" s="20" t="s">
        <v>183</v>
      </c>
      <c r="S19" s="20" t="s">
        <v>183</v>
      </c>
      <c r="T19" s="20" t="s">
        <v>158</v>
      </c>
      <c r="U19" s="20" t="s">
        <v>158</v>
      </c>
      <c r="V19" s="20" t="s">
        <v>158</v>
      </c>
      <c r="W19" s="20" t="s">
        <v>158</v>
      </c>
      <c r="X19" s="19" t="s">
        <v>158</v>
      </c>
      <c r="Y19" s="19" t="s">
        <v>158</v>
      </c>
      <c r="Z19" s="47" t="s">
        <v>158</v>
      </c>
    </row>
    <row r="20" spans="1:26" x14ac:dyDescent="0.2">
      <c r="A20" s="23">
        <v>43758</v>
      </c>
      <c r="B20" s="17" t="s">
        <v>446</v>
      </c>
      <c r="C20" s="48" t="s">
        <v>453</v>
      </c>
      <c r="D20" s="19" t="s">
        <v>158</v>
      </c>
      <c r="E20" s="20" t="s">
        <v>158</v>
      </c>
      <c r="F20" s="20" t="s">
        <v>158</v>
      </c>
      <c r="G20" s="20" t="s">
        <v>158</v>
      </c>
      <c r="H20" s="19" t="s">
        <v>183</v>
      </c>
      <c r="I20" s="19" t="s">
        <v>183</v>
      </c>
      <c r="J20" s="20" t="s">
        <v>572</v>
      </c>
      <c r="K20" s="20" t="s">
        <v>158</v>
      </c>
      <c r="L20" s="20" t="s">
        <v>158</v>
      </c>
      <c r="M20" s="20" t="s">
        <v>572</v>
      </c>
      <c r="N20" s="20" t="s">
        <v>158</v>
      </c>
      <c r="O20" s="20" t="s">
        <v>158</v>
      </c>
      <c r="P20" s="20" t="s">
        <v>158</v>
      </c>
      <c r="Q20" s="20" t="s">
        <v>158</v>
      </c>
      <c r="R20" s="19" t="s">
        <v>183</v>
      </c>
      <c r="S20" s="19" t="s">
        <v>183</v>
      </c>
      <c r="T20" s="20" t="s">
        <v>158</v>
      </c>
      <c r="U20" s="20" t="s">
        <v>158</v>
      </c>
      <c r="V20" s="19" t="s">
        <v>572</v>
      </c>
      <c r="W20" s="20" t="s">
        <v>572</v>
      </c>
      <c r="X20" s="19" t="s">
        <v>157</v>
      </c>
      <c r="Y20" s="19"/>
      <c r="Z20" s="46" t="s">
        <v>572</v>
      </c>
    </row>
    <row r="21" spans="1:26" x14ac:dyDescent="0.2">
      <c r="A21" s="24">
        <v>43758</v>
      </c>
      <c r="B21" s="29" t="s">
        <v>87</v>
      </c>
      <c r="C21" s="49"/>
      <c r="D21" s="19" t="s">
        <v>158</v>
      </c>
      <c r="E21" s="19" t="s">
        <v>158</v>
      </c>
      <c r="F21" s="19" t="s">
        <v>158</v>
      </c>
      <c r="G21" s="19" t="s">
        <v>158</v>
      </c>
      <c r="H21" s="19" t="s">
        <v>183</v>
      </c>
      <c r="I21" s="19" t="s">
        <v>183</v>
      </c>
      <c r="J21" s="19" t="s">
        <v>158</v>
      </c>
      <c r="K21" s="19" t="s">
        <v>158</v>
      </c>
      <c r="L21" s="19" t="s">
        <v>158</v>
      </c>
      <c r="M21" s="19" t="s">
        <v>158</v>
      </c>
      <c r="N21" s="19" t="s">
        <v>158</v>
      </c>
      <c r="O21" s="19" t="s">
        <v>158</v>
      </c>
      <c r="P21" s="19" t="s">
        <v>158</v>
      </c>
      <c r="Q21" s="19" t="s">
        <v>158</v>
      </c>
      <c r="R21" s="19" t="s">
        <v>183</v>
      </c>
      <c r="S21" s="19" t="s">
        <v>183</v>
      </c>
      <c r="T21" s="19" t="s">
        <v>158</v>
      </c>
      <c r="U21" s="19" t="s">
        <v>158</v>
      </c>
      <c r="V21" s="19" t="s">
        <v>158</v>
      </c>
      <c r="W21" s="20" t="s">
        <v>158</v>
      </c>
      <c r="X21" s="20" t="s">
        <v>158</v>
      </c>
      <c r="Y21" s="20" t="s">
        <v>157</v>
      </c>
      <c r="Z21" s="47" t="s">
        <v>157</v>
      </c>
    </row>
    <row r="22" spans="1:26" x14ac:dyDescent="0.2">
      <c r="A22" s="24">
        <v>43758</v>
      </c>
      <c r="B22" s="29" t="s">
        <v>87</v>
      </c>
      <c r="C22" s="49" t="s">
        <v>486</v>
      </c>
      <c r="D22" s="19" t="s">
        <v>158</v>
      </c>
      <c r="E22" s="19" t="s">
        <v>158</v>
      </c>
      <c r="F22" s="19" t="s">
        <v>158</v>
      </c>
      <c r="G22" s="19" t="s">
        <v>158</v>
      </c>
      <c r="H22" s="20" t="s">
        <v>183</v>
      </c>
      <c r="I22" s="20" t="s">
        <v>183</v>
      </c>
      <c r="J22" s="19" t="s">
        <v>158</v>
      </c>
      <c r="K22" s="19" t="s">
        <v>158</v>
      </c>
      <c r="L22" s="19" t="s">
        <v>158</v>
      </c>
      <c r="M22" s="19" t="s">
        <v>158</v>
      </c>
      <c r="N22" s="19" t="s">
        <v>158</v>
      </c>
      <c r="O22" s="19" t="s">
        <v>158</v>
      </c>
      <c r="P22" s="19" t="s">
        <v>158</v>
      </c>
      <c r="Q22" s="19" t="s">
        <v>158</v>
      </c>
      <c r="R22" s="20" t="s">
        <v>183</v>
      </c>
      <c r="S22" s="20" t="s">
        <v>183</v>
      </c>
      <c r="T22" s="19" t="s">
        <v>158</v>
      </c>
      <c r="U22" s="19" t="s">
        <v>158</v>
      </c>
      <c r="V22" s="19" t="s">
        <v>158</v>
      </c>
      <c r="W22" s="19" t="s">
        <v>158</v>
      </c>
      <c r="X22" s="19" t="s">
        <v>158</v>
      </c>
      <c r="Y22" s="19" t="s">
        <v>157</v>
      </c>
      <c r="Z22" s="47" t="s">
        <v>157</v>
      </c>
    </row>
    <row r="23" spans="1:26" x14ac:dyDescent="0.2">
      <c r="A23" s="24">
        <v>43758</v>
      </c>
      <c r="B23" s="18" t="s">
        <v>121</v>
      </c>
      <c r="C23" s="49"/>
      <c r="D23" s="19" t="s">
        <v>158</v>
      </c>
      <c r="E23" s="19" t="s">
        <v>158</v>
      </c>
      <c r="F23" s="19" t="s">
        <v>158</v>
      </c>
      <c r="G23" s="19" t="s">
        <v>158</v>
      </c>
      <c r="H23" s="19" t="s">
        <v>183</v>
      </c>
      <c r="I23" s="19" t="s">
        <v>183</v>
      </c>
      <c r="J23" s="19" t="s">
        <v>158</v>
      </c>
      <c r="K23" s="19" t="s">
        <v>158</v>
      </c>
      <c r="L23" s="19" t="s">
        <v>158</v>
      </c>
      <c r="M23" s="19" t="s">
        <v>158</v>
      </c>
      <c r="N23" s="19" t="s">
        <v>158</v>
      </c>
      <c r="O23" s="19" t="s">
        <v>158</v>
      </c>
      <c r="P23" s="19" t="s">
        <v>158</v>
      </c>
      <c r="Q23" s="20" t="s">
        <v>158</v>
      </c>
      <c r="R23" s="19" t="s">
        <v>183</v>
      </c>
      <c r="S23" s="19" t="s">
        <v>183</v>
      </c>
      <c r="T23" s="19" t="s">
        <v>158</v>
      </c>
      <c r="U23" s="19" t="s">
        <v>158</v>
      </c>
      <c r="V23" s="19" t="s">
        <v>158</v>
      </c>
      <c r="W23" s="19" t="s">
        <v>158</v>
      </c>
      <c r="X23" s="19" t="s">
        <v>158</v>
      </c>
      <c r="Y23" s="19" t="s">
        <v>158</v>
      </c>
      <c r="Z23" s="46" t="s">
        <v>158</v>
      </c>
    </row>
    <row r="24" spans="1:26" x14ac:dyDescent="0.2">
      <c r="A24" s="24">
        <v>43758</v>
      </c>
      <c r="B24" s="18" t="s">
        <v>271</v>
      </c>
      <c r="C24" s="49"/>
      <c r="D24" s="19" t="s">
        <v>158</v>
      </c>
      <c r="E24" s="20" t="s">
        <v>158</v>
      </c>
      <c r="F24" s="19" t="s">
        <v>158</v>
      </c>
      <c r="G24" s="19" t="s">
        <v>158</v>
      </c>
      <c r="H24" s="19" t="s">
        <v>183</v>
      </c>
      <c r="I24" s="19" t="s">
        <v>183</v>
      </c>
      <c r="J24" s="20" t="s">
        <v>158</v>
      </c>
      <c r="K24" s="19" t="s">
        <v>158</v>
      </c>
      <c r="L24" s="19" t="s">
        <v>158</v>
      </c>
      <c r="M24" s="20" t="s">
        <v>158</v>
      </c>
      <c r="N24" s="19" t="s">
        <v>158</v>
      </c>
      <c r="O24" s="19" t="s">
        <v>158</v>
      </c>
      <c r="P24" s="19" t="s">
        <v>158</v>
      </c>
      <c r="Q24" s="19" t="s">
        <v>158</v>
      </c>
      <c r="R24" s="19" t="s">
        <v>183</v>
      </c>
      <c r="S24" s="19" t="s">
        <v>183</v>
      </c>
      <c r="T24" s="19" t="s">
        <v>158</v>
      </c>
      <c r="U24" s="19" t="s">
        <v>158</v>
      </c>
      <c r="V24" s="20" t="s">
        <v>183</v>
      </c>
      <c r="W24" s="20" t="s">
        <v>158</v>
      </c>
      <c r="X24" s="20" t="s">
        <v>183</v>
      </c>
      <c r="Y24" s="20" t="s">
        <v>183</v>
      </c>
      <c r="Z24" s="46" t="s">
        <v>158</v>
      </c>
    </row>
    <row r="25" spans="1:26" x14ac:dyDescent="0.2">
      <c r="A25" s="24">
        <v>43758</v>
      </c>
      <c r="B25" s="18" t="s">
        <v>421</v>
      </c>
      <c r="C25" s="49"/>
      <c r="D25" s="19" t="s">
        <v>422</v>
      </c>
      <c r="E25" s="20" t="s">
        <v>158</v>
      </c>
      <c r="F25" s="20" t="s">
        <v>158</v>
      </c>
      <c r="G25" s="20" t="s">
        <v>158</v>
      </c>
      <c r="H25" s="19" t="s">
        <v>183</v>
      </c>
      <c r="I25" s="19" t="s">
        <v>183</v>
      </c>
      <c r="J25" s="20" t="s">
        <v>158</v>
      </c>
      <c r="K25" s="20" t="s">
        <v>158</v>
      </c>
      <c r="L25" s="20" t="s">
        <v>158</v>
      </c>
      <c r="M25" s="20" t="s">
        <v>158</v>
      </c>
      <c r="N25" s="20" t="s">
        <v>158</v>
      </c>
      <c r="O25" s="20" t="s">
        <v>158</v>
      </c>
      <c r="P25" s="20" t="s">
        <v>158</v>
      </c>
      <c r="Q25" s="20" t="s">
        <v>158</v>
      </c>
      <c r="R25" s="19" t="s">
        <v>183</v>
      </c>
      <c r="S25" s="19" t="s">
        <v>183</v>
      </c>
      <c r="T25" s="20" t="s">
        <v>158</v>
      </c>
      <c r="U25" s="19" t="s">
        <v>158</v>
      </c>
      <c r="V25" s="20" t="s">
        <v>158</v>
      </c>
      <c r="W25" s="20" t="s">
        <v>158</v>
      </c>
      <c r="X25" s="20" t="s">
        <v>158</v>
      </c>
      <c r="Y25" s="20"/>
      <c r="Z25" s="47" t="s">
        <v>157</v>
      </c>
    </row>
    <row r="26" spans="1:26" x14ac:dyDescent="0.2">
      <c r="A26" s="24">
        <v>43758</v>
      </c>
      <c r="B26" s="18" t="s">
        <v>324</v>
      </c>
      <c r="C26" s="49"/>
      <c r="D26" s="19" t="s">
        <v>158</v>
      </c>
      <c r="E26" s="19" t="s">
        <v>158</v>
      </c>
      <c r="F26" s="19" t="s">
        <v>158</v>
      </c>
      <c r="G26" s="20" t="s">
        <v>158</v>
      </c>
      <c r="H26" s="19" t="s">
        <v>158</v>
      </c>
      <c r="I26" s="19" t="s">
        <v>158</v>
      </c>
      <c r="J26" s="20" t="s">
        <v>158</v>
      </c>
      <c r="K26" s="20" t="s">
        <v>158</v>
      </c>
      <c r="L26" s="20" t="s">
        <v>158</v>
      </c>
      <c r="M26" s="20" t="s">
        <v>158</v>
      </c>
      <c r="N26" s="20" t="s">
        <v>158</v>
      </c>
      <c r="O26" s="20" t="s">
        <v>158</v>
      </c>
      <c r="P26" s="20" t="s">
        <v>158</v>
      </c>
      <c r="Q26" s="20" t="s">
        <v>158</v>
      </c>
      <c r="R26" s="19" t="s">
        <v>158</v>
      </c>
      <c r="S26" s="19" t="s">
        <v>158</v>
      </c>
      <c r="T26" s="20" t="s">
        <v>158</v>
      </c>
      <c r="U26" s="20" t="s">
        <v>158</v>
      </c>
      <c r="V26" s="20" t="s">
        <v>158</v>
      </c>
      <c r="W26" s="20" t="s">
        <v>158</v>
      </c>
      <c r="X26" s="20" t="s">
        <v>158</v>
      </c>
      <c r="Y26" s="20"/>
      <c r="Z26" s="47"/>
    </row>
    <row r="27" spans="1:26" x14ac:dyDescent="0.2">
      <c r="A27" s="24">
        <v>43761</v>
      </c>
      <c r="B27" s="18" t="s">
        <v>395</v>
      </c>
      <c r="C27" s="49"/>
      <c r="D27" s="19" t="s">
        <v>158</v>
      </c>
      <c r="E27" s="19" t="s">
        <v>158</v>
      </c>
      <c r="F27" s="19" t="s">
        <v>158</v>
      </c>
      <c r="G27" s="19" t="s">
        <v>158</v>
      </c>
      <c r="H27" s="19" t="s">
        <v>183</v>
      </c>
      <c r="I27" s="19" t="s">
        <v>183</v>
      </c>
      <c r="J27" s="19" t="s">
        <v>158</v>
      </c>
      <c r="K27" s="19" t="s">
        <v>158</v>
      </c>
      <c r="L27" s="19" t="s">
        <v>158</v>
      </c>
      <c r="M27" s="19" t="s">
        <v>158</v>
      </c>
      <c r="N27" s="19" t="s">
        <v>158</v>
      </c>
      <c r="O27" s="19" t="s">
        <v>158</v>
      </c>
      <c r="P27" s="19" t="s">
        <v>158</v>
      </c>
      <c r="Q27" s="19" t="s">
        <v>158</v>
      </c>
      <c r="R27" s="19" t="s">
        <v>183</v>
      </c>
      <c r="S27" s="19" t="s">
        <v>183</v>
      </c>
      <c r="T27" s="19" t="s">
        <v>158</v>
      </c>
      <c r="U27" s="19" t="s">
        <v>158</v>
      </c>
      <c r="V27" s="19" t="s">
        <v>158</v>
      </c>
      <c r="W27" s="19" t="s">
        <v>158</v>
      </c>
      <c r="X27" s="19" t="s">
        <v>158</v>
      </c>
      <c r="Y27" s="19" t="s">
        <v>157</v>
      </c>
      <c r="Z27" s="47" t="s">
        <v>157</v>
      </c>
    </row>
    <row r="28" spans="1:26" x14ac:dyDescent="0.2">
      <c r="A28" s="24">
        <v>43761</v>
      </c>
      <c r="B28" s="18" t="s">
        <v>446</v>
      </c>
      <c r="C28" s="49"/>
      <c r="D28" s="19" t="s">
        <v>158</v>
      </c>
      <c r="E28" s="19" t="s">
        <v>158</v>
      </c>
      <c r="F28" s="20" t="s">
        <v>158</v>
      </c>
      <c r="G28" s="19" t="s">
        <v>158</v>
      </c>
      <c r="H28" s="19" t="s">
        <v>158</v>
      </c>
      <c r="I28" s="19" t="s">
        <v>158</v>
      </c>
      <c r="J28" s="19" t="s">
        <v>158</v>
      </c>
      <c r="K28" s="19" t="s">
        <v>158</v>
      </c>
      <c r="L28" s="19" t="s">
        <v>158</v>
      </c>
      <c r="M28" s="19" t="s">
        <v>158</v>
      </c>
      <c r="N28" s="19" t="s">
        <v>158</v>
      </c>
      <c r="O28" s="19" t="s">
        <v>158</v>
      </c>
      <c r="P28" s="19" t="s">
        <v>158</v>
      </c>
      <c r="Q28" s="19" t="s">
        <v>158</v>
      </c>
      <c r="R28" s="19" t="s">
        <v>158</v>
      </c>
      <c r="S28" s="19" t="s">
        <v>158</v>
      </c>
      <c r="T28" s="19" t="s">
        <v>158</v>
      </c>
      <c r="U28" s="19" t="s">
        <v>158</v>
      </c>
      <c r="V28" s="19" t="s">
        <v>158</v>
      </c>
      <c r="W28" s="19" t="s">
        <v>158</v>
      </c>
      <c r="X28" s="19" t="s">
        <v>157</v>
      </c>
      <c r="Y28" s="19"/>
      <c r="Z28" s="47" t="s">
        <v>600</v>
      </c>
    </row>
    <row r="29" spans="1:26" x14ac:dyDescent="0.2">
      <c r="A29" s="24">
        <v>43761</v>
      </c>
      <c r="B29" s="18" t="s">
        <v>310</v>
      </c>
      <c r="C29" s="49">
        <v>4400</v>
      </c>
      <c r="D29" s="19" t="s">
        <v>158</v>
      </c>
      <c r="E29" s="19" t="s">
        <v>158</v>
      </c>
      <c r="F29" s="19" t="s">
        <v>158</v>
      </c>
      <c r="G29" s="20" t="s">
        <v>158</v>
      </c>
      <c r="H29" s="19" t="s">
        <v>183</v>
      </c>
      <c r="I29" s="19" t="s">
        <v>183</v>
      </c>
      <c r="J29" s="20" t="s">
        <v>158</v>
      </c>
      <c r="K29" s="20" t="s">
        <v>158</v>
      </c>
      <c r="L29" s="20" t="s">
        <v>158</v>
      </c>
      <c r="M29" s="20" t="s">
        <v>158</v>
      </c>
      <c r="N29" s="20" t="s">
        <v>158</v>
      </c>
      <c r="O29" s="20" t="s">
        <v>158</v>
      </c>
      <c r="P29" s="20" t="s">
        <v>158</v>
      </c>
      <c r="Q29" s="20" t="s">
        <v>158</v>
      </c>
      <c r="R29" s="19" t="s">
        <v>183</v>
      </c>
      <c r="S29" s="19" t="s">
        <v>183</v>
      </c>
      <c r="T29" s="20" t="s">
        <v>158</v>
      </c>
      <c r="U29" s="20" t="s">
        <v>158</v>
      </c>
      <c r="V29" s="20" t="s">
        <v>158</v>
      </c>
      <c r="W29" s="20" t="s">
        <v>158</v>
      </c>
      <c r="X29" s="20" t="s">
        <v>158</v>
      </c>
      <c r="Y29" s="20" t="s">
        <v>157</v>
      </c>
      <c r="Z29" s="47" t="s">
        <v>157</v>
      </c>
    </row>
    <row r="30" spans="1:26" x14ac:dyDescent="0.2">
      <c r="A30" s="24">
        <v>43761</v>
      </c>
      <c r="B30" s="18" t="s">
        <v>87</v>
      </c>
      <c r="C30" s="49">
        <v>4402</v>
      </c>
      <c r="D30" s="19" t="s">
        <v>158</v>
      </c>
      <c r="E30" s="19" t="s">
        <v>158</v>
      </c>
      <c r="F30" s="19" t="s">
        <v>158</v>
      </c>
      <c r="G30" s="20" t="s">
        <v>158</v>
      </c>
      <c r="H30" s="19" t="s">
        <v>183</v>
      </c>
      <c r="I30" s="19" t="s">
        <v>183</v>
      </c>
      <c r="J30" s="20" t="s">
        <v>158</v>
      </c>
      <c r="K30" s="20" t="s">
        <v>158</v>
      </c>
      <c r="L30" s="20" t="s">
        <v>158</v>
      </c>
      <c r="M30" s="20" t="s">
        <v>158</v>
      </c>
      <c r="N30" s="20" t="s">
        <v>158</v>
      </c>
      <c r="O30" s="20" t="s">
        <v>158</v>
      </c>
      <c r="P30" s="20" t="s">
        <v>158</v>
      </c>
      <c r="Q30" s="20" t="s">
        <v>158</v>
      </c>
      <c r="R30" s="19" t="s">
        <v>183</v>
      </c>
      <c r="S30" s="19" t="s">
        <v>183</v>
      </c>
      <c r="T30" s="20" t="s">
        <v>158</v>
      </c>
      <c r="U30" s="20" t="s">
        <v>158</v>
      </c>
      <c r="V30" s="20" t="s">
        <v>158</v>
      </c>
      <c r="W30" s="20" t="s">
        <v>158</v>
      </c>
      <c r="X30" s="20" t="s">
        <v>158</v>
      </c>
      <c r="Y30" s="20" t="s">
        <v>157</v>
      </c>
      <c r="Z30" s="47" t="s">
        <v>157</v>
      </c>
    </row>
    <row r="31" spans="1:26" x14ac:dyDescent="0.2">
      <c r="A31" s="24">
        <v>43761</v>
      </c>
      <c r="B31" s="18" t="s">
        <v>398</v>
      </c>
      <c r="C31" s="49"/>
      <c r="D31" s="20" t="s">
        <v>158</v>
      </c>
      <c r="E31" s="20" t="s">
        <v>158</v>
      </c>
      <c r="F31" s="20" t="s">
        <v>158</v>
      </c>
      <c r="G31" s="19" t="s">
        <v>158</v>
      </c>
      <c r="H31" s="19" t="s">
        <v>183</v>
      </c>
      <c r="I31" s="19" t="s">
        <v>183</v>
      </c>
      <c r="J31" s="20" t="s">
        <v>158</v>
      </c>
      <c r="K31" s="20" t="s">
        <v>158</v>
      </c>
      <c r="L31" s="20" t="s">
        <v>158</v>
      </c>
      <c r="M31" s="20" t="s">
        <v>158</v>
      </c>
      <c r="N31" s="20" t="s">
        <v>158</v>
      </c>
      <c r="O31" s="20" t="s">
        <v>158</v>
      </c>
      <c r="P31" s="20" t="s">
        <v>158</v>
      </c>
      <c r="Q31" s="20" t="s">
        <v>158</v>
      </c>
      <c r="R31" s="19" t="s">
        <v>183</v>
      </c>
      <c r="S31" s="19" t="s">
        <v>183</v>
      </c>
      <c r="T31" s="20" t="s">
        <v>158</v>
      </c>
      <c r="U31" s="20" t="s">
        <v>158</v>
      </c>
      <c r="V31" s="20" t="s">
        <v>158</v>
      </c>
      <c r="W31" s="20" t="s">
        <v>158</v>
      </c>
      <c r="X31" s="20" t="s">
        <v>183</v>
      </c>
      <c r="Y31" s="20" t="s">
        <v>183</v>
      </c>
      <c r="Z31" s="47" t="s">
        <v>157</v>
      </c>
    </row>
    <row r="32" spans="1:26" x14ac:dyDescent="0.2">
      <c r="A32" s="24">
        <v>43761</v>
      </c>
      <c r="B32" s="18" t="s">
        <v>83</v>
      </c>
      <c r="C32" s="49"/>
      <c r="D32" s="19" t="s">
        <v>158</v>
      </c>
      <c r="E32" s="19" t="s">
        <v>158</v>
      </c>
      <c r="F32" s="19" t="s">
        <v>158</v>
      </c>
      <c r="G32" s="20" t="s">
        <v>158</v>
      </c>
      <c r="H32" s="19" t="s">
        <v>183</v>
      </c>
      <c r="I32" s="19" t="s">
        <v>183</v>
      </c>
      <c r="J32" s="20" t="s">
        <v>158</v>
      </c>
      <c r="K32" s="20" t="s">
        <v>158</v>
      </c>
      <c r="L32" s="20" t="s">
        <v>158</v>
      </c>
      <c r="M32" s="20" t="s">
        <v>158</v>
      </c>
      <c r="N32" s="20" t="s">
        <v>158</v>
      </c>
      <c r="O32" s="20" t="s">
        <v>158</v>
      </c>
      <c r="P32" s="20" t="s">
        <v>158</v>
      </c>
      <c r="Q32" s="20" t="s">
        <v>158</v>
      </c>
      <c r="R32" s="19" t="s">
        <v>183</v>
      </c>
      <c r="S32" s="19" t="s">
        <v>183</v>
      </c>
      <c r="T32" s="20" t="s">
        <v>158</v>
      </c>
      <c r="U32" s="20" t="s">
        <v>158</v>
      </c>
      <c r="V32" s="20" t="s">
        <v>158</v>
      </c>
      <c r="W32" s="20" t="s">
        <v>158</v>
      </c>
      <c r="X32" s="20" t="s">
        <v>183</v>
      </c>
      <c r="Y32" s="20" t="s">
        <v>183</v>
      </c>
      <c r="Z32" s="47" t="s">
        <v>157</v>
      </c>
    </row>
    <row r="33" spans="1:26" x14ac:dyDescent="0.2">
      <c r="A33" s="24">
        <v>43765</v>
      </c>
      <c r="B33" s="18" t="s">
        <v>395</v>
      </c>
      <c r="C33" s="49"/>
      <c r="D33" s="19" t="s">
        <v>158</v>
      </c>
      <c r="E33" s="20" t="s">
        <v>158</v>
      </c>
      <c r="F33" s="20" t="s">
        <v>158</v>
      </c>
      <c r="G33" s="20" t="s">
        <v>158</v>
      </c>
      <c r="H33" s="19" t="s">
        <v>183</v>
      </c>
      <c r="I33" s="19" t="s">
        <v>183</v>
      </c>
      <c r="J33" s="20" t="s">
        <v>157</v>
      </c>
      <c r="K33" s="20" t="s">
        <v>157</v>
      </c>
      <c r="L33" s="20" t="s">
        <v>157</v>
      </c>
      <c r="M33" s="20" t="s">
        <v>157</v>
      </c>
      <c r="N33" s="20" t="s">
        <v>157</v>
      </c>
      <c r="O33" s="20" t="s">
        <v>157</v>
      </c>
      <c r="P33" s="20" t="s">
        <v>157</v>
      </c>
      <c r="Q33" s="20" t="s">
        <v>157</v>
      </c>
      <c r="R33" s="19" t="s">
        <v>183</v>
      </c>
      <c r="S33" s="19" t="s">
        <v>183</v>
      </c>
      <c r="T33" s="20" t="s">
        <v>157</v>
      </c>
      <c r="U33" s="20" t="s">
        <v>157</v>
      </c>
      <c r="V33" s="20" t="s">
        <v>157</v>
      </c>
      <c r="W33" s="20" t="s">
        <v>157</v>
      </c>
      <c r="X33" s="20" t="s">
        <v>157</v>
      </c>
      <c r="Y33" s="20"/>
      <c r="Z33" s="47"/>
    </row>
    <row r="34" spans="1:26" x14ac:dyDescent="0.2">
      <c r="A34" s="24">
        <v>43765</v>
      </c>
      <c r="B34" s="18" t="s">
        <v>503</v>
      </c>
      <c r="C34" s="49"/>
      <c r="D34" s="20" t="s">
        <v>158</v>
      </c>
      <c r="E34" s="20" t="s">
        <v>158</v>
      </c>
      <c r="F34" s="20" t="s">
        <v>158</v>
      </c>
      <c r="G34" s="19" t="s">
        <v>158</v>
      </c>
      <c r="H34" s="19" t="s">
        <v>158</v>
      </c>
      <c r="I34" s="19" t="s">
        <v>158</v>
      </c>
      <c r="J34" s="20" t="s">
        <v>157</v>
      </c>
      <c r="K34" s="20" t="s">
        <v>157</v>
      </c>
      <c r="L34" s="20" t="s">
        <v>157</v>
      </c>
      <c r="M34" s="20" t="s">
        <v>157</v>
      </c>
      <c r="N34" s="20" t="s">
        <v>157</v>
      </c>
      <c r="O34" s="20" t="s">
        <v>157</v>
      </c>
      <c r="P34" s="20" t="s">
        <v>157</v>
      </c>
      <c r="Q34" s="20" t="s">
        <v>157</v>
      </c>
      <c r="R34" s="19" t="s">
        <v>157</v>
      </c>
      <c r="S34" s="19" t="s">
        <v>157</v>
      </c>
      <c r="T34" s="20" t="s">
        <v>157</v>
      </c>
      <c r="U34" s="20" t="s">
        <v>157</v>
      </c>
      <c r="V34" s="20" t="s">
        <v>157</v>
      </c>
      <c r="W34" s="20" t="s">
        <v>157</v>
      </c>
      <c r="X34" s="20" t="s">
        <v>157</v>
      </c>
      <c r="Y34" s="20"/>
      <c r="Z34" s="47"/>
    </row>
    <row r="35" spans="1:26" x14ac:dyDescent="0.2">
      <c r="A35" s="24">
        <v>43765</v>
      </c>
      <c r="B35" s="18" t="s">
        <v>85</v>
      </c>
      <c r="C35" s="49" t="s">
        <v>607</v>
      </c>
      <c r="D35" s="19" t="s">
        <v>157</v>
      </c>
      <c r="E35" s="19" t="s">
        <v>157</v>
      </c>
      <c r="F35" s="20" t="s">
        <v>157</v>
      </c>
      <c r="G35" s="20" t="s">
        <v>157</v>
      </c>
      <c r="H35" s="19" t="s">
        <v>572</v>
      </c>
      <c r="I35" s="19" t="s">
        <v>572</v>
      </c>
      <c r="J35" s="19" t="s">
        <v>157</v>
      </c>
      <c r="K35" s="20" t="s">
        <v>157</v>
      </c>
      <c r="L35" s="19" t="s">
        <v>157</v>
      </c>
      <c r="M35" s="19" t="s">
        <v>157</v>
      </c>
      <c r="N35" s="19" t="s">
        <v>157</v>
      </c>
      <c r="O35" s="19" t="s">
        <v>157</v>
      </c>
      <c r="P35" s="19" t="s">
        <v>157</v>
      </c>
      <c r="Q35" s="19" t="s">
        <v>157</v>
      </c>
      <c r="R35" s="19" t="s">
        <v>572</v>
      </c>
      <c r="S35" s="19" t="s">
        <v>572</v>
      </c>
      <c r="T35" s="19" t="s">
        <v>157</v>
      </c>
      <c r="U35" s="20" t="s">
        <v>157</v>
      </c>
      <c r="V35" s="20" t="s">
        <v>157</v>
      </c>
      <c r="W35" s="19" t="s">
        <v>157</v>
      </c>
      <c r="X35" s="20" t="s">
        <v>157</v>
      </c>
      <c r="Y35" s="20"/>
      <c r="Z35" s="47" t="s">
        <v>157</v>
      </c>
    </row>
    <row r="36" spans="1:26" x14ac:dyDescent="0.2">
      <c r="A36" s="24">
        <v>43765</v>
      </c>
      <c r="B36" s="18" t="s">
        <v>87</v>
      </c>
      <c r="C36" s="49"/>
      <c r="D36" s="19" t="s">
        <v>158</v>
      </c>
      <c r="E36" s="19" t="s">
        <v>158</v>
      </c>
      <c r="F36" s="20" t="s">
        <v>158</v>
      </c>
      <c r="G36" s="20" t="s">
        <v>158</v>
      </c>
      <c r="H36" s="20" t="s">
        <v>183</v>
      </c>
      <c r="I36" s="20" t="s">
        <v>183</v>
      </c>
      <c r="J36" s="20" t="s">
        <v>158</v>
      </c>
      <c r="K36" s="20" t="s">
        <v>158</v>
      </c>
      <c r="L36" s="20" t="s">
        <v>158</v>
      </c>
      <c r="M36" s="20" t="s">
        <v>158</v>
      </c>
      <c r="N36" s="20" t="s">
        <v>158</v>
      </c>
      <c r="O36" s="20" t="s">
        <v>158</v>
      </c>
      <c r="P36" s="20" t="s">
        <v>158</v>
      </c>
      <c r="Q36" s="20" t="s">
        <v>158</v>
      </c>
      <c r="R36" s="20" t="s">
        <v>183</v>
      </c>
      <c r="S36" s="20" t="s">
        <v>183</v>
      </c>
      <c r="T36" s="20" t="s">
        <v>158</v>
      </c>
      <c r="U36" s="20" t="s">
        <v>157</v>
      </c>
      <c r="V36" s="20" t="s">
        <v>157</v>
      </c>
      <c r="W36" s="20" t="s">
        <v>158</v>
      </c>
      <c r="X36" s="20" t="s">
        <v>157</v>
      </c>
      <c r="Y36" s="20"/>
      <c r="Z36" s="47"/>
    </row>
    <row r="37" spans="1:26" x14ac:dyDescent="0.2">
      <c r="A37" s="24">
        <v>43765</v>
      </c>
      <c r="B37" s="18" t="s">
        <v>414</v>
      </c>
      <c r="C37" s="49"/>
      <c r="D37" s="20" t="s">
        <v>158</v>
      </c>
      <c r="E37" s="20" t="s">
        <v>158</v>
      </c>
      <c r="F37" s="20" t="s">
        <v>158</v>
      </c>
      <c r="G37" s="19" t="s">
        <v>158</v>
      </c>
      <c r="H37" s="19" t="s">
        <v>183</v>
      </c>
      <c r="I37" s="19" t="s">
        <v>183</v>
      </c>
      <c r="J37" s="19" t="s">
        <v>158</v>
      </c>
      <c r="K37" s="19" t="s">
        <v>158</v>
      </c>
      <c r="L37" s="19" t="s">
        <v>158</v>
      </c>
      <c r="M37" s="19" t="s">
        <v>158</v>
      </c>
      <c r="N37" s="19" t="s">
        <v>158</v>
      </c>
      <c r="O37" s="19" t="s">
        <v>158</v>
      </c>
      <c r="P37" s="19" t="s">
        <v>158</v>
      </c>
      <c r="Q37" s="19" t="s">
        <v>158</v>
      </c>
      <c r="R37" s="19" t="s">
        <v>183</v>
      </c>
      <c r="S37" s="19" t="s">
        <v>183</v>
      </c>
      <c r="T37" s="19" t="s">
        <v>158</v>
      </c>
      <c r="U37" s="19" t="s">
        <v>157</v>
      </c>
      <c r="V37" s="19" t="s">
        <v>157</v>
      </c>
      <c r="W37" s="19" t="s">
        <v>157</v>
      </c>
      <c r="X37" s="19" t="s">
        <v>572</v>
      </c>
      <c r="Y37" s="19" t="s">
        <v>572</v>
      </c>
      <c r="Z37" s="47"/>
    </row>
    <row r="38" spans="1:26" x14ac:dyDescent="0.2">
      <c r="A38" s="24">
        <v>43765</v>
      </c>
      <c r="B38" s="18" t="s">
        <v>90</v>
      </c>
      <c r="C38" s="49" t="s">
        <v>580</v>
      </c>
      <c r="D38" s="19" t="s">
        <v>158</v>
      </c>
      <c r="E38" s="19" t="s">
        <v>158</v>
      </c>
      <c r="F38" s="19" t="s">
        <v>158</v>
      </c>
      <c r="G38" s="19" t="s">
        <v>158</v>
      </c>
      <c r="H38" s="19" t="s">
        <v>183</v>
      </c>
      <c r="I38" s="19" t="s">
        <v>183</v>
      </c>
      <c r="J38" s="20" t="s">
        <v>158</v>
      </c>
      <c r="K38" s="19" t="s">
        <v>158</v>
      </c>
      <c r="L38" s="19" t="s">
        <v>157</v>
      </c>
      <c r="M38" s="19" t="s">
        <v>157</v>
      </c>
      <c r="N38" s="19" t="s">
        <v>157</v>
      </c>
      <c r="O38" s="19" t="s">
        <v>157</v>
      </c>
      <c r="P38" s="19" t="s">
        <v>157</v>
      </c>
      <c r="Q38" s="19" t="s">
        <v>157</v>
      </c>
      <c r="R38" s="19" t="s">
        <v>183</v>
      </c>
      <c r="S38" s="19" t="s">
        <v>183</v>
      </c>
      <c r="T38" s="19" t="s">
        <v>157</v>
      </c>
      <c r="U38" s="20" t="s">
        <v>157</v>
      </c>
      <c r="V38" s="20" t="s">
        <v>157</v>
      </c>
      <c r="W38" s="20" t="s">
        <v>157</v>
      </c>
      <c r="X38" s="20" t="s">
        <v>572</v>
      </c>
      <c r="Y38" s="20" t="s">
        <v>572</v>
      </c>
      <c r="Z38" s="46"/>
    </row>
    <row r="39" spans="1:26" x14ac:dyDescent="0.2">
      <c r="A39" s="24">
        <v>43765</v>
      </c>
      <c r="B39" s="18" t="s">
        <v>83</v>
      </c>
      <c r="C39" s="49"/>
      <c r="D39" s="19" t="s">
        <v>158</v>
      </c>
      <c r="E39" s="19" t="s">
        <v>158</v>
      </c>
      <c r="F39" s="19" t="s">
        <v>158</v>
      </c>
      <c r="G39" s="20" t="s">
        <v>158</v>
      </c>
      <c r="H39" s="19" t="s">
        <v>158</v>
      </c>
      <c r="I39" s="19" t="s">
        <v>158</v>
      </c>
      <c r="J39" s="20" t="s">
        <v>157</v>
      </c>
      <c r="K39" s="20" t="s">
        <v>157</v>
      </c>
      <c r="L39" s="20" t="s">
        <v>157</v>
      </c>
      <c r="M39" s="20" t="s">
        <v>157</v>
      </c>
      <c r="N39" s="20" t="s">
        <v>157</v>
      </c>
      <c r="O39" s="20" t="s">
        <v>157</v>
      </c>
      <c r="P39" s="20" t="s">
        <v>157</v>
      </c>
      <c r="Q39" s="20" t="s">
        <v>157</v>
      </c>
      <c r="R39" s="19" t="s">
        <v>157</v>
      </c>
      <c r="S39" s="19" t="s">
        <v>157</v>
      </c>
      <c r="T39" s="20" t="s">
        <v>157</v>
      </c>
      <c r="U39" s="20" t="s">
        <v>157</v>
      </c>
      <c r="V39" s="20" t="s">
        <v>157</v>
      </c>
      <c r="W39" s="20" t="s">
        <v>157</v>
      </c>
      <c r="X39" s="20" t="s">
        <v>183</v>
      </c>
      <c r="Y39" s="20" t="s">
        <v>183</v>
      </c>
      <c r="Z39" s="47"/>
    </row>
    <row r="40" spans="1:26" x14ac:dyDescent="0.2">
      <c r="A40" s="24">
        <v>43768</v>
      </c>
      <c r="B40" s="18" t="s">
        <v>91</v>
      </c>
      <c r="C40" s="49"/>
      <c r="D40" s="19" t="s">
        <v>158</v>
      </c>
      <c r="E40" s="19" t="s">
        <v>158</v>
      </c>
      <c r="F40" s="19" t="s">
        <v>158</v>
      </c>
      <c r="G40" s="19" t="s">
        <v>572</v>
      </c>
      <c r="H40" s="19" t="s">
        <v>183</v>
      </c>
      <c r="I40" s="19" t="s">
        <v>183</v>
      </c>
      <c r="J40" s="19" t="s">
        <v>157</v>
      </c>
      <c r="K40" s="19" t="s">
        <v>157</v>
      </c>
      <c r="L40" s="19" t="s">
        <v>157</v>
      </c>
      <c r="M40" s="19" t="s">
        <v>157</v>
      </c>
      <c r="N40" s="19" t="s">
        <v>157</v>
      </c>
      <c r="O40" s="19" t="s">
        <v>157</v>
      </c>
      <c r="P40" s="19" t="s">
        <v>157</v>
      </c>
      <c r="Q40" s="19" t="s">
        <v>157</v>
      </c>
      <c r="R40" s="19" t="s">
        <v>183</v>
      </c>
      <c r="S40" s="19" t="s">
        <v>183</v>
      </c>
      <c r="T40" s="19" t="s">
        <v>157</v>
      </c>
      <c r="U40" s="19" t="s">
        <v>157</v>
      </c>
      <c r="V40" s="19" t="s">
        <v>157</v>
      </c>
      <c r="W40" s="19" t="s">
        <v>157</v>
      </c>
      <c r="X40" s="19" t="s">
        <v>157</v>
      </c>
      <c r="Y40" s="20"/>
      <c r="Z40" s="47"/>
    </row>
    <row r="41" spans="1:26" x14ac:dyDescent="0.2">
      <c r="A41" s="24">
        <v>43768</v>
      </c>
      <c r="B41" s="18" t="s">
        <v>503</v>
      </c>
      <c r="C41" s="49"/>
      <c r="D41" s="19" t="s">
        <v>158</v>
      </c>
      <c r="E41" s="19" t="s">
        <v>158</v>
      </c>
      <c r="F41" s="19" t="s">
        <v>158</v>
      </c>
      <c r="G41" s="20" t="s">
        <v>157</v>
      </c>
      <c r="H41" s="19" t="s">
        <v>157</v>
      </c>
      <c r="I41" s="19" t="s">
        <v>157</v>
      </c>
      <c r="J41" s="20" t="s">
        <v>157</v>
      </c>
      <c r="K41" s="20" t="s">
        <v>157</v>
      </c>
      <c r="L41" s="20" t="s">
        <v>157</v>
      </c>
      <c r="M41" s="20" t="s">
        <v>157</v>
      </c>
      <c r="N41" s="20" t="s">
        <v>157</v>
      </c>
      <c r="O41" s="20" t="s">
        <v>157</v>
      </c>
      <c r="P41" s="20" t="s">
        <v>157</v>
      </c>
      <c r="Q41" s="20" t="s">
        <v>157</v>
      </c>
      <c r="R41" s="19" t="s">
        <v>157</v>
      </c>
      <c r="S41" s="19" t="s">
        <v>157</v>
      </c>
      <c r="T41" s="20" t="s">
        <v>157</v>
      </c>
      <c r="U41" s="20" t="s">
        <v>157</v>
      </c>
      <c r="V41" s="20" t="s">
        <v>157</v>
      </c>
      <c r="W41" s="20" t="s">
        <v>157</v>
      </c>
      <c r="X41" s="20" t="s">
        <v>157</v>
      </c>
      <c r="Y41" s="20"/>
      <c r="Z41" s="47"/>
    </row>
    <row r="42" spans="1:26" x14ac:dyDescent="0.2">
      <c r="A42" s="24">
        <v>43768</v>
      </c>
      <c r="B42" s="18" t="s">
        <v>87</v>
      </c>
      <c r="C42" s="49"/>
      <c r="D42" s="19" t="s">
        <v>158</v>
      </c>
      <c r="E42" s="19" t="s">
        <v>158</v>
      </c>
      <c r="F42" s="19" t="s">
        <v>158</v>
      </c>
      <c r="G42" s="20" t="s">
        <v>157</v>
      </c>
      <c r="H42" s="20" t="s">
        <v>157</v>
      </c>
      <c r="I42" s="20" t="s">
        <v>157</v>
      </c>
      <c r="J42" s="20" t="s">
        <v>157</v>
      </c>
      <c r="K42" s="20" t="s">
        <v>157</v>
      </c>
      <c r="L42" s="20" t="s">
        <v>157</v>
      </c>
      <c r="M42" s="20" t="s">
        <v>157</v>
      </c>
      <c r="N42" s="20" t="s">
        <v>157</v>
      </c>
      <c r="O42" s="20" t="s">
        <v>157</v>
      </c>
      <c r="P42" s="20" t="s">
        <v>157</v>
      </c>
      <c r="Q42" s="20" t="s">
        <v>157</v>
      </c>
      <c r="R42" s="20" t="s">
        <v>157</v>
      </c>
      <c r="S42" s="20" t="s">
        <v>157</v>
      </c>
      <c r="T42" s="20" t="s">
        <v>157</v>
      </c>
      <c r="U42" s="20" t="s">
        <v>157</v>
      </c>
      <c r="V42" s="20" t="s">
        <v>157</v>
      </c>
      <c r="W42" s="20" t="s">
        <v>157</v>
      </c>
      <c r="X42" s="20" t="s">
        <v>157</v>
      </c>
      <c r="Y42" s="20"/>
      <c r="Z42" s="47"/>
    </row>
    <row r="43" spans="1:26" x14ac:dyDescent="0.2">
      <c r="A43" s="24">
        <v>43768</v>
      </c>
      <c r="B43" s="18" t="s">
        <v>414</v>
      </c>
      <c r="C43" s="49"/>
      <c r="D43" s="20" t="s">
        <v>158</v>
      </c>
      <c r="E43" s="20" t="s">
        <v>158</v>
      </c>
      <c r="F43" s="20" t="s">
        <v>158</v>
      </c>
      <c r="G43" s="20" t="s">
        <v>157</v>
      </c>
      <c r="H43" s="20" t="s">
        <v>183</v>
      </c>
      <c r="I43" s="20" t="s">
        <v>183</v>
      </c>
      <c r="J43" s="20" t="s">
        <v>157</v>
      </c>
      <c r="K43" s="20" t="s">
        <v>157</v>
      </c>
      <c r="L43" s="20" t="s">
        <v>157</v>
      </c>
      <c r="M43" s="20" t="s">
        <v>157</v>
      </c>
      <c r="N43" s="20" t="s">
        <v>157</v>
      </c>
      <c r="O43" s="20" t="s">
        <v>157</v>
      </c>
      <c r="P43" s="20" t="s">
        <v>157</v>
      </c>
      <c r="Q43" s="20" t="s">
        <v>157</v>
      </c>
      <c r="R43" s="20" t="s">
        <v>183</v>
      </c>
      <c r="S43" s="20" t="s">
        <v>183</v>
      </c>
      <c r="T43" s="20" t="s">
        <v>157</v>
      </c>
      <c r="U43" s="20" t="s">
        <v>157</v>
      </c>
      <c r="V43" s="20" t="s">
        <v>157</v>
      </c>
      <c r="W43" s="20" t="s">
        <v>157</v>
      </c>
      <c r="X43" s="20" t="s">
        <v>572</v>
      </c>
      <c r="Y43" s="20" t="s">
        <v>572</v>
      </c>
      <c r="Z43" s="47"/>
    </row>
    <row r="44" spans="1:26" x14ac:dyDescent="0.2">
      <c r="A44" s="24">
        <v>43768</v>
      </c>
      <c r="B44" s="18" t="s">
        <v>84</v>
      </c>
      <c r="C44" s="49"/>
      <c r="D44" s="19" t="s">
        <v>158</v>
      </c>
      <c r="E44" s="19" t="s">
        <v>158</v>
      </c>
      <c r="F44" s="19" t="s">
        <v>158</v>
      </c>
      <c r="G44" s="19" t="s">
        <v>157</v>
      </c>
      <c r="H44" s="19" t="s">
        <v>183</v>
      </c>
      <c r="I44" s="19" t="s">
        <v>183</v>
      </c>
      <c r="J44" s="20" t="s">
        <v>157</v>
      </c>
      <c r="K44" s="20" t="s">
        <v>157</v>
      </c>
      <c r="L44" s="20" t="s">
        <v>157</v>
      </c>
      <c r="M44" s="20" t="s">
        <v>157</v>
      </c>
      <c r="N44" s="20" t="s">
        <v>157</v>
      </c>
      <c r="O44" s="20" t="s">
        <v>157</v>
      </c>
      <c r="P44" s="20" t="s">
        <v>157</v>
      </c>
      <c r="Q44" s="20" t="s">
        <v>157</v>
      </c>
      <c r="R44" s="20" t="s">
        <v>183</v>
      </c>
      <c r="S44" s="20" t="s">
        <v>183</v>
      </c>
      <c r="T44" s="20" t="s">
        <v>157</v>
      </c>
      <c r="U44" s="20" t="s">
        <v>157</v>
      </c>
      <c r="V44" s="20" t="s">
        <v>157</v>
      </c>
      <c r="W44" s="20" t="s">
        <v>157</v>
      </c>
      <c r="X44" s="20" t="s">
        <v>157</v>
      </c>
      <c r="Y44" s="20" t="s">
        <v>572</v>
      </c>
      <c r="Z44" s="47" t="s">
        <v>626</v>
      </c>
    </row>
    <row r="45" spans="1:26" x14ac:dyDescent="0.2">
      <c r="A45" s="24">
        <v>43768</v>
      </c>
      <c r="B45" s="18" t="s">
        <v>89</v>
      </c>
      <c r="C45" s="49"/>
      <c r="D45" s="19" t="s">
        <v>158</v>
      </c>
      <c r="E45" s="19" t="s">
        <v>158</v>
      </c>
      <c r="F45" s="19" t="s">
        <v>158</v>
      </c>
      <c r="G45" s="19" t="s">
        <v>157</v>
      </c>
      <c r="H45" s="19" t="s">
        <v>183</v>
      </c>
      <c r="I45" s="19" t="s">
        <v>183</v>
      </c>
      <c r="J45" s="20" t="s">
        <v>157</v>
      </c>
      <c r="K45" s="20" t="s">
        <v>157</v>
      </c>
      <c r="L45" s="20" t="s">
        <v>157</v>
      </c>
      <c r="M45" s="20" t="s">
        <v>157</v>
      </c>
      <c r="N45" s="20" t="s">
        <v>157</v>
      </c>
      <c r="O45" s="20" t="s">
        <v>157</v>
      </c>
      <c r="P45" s="20" t="s">
        <v>157</v>
      </c>
      <c r="Q45" s="20" t="s">
        <v>157</v>
      </c>
      <c r="R45" s="19" t="s">
        <v>183</v>
      </c>
      <c r="S45" s="19" t="s">
        <v>183</v>
      </c>
      <c r="T45" s="20" t="s">
        <v>157</v>
      </c>
      <c r="U45" s="20" t="s">
        <v>157</v>
      </c>
      <c r="V45" s="20" t="s">
        <v>157</v>
      </c>
      <c r="W45" s="20" t="s">
        <v>157</v>
      </c>
      <c r="X45" s="20" t="s">
        <v>157</v>
      </c>
      <c r="Y45" s="20"/>
      <c r="Z45" s="47"/>
    </row>
    <row r="46" spans="1:26" x14ac:dyDescent="0.2">
      <c r="A46" s="24">
        <v>43772</v>
      </c>
      <c r="B46" s="18" t="s">
        <v>91</v>
      </c>
      <c r="C46" s="49"/>
      <c r="D46" s="19" t="s">
        <v>158</v>
      </c>
      <c r="E46" s="19" t="s">
        <v>158</v>
      </c>
      <c r="F46" s="19" t="s">
        <v>158</v>
      </c>
      <c r="G46" s="20" t="s">
        <v>158</v>
      </c>
      <c r="H46" s="19" t="s">
        <v>158</v>
      </c>
      <c r="I46" s="19"/>
      <c r="J46" s="20"/>
      <c r="K46" s="20"/>
      <c r="L46" s="20"/>
      <c r="M46" s="20"/>
      <c r="N46" s="20"/>
      <c r="O46" s="20"/>
      <c r="P46" s="20"/>
      <c r="Q46" s="20"/>
      <c r="R46" s="19"/>
      <c r="S46" s="19"/>
      <c r="T46" s="20"/>
      <c r="U46" s="20"/>
      <c r="V46" s="20"/>
      <c r="W46" s="20"/>
      <c r="X46" s="19"/>
      <c r="Y46" s="19"/>
      <c r="Z46" s="47"/>
    </row>
    <row r="47" spans="1:26" x14ac:dyDescent="0.2">
      <c r="A47" s="24">
        <v>43772</v>
      </c>
      <c r="B47" s="18" t="s">
        <v>87</v>
      </c>
      <c r="C47" s="49"/>
      <c r="D47" s="19" t="s">
        <v>158</v>
      </c>
      <c r="E47" s="19" t="s">
        <v>158</v>
      </c>
      <c r="F47" s="19" t="s">
        <v>158</v>
      </c>
      <c r="G47" s="20" t="s">
        <v>158</v>
      </c>
      <c r="H47" s="19" t="s">
        <v>157</v>
      </c>
      <c r="I47" s="19"/>
      <c r="J47" s="20"/>
      <c r="K47" s="20"/>
      <c r="L47" s="20"/>
      <c r="M47" s="20"/>
      <c r="N47" s="20"/>
      <c r="O47" s="20"/>
      <c r="P47" s="20"/>
      <c r="Q47" s="20"/>
      <c r="R47" s="19"/>
      <c r="S47" s="19"/>
      <c r="T47" s="20"/>
      <c r="U47" s="20"/>
      <c r="V47" s="20"/>
      <c r="W47" s="20"/>
      <c r="X47" s="20"/>
      <c r="Y47" s="20"/>
      <c r="Z47" s="47"/>
    </row>
    <row r="48" spans="1:26" x14ac:dyDescent="0.2">
      <c r="A48" s="24">
        <v>43772</v>
      </c>
      <c r="B48" s="18" t="s">
        <v>90</v>
      </c>
      <c r="C48" s="49"/>
      <c r="D48" s="20" t="s">
        <v>157</v>
      </c>
      <c r="E48" s="20" t="s">
        <v>157</v>
      </c>
      <c r="F48" s="20"/>
      <c r="G48" s="20"/>
      <c r="H48" s="19" t="s">
        <v>572</v>
      </c>
      <c r="I48" s="19" t="s">
        <v>572</v>
      </c>
      <c r="J48" s="20"/>
      <c r="K48" s="20"/>
      <c r="L48" s="20"/>
      <c r="M48" s="20"/>
      <c r="N48" s="20"/>
      <c r="O48" s="20"/>
      <c r="P48" s="20"/>
      <c r="Q48" s="20"/>
      <c r="R48" s="19" t="s">
        <v>572</v>
      </c>
      <c r="S48" s="19" t="s">
        <v>572</v>
      </c>
      <c r="T48" s="20"/>
      <c r="U48" s="20"/>
      <c r="V48" s="20"/>
      <c r="W48" s="20"/>
      <c r="X48" s="20"/>
      <c r="Y48" s="20"/>
      <c r="Z48" s="47"/>
    </row>
    <row r="49" spans="1:26" x14ac:dyDescent="0.2">
      <c r="A49" s="24">
        <v>43772</v>
      </c>
      <c r="B49" s="18" t="s">
        <v>83</v>
      </c>
      <c r="C49" s="49"/>
      <c r="D49" s="20" t="s">
        <v>157</v>
      </c>
      <c r="E49" s="20" t="s">
        <v>157</v>
      </c>
      <c r="F49" s="20" t="s">
        <v>157</v>
      </c>
      <c r="G49" s="20"/>
      <c r="H49" s="20" t="s">
        <v>572</v>
      </c>
      <c r="I49" s="20" t="s">
        <v>572</v>
      </c>
      <c r="J49" s="20"/>
      <c r="K49" s="20"/>
      <c r="L49" s="20"/>
      <c r="M49" s="20"/>
      <c r="N49" s="20"/>
      <c r="O49" s="20"/>
      <c r="P49" s="20"/>
      <c r="Q49" s="20"/>
      <c r="R49" s="20" t="s">
        <v>572</v>
      </c>
      <c r="S49" s="20" t="s">
        <v>572</v>
      </c>
      <c r="T49" s="20"/>
      <c r="U49" s="20"/>
      <c r="V49" s="20"/>
      <c r="W49" s="20"/>
      <c r="X49" s="20" t="s">
        <v>572</v>
      </c>
      <c r="Y49" s="20" t="s">
        <v>572</v>
      </c>
      <c r="Z49" s="47"/>
    </row>
    <row r="50" spans="1:26" x14ac:dyDescent="0.2">
      <c r="A50" s="24">
        <v>43775</v>
      </c>
      <c r="B50" s="18" t="s">
        <v>91</v>
      </c>
      <c r="C50" s="49"/>
      <c r="D50" s="19" t="s">
        <v>158</v>
      </c>
      <c r="E50" s="19" t="s">
        <v>158</v>
      </c>
      <c r="F50" s="19" t="s">
        <v>157</v>
      </c>
      <c r="G50" s="19"/>
      <c r="H50" s="20"/>
      <c r="I50" s="20"/>
      <c r="J50" s="20"/>
      <c r="K50" s="20"/>
      <c r="L50" s="20"/>
      <c r="M50" s="20"/>
      <c r="N50" s="20"/>
      <c r="O50" s="20"/>
      <c r="P50" s="20"/>
      <c r="Q50" s="20"/>
      <c r="R50" s="20"/>
      <c r="S50" s="20"/>
      <c r="T50" s="20"/>
      <c r="U50" s="20"/>
      <c r="V50" s="20"/>
      <c r="W50" s="20"/>
      <c r="X50" s="20"/>
      <c r="Y50" s="20"/>
      <c r="Z50" s="47"/>
    </row>
    <row r="51" spans="1:26" x14ac:dyDescent="0.2">
      <c r="A51" s="24">
        <v>43775</v>
      </c>
      <c r="B51" s="18" t="s">
        <v>83</v>
      </c>
      <c r="C51" s="49"/>
      <c r="D51" s="20" t="s">
        <v>158</v>
      </c>
      <c r="E51" s="20" t="s">
        <v>158</v>
      </c>
      <c r="F51" s="20" t="s">
        <v>158</v>
      </c>
      <c r="G51" s="20"/>
      <c r="H51" s="20" t="s">
        <v>183</v>
      </c>
      <c r="I51" s="20" t="s">
        <v>183</v>
      </c>
      <c r="J51" s="20"/>
      <c r="K51" s="20"/>
      <c r="L51" s="20"/>
      <c r="M51" s="20"/>
      <c r="N51" s="20"/>
      <c r="O51" s="20"/>
      <c r="P51" s="20"/>
      <c r="Q51" s="20"/>
      <c r="R51" s="20" t="s">
        <v>183</v>
      </c>
      <c r="S51" s="20" t="s">
        <v>183</v>
      </c>
      <c r="T51" s="20"/>
      <c r="U51" s="20"/>
      <c r="V51" s="20"/>
      <c r="W51" s="20"/>
      <c r="X51" s="20" t="s">
        <v>183</v>
      </c>
      <c r="Y51" s="20" t="s">
        <v>183</v>
      </c>
      <c r="Z51" s="47"/>
    </row>
    <row r="52" spans="1:26" x14ac:dyDescent="0.2">
      <c r="A52" s="24">
        <v>43779</v>
      </c>
      <c r="B52" s="18" t="s">
        <v>121</v>
      </c>
      <c r="C52" s="49"/>
      <c r="D52" s="20" t="s">
        <v>158</v>
      </c>
      <c r="E52" s="20" t="s">
        <v>158</v>
      </c>
      <c r="F52" s="20" t="s">
        <v>158</v>
      </c>
      <c r="G52" s="20"/>
      <c r="H52" s="20" t="s">
        <v>183</v>
      </c>
      <c r="I52" s="20" t="s">
        <v>183</v>
      </c>
      <c r="J52" s="20"/>
      <c r="K52" s="20"/>
      <c r="L52" s="20"/>
      <c r="M52" s="20"/>
      <c r="N52" s="20"/>
      <c r="O52" s="20"/>
      <c r="P52" s="20"/>
      <c r="Q52" s="20"/>
      <c r="R52" s="20" t="s">
        <v>183</v>
      </c>
      <c r="S52" s="20" t="s">
        <v>183</v>
      </c>
      <c r="T52" s="20"/>
      <c r="U52" s="20"/>
      <c r="V52" s="20"/>
      <c r="W52" s="20"/>
      <c r="X52" s="20"/>
      <c r="Y52" s="20"/>
      <c r="Z52" s="47"/>
    </row>
    <row r="53" spans="1:26" x14ac:dyDescent="0.2">
      <c r="A53" s="24">
        <v>43779</v>
      </c>
      <c r="B53" s="18" t="s">
        <v>570</v>
      </c>
      <c r="C53" s="49"/>
      <c r="D53" s="20" t="s">
        <v>157</v>
      </c>
      <c r="E53" s="20" t="s">
        <v>157</v>
      </c>
      <c r="F53" s="20"/>
      <c r="G53" s="20"/>
      <c r="H53" s="20" t="s">
        <v>572</v>
      </c>
      <c r="I53" s="20" t="s">
        <v>572</v>
      </c>
      <c r="J53" s="20"/>
      <c r="K53" s="20"/>
      <c r="L53" s="20"/>
      <c r="M53" s="20"/>
      <c r="N53" s="20"/>
      <c r="O53" s="20"/>
      <c r="P53" s="20"/>
      <c r="Q53" s="20"/>
      <c r="R53" s="20" t="s">
        <v>572</v>
      </c>
      <c r="S53" s="20" t="s">
        <v>572</v>
      </c>
      <c r="T53" s="20"/>
      <c r="U53" s="20"/>
      <c r="V53" s="20"/>
      <c r="W53" s="20"/>
      <c r="X53" s="20"/>
      <c r="Y53" s="20"/>
      <c r="Z53" s="47"/>
    </row>
    <row r="54" spans="1:26" x14ac:dyDescent="0.2">
      <c r="A54" s="24">
        <v>43782</v>
      </c>
      <c r="B54" s="18" t="s">
        <v>91</v>
      </c>
      <c r="C54" s="49"/>
      <c r="D54" s="20" t="s">
        <v>158</v>
      </c>
      <c r="E54" s="20" t="s">
        <v>158</v>
      </c>
      <c r="F54" s="20" t="s">
        <v>157</v>
      </c>
      <c r="G54" s="20"/>
      <c r="H54" s="20"/>
      <c r="I54" s="20"/>
      <c r="J54" s="20"/>
      <c r="K54" s="20"/>
      <c r="L54" s="20"/>
      <c r="M54" s="20"/>
      <c r="N54" s="20"/>
      <c r="O54" s="20"/>
      <c r="P54" s="20"/>
      <c r="Q54" s="20"/>
      <c r="R54" s="20"/>
      <c r="S54" s="20"/>
      <c r="T54" s="20"/>
      <c r="U54" s="20"/>
      <c r="V54" s="20"/>
      <c r="W54" s="20"/>
      <c r="X54" s="20"/>
      <c r="Y54" s="20"/>
      <c r="Z54" s="47"/>
    </row>
    <row r="55" spans="1:26" x14ac:dyDescent="0.2">
      <c r="A55" s="24">
        <v>43786</v>
      </c>
      <c r="B55" s="18" t="s">
        <v>87</v>
      </c>
      <c r="C55" s="49"/>
      <c r="D55" s="20" t="s">
        <v>157</v>
      </c>
      <c r="E55" s="20" t="s">
        <v>157</v>
      </c>
      <c r="F55" s="20" t="s">
        <v>157</v>
      </c>
      <c r="G55" s="20"/>
      <c r="H55" s="20" t="s">
        <v>572</v>
      </c>
      <c r="I55" s="20" t="s">
        <v>572</v>
      </c>
      <c r="J55" s="20"/>
      <c r="K55" s="20"/>
      <c r="L55" s="20"/>
      <c r="M55" s="20"/>
      <c r="N55" s="20"/>
      <c r="O55" s="20"/>
      <c r="P55" s="20"/>
      <c r="Q55" s="20"/>
      <c r="R55" s="20" t="s">
        <v>572</v>
      </c>
      <c r="S55" s="20" t="s">
        <v>572</v>
      </c>
      <c r="T55" s="20"/>
      <c r="U55" s="20"/>
      <c r="V55" s="20"/>
      <c r="W55" s="20"/>
      <c r="X55" s="20"/>
      <c r="Y55" s="20"/>
      <c r="Z55" s="47"/>
    </row>
    <row r="56" spans="1:26" x14ac:dyDescent="0.2">
      <c r="A56" s="24">
        <v>43786</v>
      </c>
      <c r="B56" s="18" t="s">
        <v>570</v>
      </c>
      <c r="C56" s="49"/>
      <c r="D56" s="20" t="s">
        <v>571</v>
      </c>
      <c r="E56" s="20" t="s">
        <v>571</v>
      </c>
      <c r="F56" s="20" t="s">
        <v>571</v>
      </c>
      <c r="G56" s="20" t="s">
        <v>572</v>
      </c>
      <c r="H56" s="20" t="s">
        <v>183</v>
      </c>
      <c r="I56" s="20" t="s">
        <v>183</v>
      </c>
      <c r="J56" s="20" t="s">
        <v>572</v>
      </c>
      <c r="K56" s="20" t="s">
        <v>572</v>
      </c>
      <c r="L56" s="20" t="s">
        <v>572</v>
      </c>
      <c r="M56" s="20" t="s">
        <v>572</v>
      </c>
      <c r="N56" s="20" t="s">
        <v>572</v>
      </c>
      <c r="O56" s="20" t="s">
        <v>572</v>
      </c>
      <c r="P56" s="20" t="s">
        <v>572</v>
      </c>
      <c r="Q56" s="20" t="s">
        <v>572</v>
      </c>
      <c r="R56" s="20" t="s">
        <v>183</v>
      </c>
      <c r="S56" s="20" t="s">
        <v>183</v>
      </c>
      <c r="T56" s="20" t="s">
        <v>572</v>
      </c>
      <c r="U56" s="20" t="s">
        <v>572</v>
      </c>
      <c r="V56" s="20" t="s">
        <v>572</v>
      </c>
      <c r="W56" s="20" t="s">
        <v>572</v>
      </c>
      <c r="X56" s="20" t="s">
        <v>572</v>
      </c>
      <c r="Y56" s="20" t="s">
        <v>572</v>
      </c>
      <c r="Z56" s="47" t="s">
        <v>572</v>
      </c>
    </row>
    <row r="57" spans="1:26" x14ac:dyDescent="0.2">
      <c r="A57" s="24">
        <v>43789</v>
      </c>
      <c r="B57" s="18" t="s">
        <v>121</v>
      </c>
      <c r="C57" s="49"/>
      <c r="D57" s="20" t="s">
        <v>157</v>
      </c>
      <c r="E57" s="20" t="s">
        <v>157</v>
      </c>
      <c r="F57" s="20" t="s">
        <v>157</v>
      </c>
      <c r="G57" s="20"/>
      <c r="H57" s="20" t="s">
        <v>572</v>
      </c>
      <c r="I57" s="20" t="s">
        <v>572</v>
      </c>
      <c r="J57" s="20"/>
      <c r="K57" s="20"/>
      <c r="L57" s="20"/>
      <c r="M57" s="20"/>
      <c r="N57" s="20"/>
      <c r="O57" s="20"/>
      <c r="P57" s="20"/>
      <c r="Q57" s="20"/>
      <c r="R57" s="20" t="s">
        <v>572</v>
      </c>
      <c r="S57" s="20" t="s">
        <v>572</v>
      </c>
      <c r="T57" s="20"/>
      <c r="U57" s="20"/>
      <c r="V57" s="20"/>
      <c r="W57" s="20"/>
      <c r="X57" s="20"/>
      <c r="Y57" s="20"/>
      <c r="Z57" s="47"/>
    </row>
  </sheetData>
  <phoneticPr fontId="2" type="noConversion"/>
  <conditionalFormatting sqref="D2:Z57">
    <cfRule type="cellIs" dxfId="46" priority="159" stopIfTrue="1" operator="equal">
      <formula>"╳"</formula>
    </cfRule>
    <cfRule type="cellIs" dxfId="45" priority="160" stopIfTrue="1" operator="equal">
      <formula>"OK"</formula>
    </cfRule>
  </conditionalFormatting>
  <dataValidations count="1">
    <dataValidation type="list" allowBlank="1" showInputMessage="1" sqref="D2:Z57" xr:uid="{1C3FF9B7-B119-4265-AF2E-7D39D32698C5}">
      <formula1>"OK,╳"</formula1>
    </dataValidation>
  </dataValidations>
  <pageMargins left="0.70866141732283472" right="0.70866141732283472" top="0.74803149606299213" bottom="0.74803149606299213" header="0" footer="0"/>
  <pageSetup paperSize="9" scale="98" orientation="landscape" r:id="rId1"/>
  <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31A96-470D-4B86-B534-9960CD36F436}">
  <sheetPr codeName="Sheet6"/>
  <dimension ref="A1:O35"/>
  <sheetViews>
    <sheetView workbookViewId="0">
      <pane ySplit="3" topLeftCell="A4" activePane="bottomLeft" state="frozen"/>
      <selection pane="bottomLeft" activeCell="K24" sqref="K24"/>
    </sheetView>
  </sheetViews>
  <sheetFormatPr defaultRowHeight="14.25" x14ac:dyDescent="0.2"/>
  <cols>
    <col min="1" max="1" width="10" bestFit="1" customWidth="1"/>
    <col min="2" max="2" width="10.375" bestFit="1" customWidth="1"/>
    <col min="3" max="3" width="12.375" bestFit="1" customWidth="1"/>
    <col min="4" max="5" width="11.875" bestFit="1" customWidth="1"/>
    <col min="6" max="6" width="10.625" bestFit="1" customWidth="1"/>
    <col min="7" max="7" width="13.375" bestFit="1" customWidth="1"/>
    <col min="8" max="8" width="10.5" bestFit="1" customWidth="1"/>
    <col min="9" max="9" width="15.375" style="4" bestFit="1" customWidth="1"/>
    <col min="10" max="10" width="12" bestFit="1" customWidth="1"/>
    <col min="11" max="11" width="18.875" bestFit="1" customWidth="1"/>
    <col min="12" max="12" width="16.25" bestFit="1" customWidth="1"/>
    <col min="13" max="13" width="23" bestFit="1" customWidth="1"/>
    <col min="14" max="14" width="25.25" bestFit="1" customWidth="1"/>
  </cols>
  <sheetData>
    <row r="1" spans="1:15" ht="18" customHeight="1" x14ac:dyDescent="0.2">
      <c r="A1" t="s">
        <v>198</v>
      </c>
      <c r="B1" t="s">
        <v>206</v>
      </c>
      <c r="C1" t="s">
        <v>207</v>
      </c>
      <c r="D1" t="s">
        <v>189</v>
      </c>
      <c r="E1" t="s">
        <v>190</v>
      </c>
      <c r="F1" t="s">
        <v>213</v>
      </c>
      <c r="G1" t="s">
        <v>191</v>
      </c>
      <c r="H1" t="s">
        <v>214</v>
      </c>
      <c r="I1" t="s">
        <v>215</v>
      </c>
      <c r="J1" t="s">
        <v>273</v>
      </c>
      <c r="K1" t="s">
        <v>345</v>
      </c>
      <c r="L1" t="s">
        <v>346</v>
      </c>
      <c r="M1" t="s">
        <v>470</v>
      </c>
      <c r="N1" t="s">
        <v>471</v>
      </c>
    </row>
    <row r="2" spans="1:15" ht="18" customHeight="1" x14ac:dyDescent="0.2">
      <c r="A2" s="26" t="s">
        <v>199</v>
      </c>
      <c r="B2" s="27" t="s">
        <v>205</v>
      </c>
      <c r="C2" s="27" t="s">
        <v>202</v>
      </c>
      <c r="D2" s="26" t="s">
        <v>51</v>
      </c>
      <c r="E2" s="26" t="s">
        <v>53</v>
      </c>
      <c r="F2" s="26">
        <v>430</v>
      </c>
      <c r="G2" s="26" t="s">
        <v>55</v>
      </c>
      <c r="H2" s="26">
        <v>20</v>
      </c>
      <c r="I2" s="26"/>
      <c r="J2" s="26"/>
      <c r="K2" s="26"/>
      <c r="L2" s="26"/>
      <c r="M2" s="26"/>
      <c r="N2" s="26"/>
    </row>
    <row r="3" spans="1:15" ht="18" customHeight="1" x14ac:dyDescent="0.2">
      <c r="A3" s="35" t="s">
        <v>199</v>
      </c>
      <c r="B3" s="36" t="s">
        <v>202</v>
      </c>
      <c r="C3" s="36" t="s">
        <v>203</v>
      </c>
      <c r="D3" s="37" t="s">
        <v>52</v>
      </c>
      <c r="E3" s="37" t="s">
        <v>53</v>
      </c>
      <c r="F3" s="37">
        <v>500</v>
      </c>
      <c r="G3" s="37" t="s">
        <v>54</v>
      </c>
      <c r="H3" s="37">
        <v>20</v>
      </c>
      <c r="I3" s="37"/>
      <c r="J3" s="37"/>
      <c r="K3" s="37"/>
      <c r="L3" s="37"/>
      <c r="M3" s="26"/>
      <c r="N3" s="26"/>
    </row>
    <row r="4" spans="1:15" ht="18" hidden="1" customHeight="1" x14ac:dyDescent="0.2">
      <c r="A4" s="26" t="s">
        <v>181</v>
      </c>
      <c r="B4" s="27" t="s">
        <v>203</v>
      </c>
      <c r="C4" s="27" t="s">
        <v>87</v>
      </c>
      <c r="D4" s="26" t="s">
        <v>208</v>
      </c>
      <c r="E4" s="26" t="s">
        <v>209</v>
      </c>
      <c r="F4" s="26">
        <v>500</v>
      </c>
      <c r="G4" s="26" t="s">
        <v>210</v>
      </c>
      <c r="H4" s="26">
        <v>20</v>
      </c>
      <c r="I4" s="26" t="s">
        <v>349</v>
      </c>
      <c r="J4" s="26">
        <v>100</v>
      </c>
      <c r="K4" s="26" t="s">
        <v>522</v>
      </c>
      <c r="L4" s="26" t="s">
        <v>524</v>
      </c>
      <c r="M4" s="39" t="s">
        <v>469</v>
      </c>
      <c r="N4" s="39" t="s">
        <v>408</v>
      </c>
    </row>
    <row r="5" spans="1:15" ht="18" hidden="1" customHeight="1" x14ac:dyDescent="0.2">
      <c r="A5" s="26" t="s">
        <v>181</v>
      </c>
      <c r="B5" s="27" t="s">
        <v>203</v>
      </c>
      <c r="C5" s="27" t="s">
        <v>204</v>
      </c>
      <c r="D5" s="26" t="s">
        <v>56</v>
      </c>
      <c r="E5" s="26" t="s">
        <v>57</v>
      </c>
      <c r="F5" s="26">
        <v>500</v>
      </c>
      <c r="G5" s="26" t="s">
        <v>54</v>
      </c>
      <c r="H5" s="26">
        <v>20</v>
      </c>
      <c r="I5" s="26" t="s">
        <v>349</v>
      </c>
      <c r="J5" s="26">
        <v>100</v>
      </c>
      <c r="K5" s="26" t="s">
        <v>522</v>
      </c>
      <c r="L5" s="26" t="s">
        <v>525</v>
      </c>
      <c r="M5" s="5" t="s">
        <v>472</v>
      </c>
      <c r="N5" s="5" t="s">
        <v>409</v>
      </c>
    </row>
    <row r="6" spans="1:15" ht="18" hidden="1" customHeight="1" x14ac:dyDescent="0.2">
      <c r="A6" s="26" t="s">
        <v>235</v>
      </c>
      <c r="B6" s="27" t="s">
        <v>236</v>
      </c>
      <c r="C6" s="27" t="s">
        <v>460</v>
      </c>
      <c r="D6" s="26" t="s">
        <v>237</v>
      </c>
      <c r="E6" s="26" t="s">
        <v>238</v>
      </c>
      <c r="F6" s="26">
        <v>500</v>
      </c>
      <c r="G6" s="26" t="s">
        <v>239</v>
      </c>
      <c r="H6" s="26">
        <v>20</v>
      </c>
      <c r="I6" s="26" t="s">
        <v>349</v>
      </c>
      <c r="J6" s="26">
        <v>100</v>
      </c>
      <c r="K6" s="26" t="s">
        <v>522</v>
      </c>
      <c r="L6" s="26" t="s">
        <v>526</v>
      </c>
      <c r="M6" s="5"/>
      <c r="N6" s="40" t="s">
        <v>410</v>
      </c>
    </row>
    <row r="7" spans="1:15" ht="18" hidden="1" customHeight="1" x14ac:dyDescent="0.2">
      <c r="A7" s="26" t="s">
        <v>181</v>
      </c>
      <c r="B7" s="27" t="s">
        <v>203</v>
      </c>
      <c r="C7" s="27" t="s">
        <v>89</v>
      </c>
      <c r="D7" s="26" t="s">
        <v>208</v>
      </c>
      <c r="E7" s="26" t="s">
        <v>209</v>
      </c>
      <c r="F7" s="26">
        <v>500</v>
      </c>
      <c r="G7" s="26" t="s">
        <v>211</v>
      </c>
      <c r="H7" s="26">
        <v>20</v>
      </c>
      <c r="I7" s="26" t="s">
        <v>321</v>
      </c>
      <c r="J7" s="26">
        <v>100</v>
      </c>
      <c r="K7" s="26" t="s">
        <v>522</v>
      </c>
      <c r="L7" s="26" t="s">
        <v>527</v>
      </c>
      <c r="M7" s="26" t="s">
        <v>477</v>
      </c>
      <c r="N7" s="26" t="s">
        <v>478</v>
      </c>
    </row>
    <row r="8" spans="1:15" ht="18" customHeight="1" x14ac:dyDescent="0.2">
      <c r="A8" s="26" t="s">
        <v>181</v>
      </c>
      <c r="B8" s="27" t="s">
        <v>203</v>
      </c>
      <c r="C8" s="27" t="s">
        <v>338</v>
      </c>
      <c r="D8" s="26" t="s">
        <v>212</v>
      </c>
      <c r="E8" s="26" t="s">
        <v>209</v>
      </c>
      <c r="F8" s="26">
        <v>500</v>
      </c>
      <c r="G8" s="26" t="s">
        <v>210</v>
      </c>
      <c r="H8" s="26">
        <v>20</v>
      </c>
      <c r="I8" s="26" t="s">
        <v>321</v>
      </c>
      <c r="J8" s="26"/>
      <c r="K8" s="26" t="s">
        <v>546</v>
      </c>
      <c r="L8" s="26" t="s">
        <v>344</v>
      </c>
      <c r="M8" s="26" t="s">
        <v>475</v>
      </c>
      <c r="N8" s="26" t="s">
        <v>476</v>
      </c>
      <c r="O8" s="7"/>
    </row>
    <row r="9" spans="1:15" ht="18" hidden="1" customHeight="1" x14ac:dyDescent="0.2">
      <c r="A9" s="26" t="s">
        <v>181</v>
      </c>
      <c r="B9" s="27" t="s">
        <v>203</v>
      </c>
      <c r="C9" s="27" t="s">
        <v>108</v>
      </c>
      <c r="D9" s="26" t="s">
        <v>237</v>
      </c>
      <c r="E9" s="26" t="s">
        <v>238</v>
      </c>
      <c r="F9" s="26">
        <v>500</v>
      </c>
      <c r="G9" s="26" t="s">
        <v>239</v>
      </c>
      <c r="H9" s="26">
        <v>20</v>
      </c>
      <c r="I9" s="26" t="s">
        <v>321</v>
      </c>
      <c r="J9" s="26">
        <v>100</v>
      </c>
      <c r="K9" s="26" t="s">
        <v>347</v>
      </c>
      <c r="L9" s="26" t="s">
        <v>344</v>
      </c>
      <c r="M9" s="26" t="s">
        <v>473</v>
      </c>
      <c r="N9" s="26" t="s">
        <v>474</v>
      </c>
    </row>
    <row r="10" spans="1:15" ht="18" hidden="1" customHeight="1" x14ac:dyDescent="0.2">
      <c r="A10" s="26" t="s">
        <v>181</v>
      </c>
      <c r="B10" s="27" t="s">
        <v>203</v>
      </c>
      <c r="C10" s="27" t="s">
        <v>570</v>
      </c>
      <c r="D10" s="26" t="s">
        <v>208</v>
      </c>
      <c r="E10" s="26" t="s">
        <v>57</v>
      </c>
      <c r="F10" s="26">
        <v>500</v>
      </c>
      <c r="G10" s="26" t="s">
        <v>54</v>
      </c>
      <c r="H10" s="26">
        <v>20</v>
      </c>
      <c r="I10" s="26" t="s">
        <v>573</v>
      </c>
      <c r="J10" s="26">
        <v>100</v>
      </c>
      <c r="K10" s="26" t="s">
        <v>522</v>
      </c>
      <c r="L10" s="26" t="s">
        <v>574</v>
      </c>
      <c r="M10" s="26"/>
      <c r="N10" s="26" t="s">
        <v>575</v>
      </c>
    </row>
    <row r="11" spans="1:15" ht="18" hidden="1" customHeight="1" x14ac:dyDescent="0.2">
      <c r="A11" s="26" t="s">
        <v>13</v>
      </c>
      <c r="B11" s="27" t="s">
        <v>203</v>
      </c>
      <c r="C11" s="27" t="s">
        <v>86</v>
      </c>
      <c r="D11" s="26" t="s">
        <v>374</v>
      </c>
      <c r="E11" s="26" t="s">
        <v>375</v>
      </c>
      <c r="F11" s="26">
        <v>500</v>
      </c>
      <c r="G11" s="26" t="s">
        <v>376</v>
      </c>
      <c r="H11" s="26">
        <v>20</v>
      </c>
      <c r="I11" s="26" t="s">
        <v>321</v>
      </c>
      <c r="J11" s="26">
        <v>100</v>
      </c>
      <c r="K11" s="26" t="s">
        <v>523</v>
      </c>
      <c r="L11" s="26" t="s">
        <v>344</v>
      </c>
      <c r="M11" s="26" t="s">
        <v>479</v>
      </c>
      <c r="N11" s="26"/>
    </row>
    <row r="12" spans="1:15" ht="18" hidden="1" customHeight="1" x14ac:dyDescent="0.2">
      <c r="A12" s="26" t="s">
        <v>13</v>
      </c>
      <c r="B12" s="27" t="s">
        <v>203</v>
      </c>
      <c r="C12" s="27" t="s">
        <v>339</v>
      </c>
      <c r="D12" s="26"/>
      <c r="E12" s="26"/>
      <c r="F12" s="26"/>
      <c r="G12" s="26"/>
      <c r="H12" s="26">
        <v>20</v>
      </c>
      <c r="I12" s="26"/>
      <c r="J12" s="26"/>
      <c r="K12" s="26" t="s">
        <v>348</v>
      </c>
      <c r="L12" s="26"/>
      <c r="M12" s="26"/>
      <c r="N12" s="26"/>
    </row>
    <row r="13" spans="1:15" ht="18" hidden="1" customHeight="1" x14ac:dyDescent="0.2">
      <c r="A13" s="26" t="s">
        <v>13</v>
      </c>
      <c r="B13" s="27" t="s">
        <v>203</v>
      </c>
      <c r="C13" s="27" t="s">
        <v>91</v>
      </c>
      <c r="D13" s="26" t="s">
        <v>240</v>
      </c>
      <c r="E13" s="26" t="s">
        <v>241</v>
      </c>
      <c r="F13" s="26">
        <v>500</v>
      </c>
      <c r="G13" s="26" t="s">
        <v>619</v>
      </c>
      <c r="H13" s="26">
        <v>20</v>
      </c>
      <c r="I13" s="26" t="s">
        <v>406</v>
      </c>
      <c r="J13" s="26"/>
      <c r="K13" s="26" t="s">
        <v>523</v>
      </c>
      <c r="L13" s="26" t="s">
        <v>526</v>
      </c>
      <c r="M13" s="26" t="s">
        <v>480</v>
      </c>
      <c r="N13" s="26" t="s">
        <v>576</v>
      </c>
    </row>
    <row r="14" spans="1:15" ht="18" hidden="1" customHeight="1" x14ac:dyDescent="0.2">
      <c r="A14" s="26" t="s">
        <v>13</v>
      </c>
      <c r="B14" s="27" t="s">
        <v>203</v>
      </c>
      <c r="C14" s="27" t="s">
        <v>90</v>
      </c>
      <c r="D14" s="26" t="s">
        <v>609</v>
      </c>
      <c r="E14" s="26" t="s">
        <v>609</v>
      </c>
      <c r="F14" s="26" t="s">
        <v>609</v>
      </c>
      <c r="G14" s="26" t="s">
        <v>620</v>
      </c>
      <c r="H14" s="26">
        <v>20</v>
      </c>
      <c r="I14" s="26" t="s">
        <v>609</v>
      </c>
      <c r="J14" s="26" t="s">
        <v>609</v>
      </c>
      <c r="K14" s="26" t="s">
        <v>348</v>
      </c>
      <c r="L14" s="26"/>
      <c r="M14" s="26" t="s">
        <v>481</v>
      </c>
      <c r="N14" s="26"/>
    </row>
    <row r="15" spans="1:15" ht="18" hidden="1" customHeight="1" x14ac:dyDescent="0.2">
      <c r="A15" s="26" t="s">
        <v>13</v>
      </c>
      <c r="B15" s="27" t="s">
        <v>203</v>
      </c>
      <c r="C15" s="27" t="s">
        <v>340</v>
      </c>
      <c r="D15" s="26"/>
      <c r="E15" s="26"/>
      <c r="F15" s="26"/>
      <c r="G15" s="26"/>
      <c r="H15" s="26">
        <v>20</v>
      </c>
      <c r="I15" s="26"/>
      <c r="J15" s="26"/>
      <c r="K15" s="26" t="s">
        <v>523</v>
      </c>
      <c r="L15" s="26"/>
      <c r="M15" s="26"/>
      <c r="N15" s="26"/>
    </row>
    <row r="16" spans="1:15" ht="18" hidden="1" customHeight="1" x14ac:dyDescent="0.2">
      <c r="A16" s="26" t="s">
        <v>16</v>
      </c>
      <c r="B16" s="27" t="s">
        <v>203</v>
      </c>
      <c r="C16" s="27" t="s">
        <v>341</v>
      </c>
      <c r="D16" s="26" t="s">
        <v>56</v>
      </c>
      <c r="E16" s="26" t="s">
        <v>57</v>
      </c>
      <c r="F16" s="26">
        <v>500</v>
      </c>
      <c r="G16" s="26" t="s">
        <v>54</v>
      </c>
      <c r="H16" s="26">
        <v>20</v>
      </c>
      <c r="I16" s="26" t="s">
        <v>321</v>
      </c>
      <c r="J16" s="26">
        <v>100</v>
      </c>
      <c r="K16" s="26" t="s">
        <v>522</v>
      </c>
      <c r="L16" s="26"/>
      <c r="M16" s="26"/>
      <c r="N16" s="26"/>
    </row>
    <row r="17" spans="1:14" ht="18" hidden="1" customHeight="1" x14ac:dyDescent="0.2">
      <c r="A17" s="26" t="s">
        <v>16</v>
      </c>
      <c r="B17" s="27" t="s">
        <v>203</v>
      </c>
      <c r="C17" s="27" t="s">
        <v>83</v>
      </c>
      <c r="D17" s="26" t="s">
        <v>56</v>
      </c>
      <c r="E17" s="26" t="s">
        <v>57</v>
      </c>
      <c r="F17" s="26">
        <v>500</v>
      </c>
      <c r="G17" s="26" t="s">
        <v>54</v>
      </c>
      <c r="H17" s="26">
        <v>20</v>
      </c>
      <c r="I17" s="26" t="s">
        <v>321</v>
      </c>
      <c r="J17" s="26">
        <v>100</v>
      </c>
      <c r="K17" s="26" t="s">
        <v>348</v>
      </c>
      <c r="L17" s="26"/>
      <c r="M17" s="26" t="s">
        <v>482</v>
      </c>
      <c r="N17" s="26" t="s">
        <v>483</v>
      </c>
    </row>
    <row r="18" spans="1:14" ht="18" hidden="1" customHeight="1" x14ac:dyDescent="0.2">
      <c r="A18" s="26" t="s">
        <v>201</v>
      </c>
      <c r="B18" s="27" t="s">
        <v>203</v>
      </c>
      <c r="C18" s="27" t="s">
        <v>85</v>
      </c>
      <c r="D18" s="26" t="s">
        <v>56</v>
      </c>
      <c r="E18" s="26" t="s">
        <v>57</v>
      </c>
      <c r="F18" s="26">
        <v>500</v>
      </c>
      <c r="G18" s="26" t="s">
        <v>54</v>
      </c>
      <c r="H18" s="26">
        <v>20</v>
      </c>
      <c r="I18" s="26" t="s">
        <v>407</v>
      </c>
      <c r="J18" s="26">
        <v>200</v>
      </c>
      <c r="K18" s="26" t="s">
        <v>532</v>
      </c>
      <c r="L18" s="26" t="s">
        <v>528</v>
      </c>
      <c r="M18" s="26"/>
      <c r="N18" s="26"/>
    </row>
    <row r="19" spans="1:14" ht="18" customHeight="1" x14ac:dyDescent="0.2"/>
    <row r="20" spans="1:14" ht="18" customHeight="1" x14ac:dyDescent="0.2"/>
    <row r="21" spans="1:14" x14ac:dyDescent="0.2">
      <c r="A21" t="s">
        <v>623</v>
      </c>
    </row>
    <row r="34" spans="1:7" x14ac:dyDescent="0.2">
      <c r="A34" s="42" t="s">
        <v>200</v>
      </c>
      <c r="B34" s="43" t="s">
        <v>205</v>
      </c>
      <c r="C34" s="43" t="s">
        <v>202</v>
      </c>
      <c r="D34" s="42" t="s">
        <v>193</v>
      </c>
      <c r="E34" s="42" t="s">
        <v>194</v>
      </c>
      <c r="F34" s="42">
        <v>425</v>
      </c>
      <c r="G34" s="42" t="s">
        <v>195</v>
      </c>
    </row>
    <row r="35" spans="1:7" x14ac:dyDescent="0.2">
      <c r="A35" s="44" t="s">
        <v>200</v>
      </c>
      <c r="B35" s="45" t="s">
        <v>202</v>
      </c>
      <c r="C35" s="45" t="s">
        <v>203</v>
      </c>
      <c r="D35" s="44" t="s">
        <v>196</v>
      </c>
      <c r="E35" s="44" t="s">
        <v>197</v>
      </c>
      <c r="F35" s="44">
        <v>500</v>
      </c>
      <c r="G35" s="44" t="s">
        <v>192</v>
      </c>
    </row>
  </sheetData>
  <phoneticPr fontId="2" type="noConversion"/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船期表</vt:lpstr>
      <vt:lpstr>预订</vt:lpstr>
      <vt:lpstr>统计</vt:lpstr>
      <vt:lpstr>流水</vt:lpstr>
      <vt:lpstr>费用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yjc</dc:creator>
  <cp:lastModifiedBy>咚咚呛</cp:lastModifiedBy>
  <cp:lastPrinted>2019-09-25T14:25:42Z</cp:lastPrinted>
  <dcterms:created xsi:type="dcterms:W3CDTF">2015-06-05T18:17:20Z</dcterms:created>
  <dcterms:modified xsi:type="dcterms:W3CDTF">2019-10-29T09:28:56Z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Liushui2Yuding_1" visible="true" label="Liushui2Yuding" imageMso="OutlinePromoteToHeading" onAction="Liushui2Yuding"/>
        <mso:button idQ="doc:Yuding2Liushui_1" visible="true" label="Yuding2Liushui" imageMso="OutlineDemoteToBodyText" onAction="Yuding2Liushui"/>
      </mso:documentControls>
    </mso:qat>
  </mso:ribbon>
</mso:customUI>
</file>