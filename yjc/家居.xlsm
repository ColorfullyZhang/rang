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hidePivotFieldList="1"/>
  <mc:AlternateContent xmlns:mc="http://schemas.openxmlformats.org/markup-compatibility/2006">
    <mc:Choice Requires="x15">
      <x15ac:absPath xmlns:x15ac="http://schemas.microsoft.com/office/spreadsheetml/2010/11/ac" url="E:\rang\yjc\"/>
    </mc:Choice>
  </mc:AlternateContent>
  <xr:revisionPtr revIDLastSave="0" documentId="13_ncr:1_{5FED65B3-A6D0-4750-B59B-C2170DF89149}" xr6:coauthVersionLast="45" xr6:coauthVersionMax="45" xr10:uidLastSave="{00000000-0000-0000-0000-000000000000}"/>
  <bookViews>
    <workbookView xWindow="-120" yWindow="-120" windowWidth="29040" windowHeight="15840" activeTab="3" xr2:uid="{00000000-000D-0000-FFFF-FFFF00000000}"/>
  </bookViews>
  <sheets>
    <sheet name="船期表" sheetId="7" r:id="rId1"/>
    <sheet name="预订" sheetId="9" r:id="rId2"/>
    <sheet name="统计" sheetId="12" r:id="rId3"/>
    <sheet name="流水" sheetId="11" r:id="rId4"/>
    <sheet name="费用" sheetId="5" r:id="rId5"/>
  </sheets>
  <definedNames>
    <definedName name="切片器_CN">#N/A</definedName>
    <definedName name="切片器_ETD">#N/A</definedName>
  </definedNames>
  <calcPr calcId="181029"/>
  <pivotCaches>
    <pivotCache cacheId="241" r:id="rId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36" i="9" l="1"/>
  <c r="M236" i="9"/>
  <c r="N236" i="9"/>
  <c r="D273" i="9" l="1"/>
  <c r="M273" i="9"/>
  <c r="N273" i="9"/>
  <c r="D272" i="9"/>
  <c r="M272" i="9"/>
  <c r="N272" i="9"/>
  <c r="D261" i="9"/>
  <c r="M261" i="9"/>
  <c r="N261" i="9"/>
  <c r="D260" i="9" l="1"/>
  <c r="M260" i="9"/>
  <c r="N260" i="9"/>
  <c r="D248" i="9" l="1"/>
  <c r="M248" i="9"/>
  <c r="N248" i="9"/>
  <c r="D276" i="9" l="1"/>
  <c r="M276" i="9"/>
  <c r="N276" i="9"/>
  <c r="D271" i="9"/>
  <c r="M271" i="9"/>
  <c r="N271" i="9"/>
  <c r="D235" i="9" l="1"/>
  <c r="M235" i="9"/>
  <c r="N235" i="9"/>
  <c r="D269" i="9" l="1"/>
  <c r="M269" i="9"/>
  <c r="N269" i="9"/>
  <c r="D268" i="9" l="1"/>
  <c r="M268" i="9"/>
  <c r="N268" i="9"/>
  <c r="D259" i="9"/>
  <c r="M259" i="9"/>
  <c r="N259" i="9"/>
  <c r="D270" i="9" l="1"/>
  <c r="M270" i="9"/>
  <c r="N270" i="9"/>
  <c r="N2" i="9" l="1"/>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2" i="9"/>
  <c r="N143" i="9"/>
  <c r="N140" i="9"/>
  <c r="N148" i="9"/>
  <c r="N141" i="9"/>
  <c r="N146" i="9"/>
  <c r="N144" i="9"/>
  <c r="N145" i="9"/>
  <c r="N147" i="9"/>
  <c r="N152" i="9"/>
  <c r="N149" i="9"/>
  <c r="N151" i="9"/>
  <c r="N150" i="9"/>
  <c r="N153" i="9"/>
  <c r="N156" i="9"/>
  <c r="N157" i="9"/>
  <c r="N158" i="9"/>
  <c r="N159" i="9"/>
  <c r="N154" i="9"/>
  <c r="N155" i="9"/>
  <c r="N160" i="9"/>
  <c r="N166" i="9"/>
  <c r="N167" i="9"/>
  <c r="N168" i="9"/>
  <c r="N169" i="9"/>
  <c r="N161" i="9"/>
  <c r="N165" i="9"/>
  <c r="N164" i="9"/>
  <c r="N170" i="9"/>
  <c r="N162" i="9"/>
  <c r="N163" i="9"/>
  <c r="N171" i="9"/>
  <c r="N175" i="9"/>
  <c r="N177" i="9"/>
  <c r="N178" i="9"/>
  <c r="N173" i="9"/>
  <c r="N180" i="9"/>
  <c r="N174" i="9"/>
  <c r="N179" i="9"/>
  <c r="N172" i="9"/>
  <c r="N176" i="9"/>
  <c r="N181" i="9"/>
  <c r="N186" i="9"/>
  <c r="N184" i="9"/>
  <c r="N182" i="9"/>
  <c r="N185" i="9"/>
  <c r="N190" i="9"/>
  <c r="N183" i="9"/>
  <c r="N191" i="9"/>
  <c r="N189" i="9"/>
  <c r="N187" i="9"/>
  <c r="N188" i="9"/>
  <c r="N192" i="9"/>
  <c r="N196" i="9"/>
  <c r="N193" i="9"/>
  <c r="N198" i="9"/>
  <c r="N199" i="9"/>
  <c r="N197" i="9"/>
  <c r="N195" i="9"/>
  <c r="N200" i="9"/>
  <c r="N194" i="9"/>
  <c r="N201" i="9"/>
  <c r="N203" i="9"/>
  <c r="N209" i="9"/>
  <c r="N207" i="9"/>
  <c r="N208" i="9"/>
  <c r="N206" i="9"/>
  <c r="N204" i="9"/>
  <c r="N205" i="9"/>
  <c r="N202" i="9"/>
  <c r="N210" i="9"/>
  <c r="N211" i="9"/>
  <c r="N212" i="9"/>
  <c r="N213" i="9"/>
  <c r="N220" i="9"/>
  <c r="N219" i="9"/>
  <c r="N217" i="9"/>
  <c r="N218" i="9"/>
  <c r="N214" i="9"/>
  <c r="N216" i="9"/>
  <c r="N215" i="9"/>
  <c r="N221" i="9"/>
  <c r="N222" i="9"/>
  <c r="N223" i="9"/>
  <c r="N225" i="9"/>
  <c r="N226" i="9"/>
  <c r="N224" i="9"/>
  <c r="N227" i="9"/>
  <c r="N228" i="9"/>
  <c r="N229" i="9"/>
  <c r="N230" i="9"/>
  <c r="N231" i="9"/>
  <c r="N232" i="9"/>
  <c r="N237" i="9"/>
  <c r="N238" i="9"/>
  <c r="N239" i="9"/>
  <c r="N240" i="9"/>
  <c r="N241" i="9"/>
  <c r="N242" i="9"/>
  <c r="N243" i="9"/>
  <c r="N244" i="9"/>
  <c r="N233" i="9"/>
  <c r="N249" i="9"/>
  <c r="N250" i="9"/>
  <c r="N251" i="9"/>
  <c r="N252" i="9"/>
  <c r="N253" i="9"/>
  <c r="N245" i="9"/>
  <c r="N255" i="9"/>
  <c r="N256" i="9"/>
  <c r="N257" i="9"/>
  <c r="N258" i="9"/>
  <c r="N262" i="9"/>
  <c r="N263" i="9"/>
  <c r="N264" i="9"/>
  <c r="N265" i="9"/>
  <c r="N266" i="9"/>
  <c r="N275" i="9"/>
  <c r="N274" i="9"/>
  <c r="N277" i="9"/>
  <c r="N246" i="9"/>
  <c r="N247" i="9"/>
  <c r="N234" i="9"/>
  <c r="N254" i="9"/>
  <c r="N267" i="9"/>
  <c r="D267" i="9" l="1"/>
  <c r="M267" i="9"/>
  <c r="D247" i="9"/>
  <c r="M247" i="9"/>
  <c r="M234" i="9" l="1"/>
  <c r="D234" i="9"/>
  <c r="D233" i="9"/>
  <c r="M233" i="9"/>
  <c r="M2" i="9" l="1"/>
  <c r="M3" i="9"/>
  <c r="M4" i="9"/>
  <c r="M5" i="9"/>
  <c r="M6" i="9"/>
  <c r="M7" i="9"/>
  <c r="M8" i="9"/>
  <c r="M9" i="9"/>
  <c r="M10" i="9"/>
  <c r="M11" i="9"/>
  <c r="M12" i="9"/>
  <c r="M13" i="9"/>
  <c r="M14" i="9"/>
  <c r="M15" i="9"/>
  <c r="M16" i="9"/>
  <c r="M17" i="9"/>
  <c r="M18" i="9"/>
  <c r="M19" i="9"/>
  <c r="M20" i="9"/>
  <c r="M21" i="9"/>
  <c r="M22" i="9"/>
  <c r="M23" i="9"/>
  <c r="M24" i="9"/>
  <c r="M25" i="9"/>
  <c r="M26" i="9"/>
  <c r="M27" i="9"/>
  <c r="M28" i="9"/>
  <c r="M29" i="9"/>
  <c r="M30" i="9"/>
  <c r="M31" i="9"/>
  <c r="M32" i="9"/>
  <c r="M33" i="9"/>
  <c r="M34" i="9"/>
  <c r="M35" i="9"/>
  <c r="M36" i="9"/>
  <c r="M37" i="9"/>
  <c r="M38" i="9"/>
  <c r="M39" i="9"/>
  <c r="M40" i="9"/>
  <c r="M41" i="9"/>
  <c r="M42" i="9"/>
  <c r="M43" i="9"/>
  <c r="M44" i="9"/>
  <c r="M45" i="9"/>
  <c r="M46" i="9"/>
  <c r="M47" i="9"/>
  <c r="M48" i="9"/>
  <c r="M49" i="9"/>
  <c r="M50" i="9"/>
  <c r="M51" i="9"/>
  <c r="M52" i="9"/>
  <c r="M53" i="9"/>
  <c r="M54" i="9"/>
  <c r="M55" i="9"/>
  <c r="M56" i="9"/>
  <c r="M57" i="9"/>
  <c r="M58" i="9"/>
  <c r="M59" i="9"/>
  <c r="M60" i="9"/>
  <c r="M61" i="9"/>
  <c r="M62" i="9"/>
  <c r="M63" i="9"/>
  <c r="M64" i="9"/>
  <c r="M65" i="9"/>
  <c r="M66" i="9"/>
  <c r="M67" i="9"/>
  <c r="M68" i="9"/>
  <c r="M69" i="9"/>
  <c r="M70" i="9"/>
  <c r="M71" i="9"/>
  <c r="M72" i="9"/>
  <c r="M73" i="9"/>
  <c r="M74" i="9"/>
  <c r="M75" i="9"/>
  <c r="M76" i="9"/>
  <c r="M77" i="9"/>
  <c r="M78" i="9"/>
  <c r="M79" i="9"/>
  <c r="M80" i="9"/>
  <c r="M81" i="9"/>
  <c r="M82" i="9"/>
  <c r="M83" i="9"/>
  <c r="M84" i="9"/>
  <c r="M85" i="9"/>
  <c r="M86" i="9"/>
  <c r="M87" i="9"/>
  <c r="M88" i="9"/>
  <c r="M89" i="9"/>
  <c r="M90" i="9"/>
  <c r="M91" i="9"/>
  <c r="M92" i="9"/>
  <c r="M93" i="9"/>
  <c r="M94" i="9"/>
  <c r="M95" i="9"/>
  <c r="M96" i="9"/>
  <c r="M97" i="9"/>
  <c r="M98" i="9"/>
  <c r="M99" i="9"/>
  <c r="M100" i="9"/>
  <c r="M101" i="9"/>
  <c r="M102" i="9"/>
  <c r="M103" i="9"/>
  <c r="M104" i="9"/>
  <c r="M105" i="9"/>
  <c r="M106" i="9"/>
  <c r="M107" i="9"/>
  <c r="M108" i="9"/>
  <c r="M109" i="9"/>
  <c r="M110" i="9"/>
  <c r="M111" i="9"/>
  <c r="M112" i="9"/>
  <c r="M113" i="9"/>
  <c r="M114" i="9"/>
  <c r="M115" i="9"/>
  <c r="M116" i="9"/>
  <c r="M117" i="9"/>
  <c r="M118" i="9"/>
  <c r="M119" i="9"/>
  <c r="M120" i="9"/>
  <c r="M121" i="9"/>
  <c r="M122" i="9"/>
  <c r="M123" i="9"/>
  <c r="M124" i="9"/>
  <c r="M125" i="9"/>
  <c r="M126" i="9"/>
  <c r="M127" i="9"/>
  <c r="M128" i="9"/>
  <c r="M129" i="9"/>
  <c r="M130" i="9"/>
  <c r="M131" i="9"/>
  <c r="M132" i="9"/>
  <c r="M133" i="9"/>
  <c r="M134" i="9"/>
  <c r="M135" i="9"/>
  <c r="M136" i="9"/>
  <c r="M137" i="9"/>
  <c r="M138" i="9"/>
  <c r="M139" i="9"/>
  <c r="M142" i="9"/>
  <c r="M143" i="9"/>
  <c r="M140" i="9"/>
  <c r="M148" i="9"/>
  <c r="M141" i="9"/>
  <c r="M146" i="9"/>
  <c r="M144" i="9"/>
  <c r="M145" i="9"/>
  <c r="M147" i="9"/>
  <c r="M152" i="9"/>
  <c r="M149" i="9"/>
  <c r="M151" i="9"/>
  <c r="M150" i="9"/>
  <c r="M153" i="9"/>
  <c r="M156" i="9"/>
  <c r="M157" i="9"/>
  <c r="M158" i="9"/>
  <c r="M159" i="9"/>
  <c r="M154" i="9"/>
  <c r="M155" i="9"/>
  <c r="M160" i="9"/>
  <c r="M166" i="9"/>
  <c r="M167" i="9"/>
  <c r="M168" i="9"/>
  <c r="M169" i="9"/>
  <c r="M161" i="9"/>
  <c r="M165" i="9"/>
  <c r="M164" i="9"/>
  <c r="M170" i="9"/>
  <c r="M162" i="9"/>
  <c r="M163" i="9"/>
  <c r="M171" i="9"/>
  <c r="M175" i="9"/>
  <c r="M177" i="9"/>
  <c r="M178" i="9"/>
  <c r="M173" i="9"/>
  <c r="M180" i="9"/>
  <c r="M174" i="9"/>
  <c r="M179" i="9"/>
  <c r="M172" i="9"/>
  <c r="M176" i="9"/>
  <c r="M181" i="9"/>
  <c r="M186" i="9"/>
  <c r="M184" i="9"/>
  <c r="M182" i="9"/>
  <c r="M185" i="9"/>
  <c r="M190" i="9"/>
  <c r="M183" i="9"/>
  <c r="M191" i="9"/>
  <c r="M189" i="9"/>
  <c r="M187" i="9"/>
  <c r="M188" i="9"/>
  <c r="M192" i="9"/>
  <c r="M196" i="9"/>
  <c r="M193" i="9"/>
  <c r="M198" i="9"/>
  <c r="M199" i="9"/>
  <c r="M197" i="9"/>
  <c r="M195" i="9"/>
  <c r="M200" i="9"/>
  <c r="M194" i="9"/>
  <c r="M201" i="9"/>
  <c r="M203" i="9"/>
  <c r="M209" i="9"/>
  <c r="M207" i="9"/>
  <c r="M208" i="9"/>
  <c r="M206" i="9"/>
  <c r="M204" i="9"/>
  <c r="M205" i="9"/>
  <c r="M202" i="9"/>
  <c r="M210" i="9"/>
  <c r="M211" i="9"/>
  <c r="M212" i="9"/>
  <c r="M213" i="9"/>
  <c r="M220" i="9"/>
  <c r="M219" i="9"/>
  <c r="M217" i="9"/>
  <c r="M218" i="9"/>
  <c r="M214" i="9"/>
  <c r="M216" i="9"/>
  <c r="M215" i="9"/>
  <c r="M221" i="9"/>
  <c r="M222" i="9"/>
  <c r="M223" i="9"/>
  <c r="M225" i="9"/>
  <c r="M226" i="9"/>
  <c r="M224" i="9"/>
  <c r="M231" i="9"/>
  <c r="M227" i="9"/>
  <c r="M228" i="9"/>
  <c r="M232" i="9"/>
  <c r="M229" i="9"/>
  <c r="M230" i="9"/>
  <c r="M244" i="9"/>
  <c r="M245" i="9"/>
  <c r="M237" i="9"/>
  <c r="M238" i="9"/>
  <c r="M239" i="9"/>
  <c r="M240" i="9"/>
  <c r="M241" i="9"/>
  <c r="M242" i="9"/>
  <c r="M243" i="9"/>
  <c r="M249" i="9"/>
  <c r="M250" i="9"/>
  <c r="M251" i="9"/>
  <c r="M252" i="9"/>
  <c r="M253" i="9"/>
  <c r="M254" i="9"/>
  <c r="M255" i="9"/>
  <c r="M256" i="9"/>
  <c r="M257" i="9"/>
  <c r="M258" i="9"/>
  <c r="M266" i="9"/>
  <c r="M262" i="9"/>
  <c r="M263" i="9"/>
  <c r="M264" i="9"/>
  <c r="M265" i="9"/>
  <c r="M275" i="9"/>
  <c r="M274" i="9"/>
  <c r="M277" i="9"/>
  <c r="M246" i="9"/>
  <c r="D246" i="9" l="1"/>
  <c r="D232" i="9" l="1"/>
  <c r="D245" i="9"/>
  <c r="D266" i="9"/>
  <c r="I2" i="12" l="1"/>
  <c r="J1" i="12" s="1"/>
  <c r="J2" i="12" s="1"/>
  <c r="K1" i="12" s="1"/>
  <c r="K2" i="12" s="1"/>
  <c r="L1" i="12" s="1"/>
  <c r="L2" i="12" s="1"/>
  <c r="M1" i="12" s="1"/>
  <c r="M2" i="12" s="1"/>
  <c r="N1" i="12" s="1"/>
  <c r="N2" i="12" s="1"/>
  <c r="D244" i="9"/>
  <c r="D231" i="9"/>
  <c r="D275" i="9" l="1"/>
  <c r="D265" i="9"/>
  <c r="D264" i="9"/>
  <c r="D263" i="9"/>
  <c r="D258" i="9"/>
  <c r="D257" i="9"/>
  <c r="D256" i="9"/>
  <c r="D255" i="9"/>
  <c r="D243" i="9"/>
  <c r="D242" i="9"/>
  <c r="D241" i="9"/>
  <c r="D240" i="9"/>
  <c r="D239" i="9"/>
  <c r="D230" i="9"/>
  <c r="D229" i="9"/>
  <c r="D226" i="9"/>
  <c r="D225" i="9"/>
  <c r="D224" i="9" l="1"/>
  <c r="D277" i="9" l="1"/>
  <c r="D223" i="9" l="1"/>
  <c r="D215" i="9" l="1"/>
  <c r="D274" i="9" l="1"/>
  <c r="D262" i="9"/>
  <c r="D253" i="9"/>
  <c r="D252" i="9" l="1"/>
  <c r="D251" i="9"/>
  <c r="D250" i="9"/>
  <c r="D211" i="9" l="1"/>
  <c r="D192" i="9"/>
  <c r="D210" i="9" l="1"/>
  <c r="D249" i="9"/>
  <c r="D202" i="9" l="1"/>
  <c r="D237" i="9" l="1"/>
  <c r="D2" i="9"/>
  <c r="D4" i="9"/>
  <c r="D5" i="9"/>
  <c r="D3" i="9"/>
  <c r="D6" i="9"/>
  <c r="D7" i="9"/>
  <c r="D8" i="9"/>
  <c r="D9" i="9"/>
  <c r="D11" i="9"/>
  <c r="D10" i="9"/>
  <c r="D12" i="9"/>
  <c r="D13" i="9"/>
  <c r="D14" i="9"/>
  <c r="D15" i="9"/>
  <c r="D16" i="9"/>
  <c r="D21" i="9"/>
  <c r="D20" i="9"/>
  <c r="D17" i="9"/>
  <c r="D18" i="9"/>
  <c r="D19" i="9"/>
  <c r="D22" i="9"/>
  <c r="D24" i="9"/>
  <c r="D25" i="9"/>
  <c r="D26" i="9"/>
  <c r="D27" i="9"/>
  <c r="D23" i="9"/>
  <c r="D28" i="9"/>
  <c r="D29" i="9"/>
  <c r="D37" i="9"/>
  <c r="D30" i="9"/>
  <c r="D36" i="9"/>
  <c r="D35" i="9"/>
  <c r="D31" i="9"/>
  <c r="D32" i="9"/>
  <c r="D33" i="9"/>
  <c r="D34" i="9"/>
  <c r="D38" i="9"/>
  <c r="D39" i="9"/>
  <c r="D44" i="9"/>
  <c r="D40" i="9"/>
  <c r="D41" i="9"/>
  <c r="D42" i="9"/>
  <c r="D43" i="9"/>
  <c r="D48" i="9"/>
  <c r="D50" i="9"/>
  <c r="D45" i="9"/>
  <c r="D46" i="9"/>
  <c r="D49" i="9"/>
  <c r="D51" i="9"/>
  <c r="D47" i="9"/>
  <c r="D52" i="9"/>
  <c r="D56" i="9"/>
  <c r="D53" i="9"/>
  <c r="D54" i="9"/>
  <c r="D55" i="9"/>
  <c r="D59" i="9"/>
  <c r="D67" i="9"/>
  <c r="D58" i="9"/>
  <c r="D63" i="9"/>
  <c r="D60" i="9"/>
  <c r="D61" i="9"/>
  <c r="D62" i="9"/>
  <c r="D65" i="9"/>
  <c r="D66" i="9"/>
  <c r="D57" i="9"/>
  <c r="D64" i="9"/>
  <c r="D73" i="9"/>
  <c r="D72" i="9"/>
  <c r="D71" i="9"/>
  <c r="D70" i="9"/>
  <c r="D68" i="9"/>
  <c r="D69" i="9"/>
  <c r="D79" i="9"/>
  <c r="D81" i="9"/>
  <c r="D76" i="9"/>
  <c r="D74" i="9"/>
  <c r="D80" i="9"/>
  <c r="D82" i="9"/>
  <c r="D77" i="9"/>
  <c r="D78" i="9"/>
  <c r="D75" i="9"/>
  <c r="D83" i="9"/>
  <c r="D84" i="9"/>
  <c r="D85" i="9"/>
  <c r="D86" i="9"/>
  <c r="D87" i="9"/>
  <c r="D88" i="9"/>
  <c r="D90" i="9"/>
  <c r="D92" i="9"/>
  <c r="D91" i="9"/>
  <c r="D89" i="9"/>
  <c r="D95" i="9"/>
  <c r="D93" i="9"/>
  <c r="D94" i="9"/>
  <c r="D97" i="9"/>
  <c r="D98" i="9"/>
  <c r="D99" i="9"/>
  <c r="D100" i="9"/>
  <c r="D96" i="9"/>
  <c r="D103" i="9"/>
  <c r="D104" i="9"/>
  <c r="D105" i="9"/>
  <c r="D101" i="9"/>
  <c r="D102" i="9"/>
  <c r="D106" i="9"/>
  <c r="D107" i="9"/>
  <c r="D110" i="9"/>
  <c r="D111" i="9"/>
  <c r="D108" i="9"/>
  <c r="D109" i="9"/>
  <c r="D112" i="9"/>
  <c r="D113" i="9"/>
  <c r="D114" i="9"/>
  <c r="D122" i="9"/>
  <c r="D116" i="9"/>
  <c r="D120" i="9"/>
  <c r="D121" i="9"/>
  <c r="D117" i="9"/>
  <c r="D118" i="9"/>
  <c r="D119" i="9"/>
  <c r="D115" i="9"/>
  <c r="D132" i="9"/>
  <c r="D125" i="9"/>
  <c r="D126" i="9"/>
  <c r="D127" i="9"/>
  <c r="D129" i="9"/>
  <c r="D130" i="9"/>
  <c r="D131" i="9"/>
  <c r="D123" i="9"/>
  <c r="D124" i="9"/>
  <c r="D128" i="9"/>
  <c r="D133" i="9"/>
  <c r="D134" i="9"/>
  <c r="D136" i="9"/>
  <c r="D137" i="9"/>
  <c r="D138" i="9"/>
  <c r="D135" i="9"/>
  <c r="D139" i="9"/>
  <c r="D140" i="9"/>
  <c r="D141" i="9"/>
  <c r="D146" i="9"/>
  <c r="D144" i="9"/>
  <c r="D145" i="9"/>
  <c r="D143" i="9"/>
  <c r="D142" i="9"/>
  <c r="D147" i="9"/>
  <c r="D148" i="9"/>
  <c r="D149" i="9"/>
  <c r="D152" i="9"/>
  <c r="D151" i="9"/>
  <c r="D150" i="9"/>
  <c r="D160" i="9"/>
  <c r="D156" i="9"/>
  <c r="D153" i="9"/>
  <c r="D157" i="9"/>
  <c r="D158" i="9"/>
  <c r="D159" i="9"/>
  <c r="D155" i="9"/>
  <c r="D154" i="9"/>
  <c r="D166" i="9"/>
  <c r="D163" i="9"/>
  <c r="D167" i="9"/>
  <c r="D168" i="9"/>
  <c r="D169" i="9"/>
  <c r="D161" i="9"/>
  <c r="D162" i="9"/>
  <c r="D165" i="9"/>
  <c r="D170" i="9"/>
  <c r="D164" i="9"/>
  <c r="D171" i="9"/>
  <c r="D172" i="9"/>
  <c r="D173" i="9"/>
  <c r="D174" i="9"/>
  <c r="D175" i="9"/>
  <c r="D177" i="9"/>
  <c r="D178" i="9"/>
  <c r="D176" i="9"/>
  <c r="D179" i="9"/>
  <c r="D180" i="9"/>
  <c r="D191" i="9"/>
  <c r="D186" i="9"/>
  <c r="D181" i="9"/>
  <c r="D189" i="9"/>
  <c r="D187" i="9"/>
  <c r="D182" i="9"/>
  <c r="D184" i="9"/>
  <c r="D185" i="9"/>
  <c r="D190" i="9"/>
  <c r="D183" i="9"/>
  <c r="D188" i="9"/>
  <c r="D196" i="9"/>
  <c r="D193" i="9"/>
  <c r="D198" i="9"/>
  <c r="D199" i="9"/>
  <c r="D197" i="9"/>
  <c r="D195" i="9"/>
  <c r="D200" i="9"/>
  <c r="D194" i="9"/>
  <c r="D201" i="9"/>
  <c r="D209" i="9"/>
  <c r="D207" i="9"/>
  <c r="D208" i="9"/>
  <c r="D204" i="9"/>
  <c r="D206" i="9"/>
  <c r="D205" i="9"/>
  <c r="D203" i="9"/>
  <c r="D213" i="9"/>
  <c r="D220" i="9"/>
  <c r="D219" i="9"/>
  <c r="D217" i="9"/>
  <c r="D218" i="9"/>
  <c r="D212" i="9"/>
  <c r="D216" i="9"/>
  <c r="D214" i="9"/>
  <c r="D221" i="9"/>
  <c r="D222" i="9"/>
  <c r="D227" i="9"/>
  <c r="D228" i="9"/>
  <c r="D238" i="9"/>
  <c r="D25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咚咚呛</author>
  </authors>
  <commentList>
    <comment ref="E1" authorId="0" shapeId="0" xr:uid="{32FF379F-EFF0-450E-80FC-CBF4835B2754}">
      <text>
        <r>
          <rPr>
            <b/>
            <sz val="9"/>
            <color indexed="81"/>
            <rFont val="宋体"/>
            <family val="3"/>
            <charset val="134"/>
          </rPr>
          <t>咚咚呛:</t>
        </r>
        <r>
          <rPr>
            <sz val="9"/>
            <color indexed="81"/>
            <rFont val="宋体"/>
            <family val="3"/>
            <charset val="134"/>
          </rPr>
          <t xml:space="preserve">
YJC系统 - 表格 - 船公司 - KOOKYANG - 客户</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咚咚呛</author>
    <author>yjc</author>
  </authors>
  <commentList>
    <comment ref="H3" authorId="0" shapeId="0" xr:uid="{5BFF9A9E-B04B-4A04-8DD0-F4F299C657AE}">
      <text>
        <r>
          <rPr>
            <b/>
            <sz val="9"/>
            <color indexed="81"/>
            <rFont val="宋体"/>
            <family val="3"/>
            <charset val="134"/>
          </rPr>
          <t>咚咚呛:</t>
        </r>
        <r>
          <rPr>
            <sz val="9"/>
            <color indexed="81"/>
            <rFont val="宋体"/>
            <family val="3"/>
            <charset val="134"/>
          </rPr>
          <t xml:space="preserve">
每多签一份提单，YJC多收GLV100元</t>
        </r>
      </text>
    </comment>
    <comment ref="K5" authorId="1" shapeId="0" xr:uid="{1AD34367-053B-472D-AD5D-0D75C2E739C2}">
      <text>
        <r>
          <rPr>
            <b/>
            <sz val="9"/>
            <color indexed="81"/>
            <rFont val="宋体"/>
            <family val="3"/>
            <charset val="134"/>
          </rPr>
          <t>zds:</t>
        </r>
        <r>
          <rPr>
            <sz val="9"/>
            <color indexed="81"/>
            <rFont val="宋体"/>
            <family val="3"/>
            <charset val="134"/>
          </rPr>
          <t xml:space="preserve">
正本提单寄：上海市闵行区吴中路1235号7楼AB座 15050260290 Ellie Luo</t>
        </r>
      </text>
    </comment>
    <comment ref="K10" authorId="0" shapeId="0" xr:uid="{1789A600-62E1-4677-81D5-767B2A52B6E7}">
      <text>
        <r>
          <rPr>
            <b/>
            <sz val="9"/>
            <color indexed="81"/>
            <rFont val="宋体"/>
            <family val="3"/>
            <charset val="134"/>
          </rPr>
          <t>咚咚呛:</t>
        </r>
        <r>
          <rPr>
            <sz val="9"/>
            <color indexed="81"/>
            <rFont val="宋体"/>
            <family val="3"/>
            <charset val="134"/>
          </rPr>
          <t xml:space="preserve">
发票请备注船名航次和关单号。
</t>
        </r>
      </text>
    </comment>
    <comment ref="K13" authorId="1" shapeId="0" xr:uid="{F1EDC711-5F4C-4CCC-AA41-2966684376B9}">
      <text>
        <r>
          <rPr>
            <b/>
            <sz val="9"/>
            <color indexed="81"/>
            <rFont val="宋体"/>
            <family val="3"/>
            <charset val="134"/>
          </rPr>
          <t>zds:</t>
        </r>
        <r>
          <rPr>
            <sz val="9"/>
            <color indexed="81"/>
            <rFont val="宋体"/>
            <family val="3"/>
            <charset val="134"/>
          </rPr>
          <t xml:space="preserve">
提单盖章不要AS CARRIER，勾上Carrier Print
提单寄郑淑莉，发票寄滕越</t>
        </r>
      </text>
    </comment>
    <comment ref="K14" authorId="0" shapeId="0" xr:uid="{08F6B602-B7B0-41D4-B9A1-7AA532450CCD}">
      <text>
        <r>
          <rPr>
            <b/>
            <sz val="9"/>
            <color indexed="81"/>
            <rFont val="宋体"/>
            <family val="3"/>
            <charset val="134"/>
          </rPr>
          <t>咚咚呛:</t>
        </r>
        <r>
          <rPr>
            <sz val="9"/>
            <color indexed="81"/>
            <rFont val="宋体"/>
            <family val="3"/>
            <charset val="134"/>
          </rPr>
          <t xml:space="preserve">
SHPR不要HBL</t>
        </r>
      </text>
    </comment>
    <comment ref="K18" authorId="1" shapeId="0" xr:uid="{547A3536-0C6F-406D-AB6C-C65E0A7D7DE7}">
      <text>
        <r>
          <rPr>
            <b/>
            <sz val="9"/>
            <color indexed="81"/>
            <rFont val="宋体"/>
            <family val="3"/>
            <charset val="134"/>
          </rPr>
          <t>zds:</t>
        </r>
        <r>
          <rPr>
            <sz val="9"/>
            <color indexed="81"/>
            <rFont val="宋体"/>
            <family val="3"/>
            <charset val="134"/>
          </rPr>
          <t xml:space="preserve">
发票要分开开（各单分别开票，按明细显示），25号前和清单一起寄客户。</t>
        </r>
      </text>
    </comment>
  </commentList>
</comments>
</file>

<file path=xl/sharedStrings.xml><?xml version="1.0" encoding="utf-8"?>
<sst xmlns="http://schemas.openxmlformats.org/spreadsheetml/2006/main" count="6089" uniqueCount="1260">
  <si>
    <t>ETD</t>
  </si>
  <si>
    <t>YJCSHAN1915772</t>
  </si>
  <si>
    <t>YJCSHAN1915768</t>
  </si>
  <si>
    <t>YJCSHAN1915769</t>
  </si>
  <si>
    <t>HANSSEM</t>
  </si>
  <si>
    <t>YJCSHAN1915697</t>
  </si>
  <si>
    <t>SSEM</t>
  </si>
  <si>
    <t>HB190601</t>
  </si>
  <si>
    <t>LOUISUN</t>
  </si>
  <si>
    <t>YJCSHAN1915776</t>
  </si>
  <si>
    <t>PCLU1940HN4302</t>
  </si>
  <si>
    <t>PCLU1795PE4400</t>
  </si>
  <si>
    <t>CASAMIA</t>
    <phoneticPr fontId="1" type="noConversion"/>
  </si>
  <si>
    <t>20'</t>
    <phoneticPr fontId="1" type="noConversion"/>
  </si>
  <si>
    <t>40'</t>
    <phoneticPr fontId="1" type="noConversion"/>
  </si>
  <si>
    <t>220/340</t>
    <phoneticPr fontId="1" type="noConversion"/>
  </si>
  <si>
    <t>230/340</t>
    <phoneticPr fontId="1" type="noConversion"/>
  </si>
  <si>
    <t>660/990</t>
    <phoneticPr fontId="1" type="noConversion"/>
  </si>
  <si>
    <t>$20/40</t>
    <phoneticPr fontId="1" type="noConversion"/>
  </si>
  <si>
    <t>250/340</t>
    <phoneticPr fontId="1" type="noConversion"/>
  </si>
  <si>
    <t>775/1162</t>
    <phoneticPr fontId="1" type="noConversion"/>
  </si>
  <si>
    <t>CHATTANOOGA</t>
  </si>
  <si>
    <t>PEGASUS TERA</t>
  </si>
  <si>
    <t>ETD</t>
    <phoneticPr fontId="1" type="noConversion"/>
  </si>
  <si>
    <t>船名</t>
    <phoneticPr fontId="1" type="noConversion"/>
  </si>
  <si>
    <t>航次</t>
    <phoneticPr fontId="1" type="noConversion"/>
  </si>
  <si>
    <t>船名航次</t>
    <phoneticPr fontId="1" type="noConversion"/>
  </si>
  <si>
    <t>永艺</t>
    <phoneticPr fontId="1" type="noConversion"/>
  </si>
  <si>
    <t>雅家居</t>
    <phoneticPr fontId="1" type="noConversion"/>
  </si>
  <si>
    <t>华宝</t>
    <phoneticPr fontId="1" type="noConversion"/>
  </si>
  <si>
    <t>卡帛</t>
    <phoneticPr fontId="1" type="noConversion"/>
  </si>
  <si>
    <t>华达利</t>
    <phoneticPr fontId="1" type="noConversion"/>
  </si>
  <si>
    <t>HANSSEM</t>
    <phoneticPr fontId="1" type="noConversion"/>
  </si>
  <si>
    <t>洲际</t>
    <phoneticPr fontId="1" type="noConversion"/>
  </si>
  <si>
    <t>万盛</t>
    <phoneticPr fontId="1" type="noConversion"/>
  </si>
  <si>
    <t>顾家</t>
    <phoneticPr fontId="1" type="noConversion"/>
  </si>
  <si>
    <t>瑞显</t>
    <phoneticPr fontId="1" type="noConversion"/>
  </si>
  <si>
    <t>TEU</t>
    <phoneticPr fontId="1" type="noConversion"/>
  </si>
  <si>
    <t>PO</t>
    <phoneticPr fontId="1" type="noConversion"/>
  </si>
  <si>
    <t>EN</t>
    <phoneticPr fontId="1" type="noConversion"/>
  </si>
  <si>
    <t>显示名称</t>
    <phoneticPr fontId="1" type="noConversion"/>
  </si>
  <si>
    <t>CN</t>
    <phoneticPr fontId="1" type="noConversion"/>
  </si>
  <si>
    <t>CNEE</t>
    <phoneticPr fontId="1" type="noConversion"/>
  </si>
  <si>
    <t>非相</t>
  </si>
  <si>
    <t>非相</t>
    <phoneticPr fontId="1" type="noConversion"/>
  </si>
  <si>
    <t>PHILOSOPHY</t>
  </si>
  <si>
    <t>万盛</t>
  </si>
  <si>
    <t>WANSHENG</t>
  </si>
  <si>
    <t>瑞显</t>
  </si>
  <si>
    <t>安吉</t>
  </si>
  <si>
    <t>顾家</t>
  </si>
  <si>
    <t>洲际</t>
  </si>
  <si>
    <t>韩森</t>
  </si>
  <si>
    <t>华达利</t>
  </si>
  <si>
    <t>卡帛</t>
  </si>
  <si>
    <t>华大</t>
  </si>
  <si>
    <t>华宝</t>
  </si>
  <si>
    <t>雅家居</t>
  </si>
  <si>
    <t>永艺</t>
  </si>
  <si>
    <t>ANJI</t>
  </si>
  <si>
    <t>KUKA</t>
  </si>
  <si>
    <t>ZHOUJI</t>
  </si>
  <si>
    <t>HTL</t>
  </si>
  <si>
    <t>CABO</t>
  </si>
  <si>
    <t>HUADA</t>
  </si>
  <si>
    <t>HUABAO</t>
  </si>
  <si>
    <t>YAJIAJU</t>
  </si>
  <si>
    <t>UE</t>
  </si>
  <si>
    <t>HSO 1811-25E-147</t>
  </si>
  <si>
    <t>HSO 1811-25E-148</t>
  </si>
  <si>
    <t>HSO 1811-25E-149</t>
  </si>
  <si>
    <t>HSO 1811-25E-150</t>
  </si>
  <si>
    <t>HSO 1811-25E-156</t>
  </si>
  <si>
    <t>HSO 1811-25E-151</t>
  </si>
  <si>
    <t>219JJ52-10000-14</t>
  </si>
  <si>
    <t>SSEM</t>
    <phoneticPr fontId="1" type="noConversion"/>
  </si>
  <si>
    <t>HSO 1811-25E-152</t>
  </si>
  <si>
    <t>HSO 1811-25E-154</t>
  </si>
  <si>
    <t>HSO 1811-25E-155</t>
  </si>
  <si>
    <t>万盛 - HANSSEM</t>
  </si>
  <si>
    <t>顾家 - HANSSEM</t>
  </si>
  <si>
    <t>卡帛 - HANSSEM</t>
  </si>
  <si>
    <t>永艺 - SSEM</t>
  </si>
  <si>
    <t>华达利 - CASAMIA</t>
  </si>
  <si>
    <t>雅家居 - CASAMIA</t>
  </si>
  <si>
    <t>PO1908020039
PO1908020041
PO1908020042
PO1908020043</t>
    <phoneticPr fontId="1" type="noConversion"/>
  </si>
  <si>
    <t>OK</t>
  </si>
  <si>
    <t>OK</t>
    <phoneticPr fontId="1" type="noConversion"/>
  </si>
  <si>
    <t>PO1909100004
PO1909100013
PO1908020007
PO1908020013</t>
    <phoneticPr fontId="1" type="noConversion"/>
  </si>
  <si>
    <t>MBL</t>
    <phoneticPr fontId="1" type="noConversion"/>
  </si>
  <si>
    <t>PCLU1794PE4400</t>
  </si>
  <si>
    <t>PCLU1795PE4402</t>
  </si>
  <si>
    <t>PCLU1940HN4304</t>
  </si>
  <si>
    <t>PCLU1940HN4306</t>
  </si>
  <si>
    <t>PCLU1940HN4308</t>
  </si>
  <si>
    <t>PCLU1795PE4300</t>
  </si>
  <si>
    <t>PCLU1795PE4302</t>
  </si>
  <si>
    <t>PCLU1795PE4304</t>
  </si>
  <si>
    <t>PCLU1795PE4306</t>
  </si>
  <si>
    <t>PCLU1941HN4300</t>
  </si>
  <si>
    <t>PCLU1796PE4302</t>
  </si>
  <si>
    <t>PCLU1796PE4306</t>
  </si>
  <si>
    <t>PCLU1796PE4308</t>
  </si>
  <si>
    <t>PCLU1796PE4400</t>
    <phoneticPr fontId="1" type="noConversion"/>
  </si>
  <si>
    <t>PCLU1942HN4400</t>
    <phoneticPr fontId="1" type="noConversion"/>
  </si>
  <si>
    <t>PCLU1942HN4402</t>
    <phoneticPr fontId="1" type="noConversion"/>
  </si>
  <si>
    <t>说明</t>
    <phoneticPr fontId="1" type="noConversion"/>
  </si>
  <si>
    <t>CASAMIA</t>
  </si>
  <si>
    <t>CASAMIA</t>
    <phoneticPr fontId="1" type="noConversion"/>
  </si>
  <si>
    <t>╳</t>
    <phoneticPr fontId="1" type="noConversion"/>
  </si>
  <si>
    <t>托书
是否
超限</t>
    <phoneticPr fontId="1" type="noConversion"/>
  </si>
  <si>
    <t>SHPR</t>
    <phoneticPr fontId="1" type="noConversion"/>
  </si>
  <si>
    <t>BKG(CTN)</t>
    <phoneticPr fontId="1" type="noConversion"/>
  </si>
  <si>
    <t>THC(CTN)</t>
    <phoneticPr fontId="1" type="noConversion"/>
  </si>
  <si>
    <t>LSS(CTN)</t>
    <phoneticPr fontId="1" type="noConversion"/>
  </si>
  <si>
    <t>140/280</t>
  </si>
  <si>
    <t>225/350</t>
  </si>
  <si>
    <t>656/998</t>
  </si>
  <si>
    <t>$20/40</t>
  </si>
  <si>
    <t>250/380</t>
  </si>
  <si>
    <t>668/998</t>
  </si>
  <si>
    <t>项目</t>
    <phoneticPr fontId="1" type="noConversion"/>
  </si>
  <si>
    <t>PANCON</t>
  </si>
  <si>
    <t>SINOKOR</t>
  </si>
  <si>
    <t>EFFEX</t>
  </si>
  <si>
    <t>YJC</t>
    <phoneticPr fontId="1" type="noConversion"/>
  </si>
  <si>
    <t>GLV</t>
    <phoneticPr fontId="1" type="noConversion"/>
  </si>
  <si>
    <t>振华</t>
    <phoneticPr fontId="1" type="noConversion"/>
  </si>
  <si>
    <t>借方(收)</t>
    <phoneticPr fontId="1" type="noConversion"/>
  </si>
  <si>
    <t>贷方(支)</t>
    <phoneticPr fontId="1" type="noConversion"/>
  </si>
  <si>
    <t>250/380</t>
    <phoneticPr fontId="1" type="noConversion"/>
  </si>
  <si>
    <t>775/1162</t>
    <phoneticPr fontId="1" type="noConversion"/>
  </si>
  <si>
    <t>250/450</t>
    <phoneticPr fontId="1" type="noConversion"/>
  </si>
  <si>
    <t>DOC(BL)</t>
    <phoneticPr fontId="1" type="noConversion"/>
  </si>
  <si>
    <t>MFF(BL)</t>
    <phoneticPr fontId="1" type="noConversion"/>
  </si>
  <si>
    <t>OSF(BL)</t>
    <phoneticPr fontId="1" type="noConversion"/>
  </si>
  <si>
    <t>SSEM</t>
    <phoneticPr fontId="1" type="noConversion"/>
  </si>
  <si>
    <t>20T</t>
    <phoneticPr fontId="1" type="noConversion"/>
  </si>
  <si>
    <t>40T</t>
    <phoneticPr fontId="1" type="noConversion"/>
  </si>
  <si>
    <t>HANSSEM</t>
    <phoneticPr fontId="1" type="noConversion"/>
  </si>
  <si>
    <t>顾家</t>
    <phoneticPr fontId="1" type="noConversion"/>
  </si>
  <si>
    <t>219JJ52-10000-15</t>
  </si>
  <si>
    <t>219JJ52-10000-10</t>
    <phoneticPr fontId="1" type="noConversion"/>
  </si>
  <si>
    <t>PCLU1940HN4400</t>
    <phoneticPr fontId="1" type="noConversion"/>
  </si>
  <si>
    <t>永艺</t>
    <phoneticPr fontId="1" type="noConversion"/>
  </si>
  <si>
    <t>OK</t>
    <phoneticPr fontId="1" type="noConversion"/>
  </si>
  <si>
    <t>PCLU1940HN4310</t>
    <phoneticPr fontId="1" type="noConversion"/>
  </si>
  <si>
    <t>顾家</t>
    <phoneticPr fontId="1" type="noConversion"/>
  </si>
  <si>
    <t>KY
确认</t>
    <phoneticPr fontId="1" type="noConversion"/>
  </si>
  <si>
    <t>放单</t>
    <phoneticPr fontId="1" type="noConversion"/>
  </si>
  <si>
    <t>shcsm190927</t>
    <phoneticPr fontId="1" type="noConversion"/>
  </si>
  <si>
    <t>HANSSEM</t>
    <phoneticPr fontId="1" type="noConversion"/>
  </si>
  <si>
    <t>CASAMIA</t>
    <phoneticPr fontId="1" type="noConversion"/>
  </si>
  <si>
    <t>GLV</t>
    <phoneticPr fontId="1" type="noConversion"/>
  </si>
  <si>
    <t>250/380</t>
    <phoneticPr fontId="1" type="noConversion"/>
  </si>
  <si>
    <t>775/1162</t>
    <phoneticPr fontId="1" type="noConversion"/>
  </si>
  <si>
    <t>000/340</t>
    <phoneticPr fontId="1" type="noConversion"/>
  </si>
  <si>
    <t>000/1162</t>
    <phoneticPr fontId="1" type="noConversion"/>
  </si>
  <si>
    <t>录
费用</t>
    <phoneticPr fontId="1" type="noConversion"/>
  </si>
  <si>
    <t>收
资料</t>
    <phoneticPr fontId="1" type="noConversion"/>
  </si>
  <si>
    <t>YJC
截单</t>
    <phoneticPr fontId="1" type="noConversion"/>
  </si>
  <si>
    <t>发
舱单</t>
    <phoneticPr fontId="1" type="noConversion"/>
  </si>
  <si>
    <t>并单</t>
    <phoneticPr fontId="1" type="noConversion"/>
  </si>
  <si>
    <t>审核</t>
    <phoneticPr fontId="1" type="noConversion"/>
  </si>
  <si>
    <t>VGM</t>
    <phoneticPr fontId="1" type="noConversion"/>
  </si>
  <si>
    <t>邮件
KY</t>
    <phoneticPr fontId="1" type="noConversion"/>
  </si>
  <si>
    <t>统计
费用</t>
    <phoneticPr fontId="1" type="noConversion"/>
  </si>
  <si>
    <t>APP</t>
    <phoneticPr fontId="1" type="noConversion"/>
  </si>
  <si>
    <t>发票</t>
    <phoneticPr fontId="1" type="noConversion"/>
  </si>
  <si>
    <t>水单</t>
    <phoneticPr fontId="1" type="noConversion"/>
  </si>
  <si>
    <t>确认
舱单</t>
    <phoneticPr fontId="1" type="noConversion"/>
  </si>
  <si>
    <t>PCLU1941HN4306</t>
    <phoneticPr fontId="1" type="noConversion"/>
  </si>
  <si>
    <t>雅家居</t>
    <phoneticPr fontId="1" type="noConversion"/>
  </si>
  <si>
    <t>219JJ52-10000-13</t>
    <phoneticPr fontId="1" type="noConversion"/>
  </si>
  <si>
    <t>PCLU1941HN4308</t>
    <phoneticPr fontId="1" type="noConversion"/>
  </si>
  <si>
    <t>PCLU1942HN4302</t>
    <phoneticPr fontId="1" type="noConversion"/>
  </si>
  <si>
    <t>PCLU1942HN4304</t>
    <phoneticPr fontId="1" type="noConversion"/>
  </si>
  <si>
    <t>PCLU1942HN4306</t>
    <phoneticPr fontId="1" type="noConversion"/>
  </si>
  <si>
    <t>HSO 1811-25E-156</t>
  </si>
  <si>
    <t>HSO 1811-25E-157</t>
  </si>
  <si>
    <t>HSO 1811-25E-158</t>
  </si>
  <si>
    <t>万盛</t>
    <phoneticPr fontId="1" type="noConversion"/>
  </si>
  <si>
    <t>顾家</t>
    <phoneticPr fontId="1" type="noConversion"/>
  </si>
  <si>
    <t>HBL</t>
    <phoneticPr fontId="1" type="noConversion"/>
  </si>
  <si>
    <t>YJCSHAN1916157</t>
  </si>
  <si>
    <t>YJCSHAN1916158</t>
  </si>
  <si>
    <t>YJCSHAN1916228</t>
  </si>
  <si>
    <t>YJCSHAN1916055</t>
  </si>
  <si>
    <t>YJCSHAN1916057</t>
  </si>
  <si>
    <t>YJCSHAN1916058</t>
  </si>
  <si>
    <t>YJCSHAN1916059</t>
  </si>
  <si>
    <t>YJCSHAN1916137</t>
  </si>
  <si>
    <t>YJCSHAN1916060</t>
  </si>
  <si>
    <t>YJCSHAN1916027</t>
  </si>
  <si>
    <t>YJCSHAN1916063</t>
  </si>
  <si>
    <t>YJCSHAN1916064</t>
  </si>
  <si>
    <t>YJCSHAN1915927</t>
  </si>
  <si>
    <t>YJCSHAN1916225</t>
  </si>
  <si>
    <t>YJCSHAN1915928</t>
  </si>
  <si>
    <t>备注</t>
    <phoneticPr fontId="1" type="noConversion"/>
  </si>
  <si>
    <t>拼4403</t>
    <phoneticPr fontId="1" type="noConversion"/>
  </si>
  <si>
    <t>10-1 ORDER</t>
    <phoneticPr fontId="1" type="noConversion"/>
  </si>
  <si>
    <t xml:space="preserve">8-3 ORDER </t>
    <phoneticPr fontId="1" type="noConversion"/>
  </si>
  <si>
    <t>PO1908020044</t>
    <phoneticPr fontId="1" type="noConversion"/>
  </si>
  <si>
    <t>拼4309</t>
    <phoneticPr fontId="1" type="noConversion"/>
  </si>
  <si>
    <t>PCLU1795PE4308</t>
    <phoneticPr fontId="1" type="noConversion"/>
  </si>
  <si>
    <t>华达利</t>
    <phoneticPr fontId="1" type="noConversion"/>
  </si>
  <si>
    <t>PO1909100009
PO1908020012
PO1908020019
PO1908020029</t>
    <phoneticPr fontId="1" type="noConversion"/>
  </si>
  <si>
    <t>PO1908020006
PO1908140034</t>
    <phoneticPr fontId="1" type="noConversion"/>
  </si>
  <si>
    <t>PO1908140032
PO1908140033
PO1908140035</t>
    <phoneticPr fontId="1" type="noConversion"/>
  </si>
  <si>
    <t>YJCSHAN1915773</t>
    <phoneticPr fontId="1" type="noConversion"/>
  </si>
  <si>
    <t>YJCSHAN1915774</t>
    <phoneticPr fontId="1" type="noConversion"/>
  </si>
  <si>
    <t>PCLU1794PE4404</t>
    <phoneticPr fontId="1" type="noConversion"/>
  </si>
  <si>
    <t>219JJ52-10000-12-16</t>
    <phoneticPr fontId="1" type="noConversion"/>
  </si>
  <si>
    <t>原4，套用1个到1009</t>
    <phoneticPr fontId="1" type="noConversion"/>
  </si>
  <si>
    <t>PCLU1797PE4400</t>
    <phoneticPr fontId="1" type="noConversion"/>
  </si>
  <si>
    <t>YJCSHAN1916372</t>
  </si>
  <si>
    <t>200(电放)</t>
    <phoneticPr fontId="1" type="noConversion"/>
  </si>
  <si>
    <t>AHL2332</t>
    <phoneticPr fontId="1" type="noConversion"/>
  </si>
  <si>
    <t>AHL2333</t>
    <phoneticPr fontId="1" type="noConversion"/>
  </si>
  <si>
    <t>洲际</t>
    <phoneticPr fontId="1" type="noConversion"/>
  </si>
  <si>
    <t>PCLU1796PE4402</t>
    <phoneticPr fontId="1" type="noConversion"/>
  </si>
  <si>
    <t>PCLU1942HN4406</t>
    <phoneticPr fontId="1" type="noConversion"/>
  </si>
  <si>
    <t>YJCSHAN1916390</t>
  </si>
  <si>
    <t>YJCSHAN1916391</t>
  </si>
  <si>
    <t>YJCSHAN1915771</t>
    <phoneticPr fontId="1" type="noConversion"/>
  </si>
  <si>
    <t>PCLU1940HN4300</t>
    <phoneticPr fontId="1" type="noConversion"/>
  </si>
  <si>
    <t>YJCSHAN1916226</t>
    <phoneticPr fontId="1" type="noConversion"/>
  </si>
  <si>
    <t>YJCSHAN1916227</t>
    <phoneticPr fontId="1" type="noConversion"/>
  </si>
  <si>
    <t>PCLU1940HN4312</t>
    <phoneticPr fontId="1" type="noConversion"/>
  </si>
  <si>
    <t>叶静</t>
    <phoneticPr fontId="1" type="noConversion"/>
  </si>
  <si>
    <t>王燕华</t>
    <phoneticPr fontId="1" type="noConversion"/>
  </si>
  <si>
    <t>周三</t>
    <phoneticPr fontId="1" type="noConversion"/>
  </si>
  <si>
    <t>周日</t>
    <phoneticPr fontId="1" type="noConversion"/>
  </si>
  <si>
    <t>雅佳居</t>
    <phoneticPr fontId="1" type="noConversion"/>
  </si>
  <si>
    <t>华大</t>
    <phoneticPr fontId="1" type="noConversion"/>
  </si>
  <si>
    <t>韩森</t>
    <phoneticPr fontId="1" type="noConversion"/>
  </si>
  <si>
    <t>PO1908020018
PO1908020028</t>
    <phoneticPr fontId="1" type="noConversion"/>
  </si>
  <si>
    <t>YJCSHAN1915775</t>
    <phoneticPr fontId="1" type="noConversion"/>
  </si>
  <si>
    <t>电子票</t>
    <phoneticPr fontId="1" type="noConversion"/>
  </si>
  <si>
    <t>结算方式</t>
    <phoneticPr fontId="1" type="noConversion"/>
  </si>
  <si>
    <t>开票</t>
    <phoneticPr fontId="1" type="noConversion"/>
  </si>
  <si>
    <t>SH GLV月结</t>
    <phoneticPr fontId="1" type="noConversion"/>
  </si>
  <si>
    <t>200(正本)</t>
    <phoneticPr fontId="1" type="noConversion"/>
  </si>
  <si>
    <t>出2份提单</t>
    <phoneticPr fontId="1" type="noConversion"/>
  </si>
  <si>
    <t>219CABO-HS037/HS038</t>
    <phoneticPr fontId="1" type="noConversion"/>
  </si>
  <si>
    <t>10-02三个没上船改配</t>
    <phoneticPr fontId="1" type="noConversion"/>
  </si>
  <si>
    <t>PCLU1941HN4314</t>
    <phoneticPr fontId="1" type="noConversion"/>
  </si>
  <si>
    <t>PCLU1941HN4316</t>
    <phoneticPr fontId="1" type="noConversion"/>
  </si>
  <si>
    <t>YJCSHAN1916447</t>
  </si>
  <si>
    <t>PCLU1941HN4303</t>
    <phoneticPr fontId="1" type="noConversion"/>
  </si>
  <si>
    <t>拼4305</t>
    <phoneticPr fontId="1" type="noConversion"/>
  </si>
  <si>
    <t>YJCSHAN1916470</t>
  </si>
  <si>
    <t>HSO 1811-25E-159</t>
    <phoneticPr fontId="1" type="noConversion"/>
  </si>
  <si>
    <t>PO1909230012</t>
  </si>
  <si>
    <t>000/340</t>
    <phoneticPr fontId="1" type="noConversion"/>
  </si>
  <si>
    <t>000/1162</t>
    <phoneticPr fontId="1" type="noConversion"/>
  </si>
  <si>
    <t>拼4403</t>
    <phoneticPr fontId="1" type="noConversion"/>
  </si>
  <si>
    <t>拼4407</t>
    <phoneticPr fontId="1" type="noConversion"/>
  </si>
  <si>
    <t>PO1909230015
PO1909230016
PO1909230017</t>
    <phoneticPr fontId="1" type="noConversion"/>
  </si>
  <si>
    <t>PO1908020021
PO1908020031</t>
    <phoneticPr fontId="1" type="noConversion"/>
  </si>
  <si>
    <t>PO1909230013
PO1909230014</t>
    <phoneticPr fontId="1" type="noConversion"/>
  </si>
  <si>
    <t>顾家</t>
    <phoneticPr fontId="1" type="noConversion"/>
  </si>
  <si>
    <t>219JJ52-52000-4</t>
  </si>
  <si>
    <t>219JJ52-10000-17</t>
    <phoneticPr fontId="1" type="noConversion"/>
  </si>
  <si>
    <t>PCLU1797PE4402</t>
    <phoneticPr fontId="1" type="noConversion"/>
  </si>
  <si>
    <t>PCLU1797PE4406</t>
    <phoneticPr fontId="1" type="noConversion"/>
  </si>
  <si>
    <t>PCLU1943HN4300</t>
    <phoneticPr fontId="1" type="noConversion"/>
  </si>
  <si>
    <t>PCLU1943HN4302</t>
    <phoneticPr fontId="1" type="noConversion"/>
  </si>
  <si>
    <t>PCLU1798PE4300</t>
    <phoneticPr fontId="1" type="noConversion"/>
  </si>
  <si>
    <t>五步
订舱</t>
    <phoneticPr fontId="1" type="noConversion"/>
  </si>
  <si>
    <t>YJCSHAN1916612</t>
  </si>
  <si>
    <t>顾家</t>
    <phoneticPr fontId="1" type="noConversion"/>
  </si>
  <si>
    <t>YJCSHAN1916614</t>
  </si>
  <si>
    <t>万盛</t>
    <phoneticPr fontId="1" type="noConversion"/>
  </si>
  <si>
    <t>YJCSHAN1916615</t>
  </si>
  <si>
    <t>YJCSHAN1916617</t>
  </si>
  <si>
    <t>YJCSHAN1916054</t>
    <phoneticPr fontId="1" type="noConversion"/>
  </si>
  <si>
    <t>出3提单A B</t>
    <phoneticPr fontId="1" type="noConversion"/>
  </si>
  <si>
    <t>PCLU1941HN4400</t>
    <phoneticPr fontId="1" type="noConversion"/>
  </si>
  <si>
    <t>3HBL 并1916398/4401 1916400/4402</t>
    <phoneticPr fontId="1" type="noConversion"/>
  </si>
  <si>
    <t>PO1909100010
PO1908020020
PO1908020030</t>
    <phoneticPr fontId="1" type="noConversion"/>
  </si>
  <si>
    <t>000(电放等通知)</t>
    <phoneticPr fontId="1" type="noConversion"/>
  </si>
  <si>
    <t>Tang Yong Kai</t>
    <phoneticPr fontId="1" type="noConversion"/>
  </si>
  <si>
    <t>Ellie Luo</t>
    <phoneticPr fontId="1" type="noConversion"/>
  </si>
  <si>
    <t>HSO 1811-25E-162</t>
  </si>
  <si>
    <t>HSO 1811-25E-160</t>
  </si>
  <si>
    <t>HSO 1811-25E-161</t>
  </si>
  <si>
    <t>万盛</t>
    <phoneticPr fontId="1" type="noConversion"/>
  </si>
  <si>
    <t>PCLU1943HN4304</t>
    <phoneticPr fontId="1" type="noConversion"/>
  </si>
  <si>
    <t>PCLU1943HN4306</t>
    <phoneticPr fontId="1" type="noConversion"/>
  </si>
  <si>
    <t>PCLU1798PE4302</t>
    <phoneticPr fontId="1" type="noConversion"/>
  </si>
  <si>
    <t>PCLU1798PE4304</t>
    <phoneticPr fontId="1" type="noConversion"/>
  </si>
  <si>
    <t>219JJ52-10000-20</t>
  </si>
  <si>
    <t>219JJ52-10000-18</t>
  </si>
  <si>
    <t>雅家居</t>
    <phoneticPr fontId="1" type="noConversion"/>
  </si>
  <si>
    <t>OK</t>
    <phoneticPr fontId="1" type="noConversion"/>
  </si>
  <si>
    <t>拼4310 4312</t>
    <phoneticPr fontId="1" type="noConversion"/>
  </si>
  <si>
    <t>出2份提单 A</t>
    <phoneticPr fontId="1" type="noConversion"/>
  </si>
  <si>
    <t>219CABO-HS040/HS041/HS042</t>
    <phoneticPr fontId="1" type="noConversion"/>
  </si>
  <si>
    <t>219CABO-HS039/HS040/HS041/ HS042/HS043/HS047/HS048</t>
    <phoneticPr fontId="1" type="noConversion"/>
  </si>
  <si>
    <t>1个改到20号</t>
    <phoneticPr fontId="1" type="noConversion"/>
  </si>
  <si>
    <t>改到20</t>
    <phoneticPr fontId="1" type="noConversion"/>
  </si>
  <si>
    <t>PCLU1942HN4300</t>
    <phoneticPr fontId="1" type="noConversion"/>
  </si>
  <si>
    <t>EFFEX</t>
    <phoneticPr fontId="1" type="noConversion"/>
  </si>
  <si>
    <t>PCLU1942HN4308</t>
    <phoneticPr fontId="1" type="noConversion"/>
  </si>
  <si>
    <t>PCLU1797PE4408</t>
    <phoneticPr fontId="1" type="noConversion"/>
  </si>
  <si>
    <t>YJCSHAN1916977</t>
  </si>
  <si>
    <t>YJCSHAN1916978</t>
  </si>
  <si>
    <t>YJCSHAN1916979</t>
  </si>
  <si>
    <t>YJCSHAN1916981</t>
  </si>
  <si>
    <t>YJCSHAN1916983</t>
  </si>
  <si>
    <t>YJCSHAN1916984</t>
  </si>
  <si>
    <t>PCLU1942HN4312</t>
    <phoneticPr fontId="1" type="noConversion"/>
  </si>
  <si>
    <t>OK</t>
    <phoneticPr fontId="1" type="noConversion"/>
  </si>
  <si>
    <t>shcsm191012</t>
    <phoneticPr fontId="1" type="noConversion"/>
  </si>
  <si>
    <t>华宝</t>
    <phoneticPr fontId="1" type="noConversion"/>
  </si>
  <si>
    <t>YJCSHAN1916616</t>
  </si>
  <si>
    <t>PCLU1797PE4410</t>
    <phoneticPr fontId="1" type="noConversion"/>
  </si>
  <si>
    <t>YJCSHAN1916999</t>
  </si>
  <si>
    <t>10-2  ORDER</t>
  </si>
  <si>
    <t>PCLU1943HN4308</t>
    <phoneticPr fontId="1" type="noConversion"/>
  </si>
  <si>
    <t>YJCSHAN1917123</t>
  </si>
  <si>
    <t>KMTC</t>
    <phoneticPr fontId="1" type="noConversion"/>
  </si>
  <si>
    <t>YJCSHAN1917125</t>
  </si>
  <si>
    <t>永艺</t>
    <phoneticPr fontId="1" type="noConversion"/>
  </si>
  <si>
    <t>加上13号一票舱单费</t>
    <phoneticPr fontId="1" type="noConversion"/>
  </si>
  <si>
    <t>舱单费在20号那票里收</t>
    <phoneticPr fontId="1" type="noConversion"/>
  </si>
  <si>
    <t>27改23</t>
    <phoneticPr fontId="1" type="noConversion"/>
  </si>
  <si>
    <t>PCLU1797PE4412</t>
    <phoneticPr fontId="1" type="noConversion"/>
  </si>
  <si>
    <t>顾家CASAMIA</t>
    <phoneticPr fontId="1" type="noConversion"/>
  </si>
  <si>
    <t>华达利</t>
    <phoneticPr fontId="1" type="noConversion"/>
  </si>
  <si>
    <t>PO1909100005
PO1909100011</t>
    <phoneticPr fontId="1" type="noConversion"/>
  </si>
  <si>
    <t>YJCSHAN1916156</t>
    <phoneticPr fontId="1" type="noConversion"/>
  </si>
  <si>
    <t>2提单 1917205</t>
    <phoneticPr fontId="1" type="noConversion"/>
  </si>
  <si>
    <t>YJCSHAN1916288</t>
    <phoneticPr fontId="1" type="noConversion"/>
  </si>
  <si>
    <t>YJCSHAN1916289</t>
    <phoneticPr fontId="1" type="noConversion"/>
  </si>
  <si>
    <t>YJCSHAN1916290</t>
    <phoneticPr fontId="1" type="noConversion"/>
  </si>
  <si>
    <t>YJCSHAN1916980</t>
    <phoneticPr fontId="1" type="noConversion"/>
  </si>
  <si>
    <t>WX 唐</t>
    <phoneticPr fontId="3" type="noConversion"/>
  </si>
  <si>
    <t>QQ WX</t>
    <phoneticPr fontId="1" type="noConversion"/>
  </si>
  <si>
    <t>邮件</t>
    <phoneticPr fontId="1" type="noConversion"/>
  </si>
  <si>
    <t>瑞显 罗小姐</t>
    <phoneticPr fontId="3" type="noConversion"/>
  </si>
  <si>
    <t>非相陈小姐</t>
  </si>
  <si>
    <t>alison.chen</t>
  </si>
  <si>
    <t>雅家居 金峰</t>
  </si>
  <si>
    <t>金峰</t>
  </si>
  <si>
    <t>纬领小宋</t>
  </si>
  <si>
    <t>Sara Song</t>
  </si>
  <si>
    <t>HS指代出货群</t>
  </si>
  <si>
    <t>郑淑莉</t>
  </si>
  <si>
    <t>徐小姐/车队江</t>
  </si>
  <si>
    <t>做船王燕华 周一HCM 周三 周五 周日BUSAN，其他叶静</t>
    <phoneticPr fontId="1" type="noConversion"/>
  </si>
  <si>
    <t>订舱放预配都是王燕华</t>
    <phoneticPr fontId="1" type="noConversion"/>
  </si>
  <si>
    <t>KMTC</t>
    <phoneticPr fontId="1" type="noConversion"/>
  </si>
  <si>
    <t>PCLU1798PE4306</t>
    <phoneticPr fontId="1" type="noConversion"/>
  </si>
  <si>
    <t>YJCSHAN1917277</t>
  </si>
  <si>
    <t>AHL2286</t>
    <phoneticPr fontId="1" type="noConversion"/>
  </si>
  <si>
    <t>KMTCSHAE441748</t>
    <phoneticPr fontId="1" type="noConversion"/>
  </si>
  <si>
    <t>KMTC KMTC SHENZHEN 1910N BUSAN</t>
    <phoneticPr fontId="1" type="noConversion"/>
  </si>
  <si>
    <t>1报3提 1917333 1917334</t>
    <phoneticPr fontId="1" type="noConversion"/>
  </si>
  <si>
    <t>PCLU1943HN4310</t>
    <phoneticPr fontId="1" type="noConversion"/>
  </si>
  <si>
    <t>拼4311 4313</t>
    <phoneticPr fontId="1" type="noConversion"/>
  </si>
  <si>
    <t>PCLU1798PE4308</t>
    <phoneticPr fontId="1" type="noConversion"/>
  </si>
  <si>
    <t>PCLU1798PE4310</t>
    <phoneticPr fontId="1" type="noConversion"/>
  </si>
  <si>
    <t>拼4311</t>
    <phoneticPr fontId="1" type="noConversion"/>
  </si>
  <si>
    <t>YJCSHAN1917391</t>
  </si>
  <si>
    <t>shcsm191018</t>
    <phoneticPr fontId="1" type="noConversion"/>
  </si>
  <si>
    <t>YJCSHAN1917392</t>
  </si>
  <si>
    <t>YJCSHAN1917393</t>
  </si>
  <si>
    <t>华宝</t>
    <phoneticPr fontId="1" type="noConversion"/>
  </si>
  <si>
    <t>1944E</t>
  </si>
  <si>
    <t>1799E</t>
  </si>
  <si>
    <t>1945E</t>
  </si>
  <si>
    <t>1800E</t>
  </si>
  <si>
    <t>1946E</t>
  </si>
  <si>
    <t>1801E</t>
  </si>
  <si>
    <t>1947E</t>
  </si>
  <si>
    <t>1802E</t>
  </si>
  <si>
    <t>CHATTANOOGA 1944E</t>
    <phoneticPr fontId="1" type="noConversion"/>
  </si>
  <si>
    <t>PEGASUS TERA 1799E</t>
    <phoneticPr fontId="1" type="noConversion"/>
  </si>
  <si>
    <t>CHATTANOOGA 1945E</t>
    <phoneticPr fontId="1" type="noConversion"/>
  </si>
  <si>
    <t>PEGASUS TERA 1800E</t>
    <phoneticPr fontId="1" type="noConversion"/>
  </si>
  <si>
    <t>CHATTANOOGA 1946E</t>
    <phoneticPr fontId="1" type="noConversion"/>
  </si>
  <si>
    <t>PEGASUS TERA 1801E</t>
    <phoneticPr fontId="1" type="noConversion"/>
  </si>
  <si>
    <t>CHATTANOOGA 1947E</t>
    <phoneticPr fontId="1" type="noConversion"/>
  </si>
  <si>
    <t>PEGASUS TERA 1802E</t>
    <phoneticPr fontId="1" type="noConversion"/>
  </si>
  <si>
    <t>2提 1917394</t>
    <phoneticPr fontId="1" type="noConversion"/>
  </si>
  <si>
    <t>2提 1917389</t>
    <phoneticPr fontId="1" type="noConversion"/>
  </si>
  <si>
    <t>代收/付买</t>
    <phoneticPr fontId="1" type="noConversion"/>
  </si>
  <si>
    <t>代收/付买/抵扣万盛</t>
    <phoneticPr fontId="1" type="noConversion"/>
  </si>
  <si>
    <t>电子票(康芸)</t>
    <phoneticPr fontId="1" type="noConversion"/>
  </si>
  <si>
    <t>电子票(瑞显)</t>
    <phoneticPr fontId="1" type="noConversion"/>
  </si>
  <si>
    <t>电子票(藤越)</t>
    <phoneticPr fontId="1" type="noConversion"/>
  </si>
  <si>
    <t>电子票(纬领)</t>
    <phoneticPr fontId="1" type="noConversion"/>
  </si>
  <si>
    <t>纸票(按明细显示)</t>
    <phoneticPr fontId="1" type="noConversion"/>
  </si>
  <si>
    <t>拼4409</t>
    <phoneticPr fontId="1" type="noConversion"/>
  </si>
  <si>
    <t>AHL2285</t>
    <phoneticPr fontId="1" type="noConversion"/>
  </si>
  <si>
    <t>10-3  ORDER</t>
  </si>
  <si>
    <t>代收/月结/明细显示</t>
    <phoneticPr fontId="1" type="noConversion"/>
  </si>
  <si>
    <t>219CABO-HS049</t>
  </si>
  <si>
    <t>HANSSEM</t>
    <phoneticPr fontId="1" type="noConversion"/>
  </si>
  <si>
    <t>卡帛</t>
    <phoneticPr fontId="1" type="noConversion"/>
  </si>
  <si>
    <t>219CABO-HS050/HS052/HS057</t>
  </si>
  <si>
    <t>CASAMIA</t>
    <phoneticPr fontId="1" type="noConversion"/>
  </si>
  <si>
    <t>伟誉</t>
  </si>
  <si>
    <t>WEIYU</t>
    <phoneticPr fontId="1" type="noConversion"/>
  </si>
  <si>
    <t>PCLU1943HN4312</t>
    <phoneticPr fontId="1" type="noConversion"/>
  </si>
  <si>
    <t>YJCSHAN1917663</t>
  </si>
  <si>
    <t>拼4301 4303</t>
    <phoneticPr fontId="1" type="noConversion"/>
  </si>
  <si>
    <t>UE-SSEMGLOBAL-201</t>
  </si>
  <si>
    <t>列1</t>
  </si>
  <si>
    <t>PCLU1944HN430</t>
    <phoneticPr fontId="1" type="noConversion"/>
  </si>
  <si>
    <t>PCLU1799PE430</t>
    <phoneticPr fontId="1" type="noConversion"/>
  </si>
  <si>
    <t>PCLU1945HN430</t>
    <phoneticPr fontId="1" type="noConversion"/>
  </si>
  <si>
    <t>PCLU1800PE430</t>
    <phoneticPr fontId="1" type="noConversion"/>
  </si>
  <si>
    <t>PCLU1946HN430</t>
    <phoneticPr fontId="1" type="noConversion"/>
  </si>
  <si>
    <t>PCLU1801PE430</t>
    <phoneticPr fontId="1" type="noConversion"/>
  </si>
  <si>
    <t>PCLU1947HN430</t>
    <phoneticPr fontId="1" type="noConversion"/>
  </si>
  <si>
    <t>PCLU1802PE430</t>
    <phoneticPr fontId="1" type="noConversion"/>
  </si>
  <si>
    <t>PCLU1944HN4302</t>
    <phoneticPr fontId="1" type="noConversion"/>
  </si>
  <si>
    <t>PCLU1944HN4304</t>
    <phoneticPr fontId="1" type="noConversion"/>
  </si>
  <si>
    <t>PCLU1799PE4302</t>
    <phoneticPr fontId="1" type="noConversion"/>
  </si>
  <si>
    <t>PCLU1945HN4302</t>
    <phoneticPr fontId="1" type="noConversion"/>
  </si>
  <si>
    <t>PCLU1800PE4302</t>
    <phoneticPr fontId="1" type="noConversion"/>
  </si>
  <si>
    <t>PCLU1801PE4302</t>
    <phoneticPr fontId="1" type="noConversion"/>
  </si>
  <si>
    <t>YJCSHAN1917708</t>
  </si>
  <si>
    <t>YJCSHAN1917711</t>
  </si>
  <si>
    <t>YJCSHAN1917712</t>
  </si>
  <si>
    <t>YJCSHAN1917713</t>
  </si>
  <si>
    <t>YJCSHAN1917714</t>
  </si>
  <si>
    <t>伟誉</t>
    <phoneticPr fontId="1" type="noConversion"/>
  </si>
  <si>
    <t>╳</t>
  </si>
  <si>
    <t>电子票(启胜)</t>
    <phoneticPr fontId="1" type="noConversion"/>
  </si>
  <si>
    <t>李琳，刘晶晶</t>
    <phoneticPr fontId="1" type="noConversion"/>
  </si>
  <si>
    <t>郑淑莉，蒋小娟</t>
    <phoneticPr fontId="1" type="noConversion"/>
  </si>
  <si>
    <t>1113改1117</t>
    <phoneticPr fontId="1" type="noConversion"/>
  </si>
  <si>
    <t>进港后退关，改27号，费用见文件</t>
    <phoneticPr fontId="1" type="noConversion"/>
  </si>
  <si>
    <t>20号退关改</t>
    <phoneticPr fontId="1" type="noConversion"/>
  </si>
  <si>
    <t>PCLU1943HN4316</t>
    <phoneticPr fontId="1" type="noConversion"/>
  </si>
  <si>
    <t>PCLU1946HN4302</t>
    <phoneticPr fontId="1" type="noConversion"/>
  </si>
  <si>
    <t>AHL2330</t>
    <phoneticPr fontId="1" type="noConversion"/>
  </si>
  <si>
    <t>219JJ52-10000-29</t>
  </si>
  <si>
    <t>YJCSHAN1917759</t>
  </si>
  <si>
    <t>PCLU1799PE4304</t>
    <phoneticPr fontId="1" type="noConversion"/>
  </si>
  <si>
    <t>拼4305</t>
    <phoneticPr fontId="1" type="noConversion"/>
  </si>
  <si>
    <t>PCLU1800PE4304</t>
    <phoneticPr fontId="1" type="noConversion"/>
  </si>
  <si>
    <t>YJCSHAN1917763</t>
  </si>
  <si>
    <t>YJCSHAN1917764</t>
  </si>
  <si>
    <t>KMTC CHATTANOOGA 1942E 漏装至1027</t>
    <phoneticPr fontId="1" type="noConversion"/>
  </si>
  <si>
    <t>1020漏装  SUNNY CALLA 1943N</t>
    <phoneticPr fontId="1" type="noConversion"/>
  </si>
  <si>
    <t>KMTCSHAE473303.</t>
    <phoneticPr fontId="1" type="noConversion"/>
  </si>
  <si>
    <t>拼1917782/4314 1917781/4315 3提</t>
    <phoneticPr fontId="1" type="noConversion"/>
  </si>
  <si>
    <t>1113改1117 1117改1110</t>
    <phoneticPr fontId="1" type="noConversion"/>
  </si>
  <si>
    <t>1117改1110</t>
  </si>
  <si>
    <t>HANSSEM</t>
    <phoneticPr fontId="1" type="noConversion"/>
  </si>
  <si>
    <t>PO1909100006
PO1909100012</t>
    <phoneticPr fontId="1" type="noConversion"/>
  </si>
  <si>
    <t>等通知</t>
    <phoneticPr fontId="1" type="noConversion"/>
  </si>
  <si>
    <t>PCLU1944HN4306</t>
    <phoneticPr fontId="1" type="noConversion"/>
  </si>
  <si>
    <t>PCLU1944HN4308</t>
    <phoneticPr fontId="1" type="noConversion"/>
  </si>
  <si>
    <t>PCLU1945HN4304</t>
    <phoneticPr fontId="1" type="noConversion"/>
  </si>
  <si>
    <t>PCLU1946HN4304</t>
    <phoneticPr fontId="1" type="noConversion"/>
  </si>
  <si>
    <t>KMTCSHAE473303</t>
    <phoneticPr fontId="1" type="noConversion"/>
  </si>
  <si>
    <t>五步</t>
    <phoneticPr fontId="1" type="noConversion"/>
  </si>
  <si>
    <t>KMTC</t>
    <phoneticPr fontId="1" type="noConversion"/>
  </si>
  <si>
    <t>HSO 1811-25E-164</t>
  </si>
  <si>
    <t>-</t>
    <phoneticPr fontId="1" type="noConversion"/>
  </si>
  <si>
    <t>PO.LF029</t>
  </si>
  <si>
    <t>YJCSHAN1917907</t>
  </si>
  <si>
    <t>YJCSHAN1917908</t>
  </si>
  <si>
    <t>YJCSHAN1917713.</t>
    <phoneticPr fontId="1" type="noConversion"/>
  </si>
  <si>
    <t>1002查验没上船，改配13号</t>
    <phoneticPr fontId="1" type="noConversion"/>
  </si>
  <si>
    <t>YJCSHAN1916287</t>
    <phoneticPr fontId="1" type="noConversion"/>
  </si>
  <si>
    <t>拼4301 少一票舱单费1027 1917759代收</t>
    <phoneticPr fontId="1" type="noConversion"/>
  </si>
  <si>
    <t>YJCSHAN1916061</t>
    <phoneticPr fontId="1" type="noConversion"/>
  </si>
  <si>
    <t>YJCSHAN1916986</t>
    <phoneticPr fontId="1" type="noConversion"/>
  </si>
  <si>
    <t>1020退关改1027 查验改封号 代收1113 1916061一票舱单费</t>
    <phoneticPr fontId="1" type="noConversion"/>
  </si>
  <si>
    <t>振华查验改封号不用另外通知振华改，他们按理货来，HBL改好就可以了</t>
    <phoneticPr fontId="1" type="noConversion"/>
  </si>
  <si>
    <t>CASAMIA</t>
    <phoneticPr fontId="1" type="noConversion"/>
  </si>
  <si>
    <t>YJCSHAN1917906</t>
    <phoneticPr fontId="1" type="noConversion"/>
  </si>
  <si>
    <t>拼1917709/4305 1917710/4307 两提</t>
    <phoneticPr fontId="1" type="noConversion"/>
  </si>
  <si>
    <t>HSO 1811-25E-165</t>
    <phoneticPr fontId="1" type="noConversion"/>
  </si>
  <si>
    <t>PCLU1799PE4301</t>
    <phoneticPr fontId="1" type="noConversion"/>
  </si>
  <si>
    <t>PCLU1945HN4301</t>
    <phoneticPr fontId="1" type="noConversion"/>
  </si>
  <si>
    <t>YJCSHAN1918144</t>
  </si>
  <si>
    <t>YJCSHAN1918145</t>
  </si>
  <si>
    <t>shcsm191029</t>
    <phoneticPr fontId="1" type="noConversion"/>
  </si>
  <si>
    <t>PO1909090031
PO1909090032</t>
    <phoneticPr fontId="1" type="noConversion"/>
  </si>
  <si>
    <t>PCLU1947HN4301</t>
    <phoneticPr fontId="1" type="noConversion"/>
  </si>
  <si>
    <t>CASAMIA</t>
    <phoneticPr fontId="1" type="noConversion"/>
  </si>
  <si>
    <t>里高</t>
    <phoneticPr fontId="1" type="noConversion"/>
  </si>
  <si>
    <t>NISCO</t>
    <phoneticPr fontId="1" type="noConversion"/>
  </si>
  <si>
    <r>
      <t>拼4303 4309</t>
    </r>
    <r>
      <rPr>
        <sz val="11"/>
        <color theme="1"/>
        <rFont val="等线"/>
        <family val="3"/>
        <charset val="134"/>
        <scheme val="minor"/>
      </rPr>
      <t xml:space="preserve"> 两提1918221</t>
    </r>
    <phoneticPr fontId="1" type="noConversion"/>
  </si>
  <si>
    <t>PCLU1947HN4302</t>
    <phoneticPr fontId="1" type="noConversion"/>
  </si>
  <si>
    <t>YJCSHAN1918250</t>
  </si>
  <si>
    <t>拼4303</t>
    <phoneticPr fontId="1" type="noConversion"/>
  </si>
  <si>
    <t>HANSSEM</t>
    <phoneticPr fontId="1" type="noConversion"/>
  </si>
  <si>
    <t>219CABO-HS056</t>
  </si>
  <si>
    <t>PCLU1802PE4301</t>
    <phoneticPr fontId="1" type="noConversion"/>
  </si>
  <si>
    <t>YJCSHAN1918297</t>
  </si>
  <si>
    <t>富和</t>
    <phoneticPr fontId="1" type="noConversion"/>
  </si>
  <si>
    <t>亚东潘贵梅/小吴</t>
    <phoneticPr fontId="1" type="noConversion"/>
  </si>
  <si>
    <t>亚东潘贵梅/小毛</t>
    <phoneticPr fontId="1" type="noConversion"/>
  </si>
  <si>
    <t>富和</t>
    <phoneticPr fontId="1" type="noConversion"/>
  </si>
  <si>
    <t>FUHE</t>
    <phoneticPr fontId="1" type="noConversion"/>
  </si>
  <si>
    <t>苏州众臣</t>
    <phoneticPr fontId="1" type="noConversion"/>
  </si>
  <si>
    <t>HSO 1811-25E-168</t>
  </si>
  <si>
    <t>HSO 1811-25E-170</t>
  </si>
  <si>
    <t>HSO 1811-25E-171</t>
  </si>
  <si>
    <t>HSO 1811-25E-167</t>
  </si>
  <si>
    <t>HSO 1811-25E-169</t>
    <phoneticPr fontId="1" type="noConversion"/>
  </si>
  <si>
    <t>HSO 1811-25E-166</t>
    <phoneticPr fontId="1" type="noConversion"/>
  </si>
  <si>
    <t>HSO 1811-25E-172</t>
    <phoneticPr fontId="1" type="noConversion"/>
  </si>
  <si>
    <t>219JJ52-10000-33B</t>
  </si>
  <si>
    <t>219JJ52-10000-36-31</t>
  </si>
  <si>
    <t>219JJ52-10000-27</t>
  </si>
  <si>
    <t>219JJ52-10000-23B</t>
  </si>
  <si>
    <t>219CABO-HS051</t>
  </si>
  <si>
    <t>PCLU1945HN4303</t>
    <phoneticPr fontId="1" type="noConversion"/>
  </si>
  <si>
    <t>PCLU1800PE4308</t>
    <phoneticPr fontId="1" type="noConversion"/>
  </si>
  <si>
    <t>PCLU1800PE4307</t>
    <phoneticPr fontId="1" type="noConversion"/>
  </si>
  <si>
    <t>PCLU1946HN4305</t>
    <phoneticPr fontId="1" type="noConversion"/>
  </si>
  <si>
    <t>PCLU1946HN4306</t>
    <phoneticPr fontId="1" type="noConversion"/>
  </si>
  <si>
    <t>PCLU1801PE4304</t>
    <phoneticPr fontId="1" type="noConversion"/>
  </si>
  <si>
    <t>PCLU1801PE4305</t>
    <phoneticPr fontId="1" type="noConversion"/>
  </si>
  <si>
    <t>PCLU1801PE4306</t>
    <phoneticPr fontId="1" type="noConversion"/>
  </si>
  <si>
    <t>PCLU1947HN4303</t>
    <phoneticPr fontId="1" type="noConversion"/>
  </si>
  <si>
    <t>PCLU1947HN4304</t>
    <phoneticPr fontId="1" type="noConversion"/>
  </si>
  <si>
    <t>PCLU1802PE4302</t>
    <phoneticPr fontId="1" type="noConversion"/>
  </si>
  <si>
    <t>YJCSHAN1918456</t>
  </si>
  <si>
    <t>YJCSHAN1918457</t>
  </si>
  <si>
    <t>YJCSHAN1918458</t>
  </si>
  <si>
    <t>YJCSHAN1918459</t>
  </si>
  <si>
    <t>拼4305 两提1918460</t>
    <phoneticPr fontId="1" type="noConversion"/>
  </si>
  <si>
    <t>YJCSHAN1918461</t>
  </si>
  <si>
    <t>YJCSHAN1918464</t>
  </si>
  <si>
    <t>YJCSHAN1918465</t>
  </si>
  <si>
    <t>YJCSHAN1918466</t>
  </si>
  <si>
    <t>YJCSHAN1918468</t>
  </si>
  <si>
    <t>YJCSHAN1918470</t>
  </si>
  <si>
    <t>219JJ52-10000-26</t>
    <phoneticPr fontId="1" type="noConversion"/>
  </si>
  <si>
    <t>YJCSHAN1918530</t>
  </si>
  <si>
    <t>PCLU1946HN4301</t>
    <phoneticPr fontId="1" type="noConversion"/>
  </si>
  <si>
    <t>森川</t>
    <phoneticPr fontId="1" type="noConversion"/>
  </si>
  <si>
    <t>SENCHUAN</t>
    <phoneticPr fontId="1" type="noConversion"/>
  </si>
  <si>
    <t>PO190070016(I191005)
PO1910070017(I191006)</t>
    <phoneticPr fontId="1" type="noConversion"/>
  </si>
  <si>
    <t>PCLU1946HN4303</t>
    <phoneticPr fontId="1" type="noConversion"/>
  </si>
  <si>
    <t>YJCSHAN1918538</t>
  </si>
  <si>
    <t>宁波做</t>
    <phoneticPr fontId="1" type="noConversion"/>
  </si>
  <si>
    <t>HANSSEM</t>
    <phoneticPr fontId="1" type="noConversion"/>
  </si>
  <si>
    <t>万盛</t>
    <phoneticPr fontId="1" type="noConversion"/>
  </si>
  <si>
    <t>HSO 1811-25E-174</t>
  </si>
  <si>
    <t>PCLU1945HN4305</t>
    <phoneticPr fontId="1" type="noConversion"/>
  </si>
  <si>
    <t>YJCSHAN1918591</t>
  </si>
  <si>
    <t>PCLU1946HN4307</t>
    <phoneticPr fontId="1" type="noConversion"/>
  </si>
  <si>
    <t>YJCSHAN1918678</t>
  </si>
  <si>
    <t>取消</t>
    <phoneticPr fontId="1" type="noConversion"/>
  </si>
  <si>
    <t>PCLU1946HN4308</t>
    <phoneticPr fontId="1" type="noConversion"/>
  </si>
  <si>
    <t>PCLU1946HN4309</t>
    <phoneticPr fontId="1" type="noConversion"/>
  </si>
  <si>
    <t>YJCSHAN1918734</t>
  </si>
  <si>
    <t>YJCSHAN1918736</t>
  </si>
  <si>
    <t>PCLU1801PE4301</t>
    <phoneticPr fontId="1" type="noConversion"/>
  </si>
  <si>
    <t>219JJ52-10000-28</t>
    <phoneticPr fontId="1" type="noConversion"/>
  </si>
  <si>
    <t>等通知电放</t>
    <phoneticPr fontId="1" type="noConversion"/>
  </si>
  <si>
    <t>AHL2342A</t>
  </si>
  <si>
    <t>PCLU1801PE4307</t>
    <phoneticPr fontId="1" type="noConversion"/>
  </si>
  <si>
    <t>YJCSHAN1918840</t>
  </si>
  <si>
    <t>拼 4308</t>
    <phoneticPr fontId="1" type="noConversion"/>
  </si>
  <si>
    <t>SSEM</t>
    <phoneticPr fontId="1" type="noConversion"/>
  </si>
  <si>
    <t>11-1  ORDER</t>
  </si>
  <si>
    <t>YJCSHAN1918462</t>
    <phoneticPr fontId="1" type="noConversion"/>
  </si>
  <si>
    <t>PCLU1800PE4301</t>
    <phoneticPr fontId="1" type="noConversion"/>
  </si>
  <si>
    <t>拼4306</t>
    <phoneticPr fontId="1" type="noConversion"/>
  </si>
  <si>
    <t>PCLU1801PE4309</t>
    <phoneticPr fontId="1" type="noConversion"/>
  </si>
  <si>
    <t>YJCSHAN1918898</t>
  </si>
  <si>
    <t>PO1910010056
PO1910010058
PO1910010060</t>
    <phoneticPr fontId="1" type="noConversion"/>
  </si>
  <si>
    <t>PO1909100008
PO1910010052
PO1910010054</t>
    <phoneticPr fontId="1" type="noConversion"/>
  </si>
  <si>
    <t>1948E</t>
    <phoneticPr fontId="1" type="noConversion"/>
  </si>
  <si>
    <t>CHATTANOOGA 1948E</t>
    <phoneticPr fontId="1" type="noConversion"/>
  </si>
  <si>
    <t>PCLU1948HN430</t>
    <phoneticPr fontId="1" type="noConversion"/>
  </si>
  <si>
    <t>PCLU1948HN4301</t>
    <phoneticPr fontId="1" type="noConversion"/>
  </si>
  <si>
    <t>PCLU1948HN4302</t>
    <phoneticPr fontId="1" type="noConversion"/>
  </si>
  <si>
    <t>YJCSHAN1919022</t>
  </si>
  <si>
    <t>YJCSHAN1919023</t>
  </si>
  <si>
    <t>OK</t>
    <phoneticPr fontId="1" type="noConversion"/>
  </si>
  <si>
    <t>改到27日</t>
    <phoneticPr fontId="1" type="noConversion"/>
  </si>
  <si>
    <t>YJCSHAN1918167-1</t>
    <phoneticPr fontId="1" type="noConversion"/>
  </si>
  <si>
    <t>YJCSHAN1918167</t>
    <phoneticPr fontId="1" type="noConversion"/>
  </si>
  <si>
    <t>PCLU1802PE4303</t>
    <phoneticPr fontId="1" type="noConversion"/>
  </si>
  <si>
    <t>华宝</t>
    <phoneticPr fontId="1" type="noConversion"/>
  </si>
  <si>
    <t>PCLU1801PE4303</t>
    <phoneticPr fontId="1" type="noConversion"/>
  </si>
  <si>
    <t>YJCSHAN1919121</t>
  </si>
  <si>
    <t>华宝</t>
    <phoneticPr fontId="1" type="noConversion"/>
  </si>
  <si>
    <t>华宝 - EFFEX</t>
  </si>
  <si>
    <t>拼4310</t>
    <phoneticPr fontId="1" type="noConversion"/>
  </si>
  <si>
    <t>shcsm191107</t>
    <phoneticPr fontId="1" type="noConversion"/>
  </si>
  <si>
    <t>拼 4310 4311</t>
    <phoneticPr fontId="1" type="noConversion"/>
  </si>
  <si>
    <t>PCLU1947HN4305</t>
    <phoneticPr fontId="1" type="noConversion"/>
  </si>
  <si>
    <t>PCLU1802PE4304</t>
    <phoneticPr fontId="1" type="noConversion"/>
  </si>
  <si>
    <t>YJCSHAN1919139</t>
  </si>
  <si>
    <t>YJCSHAN1919141</t>
  </si>
  <si>
    <t>拼4305 4306</t>
    <phoneticPr fontId="1" type="noConversion"/>
  </si>
  <si>
    <t>代收/月结</t>
    <phoneticPr fontId="1" type="noConversion"/>
  </si>
  <si>
    <t>shcsm191114</t>
    <phoneticPr fontId="1" type="noConversion"/>
  </si>
  <si>
    <t>拼 4312</t>
    <phoneticPr fontId="1" type="noConversion"/>
  </si>
  <si>
    <t>PCLU1948HN4303</t>
    <phoneticPr fontId="1" type="noConversion"/>
  </si>
  <si>
    <t>PCLU1947HN4306</t>
    <phoneticPr fontId="1" type="noConversion"/>
  </si>
  <si>
    <t>YJCSHAN1919287</t>
  </si>
  <si>
    <t>YJCSHAN1918735</t>
    <phoneticPr fontId="1" type="noConversion"/>
  </si>
  <si>
    <t>立鑫</t>
    <phoneticPr fontId="1" type="noConversion"/>
  </si>
  <si>
    <t>HSO 1811-25E-175</t>
  </si>
  <si>
    <t>HSO 1811-25E-176</t>
  </si>
  <si>
    <t>YJCSHAN1918469</t>
    <phoneticPr fontId="1" type="noConversion"/>
  </si>
  <si>
    <t>PCLU1947HN4307</t>
    <phoneticPr fontId="1" type="noConversion"/>
  </si>
  <si>
    <t>PCLU1947HN4308</t>
    <phoneticPr fontId="1" type="noConversion"/>
  </si>
  <si>
    <t>PCLU1947HN4309</t>
    <phoneticPr fontId="1" type="noConversion"/>
  </si>
  <si>
    <t>YJCSHAN1919333</t>
  </si>
  <si>
    <t>YJCSHAN1919334</t>
  </si>
  <si>
    <t>3提1919372 1919373</t>
    <phoneticPr fontId="1" type="noConversion"/>
  </si>
  <si>
    <t>PCLU1948HN4304</t>
    <phoneticPr fontId="1" type="noConversion"/>
  </si>
  <si>
    <t>PCLU1948HN4305</t>
    <phoneticPr fontId="1" type="noConversion"/>
  </si>
  <si>
    <t>YJCSHAN1919403</t>
  </si>
  <si>
    <t>YJCSHAN1919404</t>
  </si>
  <si>
    <t>拼4310 4311</t>
    <phoneticPr fontId="1" type="noConversion"/>
  </si>
  <si>
    <t>219JJ52-10000-44-45</t>
  </si>
  <si>
    <t>HSO 1811-25E-177</t>
  </si>
  <si>
    <t>HSO 1811-25E-178</t>
  </si>
  <si>
    <t>PCLU1802PE4307</t>
    <phoneticPr fontId="1" type="noConversion"/>
  </si>
  <si>
    <t>PCLU1802PE4308</t>
    <phoneticPr fontId="1" type="noConversion"/>
  </si>
  <si>
    <t>PCLU1948HN4306</t>
    <phoneticPr fontId="1" type="noConversion"/>
  </si>
  <si>
    <t>PCLU1948HN4307</t>
    <phoneticPr fontId="1" type="noConversion"/>
  </si>
  <si>
    <t>PCLU1948HN4308</t>
    <phoneticPr fontId="1" type="noConversion"/>
  </si>
  <si>
    <t>YJCSHAN1919539</t>
  </si>
  <si>
    <t>YJCSHAN1919543</t>
  </si>
  <si>
    <t>5&gt;&gt;3</t>
    <phoneticPr fontId="1" type="noConversion"/>
  </si>
  <si>
    <t>PO1910010051
PO1910010053
PO1910010055</t>
    <phoneticPr fontId="1" type="noConversion"/>
  </si>
  <si>
    <t>PO1910010057
PO1910010059</t>
    <phoneticPr fontId="1" type="noConversion"/>
  </si>
  <si>
    <t>PCLU1802PE4309</t>
    <phoneticPr fontId="1" type="noConversion"/>
  </si>
  <si>
    <t>YJCSHAN1919546</t>
  </si>
  <si>
    <t>11-2  ORDER</t>
  </si>
  <si>
    <t>PCLU1947HN4311</t>
    <phoneticPr fontId="1" type="noConversion"/>
  </si>
  <si>
    <t>YJCSHAN1919573</t>
  </si>
  <si>
    <t>1803E</t>
  </si>
  <si>
    <t>1949E</t>
  </si>
  <si>
    <t>1804E</t>
  </si>
  <si>
    <t>1950E</t>
  </si>
  <si>
    <t>1805E</t>
  </si>
  <si>
    <t>1951E</t>
  </si>
  <si>
    <t>1806E</t>
  </si>
  <si>
    <t>1952E</t>
  </si>
  <si>
    <t>PEGASUS TERA 1803E</t>
    <phoneticPr fontId="1" type="noConversion"/>
  </si>
  <si>
    <t>CHATTANOOGA 1949E</t>
    <phoneticPr fontId="1" type="noConversion"/>
  </si>
  <si>
    <t>PEGASUS TERA 1804E</t>
    <phoneticPr fontId="1" type="noConversion"/>
  </si>
  <si>
    <t>CHATTANOOGA 1950E</t>
    <phoneticPr fontId="1" type="noConversion"/>
  </si>
  <si>
    <t>PEGASUS TERA 1805E</t>
    <phoneticPr fontId="1" type="noConversion"/>
  </si>
  <si>
    <t>CHATTANOOGA 1951E</t>
    <phoneticPr fontId="1" type="noConversion"/>
  </si>
  <si>
    <t>PEGASUS TERA 1806E</t>
    <phoneticPr fontId="1" type="noConversion"/>
  </si>
  <si>
    <t>CHATTANOOGA 1952E</t>
    <phoneticPr fontId="1" type="noConversion"/>
  </si>
  <si>
    <t>PCLU1803PE430</t>
    <phoneticPr fontId="1" type="noConversion"/>
  </si>
  <si>
    <t>PCLU1949HN430</t>
    <phoneticPr fontId="1" type="noConversion"/>
  </si>
  <si>
    <t>PCLU1804PE430</t>
    <phoneticPr fontId="1" type="noConversion"/>
  </si>
  <si>
    <t>PCLU1950HN430</t>
    <phoneticPr fontId="1" type="noConversion"/>
  </si>
  <si>
    <t>PCLU1805PE430</t>
    <phoneticPr fontId="1" type="noConversion"/>
  </si>
  <si>
    <t>PCLU1806PE430</t>
    <phoneticPr fontId="1" type="noConversion"/>
  </si>
  <si>
    <t>PCLU1951HN430</t>
    <phoneticPr fontId="1" type="noConversion"/>
  </si>
  <si>
    <t>PCLU1952HN430</t>
    <phoneticPr fontId="1" type="noConversion"/>
  </si>
  <si>
    <t>PCLU1803PE4301</t>
    <phoneticPr fontId="1" type="noConversion"/>
  </si>
  <si>
    <t>拼4302</t>
    <phoneticPr fontId="1" type="noConversion"/>
  </si>
  <si>
    <t>PCLU1803PE4303</t>
    <phoneticPr fontId="1" type="noConversion"/>
  </si>
  <si>
    <t>PCLU1949HN4301</t>
    <phoneticPr fontId="1" type="noConversion"/>
  </si>
  <si>
    <t>PCLU1950HN4301</t>
    <phoneticPr fontId="1" type="noConversion"/>
  </si>
  <si>
    <t>PCLU1805PE4301</t>
    <phoneticPr fontId="1" type="noConversion"/>
  </si>
  <si>
    <t>YJCSHAN1919583</t>
  </si>
  <si>
    <t>YJCSHAN1919584</t>
  </si>
  <si>
    <t>YJCSHAN1919585</t>
  </si>
  <si>
    <t>YJCSHAN1919586</t>
  </si>
  <si>
    <t>YJCSHAN1919587</t>
  </si>
  <si>
    <t>219CABO-HS055</t>
  </si>
  <si>
    <t>PCLU1949HN4303</t>
    <phoneticPr fontId="1" type="noConversion"/>
  </si>
  <si>
    <t>PCLU1804PE4301</t>
    <phoneticPr fontId="1" type="noConversion"/>
  </si>
  <si>
    <t>PCLU1950HN4303</t>
    <phoneticPr fontId="1" type="noConversion"/>
  </si>
  <si>
    <t>PEGASUS TERA</t>
    <phoneticPr fontId="1" type="noConversion"/>
  </si>
  <si>
    <t>王燕华PEGASUS TERA</t>
    <phoneticPr fontId="1" type="noConversion"/>
  </si>
  <si>
    <t>CHATTANOOGA</t>
    <phoneticPr fontId="1" type="noConversion"/>
  </si>
  <si>
    <t>叶静CHATTANOOGA</t>
    <phoneticPr fontId="1" type="noConversion"/>
  </si>
  <si>
    <t>YJCSHAN1919332</t>
    <phoneticPr fontId="1" type="noConversion"/>
  </si>
  <si>
    <t>更改封号发两次舱单</t>
    <phoneticPr fontId="1" type="noConversion"/>
  </si>
  <si>
    <t>shcsm191122</t>
    <phoneticPr fontId="1" type="noConversion"/>
  </si>
  <si>
    <t>PCLU1948HN4309</t>
    <phoneticPr fontId="1" type="noConversion"/>
  </si>
  <si>
    <t>YJCSHAN1919742</t>
  </si>
  <si>
    <t>YJCSHAN1919743</t>
  </si>
  <si>
    <t>YJCSHAN1919744</t>
  </si>
  <si>
    <t>YJCSHAN1919745</t>
  </si>
  <si>
    <t>HSO 1811-25E-183</t>
    <phoneticPr fontId="1" type="noConversion"/>
  </si>
  <si>
    <t>HSO 1811-25E-186</t>
    <phoneticPr fontId="1" type="noConversion"/>
  </si>
  <si>
    <t>HSO 1811-25E-187</t>
  </si>
  <si>
    <t>HSO 1811-25E-189</t>
    <phoneticPr fontId="1" type="noConversion"/>
  </si>
  <si>
    <t>PCLU1803PE4304</t>
    <phoneticPr fontId="1" type="noConversion"/>
  </si>
  <si>
    <t>PCLU1803PE4305</t>
    <phoneticPr fontId="1" type="noConversion"/>
  </si>
  <si>
    <t>PCLU1949HN4304</t>
    <phoneticPr fontId="1" type="noConversion"/>
  </si>
  <si>
    <t>PCLU1949HN4305</t>
    <phoneticPr fontId="1" type="noConversion"/>
  </si>
  <si>
    <t>PCLU1949HN4306</t>
    <phoneticPr fontId="1" type="noConversion"/>
  </si>
  <si>
    <t>PCLU1804PE4302</t>
    <phoneticPr fontId="1" type="noConversion"/>
  </si>
  <si>
    <t>PCLU1804PE4303</t>
    <phoneticPr fontId="1" type="noConversion"/>
  </si>
  <si>
    <t>PCLU1804PE4304</t>
    <phoneticPr fontId="1" type="noConversion"/>
  </si>
  <si>
    <t>PCLU1950HN4304</t>
    <phoneticPr fontId="1" type="noConversion"/>
  </si>
  <si>
    <t>PCLU1950HN4305</t>
    <phoneticPr fontId="1" type="noConversion"/>
  </si>
  <si>
    <t>HDC(BL)</t>
    <phoneticPr fontId="1" type="noConversion"/>
  </si>
  <si>
    <t>YJCSHAN1919781</t>
  </si>
  <si>
    <t>YJCSHAN1919782</t>
  </si>
  <si>
    <t>正本</t>
    <phoneticPr fontId="1" type="noConversion"/>
  </si>
  <si>
    <t>正本要求</t>
    <phoneticPr fontId="1" type="noConversion"/>
  </si>
  <si>
    <t>YJCSHAN1919538</t>
    <phoneticPr fontId="1" type="noConversion"/>
  </si>
  <si>
    <t>汪伟萍，蒋小娟</t>
    <phoneticPr fontId="1" type="noConversion"/>
  </si>
  <si>
    <t>YJCSHAN1919791</t>
  </si>
  <si>
    <t>模板</t>
    <phoneticPr fontId="1" type="noConversion"/>
  </si>
  <si>
    <t>YJCSHAN1919792</t>
  </si>
  <si>
    <t>YJCSHAN1919793</t>
  </si>
  <si>
    <t>-</t>
    <phoneticPr fontId="1" type="noConversion"/>
  </si>
  <si>
    <t>PO1909270104
PO1909270105
PO1909270106
PO1909270107
PO1909270108</t>
    <phoneticPr fontId="1" type="noConversion"/>
  </si>
  <si>
    <t>PO.LF030</t>
  </si>
  <si>
    <t>PO.LF031</t>
  </si>
  <si>
    <t>核
数据</t>
    <phoneticPr fontId="1" type="noConversion"/>
  </si>
  <si>
    <t>PCLU1949HN4307</t>
    <phoneticPr fontId="1" type="noConversion"/>
  </si>
  <si>
    <t>PCLU1949HN4308</t>
    <phoneticPr fontId="1" type="noConversion"/>
  </si>
  <si>
    <t>PCLU1804PE4305</t>
    <phoneticPr fontId="1" type="noConversion"/>
  </si>
  <si>
    <t>PCLU1804PE4306</t>
    <phoneticPr fontId="1" type="noConversion"/>
  </si>
  <si>
    <t>PCLU1950HN4306</t>
    <phoneticPr fontId="1" type="noConversion"/>
  </si>
  <si>
    <t>PCLU1951HN4301</t>
    <phoneticPr fontId="1" type="noConversion"/>
  </si>
  <si>
    <t>YJCSHAN1919891</t>
  </si>
  <si>
    <t>YJCSHAN1919892</t>
  </si>
  <si>
    <t>YJCSHAN1919894</t>
  </si>
  <si>
    <t>YJCSHAN1919895</t>
  </si>
  <si>
    <t>YJCSHAN1919896</t>
  </si>
  <si>
    <t>YJCSHAN1919897</t>
  </si>
  <si>
    <t>YJCSHAN1919898</t>
  </si>
  <si>
    <t>PCLU1805PE4303</t>
    <phoneticPr fontId="1" type="noConversion"/>
  </si>
  <si>
    <t>YJCSHAN1919901</t>
  </si>
  <si>
    <t>YJCSHAN1919902</t>
  </si>
  <si>
    <t>PO1910010029
PO1910010030
PO1910010035</t>
    <phoneticPr fontId="1" type="noConversion"/>
  </si>
  <si>
    <t>PCLU1804PE4307</t>
    <phoneticPr fontId="1" type="noConversion"/>
  </si>
  <si>
    <t>YJCSHAN1919920</t>
  </si>
  <si>
    <t>OK</t>
    <phoneticPr fontId="1" type="noConversion"/>
  </si>
  <si>
    <t>拼4312</t>
    <phoneticPr fontId="1" type="noConversion"/>
  </si>
  <si>
    <t>CANCEL</t>
    <phoneticPr fontId="1" type="noConversion"/>
  </si>
  <si>
    <t>PO1909270109
PO1909270110</t>
    <phoneticPr fontId="1" type="noConversion"/>
  </si>
  <si>
    <t>shcsm191129</t>
    <phoneticPr fontId="1" type="noConversion"/>
  </si>
  <si>
    <t>YJCSHAN1919920-1</t>
    <phoneticPr fontId="1" type="noConversion"/>
  </si>
  <si>
    <t>PCLU1804PE4308</t>
    <phoneticPr fontId="1" type="noConversion"/>
  </si>
  <si>
    <t>PCLU1804PE4309</t>
    <phoneticPr fontId="1" type="noConversion"/>
  </si>
  <si>
    <t>YJCSHAN1920269</t>
  </si>
  <si>
    <t>PCLU1804PE4310</t>
    <phoneticPr fontId="1" type="noConversion"/>
  </si>
  <si>
    <t>YJCSHAN1920291</t>
  </si>
  <si>
    <t>PO1910070018</t>
    <phoneticPr fontId="1" type="noConversion"/>
  </si>
  <si>
    <t>PO1910010023
PO1910010024</t>
    <phoneticPr fontId="1" type="noConversion"/>
  </si>
  <si>
    <t>PCLU1805PE4304</t>
    <phoneticPr fontId="1" type="noConversion"/>
  </si>
  <si>
    <t>YJCSHAN1919540</t>
    <phoneticPr fontId="1" type="noConversion"/>
  </si>
  <si>
    <t>PCLU1950HN4307</t>
    <phoneticPr fontId="1" type="noConversion"/>
  </si>
  <si>
    <t>拼4308</t>
    <phoneticPr fontId="1" type="noConversion"/>
  </si>
  <si>
    <t>AHL2364A</t>
    <phoneticPr fontId="1" type="noConversion"/>
  </si>
  <si>
    <t>YJCSHAN1920358</t>
  </si>
  <si>
    <t>PO1909270111
PO1909270112
PO1909270113</t>
    <phoneticPr fontId="1" type="noConversion"/>
  </si>
  <si>
    <t>顾家</t>
    <phoneticPr fontId="1" type="noConversion"/>
  </si>
  <si>
    <t>12/11 &gt;&gt; 12/18</t>
    <phoneticPr fontId="1" type="noConversion"/>
  </si>
  <si>
    <t>YJCSHAN1920269-1</t>
    <phoneticPr fontId="1" type="noConversion"/>
  </si>
  <si>
    <t>PCLU1805PE4305</t>
    <phoneticPr fontId="1" type="noConversion"/>
  </si>
  <si>
    <t>PCLU1952HN4301</t>
    <phoneticPr fontId="1" type="noConversion"/>
  </si>
  <si>
    <t>YJCSHAN1920379</t>
  </si>
  <si>
    <t>YJCSHAN1919776</t>
    <phoneticPr fontId="1" type="noConversion"/>
  </si>
  <si>
    <t>420/840</t>
  </si>
  <si>
    <t>420/840</t>
    <phoneticPr fontId="1" type="noConversion"/>
  </si>
  <si>
    <t>12/29 &gt;&gt; 1/8</t>
    <phoneticPr fontId="1" type="noConversion"/>
  </si>
  <si>
    <t>YJCSHAN1920379-1</t>
    <phoneticPr fontId="1" type="noConversion"/>
  </si>
  <si>
    <t>PO1910010052
PO1910010056</t>
    <phoneticPr fontId="1" type="noConversion"/>
  </si>
  <si>
    <t>PCLU1949HN4309</t>
    <phoneticPr fontId="1" type="noConversion"/>
  </si>
  <si>
    <t>YJCSHAN1920465</t>
  </si>
  <si>
    <t>PCLU1805PE4306</t>
    <phoneticPr fontId="1" type="noConversion"/>
  </si>
  <si>
    <t>(4307ANC占用)</t>
    <phoneticPr fontId="1" type="noConversion"/>
  </si>
  <si>
    <t>12/8 &gt;&gt; 12/11</t>
    <phoneticPr fontId="1" type="noConversion"/>
  </si>
  <si>
    <t>219CABO-HS055/HS059/061</t>
    <phoneticPr fontId="1" type="noConversion"/>
  </si>
  <si>
    <t>2提1919742</t>
    <phoneticPr fontId="1" type="noConversion"/>
  </si>
  <si>
    <t>YJCSHAN1920518</t>
  </si>
  <si>
    <t>UE-SSEMGLOBAL-203</t>
  </si>
  <si>
    <t>PCLU1805PE4308</t>
    <phoneticPr fontId="1" type="noConversion"/>
  </si>
  <si>
    <t>YJCSHAN1920537</t>
  </si>
  <si>
    <t>PCLU1950HN4309</t>
    <phoneticPr fontId="1" type="noConversion"/>
  </si>
  <si>
    <t>1912050002</t>
    <phoneticPr fontId="1" type="noConversion"/>
  </si>
  <si>
    <t>YJCSHAN1919779</t>
    <phoneticPr fontId="1" type="noConversion"/>
  </si>
  <si>
    <t>219JJ52-10000-62-63</t>
  </si>
  <si>
    <t>PCLU1806PE4301</t>
    <phoneticPr fontId="1" type="noConversion"/>
  </si>
  <si>
    <t>PCLU1951HN4302</t>
    <phoneticPr fontId="1" type="noConversion"/>
  </si>
  <si>
    <t>PCLU1952HN4302</t>
    <phoneticPr fontId="1" type="noConversion"/>
  </si>
  <si>
    <t>YJCSHAN1920635</t>
  </si>
  <si>
    <t>YJCSHAN1920636</t>
  </si>
  <si>
    <t>YJCSHAN1920639</t>
  </si>
  <si>
    <t>1报2提1920640</t>
    <phoneticPr fontId="1" type="noConversion"/>
  </si>
  <si>
    <t>YJCSHAN1920641</t>
  </si>
  <si>
    <t>YJCSHAN1920537-1</t>
    <phoneticPr fontId="1" type="noConversion"/>
  </si>
  <si>
    <t>PCLU1950HN4310</t>
    <phoneticPr fontId="1" type="noConversion"/>
  </si>
  <si>
    <t>PCLU1950HN4311</t>
    <phoneticPr fontId="1" type="noConversion"/>
  </si>
  <si>
    <t>拼4312 4313</t>
    <phoneticPr fontId="1" type="noConversion"/>
  </si>
  <si>
    <t>YJCSHAN1919783</t>
    <phoneticPr fontId="1" type="noConversion"/>
  </si>
  <si>
    <t>PCLU1805PE4309</t>
    <phoneticPr fontId="1" type="noConversion"/>
  </si>
  <si>
    <t>拼4310 4311 4312</t>
    <phoneticPr fontId="1" type="noConversion"/>
  </si>
  <si>
    <t>PCLU1805PE4313</t>
    <phoneticPr fontId="1" type="noConversion"/>
  </si>
  <si>
    <t>HSO 1811-25E-197</t>
  </si>
  <si>
    <t>HSO 1811-25E-203</t>
  </si>
  <si>
    <t>HSO 1811-25E-204</t>
  </si>
  <si>
    <t>PCLU1805PE4315</t>
    <phoneticPr fontId="1" type="noConversion"/>
  </si>
  <si>
    <t>PCLU1805PE4316</t>
    <phoneticPr fontId="1" type="noConversion"/>
  </si>
  <si>
    <t>PCLU1951HN4303</t>
    <phoneticPr fontId="1" type="noConversion"/>
  </si>
  <si>
    <t>PCLU1951HN4304</t>
    <phoneticPr fontId="1" type="noConversion"/>
  </si>
  <si>
    <t>PCLU1951HN4305</t>
    <phoneticPr fontId="1" type="noConversion"/>
  </si>
  <si>
    <t>PCLU1806PE4302</t>
    <phoneticPr fontId="1" type="noConversion"/>
  </si>
  <si>
    <t>PCLU1806PE4303</t>
    <phoneticPr fontId="1" type="noConversion"/>
  </si>
  <si>
    <t>PCLU1806PE4304</t>
    <phoneticPr fontId="1" type="noConversion"/>
  </si>
  <si>
    <t>PCLU1806PE4305</t>
    <phoneticPr fontId="1" type="noConversion"/>
  </si>
  <si>
    <t>PCLU1952HN4303</t>
    <phoneticPr fontId="1" type="noConversion"/>
  </si>
  <si>
    <t>PCLU1952HN4304</t>
    <phoneticPr fontId="1" type="noConversion"/>
  </si>
  <si>
    <t>PCLU1952HN4305</t>
    <phoneticPr fontId="1" type="noConversion"/>
  </si>
  <si>
    <t>PCLU1952HN4306</t>
    <phoneticPr fontId="1" type="noConversion"/>
  </si>
  <si>
    <t>YJCSHAN1920744</t>
  </si>
  <si>
    <t>YJCSHAN1920756</t>
  </si>
  <si>
    <t>YJCSHAN1920758</t>
  </si>
  <si>
    <t>YJCSHAN1920809</t>
  </si>
  <si>
    <t>YJCSHAN1920812</t>
  </si>
  <si>
    <t>YJCSHAN1920813</t>
  </si>
  <si>
    <t>YJCSHAN1920815</t>
  </si>
  <si>
    <t>YJCSHAN1920816</t>
  </si>
  <si>
    <t>YJCSHAN1919785</t>
    <phoneticPr fontId="1" type="noConversion"/>
  </si>
  <si>
    <t>YJCSHAN1920288</t>
    <phoneticPr fontId="1" type="noConversion"/>
  </si>
  <si>
    <t>1218 &gt;&gt; 1222</t>
    <phoneticPr fontId="1" type="noConversion"/>
  </si>
  <si>
    <t>YJCSHAN1919920-2</t>
    <phoneticPr fontId="1" type="noConversion"/>
  </si>
  <si>
    <t>PCLU1951HN4306</t>
    <phoneticPr fontId="1" type="noConversion"/>
  </si>
  <si>
    <t>PCLU1950HN4314</t>
    <phoneticPr fontId="1" type="noConversion"/>
  </si>
  <si>
    <t>拼4315</t>
    <phoneticPr fontId="1" type="noConversion"/>
  </si>
  <si>
    <t>CANCEL</t>
    <phoneticPr fontId="1" type="noConversion"/>
  </si>
  <si>
    <t>SHPR LSS</t>
    <phoneticPr fontId="1" type="noConversion"/>
  </si>
  <si>
    <t>KY已确认 SHPR LSS</t>
    <phoneticPr fontId="1" type="noConversion"/>
  </si>
  <si>
    <t>420/840【??】</t>
    <phoneticPr fontId="1" type="noConversion"/>
  </si>
  <si>
    <t>1个延到1/12</t>
    <phoneticPr fontId="1" type="noConversion"/>
  </si>
  <si>
    <t>219JJ52-10000-47B</t>
  </si>
  <si>
    <t>PCLU1951HN4307</t>
    <phoneticPr fontId="1" type="noConversion"/>
  </si>
  <si>
    <t>YJCSHAN1921026</t>
  </si>
  <si>
    <t>退费</t>
    <phoneticPr fontId="1" type="noConversion"/>
  </si>
  <si>
    <t xml:space="preserve">8-3 ORDER </t>
  </si>
  <si>
    <t>YJCSHAN1914865</t>
  </si>
  <si>
    <t>PCLU1937HN4402</t>
  </si>
  <si>
    <t>219JJ52-10000-6</t>
  </si>
  <si>
    <t>219CABO-HS030</t>
  </si>
  <si>
    <t>HSO 1811-25E-135</t>
  </si>
  <si>
    <t>HSO 1811-25E-136</t>
  </si>
  <si>
    <t>YJCSHAN1915136</t>
  </si>
  <si>
    <t>PCLU1792PE4404</t>
  </si>
  <si>
    <t>瑞显 - CASAMIA</t>
  </si>
  <si>
    <t>FURNITURE</t>
  </si>
  <si>
    <t>YJCSHAN1914951</t>
  </si>
  <si>
    <t>PCLU1938HN4400</t>
  </si>
  <si>
    <t>219JJ52-10000-9</t>
  </si>
  <si>
    <t>YJCSHAN1915130</t>
  </si>
  <si>
    <t>PCLU1938HN4300</t>
  </si>
  <si>
    <t>219CABO-HS035/HS044/HS046</t>
  </si>
  <si>
    <t>YJCSHAN1915133</t>
  </si>
  <si>
    <t>PCLU1938HN4302</t>
  </si>
  <si>
    <t>HSO 1811-25E-139</t>
  </si>
  <si>
    <t>HSO 1811-25E-140</t>
  </si>
  <si>
    <t>HSO 1811-25E-141</t>
  </si>
  <si>
    <t>PO1908020017
PO1908020027
PO1908020011</t>
  </si>
  <si>
    <t>YJCSHAN1915718</t>
  </si>
  <si>
    <t>PCLU1793PE4308</t>
  </si>
  <si>
    <t>YJCSHAN1914953</t>
  </si>
  <si>
    <t>PCLU1793PE4400</t>
  </si>
  <si>
    <t>拼4401</t>
  </si>
  <si>
    <t>219JJ52-10000-5</t>
  </si>
  <si>
    <t>YJCSHAN1914680</t>
  </si>
  <si>
    <t>PCLU1793PE4300</t>
  </si>
  <si>
    <t>HSO 1811-25E-142</t>
  </si>
  <si>
    <t>YJCSHAN1915657</t>
  </si>
  <si>
    <t>PCLU1793PE4302</t>
  </si>
  <si>
    <t>HSO 1811-25E-143</t>
  </si>
  <si>
    <t>YJCSHAN1915658</t>
  </si>
  <si>
    <t>PCLU1793PE4304</t>
  </si>
  <si>
    <t>1915754 1915755</t>
  </si>
  <si>
    <t>9-7 ORDER</t>
  </si>
  <si>
    <t>YJCSHAN1915583</t>
  </si>
  <si>
    <t>PCLU1793PE4404</t>
  </si>
  <si>
    <t>拼4405 1915810</t>
  </si>
  <si>
    <t>非相 - CASAMIA</t>
  </si>
  <si>
    <t>PO1907230017</t>
  </si>
  <si>
    <t>YJCSHAN1916011</t>
  </si>
  <si>
    <t>PCLU1939HN4310</t>
  </si>
  <si>
    <t>shcsm190920</t>
  </si>
  <si>
    <t>YJCSHAN1915777</t>
  </si>
  <si>
    <t>PCLU1939HN4302</t>
  </si>
  <si>
    <t>219JJ52-10000-7-11</t>
  </si>
  <si>
    <t>YJCSHAN1915429</t>
  </si>
  <si>
    <t>PCLU1939HN4300</t>
  </si>
  <si>
    <t>HSO 1811-25E-145</t>
  </si>
  <si>
    <t>YJCSHAN1915929</t>
  </si>
  <si>
    <t>PCLU1939HN4306</t>
  </si>
  <si>
    <t>HSO 1811-25E-146</t>
  </si>
  <si>
    <t>YJCSHAN1915930</t>
  </si>
  <si>
    <t>PCLU1939HN4308</t>
  </si>
  <si>
    <t>9-8 ORDER</t>
  </si>
  <si>
    <t>YJCSHAN1915778</t>
  </si>
  <si>
    <t>PCLU1939HN4304</t>
  </si>
  <si>
    <t>PO1910010036
PO1910010040
PO1910010054
PO1910010058</t>
    <phoneticPr fontId="1" type="noConversion"/>
  </si>
  <si>
    <t>PO1910010027
PO1910010028</t>
    <phoneticPr fontId="1" type="noConversion"/>
  </si>
  <si>
    <t>PO1910010049
PO1910010050</t>
    <phoneticPr fontId="1" type="noConversion"/>
  </si>
  <si>
    <t>PO1911150046
PO1911150047
PO1911150050
PO1911150051</t>
    <phoneticPr fontId="1" type="noConversion"/>
  </si>
  <si>
    <t>PCLU1806PE4306</t>
    <phoneticPr fontId="1" type="noConversion"/>
  </si>
  <si>
    <t>PCLU1806PE4307</t>
    <phoneticPr fontId="1" type="noConversion"/>
  </si>
  <si>
    <t>PCLU1806PE4308</t>
    <phoneticPr fontId="1" type="noConversion"/>
  </si>
  <si>
    <t>PCLU1952HN4307</t>
    <phoneticPr fontId="1" type="noConversion"/>
  </si>
  <si>
    <t>YJCSHAN1921107</t>
  </si>
  <si>
    <t>YJCSHAN1921108</t>
  </si>
  <si>
    <t>YJCSHAN1921109</t>
  </si>
  <si>
    <t>YJCSHAN1921110</t>
  </si>
  <si>
    <t>YJCSHAN1920757</t>
    <phoneticPr fontId="1" type="noConversion"/>
  </si>
  <si>
    <t>YJCSHAN1920757-1</t>
    <phoneticPr fontId="1" type="noConversion"/>
  </si>
  <si>
    <t>OK</t>
    <phoneticPr fontId="1" type="noConversion"/>
  </si>
  <si>
    <t>YJCSHAN1920884</t>
    <phoneticPr fontId="1" type="noConversion"/>
  </si>
  <si>
    <t>YJCSHAN1919786</t>
    <phoneticPr fontId="1" type="noConversion"/>
  </si>
  <si>
    <t>PCLU1952HN4308</t>
    <phoneticPr fontId="1" type="noConversion"/>
  </si>
  <si>
    <t>YJCSHAN1921114</t>
  </si>
  <si>
    <t>2提1921137</t>
    <phoneticPr fontId="1" type="noConversion"/>
  </si>
  <si>
    <t>PCLU1805PE4317</t>
    <phoneticPr fontId="1" type="noConversion"/>
  </si>
  <si>
    <t>YJCSHAN1921140</t>
  </si>
  <si>
    <t>219JJ52-10000-50-51</t>
  </si>
  <si>
    <t>电放</t>
    <phoneticPr fontId="1" type="noConversion"/>
  </si>
  <si>
    <t>PCLU1951HN4308</t>
    <phoneticPr fontId="1" type="noConversion"/>
  </si>
  <si>
    <t>YJCSHAN1921212</t>
  </si>
  <si>
    <t>华宝</t>
    <phoneticPr fontId="1" type="noConversion"/>
  </si>
  <si>
    <t>爆舱延22号</t>
    <phoneticPr fontId="1" type="noConversion"/>
  </si>
  <si>
    <t>拼4314 2提1921285</t>
    <phoneticPr fontId="1" type="noConversion"/>
  </si>
  <si>
    <t>PCLU1806PE4309</t>
    <phoneticPr fontId="1" type="noConversion"/>
  </si>
  <si>
    <t>拼4310 4311</t>
    <phoneticPr fontId="1" type="noConversion"/>
  </si>
  <si>
    <t>YJCSHAN1921330</t>
  </si>
  <si>
    <t>3提1921341 1921343</t>
    <phoneticPr fontId="1" type="noConversion"/>
  </si>
  <si>
    <t>新封号</t>
    <phoneticPr fontId="1" type="noConversion"/>
  </si>
  <si>
    <t>219CABO-HS068</t>
  </si>
  <si>
    <t>PCLU1806PE4312</t>
    <phoneticPr fontId="1" type="noConversion"/>
  </si>
  <si>
    <t>拼4309 2提1920637</t>
    <phoneticPr fontId="1" type="noConversion"/>
  </si>
  <si>
    <t>YJCSHAN1921371</t>
  </si>
  <si>
    <t>YJCSHAN1920766</t>
    <phoneticPr fontId="1" type="noConversion"/>
  </si>
  <si>
    <t>YJCSHAN1920768</t>
    <phoneticPr fontId="1" type="noConversion"/>
  </si>
  <si>
    <t>SIDIZ</t>
    <phoneticPr fontId="1" type="noConversion"/>
  </si>
  <si>
    <t>飞集</t>
    <phoneticPr fontId="1" type="noConversion"/>
  </si>
  <si>
    <t>FEIJI</t>
    <phoneticPr fontId="1" type="noConversion"/>
  </si>
  <si>
    <t>SNKO020191202991</t>
  </si>
  <si>
    <t>YJCSHAN1920691</t>
  </si>
  <si>
    <t>PACIFIC GENEVA 0028N</t>
    <phoneticPr fontId="1" type="noConversion"/>
  </si>
  <si>
    <t>YJCSHAN1920693</t>
    <phoneticPr fontId="1" type="noConversion"/>
  </si>
  <si>
    <t>SNKO020191202993</t>
  </si>
  <si>
    <t>HEUNG-A AKITA 0129N</t>
    <phoneticPr fontId="1" type="noConversion"/>
  </si>
  <si>
    <t>订舱
审核</t>
    <phoneticPr fontId="1" type="noConversion"/>
  </si>
  <si>
    <t>订舱
加拼
提交</t>
    <phoneticPr fontId="1" type="noConversion"/>
  </si>
  <si>
    <t>订舱
拼核</t>
    <phoneticPr fontId="1" type="noConversion"/>
  </si>
  <si>
    <t>截单
录入</t>
    <phoneticPr fontId="1" type="noConversion"/>
  </si>
  <si>
    <t>HBL</t>
    <phoneticPr fontId="1" type="noConversion"/>
  </si>
  <si>
    <t>AHL2365A</t>
  </si>
  <si>
    <t>AHL2366A</t>
  </si>
  <si>
    <t>AHL2367A</t>
  </si>
  <si>
    <t>YJCSHAN1919286</t>
    <phoneticPr fontId="1" type="noConversion"/>
  </si>
  <si>
    <t>219JJ52-10000-52B</t>
  </si>
  <si>
    <t>219JJ52-10000-58B</t>
  </si>
  <si>
    <t>219JJ52-10000-61B</t>
  </si>
  <si>
    <t>退关</t>
    <phoneticPr fontId="1" type="noConversion"/>
  </si>
  <si>
    <t>PO1911150046
PO1911150047
PO1911150050
PO1910010033</t>
    <phoneticPr fontId="1" type="noConversion"/>
  </si>
  <si>
    <t>YJCSHAN1921108-1</t>
    <phoneticPr fontId="1" type="noConversion"/>
  </si>
  <si>
    <t>PO1910070019</t>
    <phoneticPr fontId="1" type="noConversion"/>
  </si>
  <si>
    <t>YJCSHAN1921110-1</t>
    <phoneticPr fontId="1" type="noConversion"/>
  </si>
  <si>
    <t>PO1910010060
PO1910010039
PO1910010034</t>
    <phoneticPr fontId="1" type="noConversion"/>
  </si>
  <si>
    <t>PCLU1952HN4309</t>
    <phoneticPr fontId="1" type="noConversion"/>
  </si>
  <si>
    <t>发HBL
和INL</t>
    <phoneticPr fontId="1" type="noConversion"/>
  </si>
  <si>
    <t>HBL
INL
确认</t>
    <phoneticPr fontId="1" type="noConversion"/>
  </si>
  <si>
    <t>YJCSHAN1920807</t>
    <phoneticPr fontId="1" type="noConversion"/>
  </si>
  <si>
    <t>YJCSHAN1920808</t>
    <phoneticPr fontId="1" type="noConversion"/>
  </si>
  <si>
    <t>YJCSHAN1920810</t>
    <phoneticPr fontId="1" type="noConversion"/>
  </si>
  <si>
    <t>1807E</t>
  </si>
  <si>
    <t>2001E</t>
  </si>
  <si>
    <t>2002E</t>
  </si>
  <si>
    <t>2003E</t>
  </si>
  <si>
    <t>2004E</t>
  </si>
  <si>
    <t>PCLU2001HN430</t>
  </si>
  <si>
    <t>PCLU2002HN430</t>
  </si>
  <si>
    <t>PCLU2003HN430</t>
  </si>
  <si>
    <t>PCLU2004HN430</t>
  </si>
  <si>
    <t>PCLU1807PE430</t>
  </si>
  <si>
    <t>PCLU2002PE430</t>
  </si>
  <si>
    <t>PCLU2003PE430</t>
  </si>
  <si>
    <t>PCLU2004PE430</t>
  </si>
  <si>
    <t>PEGASUS TERA 2003E</t>
  </si>
  <si>
    <t>CHATTANOOGA 2004E</t>
  </si>
  <si>
    <t>PEGASUS TERA 2004E</t>
  </si>
  <si>
    <t>取消拼4313</t>
    <phoneticPr fontId="1" type="noConversion"/>
  </si>
  <si>
    <t>PCLU1807PE4301</t>
    <phoneticPr fontId="1" type="noConversion"/>
  </si>
  <si>
    <t>PCLU1807PE4302</t>
    <phoneticPr fontId="1" type="noConversion"/>
  </si>
  <si>
    <t>PCLU1807PE4303</t>
    <phoneticPr fontId="1" type="noConversion"/>
  </si>
  <si>
    <t>PCLU2001HN4301</t>
    <phoneticPr fontId="1" type="noConversion"/>
  </si>
  <si>
    <t>PCLU2001HN4302</t>
    <phoneticPr fontId="1" type="noConversion"/>
  </si>
  <si>
    <t>PCLU2001PE4301</t>
    <phoneticPr fontId="1" type="noConversion"/>
  </si>
  <si>
    <t>PCLU2001PE4302</t>
    <phoneticPr fontId="1" type="noConversion"/>
  </si>
  <si>
    <t>PCLU2002HN4301</t>
    <phoneticPr fontId="1" type="noConversion"/>
  </si>
  <si>
    <t>PCLU2002HN4302</t>
    <phoneticPr fontId="1" type="noConversion"/>
  </si>
  <si>
    <t>PCLU2002HN4304</t>
    <phoneticPr fontId="1" type="noConversion"/>
  </si>
  <si>
    <t>PCLU2002HN4306</t>
    <phoneticPr fontId="1" type="noConversion"/>
  </si>
  <si>
    <t>PCLU2002HN4308</t>
    <phoneticPr fontId="1" type="noConversion"/>
  </si>
  <si>
    <t>PCLU2002HN4309</t>
    <phoneticPr fontId="1" type="noConversion"/>
  </si>
  <si>
    <t>拼4307</t>
    <phoneticPr fontId="1" type="noConversion"/>
  </si>
  <si>
    <t>219JJ52-10000-67</t>
  </si>
  <si>
    <t>PCLU2002PE4301</t>
    <phoneticPr fontId="1" type="noConversion"/>
  </si>
  <si>
    <t>PCLU2003HN4301</t>
    <phoneticPr fontId="1" type="noConversion"/>
  </si>
  <si>
    <t>YJCSHAN1919902-1</t>
    <phoneticPr fontId="1" type="noConversion"/>
  </si>
  <si>
    <t>YJCSHAN1921695</t>
  </si>
  <si>
    <t>YJCSHAN1921696</t>
  </si>
  <si>
    <t>YJCSHAN1921697</t>
  </si>
  <si>
    <t>YJCSHAN1921698</t>
  </si>
  <si>
    <t>YJCSHAN1921699</t>
  </si>
  <si>
    <t>YJCSHAN1921700</t>
  </si>
  <si>
    <t>YJCSHAN1921701</t>
  </si>
  <si>
    <t>YJCSHAN1921704</t>
  </si>
  <si>
    <t>YJCSHAN1921705</t>
  </si>
  <si>
    <t>YJCSHAN1921706</t>
  </si>
  <si>
    <t>YJCSHAN1921707</t>
  </si>
  <si>
    <t>富和</t>
  </si>
  <si>
    <t>219JJ52-10000-44-48</t>
    <phoneticPr fontId="1" type="noConversion"/>
  </si>
  <si>
    <t>shcsm191223</t>
    <phoneticPr fontId="1" type="noConversion"/>
  </si>
  <si>
    <t>HSO 1909-25N-1</t>
  </si>
  <si>
    <t>HSO 1909-25N-2</t>
  </si>
  <si>
    <t>HSO 1909-25N-3</t>
  </si>
  <si>
    <t>HSO 1909-25N-4</t>
  </si>
  <si>
    <t>HSO 1909-25N-6</t>
  </si>
  <si>
    <t>HSO 1909-25N-7</t>
  </si>
  <si>
    <t>HSO 1909-25N-8</t>
  </si>
  <si>
    <t>HSO 1909-25N-9</t>
  </si>
  <si>
    <t>HSO 1909-25N-10</t>
  </si>
  <si>
    <t>HSO 1909-25N-11</t>
  </si>
  <si>
    <t>HSO 1909-25N-12</t>
  </si>
  <si>
    <t>HSO 1909-25N-13</t>
  </si>
  <si>
    <t>HSO 1909-25N-14</t>
  </si>
  <si>
    <t>HSO 1909-25N-15</t>
  </si>
  <si>
    <t>HSO 1909-25N-16</t>
  </si>
  <si>
    <t>HSO 1909-25N-17</t>
  </si>
  <si>
    <t>富和 - SSEM</t>
  </si>
  <si>
    <t>顾家 - CASAMIA</t>
  </si>
  <si>
    <t>洲际 - CASAMIA</t>
  </si>
  <si>
    <t>森川 - CASAMIA</t>
  </si>
  <si>
    <t>伟誉 - CASAMIA</t>
  </si>
  <si>
    <t>飞集 - SIDIZ</t>
  </si>
  <si>
    <t>PEGASUS TERA 2002E</t>
    <phoneticPr fontId="1" type="noConversion"/>
  </si>
  <si>
    <t>HBL</t>
    <phoneticPr fontId="1" type="noConversion"/>
  </si>
  <si>
    <t>等电</t>
    <phoneticPr fontId="1" type="noConversion"/>
  </si>
  <si>
    <t>三提1921833 1921835</t>
    <phoneticPr fontId="1" type="noConversion"/>
  </si>
  <si>
    <t>HBL</t>
    <phoneticPr fontId="1" type="noConversion"/>
  </si>
  <si>
    <t>$20/40【KY】</t>
    <phoneticPr fontId="1" type="noConversion"/>
  </si>
  <si>
    <t>PO1911150042
PO1911150043
PO1911150039
PO1911150040</t>
    <phoneticPr fontId="1" type="noConversion"/>
  </si>
  <si>
    <t>PO1911150051
PO1911150037
PO1911150038</t>
    <phoneticPr fontId="1" type="noConversion"/>
  </si>
  <si>
    <t>PCLU1807PE4304</t>
    <phoneticPr fontId="1" type="noConversion"/>
  </si>
  <si>
    <t>PCLU1807PE4305</t>
    <phoneticPr fontId="1" type="noConversion"/>
  </si>
  <si>
    <t>PCLU1807PE4306</t>
    <phoneticPr fontId="1" type="noConversion"/>
  </si>
  <si>
    <t>PCLU2001HN4303</t>
    <phoneticPr fontId="1" type="noConversion"/>
  </si>
  <si>
    <t>PCLU2001HN4304</t>
    <phoneticPr fontId="1" type="noConversion"/>
  </si>
  <si>
    <t>PCLU2001HN4305</t>
    <phoneticPr fontId="1" type="noConversion"/>
  </si>
  <si>
    <t>拼4306 4307 4308</t>
    <phoneticPr fontId="1" type="noConversion"/>
  </si>
  <si>
    <t>PCLU2001HN4309</t>
    <phoneticPr fontId="1" type="noConversion"/>
  </si>
  <si>
    <t>PCLU2001PE4303</t>
    <phoneticPr fontId="1" type="noConversion"/>
  </si>
  <si>
    <t>PCLU2001PE4304</t>
    <phoneticPr fontId="1" type="noConversion"/>
  </si>
  <si>
    <t>PCLU2001PE4305</t>
    <phoneticPr fontId="1" type="noConversion"/>
  </si>
  <si>
    <t>PCLU2001PE4306</t>
    <phoneticPr fontId="1" type="noConversion"/>
  </si>
  <si>
    <t>PCLU2001PE4307</t>
    <phoneticPr fontId="1" type="noConversion"/>
  </si>
  <si>
    <t>PCLU2001PE4308</t>
    <phoneticPr fontId="1" type="noConversion"/>
  </si>
  <si>
    <t>拼4309 4310</t>
    <phoneticPr fontId="1" type="noConversion"/>
  </si>
  <si>
    <t>PCLU2001PE4311</t>
    <phoneticPr fontId="1" type="noConversion"/>
  </si>
  <si>
    <t>PCLU2002HN4310</t>
    <phoneticPr fontId="1" type="noConversion"/>
  </si>
  <si>
    <t>PCLU2002HN4311</t>
    <phoneticPr fontId="1" type="noConversion"/>
  </si>
  <si>
    <t>PCLU2002HN4312</t>
    <phoneticPr fontId="1" type="noConversion"/>
  </si>
  <si>
    <t>PCLU2002HN4313</t>
    <phoneticPr fontId="1" type="noConversion"/>
  </si>
  <si>
    <t>PCLU2002PE4302</t>
    <phoneticPr fontId="1" type="noConversion"/>
  </si>
  <si>
    <t>PCLU2002PE4303</t>
    <phoneticPr fontId="1" type="noConversion"/>
  </si>
  <si>
    <t>PCLU2002PE4304</t>
    <phoneticPr fontId="1" type="noConversion"/>
  </si>
  <si>
    <t>PCLU2002PE4305</t>
    <phoneticPr fontId="1" type="noConversion"/>
  </si>
  <si>
    <t>PCLU2003HN4302</t>
    <phoneticPr fontId="1" type="noConversion"/>
  </si>
  <si>
    <t>YJCSHAN1921839</t>
  </si>
  <si>
    <t>YJCSHAN1921840</t>
  </si>
  <si>
    <t>YJCSHAN1921841</t>
  </si>
  <si>
    <t>YJCSHAN1921842</t>
  </si>
  <si>
    <t>YJCSHAN1921843</t>
  </si>
  <si>
    <t>YJCSHAN1921844</t>
  </si>
  <si>
    <t>YJCSHAN1921847</t>
  </si>
  <si>
    <t>YJCSHAN1921848</t>
  </si>
  <si>
    <t>YJCSHAN1921849</t>
  </si>
  <si>
    <t>YJCSHAN1921850</t>
  </si>
  <si>
    <t>YJCSHAN1921851</t>
  </si>
  <si>
    <t>YJCSHAN1921852</t>
  </si>
  <si>
    <t>YJCSHAN1921853</t>
  </si>
  <si>
    <t>YJCSHAN1921854</t>
  </si>
  <si>
    <t>YJCSHAN1921855</t>
  </si>
  <si>
    <t>YJCSHAN1921856</t>
  </si>
  <si>
    <t>YJCSHAN1921857</t>
  </si>
  <si>
    <t>YJCSHAN1921858</t>
  </si>
  <si>
    <t>YJCSHAN1921859</t>
  </si>
  <si>
    <t>YJCSHAN1921860</t>
  </si>
  <si>
    <t>YJCSHAN1921861</t>
  </si>
  <si>
    <t>PO1910310008</t>
  </si>
  <si>
    <t>OK</t>
    <phoneticPr fontId="1" type="noConversion"/>
  </si>
  <si>
    <t>╳</t>
    <phoneticPr fontId="1" type="noConversion"/>
  </si>
  <si>
    <t>CHATTANOOGA 2003E</t>
    <phoneticPr fontId="1" type="noConversion"/>
  </si>
  <si>
    <t>PEGASUS TERA 1807E</t>
    <phoneticPr fontId="1" type="noConversion"/>
  </si>
  <si>
    <t>退关</t>
    <phoneticPr fontId="1" type="noConversion"/>
  </si>
  <si>
    <t>永艺</t>
    <phoneticPr fontId="1" type="noConversion"/>
  </si>
  <si>
    <t>UE-SSEMGLOBAL-204</t>
  </si>
  <si>
    <t>20GP</t>
  </si>
  <si>
    <t>40HQ</t>
  </si>
  <si>
    <t>TTEU</t>
  </si>
  <si>
    <t>SHPR LSS 发票开日昌</t>
    <phoneticPr fontId="1" type="noConversion"/>
  </si>
  <si>
    <t>1个推迟到15号</t>
    <phoneticPr fontId="1" type="noConversion"/>
  </si>
  <si>
    <t>YJCSHAN1921846</t>
    <phoneticPr fontId="1" type="noConversion"/>
  </si>
  <si>
    <t>YJCSHAN1921845</t>
    <phoneticPr fontId="1" type="noConversion"/>
  </si>
  <si>
    <t>12月结算后再放单</t>
    <phoneticPr fontId="1" type="noConversion"/>
  </si>
  <si>
    <t>最早30号装，延1/5</t>
    <phoneticPr fontId="1" type="noConversion"/>
  </si>
  <si>
    <t>YJCSHAN1921110-2</t>
    <phoneticPr fontId="1" type="noConversion"/>
  </si>
  <si>
    <t>PCLU2001HN4310</t>
    <phoneticPr fontId="1" type="noConversion"/>
  </si>
  <si>
    <t>PCLU2001HN4311</t>
    <phoneticPr fontId="1" type="noConversion"/>
  </si>
  <si>
    <t>YJCSHAN1921844-1</t>
    <phoneticPr fontId="1" type="noConversion"/>
  </si>
  <si>
    <t>CHATTANOOGA 2001E</t>
    <phoneticPr fontId="1" type="noConversion"/>
  </si>
  <si>
    <t>YJCSHAN1921842-1</t>
    <phoneticPr fontId="1" type="noConversion"/>
  </si>
  <si>
    <t>YJCSHAN1921843-1</t>
    <phoneticPr fontId="1" type="noConversion"/>
  </si>
  <si>
    <t>PCLU2001PE4312</t>
    <phoneticPr fontId="1" type="noConversion"/>
  </si>
  <si>
    <t>PCLU2001PE4313</t>
    <phoneticPr fontId="1" type="noConversion"/>
  </si>
  <si>
    <t>PCLU2002PE4306</t>
    <phoneticPr fontId="1" type="noConversion"/>
  </si>
  <si>
    <t>KY已发</t>
    <phoneticPr fontId="1" type="noConversion"/>
  </si>
  <si>
    <t>等通知</t>
    <phoneticPr fontId="1" type="noConversion"/>
  </si>
  <si>
    <t>取消 最早可以28装一个29装一个</t>
    <phoneticPr fontId="1" type="noConversion"/>
  </si>
  <si>
    <t>取消 28号可以装箱</t>
    <phoneticPr fontId="1" type="noConversion"/>
  </si>
  <si>
    <t>取消</t>
    <phoneticPr fontId="1" type="noConversion"/>
  </si>
  <si>
    <t>1个延到1/15</t>
    <phoneticPr fontId="1" type="noConversion"/>
  </si>
  <si>
    <t>YJCSHAN1921704-1</t>
    <phoneticPr fontId="1" type="noConversion"/>
  </si>
  <si>
    <t>1-2  ORDER</t>
  </si>
  <si>
    <t>永艺</t>
    <phoneticPr fontId="1" type="noConversion"/>
  </si>
  <si>
    <t>1-3  ORDER</t>
  </si>
  <si>
    <t>3提1922117 1922118</t>
    <phoneticPr fontId="1" type="noConversion"/>
  </si>
  <si>
    <t>YJCSHAN1919902-2</t>
    <phoneticPr fontId="1" type="noConversion"/>
  </si>
  <si>
    <t>1230 772004301353128</t>
    <phoneticPr fontId="1" type="noConversion"/>
  </si>
  <si>
    <t>PCLU2001HN4312</t>
    <phoneticPr fontId="1" type="noConversion"/>
  </si>
  <si>
    <t>PCLU2002HN4314</t>
    <phoneticPr fontId="1" type="noConversion"/>
  </si>
  <si>
    <t>PCLU2002PE4307</t>
    <phoneticPr fontId="1" type="noConversion"/>
  </si>
  <si>
    <t>拼4308 4309</t>
    <phoneticPr fontId="1" type="noConversion"/>
  </si>
  <si>
    <t>PCLU2002PE4310</t>
    <phoneticPr fontId="1" type="noConversion"/>
  </si>
  <si>
    <t>PCLU2002PE4311</t>
    <phoneticPr fontId="1" type="noConversion"/>
  </si>
  <si>
    <t>YJCSHAN1922170</t>
  </si>
  <si>
    <t>YJCSHAN1922171</t>
  </si>
  <si>
    <t>YJCSHAN1922172</t>
  </si>
  <si>
    <t>YJCSHAN1922173</t>
  </si>
  <si>
    <t>PO1910310007
PO1910310009
PO1910310010</t>
    <phoneticPr fontId="1" type="noConversion"/>
  </si>
  <si>
    <t>SHPR LSS</t>
    <phoneticPr fontId="1" type="noConversion"/>
  </si>
  <si>
    <t>Row Labels</t>
  </si>
  <si>
    <t>1230 772004341555599</t>
    <phoneticPr fontId="1" type="noConversion"/>
  </si>
  <si>
    <t>1报3提 1922263 1922264</t>
    <phoneticPr fontId="1" type="noConversion"/>
  </si>
  <si>
    <t>PCLU2002PE4312</t>
    <phoneticPr fontId="1" type="noConversion"/>
  </si>
  <si>
    <t>拼4313 4314</t>
    <phoneticPr fontId="1" type="noConversion"/>
  </si>
  <si>
    <t>PCLU2003HN4303</t>
    <phoneticPr fontId="1" type="noConversion"/>
  </si>
  <si>
    <t>拼4304 4305</t>
    <phoneticPr fontId="1" type="noConversion"/>
  </si>
  <si>
    <t>YJCSHAN1922265</t>
  </si>
  <si>
    <t>YJCSHAN1922266</t>
  </si>
  <si>
    <t>shcsm191230</t>
    <phoneticPr fontId="1" type="noConversion"/>
  </si>
  <si>
    <t>PCLU2001PE4314</t>
    <phoneticPr fontId="1" type="noConversion"/>
  </si>
  <si>
    <t>YJCSHAN1922267</t>
  </si>
  <si>
    <t>PEGASUS TERA 2001E</t>
    <phoneticPr fontId="1" type="noConversion"/>
  </si>
  <si>
    <t>PCLU2002HN4315</t>
    <phoneticPr fontId="1" type="noConversion"/>
  </si>
  <si>
    <t>PCLU2002HN4315-1</t>
    <phoneticPr fontId="1" type="noConversion"/>
  </si>
  <si>
    <t>CHATTANOOGA 2002E</t>
    <phoneticPr fontId="1" type="noConversion"/>
  </si>
  <si>
    <t>改1个</t>
    <phoneticPr fontId="1" type="noConversion"/>
  </si>
  <si>
    <t>KANG</t>
    <phoneticPr fontId="1" type="noConversion"/>
  </si>
  <si>
    <t>取消</t>
    <phoneticPr fontId="1" type="noConversion"/>
  </si>
  <si>
    <t>KANG - KANG</t>
  </si>
  <si>
    <t>1231 772004360341402</t>
    <phoneticPr fontId="1" type="noConversion"/>
  </si>
  <si>
    <t>1231 772004361216533</t>
    <phoneticPr fontId="1" type="noConversion"/>
  </si>
  <si>
    <t>PCLU2002HN4316</t>
    <phoneticPr fontId="1" type="noConversion"/>
  </si>
  <si>
    <t>PCLU2002PE4315</t>
    <phoneticPr fontId="1" type="noConversion"/>
  </si>
  <si>
    <t>PCLU2002PE4316</t>
    <phoneticPr fontId="1" type="noConversion"/>
  </si>
  <si>
    <t>YJCSHAN2000074</t>
  </si>
  <si>
    <t>YJCSHAN2000075</t>
  </si>
  <si>
    <t>YJCSHAN2000076</t>
  </si>
  <si>
    <t>3个取消</t>
    <phoneticPr fontId="1" type="noConversion"/>
  </si>
  <si>
    <t>4个取消</t>
    <phoneticPr fontId="1" type="noConversion"/>
  </si>
  <si>
    <t>PO1910070019
PO1911150042
PO1911150043
PO1911150039
PO1911150040</t>
    <phoneticPr fontId="1" type="noConversion"/>
  </si>
  <si>
    <t>取消</t>
    <phoneticPr fontId="1" type="noConversion"/>
  </si>
  <si>
    <t>PCLU2001HN4313</t>
    <phoneticPr fontId="1" type="noConversion"/>
  </si>
  <si>
    <t>YJCSHAN1921842-2</t>
    <phoneticPr fontId="1" type="noConversion"/>
  </si>
  <si>
    <t>HSO 1909-25N-18</t>
    <phoneticPr fontId="1" type="noConversion"/>
  </si>
  <si>
    <t>表KY</t>
    <phoneticPr fontId="1" type="noConversion"/>
  </si>
  <si>
    <t>两提一报 振改3</t>
    <phoneticPr fontId="1" type="noConversion"/>
  </si>
  <si>
    <t>振改2</t>
    <phoneticPr fontId="1" type="noConversion"/>
  </si>
  <si>
    <t>PCLU2001PE430</t>
    <phoneticPr fontId="1" type="noConversion"/>
  </si>
  <si>
    <t>退？</t>
    <phoneticPr fontId="1" type="noConversion"/>
  </si>
  <si>
    <t>P-ZHON1910-D-1</t>
    <phoneticPr fontId="1" type="noConversion"/>
  </si>
  <si>
    <t>P-ZHON1910-D-2</t>
    <phoneticPr fontId="1" type="noConversion"/>
  </si>
  <si>
    <t>219JJ52-10000-25</t>
    <phoneticPr fontId="1" type="noConversion"/>
  </si>
  <si>
    <t>219JJ52-10000-39</t>
    <phoneticPr fontId="1" type="noConversion"/>
  </si>
  <si>
    <t>219JJ52-10000-37</t>
    <phoneticPr fontId="1" type="noConversion"/>
  </si>
  <si>
    <t>219JJ52-10000-34-38</t>
    <phoneticPr fontId="1" type="noConversion"/>
  </si>
  <si>
    <t>219JJ52-10000-49B</t>
    <phoneticPr fontId="1" type="noConversion"/>
  </si>
  <si>
    <t>219JJ52-10000-35B</t>
    <phoneticPr fontId="1" type="noConversion"/>
  </si>
  <si>
    <t>219JJ52-10000-40-53</t>
    <phoneticPr fontId="1" type="noConversion"/>
  </si>
  <si>
    <t>HB190601</t>
    <phoneticPr fontId="1" type="noConversion"/>
  </si>
  <si>
    <t>PO1909100008</t>
    <phoneticPr fontId="1" type="noConversion"/>
  </si>
  <si>
    <t>219CABO-HS053/058/062</t>
    <phoneticPr fontId="1" type="noConversion"/>
  </si>
  <si>
    <t>219CABO-HS060/063</t>
    <phoneticPr fontId="1" type="noConversion"/>
  </si>
  <si>
    <t>219CABO-HS054/067</t>
    <phoneticPr fontId="1" type="noConversion"/>
  </si>
  <si>
    <t>HSO 1811-25E-180</t>
    <phoneticPr fontId="1" type="noConversion"/>
  </si>
  <si>
    <t>HSO 1811-25E-181</t>
    <phoneticPr fontId="1" type="noConversion"/>
  </si>
  <si>
    <t>HSO 1811-25E-194</t>
    <phoneticPr fontId="1" type="noConversion"/>
  </si>
  <si>
    <t>HSO 1811-25E-202</t>
    <phoneticPr fontId="1" type="noConversion"/>
  </si>
  <si>
    <t>HSO 1811-25E-179</t>
    <phoneticPr fontId="1" type="noConversion"/>
  </si>
  <si>
    <t>HSO 1811-25E-184</t>
    <phoneticPr fontId="1" type="noConversion"/>
  </si>
  <si>
    <t>HSO 1811-25E-185</t>
    <phoneticPr fontId="1" type="noConversion"/>
  </si>
  <si>
    <t>HSO 1811-25E-188</t>
    <phoneticPr fontId="1" type="noConversion"/>
  </si>
  <si>
    <t>HSO 1811-25E-190</t>
    <phoneticPr fontId="1" type="noConversion"/>
  </si>
  <si>
    <t>HSO 1811-25E-191</t>
    <phoneticPr fontId="1" type="noConversion"/>
  </si>
  <si>
    <t>HSO 1811-25E-195</t>
    <phoneticPr fontId="1" type="noConversion"/>
  </si>
  <si>
    <t>HSO 1811-25E-196</t>
    <phoneticPr fontId="1" type="noConversion"/>
  </si>
  <si>
    <t>HSO 1811-25E-199</t>
    <phoneticPr fontId="1" type="noConversion"/>
  </si>
  <si>
    <t>HSO 1811-25E-200</t>
    <phoneticPr fontId="1" type="noConversion"/>
  </si>
  <si>
    <t>HSO 1811-25E-201</t>
    <phoneticPr fontId="1" type="noConversion"/>
  </si>
  <si>
    <t>HSO 1811-25E-182</t>
    <phoneticPr fontId="1" type="noConversion"/>
  </si>
  <si>
    <t>HSO 1811-25E-193</t>
    <phoneticPr fontId="1" type="noConversion"/>
  </si>
  <si>
    <t>HSO 1811-25E-198</t>
    <phoneticPr fontId="1" type="noConversion"/>
  </si>
  <si>
    <t>shcsm191211</t>
    <phoneticPr fontId="1" type="noConversion"/>
  </si>
  <si>
    <t>UE-SSEMGLOBAL-203</t>
    <phoneticPr fontId="1" type="noConversion"/>
  </si>
  <si>
    <t>12-1  ORDER</t>
    <phoneticPr fontId="1" type="noConversion"/>
  </si>
  <si>
    <t>12-2  ORDER</t>
    <phoneticPr fontId="1" type="noConversion"/>
  </si>
  <si>
    <t>12-3  ORDER</t>
    <phoneticPr fontId="1" type="noConversion"/>
  </si>
  <si>
    <t>AHL2343A</t>
    <phoneticPr fontId="1" type="noConversion"/>
  </si>
  <si>
    <t>YJCSHAN1919542</t>
    <phoneticPr fontId="1" type="noConversion"/>
  </si>
  <si>
    <t>344 YJCSHAN1919542</t>
    <phoneticPr fontId="1" type="noConversion"/>
  </si>
  <si>
    <t>抵344</t>
    <phoneticPr fontId="1" type="noConversion"/>
  </si>
  <si>
    <t>YJCSHAN1919777</t>
    <phoneticPr fontId="1" type="noConversion"/>
  </si>
  <si>
    <t>172 YJCSHAN1919777</t>
    <phoneticPr fontId="1" type="noConversion"/>
  </si>
  <si>
    <t>抵172</t>
    <phoneticPr fontId="1" type="noConversion"/>
  </si>
  <si>
    <t>YJCSHAN1919778</t>
    <phoneticPr fontId="1" type="noConversion"/>
  </si>
  <si>
    <t>344 YJCSHAN1919778</t>
    <phoneticPr fontId="1" type="noConversion"/>
  </si>
  <si>
    <t>172 YJCSHAN1919783</t>
    <phoneticPr fontId="1" type="noConversion"/>
  </si>
  <si>
    <t>YJCSHAN1919784</t>
    <phoneticPr fontId="1" type="noConversion"/>
  </si>
  <si>
    <t>1216 YJCSHAN1919784</t>
    <phoneticPr fontId="1" type="noConversion"/>
  </si>
  <si>
    <t>抵1216</t>
    <phoneticPr fontId="1" type="noConversion"/>
  </si>
  <si>
    <t>688 YJCSHAN1920884</t>
    <phoneticPr fontId="1" type="noConversion"/>
  </si>
  <si>
    <t>744 YJCSHAN1919785</t>
    <phoneticPr fontId="1" type="noConversion"/>
  </si>
  <si>
    <t>抵688</t>
    <phoneticPr fontId="1" type="noConversion"/>
  </si>
  <si>
    <t>抵744</t>
    <phoneticPr fontId="1" type="noConversion"/>
  </si>
  <si>
    <t>1316 YJCSHAN1920766</t>
    <phoneticPr fontId="1" type="noConversion"/>
  </si>
  <si>
    <t>抵1316</t>
    <phoneticPr fontId="1" type="noConversion"/>
  </si>
  <si>
    <t>1088 YJCSHAN1920807</t>
    <phoneticPr fontId="1" type="noConversion"/>
  </si>
  <si>
    <t>抵1088</t>
    <phoneticPr fontId="1" type="noConversion"/>
  </si>
  <si>
    <t>344 YJCSHAN1920808</t>
    <phoneticPr fontId="1" type="noConversion"/>
  </si>
  <si>
    <t>YJCSHAN1920811</t>
    <phoneticPr fontId="1" type="noConversion"/>
  </si>
  <si>
    <t>744 YJCSHAN1920811</t>
    <phoneticPr fontId="1" type="noConversion"/>
  </si>
  <si>
    <t>YJCSHAN1920814</t>
    <phoneticPr fontId="1" type="noConversion"/>
  </si>
  <si>
    <t>516 YJCSHAN1920814</t>
    <phoneticPr fontId="1" type="noConversion"/>
  </si>
  <si>
    <t>抵516</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</si>
</sst>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mmdd"/>
    <numFmt numFmtId="177" formatCode="mm/dd\ aaa"/>
    <numFmt numFmtId="178" formatCode="mm/dd"/>
    <numFmt numFmtId="179" formatCode="0_);[Red]\(0\)"/>
  </numFmts>
  <fonts count="14" x14ac:knownFonts="1">
    <font>
      <sz val="11"/>
      <color theme="1"/>
      <name val="等线"/>
      <family val="2"/>
      <scheme val="minor"/>
    </font>
    <font>
      <sz val="9"/>
      <name val="等线"/>
      <family val="3"/>
      <charset val="134"/>
      <scheme val="minor"/>
    </font>
    <font>
      <sz val="11"/>
      <color theme="1"/>
      <name val="等线"/>
      <family val="2"/>
      <charset val="134"/>
      <scheme val="minor"/>
    </font>
    <font>
      <sz val="9"/>
      <name val="等线"/>
      <family val="2"/>
      <charset val="134"/>
      <scheme val="minor"/>
    </font>
    <font>
      <sz val="11"/>
      <name val="等线"/>
      <family val="3"/>
      <charset val="134"/>
      <scheme val="minor"/>
    </font>
    <font>
      <sz val="11"/>
      <color theme="1"/>
      <name val="等线"/>
      <family val="3"/>
      <charset val="134"/>
      <scheme val="minor"/>
    </font>
    <font>
      <sz val="11"/>
      <color rgb="FFFF0000"/>
      <name val="等线"/>
      <family val="2"/>
      <scheme val="minor"/>
    </font>
    <font>
      <sz val="11"/>
      <color rgb="FFFF0000"/>
      <name val="等线"/>
      <family val="3"/>
      <charset val="134"/>
      <scheme val="minor"/>
    </font>
    <font>
      <sz val="9"/>
      <color indexed="81"/>
      <name val="宋体"/>
      <family val="3"/>
      <charset val="134"/>
    </font>
    <font>
      <b/>
      <sz val="9"/>
      <color indexed="81"/>
      <name val="宋体"/>
      <family val="3"/>
      <charset val="134"/>
    </font>
    <font>
      <strike/>
      <sz val="11"/>
      <color theme="1"/>
      <name val="等线"/>
      <family val="3"/>
      <charset val="134"/>
      <scheme val="minor"/>
    </font>
    <font>
      <u/>
      <sz val="11"/>
      <color theme="10"/>
      <name val="等线"/>
      <family val="2"/>
      <scheme val="minor"/>
    </font>
    <font>
      <sz val="12"/>
      <name val="宋体"/>
      <family val="3"/>
      <charset val="134"/>
    </font>
    <font>
      <sz val="11"/>
      <name val="等线"/>
      <family val="2"/>
      <scheme val="minor"/>
    </font>
  </fonts>
  <fills count="3">
    <fill>
      <patternFill patternType="none"/>
    </fill>
    <fill>
      <patternFill patternType="gray125"/>
    </fill>
    <fill>
      <patternFill patternType="solid">
        <fgColor theme="4" tint="0.79998168889431442"/>
        <bgColor theme="4"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4"/>
      </left>
      <right style="thin">
        <color theme="4"/>
      </right>
      <top style="thin">
        <color theme="4"/>
      </top>
      <bottom style="thin">
        <color theme="4"/>
      </bottom>
      <diagonal/>
    </border>
    <border>
      <left style="thin">
        <color indexed="64"/>
      </left>
      <right/>
      <top style="thin">
        <color indexed="64"/>
      </top>
      <bottom style="thin">
        <color indexed="64"/>
      </bottom>
      <diagonal/>
    </border>
    <border>
      <left style="thin">
        <color rgb="FF0066FF"/>
      </left>
      <right style="thin">
        <color rgb="FF0066FF"/>
      </right>
      <top style="thin">
        <color rgb="FF0066FF"/>
      </top>
      <bottom style="thin">
        <color rgb="FF0066FF"/>
      </bottom>
      <diagonal/>
    </border>
  </borders>
  <cellStyleXfs count="6">
    <xf numFmtId="0" fontId="0" fillId="0" borderId="0"/>
    <xf numFmtId="0" fontId="2" fillId="0" borderId="0">
      <alignment vertical="center"/>
    </xf>
    <xf numFmtId="0" fontId="11" fillId="0" borderId="0" applyNumberFormat="0" applyFill="0" applyBorder="0" applyAlignment="0" applyProtection="0"/>
    <xf numFmtId="0" fontId="5" fillId="0" borderId="0">
      <alignment vertical="center"/>
    </xf>
    <xf numFmtId="0" fontId="12" fillId="0" borderId="0">
      <alignment vertical="center"/>
    </xf>
    <xf numFmtId="0" fontId="5" fillId="0" borderId="0"/>
  </cellStyleXfs>
  <cellXfs count="61">
    <xf numFmtId="0" fontId="0" fillId="0" borderId="0" xfId="0"/>
    <xf numFmtId="176" fontId="0" fillId="0" borderId="0" xfId="0" applyNumberFormat="1"/>
    <xf numFmtId="0" fontId="0" fillId="0" borderId="0" xfId="0" applyNumberFormat="1"/>
    <xf numFmtId="0" fontId="0" fillId="0" borderId="0" xfId="0" applyAlignment="1">
      <alignment wrapText="1"/>
    </xf>
    <xf numFmtId="0" fontId="0" fillId="0" borderId="0" xfId="0" applyAlignment="1"/>
    <xf numFmtId="0" fontId="2" fillId="0" borderId="0" xfId="1" applyAlignment="1">
      <alignment vertical="center" wrapText="1"/>
    </xf>
    <xf numFmtId="1" fontId="0" fillId="0" borderId="0" xfId="0" applyNumberFormat="1"/>
    <xf numFmtId="0" fontId="5" fillId="0" borderId="0" xfId="0" applyFont="1"/>
    <xf numFmtId="177" fontId="5" fillId="0" borderId="0" xfId="0" applyNumberFormat="1" applyFont="1"/>
    <xf numFmtId="0" fontId="0" fillId="0" borderId="0" xfId="0" quotePrefix="1" applyAlignment="1">
      <alignment wrapText="1"/>
    </xf>
    <xf numFmtId="0" fontId="0" fillId="0" borderId="5" xfId="0" applyBorder="1"/>
    <xf numFmtId="0" fontId="0" fillId="0" borderId="6" xfId="0" applyBorder="1"/>
    <xf numFmtId="0" fontId="0" fillId="0" borderId="1"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vertical="top" wrapText="1"/>
    </xf>
    <xf numFmtId="0" fontId="0" fillId="0" borderId="4" xfId="0" applyBorder="1" applyAlignment="1">
      <alignment vertical="top" wrapText="1"/>
    </xf>
    <xf numFmtId="178" fontId="0" fillId="0" borderId="1" xfId="0" applyNumberFormat="1" applyBorder="1" applyAlignment="1">
      <alignment horizontal="center" vertical="center"/>
    </xf>
    <xf numFmtId="178" fontId="0" fillId="0" borderId="7" xfId="0" applyNumberFormat="1" applyBorder="1"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0" borderId="6" xfId="0" applyBorder="1" applyAlignment="1"/>
    <xf numFmtId="0" fontId="0" fillId="0" borderId="3" xfId="0" applyBorder="1" applyAlignment="1">
      <alignment vertical="top"/>
    </xf>
    <xf numFmtId="0" fontId="0" fillId="0" borderId="2" xfId="0" applyBorder="1" applyAlignment="1">
      <alignment vertical="top"/>
    </xf>
    <xf numFmtId="1" fontId="0" fillId="0" borderId="0" xfId="0" applyNumberFormat="1" applyAlignment="1">
      <alignment wrapText="1"/>
    </xf>
    <xf numFmtId="178" fontId="0" fillId="0" borderId="0" xfId="0" applyNumberFormat="1"/>
    <xf numFmtId="0" fontId="6" fillId="0" borderId="0" xfId="0" applyFont="1" applyAlignment="1">
      <alignment horizontal="left" vertical="center"/>
    </xf>
    <xf numFmtId="0" fontId="7" fillId="0" borderId="0" xfId="0" applyFont="1" applyAlignment="1">
      <alignment vertical="center"/>
    </xf>
    <xf numFmtId="0" fontId="7" fillId="0" borderId="0" xfId="0" applyFont="1" applyAlignment="1">
      <alignment horizontal="left" vertical="center"/>
    </xf>
    <xf numFmtId="0" fontId="0" fillId="0" borderId="0" xfId="0" applyAlignment="1">
      <alignment horizontal="left" wrapText="1"/>
    </xf>
    <xf numFmtId="0" fontId="2" fillId="0" borderId="0" xfId="1" applyAlignment="1">
      <alignment horizontal="left" vertical="center"/>
    </xf>
    <xf numFmtId="0" fontId="2" fillId="0" borderId="0" xfId="1" applyAlignment="1">
      <alignment vertical="center"/>
    </xf>
    <xf numFmtId="0" fontId="5" fillId="0" borderId="0" xfId="0" applyNumberFormat="1" applyFont="1"/>
    <xf numFmtId="0" fontId="0" fillId="2" borderId="9" xfId="0" applyFont="1" applyFill="1" applyBorder="1" applyAlignment="1">
      <alignment horizontal="left" vertical="center"/>
    </xf>
    <xf numFmtId="0" fontId="0" fillId="2" borderId="9" xfId="0" applyFont="1" applyFill="1" applyBorder="1" applyAlignment="1">
      <alignment vertical="center"/>
    </xf>
    <xf numFmtId="0" fontId="0" fillId="0" borderId="9" xfId="0" applyFont="1" applyBorder="1" applyAlignment="1">
      <alignment horizontal="left" vertical="center"/>
    </xf>
    <xf numFmtId="0" fontId="0" fillId="0" borderId="9" xfId="0" applyFont="1" applyBorder="1" applyAlignment="1">
      <alignment vertical="center"/>
    </xf>
    <xf numFmtId="0" fontId="0" fillId="0" borderId="1" xfId="0" applyBorder="1" applyAlignment="1">
      <alignment horizontal="left"/>
    </xf>
    <xf numFmtId="0" fontId="0" fillId="0" borderId="7" xfId="0" applyBorder="1" applyAlignment="1">
      <alignment horizontal="left"/>
    </xf>
    <xf numFmtId="1" fontId="10" fillId="0" borderId="0" xfId="0" applyNumberFormat="1" applyFont="1"/>
    <xf numFmtId="0" fontId="0" fillId="0" borderId="6" xfId="0" applyFont="1" applyBorder="1"/>
    <xf numFmtId="0" fontId="10" fillId="0" borderId="0" xfId="0" applyFont="1" applyAlignment="1">
      <alignment horizontal="left" vertical="center"/>
    </xf>
    <xf numFmtId="0" fontId="0" fillId="0" borderId="5" xfId="0" applyFont="1" applyBorder="1"/>
    <xf numFmtId="0" fontId="4" fillId="0" borderId="0" xfId="1" applyFont="1" applyAlignment="1">
      <alignment horizontal="left" vertical="center"/>
    </xf>
    <xf numFmtId="0" fontId="5" fillId="0" borderId="0" xfId="0" applyFont="1" applyAlignment="1">
      <alignment horizontal="left" vertical="center"/>
    </xf>
    <xf numFmtId="1" fontId="5" fillId="0" borderId="0" xfId="0" applyNumberFormat="1" applyFont="1"/>
    <xf numFmtId="0" fontId="0" fillId="0" borderId="1" xfId="0" applyBorder="1" applyAlignment="1">
      <alignment horizontal="left" vertical="center"/>
    </xf>
    <xf numFmtId="0" fontId="0" fillId="0" borderId="8" xfId="0" applyBorder="1" applyAlignment="1">
      <alignment horizontal="left" vertical="center"/>
    </xf>
    <xf numFmtId="0" fontId="0" fillId="0" borderId="7" xfId="0" applyBorder="1" applyAlignment="1">
      <alignment horizontal="left" vertical="center"/>
    </xf>
    <xf numFmtId="0" fontId="0" fillId="0" borderId="10" xfId="0" applyBorder="1" applyAlignment="1">
      <alignment horizontal="left" vertical="center"/>
    </xf>
    <xf numFmtId="0" fontId="0" fillId="0" borderId="8" xfId="0" quotePrefix="1" applyBorder="1" applyAlignment="1">
      <alignment horizontal="left" vertical="center"/>
    </xf>
    <xf numFmtId="0" fontId="11" fillId="0" borderId="0" xfId="2" applyNumberFormat="1" applyAlignment="1"/>
    <xf numFmtId="0" fontId="13" fillId="0" borderId="0" xfId="2" applyNumberFormat="1" applyFont="1" applyAlignment="1"/>
    <xf numFmtId="0" fontId="0" fillId="0" borderId="11" xfId="0" pivotButton="1" applyBorder="1"/>
    <xf numFmtId="0" fontId="0" fillId="0" borderId="11" xfId="0" applyBorder="1"/>
    <xf numFmtId="178" fontId="0" fillId="0" borderId="11" xfId="0" applyNumberFormat="1" applyBorder="1" applyAlignment="1">
      <alignment horizontal="left"/>
    </xf>
    <xf numFmtId="0" fontId="0" fillId="0" borderId="11" xfId="0" applyNumberFormat="1" applyBorder="1"/>
    <xf numFmtId="0" fontId="0" fillId="0" borderId="11" xfId="0" applyBorder="1" applyAlignment="1">
      <alignment horizontal="left" indent="1"/>
    </xf>
    <xf numFmtId="179" fontId="0" fillId="0" borderId="0" xfId="0" applyNumberFormat="1"/>
    <xf numFmtId="0" fontId="0" fillId="0" borderId="10" xfId="0" applyBorder="1" applyAlignment="1">
      <alignment horizontal="center" vertical="center"/>
    </xf>
    <xf numFmtId="1" fontId="0" fillId="0" borderId="0" xfId="0" applyNumberFormat="1" applyAlignment="1">
      <alignment horizontal="left"/>
    </xf>
    <xf numFmtId="1" fontId="0" fillId="0" borderId="0" xfId="0" applyNumberFormat="1" applyAlignment="1">
      <alignment horizontal="left" wrapText="1"/>
    </xf>
  </cellXfs>
  <cellStyles count="6">
    <cellStyle name="Hyperlink" xfId="2" builtinId="8"/>
    <cellStyle name="Normal" xfId="0" builtinId="0"/>
    <cellStyle name="Normal 2" xfId="1" xr:uid="{11464406-CB42-4231-9033-59DF1DE107D9}"/>
    <cellStyle name="常规 2" xfId="3" xr:uid="{11A98FB1-CF28-48B1-92A1-AB8B16CCEB74}"/>
    <cellStyle name="常规 2 16" xfId="5" xr:uid="{6C223FBC-97CE-4735-85DF-A8DFF1E806C1}"/>
    <cellStyle name="常规 7" xfId="4" xr:uid="{CCAEDC5F-0B13-426C-927E-5750C20E9CDB}"/>
  </cellStyles>
  <dxfs count="121">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outline="0">
        <left/>
        <right style="thin">
          <color indexed="64"/>
        </right>
        <top style="thin">
          <color indexed="64"/>
        </top>
        <bottom style="thin">
          <color indexed="64"/>
        </bottom>
      </border>
    </dxf>
    <dxf>
      <numFmt numFmtId="178" formatCode="mm/dd"/>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ill>
        <patternFill>
          <bgColor theme="9" tint="0.79998168889431442"/>
        </patternFill>
      </fill>
    </dxf>
    <dxf>
      <fill>
        <patternFill>
          <bgColor theme="5" tint="0.79998168889431442"/>
        </patternFill>
      </fill>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border>
        <left style="thin">
          <color rgb="FF0066FF"/>
        </left>
        <right style="thin">
          <color rgb="FF0066FF"/>
        </right>
        <top style="thin">
          <color rgb="FF0066FF"/>
        </top>
        <bottom style="thin">
          <color rgb="FF0066FF"/>
        </bottom>
        <vertical style="thin">
          <color rgb="FF0066FF"/>
        </vertical>
        <horizontal style="thin">
          <color rgb="FF0066FF"/>
        </horizontal>
      </border>
    </dxf>
    <dxf>
      <fill>
        <patternFill>
          <bgColor rgb="FF92D050"/>
        </patternFill>
      </fill>
    </dxf>
    <dxf>
      <numFmt numFmtId="0" formatCode="General"/>
    </dxf>
    <dxf>
      <numFmt numFmtId="179" formatCode="0_);[Red]\(0\)"/>
    </dxf>
    <dxf>
      <numFmt numFmtId="1" formatCode="0"/>
    </dxf>
    <dxf>
      <numFmt numFmtId="1" formatCode="0"/>
      <alignment horizontal="left" vertical="bottom" textRotation="0" wrapText="0" indent="0" justifyLastLine="0" shrinkToFit="0" readingOrder="0"/>
    </dxf>
    <dxf>
      <numFmt numFmtId="1" formatCode="0"/>
    </dxf>
    <dxf>
      <numFmt numFmtId="1" formatCode="0"/>
    </dxf>
    <dxf>
      <numFmt numFmtId="1" formatCode="0"/>
    </dxf>
    <dxf>
      <numFmt numFmtId="179" formatCode="0_);[Red]\(0\)"/>
    </dxf>
    <dxf>
      <numFmt numFmtId="179" formatCode="0_);[Red]\(0\)"/>
    </dxf>
    <dxf>
      <alignment horizontal="general" vertical="bottom" textRotation="0" wrapText="1" indent="0" justifyLastLine="0" shrinkToFit="0" readingOrder="0"/>
    </dxf>
    <dxf>
      <font>
        <strike val="0"/>
        <outline val="0"/>
        <shadow val="0"/>
        <u val="none"/>
        <vertAlign val="baseline"/>
        <sz val="11"/>
        <color auto="1"/>
        <name val="等线"/>
        <family val="2"/>
        <scheme val="minor"/>
      </font>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176" formatCode="mmdd"/>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0" formatCode="General"/>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numFmt numFmtId="177" formatCode="mm/dd\ aaa"/>
    </dxf>
    <dxf>
      <font>
        <strike val="0"/>
        <outline val="0"/>
        <shadow val="0"/>
        <u val="none"/>
        <vertAlign val="baseline"/>
        <sz val="11"/>
        <color theme="1"/>
        <name val="等线"/>
        <charset val="134"/>
        <scheme val="minor"/>
      </font>
    </dxf>
    <dxf>
      <font>
        <strike val="0"/>
        <outline val="0"/>
        <shadow val="0"/>
        <u val="none"/>
        <vertAlign val="baseline"/>
        <sz val="11"/>
        <color theme="1"/>
        <name val="等线"/>
        <charset val="134"/>
        <scheme val="minor"/>
      </font>
    </dxf>
  </dxfs>
  <tableStyles count="0" defaultTableStyle="TableStyleMedium2" defaultPivotStyle="PivotStyleLight16"/>
  <colors>
    <mruColors>
      <color rgb="FF0066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absolute">
    <xdr:from>
      <xdr:col>17</xdr:col>
      <xdr:colOff>685800</xdr:colOff>
      <xdr:row>278</xdr:row>
      <xdr:rowOff>0</xdr:rowOff>
    </xdr:from>
    <xdr:to>
      <xdr:col>20</xdr:col>
      <xdr:colOff>200025</xdr:colOff>
      <xdr:row>296</xdr:row>
      <xdr:rowOff>172508</xdr:rowOff>
    </xdr:to>
    <mc:AlternateContent xmlns:mc="http://schemas.openxmlformats.org/markup-compatibility/2006" xmlns:sle15="http://schemas.microsoft.com/office/drawing/2012/slicer">
      <mc:Choice Requires="sle15">
        <xdr:graphicFrame macro="">
          <xdr:nvGraphicFramePr>
            <xdr:cNvPr id="2" name="CN">
              <a:extLst>
                <a:ext uri="{FF2B5EF4-FFF2-40B4-BE49-F238E27FC236}">
                  <a16:creationId xmlns:a16="http://schemas.microsoft.com/office/drawing/2014/main" id="{51B57B4D-2437-48C8-B408-BFDC40449625}"/>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CN"/>
            </a:graphicData>
          </a:graphic>
        </xdr:graphicFrame>
      </mc:Choice>
      <mc:Fallback xmlns="">
        <xdr:sp macro="" textlink="">
          <xdr:nvSpPr>
            <xdr:cNvPr id="0" name=""/>
            <xdr:cNvSpPr>
              <a:spLocks noTextEdit="1"/>
            </xdr:cNvSpPr>
          </xdr:nvSpPr>
          <xdr:spPr>
            <a:xfrm>
              <a:off x="15039975" y="609601"/>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15</xdr:col>
      <xdr:colOff>95250</xdr:colOff>
      <xdr:row>278</xdr:row>
      <xdr:rowOff>0</xdr:rowOff>
    </xdr:from>
    <xdr:to>
      <xdr:col>17</xdr:col>
      <xdr:colOff>695325</xdr:colOff>
      <xdr:row>296</xdr:row>
      <xdr:rowOff>172507</xdr:rowOff>
    </xdr:to>
    <mc:AlternateContent xmlns:mc="http://schemas.openxmlformats.org/markup-compatibility/2006" xmlns:sle15="http://schemas.microsoft.com/office/drawing/2012/slicer">
      <mc:Choice Requires="sle15">
        <xdr:graphicFrame macro="">
          <xdr:nvGraphicFramePr>
            <xdr:cNvPr id="3" name="ETD">
              <a:extLst>
                <a:ext uri="{FF2B5EF4-FFF2-40B4-BE49-F238E27FC236}">
                  <a16:creationId xmlns:a16="http://schemas.microsoft.com/office/drawing/2014/main" id="{1F722D9E-9482-4EBC-93B7-81AE4505E14C}"/>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ETD"/>
            </a:graphicData>
          </a:graphic>
        </xdr:graphicFrame>
      </mc:Choice>
      <mc:Fallback xmlns="">
        <xdr:sp macro="" textlink="">
          <xdr:nvSpPr>
            <xdr:cNvPr id="0" name=""/>
            <xdr:cNvSpPr>
              <a:spLocks noTextEdit="1"/>
            </xdr:cNvSpPr>
          </xdr:nvSpPr>
          <xdr:spPr>
            <a:xfrm>
              <a:off x="13220700" y="609600"/>
              <a:ext cx="1828800" cy="3533774"/>
            </a:xfrm>
            <a:prstGeom prst="rect">
              <a:avLst/>
            </a:prstGeom>
            <a:solidFill>
              <a:prstClr val="white"/>
            </a:solidFill>
            <a:ln w="1">
              <a:solidFill>
                <a:prstClr val="green"/>
              </a:solidFill>
            </a:ln>
          </xdr:spPr>
          <xdr:txBody>
            <a:bodyPr vertOverflow="clip" horzOverflow="clip"/>
            <a:lstStyle/>
            <a:p>
              <a:r>
                <a:rPr lang="zh-CN" altLang="en-US" sz="1100"/>
                <a:t>此形状表示表切片器。此版本的 Excel 中不支持表切片器。
如果形状是在较早版本的 Excel 中修改的，或者工作簿是使用 Excel 2007 或更早版本保存的，则不能使用切片器。</a:t>
              </a:r>
            </a:p>
          </xdr:txBody>
        </xdr:sp>
      </mc:Fallback>
    </mc:AlternateContent>
    <xdr:clientData/>
  </xdr:twoCellAnchor>
  <xdr:twoCellAnchor editAs="absolute">
    <xdr:from>
      <xdr:col>14</xdr:col>
      <xdr:colOff>733425</xdr:colOff>
      <xdr:row>277</xdr:row>
      <xdr:rowOff>161925</xdr:rowOff>
    </xdr:from>
    <xdr:to>
      <xdr:col>17</xdr:col>
      <xdr:colOff>590550</xdr:colOff>
      <xdr:row>298</xdr:row>
      <xdr:rowOff>60325</xdr:rowOff>
    </xdr:to>
    <mc:AlternateContent xmlns:mc="http://schemas.openxmlformats.org/markup-compatibility/2006" xmlns:sle15="http://schemas.microsoft.com/office/drawing/2012/slicer">
      <mc:Choice Requires="sle15">
        <xdr:graphicFrame macro="">
          <xdr:nvGraphicFramePr>
            <xdr:cNvPr id="4" name="ETD 1">
              <a:extLst>
                <a:ext uri="{FF2B5EF4-FFF2-40B4-BE49-F238E27FC236}">
                  <a16:creationId xmlns:a16="http://schemas.microsoft.com/office/drawing/2014/main" id="{E0A9B3A3-581E-47BB-A44D-D65A8B33C95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ETD 1"/>
            </a:graphicData>
          </a:graphic>
        </xdr:graphicFrame>
      </mc:Choice>
      <mc:Fallback xmlns="">
        <xdr:sp macro="" textlink="">
          <xdr:nvSpPr>
            <xdr:cNvPr id="0" name=""/>
            <xdr:cNvSpPr>
              <a:spLocks noTextEdit="1"/>
            </xdr:cNvSpPr>
          </xdr:nvSpPr>
          <xdr:spPr>
            <a:xfrm>
              <a:off x="13115925"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581025</xdr:colOff>
      <xdr:row>277</xdr:row>
      <xdr:rowOff>161925</xdr:rowOff>
    </xdr:from>
    <xdr:to>
      <xdr:col>20</xdr:col>
      <xdr:colOff>95250</xdr:colOff>
      <xdr:row>298</xdr:row>
      <xdr:rowOff>60325</xdr:rowOff>
    </xdr:to>
    <mc:AlternateContent xmlns:mc="http://schemas.openxmlformats.org/markup-compatibility/2006" xmlns:sle15="http://schemas.microsoft.com/office/drawing/2012/slicer">
      <mc:Choice Requires="sle15">
        <xdr:graphicFrame macro="">
          <xdr:nvGraphicFramePr>
            <xdr:cNvPr id="5" name="CN 1">
              <a:extLst>
                <a:ext uri="{FF2B5EF4-FFF2-40B4-BE49-F238E27FC236}">
                  <a16:creationId xmlns:a16="http://schemas.microsoft.com/office/drawing/2014/main" id="{D8FAB319-BD93-458E-9936-AA831ADE03F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N 1"/>
            </a:graphicData>
          </a:graphic>
        </xdr:graphicFrame>
      </mc:Choice>
      <mc:Fallback xmlns="">
        <xdr:sp macro="" textlink="">
          <xdr:nvSpPr>
            <xdr:cNvPr id="0" name=""/>
            <xdr:cNvSpPr>
              <a:spLocks noTextEdit="1"/>
            </xdr:cNvSpPr>
          </xdr:nvSpPr>
          <xdr:spPr>
            <a:xfrm>
              <a:off x="14935200" y="1066800"/>
              <a:ext cx="1828800" cy="3143250"/>
            </a:xfrm>
            <a:prstGeom prst="rect">
              <a:avLst/>
            </a:prstGeom>
            <a:solidFill>
              <a:prstClr val="white"/>
            </a:solidFill>
            <a:ln w="1">
              <a:solidFill>
                <a:prstClr val="green"/>
              </a:solidFill>
            </a:ln>
          </xdr:spPr>
          <xdr:txBody>
            <a:bodyPr vertOverflow="clip" horzOverflow="clip"/>
            <a:lstStyle/>
            <a:p>
              <a:r>
                <a:rPr lang="zh-CN" alt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142875</xdr:colOff>
      <xdr:row>195</xdr:row>
      <xdr:rowOff>57150</xdr:rowOff>
    </xdr:from>
    <xdr:to>
      <xdr:col>15</xdr:col>
      <xdr:colOff>171449</xdr:colOff>
      <xdr:row>212</xdr:row>
      <xdr:rowOff>142875</xdr:rowOff>
    </xdr:to>
    <xdr:sp macro="" textlink="">
      <xdr:nvSpPr>
        <xdr:cNvPr id="2" name="文本框 1">
          <a:extLst>
            <a:ext uri="{FF2B5EF4-FFF2-40B4-BE49-F238E27FC236}">
              <a16:creationId xmlns:a16="http://schemas.microsoft.com/office/drawing/2014/main" id="{EFE4D39D-5397-4C3D-AFBD-9101A96EAF2D}"/>
            </a:ext>
          </a:extLst>
        </xdr:cNvPr>
        <xdr:cNvSpPr txBox="1"/>
      </xdr:nvSpPr>
      <xdr:spPr>
        <a:xfrm>
          <a:off x="4429125" y="35347275"/>
          <a:ext cx="4657724" cy="3162300"/>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r>
            <a:rPr lang="en-US" altLang="zh-CN" sz="1100">
              <a:solidFill>
                <a:schemeClr val="lt1"/>
              </a:solidFill>
              <a:effectLst/>
              <a:latin typeface="+mn-lt"/>
              <a:ea typeface="+mn-ea"/>
              <a:cs typeface="+mn-cs"/>
            </a:rPr>
            <a:t>Dear,</a:t>
          </a:r>
        </a:p>
        <a:p>
          <a:r>
            <a:rPr lang="en-US" altLang="zh-CN" sz="1100">
              <a:solidFill>
                <a:schemeClr val="lt1"/>
              </a:solidFill>
              <a:effectLst/>
              <a:latin typeface="+mn-lt"/>
              <a:ea typeface="+mn-ea"/>
              <a:cs typeface="+mn-cs"/>
            </a:rPr>
            <a:t>       Please kindly refer to the attached files.</a:t>
          </a:r>
        </a:p>
        <a:p>
          <a:r>
            <a:rPr lang="en-US" altLang="zh-CN" sz="1100">
              <a:solidFill>
                <a:schemeClr val="lt1"/>
              </a:solidFill>
              <a:effectLst/>
              <a:latin typeface="+mn-lt"/>
              <a:ea typeface="+mn-ea"/>
              <a:cs typeface="+mn-cs"/>
            </a:rPr>
            <a:t>       ◆ HBL DRAFT</a:t>
          </a:r>
        </a:p>
        <a:p>
          <a:r>
            <a:rPr lang="en-US" altLang="zh-CN" sz="1100">
              <a:solidFill>
                <a:schemeClr val="lt1"/>
              </a:solidFill>
              <a:effectLst/>
              <a:latin typeface="+mn-lt"/>
              <a:ea typeface="+mn-ea"/>
              <a:cs typeface="+mn-cs"/>
            </a:rPr>
            <a:t>       ◆ MBL DRAFT</a:t>
          </a:r>
        </a:p>
        <a:p>
          <a:r>
            <a:rPr lang="en-US" altLang="zh-CN" sz="1100">
              <a:solidFill>
                <a:schemeClr val="lt1"/>
              </a:solidFill>
              <a:effectLst/>
              <a:latin typeface="+mn-lt"/>
              <a:ea typeface="+mn-ea"/>
              <a:cs typeface="+mn-cs"/>
            </a:rPr>
            <a:t>       ◆ DEBIT NOTE</a:t>
          </a:r>
        </a:p>
        <a:p>
          <a:r>
            <a:rPr lang="en-US" altLang="zh-CN" sz="1100">
              <a:solidFill>
                <a:schemeClr val="lt1"/>
              </a:solidFill>
              <a:effectLst/>
              <a:latin typeface="+mn-lt"/>
              <a:ea typeface="+mn-ea"/>
              <a:cs typeface="+mn-cs"/>
            </a:rPr>
            <a:t>       ◆ BK LIST</a:t>
          </a:r>
        </a:p>
        <a:p>
          <a:r>
            <a:rPr lang="en-US" altLang="zh-CN" sz="1100">
              <a:solidFill>
                <a:schemeClr val="lt1"/>
              </a:solidFill>
              <a:effectLst/>
              <a:latin typeface="+mn-lt"/>
              <a:ea typeface="+mn-ea"/>
              <a:cs typeface="+mn-cs"/>
            </a:rPr>
            <a:t>       ◆ TERMINAL SITE</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attached files.</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HBL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a:t>
          </a:r>
          <a:r>
            <a:rPr lang="en-US" altLang="zh-CN" sz="1100">
              <a:solidFill>
                <a:schemeClr val="lt1"/>
              </a:solidFill>
              <a:effectLst/>
              <a:latin typeface="+mn-lt"/>
              <a:ea typeface="+mn-ea"/>
              <a:cs typeface="+mn-cs"/>
            </a:rPr>
            <a:t> MBL</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a:t>
          </a:r>
          <a:r>
            <a:rPr lang="zh-CN" altLang="zh-CN" sz="1100">
              <a:solidFill>
                <a:schemeClr val="lt1"/>
              </a:solidFill>
              <a:effectLst/>
              <a:latin typeface="+mn-lt"/>
              <a:ea typeface="+mn-ea"/>
              <a:cs typeface="+mn-cs"/>
            </a:rPr>
            <a:t>◆ </a:t>
          </a:r>
          <a:r>
            <a:rPr lang="en-US" altLang="zh-CN" sz="1100">
              <a:solidFill>
                <a:schemeClr val="lt1"/>
              </a:solidFill>
              <a:effectLst/>
              <a:latin typeface="+mn-lt"/>
              <a:ea typeface="+mn-ea"/>
              <a:cs typeface="+mn-cs"/>
            </a:rPr>
            <a:t>VESSEL DEPARTED ON: </a:t>
          </a:r>
        </a:p>
        <a:p>
          <a:endParaRPr lang="en-US"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Dear,</a:t>
          </a:r>
          <a:endParaRPr lang="zh-CN" altLang="zh-CN" sz="1100">
            <a:solidFill>
              <a:schemeClr val="lt1"/>
            </a:solidFill>
            <a:effectLst/>
            <a:latin typeface="+mn-lt"/>
            <a:ea typeface="+mn-ea"/>
            <a:cs typeface="+mn-cs"/>
          </a:endParaRPr>
        </a:p>
        <a:p>
          <a:r>
            <a:rPr lang="en-US" altLang="zh-CN" sz="1100">
              <a:solidFill>
                <a:schemeClr val="lt1"/>
              </a:solidFill>
              <a:effectLst/>
              <a:latin typeface="+mn-lt"/>
              <a:ea typeface="+mn-ea"/>
              <a:cs typeface="+mn-cs"/>
            </a:rPr>
            <a:t>       Please kindly refer to the delay notice of this shipment, thank you.</a:t>
          </a:r>
          <a:endParaRPr lang="zh-CN" altLang="zh-CN" sz="1100">
            <a:solidFill>
              <a:schemeClr val="lt1"/>
            </a:solidFill>
            <a:effectLst/>
            <a:latin typeface="+mn-lt"/>
            <a:ea typeface="+mn-ea"/>
            <a:cs typeface="+mn-cs"/>
          </a:endParaRPr>
        </a:p>
        <a:p>
          <a:endParaRPr lang="zh-CN" altLang="zh-CN" sz="1100">
            <a:solidFill>
              <a:schemeClr val="lt1"/>
            </a:solidFill>
            <a:effectLst/>
            <a:latin typeface="+mn-lt"/>
            <a:ea typeface="+mn-ea"/>
            <a:cs typeface="+mn-cs"/>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咚咚呛" refreshedDate="43832.544465046296" createdVersion="6" refreshedVersion="6" minRefreshableVersion="3" recordCount="276" xr:uid="{B2B54A17-938D-446F-BA7B-47F2A4987076}">
  <cacheSource type="worksheet">
    <worksheetSource name="Table135"/>
  </cacheSource>
  <cacheFields count="14">
    <cacheField name="ETD" numFmtId="176">
      <sharedItems containsSemiMixedTypes="0" containsNonDate="0" containsDate="1" containsString="0" minDate="2019-01-15T00:00:00" maxDate="2020-02-10T00:00:00" count="42">
        <d v="2019-09-15T00:00:00"/>
        <d v="2019-09-18T00:00:00"/>
        <d v="2019-09-19T00:00:00"/>
        <d v="2019-09-22T00:00:00"/>
        <d v="2019-09-25T00:00:00"/>
        <d v="2019-09-29T00:00:00"/>
        <d v="2019-10-02T00:00:00"/>
        <d v="2019-10-06T00:00:00"/>
        <d v="2019-10-09T00:00:00"/>
        <d v="2019-10-13T00:00:00"/>
        <d v="2019-10-16T00:00:00"/>
        <d v="2019-10-20T00:00:00"/>
        <d v="2019-10-23T00:00:00"/>
        <d v="2019-10-27T00:00:00"/>
        <d v="2019-10-30T00:00:00"/>
        <d v="2019-11-03T00:00:00"/>
        <d v="2019-11-06T00:00:00"/>
        <d v="2019-11-10T00:00:00"/>
        <d v="2019-11-13T00:00:00"/>
        <d v="2019-11-17T00:00:00"/>
        <d v="2019-11-20T00:00:00"/>
        <d v="2019-11-24T00:00:00"/>
        <d v="2019-11-27T00:00:00"/>
        <d v="2019-12-01T00:00:00"/>
        <d v="2019-12-04T00:00:00"/>
        <d v="2019-12-08T00:00:00"/>
        <d v="2019-12-11T00:00:00"/>
        <d v="2019-12-15T00:00:00"/>
        <d v="2019-12-18T00:00:00"/>
        <d v="2019-12-19T00:00:00"/>
        <d v="2019-12-22T00:00:00"/>
        <d v="2019-12-25T00:00:00"/>
        <d v="2019-12-26T00:00:00"/>
        <d v="2019-12-29T00:00:00"/>
        <d v="2020-01-01T00:00:00"/>
        <d v="2020-01-05T00:00:00"/>
        <d v="2020-01-08T00:00:00"/>
        <d v="2020-01-12T00:00:00"/>
        <d v="2020-01-15T00:00:00"/>
        <d v="2020-01-19T00:00:00"/>
        <d v="2020-02-09T00:00:00"/>
        <d v="2019-01-15T00:00:00" u="1"/>
      </sharedItems>
    </cacheField>
    <cacheField name="CNEE" numFmtId="0">
      <sharedItems/>
    </cacheField>
    <cacheField name="CN" numFmtId="0">
      <sharedItems/>
    </cacheField>
    <cacheField name="EN" numFmtId="0">
      <sharedItems/>
    </cacheField>
    <cacheField name="PO" numFmtId="0">
      <sharedItems containsBlank="1"/>
    </cacheField>
    <cacheField name="20'" numFmtId="179">
      <sharedItems containsString="0" containsBlank="1" containsNumber="1" containsInteger="1" minValue="0" maxValue="14"/>
    </cacheField>
    <cacheField name="40'" numFmtId="179">
      <sharedItems containsString="0" containsBlank="1" containsNumber="1" containsInteger="1" minValue="0" maxValue="7"/>
    </cacheField>
    <cacheField name="HBL" numFmtId="1">
      <sharedItems containsBlank="1"/>
    </cacheField>
    <cacheField name="MBL" numFmtId="1">
      <sharedItems containsBlank="1"/>
    </cacheField>
    <cacheField name="备注" numFmtId="1">
      <sharedItems containsBlank="1"/>
    </cacheField>
    <cacheField name="退费" numFmtId="1">
      <sharedItems containsBlank="1" containsMixedTypes="1" containsNumber="1" containsInteger="1" minValue="212" maxValue="1890"/>
    </cacheField>
    <cacheField name="五步" numFmtId="1">
      <sharedItems containsBlank="1"/>
    </cacheField>
    <cacheField name="TEU" numFmtId="179">
      <sharedItems containsSemiMixedTypes="0" containsString="0" containsNumber="1" containsInteger="1" minValue="0" maxValue="14"/>
    </cacheField>
    <cacheField name="显示名称" numFmtId="0">
      <sharedItems count="16">
        <s v="永艺 - SSEM"/>
        <s v="卡帛 - HANSSEM"/>
        <s v="顾家 - HANSSEM"/>
        <s v="华宝 - EFFEX"/>
        <s v="万盛 - HANSSEM"/>
        <s v="瑞显 - CASAMIA"/>
        <s v="华达利 - CASAMIA"/>
        <s v="雅家居 - CASAMIA"/>
        <s v="非相 - CASAMIA"/>
        <s v="洲际 - CASAMIA"/>
        <s v="顾家 - CASAMIA"/>
        <s v="富和 - SSEM"/>
        <s v="伟誉 - CASAMIA"/>
        <s v="森川 - CASAMIA"/>
        <s v="飞集 - SIDIZ"/>
        <s v="KANG - KANG"/>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6">
  <r>
    <x v="0"/>
    <s v="SSEM"/>
    <s v="永艺"/>
    <s v="UE"/>
    <s v="8-3 ORDER "/>
    <m/>
    <n v="1"/>
    <s v="YJCSHAN1914865"/>
    <s v="PCLU1937HN4402"/>
    <m/>
    <m/>
    <s v="OK"/>
    <n v="2"/>
    <x v="0"/>
  </r>
  <r>
    <x v="1"/>
    <s v="SSEM"/>
    <s v="永艺"/>
    <s v="UE"/>
    <s v="8-3 ORDER "/>
    <n v="1"/>
    <m/>
    <s v="YJCSHAN1915136"/>
    <s v="PCLU1792PE4404"/>
    <m/>
    <m/>
    <s v="OK"/>
    <n v="1"/>
    <x v="0"/>
  </r>
  <r>
    <x v="1"/>
    <s v="HANSSEM"/>
    <s v="卡帛"/>
    <s v="CABO"/>
    <s v="219CABO-HS030"/>
    <m/>
    <n v="1"/>
    <m/>
    <m/>
    <m/>
    <m/>
    <s v="OK"/>
    <n v="2"/>
    <x v="1"/>
  </r>
  <r>
    <x v="1"/>
    <s v="HANSSEM"/>
    <s v="顾家"/>
    <s v="KUKA"/>
    <s v="219JJ52-10000-6"/>
    <m/>
    <n v="1"/>
    <m/>
    <m/>
    <m/>
    <m/>
    <s v="OK"/>
    <n v="2"/>
    <x v="2"/>
  </r>
  <r>
    <x v="1"/>
    <s v="EFFEX"/>
    <s v="华宝"/>
    <s v="HUABAO"/>
    <s v="HB190601"/>
    <n v="9"/>
    <m/>
    <m/>
    <m/>
    <m/>
    <m/>
    <s v="OK"/>
    <n v="9"/>
    <x v="3"/>
  </r>
  <r>
    <x v="1"/>
    <s v="HANSSEM"/>
    <s v="万盛"/>
    <s v="WANSHENG"/>
    <s v="HSO 1811-25E-135"/>
    <m/>
    <n v="2"/>
    <m/>
    <m/>
    <m/>
    <m/>
    <s v="OK"/>
    <n v="4"/>
    <x v="4"/>
  </r>
  <r>
    <x v="1"/>
    <s v="HANSSEM"/>
    <s v="万盛"/>
    <s v="WANSHENG"/>
    <s v="HSO 1811-25E-136"/>
    <m/>
    <n v="1"/>
    <m/>
    <m/>
    <m/>
    <m/>
    <s v="OK"/>
    <n v="2"/>
    <x v="4"/>
  </r>
  <r>
    <x v="2"/>
    <s v="CASAMIA"/>
    <s v="瑞显"/>
    <s v="LOUISUN"/>
    <s v="FURNITURE"/>
    <n v="1"/>
    <m/>
    <m/>
    <m/>
    <m/>
    <m/>
    <s v="OK"/>
    <n v="1"/>
    <x v="5"/>
  </r>
  <r>
    <x v="3"/>
    <s v="HANSSEM"/>
    <s v="顾家"/>
    <s v="KUKA"/>
    <s v="219JJ52-10000-9"/>
    <m/>
    <n v="1"/>
    <s v="YJCSHAN1915130"/>
    <s v="PCLU1938HN4300"/>
    <m/>
    <m/>
    <s v="OK"/>
    <n v="2"/>
    <x v="2"/>
  </r>
  <r>
    <x v="3"/>
    <s v="HANSSEM"/>
    <s v="卡帛"/>
    <s v="CABO"/>
    <s v="219CABO-HS035/HS044/HS046"/>
    <m/>
    <n v="3"/>
    <s v="YJCSHAN1915133"/>
    <s v="PCLU1938HN4302"/>
    <m/>
    <m/>
    <s v="OK"/>
    <n v="6"/>
    <x v="1"/>
  </r>
  <r>
    <x v="3"/>
    <s v="EFFEX"/>
    <s v="华宝"/>
    <s v="HUABAO"/>
    <s v="HB190601"/>
    <n v="10"/>
    <m/>
    <s v="YJCSHAN1914951"/>
    <s v="PCLU1938HN4400"/>
    <m/>
    <m/>
    <s v="OK"/>
    <n v="10"/>
    <x v="3"/>
  </r>
  <r>
    <x v="3"/>
    <s v="HANSSEM"/>
    <s v="万盛"/>
    <s v="WANSHENG"/>
    <s v="HSO 1811-25E-139"/>
    <m/>
    <n v="2"/>
    <m/>
    <m/>
    <m/>
    <m/>
    <s v="OK"/>
    <n v="4"/>
    <x v="4"/>
  </r>
  <r>
    <x v="3"/>
    <s v="HANSSEM"/>
    <s v="万盛"/>
    <s v="WANSHENG"/>
    <s v="HSO 1811-25E-140"/>
    <m/>
    <n v="2"/>
    <m/>
    <m/>
    <m/>
    <m/>
    <s v="OK"/>
    <n v="4"/>
    <x v="4"/>
  </r>
  <r>
    <x v="3"/>
    <s v="HANSSEM"/>
    <s v="万盛"/>
    <s v="WANSHENG"/>
    <s v="HSO 1811-25E-141"/>
    <m/>
    <n v="1"/>
    <m/>
    <m/>
    <m/>
    <m/>
    <s v="OK"/>
    <n v="2"/>
    <x v="4"/>
  </r>
  <r>
    <x v="4"/>
    <s v="HANSSEM"/>
    <s v="顾家"/>
    <s v="KUKA"/>
    <s v="219JJ52-10000-5"/>
    <m/>
    <n v="1"/>
    <s v="YJCSHAN1914680"/>
    <s v="PCLU1793PE4300"/>
    <m/>
    <m/>
    <s v="OK"/>
    <n v="2"/>
    <x v="2"/>
  </r>
  <r>
    <x v="4"/>
    <s v="HANSSEM"/>
    <s v="万盛"/>
    <s v="WANSHENG"/>
    <s v="HSO 1811-25E-142"/>
    <m/>
    <n v="1"/>
    <s v="YJCSHAN1915657"/>
    <s v="PCLU1793PE4302"/>
    <m/>
    <m/>
    <s v="OK"/>
    <n v="2"/>
    <x v="4"/>
  </r>
  <r>
    <x v="4"/>
    <s v="HANSSEM"/>
    <s v="万盛"/>
    <s v="WANSHENG"/>
    <s v="HSO 1811-25E-143"/>
    <m/>
    <n v="3"/>
    <s v="YJCSHAN1915658"/>
    <s v="PCLU1793PE4304"/>
    <s v="1915754 1915755"/>
    <m/>
    <s v="OK"/>
    <n v="6"/>
    <x v="4"/>
  </r>
  <r>
    <x v="4"/>
    <s v="CASAMIA"/>
    <s v="华达利"/>
    <s v="HTL"/>
    <s v="PO1908020017_x000a_PO1908020027_x000a_PO1908020011"/>
    <m/>
    <n v="3"/>
    <s v="YJCSHAN1915718"/>
    <s v="PCLU1793PE4308"/>
    <m/>
    <m/>
    <s v="OK"/>
    <n v="6"/>
    <x v="6"/>
  </r>
  <r>
    <x v="4"/>
    <s v="EFFEX"/>
    <s v="华宝"/>
    <s v="HUABAO"/>
    <s v="HB190601"/>
    <n v="8"/>
    <m/>
    <s v="YJCSHAN1914953"/>
    <s v="PCLU1793PE4400"/>
    <s v="拼4401"/>
    <m/>
    <s v="OK"/>
    <n v="8"/>
    <x v="3"/>
  </r>
  <r>
    <x v="4"/>
    <s v="SSEM"/>
    <s v="永艺"/>
    <s v="UE"/>
    <s v="9-7 ORDER"/>
    <m/>
    <n v="2"/>
    <s v="YJCSHAN1915583"/>
    <s v="PCLU1793PE4404"/>
    <s v="拼4405 1915810"/>
    <m/>
    <s v="OK"/>
    <n v="4"/>
    <x v="0"/>
  </r>
  <r>
    <x v="5"/>
    <s v="HANSSEM"/>
    <s v="顾家"/>
    <s v="KUKA"/>
    <s v="219JJ52-10000-7-11"/>
    <m/>
    <n v="2"/>
    <s v="YJCSHAN1915429"/>
    <s v="PCLU1939HN4300"/>
    <m/>
    <m/>
    <s v="OK"/>
    <n v="4"/>
    <x v="2"/>
  </r>
  <r>
    <x v="5"/>
    <s v="CASAMIA"/>
    <s v="雅家居"/>
    <s v="YAJIAJU"/>
    <s v="shcsm190920"/>
    <m/>
    <n v="2"/>
    <s v="YJCSHAN1915777"/>
    <s v="PCLU1939HN4302"/>
    <m/>
    <m/>
    <s v="OK"/>
    <n v="4"/>
    <x v="7"/>
  </r>
  <r>
    <x v="5"/>
    <s v="SSEM"/>
    <s v="永艺"/>
    <s v="UE"/>
    <s v="9-8 ORDER"/>
    <m/>
    <n v="4"/>
    <s v="YJCSHAN1915778"/>
    <s v="PCLU1939HN4304"/>
    <m/>
    <m/>
    <s v="OK"/>
    <n v="8"/>
    <x v="0"/>
  </r>
  <r>
    <x v="5"/>
    <s v="HANSSEM"/>
    <s v="万盛"/>
    <s v="WANSHENG"/>
    <s v="HSO 1811-25E-145"/>
    <m/>
    <n v="3"/>
    <s v="YJCSHAN1915929"/>
    <s v="PCLU1939HN4306"/>
    <m/>
    <m/>
    <s v="OK"/>
    <n v="6"/>
    <x v="4"/>
  </r>
  <r>
    <x v="5"/>
    <s v="HANSSEM"/>
    <s v="万盛"/>
    <s v="WANSHENG"/>
    <s v="HSO 1811-25E-146"/>
    <m/>
    <n v="2"/>
    <s v="YJCSHAN1915930"/>
    <s v="PCLU1939HN4308"/>
    <m/>
    <m/>
    <s v="OK"/>
    <n v="4"/>
    <x v="4"/>
  </r>
  <r>
    <x v="5"/>
    <s v="CASAMIA"/>
    <s v="非相"/>
    <s v="PHILOSOPHY"/>
    <s v="PO1907230017"/>
    <n v="1"/>
    <m/>
    <s v="YJCSHAN1916011"/>
    <s v="PCLU1939HN4310"/>
    <m/>
    <m/>
    <s v="OK"/>
    <n v="1"/>
    <x v="8"/>
  </r>
  <r>
    <x v="6"/>
    <s v="EFFEX"/>
    <s v="华宝"/>
    <s v="HUABAO"/>
    <s v="HB190601"/>
    <n v="4"/>
    <m/>
    <s v="YJCSHAN1915697"/>
    <s v="PCLU1794PE4400"/>
    <m/>
    <m/>
    <s v="OK"/>
    <n v="4"/>
    <x v="3"/>
  </r>
  <r>
    <x v="6"/>
    <s v="CASAMIA"/>
    <s v="华达利"/>
    <s v="HTL"/>
    <s v="PO1908140032_x000a_PO1908140033_x000a_PO1908140035"/>
    <m/>
    <n v="3"/>
    <s v="YJCSHAN1915774"/>
    <s v="PCLU1794PE4404"/>
    <s v="原4，套用1个到1009"/>
    <m/>
    <s v="OK"/>
    <n v="6"/>
    <x v="6"/>
  </r>
  <r>
    <x v="7"/>
    <s v="HANSSEM"/>
    <s v="顾家"/>
    <s v="KUKA"/>
    <s v="219JJ52-10000-10"/>
    <m/>
    <n v="1"/>
    <s v="YJCSHAN1915771"/>
    <s v="PCLU1940HN4300"/>
    <m/>
    <m/>
    <s v="OK"/>
    <n v="2"/>
    <x v="2"/>
  </r>
  <r>
    <x v="7"/>
    <s v="CASAMIA"/>
    <s v="洲际"/>
    <s v="ZHOUJI"/>
    <s v="AHL2285"/>
    <m/>
    <n v="1"/>
    <s v="YJCSHAN1915776"/>
    <s v="PCLU1940HN4302"/>
    <m/>
    <m/>
    <s v="OK"/>
    <n v="2"/>
    <x v="9"/>
  </r>
  <r>
    <x v="7"/>
    <s v="HANSSEM"/>
    <s v="万盛"/>
    <s v="WANSHENG"/>
    <s v="HSO 1811-25E-147"/>
    <m/>
    <n v="3"/>
    <s v="YJCSHAN1916055"/>
    <s v="PCLU1940HN4304"/>
    <m/>
    <m/>
    <s v="OK"/>
    <n v="6"/>
    <x v="4"/>
  </r>
  <r>
    <x v="7"/>
    <s v="HANSSEM"/>
    <s v="万盛"/>
    <s v="WANSHENG"/>
    <s v="HSO 1811-25E-148"/>
    <m/>
    <n v="1"/>
    <s v="YJCSHAN1916057"/>
    <s v="PCLU1940HN4306"/>
    <m/>
    <m/>
    <s v="OK"/>
    <n v="2"/>
    <x v="4"/>
  </r>
  <r>
    <x v="7"/>
    <s v="HANSSEM"/>
    <s v="万盛"/>
    <s v="WANSHENG"/>
    <s v="HSO 1811-25E-149"/>
    <m/>
    <n v="1"/>
    <s v="YJCSHAN1916058"/>
    <s v="PCLU1940HN4308"/>
    <m/>
    <m/>
    <s v="OK"/>
    <n v="2"/>
    <x v="4"/>
  </r>
  <r>
    <x v="7"/>
    <s v="HANSSEM"/>
    <s v="顾家"/>
    <s v="KUKA"/>
    <s v="219JJ52-10000-15"/>
    <m/>
    <n v="1"/>
    <s v="YJCSHAN1916226"/>
    <s v="PCLU1940HN4310"/>
    <m/>
    <m/>
    <s v="OK"/>
    <n v="2"/>
    <x v="2"/>
  </r>
  <r>
    <x v="7"/>
    <s v="HANSSEM"/>
    <s v="顾家"/>
    <s v="KUKA"/>
    <s v="219JJ52-10000-13"/>
    <m/>
    <n v="1"/>
    <s v="YJCSHAN1916227"/>
    <s v="PCLU1940HN4312"/>
    <m/>
    <m/>
    <s v="OK"/>
    <n v="2"/>
    <x v="2"/>
  </r>
  <r>
    <x v="7"/>
    <s v="SSEM"/>
    <s v="永艺"/>
    <s v="UE"/>
    <s v="10-1 ORDER"/>
    <m/>
    <n v="6"/>
    <s v="YJCSHAN1916225"/>
    <s v="PCLU1940HN4400"/>
    <s v="3HBL 并1916398/4401 1916400/4402"/>
    <m/>
    <s v="OK"/>
    <n v="12"/>
    <x v="0"/>
  </r>
  <r>
    <x v="8"/>
    <s v="HANSSEM"/>
    <s v="卡帛"/>
    <s v="CABO"/>
    <s v="219CABO-HS037/HS038"/>
    <m/>
    <n v="2"/>
    <s v="YJCSHAN1915768"/>
    <s v="PCLU1795PE4300"/>
    <s v="出2份提单 A"/>
    <m/>
    <s v="OK"/>
    <n v="4"/>
    <x v="1"/>
  </r>
  <r>
    <x v="8"/>
    <s v="HANSSEM"/>
    <s v="顾家"/>
    <s v="KUKA"/>
    <s v="219JJ52-10000-14"/>
    <m/>
    <n v="1"/>
    <s v="YJCSHAN1916027"/>
    <s v="PCLU1795PE4302"/>
    <m/>
    <m/>
    <s v="OK"/>
    <n v="2"/>
    <x v="2"/>
  </r>
  <r>
    <x v="8"/>
    <s v="HANSSEM"/>
    <s v="万盛"/>
    <s v="WANSHENG"/>
    <s v="HSO 1811-25E-150"/>
    <m/>
    <n v="1"/>
    <s v="YJCSHAN1916059"/>
    <s v="PCLU1795PE4304"/>
    <m/>
    <m/>
    <s v="OK"/>
    <n v="2"/>
    <x v="4"/>
  </r>
  <r>
    <x v="8"/>
    <s v="HANSSEM"/>
    <s v="万盛"/>
    <s v="WANSHENG"/>
    <s v="HSO 1811-25E-151"/>
    <n v="1"/>
    <m/>
    <s v="YJCSHAN1916060"/>
    <s v="PCLU1795PE4306"/>
    <s v="出2份提单"/>
    <m/>
    <s v="OK"/>
    <n v="1"/>
    <x v="4"/>
  </r>
  <r>
    <x v="8"/>
    <s v="HANSSEM"/>
    <s v="万盛"/>
    <s v="WANSHENG"/>
    <s v="HSO 1811-25E-156"/>
    <m/>
    <n v="1"/>
    <s v="YJCSHAN1916137"/>
    <s v="PCLU1795PE4308"/>
    <s v="拼4309"/>
    <m/>
    <s v="OK"/>
    <n v="2"/>
    <x v="4"/>
  </r>
  <r>
    <x v="8"/>
    <s v="CASAMIA"/>
    <s v="华达利"/>
    <s v="HTL"/>
    <s v="PO1908020006_x000a_PO1908140034"/>
    <m/>
    <n v="2"/>
    <s v="YJCSHAN1915775"/>
    <s v="PCLU1795PE4400"/>
    <s v="出2份提单 A"/>
    <m/>
    <s v="OK"/>
    <n v="4"/>
    <x v="6"/>
  </r>
  <r>
    <x v="8"/>
    <s v="SSEM"/>
    <s v="永艺"/>
    <s v="UE"/>
    <s v="8-3 ORDER "/>
    <m/>
    <n v="1"/>
    <s v="YJCSHAN1915928"/>
    <s v="PCLU1795PE4402"/>
    <s v="拼4403"/>
    <m/>
    <s v="OK"/>
    <n v="2"/>
    <x v="0"/>
  </r>
  <r>
    <x v="9"/>
    <s v="HANSSEM"/>
    <s v="万盛"/>
    <s v="WANSHENG"/>
    <s v="HSO 1811-25E-152"/>
    <m/>
    <n v="1"/>
    <s v="YJCSHAN1916061"/>
    <s v="PCLU1941HN4300"/>
    <s v="拼4301 少一票舱单费1027 1917759代收"/>
    <m/>
    <s v="OK"/>
    <n v="2"/>
    <x v="4"/>
  </r>
  <r>
    <x v="9"/>
    <s v="HANSSEM"/>
    <s v="万盛"/>
    <s v="WANSHENG"/>
    <s v="HSO 1811-25E-152"/>
    <m/>
    <n v="1"/>
    <s v="YJCSHAN1916470"/>
    <s v="PCLU1941HN4303"/>
    <s v="拼4305"/>
    <m/>
    <s v="OK"/>
    <n v="2"/>
    <x v="4"/>
  </r>
  <r>
    <x v="9"/>
    <s v="CASAMIA"/>
    <s v="雅家居"/>
    <s v="YAJIAJU"/>
    <s v="shcsm190927"/>
    <m/>
    <n v="2"/>
    <s v="YJCSHAN1916287"/>
    <s v="PCLU1941HN4306"/>
    <s v="舱单费在20号那票里收"/>
    <m/>
    <s v="OK"/>
    <n v="4"/>
    <x v="7"/>
  </r>
  <r>
    <x v="9"/>
    <s v="HANSSEM"/>
    <s v="顾家"/>
    <s v="KUKA"/>
    <s v="219JJ52-10000-12-16"/>
    <m/>
    <n v="2"/>
    <s v="YJCSHAN1915772"/>
    <s v="PCLU1941HN4308"/>
    <s v="拼4310 4312"/>
    <m/>
    <s v="OK"/>
    <n v="4"/>
    <x v="2"/>
  </r>
  <r>
    <x v="9"/>
    <s v="CASAMIA"/>
    <s v="华达利"/>
    <s v="HTL"/>
    <s v="PO1908020018_x000a_PO1908020028"/>
    <m/>
    <n v="2"/>
    <s v="YJCSHAN1915773"/>
    <s v="PCLU1941HN4314"/>
    <s v="1002查验没上船，改配13号"/>
    <m/>
    <s v="OK"/>
    <n v="4"/>
    <x v="6"/>
  </r>
  <r>
    <x v="9"/>
    <s v="EFFEX"/>
    <s v="华宝"/>
    <s v="HUABAO"/>
    <s v="HB190601"/>
    <n v="3"/>
    <m/>
    <s v="YJCSHAN1916447"/>
    <s v="PCLU1941HN4316"/>
    <s v="10-02三个没上船改配"/>
    <m/>
    <s v="OK"/>
    <n v="3"/>
    <x v="3"/>
  </r>
  <r>
    <x v="9"/>
    <s v="CASAMIA"/>
    <s v="华达利"/>
    <s v="HTL"/>
    <s v="PO1909100009_x000a_PO1908020012_x000a_PO1908020019_x000a_PO1908020029"/>
    <m/>
    <n v="4"/>
    <s v="YJCSHAN1916054"/>
    <s v="PCLU1941HN4400"/>
    <s v="出3提单A B"/>
    <m/>
    <s v="OK"/>
    <n v="8"/>
    <x v="6"/>
  </r>
  <r>
    <x v="10"/>
    <s v="HANSSEM"/>
    <s v="卡帛"/>
    <s v="CABO"/>
    <s v="219CABO-HS040/HS041/HS042"/>
    <m/>
    <n v="0"/>
    <s v="YJCSHAN1915769"/>
    <s v="PCLU1796PE4302"/>
    <s v="改到20"/>
    <m/>
    <s v="OK"/>
    <n v="0"/>
    <x v="1"/>
  </r>
  <r>
    <x v="10"/>
    <s v="HANSSEM"/>
    <s v="万盛"/>
    <s v="WANSHENG"/>
    <s v="HSO 1811-25E-154"/>
    <m/>
    <n v="0"/>
    <s v="YJCSHAN1916063"/>
    <s v="PCLU1796PE4306"/>
    <s v="1个改到20号"/>
    <m/>
    <s v="OK"/>
    <n v="0"/>
    <x v="4"/>
  </r>
  <r>
    <x v="10"/>
    <s v="HANSSEM"/>
    <s v="万盛"/>
    <s v="WANSHENG"/>
    <s v="HSO 1811-25E-155"/>
    <m/>
    <n v="0"/>
    <s v="YJCSHAN1916064"/>
    <s v="PCLU1796PE4308"/>
    <s v="1个改到20号"/>
    <m/>
    <s v="OK"/>
    <n v="0"/>
    <x v="4"/>
  </r>
  <r>
    <x v="10"/>
    <s v="CASAMIA"/>
    <s v="顾家"/>
    <s v="KUKA"/>
    <s v="PO1908020039_x000a_PO1908020041_x000a_PO1908020042_x000a_PO1908020043"/>
    <m/>
    <n v="4"/>
    <s v="YJCSHAN1916157"/>
    <s v="PCLU1796PE4400"/>
    <m/>
    <m/>
    <s v="OK"/>
    <n v="8"/>
    <x v="10"/>
  </r>
  <r>
    <x v="10"/>
    <s v="CASAMIA"/>
    <s v="洲际"/>
    <s v="ZHOUJI"/>
    <s v="AHL2332"/>
    <m/>
    <n v="1"/>
    <s v="YJCSHAN1916390"/>
    <s v="PCLU1796PE4402"/>
    <s v="拼4403"/>
    <m/>
    <s v="OK"/>
    <n v="2"/>
    <x v="9"/>
  </r>
  <r>
    <x v="11"/>
    <s v="CASAMIA"/>
    <s v="华达利"/>
    <s v="HTL"/>
    <s v="PO1909230012"/>
    <m/>
    <n v="1"/>
    <s v="YJCSHAN1916228"/>
    <s v="KMTCSHAE441748"/>
    <s v="KMTC KMTC SHENZHEN 1910N BUSAN"/>
    <m/>
    <s v="OK"/>
    <n v="2"/>
    <x v="6"/>
  </r>
  <r>
    <x v="11"/>
    <s v="EFFEX"/>
    <s v="华宝"/>
    <s v="HUABAO"/>
    <s v="HB190601"/>
    <n v="0"/>
    <m/>
    <s v="YJCSHAN1917123"/>
    <s v="KMTCSHAE473303."/>
    <s v="KMTC CHATTANOOGA 1942E 漏装至1027"/>
    <m/>
    <s v="OK"/>
    <n v="0"/>
    <x v="3"/>
  </r>
  <r>
    <x v="11"/>
    <s v="HANSSEM"/>
    <s v="卡帛"/>
    <s v="CABO"/>
    <s v="219CABO-HS039/HS040/HS041/ HS042/HS043/HS047/HS048"/>
    <m/>
    <n v="7"/>
    <s v="YJCSHAN1915927"/>
    <s v="PCLU1942HN4300"/>
    <s v="1报3提 1917333 1917334"/>
    <m/>
    <s v="OK"/>
    <n v="14"/>
    <x v="1"/>
  </r>
  <r>
    <x v="11"/>
    <s v="HANSSEM"/>
    <s v="万盛"/>
    <s v="WANSHENG"/>
    <s v="HSO 1811-25E-156"/>
    <m/>
    <n v="2"/>
    <s v="YJCSHAN1916288"/>
    <s v="PCLU1942HN4302"/>
    <m/>
    <m/>
    <s v="OK"/>
    <n v="4"/>
    <x v="4"/>
  </r>
  <r>
    <x v="11"/>
    <s v="HANSSEM"/>
    <s v="万盛"/>
    <s v="WANSHENG"/>
    <s v="HSO 1811-25E-157"/>
    <m/>
    <n v="2"/>
    <s v="YJCSHAN1916289"/>
    <s v="PCLU1942HN4304"/>
    <m/>
    <m/>
    <s v="OK"/>
    <n v="4"/>
    <x v="4"/>
  </r>
  <r>
    <x v="11"/>
    <s v="HANSSEM"/>
    <s v="万盛"/>
    <s v="WANSHENG"/>
    <s v="HSO 1811-25E-158"/>
    <m/>
    <n v="0"/>
    <s v="YJCSHAN1916290"/>
    <s v="PCLU1942HN4306"/>
    <s v="进港后退关，改27号，费用见文件"/>
    <m/>
    <s v="OK"/>
    <n v="0"/>
    <x v="4"/>
  </r>
  <r>
    <x v="11"/>
    <s v="HANSSEM"/>
    <s v="万盛"/>
    <s v="WANSHENG"/>
    <s v="HSO 1811-25E-154"/>
    <m/>
    <n v="2"/>
    <s v="YJCSHAN1916980"/>
    <s v="PCLU1942HN4308"/>
    <m/>
    <m/>
    <s v="OK"/>
    <n v="4"/>
    <x v="4"/>
  </r>
  <r>
    <x v="11"/>
    <s v="CASAMIA"/>
    <s v="雅家居"/>
    <s v="YAJIAJU"/>
    <s v="shcsm191012"/>
    <m/>
    <n v="2"/>
    <s v="YJCSHAN1916986"/>
    <s v="PCLU1942HN4312"/>
    <s v="加上13号一票舱单费"/>
    <m/>
    <s v="OK"/>
    <n v="4"/>
    <x v="7"/>
  </r>
  <r>
    <x v="11"/>
    <s v="CASAMIA"/>
    <s v="顾家"/>
    <s v="KUKA"/>
    <s v="PO1908020044"/>
    <m/>
    <n v="1"/>
    <s v="YJCSHAN1916158"/>
    <s v="PCLU1942HN4400"/>
    <m/>
    <m/>
    <s v="OK"/>
    <n v="2"/>
    <x v="10"/>
  </r>
  <r>
    <x v="11"/>
    <s v="CASAMIA"/>
    <s v="华达利"/>
    <s v="HTL"/>
    <s v="PO1909100004_x000a_PO1909100013_x000a_PO1908020007_x000a_PO1908020013"/>
    <m/>
    <n v="4"/>
    <s v="YJCSHAN1916156"/>
    <s v="PCLU1942HN4402"/>
    <s v="2提单 1917205"/>
    <m/>
    <s v="OK"/>
    <n v="8"/>
    <x v="6"/>
  </r>
  <r>
    <x v="11"/>
    <s v="CASAMIA"/>
    <s v="洲际"/>
    <s v="ZHOUJI"/>
    <s v="AHL2333"/>
    <m/>
    <n v="1"/>
    <s v="YJCSHAN1916391"/>
    <s v="PCLU1942HN4406"/>
    <s v="拼4407"/>
    <m/>
    <s v="OK"/>
    <n v="2"/>
    <x v="9"/>
  </r>
  <r>
    <x v="12"/>
    <s v="CASAMIA"/>
    <s v="华达利"/>
    <s v="HTL"/>
    <s v="PO1909100010_x000a_PO1908020020_x000a_PO1908020030"/>
    <m/>
    <n v="3"/>
    <s v="YJCSHAN1916372"/>
    <s v="PCLU1797PE4400"/>
    <s v="2提 1917389"/>
    <m/>
    <s v="OK"/>
    <n v="6"/>
    <x v="6"/>
  </r>
  <r>
    <x v="12"/>
    <s v="CASAMIA"/>
    <s v="华达利"/>
    <s v="HTL"/>
    <s v="PO1909230013_x000a_PO1909230014"/>
    <m/>
    <n v="2"/>
    <s v="YJCSHAN1916612"/>
    <s v="PCLU1797PE4402"/>
    <m/>
    <m/>
    <s v="OK"/>
    <n v="4"/>
    <x v="6"/>
  </r>
  <r>
    <x v="12"/>
    <s v="HANSSEM"/>
    <s v="万盛"/>
    <s v="WANSHENG"/>
    <s v="HSO 1811-25E-159"/>
    <m/>
    <n v="2"/>
    <s v="YJCSHAN1916614"/>
    <s v="PCLU1797PE4406"/>
    <m/>
    <m/>
    <s v="OK"/>
    <n v="4"/>
    <x v="4"/>
  </r>
  <r>
    <x v="12"/>
    <s v="EFFEX"/>
    <s v="华宝"/>
    <s v="HUABAO"/>
    <s v="HB190601"/>
    <n v="7"/>
    <m/>
    <s v="YJCSHAN1916979"/>
    <s v="PCLU1797PE4408"/>
    <s v="拼4409"/>
    <m/>
    <s v="OK"/>
    <n v="7"/>
    <x v="3"/>
  </r>
  <r>
    <x v="12"/>
    <s v="HANSSEM"/>
    <s v="顾家"/>
    <s v="KUKA"/>
    <s v="219JJ52-10000-17"/>
    <m/>
    <n v="1"/>
    <s v="YJCSHAN1916999"/>
    <s v="PCLU1797PE4410"/>
    <s v="2提 1917394"/>
    <m/>
    <s v="OK"/>
    <n v="2"/>
    <x v="2"/>
  </r>
  <r>
    <x v="12"/>
    <s v="SSEM"/>
    <s v="永艺"/>
    <s v="UE"/>
    <s v="10-2  ORDER"/>
    <m/>
    <n v="2"/>
    <s v="YJCSHAN1917125"/>
    <s v="PCLU1797PE4412"/>
    <m/>
    <m/>
    <s v="OK"/>
    <n v="4"/>
    <x v="0"/>
  </r>
  <r>
    <x v="13"/>
    <s v="EFFEX"/>
    <s v="华宝"/>
    <s v="HUABAO"/>
    <s v="HB190601"/>
    <n v="3"/>
    <m/>
    <s v="YJCSHAN1917123"/>
    <s v="KMTCSHAE473303"/>
    <s v="1020漏装  SUNNY CALLA 1943N"/>
    <m/>
    <s v="OK"/>
    <n v="3"/>
    <x v="3"/>
  </r>
  <r>
    <x v="13"/>
    <s v="CASAMIA"/>
    <s v="华达利"/>
    <s v="HTL"/>
    <s v="PO1908020021_x000a_PO1908020031"/>
    <m/>
    <n v="2"/>
    <s v="YJCSHAN1916615"/>
    <s v="PCLU1943HN4300"/>
    <m/>
    <m/>
    <s v="OK"/>
    <n v="4"/>
    <x v="6"/>
  </r>
  <r>
    <x v="13"/>
    <s v="HANSSEM"/>
    <s v="顾家"/>
    <s v="KUKA"/>
    <s v="219JJ52-10000-20"/>
    <m/>
    <n v="2"/>
    <s v="YJCSHAN1916616"/>
    <s v="PCLU1943HN4302"/>
    <m/>
    <m/>
    <s v="OK"/>
    <n v="4"/>
    <x v="2"/>
  </r>
  <r>
    <x v="13"/>
    <s v="HANSSEM"/>
    <s v="万盛"/>
    <s v="WANSHENG"/>
    <s v="HSO 1811-25E-160"/>
    <m/>
    <n v="2"/>
    <s v="YJCSHAN1916981"/>
    <s v="PCLU1943HN4304"/>
    <m/>
    <m/>
    <s v="OK"/>
    <n v="4"/>
    <x v="4"/>
  </r>
  <r>
    <x v="13"/>
    <s v="HANSSEM"/>
    <s v="万盛"/>
    <s v="WANSHENG"/>
    <s v="HSO 1811-25E-161"/>
    <m/>
    <n v="1"/>
    <s v="YJCSHAN1916983"/>
    <s v="PCLU1943HN4306"/>
    <m/>
    <m/>
    <s v="OK"/>
    <n v="2"/>
    <x v="4"/>
  </r>
  <r>
    <x v="13"/>
    <s v="SSEM"/>
    <s v="永艺"/>
    <s v="UE"/>
    <s v="10-2  ORDER"/>
    <m/>
    <n v="0"/>
    <s v="YJCSHAN1916290"/>
    <s v="PCLU1943HN4308"/>
    <s v="27改23"/>
    <m/>
    <s v="OK"/>
    <n v="0"/>
    <x v="0"/>
  </r>
  <r>
    <x v="13"/>
    <s v="EFFEX"/>
    <s v="华宝"/>
    <s v="HUABAO"/>
    <s v="HB190601"/>
    <n v="10"/>
    <m/>
    <s v="YJCSHAN1917392"/>
    <s v="PCLU1943HN4310"/>
    <s v="拼4311 4313"/>
    <m/>
    <s v="OK"/>
    <n v="10"/>
    <x v="3"/>
  </r>
  <r>
    <x v="13"/>
    <s v="SSEM"/>
    <s v="永艺"/>
    <s v="UE"/>
    <s v="10-3  ORDER"/>
    <m/>
    <n v="4"/>
    <s v="YJCSHAN1917663"/>
    <s v="PCLU1943HN4312"/>
    <s v="拼1917782/4314 1917781/4315 3提"/>
    <m/>
    <s v="OK"/>
    <n v="8"/>
    <x v="0"/>
  </r>
  <r>
    <x v="13"/>
    <s v="HANSSEM"/>
    <s v="万盛"/>
    <s v="WANSHENG"/>
    <s v="HSO 1811-25E-158"/>
    <m/>
    <n v="1"/>
    <s v="YJCSHAN1917759"/>
    <s v="PCLU1943HN4316"/>
    <s v="1020退关改1027 查验改封号 代收1113 1916061一票舱单费"/>
    <m/>
    <s v="OK"/>
    <n v="2"/>
    <x v="4"/>
  </r>
  <r>
    <x v="14"/>
    <s v="CASAMIA"/>
    <s v="华达利"/>
    <s v="HTL"/>
    <s v="PO1909230015_x000a_PO1909230016_x000a_PO1909230017"/>
    <m/>
    <n v="3"/>
    <s v="YJCSHAN1916617"/>
    <s v="PCLU1798PE4300"/>
    <s v="拼4301 4303"/>
    <m/>
    <s v="OK"/>
    <n v="6"/>
    <x v="6"/>
  </r>
  <r>
    <x v="14"/>
    <s v="HANSSEM"/>
    <s v="顾家"/>
    <s v="KUKA"/>
    <s v="219JJ52-10000-18"/>
    <m/>
    <n v="1"/>
    <s v="YJCSHAN1916977"/>
    <s v="PCLU1798PE4302"/>
    <m/>
    <m/>
    <s v="OK"/>
    <n v="2"/>
    <x v="2"/>
  </r>
  <r>
    <x v="14"/>
    <s v="HANSSEM"/>
    <s v="万盛"/>
    <s v="WANSHENG"/>
    <s v="HSO 1811-25E-162"/>
    <m/>
    <n v="1"/>
    <s v="YJCSHAN1916984"/>
    <s v="PCLU1798PE4304"/>
    <m/>
    <m/>
    <s v="OK"/>
    <n v="2"/>
    <x v="4"/>
  </r>
  <r>
    <x v="14"/>
    <s v="CASAMIA"/>
    <s v="洲际"/>
    <s v="ZHOUJI"/>
    <s v="AHL2286"/>
    <m/>
    <n v="1"/>
    <s v="YJCSHAN1917277"/>
    <s v="PCLU1798PE4306"/>
    <m/>
    <m/>
    <s v="OK"/>
    <n v="2"/>
    <x v="9"/>
  </r>
  <r>
    <x v="14"/>
    <s v="CASAMIA"/>
    <s v="雅家居"/>
    <s v="YAJIAJU"/>
    <s v="shcsm191018"/>
    <m/>
    <n v="2"/>
    <s v="YJCSHAN1917391"/>
    <s v="PCLU1798PE4308"/>
    <m/>
    <m/>
    <s v="OK"/>
    <n v="4"/>
    <x v="7"/>
  </r>
  <r>
    <x v="14"/>
    <s v="EFFEX"/>
    <s v="华宝"/>
    <s v="HUABAO"/>
    <s v="HB190601"/>
    <n v="8"/>
    <m/>
    <s v="YJCSHAN1917393"/>
    <s v="PCLU1798PE4310"/>
    <s v="拼4311"/>
    <m/>
    <s v="OK"/>
    <n v="8"/>
    <x v="3"/>
  </r>
  <r>
    <x v="15"/>
    <s v="CASAMIA"/>
    <s v="华达利"/>
    <s v="HTL"/>
    <s v="PO1909100005_x000a_PO1909100011"/>
    <m/>
    <n v="2"/>
    <s v="YJCSHAN1917708"/>
    <s v="PCLU1944HN4302"/>
    <s v="拼4303 4309 两提1918221"/>
    <m/>
    <s v="OK"/>
    <n v="4"/>
    <x v="6"/>
  </r>
  <r>
    <x v="15"/>
    <s v="HANSSEM"/>
    <s v="顾家"/>
    <s v="KUKA"/>
    <s v="219JJ52-52000-4"/>
    <m/>
    <n v="2"/>
    <s v="YJCSHAN1916978"/>
    <s v="PCLU1944HN4304"/>
    <s v="拼1917709/4305 1917710/4307 两提"/>
    <m/>
    <s v="OK"/>
    <n v="4"/>
    <x v="2"/>
  </r>
  <r>
    <x v="15"/>
    <s v="SSEM"/>
    <s v="富和"/>
    <s v="FUHE"/>
    <s v="PO.LF029"/>
    <m/>
    <n v="1"/>
    <s v="YJCSHAN1917907"/>
    <s v="PCLU1944HN4306"/>
    <m/>
    <m/>
    <s v="OK"/>
    <n v="2"/>
    <x v="11"/>
  </r>
  <r>
    <x v="15"/>
    <s v="HANSSEM"/>
    <s v="万盛"/>
    <s v="WANSHENG"/>
    <s v="HSO 1811-25E-164"/>
    <m/>
    <n v="1"/>
    <s v="YJCSHAN1917906"/>
    <s v="PCLU1944HN4308"/>
    <m/>
    <m/>
    <s v="OK"/>
    <n v="2"/>
    <x v="4"/>
  </r>
  <r>
    <x v="16"/>
    <s v="HANSSEM"/>
    <s v="万盛"/>
    <s v="WANSHENG"/>
    <s v="HSO 1811-25E-165"/>
    <m/>
    <n v="2"/>
    <s v="YJCSHAN1918144"/>
    <s v="PCLU1799PE4301"/>
    <m/>
    <m/>
    <s v="OK"/>
    <n v="4"/>
    <x v="4"/>
  </r>
  <r>
    <x v="16"/>
    <s v="SSEM"/>
    <s v="永艺"/>
    <s v="UE"/>
    <s v="UE-SSEMGLOBAL-201"/>
    <n v="1"/>
    <m/>
    <s v="YJCSHAN1917714"/>
    <s v="PCLU1799PE4302"/>
    <s v="拼4303"/>
    <m/>
    <s v="OK"/>
    <n v="1"/>
    <x v="0"/>
  </r>
  <r>
    <x v="16"/>
    <s v="HANSSEM"/>
    <s v="顾家"/>
    <s v="KUKA"/>
    <s v="219JJ52-10000-29"/>
    <m/>
    <n v="1"/>
    <s v="YJCSHAN1917763"/>
    <s v="PCLU1799PE4304"/>
    <s v="拼4305"/>
    <m/>
    <s v="OK"/>
    <n v="2"/>
    <x v="2"/>
  </r>
  <r>
    <x v="17"/>
    <s v="CASAMIA"/>
    <s v="雅家居"/>
    <s v="YAJIAJU"/>
    <s v="shcsm191029"/>
    <m/>
    <n v="2"/>
    <s v="YJCSHAN1918145"/>
    <s v="PCLU1945HN4301"/>
    <m/>
    <m/>
    <s v="OK"/>
    <n v="4"/>
    <x v="7"/>
  </r>
  <r>
    <x v="17"/>
    <s v="HANSSEM"/>
    <s v="卡帛"/>
    <s v="CABO"/>
    <s v="219CABO-HS049"/>
    <m/>
    <n v="1"/>
    <s v="YJCSHAN1917711"/>
    <s v="PCLU1945HN4302"/>
    <m/>
    <m/>
    <s v="OK"/>
    <n v="2"/>
    <x v="1"/>
  </r>
  <r>
    <x v="17"/>
    <s v="HANSSEM"/>
    <s v="顾家"/>
    <s v="KUKA"/>
    <s v="219JJ52-10000-23B"/>
    <m/>
    <n v="3"/>
    <s v="YJCSHAN1918456"/>
    <s v="PCLU1945HN4303"/>
    <m/>
    <m/>
    <s v="OK"/>
    <n v="6"/>
    <x v="2"/>
  </r>
  <r>
    <x v="17"/>
    <s v="CASAMIA"/>
    <s v="伟誉"/>
    <s v="WEIYU"/>
    <s v="AHL2330"/>
    <m/>
    <n v="1"/>
    <s v="YJCSHAN1917713"/>
    <s v="PCLU1945HN4304"/>
    <s v="1117改1110"/>
    <m/>
    <s v="OK"/>
    <n v="2"/>
    <x v="12"/>
  </r>
  <r>
    <x v="17"/>
    <s v="HANSSEM"/>
    <s v="万盛"/>
    <s v="WANSHENG"/>
    <s v="HSO 1811-25E-174"/>
    <m/>
    <n v="1"/>
    <s v="YJCSHAN1918591"/>
    <s v="PCLU1945HN4305"/>
    <m/>
    <m/>
    <s v="OK"/>
    <n v="2"/>
    <x v="4"/>
  </r>
  <r>
    <x v="18"/>
    <s v="HANSSEM"/>
    <s v="万盛"/>
    <s v="WANSHENG"/>
    <s v="HSO 1811-25E-168"/>
    <m/>
    <n v="1"/>
    <s v="YJCSHAN1918462"/>
    <s v="PCLU1800PE4301"/>
    <s v="拼4306"/>
    <m/>
    <s v="OK"/>
    <n v="2"/>
    <x v="4"/>
  </r>
  <r>
    <x v="18"/>
    <s v="CASAMIA"/>
    <s v="伟誉"/>
    <s v="WEIYU"/>
    <m/>
    <m/>
    <n v="0"/>
    <m/>
    <s v="PCLU1800PE4302"/>
    <s v="1113改1117"/>
    <m/>
    <s v="OK"/>
    <n v="0"/>
    <x v="12"/>
  </r>
  <r>
    <x v="18"/>
    <s v="HANSSEM"/>
    <s v="顾家"/>
    <s v="KUKA"/>
    <s v="219JJ52-10000-33B"/>
    <m/>
    <n v="2"/>
    <s v="YJCSHAN1917764"/>
    <s v="PCLU1800PE4304"/>
    <s v="拼4305 两提1918460"/>
    <m/>
    <s v="OK"/>
    <n v="4"/>
    <x v="2"/>
  </r>
  <r>
    <x v="18"/>
    <s v="HANSSEM"/>
    <s v="万盛"/>
    <s v="WANSHENG"/>
    <s v="HSO 1811-25E-166"/>
    <m/>
    <n v="1"/>
    <s v="YJCSHAN1918465"/>
    <s v="PCLU1800PE4307"/>
    <m/>
    <m/>
    <s v="OK"/>
    <n v="2"/>
    <x v="4"/>
  </r>
  <r>
    <x v="18"/>
    <s v="HANSSEM"/>
    <s v="万盛"/>
    <s v="WANSHENG"/>
    <s v="HSO 1811-25E-167"/>
    <m/>
    <n v="0"/>
    <s v="YJCSHAN1918464"/>
    <s v="PCLU1800PE4308"/>
    <s v="取消"/>
    <m/>
    <s v="OK"/>
    <n v="0"/>
    <x v="4"/>
  </r>
  <r>
    <x v="19"/>
    <s v="HANSSEM"/>
    <s v="顾家"/>
    <s v="KUKA"/>
    <s v="219JJ52-10000-28"/>
    <m/>
    <n v="1"/>
    <s v="YJCSHAN1918530"/>
    <s v="PCLU1946HN4301"/>
    <m/>
    <m/>
    <s v="OK"/>
    <n v="2"/>
    <x v="2"/>
  </r>
  <r>
    <x v="19"/>
    <s v="CASAMIA"/>
    <s v="伟誉"/>
    <s v="WEIYU"/>
    <s v="AHL2330"/>
    <m/>
    <n v="0"/>
    <s v="YJCSHAN1917713."/>
    <s v="PCLU1946HN4302"/>
    <s v="1113改1117 1117改1110"/>
    <m/>
    <s v="OK"/>
    <n v="0"/>
    <x v="12"/>
  </r>
  <r>
    <x v="19"/>
    <s v="CASAMIA"/>
    <s v="森川"/>
    <s v="SENCHUAN"/>
    <s v="PO190070016(I191005)_x000a_PO1910070017(I191006)"/>
    <m/>
    <n v="0"/>
    <s v="YJCSHAN1918538"/>
    <s v="PCLU1946HN4303"/>
    <s v="宁波做"/>
    <m/>
    <s v="OK"/>
    <n v="0"/>
    <x v="13"/>
  </r>
  <r>
    <x v="19"/>
    <s v="CASAMIA"/>
    <s v="华达利"/>
    <s v="HTL"/>
    <s v="PO1909100006_x000a_PO1909100012"/>
    <m/>
    <n v="2"/>
    <s v="YJCSHAN1917908"/>
    <s v="PCLU1946HN4304"/>
    <m/>
    <m/>
    <s v="OK"/>
    <n v="4"/>
    <x v="6"/>
  </r>
  <r>
    <x v="19"/>
    <s v="HANSSEM"/>
    <s v="万盛"/>
    <s v="WANSHENG"/>
    <s v="HSO 1811-25E-169"/>
    <m/>
    <n v="2"/>
    <s v="YJCSHAN1918466"/>
    <s v="PCLU1946HN4305"/>
    <m/>
    <m/>
    <s v="OK"/>
    <n v="4"/>
    <x v="4"/>
  </r>
  <r>
    <x v="19"/>
    <s v="HANSSEM"/>
    <s v="万盛"/>
    <s v="WANSHENG"/>
    <s v="HSO 1811-25E-170"/>
    <m/>
    <n v="1"/>
    <s v="YJCSHAN1918468"/>
    <s v="PCLU1946HN4306"/>
    <m/>
    <m/>
    <s v="OK"/>
    <n v="2"/>
    <x v="4"/>
  </r>
  <r>
    <x v="19"/>
    <s v="CASAMIA"/>
    <s v="雅家居"/>
    <s v="YAJIAJU"/>
    <s v="shcsm191107"/>
    <m/>
    <n v="1"/>
    <s v="YJCSHAN1918678"/>
    <s v="PCLU1946HN4307"/>
    <m/>
    <m/>
    <s v="OK"/>
    <n v="2"/>
    <x v="7"/>
  </r>
  <r>
    <x v="19"/>
    <s v="HANSSEM"/>
    <s v="万盛"/>
    <s v="WANSHENG"/>
    <m/>
    <m/>
    <n v="1"/>
    <s v="YJCSHAN1918734"/>
    <s v="PCLU1946HN4308"/>
    <s v="拼4310"/>
    <m/>
    <s v="OK"/>
    <n v="2"/>
    <x v="4"/>
  </r>
  <r>
    <x v="19"/>
    <s v="HANSSEM"/>
    <s v="万盛"/>
    <s v="WANSHENG"/>
    <m/>
    <m/>
    <n v="1"/>
    <s v="YJCSHAN1918735"/>
    <s v="PCLU1946HN4309"/>
    <m/>
    <m/>
    <s v="OK"/>
    <n v="2"/>
    <x v="4"/>
  </r>
  <r>
    <x v="20"/>
    <s v="HANSSEM"/>
    <s v="万盛"/>
    <s v="WANSHENG"/>
    <m/>
    <m/>
    <n v="1"/>
    <s v="YJCSHAN1918736"/>
    <s v="PCLU1801PE4301"/>
    <m/>
    <m/>
    <s v="OK"/>
    <n v="2"/>
    <x v="4"/>
  </r>
  <r>
    <x v="20"/>
    <s v="HANSSEM"/>
    <s v="卡帛"/>
    <s v="CABO"/>
    <s v="219CABO-HS050/HS052/HS057"/>
    <m/>
    <n v="3"/>
    <s v="YJCSHAN1917712"/>
    <s v="PCLU1801PE4302"/>
    <s v="3提1919372 1919373"/>
    <m/>
    <s v="OK"/>
    <n v="6"/>
    <x v="1"/>
  </r>
  <r>
    <x v="20"/>
    <s v="EFFEX"/>
    <s v="华宝"/>
    <s v="HUABAO"/>
    <s v="HB190601"/>
    <n v="10"/>
    <m/>
    <s v="YJCSHAN1919121"/>
    <s v="PCLU1801PE4303"/>
    <s v="拼 4310 4311"/>
    <m/>
    <s v="OK"/>
    <n v="10"/>
    <x v="3"/>
  </r>
  <r>
    <x v="20"/>
    <s v="HANSSEM"/>
    <s v="万盛"/>
    <s v="WANSHENG"/>
    <s v="HSO 1811-25E-171"/>
    <m/>
    <n v="2"/>
    <s v="YJCSHAN1918469"/>
    <s v="PCLU1801PE4304"/>
    <m/>
    <m/>
    <s v="OK"/>
    <n v="4"/>
    <x v="4"/>
  </r>
  <r>
    <x v="20"/>
    <s v="HANSSEM"/>
    <s v="万盛"/>
    <s v="WANSHENG"/>
    <s v="HSO 1811-25E-172"/>
    <m/>
    <n v="1"/>
    <s v="YJCSHAN1918470"/>
    <s v="PCLU1801PE4305"/>
    <s v="拼 4312"/>
    <m/>
    <s v="OK"/>
    <n v="2"/>
    <x v="4"/>
  </r>
  <r>
    <x v="20"/>
    <s v="HANSSEM"/>
    <s v="顾家"/>
    <s v="KUKA"/>
    <s v="219JJ52-10000-26"/>
    <m/>
    <n v="1"/>
    <s v="YJCSHAN1918457"/>
    <s v="PCLU1801PE4306"/>
    <m/>
    <m/>
    <s v="OK"/>
    <n v="2"/>
    <x v="2"/>
  </r>
  <r>
    <x v="20"/>
    <s v="CASAMIA"/>
    <s v="洲际"/>
    <s v="ZHOUJI"/>
    <s v="AHL2342A"/>
    <m/>
    <n v="1"/>
    <s v="YJCSHAN1918840"/>
    <s v="PCLU1801PE4307"/>
    <s v="拼 4308"/>
    <m/>
    <s v="OK"/>
    <n v="2"/>
    <x v="9"/>
  </r>
  <r>
    <x v="20"/>
    <s v="SSEM"/>
    <s v="永艺"/>
    <s v="UE"/>
    <s v="11-1  ORDER"/>
    <m/>
    <n v="2"/>
    <s v="YJCSHAN1918898"/>
    <s v="PCLU1801PE4309"/>
    <m/>
    <m/>
    <s v="OK"/>
    <n v="4"/>
    <x v="0"/>
  </r>
  <r>
    <x v="21"/>
    <s v="CASAMIA"/>
    <s v="顾家"/>
    <s v="KUKA"/>
    <s v="PO1909090031_x000a_PO1909090032"/>
    <m/>
    <n v="0"/>
    <s v="YJCSHAN1918167"/>
    <s v="PCLU1947HN4301"/>
    <s v="改到27日"/>
    <m/>
    <s v="OK"/>
    <n v="0"/>
    <x v="10"/>
  </r>
  <r>
    <x v="21"/>
    <s v="CASAMIA"/>
    <s v="华达利"/>
    <s v="HTL"/>
    <s v="PO1910010051_x000a_PO1910010053_x000a_PO1910010055"/>
    <m/>
    <n v="3"/>
    <s v="YJCSHAN1918250"/>
    <s v="PCLU1947HN4302"/>
    <s v="5&gt;&gt;3"/>
    <m/>
    <s v="OK"/>
    <n v="6"/>
    <x v="6"/>
  </r>
  <r>
    <x v="21"/>
    <s v="HANSSEM"/>
    <s v="卡帛"/>
    <s v="CABO"/>
    <s v="219CABO-HS051"/>
    <m/>
    <n v="1"/>
    <s v="YJCSHAN1918461"/>
    <s v="PCLU1947HN4303"/>
    <m/>
    <m/>
    <s v="OK"/>
    <n v="2"/>
    <x v="1"/>
  </r>
  <r>
    <x v="21"/>
    <s v="HANSSEM"/>
    <s v="顾家"/>
    <s v="KUKA"/>
    <s v="219JJ52-10000-36-31"/>
    <m/>
    <n v="2"/>
    <s v="YJCSHAN1918458"/>
    <s v="PCLU1947HN4304"/>
    <s v="更改封号发两次舱单"/>
    <m/>
    <s v="OK"/>
    <n v="4"/>
    <x v="2"/>
  </r>
  <r>
    <x v="21"/>
    <s v="EFFEX"/>
    <s v="华宝"/>
    <s v="HUABAO"/>
    <s v="HB190601"/>
    <n v="1"/>
    <m/>
    <s v="YJCSHAN1919139"/>
    <s v="PCLU1947HN4305"/>
    <m/>
    <m/>
    <s v="OK"/>
    <n v="1"/>
    <x v="3"/>
  </r>
  <r>
    <x v="21"/>
    <s v="CASAMIA"/>
    <s v="雅家居"/>
    <s v="YAJIAJU"/>
    <s v="shcsm191114"/>
    <m/>
    <n v="1"/>
    <s v="YJCSHAN1919287"/>
    <s v="PCLU1947HN4306"/>
    <m/>
    <m/>
    <s v="OK"/>
    <n v="2"/>
    <x v="7"/>
  </r>
  <r>
    <x v="21"/>
    <s v="HANSSEM"/>
    <s v="万盛"/>
    <s v="WANSHENG"/>
    <s v="HSO 1811-25E-174"/>
    <m/>
    <n v="2"/>
    <s v="YJCSHAN1919332"/>
    <s v="PCLU1947HN4307"/>
    <m/>
    <m/>
    <s v="OK"/>
    <n v="4"/>
    <x v="4"/>
  </r>
  <r>
    <x v="21"/>
    <s v="HANSSEM"/>
    <s v="万盛"/>
    <s v="WANSHENG"/>
    <s v="HSO 1811-25E-175"/>
    <m/>
    <n v="1"/>
    <s v="YJCSHAN1919333"/>
    <s v="PCLU1947HN4308"/>
    <s v="拼4310"/>
    <m/>
    <s v="OK"/>
    <n v="2"/>
    <x v="4"/>
  </r>
  <r>
    <x v="21"/>
    <s v="HANSSEM"/>
    <s v="万盛"/>
    <s v="WANSHENG"/>
    <s v="HSO 1811-25E-176"/>
    <m/>
    <n v="1"/>
    <s v="YJCSHAN1919334"/>
    <s v="PCLU1947HN4309"/>
    <m/>
    <m/>
    <s v="OK"/>
    <n v="2"/>
    <x v="4"/>
  </r>
  <r>
    <x v="21"/>
    <s v="SSEM"/>
    <s v="永艺"/>
    <s v="UE"/>
    <s v="11-2  ORDER"/>
    <m/>
    <n v="1"/>
    <s v="YJCSHAN1919573"/>
    <s v="PCLU1947HN4311"/>
    <m/>
    <m/>
    <s v="OK"/>
    <n v="2"/>
    <x v="0"/>
  </r>
  <r>
    <x v="22"/>
    <s v="HANSSEM"/>
    <s v="卡帛"/>
    <s v="CABO"/>
    <s v="219CABO-HS056"/>
    <m/>
    <n v="1"/>
    <s v="YJCSHAN1918297"/>
    <s v="PCLU1802PE4301"/>
    <m/>
    <m/>
    <s v="OK"/>
    <n v="2"/>
    <x v="1"/>
  </r>
  <r>
    <x v="22"/>
    <s v="HANSSEM"/>
    <s v="顾家"/>
    <s v="KUKA"/>
    <s v="219JJ52-10000-27"/>
    <m/>
    <n v="2"/>
    <s v="YJCSHAN1918459"/>
    <s v="PCLU1802PE4302"/>
    <m/>
    <m/>
    <s v="OK"/>
    <n v="4"/>
    <x v="2"/>
  </r>
  <r>
    <x v="22"/>
    <s v="CASAMIA"/>
    <s v="顾家"/>
    <s v="KUKA"/>
    <s v="PO1909090031_x000a_PO1909090032"/>
    <m/>
    <n v="2"/>
    <s v="YJCSHAN1918167-1"/>
    <s v="PCLU1802PE4303"/>
    <m/>
    <m/>
    <s v="OK"/>
    <n v="4"/>
    <x v="10"/>
  </r>
  <r>
    <x v="22"/>
    <s v="EFFEX"/>
    <s v="华宝"/>
    <s v="HUABAO"/>
    <s v="HB190601"/>
    <n v="11"/>
    <m/>
    <s v="YJCSHAN1919141"/>
    <s v="PCLU1802PE4304"/>
    <s v="拼4305 4306"/>
    <m/>
    <s v="OK"/>
    <n v="11"/>
    <x v="3"/>
  </r>
  <r>
    <x v="22"/>
    <s v="HANSSEM"/>
    <s v="万盛"/>
    <s v="WANSHENG"/>
    <s v="HSO 1811-25E-177"/>
    <m/>
    <n v="3"/>
    <s v="YJCSHAN1919538"/>
    <s v="PCLU1802PE4307"/>
    <m/>
    <m/>
    <s v="OK"/>
    <n v="6"/>
    <x v="4"/>
  </r>
  <r>
    <x v="22"/>
    <s v="HANSSEM"/>
    <s v="万盛"/>
    <s v="WANSHENG"/>
    <s v="HSO 1811-25E-178"/>
    <m/>
    <n v="1"/>
    <s v="YJCSHAN1919539"/>
    <s v="PCLU1802PE4308"/>
    <m/>
    <m/>
    <s v="OK"/>
    <n v="2"/>
    <x v="4"/>
  </r>
  <r>
    <x v="22"/>
    <s v="CASAMIA"/>
    <s v="华达利"/>
    <s v="HTL"/>
    <s v="PO1910010057_x000a_PO1910010059"/>
    <m/>
    <n v="2"/>
    <s v="YJCSHAN1919546"/>
    <s v="PCLU1802PE4309"/>
    <m/>
    <m/>
    <s v="OK"/>
    <n v="4"/>
    <x v="6"/>
  </r>
  <r>
    <x v="23"/>
    <s v="HANSSEM"/>
    <s v="顾家"/>
    <s v="KUKA"/>
    <s v="219JJ52-10000-37"/>
    <m/>
    <n v="2"/>
    <s v="YJCSHAN1919286"/>
    <s v="PCLU1948HN4303"/>
    <m/>
    <s v="344 YJCSHAN1919542"/>
    <s v="OK"/>
    <n v="4"/>
    <x v="2"/>
  </r>
  <r>
    <x v="23"/>
    <s v="EFFEX"/>
    <s v="华宝"/>
    <s v="HUABAO"/>
    <s v="HB190601"/>
    <n v="10"/>
    <m/>
    <s v="YJCSHAN1919404"/>
    <s v="PCLU1948HN4305"/>
    <s v="拼4310 4311"/>
    <n v="1550"/>
    <s v="OK"/>
    <n v="10"/>
    <x v="3"/>
  </r>
  <r>
    <x v="23"/>
    <s v="CASAMIA"/>
    <s v="华达利"/>
    <s v="HTL"/>
    <s v="PO1910010056_x000a_PO1910010058_x000a_PO1910010060"/>
    <m/>
    <n v="0"/>
    <s v="YJCSHAN1919022"/>
    <s v="PCLU1948HN4301"/>
    <s v="CANCEL"/>
    <m/>
    <s v="OK"/>
    <n v="0"/>
    <x v="6"/>
  </r>
  <r>
    <x v="23"/>
    <s v="CASAMIA"/>
    <s v="华达利"/>
    <s v="HTL"/>
    <s v="PO1909100008_x000a_PO1910010052_x000a_PO1910010054"/>
    <m/>
    <n v="0"/>
    <s v="YJCSHAN1919023"/>
    <s v="PCLU1948HN4302"/>
    <s v="CANCEL"/>
    <m/>
    <s v="OK"/>
    <n v="0"/>
    <x v="6"/>
  </r>
  <r>
    <x v="23"/>
    <s v="HANSSEM"/>
    <s v="万盛"/>
    <s v="WANSHENG"/>
    <s v="HSO 1811-25E-180"/>
    <m/>
    <n v="1"/>
    <s v="YJCSHAN1919542"/>
    <s v="PCLU1948HN4307"/>
    <s v="拼4312"/>
    <s v="抵344"/>
    <s v="OK"/>
    <n v="2"/>
    <x v="4"/>
  </r>
  <r>
    <x v="23"/>
    <s v="HANSSEM"/>
    <s v="万盛"/>
    <s v="WANSHENG"/>
    <s v="HSO 1811-25E-181"/>
    <m/>
    <n v="1"/>
    <s v="YJCSHAN1919543"/>
    <s v="PCLU1948HN4308"/>
    <m/>
    <m/>
    <s v="OK"/>
    <n v="2"/>
    <x v="4"/>
  </r>
  <r>
    <x v="23"/>
    <s v="HANSSEM"/>
    <s v="万盛"/>
    <s v="WANSHENG"/>
    <s v="HSO 1811-25E-179"/>
    <m/>
    <n v="2"/>
    <s v="YJCSHAN1919540"/>
    <s v="PCLU1948HN4306"/>
    <m/>
    <m/>
    <s v="OK"/>
    <n v="4"/>
    <x v="4"/>
  </r>
  <r>
    <x v="23"/>
    <s v="CASAMIA"/>
    <s v="雅家居"/>
    <s v="YAJIAJU"/>
    <s v="shcsm191122"/>
    <m/>
    <n v="2"/>
    <s v="YJCSHAN1919745"/>
    <s v="PCLU1948HN4309"/>
    <m/>
    <n v="564"/>
    <s v="OK"/>
    <n v="4"/>
    <x v="7"/>
  </r>
  <r>
    <x v="23"/>
    <s v="SSEM"/>
    <s v="永艺"/>
    <s v="UE"/>
    <m/>
    <m/>
    <n v="1"/>
    <s v="YJCSHAN1919403"/>
    <s v="PCLU1948HN4304"/>
    <m/>
    <m/>
    <s v="OK"/>
    <n v="2"/>
    <x v="0"/>
  </r>
  <r>
    <x v="24"/>
    <s v="HANSSEM"/>
    <s v="顾家"/>
    <s v="KUKA"/>
    <s v="219JJ52-10000-25"/>
    <m/>
    <n v="1"/>
    <s v="YJCSHAN1919583"/>
    <s v="PCLU1803PE4303"/>
    <m/>
    <s v="172 YJCSHAN1919777"/>
    <s v="OK"/>
    <n v="2"/>
    <x v="2"/>
  </r>
  <r>
    <x v="24"/>
    <s v="HANSSEM"/>
    <s v="万盛"/>
    <s v="WANSHENG"/>
    <s v="HSO 1811-25E-183"/>
    <m/>
    <n v="1"/>
    <s v="YJCSHAN1919777"/>
    <s v="PCLU1803PE4305"/>
    <m/>
    <s v="抵172"/>
    <s v="OK"/>
    <n v="2"/>
    <x v="4"/>
  </r>
  <r>
    <x v="24"/>
    <s v="HANSSEM"/>
    <s v="万盛"/>
    <s v="WANSHENG"/>
    <s v="HSO 1811-25E-182"/>
    <m/>
    <n v="3"/>
    <s v="YJCSHAN1919776"/>
    <s v="PCLU1803PE4304"/>
    <m/>
    <m/>
    <s v="OK"/>
    <n v="6"/>
    <x v="4"/>
  </r>
  <r>
    <x v="24"/>
    <s v="CASAMIA"/>
    <s v="洲际"/>
    <s v="ZHOUJI"/>
    <s v="AHL2343A"/>
    <m/>
    <n v="1"/>
    <s v="YJCSHAN1919587"/>
    <s v="PCLU1803PE4301"/>
    <s v="拼4302"/>
    <n v="512"/>
    <s v="OK"/>
    <n v="2"/>
    <x v="9"/>
  </r>
  <r>
    <x v="25"/>
    <s v="HANSSEM"/>
    <s v="顾家"/>
    <s v="KUKA"/>
    <s v="219JJ52-10000-34-38"/>
    <m/>
    <n v="2"/>
    <s v="YJCSHAN1919584"/>
    <s v="PCLU1949HN4301"/>
    <s v="拼4302"/>
    <s v="344 YJCSHAN1919778"/>
    <s v="OK"/>
    <n v="4"/>
    <x v="2"/>
  </r>
  <r>
    <x v="25"/>
    <s v="CASAMIA"/>
    <s v="顾家"/>
    <s v="KUKA"/>
    <s v="PO1909270104_x000a_PO1909270105_x000a_PO1909270106_x000a_PO1909270107_x000a_PO1909270108"/>
    <m/>
    <n v="5"/>
    <s v="YJCSHAN1919892"/>
    <s v="PCLU1949HN4307"/>
    <m/>
    <n v="1160"/>
    <s v="OK"/>
    <n v="10"/>
    <x v="10"/>
  </r>
  <r>
    <x v="25"/>
    <s v="CASAMIA"/>
    <s v="华达利"/>
    <s v="HTL"/>
    <s v="PO1909100008"/>
    <m/>
    <n v="1"/>
    <s v="YJCSHAN1919894"/>
    <s v="PCLU1949HN4308"/>
    <m/>
    <n v="312"/>
    <s v="OK"/>
    <n v="2"/>
    <x v="6"/>
  </r>
  <r>
    <x v="25"/>
    <s v="HANSSEM"/>
    <s v="卡帛"/>
    <s v="CABO"/>
    <s v="219CABO-HS055"/>
    <m/>
    <n v="0"/>
    <s v="YJCSHAN1919742"/>
    <s v="PCLU1949HN4303"/>
    <s v="12/8 &gt;&gt; 12/11"/>
    <m/>
    <s v="OK"/>
    <n v="0"/>
    <x v="1"/>
  </r>
  <r>
    <x v="25"/>
    <s v="HANSSEM"/>
    <s v="万盛"/>
    <s v="WANSHENG"/>
    <s v="HSO 1811-25E-184"/>
    <m/>
    <n v="2"/>
    <s v="YJCSHAN1919778"/>
    <s v="PCLU1949HN4304"/>
    <m/>
    <s v="抵344"/>
    <s v="OK"/>
    <n v="4"/>
    <x v="4"/>
  </r>
  <r>
    <x v="25"/>
    <s v="HANSSEM"/>
    <s v="万盛"/>
    <s v="WANSHENG"/>
    <s v="HSO 1811-25E-185"/>
    <m/>
    <n v="2"/>
    <s v="YJCSHAN1919779"/>
    <s v="PCLU1949HN4305"/>
    <m/>
    <m/>
    <s v="OK"/>
    <n v="4"/>
    <x v="4"/>
  </r>
  <r>
    <x v="25"/>
    <s v="HANSSEM"/>
    <s v="万盛"/>
    <s v="WANSHENG"/>
    <s v="HSO 1811-25E-186"/>
    <m/>
    <n v="2"/>
    <s v="YJCSHAN1919781"/>
    <s v="PCLU1949HN4306"/>
    <m/>
    <m/>
    <s v="OK"/>
    <n v="4"/>
    <x v="4"/>
  </r>
  <r>
    <x v="25"/>
    <s v="SSEM"/>
    <s v="永艺"/>
    <s v="UE"/>
    <s v="12-1  ORDER"/>
    <m/>
    <n v="3"/>
    <s v="YJCSHAN1920465"/>
    <s v="PCLU1949HN4309"/>
    <m/>
    <m/>
    <s v="OK"/>
    <n v="6"/>
    <x v="0"/>
  </r>
  <r>
    <x v="26"/>
    <s v="SSEM"/>
    <s v="富和"/>
    <s v="FUHE"/>
    <s v="PO.LF030"/>
    <m/>
    <n v="0"/>
    <s v="YJCSHAN1919902"/>
    <s v="PCLU1804PE4305"/>
    <m/>
    <m/>
    <s v="OK"/>
    <n v="0"/>
    <x v="11"/>
  </r>
  <r>
    <x v="26"/>
    <s v="CASAMIA"/>
    <s v="顾家"/>
    <s v="KUKA"/>
    <s v="PO1909270109_x000a_PO1909270110"/>
    <m/>
    <n v="0"/>
    <s v="YJCSHAN1920269"/>
    <s v="PCLU1804PE4309"/>
    <s v="12/11 &gt;&gt; 12/18"/>
    <m/>
    <s v="OK"/>
    <n v="0"/>
    <x v="10"/>
  </r>
  <r>
    <x v="26"/>
    <s v="HANSSEM"/>
    <s v="顾家"/>
    <s v="KUKA"/>
    <s v="219JJ52-10000-39"/>
    <m/>
    <n v="1"/>
    <s v="YJCSHAN1920288"/>
    <s v="PCLU1804PE4310"/>
    <m/>
    <s v="172 YJCSHAN1919783"/>
    <s v="OK"/>
    <n v="2"/>
    <x v="2"/>
  </r>
  <r>
    <x v="26"/>
    <s v="CASAMIA"/>
    <s v="华达利"/>
    <s v="HTL"/>
    <m/>
    <m/>
    <n v="0"/>
    <s v="YJCSHAN1919920"/>
    <s v="PCLU1804PE4307"/>
    <m/>
    <m/>
    <s v="OK"/>
    <n v="0"/>
    <x v="6"/>
  </r>
  <r>
    <x v="26"/>
    <s v="CASAMIA"/>
    <s v="华达利"/>
    <s v="HTL"/>
    <s v="PO1910070018"/>
    <m/>
    <n v="1"/>
    <s v="YJCSHAN1919895"/>
    <s v="PCLU1804PE4306"/>
    <m/>
    <n v="212"/>
    <s v="OK"/>
    <n v="2"/>
    <x v="6"/>
  </r>
  <r>
    <x v="26"/>
    <s v="HANSSEM"/>
    <s v="卡帛"/>
    <s v="CABO"/>
    <s v="219CABO-HS055/HS059/061"/>
    <m/>
    <n v="3"/>
    <s v="YJCSHAN1919743"/>
    <s v="PCLU1804PE4301"/>
    <s v="2提1919742"/>
    <s v="1216 YJCSHAN1919784"/>
    <s v="OK"/>
    <n v="6"/>
    <x v="1"/>
  </r>
  <r>
    <x v="26"/>
    <s v="HANSSEM"/>
    <s v="万盛"/>
    <s v="WANSHENG"/>
    <s v="HSO 1811-25E-187"/>
    <m/>
    <n v="0"/>
    <s v="YJCSHAN1919782"/>
    <s v="PCLU1804PE4302"/>
    <m/>
    <m/>
    <s v="OK"/>
    <n v="0"/>
    <x v="4"/>
  </r>
  <r>
    <x v="26"/>
    <s v="HANSSEM"/>
    <s v="万盛"/>
    <s v="WANSHENG"/>
    <s v="HSO 1811-25E-188"/>
    <m/>
    <n v="2"/>
    <s v="YJCSHAN1919783"/>
    <s v="PCLU1804PE4303"/>
    <m/>
    <s v="抵172"/>
    <s v="OK"/>
    <n v="4"/>
    <x v="4"/>
  </r>
  <r>
    <x v="26"/>
    <s v="HANSSEM"/>
    <s v="万盛"/>
    <s v="WANSHENG"/>
    <s v="HSO 1811-25E-189"/>
    <m/>
    <n v="2"/>
    <s v="YJCSHAN1919784"/>
    <s v="PCLU1804PE4304"/>
    <m/>
    <s v="抵1216"/>
    <s v="OK"/>
    <n v="4"/>
    <x v="4"/>
  </r>
  <r>
    <x v="26"/>
    <s v="CASAMIA"/>
    <s v="雅家居"/>
    <s v="YAJIAJU"/>
    <s v="shcsm191129"/>
    <m/>
    <n v="2"/>
    <s v="YJCSHAN1920291"/>
    <s v="PCLU1804PE4308"/>
    <m/>
    <n v="564"/>
    <s v="OK"/>
    <n v="4"/>
    <x v="7"/>
  </r>
  <r>
    <x v="27"/>
    <s v="HANSSEM"/>
    <s v="顾家"/>
    <s v="KUKA"/>
    <s v="219JJ52-10000-35B"/>
    <m/>
    <n v="4"/>
    <s v="YJCSHAN1919585"/>
    <s v="PCLU1950HN4301"/>
    <s v="拼4302"/>
    <s v="688 YJCSHAN1920884"/>
    <s v="OK"/>
    <n v="8"/>
    <x v="2"/>
  </r>
  <r>
    <x v="27"/>
    <s v="EFFEX"/>
    <s v="华宝"/>
    <s v="HUABAO"/>
    <m/>
    <n v="12"/>
    <m/>
    <s v="YJCSHAN1920744"/>
    <s v="PCLU1950HN4311"/>
    <s v="拼4312 4313"/>
    <n v="1620"/>
    <s v="OK"/>
    <n v="12"/>
    <x v="3"/>
  </r>
  <r>
    <x v="27"/>
    <s v="CASAMIA"/>
    <s v="华达利"/>
    <s v="HTL"/>
    <s v="PO1910010023_x000a_PO1910010024"/>
    <m/>
    <n v="2"/>
    <s v="YJCSHAN1919896"/>
    <s v="PCLU1950HN4306"/>
    <s v="新封号"/>
    <n v="424"/>
    <s v="OK"/>
    <n v="4"/>
    <x v="6"/>
  </r>
  <r>
    <x v="27"/>
    <s v="CASAMIA"/>
    <s v="华达利"/>
    <s v="HTL"/>
    <s v="1912050002"/>
    <n v="1"/>
    <m/>
    <s v="YJCSHAN1920635"/>
    <s v="PCLU1950HN4309"/>
    <s v="电放"/>
    <n v="235"/>
    <s v="OK"/>
    <n v="1"/>
    <x v="6"/>
  </r>
  <r>
    <x v="27"/>
    <s v="HANSSEM"/>
    <s v="卡帛"/>
    <s v="CABO"/>
    <s v="219CABO-HS053/058/062"/>
    <m/>
    <n v="2"/>
    <s v="YJCSHAN1919744"/>
    <s v="PCLU1950HN4303"/>
    <s v="2提1921137"/>
    <s v="744 YJCSHAN1919785"/>
    <s v="OK"/>
    <n v="4"/>
    <x v="1"/>
  </r>
  <r>
    <x v="27"/>
    <s v="HANSSEM"/>
    <s v="万盛"/>
    <s v="WANSHENG"/>
    <m/>
    <m/>
    <n v="1"/>
    <s v="YJCSHAN1920884"/>
    <s v="PCLU1950HN4314"/>
    <s v="拼4315"/>
    <s v="抵688"/>
    <s v="OK"/>
    <n v="2"/>
    <x v="4"/>
  </r>
  <r>
    <x v="27"/>
    <s v="HANSSEM"/>
    <s v="万盛"/>
    <s v="WANSHENG"/>
    <s v="HSO 1811-25E-190"/>
    <m/>
    <n v="2"/>
    <s v="YJCSHAN1919785"/>
    <s v="PCLU1950HN4304"/>
    <m/>
    <s v="抵744"/>
    <s v="OK"/>
    <n v="4"/>
    <x v="4"/>
  </r>
  <r>
    <x v="27"/>
    <s v="HANSSEM"/>
    <s v="万盛"/>
    <s v="WANSHENG"/>
    <s v="HSO 1811-25E-191"/>
    <m/>
    <n v="2"/>
    <s v="YJCSHAN1919786"/>
    <s v="PCLU1950HN4305"/>
    <m/>
    <m/>
    <s v="OK"/>
    <n v="4"/>
    <x v="4"/>
  </r>
  <r>
    <x v="27"/>
    <s v="SSEM"/>
    <s v="永艺"/>
    <s v="UE"/>
    <s v="UE-SSEMGLOBAL-203"/>
    <m/>
    <n v="1"/>
    <s v="YJCSHAN1920537-1"/>
    <s v="PCLU1950HN4310"/>
    <m/>
    <m/>
    <s v="OK"/>
    <n v="2"/>
    <x v="0"/>
  </r>
  <r>
    <x v="27"/>
    <s v="CASAMIA"/>
    <s v="洲际"/>
    <s v="ZHOUJI"/>
    <s v="AHL2364A"/>
    <m/>
    <n v="1"/>
    <s v="YJCSHAN1920358"/>
    <s v="PCLU1950HN4307"/>
    <s v="拼4308"/>
    <n v="512"/>
    <s v="OK"/>
    <n v="2"/>
    <x v="9"/>
  </r>
  <r>
    <x v="28"/>
    <s v="HANSSEM"/>
    <s v="顾家"/>
    <s v="KUKA"/>
    <s v="219JJ52-10000-44-45"/>
    <m/>
    <n v="0"/>
    <s v="YJCSHAN1919586"/>
    <s v="PCLU1805PE4301"/>
    <s v="爆舱延22号"/>
    <m/>
    <s v="OK"/>
    <n v="0"/>
    <x v="2"/>
  </r>
  <r>
    <x v="28"/>
    <s v="CASAMIA"/>
    <s v="顾家"/>
    <s v="KUKA"/>
    <s v="PO1909270109_x000a_PO1909270110"/>
    <m/>
    <n v="2"/>
    <s v="YJCSHAN1920269-1"/>
    <s v="PCLU1805PE4305"/>
    <s v="SHPR LSS"/>
    <n v="524"/>
    <s v="OK"/>
    <n v="4"/>
    <x v="10"/>
  </r>
  <r>
    <x v="28"/>
    <s v="EFFEX"/>
    <s v="华宝"/>
    <s v="HUABAO"/>
    <m/>
    <n v="14"/>
    <m/>
    <s v="YJCSHAN1920756"/>
    <s v="PCLU1805PE4309"/>
    <s v="拼4310 4311 4312"/>
    <n v="1890"/>
    <s v="OK"/>
    <n v="14"/>
    <x v="3"/>
  </r>
  <r>
    <x v="28"/>
    <s v="CASAMIA"/>
    <s v="华达利"/>
    <s v="HTL"/>
    <s v="PO1910010029_x000a_PO1910010030_x000a_PO1910010035"/>
    <m/>
    <n v="0"/>
    <s v="YJCSHAN1919920-1"/>
    <s v="PCLU1805PE4304"/>
    <s v="1218 &gt;&gt; 1222"/>
    <m/>
    <s v="OK"/>
    <n v="0"/>
    <x v="6"/>
  </r>
  <r>
    <x v="28"/>
    <s v="CASAMIA"/>
    <s v="华达利"/>
    <s v="HTL"/>
    <s v="PO1910010052_x000a_PO1910010056"/>
    <m/>
    <n v="2"/>
    <s v="YJCSHAN1920518"/>
    <s v="PCLU1805PE4306"/>
    <s v="(4307ANC占用)"/>
    <n v="424"/>
    <s v="OK"/>
    <n v="4"/>
    <x v="6"/>
  </r>
  <r>
    <x v="28"/>
    <s v="HANSSEM"/>
    <s v="卡帛"/>
    <s v="CABO"/>
    <s v="219CABO-HS054/067"/>
    <m/>
    <n v="3"/>
    <s v="YJCSHAN1919898"/>
    <s v="PCLU1805PE4303"/>
    <s v="3提1921341 1921343"/>
    <s v="1316 YJCSHAN1920766"/>
    <s v="OK"/>
    <n v="6"/>
    <x v="1"/>
  </r>
  <r>
    <x v="28"/>
    <s v="HANSSEM"/>
    <s v="万盛"/>
    <s v="WANSHENG"/>
    <s v="HSO 1811-25E-194"/>
    <m/>
    <n v="1"/>
    <s v="YJCSHAN1920768"/>
    <s v="PCLU1805PE4316"/>
    <m/>
    <m/>
    <s v="OK"/>
    <n v="2"/>
    <x v="4"/>
  </r>
  <r>
    <x v="28"/>
    <s v="HANSSEM"/>
    <s v="万盛"/>
    <s v="WANSHENG"/>
    <m/>
    <m/>
    <n v="1"/>
    <s v="YJCSHAN1921140"/>
    <s v="PCLU1805PE4317"/>
    <m/>
    <m/>
    <s v="OK"/>
    <n v="2"/>
    <x v="4"/>
  </r>
  <r>
    <x v="28"/>
    <s v="HANSSEM"/>
    <s v="万盛"/>
    <s v="WANSHENG"/>
    <s v="HSO 1811-25E-193"/>
    <m/>
    <n v="3"/>
    <s v="YJCSHAN1920766"/>
    <s v="PCLU1805PE4315"/>
    <m/>
    <s v="抵1316"/>
    <s v="OK"/>
    <n v="6"/>
    <x v="4"/>
  </r>
  <r>
    <x v="28"/>
    <s v="SSEM"/>
    <s v="永艺"/>
    <s v="UE"/>
    <s v="UE-SSEMGLOBAL-203"/>
    <m/>
    <n v="0"/>
    <s v="YJCSHAN1920537"/>
    <s v="PCLU1805PE4308"/>
    <m/>
    <m/>
    <s v="OK"/>
    <n v="0"/>
    <x v="0"/>
  </r>
  <r>
    <x v="28"/>
    <s v="SSEM"/>
    <s v="永艺"/>
    <s v="UE"/>
    <s v="12-2  ORDER"/>
    <m/>
    <n v="4"/>
    <s v="YJCSHAN1920758"/>
    <s v="PCLU1805PE4313"/>
    <s v="拼4314 2提1921285"/>
    <m/>
    <s v="OK"/>
    <n v="8"/>
    <x v="0"/>
  </r>
  <r>
    <x v="29"/>
    <s v="SIDIZ"/>
    <s v="飞集"/>
    <s v="FEIJI"/>
    <s v="P-ZHON1910-D-1"/>
    <m/>
    <n v="2"/>
    <s v="YJCSHAN1920691"/>
    <s v="SNKO020191202991"/>
    <s v="PACIFIC GENEVA 0028N"/>
    <m/>
    <s v="OK"/>
    <n v="4"/>
    <x v="14"/>
  </r>
  <r>
    <x v="30"/>
    <s v="HANSSEM"/>
    <s v="顾家"/>
    <s v="KUKA"/>
    <s v="219JJ52-10000-40-53"/>
    <m/>
    <n v="4"/>
    <s v="YJCSHAN1920636"/>
    <s v="PCLU1951HN4302"/>
    <s v="拼4309 2提1920637"/>
    <s v="1088 YJCSHAN1920807"/>
    <s v="OK"/>
    <n v="8"/>
    <x v="2"/>
  </r>
  <r>
    <x v="30"/>
    <s v="EFFEX"/>
    <s v="华宝"/>
    <s v="HUABAO"/>
    <m/>
    <n v="12"/>
    <m/>
    <s v="YJCSHAN1921212"/>
    <s v="PCLU1951HN4308"/>
    <s v="拼4310 4311"/>
    <n v="1620"/>
    <s v="OK"/>
    <n v="12"/>
    <x v="3"/>
  </r>
  <r>
    <x v="30"/>
    <s v="CASAMIA"/>
    <s v="华达利"/>
    <s v="HTL"/>
    <s v="PO1910010029_x000a_PO1910010030_x000a_PO1910010035"/>
    <m/>
    <n v="3"/>
    <s v="YJCSHAN1919920-2"/>
    <s v="PCLU1951HN4306"/>
    <m/>
    <n v="636"/>
    <s v="OK"/>
    <n v="6"/>
    <x v="6"/>
  </r>
  <r>
    <x v="30"/>
    <s v="HANSSEM"/>
    <s v="卡帛"/>
    <s v="CABO"/>
    <s v="219CABO-HS060/063"/>
    <m/>
    <n v="2"/>
    <s v="YJCSHAN1919901"/>
    <s v="PCLU1951HN4301"/>
    <m/>
    <s v="344 YJCSHAN1920808"/>
    <s v="OK"/>
    <n v="4"/>
    <x v="1"/>
  </r>
  <r>
    <x v="30"/>
    <s v="HANSSEM"/>
    <s v="万盛"/>
    <s v="WANSHENG"/>
    <s v="HSO 1811-25E-197"/>
    <m/>
    <n v="0"/>
    <s v="YJCSHAN1920809"/>
    <s v="PCLU1951HN4305"/>
    <s v="退关"/>
    <m/>
    <s v="OK"/>
    <n v="0"/>
    <x v="4"/>
  </r>
  <r>
    <x v="30"/>
    <s v="HANSSEM"/>
    <s v="万盛"/>
    <s v="WANSHENG"/>
    <s v="HSO 1811-25E-195"/>
    <m/>
    <n v="2"/>
    <s v="YJCSHAN1920807"/>
    <s v="PCLU1951HN4303"/>
    <m/>
    <s v="抵1088"/>
    <s v="OK"/>
    <n v="4"/>
    <x v="4"/>
  </r>
  <r>
    <x v="30"/>
    <s v="HANSSEM"/>
    <s v="万盛"/>
    <s v="WANSHENG"/>
    <s v="HSO 1811-25E-196"/>
    <m/>
    <n v="2"/>
    <s v="YJCSHAN1920808"/>
    <s v="PCLU1951HN4304"/>
    <m/>
    <s v="抵344"/>
    <s v="OK"/>
    <n v="4"/>
    <x v="4"/>
  </r>
  <r>
    <x v="30"/>
    <s v="CASAMIA"/>
    <s v="雅家居"/>
    <s v="YAJIAJU"/>
    <s v="shcsm191211"/>
    <m/>
    <n v="1"/>
    <s v="YJCSHAN1921026"/>
    <s v="PCLU1951HN4307"/>
    <m/>
    <n v="482"/>
    <s v="OK"/>
    <n v="2"/>
    <x v="7"/>
  </r>
  <r>
    <x v="31"/>
    <s v="HANSSEM"/>
    <s v="顾家"/>
    <s v="KUKA"/>
    <s v="219JJ52-10000-44-48"/>
    <m/>
    <n v="2"/>
    <s v="YJCSHAN1920639"/>
    <s v="PCLU1806PE4301"/>
    <s v="1报2提1920640"/>
    <s v="744 YJCSHAN1920811"/>
    <s v="OK"/>
    <n v="4"/>
    <x v="2"/>
  </r>
  <r>
    <x v="31"/>
    <s v="EFFEX"/>
    <s v="华宝"/>
    <s v="HUABAO"/>
    <m/>
    <n v="13"/>
    <m/>
    <s v="YJCSHAN1921330"/>
    <s v="PCLU1806PE4309"/>
    <s v="拼4310 4311"/>
    <n v="1755"/>
    <s v="OK"/>
    <n v="13"/>
    <x v="3"/>
  </r>
  <r>
    <x v="31"/>
    <s v="CASAMIA"/>
    <s v="华达利"/>
    <s v="HTL"/>
    <s v="PO1910070019"/>
    <m/>
    <n v="0"/>
    <s v="YJCSHAN1920757"/>
    <s v="PCLU1806PE4302"/>
    <s v="1个延到1/12"/>
    <m/>
    <s v="OK"/>
    <n v="0"/>
    <x v="6"/>
  </r>
  <r>
    <x v="31"/>
    <s v="CASAMIA"/>
    <s v="华达利"/>
    <s v="HTL"/>
    <s v="PO1910010027_x000a_PO1910010028"/>
    <m/>
    <n v="0"/>
    <s v="YJCSHAN1921108"/>
    <s v="PCLU1806PE4307"/>
    <m/>
    <m/>
    <s v="OK"/>
    <n v="0"/>
    <x v="6"/>
  </r>
  <r>
    <x v="31"/>
    <s v="CASAMIA"/>
    <s v="华达利"/>
    <s v="HTL"/>
    <s v="PO1910010049_x000a_PO1910010050"/>
    <m/>
    <n v="2"/>
    <s v="YJCSHAN1921109"/>
    <s v="PCLU1806PE4308"/>
    <m/>
    <n v="424"/>
    <s v="OK"/>
    <n v="4"/>
    <x v="6"/>
  </r>
  <r>
    <x v="31"/>
    <s v="CASAMIA"/>
    <s v="华达利"/>
    <s v="HTL"/>
    <s v="PO1910010036_x000a_PO1910010040_x000a_PO1910010054_x000a_PO1910010058"/>
    <m/>
    <n v="4"/>
    <s v="YJCSHAN1921107"/>
    <s v="PCLU1806PE4306"/>
    <s v="三提1921833 1921835"/>
    <n v="1648"/>
    <s v="OK"/>
    <n v="8"/>
    <x v="6"/>
  </r>
  <r>
    <x v="31"/>
    <s v="HANSSEM"/>
    <s v="万盛"/>
    <s v="WANSHENG"/>
    <s v="HSO 1811-25E-199"/>
    <m/>
    <n v="2"/>
    <s v="YJCSHAN1920811"/>
    <s v="PCLU1806PE4304"/>
    <m/>
    <s v="抵744"/>
    <s v="OK"/>
    <n v="4"/>
    <x v="4"/>
  </r>
  <r>
    <x v="31"/>
    <s v="HANSSEM"/>
    <s v="万盛"/>
    <s v="WANSHENG"/>
    <s v="HSO 1811-25E-200"/>
    <m/>
    <n v="2"/>
    <s v="YJCSHAN1920812"/>
    <s v="PCLU1806PE4305"/>
    <m/>
    <m/>
    <s v="OK"/>
    <n v="4"/>
    <x v="4"/>
  </r>
  <r>
    <x v="31"/>
    <s v="HANSSEM"/>
    <s v="万盛"/>
    <s v="WANSHENG"/>
    <s v="HSO 1811-25E-198"/>
    <m/>
    <n v="3"/>
    <s v="YJCSHAN1920810"/>
    <s v="PCLU1806PE4303"/>
    <m/>
    <m/>
    <s v="OK"/>
    <n v="6"/>
    <x v="4"/>
  </r>
  <r>
    <x v="31"/>
    <s v="SSEM"/>
    <s v="永艺"/>
    <s v="UE"/>
    <s v="12-3  ORDER"/>
    <m/>
    <n v="5"/>
    <s v="YJCSHAN1921371"/>
    <s v="PCLU1806PE4312"/>
    <s v="取消拼4313"/>
    <m/>
    <s v="OK"/>
    <n v="10"/>
    <x v="0"/>
  </r>
  <r>
    <x v="32"/>
    <s v="SIDIZ"/>
    <s v="飞集"/>
    <s v="FEIJI"/>
    <s v="P-ZHON1910-D-2"/>
    <m/>
    <n v="2"/>
    <s v="YJCSHAN1920693"/>
    <s v="SNKO020191202993"/>
    <s v="HEUNG-A AKITA 0129N"/>
    <m/>
    <s v="OK"/>
    <n v="4"/>
    <x v="14"/>
  </r>
  <r>
    <x v="33"/>
    <s v="CASAMIA"/>
    <s v="顾家"/>
    <s v="KUKA"/>
    <s v="PO1909270111_x000a_PO1909270112_x000a_PO1909270113"/>
    <m/>
    <n v="0"/>
    <s v="YJCSHAN1920379"/>
    <s v="PCLU1952HN4301"/>
    <s v="12/29 &gt;&gt; 1/8"/>
    <m/>
    <s v="OK"/>
    <n v="0"/>
    <x v="10"/>
  </r>
  <r>
    <x v="33"/>
    <s v="HANSSEM"/>
    <s v="顾家"/>
    <s v="KUKA"/>
    <s v="219JJ52-10000-49B"/>
    <m/>
    <n v="3"/>
    <s v="YJCSHAN1920641"/>
    <s v="PCLU1952HN4302"/>
    <m/>
    <s v="516 YJCSHAN1920814"/>
    <s v="OK"/>
    <n v="6"/>
    <x v="2"/>
  </r>
  <r>
    <x v="33"/>
    <s v="CASAMIA"/>
    <s v="华达利"/>
    <s v="HTL"/>
    <s v="PO1911150046_x000a_PO1911150047_x000a_PO1911150050_x000a_PO1911150051"/>
    <m/>
    <n v="0"/>
    <s v="YJCSHAN1921110"/>
    <s v="PCLU1952HN4307"/>
    <m/>
    <m/>
    <s v="OK"/>
    <n v="0"/>
    <x v="6"/>
  </r>
  <r>
    <x v="33"/>
    <s v="CASAMIA"/>
    <s v="华达利"/>
    <s v="HTL"/>
    <s v="PO1910010027_x000a_PO1910010028"/>
    <m/>
    <n v="2"/>
    <s v="YJCSHAN1921108-1"/>
    <s v="PCLU1952HN4309"/>
    <m/>
    <n v="424"/>
    <s v="OK"/>
    <n v="4"/>
    <x v="6"/>
  </r>
  <r>
    <x v="33"/>
    <s v="CASAMIA"/>
    <s v="华达利"/>
    <s v="HTL"/>
    <s v="PO1910010060_x000a_PO1910010039_x000a_PO1910010034"/>
    <m/>
    <n v="3"/>
    <s v="YJCSHAN1921114"/>
    <s v="PCLU1952HN4308"/>
    <s v="3提1922117 1922118"/>
    <n v="1436"/>
    <s v="OK"/>
    <n v="6"/>
    <x v="6"/>
  </r>
  <r>
    <x v="33"/>
    <s v="HANSSEM"/>
    <s v="万盛"/>
    <s v="WANSHENG"/>
    <s v="HSO 1811-25E-203"/>
    <m/>
    <n v="0"/>
    <s v="YJCSHAN1920815"/>
    <s v="PCLU1952HN4305"/>
    <s v="退关"/>
    <m/>
    <s v="OK"/>
    <n v="0"/>
    <x v="4"/>
  </r>
  <r>
    <x v="33"/>
    <s v="HANSSEM"/>
    <s v="万盛"/>
    <s v="WANSHENG"/>
    <s v="HSO 1811-25E-204"/>
    <m/>
    <n v="0"/>
    <s v="YJCSHAN1920816"/>
    <s v="PCLU1952HN4306"/>
    <s v="CANCEL"/>
    <m/>
    <s v="OK"/>
    <n v="0"/>
    <x v="4"/>
  </r>
  <r>
    <x v="33"/>
    <s v="HANSSEM"/>
    <s v="万盛"/>
    <s v="WANSHENG"/>
    <s v="HSO 1811-25E-202"/>
    <m/>
    <n v="1"/>
    <s v="YJCSHAN1920814"/>
    <s v="PCLU1952HN4304"/>
    <m/>
    <s v="抵516"/>
    <s v="OK"/>
    <n v="2"/>
    <x v="4"/>
  </r>
  <r>
    <x v="33"/>
    <s v="HANSSEM"/>
    <s v="万盛"/>
    <s v="WANSHENG"/>
    <s v="HSO 1811-25E-201"/>
    <m/>
    <n v="2"/>
    <s v="YJCSHAN1920813"/>
    <s v="PCLU1952HN4303"/>
    <m/>
    <m/>
    <s v="OK"/>
    <n v="4"/>
    <x v="4"/>
  </r>
  <r>
    <x v="34"/>
    <s v="HANSSEM"/>
    <s v="顾家"/>
    <s v="KUKA"/>
    <s v="219JJ52-10000-62-63"/>
    <m/>
    <n v="0"/>
    <s v="YJCSHAN1921696"/>
    <s v="PCLU1807PE4301"/>
    <s v="取消 最早可以28装一个29装一个"/>
    <m/>
    <s v="OK"/>
    <n v="0"/>
    <x v="2"/>
  </r>
  <r>
    <x v="34"/>
    <s v="SSEM"/>
    <s v="富和"/>
    <s v="FUHE"/>
    <s v="PO.LF031"/>
    <m/>
    <n v="0"/>
    <s v="YJCSHAN1919902-1"/>
    <s v="PCLU1807PE4302"/>
    <s v="1个推迟到15号"/>
    <m/>
    <s v="OK"/>
    <n v="0"/>
    <x v="11"/>
  </r>
  <r>
    <x v="34"/>
    <s v="CASAMIA"/>
    <s v="华达利"/>
    <s v="HTL"/>
    <s v="PO1911150046_x000a_PO1911150047_x000a_PO1911150050_x000a_PO1910010033"/>
    <m/>
    <n v="0"/>
    <s v="YJCSHAN1921110-1"/>
    <s v="PCLU1807PE4303"/>
    <m/>
    <m/>
    <s v="OK"/>
    <n v="0"/>
    <x v="6"/>
  </r>
  <r>
    <x v="34"/>
    <s v="CASAMIA"/>
    <s v="雅家居"/>
    <s v="YAJIAJU"/>
    <s v="shcsm191223"/>
    <m/>
    <n v="0"/>
    <s v="YJCSHAN1921844"/>
    <s v="PCLU1807PE4304"/>
    <s v="最早30号装，延1/5"/>
    <m/>
    <s v="OK"/>
    <n v="0"/>
    <x v="7"/>
  </r>
  <r>
    <x v="34"/>
    <s v="HANSSEM"/>
    <s v="万盛"/>
    <s v="WANSHENG"/>
    <s v="HSO 1909-25N-1"/>
    <m/>
    <n v="0"/>
    <s v="YJCSHAN1921845"/>
    <s v="PCLU1807PE4305"/>
    <s v="取消 28号可以装箱"/>
    <m/>
    <s v="OK"/>
    <n v="0"/>
    <x v="4"/>
  </r>
  <r>
    <x v="34"/>
    <s v="HANSSEM"/>
    <s v="万盛"/>
    <s v="WANSHENG"/>
    <s v="HSO 1909-25N-2"/>
    <m/>
    <n v="0"/>
    <s v="YJCSHAN1921846"/>
    <s v="PCLU1807PE4306"/>
    <s v="取消"/>
    <m/>
    <s v="OK"/>
    <n v="0"/>
    <x v="4"/>
  </r>
  <r>
    <x v="35"/>
    <s v="HANSSEM"/>
    <s v="顾家"/>
    <s v="KUKA"/>
    <s v="219JJ52-10000-47B"/>
    <m/>
    <n v="2"/>
    <s v="YJCSHAN1921697"/>
    <s v="PCLU2001HN4301"/>
    <m/>
    <m/>
    <s v="OK"/>
    <n v="4"/>
    <x v="2"/>
  </r>
  <r>
    <x v="35"/>
    <s v="CASAMIA"/>
    <s v="顾家"/>
    <s v="KUKA"/>
    <s v="PO1910310007_x000a_PO1910310009_x000a_PO1910310010"/>
    <m/>
    <n v="3"/>
    <s v="YJCSHAN1921695"/>
    <s v="PCLU2001HN4302"/>
    <s v="SHPR LSS 发票开日昌"/>
    <m/>
    <s v="OK"/>
    <n v="6"/>
    <x v="10"/>
  </r>
  <r>
    <x v="35"/>
    <s v="HANSSEM"/>
    <s v="万盛"/>
    <s v="WANSHENG"/>
    <s v="HSO 1909-25N-3"/>
    <m/>
    <n v="5"/>
    <s v="YJCSHAN1921847"/>
    <s v="PCLU2001HN4303"/>
    <m/>
    <m/>
    <s v="OK"/>
    <n v="10"/>
    <x v="4"/>
  </r>
  <r>
    <x v="35"/>
    <s v="HANSSEM"/>
    <s v="万盛"/>
    <s v="WANSHENG"/>
    <s v="HSO 1909-25N-4"/>
    <m/>
    <n v="2"/>
    <s v="YJCSHAN1921848"/>
    <s v="PCLU2001HN4304"/>
    <m/>
    <m/>
    <s v="OK"/>
    <n v="4"/>
    <x v="4"/>
  </r>
  <r>
    <x v="35"/>
    <s v="EFFEX"/>
    <s v="华宝"/>
    <s v="HUABAO"/>
    <m/>
    <n v="14"/>
    <m/>
    <s v="YJCSHAN1921840"/>
    <s v="PCLU2001HN4305"/>
    <s v="拼4306 4307 4308"/>
    <m/>
    <s v="OK"/>
    <n v="14"/>
    <x v="3"/>
  </r>
  <r>
    <x v="35"/>
    <s v="CASAMIA"/>
    <s v="华达利"/>
    <s v="HTL"/>
    <s v="PO1911150051_x000a_PO1911150037_x000a_PO1911150038"/>
    <m/>
    <n v="0"/>
    <s v="YJCSHAN1921842"/>
    <s v="PCLU2001HN4309"/>
    <s v="取消"/>
    <m/>
    <s v="OK"/>
    <n v="0"/>
    <x v="6"/>
  </r>
  <r>
    <x v="35"/>
    <s v="CASAMIA"/>
    <s v="华达利"/>
    <s v="HTL"/>
    <s v="PO1911150046_x000a_PO1911150047_x000a_PO1911150050_x000a_PO1910010033"/>
    <m/>
    <n v="4"/>
    <s v="YJCSHAN1921110-2"/>
    <s v="PCLU2001HN4310"/>
    <s v="1报3提 1922263 1922264"/>
    <m/>
    <s v="OK"/>
    <n v="8"/>
    <x v="6"/>
  </r>
  <r>
    <x v="35"/>
    <s v="CASAMIA"/>
    <s v="雅家居"/>
    <s v="YAJIAJU"/>
    <s v="shcsm191223"/>
    <m/>
    <n v="1"/>
    <s v="YJCSHAN1921844-1"/>
    <s v="PCLU2001HN4311"/>
    <s v="KY已发"/>
    <m/>
    <s v="OK"/>
    <n v="2"/>
    <x v="7"/>
  </r>
  <r>
    <x v="35"/>
    <s v="HANSSEM"/>
    <s v="万盛"/>
    <s v="WANSHENG"/>
    <m/>
    <m/>
    <n v="1"/>
    <s v="YJCSHAN1922170"/>
    <s v="PCLU2001HN4312"/>
    <m/>
    <m/>
    <s v="OK"/>
    <n v="2"/>
    <x v="4"/>
  </r>
  <r>
    <x v="35"/>
    <s v="CASAMIA"/>
    <s v="华达利"/>
    <s v="HTL"/>
    <s v="PO1911150051_x000a_PO1911150037_x000a_PO1911150038"/>
    <m/>
    <n v="3"/>
    <s v="YJCSHAN1921842-2"/>
    <s v="PCLU2001HN4313"/>
    <m/>
    <m/>
    <s v="OK"/>
    <n v="6"/>
    <x v="6"/>
  </r>
  <r>
    <x v="36"/>
    <s v="HANSSEM"/>
    <s v="顾家"/>
    <s v="KUKA"/>
    <s v="219JJ52-10000-50-51"/>
    <m/>
    <n v="2"/>
    <s v="YJCSHAN1921698"/>
    <s v="PCLU2001PE4301"/>
    <m/>
    <m/>
    <s v="OK"/>
    <n v="4"/>
    <x v="2"/>
  </r>
  <r>
    <x v="36"/>
    <s v="CASAMIA"/>
    <s v="顾家"/>
    <s v="KUKA"/>
    <s v="PO1909270111_x000a_PO1909270112_x000a_PO1909270113"/>
    <m/>
    <n v="3"/>
    <s v="YJCSHAN1920379-1"/>
    <s v="PCLU2001PE4302"/>
    <s v="KY已确认 SHPR LSS"/>
    <m/>
    <s v="OK"/>
    <n v="6"/>
    <x v="10"/>
  </r>
  <r>
    <x v="36"/>
    <s v="HANSSEM"/>
    <s v="万盛"/>
    <s v="WANSHENG"/>
    <s v="HSO 1909-25N-6"/>
    <m/>
    <n v="0"/>
    <s v="YJCSHAN1921849"/>
    <s v="PCLU2001PE4303"/>
    <s v="取消"/>
    <m/>
    <s v="OK"/>
    <n v="0"/>
    <x v="4"/>
  </r>
  <r>
    <x v="36"/>
    <s v="HANSSEM"/>
    <s v="万盛"/>
    <s v="WANSHENG"/>
    <s v="HSO 1909-25N-7"/>
    <m/>
    <n v="0"/>
    <s v="YJCSHAN1921850"/>
    <s v="PCLU2001PE4304"/>
    <s v="取消"/>
    <m/>
    <s v="OK"/>
    <n v="0"/>
    <x v="4"/>
  </r>
  <r>
    <x v="36"/>
    <s v="HANSSEM"/>
    <s v="万盛"/>
    <s v="WANSHENG"/>
    <s v="HSO 1909-25N-8"/>
    <m/>
    <n v="1"/>
    <s v="YJCSHAN1921851"/>
    <s v="PCLU2001PE4305"/>
    <m/>
    <m/>
    <s v="OK"/>
    <n v="2"/>
    <x v="4"/>
  </r>
  <r>
    <x v="36"/>
    <s v="HANSSEM"/>
    <s v="万盛"/>
    <s v="WANSHENG"/>
    <s v="HSO 1909-25N-9"/>
    <m/>
    <n v="2"/>
    <s v="YJCSHAN1921852"/>
    <s v="PCLU2001PE4306"/>
    <m/>
    <m/>
    <s v="OK"/>
    <n v="4"/>
    <x v="4"/>
  </r>
  <r>
    <x v="36"/>
    <s v="HANSSEM"/>
    <s v="万盛"/>
    <s v="WANSHENG"/>
    <s v="HSO 1909-25N-10"/>
    <m/>
    <n v="2"/>
    <s v="YJCSHAN1921853"/>
    <s v="PCLU2001PE4307"/>
    <m/>
    <m/>
    <s v="OK"/>
    <n v="4"/>
    <x v="4"/>
  </r>
  <r>
    <x v="36"/>
    <s v="EFFEX"/>
    <s v="华宝"/>
    <s v="HUABAO"/>
    <m/>
    <n v="12"/>
    <m/>
    <s v="YJCSHAN1921841"/>
    <s v="PCLU2001PE4308"/>
    <s v="拼4309 4310"/>
    <m/>
    <s v="OK"/>
    <n v="12"/>
    <x v="3"/>
  </r>
  <r>
    <x v="36"/>
    <s v="CASAMIA"/>
    <s v="华达利"/>
    <s v="HTL"/>
    <s v="PO1911150042_x000a_PO1911150043_x000a_PO1911150039_x000a_PO1911150040"/>
    <m/>
    <n v="0"/>
    <s v="YJCSHAN1921843"/>
    <s v="PCLU2001PE4311"/>
    <s v="取消"/>
    <m/>
    <s v="OK"/>
    <n v="0"/>
    <x v="6"/>
  </r>
  <r>
    <x v="36"/>
    <s v="SSEM"/>
    <s v="永艺"/>
    <s v="UE"/>
    <s v="UE-SSEMGLOBAL-204"/>
    <m/>
    <n v="2"/>
    <s v="YJCSHAN1922171"/>
    <s v="PCLU2001PE4312"/>
    <s v="退？"/>
    <m/>
    <m/>
    <n v="4"/>
    <x v="0"/>
  </r>
  <r>
    <x v="36"/>
    <s v="CASAMIA"/>
    <s v="华达利"/>
    <s v="HTL"/>
    <s v="PO1911150051_x000a_PO1911150037_x000a_PO1911150038"/>
    <m/>
    <n v="0"/>
    <s v="YJCSHAN1921842-1"/>
    <s v="PCLU2001PE4313"/>
    <s v="3个取消"/>
    <m/>
    <s v="OK"/>
    <n v="0"/>
    <x v="6"/>
  </r>
  <r>
    <x v="36"/>
    <s v="CASAMIA"/>
    <s v="雅家居"/>
    <s v="YAJIAJU"/>
    <s v="shcsm191230"/>
    <m/>
    <n v="1"/>
    <s v="YJCSHAN1922267"/>
    <s v="PCLU2001PE4314"/>
    <m/>
    <m/>
    <s v="OK"/>
    <n v="2"/>
    <x v="7"/>
  </r>
  <r>
    <x v="37"/>
    <s v="HANSSEM"/>
    <s v="卡帛"/>
    <s v="CABO"/>
    <s v="219CABO-HS068"/>
    <m/>
    <n v="0"/>
    <s v="YJCSHAN1921704"/>
    <s v="PCLU2002HN4301"/>
    <s v="1个延到1/15"/>
    <m/>
    <s v="OK"/>
    <n v="0"/>
    <x v="1"/>
  </r>
  <r>
    <x v="37"/>
    <s v="CASAMIA"/>
    <s v="洲际"/>
    <s v="ZHOUJI"/>
    <s v="AHL2365A"/>
    <m/>
    <n v="1"/>
    <s v="YJCSHAN1921705"/>
    <s v="PCLU2002HN4302"/>
    <s v="拼4303"/>
    <m/>
    <s v="OK"/>
    <n v="2"/>
    <x v="9"/>
  </r>
  <r>
    <x v="37"/>
    <s v="CASAMIA"/>
    <s v="洲际"/>
    <s v="ZHOUJI"/>
    <s v="AHL2366A"/>
    <m/>
    <n v="1"/>
    <s v="YJCSHAN1921706"/>
    <s v="PCLU2002HN4304"/>
    <s v="拼4305"/>
    <m/>
    <s v="OK"/>
    <n v="2"/>
    <x v="9"/>
  </r>
  <r>
    <x v="37"/>
    <s v="CASAMIA"/>
    <s v="洲际"/>
    <s v="ZHOUJI"/>
    <s v="AHL2367A"/>
    <m/>
    <n v="1"/>
    <s v="YJCSHAN1921707"/>
    <s v="PCLU2002HN4306"/>
    <s v="拼4307"/>
    <m/>
    <s v="OK"/>
    <n v="2"/>
    <x v="9"/>
  </r>
  <r>
    <x v="37"/>
    <s v="HANSSEM"/>
    <s v="顾家"/>
    <s v="KUKA"/>
    <s v="219JJ52-10000-52B"/>
    <m/>
    <n v="3"/>
    <s v="YJCSHAN1921699"/>
    <s v="PCLU2002HN4308"/>
    <m/>
    <m/>
    <s v="OK"/>
    <n v="6"/>
    <x v="2"/>
  </r>
  <r>
    <x v="37"/>
    <s v="CASAMIA"/>
    <s v="华达利"/>
    <s v="HTL"/>
    <s v="PO1910070019_x000a_PO1911150042_x000a_PO1911150043_x000a_PO1911150039_x000a_PO1911150040"/>
    <m/>
    <n v="5"/>
    <s v="YJCSHAN1920757-1"/>
    <s v="PCLU2002HN4309"/>
    <m/>
    <m/>
    <s v="OK"/>
    <n v="10"/>
    <x v="6"/>
  </r>
  <r>
    <x v="37"/>
    <s v="HANSSEM"/>
    <s v="万盛"/>
    <s v="WANSHENG"/>
    <s v="HSO 1909-25N-11"/>
    <m/>
    <n v="5"/>
    <s v="YJCSHAN1921854"/>
    <s v="PCLU2002HN4310"/>
    <m/>
    <m/>
    <s v="OK"/>
    <n v="10"/>
    <x v="4"/>
  </r>
  <r>
    <x v="37"/>
    <s v="HANSSEM"/>
    <s v="万盛"/>
    <s v="WANSHENG"/>
    <s v="HSO 1909-25N-12"/>
    <m/>
    <n v="3"/>
    <s v="YJCSHAN1921855"/>
    <s v="PCLU2002HN4311"/>
    <m/>
    <m/>
    <s v="OK"/>
    <n v="6"/>
    <x v="4"/>
  </r>
  <r>
    <x v="37"/>
    <s v="HANSSEM"/>
    <s v="万盛"/>
    <s v="WANSHENG"/>
    <s v="HSO 1909-25N-13"/>
    <m/>
    <n v="2"/>
    <s v="YJCSHAN1921856"/>
    <s v="PCLU2002HN4312"/>
    <m/>
    <m/>
    <s v="OK"/>
    <n v="4"/>
    <x v="4"/>
  </r>
  <r>
    <x v="37"/>
    <s v="HANSSEM"/>
    <s v="万盛"/>
    <s v="WANSHENG"/>
    <s v="HSO 1909-25N-14"/>
    <m/>
    <n v="1"/>
    <s v="YJCSHAN1921857"/>
    <s v="PCLU2002HN4313"/>
    <m/>
    <m/>
    <s v="OK"/>
    <n v="2"/>
    <x v="4"/>
  </r>
  <r>
    <x v="37"/>
    <s v="SSEM"/>
    <s v="永艺"/>
    <s v="UE"/>
    <s v="1-2  ORDER"/>
    <m/>
    <n v="2"/>
    <s v="YJCSHAN1922172"/>
    <s v="PCLU2002HN4314"/>
    <m/>
    <m/>
    <s v="OK"/>
    <n v="4"/>
    <x v="0"/>
  </r>
  <r>
    <x v="37"/>
    <s v="KANG"/>
    <s v="KANG"/>
    <e v="#N/A"/>
    <m/>
    <m/>
    <n v="1"/>
    <s v="PCLU2002HN4315-1"/>
    <s v="PCLU2002HN4315"/>
    <s v="改1个"/>
    <m/>
    <s v="OK"/>
    <n v="2"/>
    <x v="15"/>
  </r>
  <r>
    <x v="37"/>
    <s v="HANSSEM"/>
    <s v="万盛"/>
    <s v="WANSHENG"/>
    <m/>
    <m/>
    <n v="1"/>
    <s v="YJCSHAN2000074"/>
    <s v="PCLU2002HN4316"/>
    <m/>
    <m/>
    <s v="OK"/>
    <n v="2"/>
    <x v="4"/>
  </r>
  <r>
    <x v="38"/>
    <s v="HANSSEM"/>
    <s v="顾家"/>
    <s v="KUKA"/>
    <s v="219JJ52-10000-58B"/>
    <m/>
    <n v="3"/>
    <s v="YJCSHAN1921700"/>
    <s v="PCLU2002PE4301"/>
    <s v="两提一报 振改3"/>
    <m/>
    <s v="OK"/>
    <n v="6"/>
    <x v="2"/>
  </r>
  <r>
    <x v="38"/>
    <s v="HANSSEM"/>
    <s v="万盛"/>
    <s v="WANSHENG"/>
    <s v="HSO 1909-25N-15"/>
    <m/>
    <n v="2"/>
    <s v="YJCSHAN1921858"/>
    <s v="PCLU2002PE4302"/>
    <m/>
    <m/>
    <s v="OK"/>
    <n v="4"/>
    <x v="4"/>
  </r>
  <r>
    <x v="38"/>
    <s v="HANSSEM"/>
    <s v="万盛"/>
    <s v="WANSHENG"/>
    <s v="HSO 1909-25N-16"/>
    <m/>
    <n v="3"/>
    <s v="YJCSHAN1921859"/>
    <s v="PCLU2002PE4303"/>
    <m/>
    <m/>
    <s v="OK"/>
    <n v="6"/>
    <x v="4"/>
  </r>
  <r>
    <x v="38"/>
    <s v="HANSSEM"/>
    <s v="万盛"/>
    <s v="WANSHENG"/>
    <s v="HSO 1909-25N-17"/>
    <m/>
    <n v="2"/>
    <s v="YJCSHAN1921860"/>
    <s v="PCLU2002PE4304"/>
    <s v="振改2"/>
    <m/>
    <s v="OK"/>
    <n v="4"/>
    <x v="4"/>
  </r>
  <r>
    <x v="38"/>
    <s v="CASAMIA"/>
    <s v="顾家"/>
    <s v="KUKA"/>
    <s v="PO1910310008"/>
    <m/>
    <n v="1"/>
    <s v="YJCSHAN1921839"/>
    <s v="PCLU2002PE4305"/>
    <s v="SHPR LSS"/>
    <m/>
    <s v="OK"/>
    <n v="2"/>
    <x v="10"/>
  </r>
  <r>
    <x v="38"/>
    <s v="CASAMIA"/>
    <s v="华达利"/>
    <s v="HTL"/>
    <s v="PO1911150042_x000a_PO1911150043_x000a_PO1911150039_x000a_PO1911150040"/>
    <m/>
    <n v="0"/>
    <s v="YJCSHAN1921843-1"/>
    <s v="PCLU2002PE4306"/>
    <s v="4个取消"/>
    <m/>
    <s v="OK"/>
    <n v="0"/>
    <x v="6"/>
  </r>
  <r>
    <x v="38"/>
    <s v="SSEM"/>
    <s v="永艺"/>
    <s v="UE"/>
    <s v="1-3  ORDER"/>
    <m/>
    <n v="6"/>
    <s v="YJCSHAN1922173"/>
    <s v="PCLU2002PE4307"/>
    <s v="拼4308 4309"/>
    <m/>
    <s v="OK"/>
    <n v="12"/>
    <x v="0"/>
  </r>
  <r>
    <x v="38"/>
    <s v="SSEM"/>
    <s v="富和"/>
    <s v="FUHE"/>
    <s v="PO.LF031"/>
    <m/>
    <n v="1"/>
    <s v="YJCSHAN1919902-2"/>
    <s v="PCLU2002PE4310"/>
    <m/>
    <m/>
    <s v="OK"/>
    <n v="2"/>
    <x v="11"/>
  </r>
  <r>
    <x v="38"/>
    <s v="HANSSEM"/>
    <s v="卡帛"/>
    <s v="CABO"/>
    <s v="219CABO-HS068"/>
    <m/>
    <n v="1"/>
    <s v="YJCSHAN1921704-1"/>
    <s v="PCLU2002PE4311"/>
    <m/>
    <m/>
    <s v="OK"/>
    <n v="2"/>
    <x v="1"/>
  </r>
  <r>
    <x v="38"/>
    <s v="EFFEX"/>
    <s v="华宝"/>
    <s v="HUABAO"/>
    <m/>
    <n v="12"/>
    <m/>
    <s v="YJCSHAN1922265"/>
    <s v="PCLU2002PE4312"/>
    <s v="拼4313 4314"/>
    <m/>
    <s v="OK"/>
    <n v="12"/>
    <x v="3"/>
  </r>
  <r>
    <x v="38"/>
    <s v="HANSSEM"/>
    <s v="万盛"/>
    <s v="WANSHENG"/>
    <m/>
    <m/>
    <n v="2"/>
    <s v="YJCSHAN2000075"/>
    <s v="PCLU2002PE4315"/>
    <m/>
    <m/>
    <s v="OK"/>
    <n v="4"/>
    <x v="4"/>
  </r>
  <r>
    <x v="38"/>
    <s v="HANSSEM"/>
    <s v="万盛"/>
    <s v="WANSHENG"/>
    <m/>
    <m/>
    <n v="1"/>
    <s v="YJCSHAN2000076"/>
    <s v="PCLU2002PE4316"/>
    <m/>
    <m/>
    <s v="OK"/>
    <n v="2"/>
    <x v="4"/>
  </r>
  <r>
    <x v="39"/>
    <s v="HANSSEM"/>
    <s v="顾家"/>
    <s v="KUKA"/>
    <s v="219JJ52-10000-61B"/>
    <m/>
    <n v="3"/>
    <s v="YJCSHAN1921701"/>
    <s v="PCLU2003HN4301"/>
    <m/>
    <m/>
    <s v="OK"/>
    <n v="6"/>
    <x v="2"/>
  </r>
  <r>
    <x v="39"/>
    <s v="HANSSEM"/>
    <s v="万盛"/>
    <s v="WANSHENG"/>
    <s v="HSO 1909-25N-18"/>
    <m/>
    <n v="2"/>
    <s v="YJCSHAN1921861"/>
    <s v="PCLU2003HN4302"/>
    <m/>
    <m/>
    <s v="OK"/>
    <n v="4"/>
    <x v="4"/>
  </r>
  <r>
    <x v="39"/>
    <s v="EFFEX"/>
    <s v="华宝"/>
    <s v="HUABAO"/>
    <m/>
    <n v="12"/>
    <m/>
    <s v="YJCSHAN1922266"/>
    <s v="PCLU2003HN4303"/>
    <s v="拼4304 4305"/>
    <m/>
    <s v="OK"/>
    <n v="12"/>
    <x v="3"/>
  </r>
  <r>
    <x v="40"/>
    <s v="HANSSEM"/>
    <s v="顾家"/>
    <s v="KUKA"/>
    <s v="219JJ52-10000-67"/>
    <m/>
    <n v="1"/>
    <m/>
    <m/>
    <m/>
    <m/>
    <m/>
    <n v="2"/>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53443-1AE6-4EE4-BA9A-E8B1E05498D7}" name="数据透视表1" cacheId="241" applyNumberFormats="0" applyBorderFormats="0" applyFontFormats="0" applyPatternFormats="0" applyAlignmentFormats="0" applyWidthHeightFormats="1" dataCaption="值" updatedVersion="6" minRefreshableVersion="3" useAutoFormatting="1" rowGrandTotals="0" colGrandTotals="0" itemPrintTitles="1" createdVersion="6" indent="0" outline="1" outlineData="1" multipleFieldFilters="0">
  <location ref="A3:D239" firstHeaderRow="0" firstDataRow="1" firstDataCol="1"/>
  <pivotFields count="14">
    <pivotField axis="axisRow" numFmtId="178" showAll="0">
      <items count="4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m="1" x="41"/>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axis="axisRow" showAll="0">
      <items count="17">
        <item x="14"/>
        <item x="8"/>
        <item x="11"/>
        <item x="10"/>
        <item x="2"/>
        <item x="3"/>
        <item x="6"/>
        <item x="1"/>
        <item x="5"/>
        <item x="13"/>
        <item x="4"/>
        <item x="12"/>
        <item x="7"/>
        <item x="0"/>
        <item x="9"/>
        <item x="15"/>
        <item t="default"/>
      </items>
    </pivotField>
  </pivotFields>
  <rowFields count="2">
    <field x="0"/>
    <field x="13"/>
  </rowFields>
  <rowItems count="236">
    <i>
      <x/>
    </i>
    <i r="1">
      <x v="13"/>
    </i>
    <i>
      <x v="1"/>
    </i>
    <i r="1">
      <x v="4"/>
    </i>
    <i r="1">
      <x v="5"/>
    </i>
    <i r="1">
      <x v="7"/>
    </i>
    <i r="1">
      <x v="10"/>
    </i>
    <i r="1">
      <x v="13"/>
    </i>
    <i>
      <x v="2"/>
    </i>
    <i r="1">
      <x v="8"/>
    </i>
    <i>
      <x v="3"/>
    </i>
    <i r="1">
      <x v="4"/>
    </i>
    <i r="1">
      <x v="5"/>
    </i>
    <i r="1">
      <x v="7"/>
    </i>
    <i r="1">
      <x v="10"/>
    </i>
    <i>
      <x v="4"/>
    </i>
    <i r="1">
      <x v="4"/>
    </i>
    <i r="1">
      <x v="5"/>
    </i>
    <i r="1">
      <x v="6"/>
    </i>
    <i r="1">
      <x v="10"/>
    </i>
    <i r="1">
      <x v="13"/>
    </i>
    <i>
      <x v="5"/>
    </i>
    <i r="1">
      <x v="1"/>
    </i>
    <i r="1">
      <x v="4"/>
    </i>
    <i r="1">
      <x v="10"/>
    </i>
    <i r="1">
      <x v="12"/>
    </i>
    <i r="1">
      <x v="13"/>
    </i>
    <i>
      <x v="6"/>
    </i>
    <i r="1">
      <x v="5"/>
    </i>
    <i r="1">
      <x v="6"/>
    </i>
    <i>
      <x v="7"/>
    </i>
    <i r="1">
      <x v="4"/>
    </i>
    <i r="1">
      <x v="10"/>
    </i>
    <i r="1">
      <x v="13"/>
    </i>
    <i r="1">
      <x v="14"/>
    </i>
    <i>
      <x v="8"/>
    </i>
    <i r="1">
      <x v="4"/>
    </i>
    <i r="1">
      <x v="6"/>
    </i>
    <i r="1">
      <x v="7"/>
    </i>
    <i r="1">
      <x v="10"/>
    </i>
    <i r="1">
      <x v="13"/>
    </i>
    <i>
      <x v="9"/>
    </i>
    <i r="1">
      <x v="4"/>
    </i>
    <i r="1">
      <x v="5"/>
    </i>
    <i r="1">
      <x v="6"/>
    </i>
    <i r="1">
      <x v="10"/>
    </i>
    <i r="1">
      <x v="12"/>
    </i>
    <i>
      <x v="10"/>
    </i>
    <i r="1">
      <x v="3"/>
    </i>
    <i r="1">
      <x v="7"/>
    </i>
    <i r="1">
      <x v="10"/>
    </i>
    <i r="1">
      <x v="14"/>
    </i>
    <i>
      <x v="11"/>
    </i>
    <i r="1">
      <x v="3"/>
    </i>
    <i r="1">
      <x v="5"/>
    </i>
    <i r="1">
      <x v="6"/>
    </i>
    <i r="1">
      <x v="7"/>
    </i>
    <i r="1">
      <x v="10"/>
    </i>
    <i r="1">
      <x v="12"/>
    </i>
    <i r="1">
      <x v="14"/>
    </i>
    <i>
      <x v="12"/>
    </i>
    <i r="1">
      <x v="4"/>
    </i>
    <i r="1">
      <x v="5"/>
    </i>
    <i r="1">
      <x v="6"/>
    </i>
    <i r="1">
      <x v="10"/>
    </i>
    <i r="1">
      <x v="13"/>
    </i>
    <i>
      <x v="13"/>
    </i>
    <i r="1">
      <x v="4"/>
    </i>
    <i r="1">
      <x v="5"/>
    </i>
    <i r="1">
      <x v="6"/>
    </i>
    <i r="1">
      <x v="10"/>
    </i>
    <i r="1">
      <x v="13"/>
    </i>
    <i>
      <x v="14"/>
    </i>
    <i r="1">
      <x v="4"/>
    </i>
    <i r="1">
      <x v="5"/>
    </i>
    <i r="1">
      <x v="6"/>
    </i>
    <i r="1">
      <x v="10"/>
    </i>
    <i r="1">
      <x v="12"/>
    </i>
    <i r="1">
      <x v="14"/>
    </i>
    <i>
      <x v="15"/>
    </i>
    <i r="1">
      <x v="2"/>
    </i>
    <i r="1">
      <x v="4"/>
    </i>
    <i r="1">
      <x v="6"/>
    </i>
    <i r="1">
      <x v="10"/>
    </i>
    <i>
      <x v="16"/>
    </i>
    <i r="1">
      <x v="4"/>
    </i>
    <i r="1">
      <x v="10"/>
    </i>
    <i r="1">
      <x v="13"/>
    </i>
    <i>
      <x v="17"/>
    </i>
    <i r="1">
      <x v="4"/>
    </i>
    <i r="1">
      <x v="7"/>
    </i>
    <i r="1">
      <x v="10"/>
    </i>
    <i r="1">
      <x v="11"/>
    </i>
    <i r="1">
      <x v="12"/>
    </i>
    <i>
      <x v="18"/>
    </i>
    <i r="1">
      <x v="4"/>
    </i>
    <i r="1">
      <x v="10"/>
    </i>
    <i r="1">
      <x v="11"/>
    </i>
    <i>
      <x v="19"/>
    </i>
    <i r="1">
      <x v="4"/>
    </i>
    <i r="1">
      <x v="6"/>
    </i>
    <i r="1">
      <x v="9"/>
    </i>
    <i r="1">
      <x v="10"/>
    </i>
    <i r="1">
      <x v="11"/>
    </i>
    <i r="1">
      <x v="12"/>
    </i>
    <i>
      <x v="20"/>
    </i>
    <i r="1">
      <x v="4"/>
    </i>
    <i r="1">
      <x v="5"/>
    </i>
    <i r="1">
      <x v="7"/>
    </i>
    <i r="1">
      <x v="10"/>
    </i>
    <i r="1">
      <x v="13"/>
    </i>
    <i r="1">
      <x v="14"/>
    </i>
    <i>
      <x v="21"/>
    </i>
    <i r="1">
      <x v="3"/>
    </i>
    <i r="1">
      <x v="4"/>
    </i>
    <i r="1">
      <x v="5"/>
    </i>
    <i r="1">
      <x v="6"/>
    </i>
    <i r="1">
      <x v="7"/>
    </i>
    <i r="1">
      <x v="10"/>
    </i>
    <i r="1">
      <x v="12"/>
    </i>
    <i r="1">
      <x v="13"/>
    </i>
    <i>
      <x v="22"/>
    </i>
    <i r="1">
      <x v="3"/>
    </i>
    <i r="1">
      <x v="4"/>
    </i>
    <i r="1">
      <x v="5"/>
    </i>
    <i r="1">
      <x v="6"/>
    </i>
    <i r="1">
      <x v="7"/>
    </i>
    <i r="1">
      <x v="10"/>
    </i>
    <i>
      <x v="23"/>
    </i>
    <i r="1">
      <x v="4"/>
    </i>
    <i r="1">
      <x v="5"/>
    </i>
    <i r="1">
      <x v="6"/>
    </i>
    <i r="1">
      <x v="10"/>
    </i>
    <i r="1">
      <x v="12"/>
    </i>
    <i r="1">
      <x v="13"/>
    </i>
    <i>
      <x v="24"/>
    </i>
    <i r="1">
      <x v="4"/>
    </i>
    <i r="1">
      <x v="10"/>
    </i>
    <i r="1">
      <x v="14"/>
    </i>
    <i>
      <x v="25"/>
    </i>
    <i r="1">
      <x v="3"/>
    </i>
    <i r="1">
      <x v="4"/>
    </i>
    <i r="1">
      <x v="6"/>
    </i>
    <i r="1">
      <x v="7"/>
    </i>
    <i r="1">
      <x v="10"/>
    </i>
    <i r="1">
      <x v="13"/>
    </i>
    <i>
      <x v="26"/>
    </i>
    <i r="1">
      <x v="2"/>
    </i>
    <i r="1">
      <x v="3"/>
    </i>
    <i r="1">
      <x v="4"/>
    </i>
    <i r="1">
      <x v="6"/>
    </i>
    <i r="1">
      <x v="7"/>
    </i>
    <i r="1">
      <x v="10"/>
    </i>
    <i r="1">
      <x v="12"/>
    </i>
    <i>
      <x v="27"/>
    </i>
    <i r="1">
      <x v="4"/>
    </i>
    <i r="1">
      <x v="5"/>
    </i>
    <i r="1">
      <x v="6"/>
    </i>
    <i r="1">
      <x v="7"/>
    </i>
    <i r="1">
      <x v="10"/>
    </i>
    <i r="1">
      <x v="13"/>
    </i>
    <i r="1">
      <x v="14"/>
    </i>
    <i>
      <x v="28"/>
    </i>
    <i r="1">
      <x v="3"/>
    </i>
    <i r="1">
      <x v="4"/>
    </i>
    <i r="1">
      <x v="5"/>
    </i>
    <i r="1">
      <x v="6"/>
    </i>
    <i r="1">
      <x v="7"/>
    </i>
    <i r="1">
      <x v="10"/>
    </i>
    <i r="1">
      <x v="13"/>
    </i>
    <i>
      <x v="29"/>
    </i>
    <i r="1">
      <x/>
    </i>
    <i>
      <x v="30"/>
    </i>
    <i r="1">
      <x v="4"/>
    </i>
    <i r="1">
      <x v="5"/>
    </i>
    <i r="1">
      <x v="6"/>
    </i>
    <i r="1">
      <x v="7"/>
    </i>
    <i r="1">
      <x v="10"/>
    </i>
    <i r="1">
      <x v="12"/>
    </i>
    <i>
      <x v="31"/>
    </i>
    <i r="1">
      <x v="4"/>
    </i>
    <i r="1">
      <x v="5"/>
    </i>
    <i r="1">
      <x v="6"/>
    </i>
    <i r="1">
      <x v="10"/>
    </i>
    <i r="1">
      <x v="13"/>
    </i>
    <i>
      <x v="32"/>
    </i>
    <i r="1">
      <x/>
    </i>
    <i>
      <x v="33"/>
    </i>
    <i r="1">
      <x v="3"/>
    </i>
    <i r="1">
      <x v="4"/>
    </i>
    <i r="1">
      <x v="6"/>
    </i>
    <i r="1">
      <x v="10"/>
    </i>
    <i>
      <x v="34"/>
    </i>
    <i r="1">
      <x v="2"/>
    </i>
    <i r="1">
      <x v="4"/>
    </i>
    <i r="1">
      <x v="6"/>
    </i>
    <i r="1">
      <x v="10"/>
    </i>
    <i r="1">
      <x v="12"/>
    </i>
    <i>
      <x v="35"/>
    </i>
    <i r="1">
      <x v="3"/>
    </i>
    <i r="1">
      <x v="4"/>
    </i>
    <i r="1">
      <x v="5"/>
    </i>
    <i r="1">
      <x v="6"/>
    </i>
    <i r="1">
      <x v="10"/>
    </i>
    <i r="1">
      <x v="12"/>
    </i>
    <i>
      <x v="36"/>
    </i>
    <i r="1">
      <x v="3"/>
    </i>
    <i r="1">
      <x v="4"/>
    </i>
    <i r="1">
      <x v="5"/>
    </i>
    <i r="1">
      <x v="6"/>
    </i>
    <i r="1">
      <x v="10"/>
    </i>
    <i r="1">
      <x v="12"/>
    </i>
    <i r="1">
      <x v="13"/>
    </i>
    <i>
      <x v="37"/>
    </i>
    <i r="1">
      <x v="4"/>
    </i>
    <i r="1">
      <x v="6"/>
    </i>
    <i r="1">
      <x v="7"/>
    </i>
    <i r="1">
      <x v="10"/>
    </i>
    <i r="1">
      <x v="13"/>
    </i>
    <i r="1">
      <x v="14"/>
    </i>
    <i r="1">
      <x v="15"/>
    </i>
    <i>
      <x v="38"/>
    </i>
    <i r="1">
      <x v="2"/>
    </i>
    <i r="1">
      <x v="3"/>
    </i>
    <i r="1">
      <x v="4"/>
    </i>
    <i r="1">
      <x v="5"/>
    </i>
    <i r="1">
      <x v="6"/>
    </i>
    <i r="1">
      <x v="7"/>
    </i>
    <i r="1">
      <x v="10"/>
    </i>
    <i r="1">
      <x v="13"/>
    </i>
    <i>
      <x v="39"/>
    </i>
    <i r="1">
      <x v="4"/>
    </i>
    <i r="1">
      <x v="5"/>
    </i>
    <i r="1">
      <x v="10"/>
    </i>
    <i>
      <x v="40"/>
    </i>
    <i r="1">
      <x v="4"/>
    </i>
  </rowItems>
  <colFields count="1">
    <field x="-2"/>
  </colFields>
  <colItems count="3">
    <i>
      <x/>
    </i>
    <i i="1">
      <x v="1"/>
    </i>
    <i i="2">
      <x v="2"/>
    </i>
  </colItems>
  <dataFields count="3">
    <dataField name="20GP" fld="5" baseField="0" baseItem="0"/>
    <dataField name="40HQ" fld="6" baseField="0" baseItem="0"/>
    <dataField name="TTEU" fld="12" baseField="0" baseItem="0"/>
  </dataFields>
  <formats count="47">
    <format dxfId="95">
      <pivotArea type="all" dataOnly="0" outline="0" fieldPosition="0"/>
    </format>
    <format dxfId="94">
      <pivotArea outline="0" collapsedLevelsAreSubtotals="1" fieldPosition="0"/>
    </format>
    <format dxfId="93">
      <pivotArea field="0" type="button" dataOnly="0" labelOnly="1" outline="0" axis="axisRow" fieldPosition="0"/>
    </format>
    <format dxfId="92">
      <pivotArea dataOnly="0" labelOnly="1" fieldPosition="0">
        <references count="1">
          <reference field="0" count="0"/>
        </references>
      </pivotArea>
    </format>
    <format dxfId="91">
      <pivotArea dataOnly="0" labelOnly="1" grandRow="1" outline="0" fieldPosition="0"/>
    </format>
    <format dxfId="90">
      <pivotArea dataOnly="0" labelOnly="1" fieldPosition="0">
        <references count="2">
          <reference field="0" count="1" selected="0">
            <x v="0"/>
          </reference>
          <reference field="13" count="1">
            <x v="13"/>
          </reference>
        </references>
      </pivotArea>
    </format>
    <format dxfId="89">
      <pivotArea dataOnly="0" labelOnly="1" fieldPosition="0">
        <references count="2">
          <reference field="0" count="1" selected="0">
            <x v="1"/>
          </reference>
          <reference field="13" count="5">
            <x v="4"/>
            <x v="5"/>
            <x v="7"/>
            <x v="10"/>
            <x v="13"/>
          </reference>
        </references>
      </pivotArea>
    </format>
    <format dxfId="88">
      <pivotArea dataOnly="0" labelOnly="1" fieldPosition="0">
        <references count="2">
          <reference field="0" count="1" selected="0">
            <x v="2"/>
          </reference>
          <reference field="13" count="1">
            <x v="8"/>
          </reference>
        </references>
      </pivotArea>
    </format>
    <format dxfId="87">
      <pivotArea dataOnly="0" labelOnly="1" fieldPosition="0">
        <references count="2">
          <reference field="0" count="1" selected="0">
            <x v="3"/>
          </reference>
          <reference field="13" count="4">
            <x v="4"/>
            <x v="5"/>
            <x v="7"/>
            <x v="10"/>
          </reference>
        </references>
      </pivotArea>
    </format>
    <format dxfId="86">
      <pivotArea dataOnly="0" labelOnly="1" fieldPosition="0">
        <references count="2">
          <reference field="0" count="1" selected="0">
            <x v="4"/>
          </reference>
          <reference field="13" count="5">
            <x v="4"/>
            <x v="5"/>
            <x v="6"/>
            <x v="10"/>
            <x v="13"/>
          </reference>
        </references>
      </pivotArea>
    </format>
    <format dxfId="85">
      <pivotArea dataOnly="0" labelOnly="1" fieldPosition="0">
        <references count="2">
          <reference field="0" count="1" selected="0">
            <x v="5"/>
          </reference>
          <reference field="13" count="5">
            <x v="1"/>
            <x v="4"/>
            <x v="10"/>
            <x v="12"/>
            <x v="13"/>
          </reference>
        </references>
      </pivotArea>
    </format>
    <format dxfId="84">
      <pivotArea dataOnly="0" labelOnly="1" fieldPosition="0">
        <references count="2">
          <reference field="0" count="1" selected="0">
            <x v="6"/>
          </reference>
          <reference field="13" count="2">
            <x v="5"/>
            <x v="6"/>
          </reference>
        </references>
      </pivotArea>
    </format>
    <format dxfId="83">
      <pivotArea dataOnly="0" labelOnly="1" fieldPosition="0">
        <references count="2">
          <reference field="0" count="1" selected="0">
            <x v="7"/>
          </reference>
          <reference field="13" count="4">
            <x v="4"/>
            <x v="10"/>
            <x v="13"/>
            <x v="14"/>
          </reference>
        </references>
      </pivotArea>
    </format>
    <format dxfId="82">
      <pivotArea dataOnly="0" labelOnly="1" fieldPosition="0">
        <references count="2">
          <reference field="0" count="1" selected="0">
            <x v="8"/>
          </reference>
          <reference field="13" count="5">
            <x v="4"/>
            <x v="6"/>
            <x v="7"/>
            <x v="10"/>
            <x v="13"/>
          </reference>
        </references>
      </pivotArea>
    </format>
    <format dxfId="81">
      <pivotArea dataOnly="0" labelOnly="1" fieldPosition="0">
        <references count="2">
          <reference field="0" count="1" selected="0">
            <x v="9"/>
          </reference>
          <reference field="13" count="5">
            <x v="4"/>
            <x v="5"/>
            <x v="6"/>
            <x v="10"/>
            <x v="12"/>
          </reference>
        </references>
      </pivotArea>
    </format>
    <format dxfId="80">
      <pivotArea dataOnly="0" labelOnly="1" fieldPosition="0">
        <references count="2">
          <reference field="0" count="1" selected="0">
            <x v="10"/>
          </reference>
          <reference field="13" count="4">
            <x v="3"/>
            <x v="7"/>
            <x v="10"/>
            <x v="14"/>
          </reference>
        </references>
      </pivotArea>
    </format>
    <format dxfId="79">
      <pivotArea dataOnly="0" labelOnly="1" fieldPosition="0">
        <references count="2">
          <reference field="0" count="1" selected="0">
            <x v="11"/>
          </reference>
          <reference field="13" count="7">
            <x v="3"/>
            <x v="5"/>
            <x v="6"/>
            <x v="7"/>
            <x v="10"/>
            <x v="12"/>
            <x v="14"/>
          </reference>
        </references>
      </pivotArea>
    </format>
    <format dxfId="78">
      <pivotArea dataOnly="0" labelOnly="1" fieldPosition="0">
        <references count="2">
          <reference field="0" count="1" selected="0">
            <x v="12"/>
          </reference>
          <reference field="13" count="5">
            <x v="4"/>
            <x v="5"/>
            <x v="6"/>
            <x v="10"/>
            <x v="13"/>
          </reference>
        </references>
      </pivotArea>
    </format>
    <format dxfId="77">
      <pivotArea dataOnly="0" labelOnly="1" fieldPosition="0">
        <references count="2">
          <reference field="0" count="1" selected="0">
            <x v="13"/>
          </reference>
          <reference field="13" count="5">
            <x v="4"/>
            <x v="5"/>
            <x v="6"/>
            <x v="10"/>
            <x v="13"/>
          </reference>
        </references>
      </pivotArea>
    </format>
    <format dxfId="76">
      <pivotArea dataOnly="0" labelOnly="1" fieldPosition="0">
        <references count="2">
          <reference field="0" count="1" selected="0">
            <x v="14"/>
          </reference>
          <reference field="13" count="6">
            <x v="4"/>
            <x v="5"/>
            <x v="6"/>
            <x v="10"/>
            <x v="12"/>
            <x v="14"/>
          </reference>
        </references>
      </pivotArea>
    </format>
    <format dxfId="75">
      <pivotArea dataOnly="0" labelOnly="1" fieldPosition="0">
        <references count="2">
          <reference field="0" count="1" selected="0">
            <x v="15"/>
          </reference>
          <reference field="13" count="4">
            <x v="2"/>
            <x v="4"/>
            <x v="6"/>
            <x v="10"/>
          </reference>
        </references>
      </pivotArea>
    </format>
    <format dxfId="74">
      <pivotArea dataOnly="0" labelOnly="1" fieldPosition="0">
        <references count="2">
          <reference field="0" count="1" selected="0">
            <x v="16"/>
          </reference>
          <reference field="13" count="3">
            <x v="4"/>
            <x v="10"/>
            <x v="13"/>
          </reference>
        </references>
      </pivotArea>
    </format>
    <format dxfId="73">
      <pivotArea dataOnly="0" labelOnly="1" fieldPosition="0">
        <references count="2">
          <reference field="0" count="1" selected="0">
            <x v="17"/>
          </reference>
          <reference field="13" count="5">
            <x v="4"/>
            <x v="7"/>
            <x v="10"/>
            <x v="11"/>
            <x v="12"/>
          </reference>
        </references>
      </pivotArea>
    </format>
    <format dxfId="72">
      <pivotArea dataOnly="0" labelOnly="1" fieldPosition="0">
        <references count="2">
          <reference field="0" count="1" selected="0">
            <x v="18"/>
          </reference>
          <reference field="13" count="3">
            <x v="4"/>
            <x v="10"/>
            <x v="11"/>
          </reference>
        </references>
      </pivotArea>
    </format>
    <format dxfId="71">
      <pivotArea dataOnly="0" labelOnly="1" fieldPosition="0">
        <references count="2">
          <reference field="0" count="1" selected="0">
            <x v="19"/>
          </reference>
          <reference field="13" count="6">
            <x v="4"/>
            <x v="6"/>
            <x v="9"/>
            <x v="10"/>
            <x v="11"/>
            <x v="12"/>
          </reference>
        </references>
      </pivotArea>
    </format>
    <format dxfId="70">
      <pivotArea dataOnly="0" labelOnly="1" fieldPosition="0">
        <references count="2">
          <reference field="0" count="1" selected="0">
            <x v="20"/>
          </reference>
          <reference field="13" count="6">
            <x v="4"/>
            <x v="5"/>
            <x v="7"/>
            <x v="10"/>
            <x v="13"/>
            <x v="14"/>
          </reference>
        </references>
      </pivotArea>
    </format>
    <format dxfId="69">
      <pivotArea dataOnly="0" labelOnly="1" fieldPosition="0">
        <references count="2">
          <reference field="0" count="1" selected="0">
            <x v="21"/>
          </reference>
          <reference field="13" count="8">
            <x v="3"/>
            <x v="4"/>
            <x v="5"/>
            <x v="6"/>
            <x v="7"/>
            <x v="10"/>
            <x v="12"/>
            <x v="13"/>
          </reference>
        </references>
      </pivotArea>
    </format>
    <format dxfId="68">
      <pivotArea dataOnly="0" labelOnly="1" fieldPosition="0">
        <references count="2">
          <reference field="0" count="1" selected="0">
            <x v="22"/>
          </reference>
          <reference field="13" count="6">
            <x v="3"/>
            <x v="4"/>
            <x v="5"/>
            <x v="6"/>
            <x v="7"/>
            <x v="10"/>
          </reference>
        </references>
      </pivotArea>
    </format>
    <format dxfId="67">
      <pivotArea dataOnly="0" labelOnly="1" fieldPosition="0">
        <references count="2">
          <reference field="0" count="1" selected="0">
            <x v="23"/>
          </reference>
          <reference field="13" count="6">
            <x v="4"/>
            <x v="5"/>
            <x v="6"/>
            <x v="10"/>
            <x v="12"/>
            <x v="13"/>
          </reference>
        </references>
      </pivotArea>
    </format>
    <format dxfId="66">
      <pivotArea dataOnly="0" labelOnly="1" fieldPosition="0">
        <references count="2">
          <reference field="0" count="1" selected="0">
            <x v="24"/>
          </reference>
          <reference field="13" count="3">
            <x v="4"/>
            <x v="10"/>
            <x v="14"/>
          </reference>
        </references>
      </pivotArea>
    </format>
    <format dxfId="65">
      <pivotArea dataOnly="0" labelOnly="1" fieldPosition="0">
        <references count="2">
          <reference field="0" count="1" selected="0">
            <x v="25"/>
          </reference>
          <reference field="13" count="6">
            <x v="3"/>
            <x v="4"/>
            <x v="6"/>
            <x v="7"/>
            <x v="10"/>
            <x v="13"/>
          </reference>
        </references>
      </pivotArea>
    </format>
    <format dxfId="64">
      <pivotArea dataOnly="0" labelOnly="1" fieldPosition="0">
        <references count="2">
          <reference field="0" count="1" selected="0">
            <x v="26"/>
          </reference>
          <reference field="13" count="7">
            <x v="2"/>
            <x v="3"/>
            <x v="4"/>
            <x v="6"/>
            <x v="7"/>
            <x v="10"/>
            <x v="12"/>
          </reference>
        </references>
      </pivotArea>
    </format>
    <format dxfId="63">
      <pivotArea dataOnly="0" labelOnly="1" fieldPosition="0">
        <references count="2">
          <reference field="0" count="1" selected="0">
            <x v="27"/>
          </reference>
          <reference field="13" count="7">
            <x v="4"/>
            <x v="5"/>
            <x v="6"/>
            <x v="7"/>
            <x v="10"/>
            <x v="13"/>
            <x v="14"/>
          </reference>
        </references>
      </pivotArea>
    </format>
    <format dxfId="62">
      <pivotArea dataOnly="0" labelOnly="1" fieldPosition="0">
        <references count="2">
          <reference field="0" count="1" selected="0">
            <x v="28"/>
          </reference>
          <reference field="13" count="7">
            <x v="3"/>
            <x v="4"/>
            <x v="5"/>
            <x v="6"/>
            <x v="7"/>
            <x v="10"/>
            <x v="13"/>
          </reference>
        </references>
      </pivotArea>
    </format>
    <format dxfId="61">
      <pivotArea dataOnly="0" labelOnly="1" fieldPosition="0">
        <references count="2">
          <reference field="0" count="1" selected="0">
            <x v="29"/>
          </reference>
          <reference field="13" count="1">
            <x v="0"/>
          </reference>
        </references>
      </pivotArea>
    </format>
    <format dxfId="60">
      <pivotArea dataOnly="0" labelOnly="1" fieldPosition="0">
        <references count="2">
          <reference field="0" count="1" selected="0">
            <x v="30"/>
          </reference>
          <reference field="13" count="6">
            <x v="4"/>
            <x v="5"/>
            <x v="6"/>
            <x v="7"/>
            <x v="10"/>
            <x v="12"/>
          </reference>
        </references>
      </pivotArea>
    </format>
    <format dxfId="59">
      <pivotArea dataOnly="0" labelOnly="1" fieldPosition="0">
        <references count="2">
          <reference field="0" count="1" selected="0">
            <x v="31"/>
          </reference>
          <reference field="13" count="5">
            <x v="4"/>
            <x v="5"/>
            <x v="6"/>
            <x v="10"/>
            <x v="13"/>
          </reference>
        </references>
      </pivotArea>
    </format>
    <format dxfId="58">
      <pivotArea dataOnly="0" labelOnly="1" fieldPosition="0">
        <references count="2">
          <reference field="0" count="1" selected="0">
            <x v="32"/>
          </reference>
          <reference field="13" count="1">
            <x v="0"/>
          </reference>
        </references>
      </pivotArea>
    </format>
    <format dxfId="57">
      <pivotArea dataOnly="0" labelOnly="1" fieldPosition="0">
        <references count="2">
          <reference field="0" count="1" selected="0">
            <x v="33"/>
          </reference>
          <reference field="13" count="4">
            <x v="3"/>
            <x v="4"/>
            <x v="6"/>
            <x v="10"/>
          </reference>
        </references>
      </pivotArea>
    </format>
    <format dxfId="56">
      <pivotArea dataOnly="0" labelOnly="1" fieldPosition="0">
        <references count="2">
          <reference field="0" count="1" selected="0">
            <x v="34"/>
          </reference>
          <reference field="13" count="5">
            <x v="2"/>
            <x v="4"/>
            <x v="6"/>
            <x v="10"/>
            <x v="12"/>
          </reference>
        </references>
      </pivotArea>
    </format>
    <format dxfId="55">
      <pivotArea dataOnly="0" labelOnly="1" fieldPosition="0">
        <references count="2">
          <reference field="0" count="1" selected="0">
            <x v="35"/>
          </reference>
          <reference field="13" count="3">
            <x v="3"/>
            <x v="4"/>
            <x v="10"/>
          </reference>
        </references>
      </pivotArea>
    </format>
    <format dxfId="54">
      <pivotArea dataOnly="0" labelOnly="1" fieldPosition="0">
        <references count="2">
          <reference field="0" count="1" selected="0">
            <x v="36"/>
          </reference>
          <reference field="13" count="3">
            <x v="3"/>
            <x v="4"/>
            <x v="10"/>
          </reference>
        </references>
      </pivotArea>
    </format>
    <format dxfId="53">
      <pivotArea dataOnly="0" labelOnly="1" fieldPosition="0">
        <references count="2">
          <reference field="0" count="1" selected="0">
            <x v="37"/>
          </reference>
          <reference field="13" count="5">
            <x v="4"/>
            <x v="6"/>
            <x v="7"/>
            <x v="10"/>
            <x v="14"/>
          </reference>
        </references>
      </pivotArea>
    </format>
    <format dxfId="52">
      <pivotArea dataOnly="0" labelOnly="1" fieldPosition="0">
        <references count="2">
          <reference field="0" count="1" selected="0">
            <x v="38"/>
          </reference>
          <reference field="13" count="2">
            <x v="4"/>
            <x v="10"/>
          </reference>
        </references>
      </pivotArea>
    </format>
    <format dxfId="51">
      <pivotArea dataOnly="0" labelOnly="1" fieldPosition="0">
        <references count="2">
          <reference field="0" count="1" selected="0">
            <x v="39"/>
          </reference>
          <reference field="13" count="2">
            <x v="4"/>
            <x v="10"/>
          </reference>
        </references>
      </pivotArea>
    </format>
    <format dxfId="50">
      <pivotArea dataOnly="0" labelOnly="1" fieldPosition="0">
        <references count="2">
          <reference field="0" count="1" selected="0">
            <x v="40"/>
          </reference>
          <reference field="13" count="1">
            <x v="4"/>
          </reference>
        </references>
      </pivotArea>
    </format>
    <format dxfId="49">
      <pivotArea dataOnly="0" labelOnly="1" outline="0" fieldPosition="0">
        <references count="1">
          <reference field="4294967294" count="3">
            <x v="0"/>
            <x v="1"/>
            <x v="2"/>
          </reference>
        </references>
      </pivotArea>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CN" xr10:uid="{88A8CA38-E251-450C-A0A1-9CD226093DBE}" sourceName="CN">
  <extLst>
    <x:ext xmlns:x15="http://schemas.microsoft.com/office/spreadsheetml/2010/11/main" uri="{2F2917AC-EB37-4324-AD4E-5DD8C200BD13}">
      <x15:tableSlicerCache tableId="4"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切片器_ETD" xr10:uid="{63631101-E3D5-498D-90A6-C5CEA43D133E}" sourceName="ETD">
  <extLst>
    <x:ext xmlns:x15="http://schemas.microsoft.com/office/spreadsheetml/2010/11/main" uri="{2F2917AC-EB37-4324-AD4E-5DD8C200BD13}">
      <x15:tableSlicerCache tableId="4" column="5" sortOrder="descending"/>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N" xr10:uid="{6121971F-4ED6-4065-84BB-6A6CF5F2BFFE}" cache="切片器_CN" caption="客户" lockedPosition="1" rowHeight="209550"/>
  <slicer name="CN 1" xr10:uid="{C1DA53A2-ECD3-4728-B86F-BBFEFD16B6BA}" cache="切片器_CN" caption="CN" lockedPosition="1" rowHeight="209550"/>
  <slicer name="ETD" xr10:uid="{CCB9EED1-8258-4C41-9501-F8345A48B26B}" cache="切片器_ETD" caption="ETD" lockedPosition="1" rowHeight="209550"/>
  <slicer name="ETD 1" xr10:uid="{7902999E-976E-44B8-9E3C-FB63DBFA40CC}" cache="切片器_ETD" caption="ETD" lockedPosition="1"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F251878-450B-4C6C-9BD9-08C3E722BFDB}" name="表3" displayName="表3" ref="A1:E27" totalsRowShown="0" headerRowDxfId="120" dataDxfId="119">
  <autoFilter ref="A1:E27" xr:uid="{820BD5A2-AD66-4D9B-AC3E-64CBF0B4B21A}"/>
  <tableColumns count="5">
    <tableColumn id="1" xr3:uid="{D075319D-DCE2-4203-B078-3F588EAB591A}" name="ETD" dataDxfId="118"/>
    <tableColumn id="2" xr3:uid="{C82A9C09-C14B-443E-912A-E603A3D04F39}" name="船名" dataDxfId="117"/>
    <tableColumn id="3" xr3:uid="{A7532413-2A72-4632-B601-DE7731C72187}" name="航次" dataDxfId="116"/>
    <tableColumn id="4" xr3:uid="{481AEBDD-33EF-4909-9917-F48E051CEF76}" name="船名航次" dataDxfId="115"/>
    <tableColumn id="5" xr3:uid="{ECFD88C0-E7A6-4868-8EB0-EE443E07D335}" name="列1" dataDxfId="114"/>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A5E682-6FCC-4DC5-B412-FBC444028D65}" name="Table135" displayName="Table135" ref="A1:N277" totalsRowShown="0">
  <autoFilter ref="A1:N277" xr:uid="{27122EDD-454A-4B5B-BA80-E5D57F9762C1}">
    <filterColumn colId="0">
      <filters>
        <dateGroupItem year="2020" month="1" day="5" dateTimeGrouping="day"/>
      </filters>
    </filterColumn>
    <filterColumn colId="2">
      <filters>
        <filter val="顾家"/>
      </filters>
    </filterColumn>
  </autoFilter>
  <tableColumns count="14">
    <tableColumn id="5" xr3:uid="{D5A41DDC-7E3C-4252-B958-4FFBB6F0B188}" name="ETD" dataDxfId="109"/>
    <tableColumn id="1" xr3:uid="{E0A23808-EA69-463C-842B-C0CB379DD66A}" name="CNEE" dataDxfId="108"/>
    <tableColumn id="3" xr3:uid="{8852D5F7-2872-4FFE-AF69-A4095F3F311A}" name="CN"/>
    <tableColumn id="2" xr3:uid="{D99B457A-5E43-4826-89CE-4DF7C66631D0}" name="EN" dataDxfId="107">
      <calculatedColumnFormula>HYPERLINK("E:\Jobs\0011 "&amp;Table135[[#This Row],[CNEE]]&amp;"\0001 "&amp;VLOOKUP(Table135[[#This Row],[CN]],表5[],2,FALSE)&amp;"\"&amp;TEXT(Table135[[#This Row],[ETD]],IF(Table135[[#This Row],[ETD]]&gt;43830,"YYmmdd","mmdd")),VLOOKUP(Table135[[#This Row],[CN]],表5[],2,FALSE))</calculatedColumnFormula>
    </tableColumn>
    <tableColumn id="4" xr3:uid="{3AE3033B-B2DD-4FF9-845B-D12C06A80CBC}" name="PO" dataDxfId="106"/>
    <tableColumn id="14" xr3:uid="{D9AF6816-6FE9-42B6-90DE-3B1C3A49928E}" name="20'" dataDxfId="105"/>
    <tableColumn id="15" xr3:uid="{64ABF70C-DC54-4BAF-B684-7A0D11798790}" name="40'" dataDxfId="104"/>
    <tableColumn id="10" xr3:uid="{D1DAA04E-3900-49B6-9D5B-7360FA9CB116}" name="HBL" dataDxfId="103"/>
    <tableColumn id="9" xr3:uid="{A389ED21-5E02-4B63-AFC5-F1294CD613FF}" name="MBL" dataDxfId="102"/>
    <tableColumn id="11" xr3:uid="{D31A235D-4A91-49D5-8512-BC3C138F03B6}" name="备注" dataDxfId="101"/>
    <tableColumn id="12" xr3:uid="{3A7489A9-C46E-4138-A3F1-9B9508F94A40}" name="退费" dataDxfId="100"/>
    <tableColumn id="8" xr3:uid="{7410B7FF-4059-4669-8915-AFABD73C023C}" name="五步" dataDxfId="99"/>
    <tableColumn id="7" xr3:uid="{BE98B6FD-F003-4FCB-A09B-5B40F0BECB41}" name="TEU" dataDxfId="98">
      <calculatedColumnFormula>Table135[[#This Row],[20'']]+Table135[[#This Row],[40'']]*2</calculatedColumnFormula>
    </tableColumn>
    <tableColumn id="6" xr3:uid="{9FDEA0A4-FFA6-4738-AFE3-9127A65192BA}" name="显示名称" dataDxfId="97">
      <calculatedColumnFormula>Table135[[#This Row],[CN]]&amp;" - "&amp;Table135[[#This Row],[CNEE]]</calculatedColumnFormula>
    </tableColumn>
  </tableColumns>
  <tableStyleInfo name="TableStyleLight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8427A5-975A-4C4E-9C19-344D1E27B177}" name="表5" displayName="表5" ref="Q1:R19" totalsRowShown="0">
  <sortState ref="Q2:R19">
    <sortCondition ref="Q2"/>
  </sortState>
  <tableColumns count="2">
    <tableColumn id="1" xr3:uid="{507C5105-A916-4A79-BF18-C0332AC374A3}" name="CN"/>
    <tableColumn id="2" xr3:uid="{EFA9AF39-841C-4D47-9022-C1DD4DC70FC2}" name="E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441CA60-9996-4823-9631-6B79F1CBAF83}" name="表8" displayName="表8" ref="A1:AA169" totalsRowShown="0" headerRowDxfId="46" headerRowBorderDxfId="45" tableBorderDxfId="44" totalsRowBorderDxfId="43">
  <autoFilter ref="A1:AA169" xr:uid="{4848E19E-9770-4EF2-957E-4883102A42C0}">
    <filterColumn colId="0">
      <filters>
        <dateGroupItem year="2020" month="1" day="5" dateTimeGrouping="day"/>
      </filters>
    </filterColumn>
    <filterColumn colId="1">
      <filters>
        <filter val="顾家"/>
      </filters>
    </filterColumn>
  </autoFilter>
  <tableColumns count="27">
    <tableColumn id="33" xr3:uid="{FFB772AD-7961-4AF0-A343-8EF68408E581}" name="ETD" dataDxfId="42"/>
    <tableColumn id="1" xr3:uid="{DD461CCA-4517-4E98-906F-3EAB828CBAE8}" name="SHPR" dataDxfId="41"/>
    <tableColumn id="2" xr3:uid="{610BC8AA-6CF7-4530-BB23-3900696A452B}" name="说明" dataDxfId="40"/>
    <tableColumn id="3" xr3:uid="{C7FBFEAF-3B24-4430-99EE-472866BBB78F}" name="托书_x000a_是否_x000a_超限" dataDxfId="39"/>
    <tableColumn id="7" xr3:uid="{FD9BB9C6-4925-4292-B40A-B2442609822A}" name="五步_x000a_订舱" dataDxfId="38"/>
    <tableColumn id="35" xr3:uid="{1565FDB9-F8CC-4261-88DA-1E0A7AC44F2E}" name="KY_x000a_确认" dataDxfId="37"/>
    <tableColumn id="40" xr3:uid="{79E22D25-B265-4532-9D0C-7BFB902D8675}" name="订舱_x000a_审核" dataDxfId="36"/>
    <tableColumn id="37" xr3:uid="{97C717B8-DB44-45AF-8B81-151042B1443A}" name="订舱_x000a_加拼_x000a_提交" dataDxfId="35"/>
    <tableColumn id="36" xr3:uid="{8FADEA53-7B52-4F14-83A5-45513FB6EAC2}" name="订舱_x000a_拼核" dataDxfId="34"/>
    <tableColumn id="12" xr3:uid="{5A515F49-F89E-4286-B9BD-B318AD2640C1}" name="录_x000a_费用" dataDxfId="33"/>
    <tableColumn id="41" xr3:uid="{380DE760-4572-4325-AE84-0D63150ABC01}" name="收_x000a_资料" dataDxfId="32"/>
    <tableColumn id="13" xr3:uid="{F0049236-1AFC-45B4-9CBB-742944BBE002}" name="YJC_x000a_截单" dataDxfId="31"/>
    <tableColumn id="14" xr3:uid="{D4C67CBE-6558-404F-A8D0-D234A01EA7BF}" name="发HBL_x000a_和INL" dataDxfId="30"/>
    <tableColumn id="15" xr3:uid="{4EA6E925-BC45-44FB-88BE-7E356E832C8E}" name="截单_x000a_录入" dataDxfId="29"/>
    <tableColumn id="16" xr3:uid="{39031770-24D7-4251-83C2-6D9C51435B2F}" name="HBL_x000a_INL_x000a_确认" dataDxfId="28"/>
    <tableColumn id="17" xr3:uid="{C46F7B56-BA33-46DE-819A-3F42D0C61863}" name="发_x000a_舱单" dataDxfId="27"/>
    <tableColumn id="18" xr3:uid="{2409B3B5-68AD-4B2C-8998-95F0DE45831C}" name="确认_x000a_舱单" dataDxfId="26"/>
    <tableColumn id="19" xr3:uid="{E8D84A53-92DE-4877-89A2-36EB1150C2A3}" name="并单" dataDxfId="25"/>
    <tableColumn id="20" xr3:uid="{BA4F5147-A73A-4C12-9D4C-0455962CF9E2}" name="审核" dataDxfId="24"/>
    <tableColumn id="21" xr3:uid="{F8063949-AB34-494B-8DFC-100B64C6369C}" name="VGM" dataDxfId="23"/>
    <tableColumn id="24" xr3:uid="{44CF02AB-D86C-4783-97CD-2E2313B8D659}" name="邮件_x000a_KY" dataDxfId="22"/>
    <tableColumn id="22" xr3:uid="{C1B5B7BF-1648-4A5C-9FF0-68A5372723DA}" name="统计_x000a_费用" dataDxfId="21"/>
    <tableColumn id="31" xr3:uid="{2F64CBB1-11D9-441C-B553-FF0F047C7793}" name="APP" dataDxfId="20"/>
    <tableColumn id="4" xr3:uid="{DC2E76CA-DBE1-4844-9A05-100ACD927588}" name="核_x000a_数据" dataDxfId="19"/>
    <tableColumn id="25" xr3:uid="{3D6AC291-A8CB-4072-8908-6B43D3EBF9A9}" name="发票" dataDxfId="18"/>
    <tableColumn id="26" xr3:uid="{72487BE9-2C92-4AAB-B75E-4F1A59FE63BA}" name="水单" dataDxfId="17"/>
    <tableColumn id="30" xr3:uid="{99DFA36B-3339-4FCF-B717-02D841DCF024}" name="放单" dataDxfId="16"/>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01A5A6A-1E4C-4174-ACE2-C6A418A902D6}" name="表9" displayName="表9" ref="A1:O19" totalsRowShown="0" dataDxfId="15">
  <autoFilter ref="A1:O19" xr:uid="{9E57F62D-E58D-4F53-BDCE-5B776E06BFC6}">
    <filterColumn colId="2">
      <filters>
        <filter val="GLV"/>
        <filter val="YJC"/>
        <filter val="顾家CASAMIA"/>
      </filters>
    </filterColumn>
  </autoFilter>
  <tableColumns count="15">
    <tableColumn id="11" xr3:uid="{5A945112-5F14-41C3-9DE6-7BED351F4092}" name="项目" dataDxfId="14"/>
    <tableColumn id="1" xr3:uid="{C141BEBA-C970-48C1-94D8-B413103D61C8}" name="借方(收)" dataDxfId="13"/>
    <tableColumn id="10" xr3:uid="{BDB2D4D6-4147-4B01-989B-036CBD1C4E8B}" name="贷方(支)" dataDxfId="12"/>
    <tableColumn id="2" xr3:uid="{3CDA95A5-2AD7-4924-8416-52603DB1618A}" name="BKG(CTN)" dataDxfId="11"/>
    <tableColumn id="3" xr3:uid="{4F83CA88-21A0-46EA-85B9-1FBEC95B1F92}" name="THC(CTN)" dataDxfId="10"/>
    <tableColumn id="5" xr3:uid="{4DB1A085-A827-4E33-A8AC-76804C2E30CA}" name="LSS(CTN)" dataDxfId="9"/>
    <tableColumn id="6" xr3:uid="{866E9090-FC2D-4403-9131-0A9C6FF9DB62}" name="MFF(BL)" dataDxfId="8"/>
    <tableColumn id="4" xr3:uid="{C9F7C4B1-4B79-4833-A3C8-3239519938C4}" name="DOC(BL)" dataDxfId="7"/>
    <tableColumn id="7" xr3:uid="{606F8EED-FBB9-472E-9955-C9AEBD7FA87E}" name="OSF(BL)" dataDxfId="6"/>
    <tableColumn id="8" xr3:uid="{66E23A14-4831-49C7-A0F8-629E1A3052D5}" name="HDC(BL)" dataDxfId="5"/>
    <tableColumn id="12" xr3:uid="{3235F29D-9E23-4C4A-AE7F-ED0E02F0408B}" name="结算方式" dataDxfId="4"/>
    <tableColumn id="9" xr3:uid="{F190C844-170C-4A1F-B9BD-58D0C0CE4E5F}" name="开票" dataDxfId="3"/>
    <tableColumn id="13" xr3:uid="{15CF985D-BB5B-4853-9A1C-7342FDC01AFC}" name="QQ WX" dataDxfId="2"/>
    <tableColumn id="14" xr3:uid="{F13E91D4-6E7A-4AE3-97F6-2C730DB3B0FB}" name="邮件" dataDxfId="1"/>
    <tableColumn id="15" xr3:uid="{1B02FF44-B465-4786-8C9E-B6AB9E2F9D9A}" name="模板"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9E53-52A4-49C8-8D25-9D2312F1C6E3}">
  <sheetPr codeName="Sheet1"/>
  <dimension ref="A1:E27"/>
  <sheetViews>
    <sheetView topLeftCell="A4" workbookViewId="0">
      <selection activeCell="E20" sqref="E20"/>
    </sheetView>
  </sheetViews>
  <sheetFormatPr defaultRowHeight="14.25" x14ac:dyDescent="0.2"/>
  <cols>
    <col min="1" max="1" width="8.875" bestFit="1" customWidth="1"/>
    <col min="2" max="2" width="15.5" bestFit="1" customWidth="1"/>
    <col min="3" max="3" width="7.25" bestFit="1" customWidth="1"/>
    <col min="4" max="4" width="21.625" bestFit="1" customWidth="1"/>
    <col min="5" max="5" width="16" bestFit="1" customWidth="1"/>
  </cols>
  <sheetData>
    <row r="1" spans="1:5" x14ac:dyDescent="0.2">
      <c r="A1" s="7" t="s">
        <v>23</v>
      </c>
      <c r="B1" s="7" t="s">
        <v>24</v>
      </c>
      <c r="C1" s="7" t="s">
        <v>25</v>
      </c>
      <c r="D1" s="7" t="s">
        <v>26</v>
      </c>
      <c r="E1" s="7" t="s">
        <v>411</v>
      </c>
    </row>
    <row r="2" spans="1:5" x14ac:dyDescent="0.2">
      <c r="A2" s="8">
        <v>43772</v>
      </c>
      <c r="B2" s="7" t="s">
        <v>21</v>
      </c>
      <c r="C2" s="7" t="s">
        <v>371</v>
      </c>
      <c r="D2" s="31" t="s">
        <v>379</v>
      </c>
      <c r="E2" s="7" t="s">
        <v>412</v>
      </c>
    </row>
    <row r="3" spans="1:5" x14ac:dyDescent="0.2">
      <c r="A3" s="8">
        <v>43775</v>
      </c>
      <c r="B3" s="7" t="s">
        <v>22</v>
      </c>
      <c r="C3" s="7" t="s">
        <v>372</v>
      </c>
      <c r="D3" s="31" t="s">
        <v>380</v>
      </c>
      <c r="E3" s="7" t="s">
        <v>413</v>
      </c>
    </row>
    <row r="4" spans="1:5" x14ac:dyDescent="0.2">
      <c r="A4" s="8">
        <v>43779</v>
      </c>
      <c r="B4" s="7" t="s">
        <v>21</v>
      </c>
      <c r="C4" s="7" t="s">
        <v>373</v>
      </c>
      <c r="D4" s="31" t="s">
        <v>381</v>
      </c>
      <c r="E4" s="7" t="s">
        <v>414</v>
      </c>
    </row>
    <row r="5" spans="1:5" x14ac:dyDescent="0.2">
      <c r="A5" s="8">
        <v>43782</v>
      </c>
      <c r="B5" s="7" t="s">
        <v>22</v>
      </c>
      <c r="C5" s="7" t="s">
        <v>374</v>
      </c>
      <c r="D5" s="31" t="s">
        <v>382</v>
      </c>
      <c r="E5" s="7" t="s">
        <v>415</v>
      </c>
    </row>
    <row r="6" spans="1:5" x14ac:dyDescent="0.2">
      <c r="A6" s="8">
        <v>43786</v>
      </c>
      <c r="B6" s="7" t="s">
        <v>21</v>
      </c>
      <c r="C6" s="7" t="s">
        <v>375</v>
      </c>
      <c r="D6" s="31" t="s">
        <v>383</v>
      </c>
      <c r="E6" s="7" t="s">
        <v>416</v>
      </c>
    </row>
    <row r="7" spans="1:5" x14ac:dyDescent="0.2">
      <c r="A7" s="8">
        <v>43789</v>
      </c>
      <c r="B7" s="7" t="s">
        <v>22</v>
      </c>
      <c r="C7" s="7" t="s">
        <v>376</v>
      </c>
      <c r="D7" s="31" t="s">
        <v>384</v>
      </c>
      <c r="E7" s="7" t="s">
        <v>417</v>
      </c>
    </row>
    <row r="8" spans="1:5" x14ac:dyDescent="0.2">
      <c r="A8" s="8">
        <v>43793</v>
      </c>
      <c r="B8" s="7" t="s">
        <v>21</v>
      </c>
      <c r="C8" s="7" t="s">
        <v>377</v>
      </c>
      <c r="D8" s="31" t="s">
        <v>385</v>
      </c>
      <c r="E8" s="7" t="s">
        <v>418</v>
      </c>
    </row>
    <row r="9" spans="1:5" x14ac:dyDescent="0.2">
      <c r="A9" s="8">
        <v>43796</v>
      </c>
      <c r="B9" s="7" t="s">
        <v>681</v>
      </c>
      <c r="C9" s="7" t="s">
        <v>378</v>
      </c>
      <c r="D9" s="31" t="s">
        <v>386</v>
      </c>
      <c r="E9" s="7" t="s">
        <v>419</v>
      </c>
    </row>
    <row r="10" spans="1:5" x14ac:dyDescent="0.2">
      <c r="A10" s="8">
        <v>43800</v>
      </c>
      <c r="B10" s="7" t="s">
        <v>21</v>
      </c>
      <c r="C10" s="7" t="s">
        <v>577</v>
      </c>
      <c r="D10" s="31" t="s">
        <v>578</v>
      </c>
      <c r="E10" s="7" t="s">
        <v>579</v>
      </c>
    </row>
    <row r="11" spans="1:5" x14ac:dyDescent="0.2">
      <c r="A11" s="8">
        <v>43803</v>
      </c>
      <c r="B11" s="7" t="s">
        <v>22</v>
      </c>
      <c r="C11" s="7" t="s">
        <v>642</v>
      </c>
      <c r="D11" s="31" t="s">
        <v>650</v>
      </c>
      <c r="E11" s="7" t="s">
        <v>658</v>
      </c>
    </row>
    <row r="12" spans="1:5" x14ac:dyDescent="0.2">
      <c r="A12" s="8">
        <v>43807</v>
      </c>
      <c r="B12" s="7" t="s">
        <v>21</v>
      </c>
      <c r="C12" s="7" t="s">
        <v>643</v>
      </c>
      <c r="D12" s="31" t="s">
        <v>651</v>
      </c>
      <c r="E12" s="7" t="s">
        <v>659</v>
      </c>
    </row>
    <row r="13" spans="1:5" x14ac:dyDescent="0.2">
      <c r="A13" s="8">
        <v>43810</v>
      </c>
      <c r="B13" s="7" t="s">
        <v>22</v>
      </c>
      <c r="C13" s="7" t="s">
        <v>644</v>
      </c>
      <c r="D13" s="31" t="s">
        <v>652</v>
      </c>
      <c r="E13" s="7" t="s">
        <v>660</v>
      </c>
    </row>
    <row r="14" spans="1:5" x14ac:dyDescent="0.2">
      <c r="A14" s="8">
        <v>43814</v>
      </c>
      <c r="B14" s="7" t="s">
        <v>21</v>
      </c>
      <c r="C14" s="7" t="s">
        <v>645</v>
      </c>
      <c r="D14" s="31" t="s">
        <v>653</v>
      </c>
      <c r="E14" s="7" t="s">
        <v>661</v>
      </c>
    </row>
    <row r="15" spans="1:5" x14ac:dyDescent="0.2">
      <c r="A15" s="8">
        <v>43817</v>
      </c>
      <c r="B15" s="7" t="s">
        <v>22</v>
      </c>
      <c r="C15" s="7" t="s">
        <v>646</v>
      </c>
      <c r="D15" s="31" t="s">
        <v>654</v>
      </c>
      <c r="E15" s="7" t="s">
        <v>662</v>
      </c>
    </row>
    <row r="16" spans="1:5" x14ac:dyDescent="0.2">
      <c r="A16" s="8">
        <v>43821</v>
      </c>
      <c r="B16" s="7" t="s">
        <v>21</v>
      </c>
      <c r="C16" s="7" t="s">
        <v>647</v>
      </c>
      <c r="D16" s="31" t="s">
        <v>655</v>
      </c>
      <c r="E16" s="7" t="s">
        <v>664</v>
      </c>
    </row>
    <row r="17" spans="1:5" x14ac:dyDescent="0.2">
      <c r="A17" s="8">
        <v>43824</v>
      </c>
      <c r="B17" s="7" t="s">
        <v>22</v>
      </c>
      <c r="C17" s="7" t="s">
        <v>648</v>
      </c>
      <c r="D17" s="31" t="s">
        <v>656</v>
      </c>
      <c r="E17" s="7" t="s">
        <v>663</v>
      </c>
    </row>
    <row r="18" spans="1:5" x14ac:dyDescent="0.2">
      <c r="A18" s="8">
        <v>43828</v>
      </c>
      <c r="B18" s="7" t="s">
        <v>683</v>
      </c>
      <c r="C18" s="7" t="s">
        <v>649</v>
      </c>
      <c r="D18" s="31" t="s">
        <v>657</v>
      </c>
      <c r="E18" s="7" t="s">
        <v>665</v>
      </c>
    </row>
    <row r="19" spans="1:5" x14ac:dyDescent="0.2">
      <c r="A19" s="8">
        <v>43831</v>
      </c>
      <c r="B19" s="7" t="s">
        <v>22</v>
      </c>
      <c r="C19" s="7" t="s">
        <v>979</v>
      </c>
      <c r="D19" s="31" t="s">
        <v>1108</v>
      </c>
      <c r="E19" s="7" t="s">
        <v>988</v>
      </c>
    </row>
    <row r="20" spans="1:5" x14ac:dyDescent="0.2">
      <c r="A20" s="8">
        <v>43835</v>
      </c>
      <c r="B20" s="7" t="s">
        <v>21</v>
      </c>
      <c r="C20" s="7" t="s">
        <v>980</v>
      </c>
      <c r="D20" s="31" t="s">
        <v>1125</v>
      </c>
      <c r="E20" s="7" t="s">
        <v>984</v>
      </c>
    </row>
    <row r="21" spans="1:5" x14ac:dyDescent="0.2">
      <c r="A21" s="8">
        <v>43838</v>
      </c>
      <c r="B21" s="7" t="s">
        <v>22</v>
      </c>
      <c r="C21" s="7" t="s">
        <v>980</v>
      </c>
      <c r="D21" s="31" t="s">
        <v>1168</v>
      </c>
      <c r="E21" s="7" t="s">
        <v>1194</v>
      </c>
    </row>
    <row r="22" spans="1:5" x14ac:dyDescent="0.2">
      <c r="A22" s="8">
        <v>43842</v>
      </c>
      <c r="B22" s="7" t="s">
        <v>21</v>
      </c>
      <c r="C22" s="7" t="s">
        <v>981</v>
      </c>
      <c r="D22" s="31" t="s">
        <v>1171</v>
      </c>
      <c r="E22" s="7" t="s">
        <v>985</v>
      </c>
    </row>
    <row r="23" spans="1:5" x14ac:dyDescent="0.2">
      <c r="A23" s="8">
        <v>43845</v>
      </c>
      <c r="B23" s="7" t="s">
        <v>22</v>
      </c>
      <c r="C23" s="7" t="s">
        <v>981</v>
      </c>
      <c r="D23" s="31" t="s">
        <v>1050</v>
      </c>
      <c r="E23" s="7" t="s">
        <v>989</v>
      </c>
    </row>
    <row r="24" spans="1:5" x14ac:dyDescent="0.2">
      <c r="A24" s="8">
        <v>43849</v>
      </c>
      <c r="B24" s="7" t="s">
        <v>21</v>
      </c>
      <c r="C24" s="7" t="s">
        <v>982</v>
      </c>
      <c r="D24" s="31" t="s">
        <v>1107</v>
      </c>
      <c r="E24" s="7" t="s">
        <v>986</v>
      </c>
    </row>
    <row r="25" spans="1:5" x14ac:dyDescent="0.2">
      <c r="A25" s="8">
        <v>43852</v>
      </c>
      <c r="B25" s="7" t="s">
        <v>22</v>
      </c>
      <c r="C25" s="7" t="s">
        <v>982</v>
      </c>
      <c r="D25" s="31" t="s">
        <v>992</v>
      </c>
      <c r="E25" s="7" t="s">
        <v>990</v>
      </c>
    </row>
    <row r="26" spans="1:5" x14ac:dyDescent="0.2">
      <c r="A26" s="8">
        <v>43856</v>
      </c>
      <c r="B26" s="7" t="s">
        <v>21</v>
      </c>
      <c r="C26" s="7" t="s">
        <v>983</v>
      </c>
      <c r="D26" s="31" t="s">
        <v>993</v>
      </c>
      <c r="E26" s="7" t="s">
        <v>987</v>
      </c>
    </row>
    <row r="27" spans="1:5" x14ac:dyDescent="0.2">
      <c r="A27" s="8">
        <v>43859</v>
      </c>
      <c r="B27" s="7" t="s">
        <v>22</v>
      </c>
      <c r="C27" s="7" t="s">
        <v>983</v>
      </c>
      <c r="D27" s="31" t="s">
        <v>994</v>
      </c>
      <c r="E27" s="7" t="s">
        <v>991</v>
      </c>
    </row>
  </sheetData>
  <phoneticPr fontId="1" type="noConversion"/>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549AE-7F1C-4627-B536-77B8D1131A88}">
  <sheetPr codeName="Sheet2"/>
  <dimension ref="A1:R277"/>
  <sheetViews>
    <sheetView zoomScaleNormal="100" workbookViewId="0">
      <pane xSplit="4" ySplit="1" topLeftCell="E2" activePane="bottomRight" state="frozen"/>
      <selection pane="topRight" activeCell="E1" sqref="E1"/>
      <selection pane="bottomLeft" activeCell="A2" sqref="A2"/>
      <selection pane="bottomRight" activeCell="D228" sqref="D228"/>
    </sheetView>
  </sheetViews>
  <sheetFormatPr defaultRowHeight="14.25" x14ac:dyDescent="0.2"/>
  <cols>
    <col min="1" max="1" width="6.875" bestFit="1" customWidth="1"/>
    <col min="2" max="2" width="10" bestFit="1" customWidth="1"/>
    <col min="3" max="3" width="7.125" customWidth="1"/>
    <col min="4" max="4" width="12.375" bestFit="1" customWidth="1"/>
    <col min="5" max="5" width="26.375" bestFit="1" customWidth="1"/>
    <col min="6" max="7" width="6" bestFit="1" customWidth="1"/>
    <col min="8" max="8" width="19" bestFit="1" customWidth="1"/>
    <col min="9" max="10" width="19.125" bestFit="1" customWidth="1"/>
    <col min="11" max="11" width="23.25" bestFit="1" customWidth="1"/>
    <col min="12" max="12" width="7.25" bestFit="1" customWidth="1"/>
    <col min="13" max="13" width="6.875" hidden="1" customWidth="1"/>
    <col min="14" max="14" width="17.875" hidden="1" customWidth="1"/>
    <col min="15" max="15" width="9.75" customWidth="1"/>
    <col min="17" max="17" width="7.125" bestFit="1" customWidth="1"/>
    <col min="18" max="18" width="12.375" bestFit="1" customWidth="1"/>
  </cols>
  <sheetData>
    <row r="1" spans="1:18" x14ac:dyDescent="0.2">
      <c r="A1" t="s">
        <v>0</v>
      </c>
      <c r="B1" t="s">
        <v>42</v>
      </c>
      <c r="C1" t="s">
        <v>41</v>
      </c>
      <c r="D1" t="s">
        <v>39</v>
      </c>
      <c r="E1" t="s">
        <v>38</v>
      </c>
      <c r="F1" t="s">
        <v>13</v>
      </c>
      <c r="G1" t="s">
        <v>14</v>
      </c>
      <c r="H1" t="s">
        <v>183</v>
      </c>
      <c r="I1" t="s">
        <v>89</v>
      </c>
      <c r="J1" t="s">
        <v>199</v>
      </c>
      <c r="K1" t="s">
        <v>844</v>
      </c>
      <c r="L1" t="s">
        <v>463</v>
      </c>
      <c r="M1" t="s">
        <v>37</v>
      </c>
      <c r="N1" t="s">
        <v>40</v>
      </c>
      <c r="Q1" t="s">
        <v>41</v>
      </c>
      <c r="R1" t="s">
        <v>39</v>
      </c>
    </row>
    <row r="2" spans="1:18" hidden="1" x14ac:dyDescent="0.2">
      <c r="A2" s="1">
        <v>43723</v>
      </c>
      <c r="B2" s="4" t="s">
        <v>6</v>
      </c>
      <c r="C2" t="s">
        <v>58</v>
      </c>
      <c r="D2" s="50" t="str">
        <f>HYPERLINK("E:\Jobs\0011 "&amp;Table135[[#This Row],[CNEE]]&amp;"\0001 "&amp;VLOOKUP(Table135[[#This Row],[CN]],表5[],2,FALSE)&amp;"\"&amp;TEXT(Table135[[#This Row],[ETD]],IF(Table135[[#This Row],[ETD]]&gt;43830,"YYmmdd","mmdd")),VLOOKUP(Table135[[#This Row],[CN]],表5[],2,FALSE))</f>
        <v>UE</v>
      </c>
      <c r="E2" s="3" t="s">
        <v>845</v>
      </c>
      <c r="F2" s="57"/>
      <c r="G2" s="57">
        <v>1</v>
      </c>
      <c r="H2" s="6" t="s">
        <v>846</v>
      </c>
      <c r="I2" s="6" t="s">
        <v>847</v>
      </c>
      <c r="J2" s="6"/>
      <c r="K2" s="59"/>
      <c r="L2" s="6" t="s">
        <v>86</v>
      </c>
      <c r="M2" s="57">
        <f>Table135[[#This Row],[20'']]+Table135[[#This Row],[40'']]*2</f>
        <v>2</v>
      </c>
      <c r="N2" s="2" t="str">
        <f>Table135[[#This Row],[CN]]&amp;" - "&amp;Table135[[#This Row],[CNEE]]</f>
        <v>永艺 - SSEM</v>
      </c>
      <c r="Q2" t="s">
        <v>49</v>
      </c>
      <c r="R2" t="s">
        <v>59</v>
      </c>
    </row>
    <row r="3" spans="1:18" hidden="1" x14ac:dyDescent="0.2">
      <c r="A3" s="1">
        <v>43726</v>
      </c>
      <c r="B3" s="4" t="s">
        <v>6</v>
      </c>
      <c r="C3" t="s">
        <v>58</v>
      </c>
      <c r="D3" s="50" t="str">
        <f>HYPERLINK("E:\Jobs\0011 "&amp;Table135[[#This Row],[CNEE]]&amp;"\0001 "&amp;VLOOKUP(Table135[[#This Row],[CN]],表5[],2,FALSE)&amp;"\"&amp;TEXT(Table135[[#This Row],[ETD]],IF(Table135[[#This Row],[ETD]]&gt;43830,"YYmmdd","mmdd")),VLOOKUP(Table135[[#This Row],[CN]],表5[],2,FALSE))</f>
        <v>UE</v>
      </c>
      <c r="E3" s="3" t="s">
        <v>845</v>
      </c>
      <c r="F3" s="57">
        <v>1</v>
      </c>
      <c r="G3" s="57"/>
      <c r="H3" s="6" t="s">
        <v>852</v>
      </c>
      <c r="I3" s="6" t="s">
        <v>853</v>
      </c>
      <c r="J3" s="6"/>
      <c r="K3" s="59"/>
      <c r="L3" s="6" t="s">
        <v>86</v>
      </c>
      <c r="M3" s="57">
        <f>Table135[[#This Row],[20'']]+Table135[[#This Row],[40'']]*2</f>
        <v>1</v>
      </c>
      <c r="N3" s="2" t="str">
        <f>Table135[[#This Row],[CN]]&amp;" - "&amp;Table135[[#This Row],[CNEE]]</f>
        <v>永艺 - SSEM</v>
      </c>
      <c r="Q3" t="s">
        <v>947</v>
      </c>
      <c r="R3" t="s">
        <v>948</v>
      </c>
    </row>
    <row r="4" spans="1:18" hidden="1" x14ac:dyDescent="0.2">
      <c r="A4" s="1">
        <v>43726</v>
      </c>
      <c r="B4" s="4" t="s">
        <v>4</v>
      </c>
      <c r="C4" t="s">
        <v>54</v>
      </c>
      <c r="D4" s="50" t="str">
        <f>HYPERLINK("E:\Jobs\0011 "&amp;Table135[[#This Row],[CNEE]]&amp;"\0001 "&amp;VLOOKUP(Table135[[#This Row],[CN]],表5[],2,FALSE)&amp;"\"&amp;TEXT(Table135[[#This Row],[ETD]],IF(Table135[[#This Row],[ETD]]&gt;43830,"YYmmdd","mmdd")),VLOOKUP(Table135[[#This Row],[CN]],表5[],2,FALSE))</f>
        <v>CABO</v>
      </c>
      <c r="E4" s="3" t="s">
        <v>849</v>
      </c>
      <c r="F4" s="57"/>
      <c r="G4" s="57">
        <v>1</v>
      </c>
      <c r="H4" s="6"/>
      <c r="I4" s="6"/>
      <c r="J4" s="6"/>
      <c r="K4" s="59"/>
      <c r="L4" s="6" t="s">
        <v>86</v>
      </c>
      <c r="M4" s="57">
        <f>Table135[[#This Row],[20'']]+Table135[[#This Row],[40'']]*2</f>
        <v>2</v>
      </c>
      <c r="N4" s="2" t="str">
        <f>Table135[[#This Row],[CN]]&amp;" - "&amp;Table135[[#This Row],[CNEE]]</f>
        <v>卡帛 - HANSSEM</v>
      </c>
      <c r="Q4" t="s">
        <v>43</v>
      </c>
      <c r="R4" t="s">
        <v>45</v>
      </c>
    </row>
    <row r="5" spans="1:18" hidden="1" x14ac:dyDescent="0.2">
      <c r="A5" s="1">
        <v>43726</v>
      </c>
      <c r="B5" s="4" t="s">
        <v>4</v>
      </c>
      <c r="C5" t="s">
        <v>50</v>
      </c>
      <c r="D5" s="50" t="str">
        <f>HYPERLINK("E:\Jobs\0011 "&amp;Table135[[#This Row],[CNEE]]&amp;"\0001 "&amp;VLOOKUP(Table135[[#This Row],[CN]],表5[],2,FALSE)&amp;"\"&amp;TEXT(Table135[[#This Row],[ETD]],IF(Table135[[#This Row],[ETD]]&gt;43830,"YYmmdd","mmdd")),VLOOKUP(Table135[[#This Row],[CN]],表5[],2,FALSE))</f>
        <v>KUKA</v>
      </c>
      <c r="E5" s="3" t="s">
        <v>848</v>
      </c>
      <c r="F5" s="57"/>
      <c r="G5" s="57">
        <v>1</v>
      </c>
      <c r="H5" s="6"/>
      <c r="I5" s="6"/>
      <c r="J5" s="6"/>
      <c r="K5" s="59"/>
      <c r="L5" s="6" t="s">
        <v>86</v>
      </c>
      <c r="M5" s="57">
        <f>Table135[[#This Row],[20'']]+Table135[[#This Row],[40'']]*2</f>
        <v>2</v>
      </c>
      <c r="N5" s="2" t="str">
        <f>Table135[[#This Row],[CN]]&amp;" - "&amp;Table135[[#This Row],[CNEE]]</f>
        <v>顾家 - HANSSEM</v>
      </c>
      <c r="Q5" t="s">
        <v>500</v>
      </c>
      <c r="R5" t="s">
        <v>504</v>
      </c>
    </row>
    <row r="6" spans="1:18" hidden="1" x14ac:dyDescent="0.2">
      <c r="A6" s="1">
        <v>43726</v>
      </c>
      <c r="B6" s="4" t="s">
        <v>124</v>
      </c>
      <c r="C6" t="s">
        <v>56</v>
      </c>
      <c r="D6" s="50" t="str">
        <f>HYPERLINK("E:\Jobs\0011 "&amp;Table135[[#This Row],[CNEE]]&amp;"\0001 "&amp;VLOOKUP(Table135[[#This Row],[CN]],表5[],2,FALSE)&amp;"\"&amp;TEXT(Table135[[#This Row],[ETD]],IF(Table135[[#This Row],[ETD]]&gt;43830,"YYmmdd","mmdd")),VLOOKUP(Table135[[#This Row],[CN]],表5[],2,FALSE))</f>
        <v>HUABAO</v>
      </c>
      <c r="E6" s="3" t="s">
        <v>7</v>
      </c>
      <c r="F6" s="57">
        <v>9</v>
      </c>
      <c r="G6" s="57"/>
      <c r="H6" s="6"/>
      <c r="I6" s="6"/>
      <c r="J6" s="6"/>
      <c r="K6" s="59"/>
      <c r="L6" s="6" t="s">
        <v>86</v>
      </c>
      <c r="M6" s="57">
        <f>Table135[[#This Row],[20'']]+Table135[[#This Row],[40'']]*2</f>
        <v>9</v>
      </c>
      <c r="N6" s="2" t="str">
        <f>Table135[[#This Row],[CN]]&amp;" - "&amp;Table135[[#This Row],[CNEE]]</f>
        <v>华宝 - EFFEX</v>
      </c>
      <c r="Q6" t="s">
        <v>50</v>
      </c>
      <c r="R6" t="s">
        <v>60</v>
      </c>
    </row>
    <row r="7" spans="1:18" hidden="1" x14ac:dyDescent="0.2">
      <c r="A7" s="1">
        <v>43726</v>
      </c>
      <c r="B7" s="4" t="s">
        <v>4</v>
      </c>
      <c r="C7" t="s">
        <v>46</v>
      </c>
      <c r="D7" s="50" t="str">
        <f>HYPERLINK("E:\Jobs\0011 "&amp;Table135[[#This Row],[CNEE]]&amp;"\0001 "&amp;VLOOKUP(Table135[[#This Row],[CN]],表5[],2,FALSE)&amp;"\"&amp;TEXT(Table135[[#This Row],[ETD]],IF(Table135[[#This Row],[ETD]]&gt;43830,"YYmmdd","mmdd")),VLOOKUP(Table135[[#This Row],[CN]],表5[],2,FALSE))</f>
        <v>WANSHENG</v>
      </c>
      <c r="E7" s="3" t="s">
        <v>850</v>
      </c>
      <c r="F7" s="57"/>
      <c r="G7" s="57">
        <v>2</v>
      </c>
      <c r="H7" s="6"/>
      <c r="I7" s="6"/>
      <c r="J7" s="6"/>
      <c r="K7" s="59"/>
      <c r="L7" s="6" t="s">
        <v>86</v>
      </c>
      <c r="M7" s="57">
        <f>Table135[[#This Row],[20'']]+Table135[[#This Row],[40'']]*2</f>
        <v>4</v>
      </c>
      <c r="N7" s="2" t="str">
        <f>Table135[[#This Row],[CN]]&amp;" - "&amp;Table135[[#This Row],[CNEE]]</f>
        <v>万盛 - HANSSEM</v>
      </c>
      <c r="Q7" t="s">
        <v>52</v>
      </c>
      <c r="R7" t="s">
        <v>4</v>
      </c>
    </row>
    <row r="8" spans="1:18" hidden="1" x14ac:dyDescent="0.2">
      <c r="A8" s="1">
        <v>43726</v>
      </c>
      <c r="B8" s="4" t="s">
        <v>4</v>
      </c>
      <c r="C8" t="s">
        <v>46</v>
      </c>
      <c r="D8" s="50" t="str">
        <f>HYPERLINK("E:\Jobs\0011 "&amp;Table135[[#This Row],[CNEE]]&amp;"\0001 "&amp;VLOOKUP(Table135[[#This Row],[CN]],表5[],2,FALSE)&amp;"\"&amp;TEXT(Table135[[#This Row],[ETD]],IF(Table135[[#This Row],[ETD]]&gt;43830,"YYmmdd","mmdd")),VLOOKUP(Table135[[#This Row],[CN]],表5[],2,FALSE))</f>
        <v>WANSHENG</v>
      </c>
      <c r="E8" s="3" t="s">
        <v>851</v>
      </c>
      <c r="F8" s="57"/>
      <c r="G8" s="57">
        <v>1</v>
      </c>
      <c r="H8" s="6"/>
      <c r="I8" s="6"/>
      <c r="J8" s="6"/>
      <c r="K8" s="59"/>
      <c r="L8" s="6" t="s">
        <v>86</v>
      </c>
      <c r="M8" s="57">
        <f>Table135[[#This Row],[20'']]+Table135[[#This Row],[40'']]*2</f>
        <v>2</v>
      </c>
      <c r="N8" s="2" t="str">
        <f>Table135[[#This Row],[CN]]&amp;" - "&amp;Table135[[#This Row],[CNEE]]</f>
        <v>万盛 - HANSSEM</v>
      </c>
      <c r="Q8" t="s">
        <v>56</v>
      </c>
      <c r="R8" t="s">
        <v>65</v>
      </c>
    </row>
    <row r="9" spans="1:18" hidden="1" x14ac:dyDescent="0.2">
      <c r="A9" s="1">
        <v>43727</v>
      </c>
      <c r="B9" s="4" t="s">
        <v>107</v>
      </c>
      <c r="C9" t="s">
        <v>48</v>
      </c>
      <c r="D9" s="50" t="str">
        <f>HYPERLINK("E:\Jobs\0011 "&amp;Table135[[#This Row],[CNEE]]&amp;"\0001 "&amp;VLOOKUP(Table135[[#This Row],[CN]],表5[],2,FALSE)&amp;"\"&amp;TEXT(Table135[[#This Row],[ETD]],IF(Table135[[#This Row],[ETD]]&gt;43830,"YYmmdd","mmdd")),VLOOKUP(Table135[[#This Row],[CN]],表5[],2,FALSE))</f>
        <v>LOUISUN</v>
      </c>
      <c r="E9" s="3" t="s">
        <v>855</v>
      </c>
      <c r="F9" s="57">
        <v>1</v>
      </c>
      <c r="G9" s="57"/>
      <c r="H9" s="6"/>
      <c r="I9" s="6"/>
      <c r="J9" s="6"/>
      <c r="K9" s="59"/>
      <c r="L9" s="6" t="s">
        <v>86</v>
      </c>
      <c r="M9" s="57">
        <f>Table135[[#This Row],[20'']]+Table135[[#This Row],[40'']]*2</f>
        <v>1</v>
      </c>
      <c r="N9" s="2" t="str">
        <f>Table135[[#This Row],[CN]]&amp;" - "&amp;Table135[[#This Row],[CNEE]]</f>
        <v>瑞显 - CASAMIA</v>
      </c>
      <c r="Q9" t="s">
        <v>53</v>
      </c>
      <c r="R9" t="s">
        <v>62</v>
      </c>
    </row>
    <row r="10" spans="1:18" hidden="1" x14ac:dyDescent="0.2">
      <c r="A10" s="1">
        <v>43730</v>
      </c>
      <c r="B10" s="4" t="s">
        <v>4</v>
      </c>
      <c r="C10" t="s">
        <v>50</v>
      </c>
      <c r="D10" s="50" t="str">
        <f>HYPERLINK("E:\Jobs\0011 "&amp;Table135[[#This Row],[CNEE]]&amp;"\0001 "&amp;VLOOKUP(Table135[[#This Row],[CN]],表5[],2,FALSE)&amp;"\"&amp;TEXT(Table135[[#This Row],[ETD]],IF(Table135[[#This Row],[ETD]]&gt;43830,"YYmmdd","mmdd")),VLOOKUP(Table135[[#This Row],[CN]],表5[],2,FALSE))</f>
        <v>KUKA</v>
      </c>
      <c r="E10" s="3" t="s">
        <v>858</v>
      </c>
      <c r="F10" s="57"/>
      <c r="G10" s="57">
        <v>1</v>
      </c>
      <c r="H10" s="6" t="s">
        <v>859</v>
      </c>
      <c r="I10" s="6" t="s">
        <v>860</v>
      </c>
      <c r="J10" s="6"/>
      <c r="K10" s="59"/>
      <c r="L10" s="6" t="s">
        <v>86</v>
      </c>
      <c r="M10" s="57">
        <f>Table135[[#This Row],[20'']]+Table135[[#This Row],[40'']]*2</f>
        <v>2</v>
      </c>
      <c r="N10" s="2" t="str">
        <f>Table135[[#This Row],[CN]]&amp;" - "&amp;Table135[[#This Row],[CNEE]]</f>
        <v>顾家 - HANSSEM</v>
      </c>
      <c r="Q10" t="s">
        <v>55</v>
      </c>
      <c r="R10" t="s">
        <v>64</v>
      </c>
    </row>
    <row r="11" spans="1:18" ht="28.5" hidden="1" x14ac:dyDescent="0.2">
      <c r="A11" s="1">
        <v>43730</v>
      </c>
      <c r="B11" s="4" t="s">
        <v>4</v>
      </c>
      <c r="C11" t="s">
        <v>54</v>
      </c>
      <c r="D11" s="50" t="str">
        <f>HYPERLINK("E:\Jobs\0011 "&amp;Table135[[#This Row],[CNEE]]&amp;"\0001 "&amp;VLOOKUP(Table135[[#This Row],[CN]],表5[],2,FALSE)&amp;"\"&amp;TEXT(Table135[[#This Row],[ETD]],IF(Table135[[#This Row],[ETD]]&gt;43830,"YYmmdd","mmdd")),VLOOKUP(Table135[[#This Row],[CN]],表5[],2,FALSE))</f>
        <v>CABO</v>
      </c>
      <c r="E11" s="3" t="s">
        <v>861</v>
      </c>
      <c r="F11" s="57"/>
      <c r="G11" s="57">
        <v>3</v>
      </c>
      <c r="H11" s="6" t="s">
        <v>862</v>
      </c>
      <c r="I11" s="6" t="s">
        <v>863</v>
      </c>
      <c r="J11" s="6"/>
      <c r="K11" s="59"/>
      <c r="L11" s="6" t="s">
        <v>86</v>
      </c>
      <c r="M11" s="57">
        <f>Table135[[#This Row],[20'']]+Table135[[#This Row],[40'']]*2</f>
        <v>6</v>
      </c>
      <c r="N11" s="2" t="str">
        <f>Table135[[#This Row],[CN]]&amp;" - "&amp;Table135[[#This Row],[CNEE]]</f>
        <v>卡帛 - HANSSEM</v>
      </c>
      <c r="Q11" t="s">
        <v>54</v>
      </c>
      <c r="R11" t="s">
        <v>63</v>
      </c>
    </row>
    <row r="12" spans="1:18" hidden="1" x14ac:dyDescent="0.2">
      <c r="A12" s="1">
        <v>43730</v>
      </c>
      <c r="B12" s="4" t="s">
        <v>124</v>
      </c>
      <c r="C12" t="s">
        <v>56</v>
      </c>
      <c r="D12" s="50" t="str">
        <f>HYPERLINK("E:\Jobs\0011 "&amp;Table135[[#This Row],[CNEE]]&amp;"\0001 "&amp;VLOOKUP(Table135[[#This Row],[CN]],表5[],2,FALSE)&amp;"\"&amp;TEXT(Table135[[#This Row],[ETD]],IF(Table135[[#This Row],[ETD]]&gt;43830,"YYmmdd","mmdd")),VLOOKUP(Table135[[#This Row],[CN]],表5[],2,FALSE))</f>
        <v>HUABAO</v>
      </c>
      <c r="E12" s="3" t="s">
        <v>7</v>
      </c>
      <c r="F12" s="57">
        <v>10</v>
      </c>
      <c r="G12" s="57"/>
      <c r="H12" s="6" t="s">
        <v>856</v>
      </c>
      <c r="I12" s="6" t="s">
        <v>857</v>
      </c>
      <c r="J12" s="6"/>
      <c r="K12" s="59"/>
      <c r="L12" s="6" t="s">
        <v>86</v>
      </c>
      <c r="M12" s="57">
        <f>Table135[[#This Row],[20'']]+Table135[[#This Row],[40'']]*2</f>
        <v>10</v>
      </c>
      <c r="N12" s="2" t="str">
        <f>Table135[[#This Row],[CN]]&amp;" - "&amp;Table135[[#This Row],[CNEE]]</f>
        <v>华宝 - EFFEX</v>
      </c>
      <c r="Q12" t="s">
        <v>490</v>
      </c>
      <c r="R12" t="s">
        <v>491</v>
      </c>
    </row>
    <row r="13" spans="1:18" hidden="1" x14ac:dyDescent="0.2">
      <c r="A13" s="1">
        <v>43730</v>
      </c>
      <c r="B13" s="4" t="s">
        <v>4</v>
      </c>
      <c r="C13" t="s">
        <v>46</v>
      </c>
      <c r="D13" s="50" t="str">
        <f>HYPERLINK("E:\Jobs\0011 "&amp;Table135[[#This Row],[CNEE]]&amp;"\0001 "&amp;VLOOKUP(Table135[[#This Row],[CN]],表5[],2,FALSE)&amp;"\"&amp;TEXT(Table135[[#This Row],[ETD]],IF(Table135[[#This Row],[ETD]]&gt;43830,"YYmmdd","mmdd")),VLOOKUP(Table135[[#This Row],[CN]],表5[],2,FALSE))</f>
        <v>WANSHENG</v>
      </c>
      <c r="E13" s="3" t="s">
        <v>864</v>
      </c>
      <c r="F13" s="57"/>
      <c r="G13" s="57">
        <v>2</v>
      </c>
      <c r="H13" s="6"/>
      <c r="I13" s="6"/>
      <c r="J13" s="6"/>
      <c r="K13" s="59"/>
      <c r="L13" s="6" t="s">
        <v>86</v>
      </c>
      <c r="M13" s="57">
        <f>Table135[[#This Row],[20'']]+Table135[[#This Row],[40'']]*2</f>
        <v>4</v>
      </c>
      <c r="N13" s="2" t="str">
        <f>Table135[[#This Row],[CN]]&amp;" - "&amp;Table135[[#This Row],[CNEE]]</f>
        <v>万盛 - HANSSEM</v>
      </c>
      <c r="Q13" t="s">
        <v>48</v>
      </c>
      <c r="R13" t="s">
        <v>8</v>
      </c>
    </row>
    <row r="14" spans="1:18" hidden="1" x14ac:dyDescent="0.2">
      <c r="A14" s="1">
        <v>43730</v>
      </c>
      <c r="B14" s="4" t="s">
        <v>4</v>
      </c>
      <c r="C14" t="s">
        <v>46</v>
      </c>
      <c r="D14" s="50" t="str">
        <f>HYPERLINK("E:\Jobs\0011 "&amp;Table135[[#This Row],[CNEE]]&amp;"\0001 "&amp;VLOOKUP(Table135[[#This Row],[CN]],表5[],2,FALSE)&amp;"\"&amp;TEXT(Table135[[#This Row],[ETD]],IF(Table135[[#This Row],[ETD]]&gt;43830,"YYmmdd","mmdd")),VLOOKUP(Table135[[#This Row],[CN]],表5[],2,FALSE))</f>
        <v>WANSHENG</v>
      </c>
      <c r="E14" s="3" t="s">
        <v>865</v>
      </c>
      <c r="F14" s="57"/>
      <c r="G14" s="57">
        <v>2</v>
      </c>
      <c r="H14" s="6"/>
      <c r="I14" s="6"/>
      <c r="J14" s="6"/>
      <c r="K14" s="59"/>
      <c r="L14" s="6" t="s">
        <v>86</v>
      </c>
      <c r="M14" s="57">
        <f>Table135[[#This Row],[20'']]+Table135[[#This Row],[40'']]*2</f>
        <v>4</v>
      </c>
      <c r="N14" s="2" t="str">
        <f>Table135[[#This Row],[CN]]&amp;" - "&amp;Table135[[#This Row],[CNEE]]</f>
        <v>万盛 - HANSSEM</v>
      </c>
      <c r="Q14" t="s">
        <v>543</v>
      </c>
      <c r="R14" t="s">
        <v>544</v>
      </c>
    </row>
    <row r="15" spans="1:18" hidden="1" x14ac:dyDescent="0.2">
      <c r="A15" s="1">
        <v>43730</v>
      </c>
      <c r="B15" s="4" t="s">
        <v>4</v>
      </c>
      <c r="C15" t="s">
        <v>46</v>
      </c>
      <c r="D15" s="50" t="str">
        <f>HYPERLINK("E:\Jobs\0011 "&amp;Table135[[#This Row],[CNEE]]&amp;"\0001 "&amp;VLOOKUP(Table135[[#This Row],[CN]],表5[],2,FALSE)&amp;"\"&amp;TEXT(Table135[[#This Row],[ETD]],IF(Table135[[#This Row],[ETD]]&gt;43830,"YYmmdd","mmdd")),VLOOKUP(Table135[[#This Row],[CN]],表5[],2,FALSE))</f>
        <v>WANSHENG</v>
      </c>
      <c r="E15" s="3" t="s">
        <v>866</v>
      </c>
      <c r="F15" s="57"/>
      <c r="G15" s="57">
        <v>1</v>
      </c>
      <c r="H15" s="6"/>
      <c r="I15" s="6"/>
      <c r="J15" s="6"/>
      <c r="K15" s="59"/>
      <c r="L15" s="6" t="s">
        <v>86</v>
      </c>
      <c r="M15" s="57">
        <f>Table135[[#This Row],[20'']]+Table135[[#This Row],[40'']]*2</f>
        <v>2</v>
      </c>
      <c r="N15" s="2" t="str">
        <f>Table135[[#This Row],[CN]]&amp;" - "&amp;Table135[[#This Row],[CNEE]]</f>
        <v>万盛 - HANSSEM</v>
      </c>
      <c r="Q15" t="s">
        <v>46</v>
      </c>
      <c r="R15" t="s">
        <v>47</v>
      </c>
    </row>
    <row r="16" spans="1:18" hidden="1" x14ac:dyDescent="0.2">
      <c r="A16" s="1">
        <v>43733</v>
      </c>
      <c r="B16" s="4" t="s">
        <v>4</v>
      </c>
      <c r="C16" t="s">
        <v>50</v>
      </c>
      <c r="D16" s="50" t="str">
        <f>HYPERLINK("E:\Jobs\0011 "&amp;Table135[[#This Row],[CNEE]]&amp;"\0001 "&amp;VLOOKUP(Table135[[#This Row],[CN]],表5[],2,FALSE)&amp;"\"&amp;TEXT(Table135[[#This Row],[ETD]],IF(Table135[[#This Row],[ETD]]&gt;43830,"YYmmdd","mmdd")),VLOOKUP(Table135[[#This Row],[CN]],表5[],2,FALSE))</f>
        <v>KUKA</v>
      </c>
      <c r="E16" s="3" t="s">
        <v>873</v>
      </c>
      <c r="F16" s="57"/>
      <c r="G16" s="57">
        <v>1</v>
      </c>
      <c r="H16" s="6" t="s">
        <v>874</v>
      </c>
      <c r="I16" s="6" t="s">
        <v>875</v>
      </c>
      <c r="J16" s="6"/>
      <c r="K16" s="59"/>
      <c r="L16" s="6" t="s">
        <v>86</v>
      </c>
      <c r="M16" s="57">
        <f>Table135[[#This Row],[20'']]+Table135[[#This Row],[40'']]*2</f>
        <v>2</v>
      </c>
      <c r="N16" s="2" t="str">
        <f>Table135[[#This Row],[CN]]&amp;" - "&amp;Table135[[#This Row],[CNEE]]</f>
        <v>顾家 - HANSSEM</v>
      </c>
      <c r="Q16" t="s">
        <v>405</v>
      </c>
      <c r="R16" t="s">
        <v>406</v>
      </c>
    </row>
    <row r="17" spans="1:18" hidden="1" x14ac:dyDescent="0.2">
      <c r="A17" s="1">
        <v>43733</v>
      </c>
      <c r="B17" s="4" t="s">
        <v>4</v>
      </c>
      <c r="C17" t="s">
        <v>46</v>
      </c>
      <c r="D17" s="50" t="str">
        <f>HYPERLINK("E:\Jobs\0011 "&amp;Table135[[#This Row],[CNEE]]&amp;"\0001 "&amp;VLOOKUP(Table135[[#This Row],[CN]],表5[],2,FALSE)&amp;"\"&amp;TEXT(Table135[[#This Row],[ETD]],IF(Table135[[#This Row],[ETD]]&gt;43830,"YYmmdd","mmdd")),VLOOKUP(Table135[[#This Row],[CN]],表5[],2,FALSE))</f>
        <v>WANSHENG</v>
      </c>
      <c r="E17" s="3" t="s">
        <v>876</v>
      </c>
      <c r="F17" s="57"/>
      <c r="G17" s="57">
        <v>1</v>
      </c>
      <c r="H17" s="6" t="s">
        <v>877</v>
      </c>
      <c r="I17" s="6" t="s">
        <v>878</v>
      </c>
      <c r="J17" s="6"/>
      <c r="K17" s="59"/>
      <c r="L17" s="6" t="s">
        <v>86</v>
      </c>
      <c r="M17" s="57">
        <f>Table135[[#This Row],[20'']]+Table135[[#This Row],[40'']]*2</f>
        <v>2</v>
      </c>
      <c r="N17" s="2" t="str">
        <f>Table135[[#This Row],[CN]]&amp;" - "&amp;Table135[[#This Row],[CNEE]]</f>
        <v>万盛 - HANSSEM</v>
      </c>
      <c r="Q17" t="s">
        <v>57</v>
      </c>
      <c r="R17" t="s">
        <v>66</v>
      </c>
    </row>
    <row r="18" spans="1:18" hidden="1" x14ac:dyDescent="0.2">
      <c r="A18" s="1">
        <v>43733</v>
      </c>
      <c r="B18" s="4" t="s">
        <v>4</v>
      </c>
      <c r="C18" t="s">
        <v>46</v>
      </c>
      <c r="D18" s="50" t="str">
        <f>HYPERLINK("E:\Jobs\0011 "&amp;Table135[[#This Row],[CNEE]]&amp;"\0001 "&amp;VLOOKUP(Table135[[#This Row],[CN]],表5[],2,FALSE)&amp;"\"&amp;TEXT(Table135[[#This Row],[ETD]],IF(Table135[[#This Row],[ETD]]&gt;43830,"YYmmdd","mmdd")),VLOOKUP(Table135[[#This Row],[CN]],表5[],2,FALSE))</f>
        <v>WANSHENG</v>
      </c>
      <c r="E18" s="3" t="s">
        <v>879</v>
      </c>
      <c r="F18" s="57"/>
      <c r="G18" s="57">
        <v>3</v>
      </c>
      <c r="H18" s="6" t="s">
        <v>880</v>
      </c>
      <c r="I18" s="6" t="s">
        <v>881</v>
      </c>
      <c r="J18" s="6" t="s">
        <v>882</v>
      </c>
      <c r="K18" s="59"/>
      <c r="L18" s="6" t="s">
        <v>86</v>
      </c>
      <c r="M18" s="57">
        <f>Table135[[#This Row],[20'']]+Table135[[#This Row],[40'']]*2</f>
        <v>6</v>
      </c>
      <c r="N18" s="2" t="str">
        <f>Table135[[#This Row],[CN]]&amp;" - "&amp;Table135[[#This Row],[CNEE]]</f>
        <v>万盛 - HANSSEM</v>
      </c>
      <c r="Q18" t="s">
        <v>58</v>
      </c>
      <c r="R18" t="s">
        <v>67</v>
      </c>
    </row>
    <row r="19" spans="1:18" ht="42.75" hidden="1" x14ac:dyDescent="0.2">
      <c r="A19" s="1">
        <v>43733</v>
      </c>
      <c r="B19" s="4" t="s">
        <v>107</v>
      </c>
      <c r="C19" t="s">
        <v>53</v>
      </c>
      <c r="D19" s="50" t="str">
        <f>HYPERLINK("E:\Jobs\0011 "&amp;Table135[[#This Row],[CNEE]]&amp;"\0001 "&amp;VLOOKUP(Table135[[#This Row],[CN]],表5[],2,FALSE)&amp;"\"&amp;TEXT(Table135[[#This Row],[ETD]],IF(Table135[[#This Row],[ETD]]&gt;43830,"YYmmdd","mmdd")),VLOOKUP(Table135[[#This Row],[CN]],表5[],2,FALSE))</f>
        <v>HTL</v>
      </c>
      <c r="E19" s="3" t="s">
        <v>867</v>
      </c>
      <c r="F19" s="57"/>
      <c r="G19" s="57">
        <v>3</v>
      </c>
      <c r="H19" s="6" t="s">
        <v>868</v>
      </c>
      <c r="I19" s="6" t="s">
        <v>869</v>
      </c>
      <c r="J19" s="6"/>
      <c r="K19" s="59"/>
      <c r="L19" s="6" t="s">
        <v>86</v>
      </c>
      <c r="M19" s="57">
        <f>Table135[[#This Row],[20'']]+Table135[[#This Row],[40'']]*2</f>
        <v>6</v>
      </c>
      <c r="N19" s="2" t="str">
        <f>Table135[[#This Row],[CN]]&amp;" - "&amp;Table135[[#This Row],[CNEE]]</f>
        <v>华达利 - CASAMIA</v>
      </c>
      <c r="Q19" t="s">
        <v>51</v>
      </c>
      <c r="R19" t="s">
        <v>61</v>
      </c>
    </row>
    <row r="20" spans="1:18" hidden="1" x14ac:dyDescent="0.2">
      <c r="A20" s="1">
        <v>43733</v>
      </c>
      <c r="B20" s="4" t="s">
        <v>124</v>
      </c>
      <c r="C20" t="s">
        <v>56</v>
      </c>
      <c r="D20" s="50" t="str">
        <f>HYPERLINK("E:\Jobs\0011 "&amp;Table135[[#This Row],[CNEE]]&amp;"\0001 "&amp;VLOOKUP(Table135[[#This Row],[CN]],表5[],2,FALSE)&amp;"\"&amp;TEXT(Table135[[#This Row],[ETD]],IF(Table135[[#This Row],[ETD]]&gt;43830,"YYmmdd","mmdd")),VLOOKUP(Table135[[#This Row],[CN]],表5[],2,FALSE))</f>
        <v>HUABAO</v>
      </c>
      <c r="E20" s="3" t="s">
        <v>7</v>
      </c>
      <c r="F20" s="57">
        <v>8</v>
      </c>
      <c r="G20" s="57"/>
      <c r="H20" s="6" t="s">
        <v>870</v>
      </c>
      <c r="I20" s="6" t="s">
        <v>871</v>
      </c>
      <c r="J20" s="6" t="s">
        <v>872</v>
      </c>
      <c r="K20" s="59"/>
      <c r="L20" s="6" t="s">
        <v>86</v>
      </c>
      <c r="M20" s="57">
        <f>Table135[[#This Row],[20'']]+Table135[[#This Row],[40'']]*2</f>
        <v>8</v>
      </c>
      <c r="N20" s="2" t="str">
        <f>Table135[[#This Row],[CN]]&amp;" - "&amp;Table135[[#This Row],[CNEE]]</f>
        <v>华宝 - EFFEX</v>
      </c>
    </row>
    <row r="21" spans="1:18" hidden="1" x14ac:dyDescent="0.2">
      <c r="A21" s="1">
        <v>43733</v>
      </c>
      <c r="B21" s="4" t="s">
        <v>6</v>
      </c>
      <c r="C21" t="s">
        <v>58</v>
      </c>
      <c r="D21" s="50" t="str">
        <f>HYPERLINK("E:\Jobs\0011 "&amp;Table135[[#This Row],[CNEE]]&amp;"\0001 "&amp;VLOOKUP(Table135[[#This Row],[CN]],表5[],2,FALSE)&amp;"\"&amp;TEXT(Table135[[#This Row],[ETD]],IF(Table135[[#This Row],[ETD]]&gt;43830,"YYmmdd","mmdd")),VLOOKUP(Table135[[#This Row],[CN]],表5[],2,FALSE))</f>
        <v>UE</v>
      </c>
      <c r="E21" s="3" t="s">
        <v>883</v>
      </c>
      <c r="F21" s="57"/>
      <c r="G21" s="57">
        <v>2</v>
      </c>
      <c r="H21" s="6" t="s">
        <v>884</v>
      </c>
      <c r="I21" s="6" t="s">
        <v>885</v>
      </c>
      <c r="J21" s="6" t="s">
        <v>886</v>
      </c>
      <c r="K21" s="59"/>
      <c r="L21" s="6" t="s">
        <v>86</v>
      </c>
      <c r="M21" s="57">
        <f>Table135[[#This Row],[20'']]+Table135[[#This Row],[40'']]*2</f>
        <v>4</v>
      </c>
      <c r="N21" s="2" t="str">
        <f>Table135[[#This Row],[CN]]&amp;" - "&amp;Table135[[#This Row],[CNEE]]</f>
        <v>永艺 - SSEM</v>
      </c>
    </row>
    <row r="22" spans="1:18" hidden="1" x14ac:dyDescent="0.2">
      <c r="A22" s="1">
        <v>43737</v>
      </c>
      <c r="B22" s="4" t="s">
        <v>4</v>
      </c>
      <c r="C22" t="s">
        <v>50</v>
      </c>
      <c r="D22" s="50" t="str">
        <f>HYPERLINK("E:\Jobs\0011 "&amp;Table135[[#This Row],[CNEE]]&amp;"\0001 "&amp;VLOOKUP(Table135[[#This Row],[CN]],表5[],2,FALSE)&amp;"\"&amp;TEXT(Table135[[#This Row],[ETD]],IF(Table135[[#This Row],[ETD]]&gt;43830,"YYmmdd","mmdd")),VLOOKUP(Table135[[#This Row],[CN]],表5[],2,FALSE))</f>
        <v>KUKA</v>
      </c>
      <c r="E22" s="3" t="s">
        <v>894</v>
      </c>
      <c r="F22" s="57"/>
      <c r="G22" s="57">
        <v>2</v>
      </c>
      <c r="H22" s="6" t="s">
        <v>895</v>
      </c>
      <c r="I22" s="6" t="s">
        <v>896</v>
      </c>
      <c r="J22" s="6"/>
      <c r="K22" s="59"/>
      <c r="L22" s="6" t="s">
        <v>86</v>
      </c>
      <c r="M22" s="57">
        <f>Table135[[#This Row],[20'']]+Table135[[#This Row],[40'']]*2</f>
        <v>4</v>
      </c>
      <c r="N22" s="2" t="str">
        <f>Table135[[#This Row],[CN]]&amp;" - "&amp;Table135[[#This Row],[CNEE]]</f>
        <v>顾家 - HANSSEM</v>
      </c>
    </row>
    <row r="23" spans="1:18" hidden="1" x14ac:dyDescent="0.2">
      <c r="A23" s="1">
        <v>43737</v>
      </c>
      <c r="B23" s="4" t="s">
        <v>107</v>
      </c>
      <c r="C23" t="s">
        <v>57</v>
      </c>
      <c r="D23" s="50" t="str">
        <f>HYPERLINK("E:\Jobs\0011 "&amp;Table135[[#This Row],[CNEE]]&amp;"\0001 "&amp;VLOOKUP(Table135[[#This Row],[CN]],表5[],2,FALSE)&amp;"\"&amp;TEXT(Table135[[#This Row],[ETD]],IF(Table135[[#This Row],[ETD]]&gt;43830,"YYmmdd","mmdd")),VLOOKUP(Table135[[#This Row],[CN]],表5[],2,FALSE))</f>
        <v>YAJIAJU</v>
      </c>
      <c r="E23" s="3" t="s">
        <v>891</v>
      </c>
      <c r="F23" s="57"/>
      <c r="G23" s="57">
        <v>2</v>
      </c>
      <c r="H23" s="6" t="s">
        <v>892</v>
      </c>
      <c r="I23" s="6" t="s">
        <v>893</v>
      </c>
      <c r="J23" s="6"/>
      <c r="K23" s="59"/>
      <c r="L23" s="6" t="s">
        <v>86</v>
      </c>
      <c r="M23" s="57">
        <f>Table135[[#This Row],[20'']]+Table135[[#This Row],[40'']]*2</f>
        <v>4</v>
      </c>
      <c r="N23" s="2" t="str">
        <f>Table135[[#This Row],[CN]]&amp;" - "&amp;Table135[[#This Row],[CNEE]]</f>
        <v>雅家居 - CASAMIA</v>
      </c>
    </row>
    <row r="24" spans="1:18" hidden="1" x14ac:dyDescent="0.2">
      <c r="A24" s="1">
        <v>43737</v>
      </c>
      <c r="B24" s="4" t="s">
        <v>6</v>
      </c>
      <c r="C24" t="s">
        <v>58</v>
      </c>
      <c r="D24" s="50" t="str">
        <f>HYPERLINK("E:\Jobs\0011 "&amp;Table135[[#This Row],[CNEE]]&amp;"\0001 "&amp;VLOOKUP(Table135[[#This Row],[CN]],表5[],2,FALSE)&amp;"\"&amp;TEXT(Table135[[#This Row],[ETD]],IF(Table135[[#This Row],[ETD]]&gt;43830,"YYmmdd","mmdd")),VLOOKUP(Table135[[#This Row],[CN]],表5[],2,FALSE))</f>
        <v>UE</v>
      </c>
      <c r="E24" s="3" t="s">
        <v>903</v>
      </c>
      <c r="F24" s="57"/>
      <c r="G24" s="57">
        <v>4</v>
      </c>
      <c r="H24" s="6" t="s">
        <v>904</v>
      </c>
      <c r="I24" s="6" t="s">
        <v>905</v>
      </c>
      <c r="J24" s="6"/>
      <c r="K24" s="59"/>
      <c r="L24" s="6" t="s">
        <v>86</v>
      </c>
      <c r="M24" s="57">
        <f>Table135[[#This Row],[20'']]+Table135[[#This Row],[40'']]*2</f>
        <v>8</v>
      </c>
      <c r="N24" s="2" t="str">
        <f>Table135[[#This Row],[CN]]&amp;" - "&amp;Table135[[#This Row],[CNEE]]</f>
        <v>永艺 - SSEM</v>
      </c>
    </row>
    <row r="25" spans="1:18" hidden="1" x14ac:dyDescent="0.2">
      <c r="A25" s="1">
        <v>43737</v>
      </c>
      <c r="B25" s="4" t="s">
        <v>4</v>
      </c>
      <c r="C25" t="s">
        <v>46</v>
      </c>
      <c r="D25" s="50" t="str">
        <f>HYPERLINK("E:\Jobs\0011 "&amp;Table135[[#This Row],[CNEE]]&amp;"\0001 "&amp;VLOOKUP(Table135[[#This Row],[CN]],表5[],2,FALSE)&amp;"\"&amp;TEXT(Table135[[#This Row],[ETD]],IF(Table135[[#This Row],[ETD]]&gt;43830,"YYmmdd","mmdd")),VLOOKUP(Table135[[#This Row],[CN]],表5[],2,FALSE))</f>
        <v>WANSHENG</v>
      </c>
      <c r="E25" s="3" t="s">
        <v>897</v>
      </c>
      <c r="F25" s="57"/>
      <c r="G25" s="57">
        <v>3</v>
      </c>
      <c r="H25" s="6" t="s">
        <v>898</v>
      </c>
      <c r="I25" s="6" t="s">
        <v>899</v>
      </c>
      <c r="J25" s="6"/>
      <c r="K25" s="59"/>
      <c r="L25" s="6" t="s">
        <v>86</v>
      </c>
      <c r="M25" s="57">
        <f>Table135[[#This Row],[20'']]+Table135[[#This Row],[40'']]*2</f>
        <v>6</v>
      </c>
      <c r="N25" s="2" t="str">
        <f>Table135[[#This Row],[CN]]&amp;" - "&amp;Table135[[#This Row],[CNEE]]</f>
        <v>万盛 - HANSSEM</v>
      </c>
    </row>
    <row r="26" spans="1:18" hidden="1" x14ac:dyDescent="0.2">
      <c r="A26" s="1">
        <v>43737</v>
      </c>
      <c r="B26" s="4" t="s">
        <v>4</v>
      </c>
      <c r="C26" t="s">
        <v>46</v>
      </c>
      <c r="D26" s="50" t="str">
        <f>HYPERLINK("E:\Jobs\0011 "&amp;Table135[[#This Row],[CNEE]]&amp;"\0001 "&amp;VLOOKUP(Table135[[#This Row],[CN]],表5[],2,FALSE)&amp;"\"&amp;TEXT(Table135[[#This Row],[ETD]],IF(Table135[[#This Row],[ETD]]&gt;43830,"YYmmdd","mmdd")),VLOOKUP(Table135[[#This Row],[CN]],表5[],2,FALSE))</f>
        <v>WANSHENG</v>
      </c>
      <c r="E26" s="3" t="s">
        <v>900</v>
      </c>
      <c r="F26" s="57"/>
      <c r="G26" s="57">
        <v>2</v>
      </c>
      <c r="H26" s="6" t="s">
        <v>901</v>
      </c>
      <c r="I26" s="6" t="s">
        <v>902</v>
      </c>
      <c r="J26" s="6"/>
      <c r="K26" s="59"/>
      <c r="L26" s="6" t="s">
        <v>86</v>
      </c>
      <c r="M26" s="57">
        <f>Table135[[#This Row],[20'']]+Table135[[#This Row],[40'']]*2</f>
        <v>4</v>
      </c>
      <c r="N26" s="2" t="str">
        <f>Table135[[#This Row],[CN]]&amp;" - "&amp;Table135[[#This Row],[CNEE]]</f>
        <v>万盛 - HANSSEM</v>
      </c>
    </row>
    <row r="27" spans="1:18" hidden="1" x14ac:dyDescent="0.2">
      <c r="A27" s="1">
        <v>43737</v>
      </c>
      <c r="B27" s="4" t="s">
        <v>107</v>
      </c>
      <c r="C27" t="s">
        <v>43</v>
      </c>
      <c r="D27" s="50" t="str">
        <f>HYPERLINK("E:\Jobs\0011 "&amp;Table135[[#This Row],[CNEE]]&amp;"\0001 "&amp;VLOOKUP(Table135[[#This Row],[CN]],表5[],2,FALSE)&amp;"\"&amp;TEXT(Table135[[#This Row],[ETD]],IF(Table135[[#This Row],[ETD]]&gt;43830,"YYmmdd","mmdd")),VLOOKUP(Table135[[#This Row],[CN]],表5[],2,FALSE))</f>
        <v>PHILOSOPHY</v>
      </c>
      <c r="E27" s="3" t="s">
        <v>888</v>
      </c>
      <c r="F27" s="57">
        <v>1</v>
      </c>
      <c r="G27" s="57"/>
      <c r="H27" s="6" t="s">
        <v>889</v>
      </c>
      <c r="I27" s="6" t="s">
        <v>890</v>
      </c>
      <c r="J27" s="6"/>
      <c r="K27" s="59"/>
      <c r="L27" s="6" t="s">
        <v>86</v>
      </c>
      <c r="M27" s="57">
        <f>Table135[[#This Row],[20'']]+Table135[[#This Row],[40'']]*2</f>
        <v>1</v>
      </c>
      <c r="N27" s="2" t="str">
        <f>Table135[[#This Row],[CN]]&amp;" - "&amp;Table135[[#This Row],[CNEE]]</f>
        <v>非相 - CASAMIA</v>
      </c>
    </row>
    <row r="28" spans="1:18" hidden="1" x14ac:dyDescent="0.2">
      <c r="A28" s="1">
        <v>43740</v>
      </c>
      <c r="B28" s="4" t="s">
        <v>304</v>
      </c>
      <c r="C28" t="s">
        <v>29</v>
      </c>
      <c r="D28" s="50" t="str">
        <f>HYPERLINK("E:\Jobs\0011 "&amp;Table135[[#This Row],[CNEE]]&amp;"\0001 "&amp;VLOOKUP(Table135[[#This Row],[CN]],表5[],2,FALSE)&amp;"\"&amp;TEXT(Table135[[#This Row],[ETD]],IF(Table135[[#This Row],[ETD]]&gt;43830,"YYmmdd","mmdd")),VLOOKUP(Table135[[#This Row],[CN]],表5[],2,FALSE))</f>
        <v>HUABAO</v>
      </c>
      <c r="E28" s="3" t="s">
        <v>7</v>
      </c>
      <c r="F28" s="57">
        <v>4</v>
      </c>
      <c r="G28" s="57"/>
      <c r="H28" s="6" t="s">
        <v>5</v>
      </c>
      <c r="I28" s="6" t="s">
        <v>90</v>
      </c>
      <c r="J28" s="6"/>
      <c r="K28" s="59"/>
      <c r="L28" s="6" t="s">
        <v>87</v>
      </c>
      <c r="M28" s="57">
        <f>Table135[[#This Row],[20'']]+Table135[[#This Row],[40'']]*2</f>
        <v>4</v>
      </c>
      <c r="N28" t="str">
        <f>Table135[[#This Row],[CN]]&amp;" - "&amp;Table135[[#This Row],[CNEE]]</f>
        <v>华宝 - EFFEX</v>
      </c>
    </row>
    <row r="29" spans="1:18" ht="42.75" hidden="1" x14ac:dyDescent="0.2">
      <c r="A29" s="1">
        <v>43740</v>
      </c>
      <c r="B29" t="s">
        <v>12</v>
      </c>
      <c r="C29" t="s">
        <v>31</v>
      </c>
      <c r="D29" s="50" t="str">
        <f>HYPERLINK("E:\Jobs\0011 "&amp;Table135[[#This Row],[CNEE]]&amp;"\0001 "&amp;VLOOKUP(Table135[[#This Row],[CN]],表5[],2,FALSE)&amp;"\"&amp;TEXT(Table135[[#This Row],[ETD]],IF(Table135[[#This Row],[ETD]]&gt;43830,"YYmmdd","mmdd")),VLOOKUP(Table135[[#This Row],[CN]],表5[],2,FALSE))</f>
        <v>HTL</v>
      </c>
      <c r="E29" s="3" t="s">
        <v>209</v>
      </c>
      <c r="F29" s="57"/>
      <c r="G29" s="57">
        <v>3</v>
      </c>
      <c r="H29" s="6" t="s">
        <v>211</v>
      </c>
      <c r="I29" s="6" t="s">
        <v>212</v>
      </c>
      <c r="J29" s="23" t="s">
        <v>214</v>
      </c>
      <c r="K29" s="59"/>
      <c r="L29" s="6" t="s">
        <v>86</v>
      </c>
      <c r="M29" s="57">
        <f>Table135[[#This Row],[20'']]+Table135[[#This Row],[40'']]*2</f>
        <v>6</v>
      </c>
      <c r="N29" t="str">
        <f>Table135[[#This Row],[CN]]&amp;" - "&amp;Table135[[#This Row],[CNEE]]</f>
        <v>华达利 - CASAMIA</v>
      </c>
    </row>
    <row r="30" spans="1:18" hidden="1" x14ac:dyDescent="0.2">
      <c r="A30" s="1">
        <v>43744</v>
      </c>
      <c r="B30" t="s">
        <v>4</v>
      </c>
      <c r="C30" t="s">
        <v>35</v>
      </c>
      <c r="D30" s="50" t="str">
        <f>HYPERLINK("E:\Jobs\0011 "&amp;Table135[[#This Row],[CNEE]]&amp;"\0001 "&amp;VLOOKUP(Table135[[#This Row],[CN]],表5[],2,FALSE)&amp;"\"&amp;TEXT(Table135[[#This Row],[ETD]],IF(Table135[[#This Row],[ETD]]&gt;43830,"YYmmdd","mmdd")),VLOOKUP(Table135[[#This Row],[CN]],表5[],2,FALSE))</f>
        <v>KUKA</v>
      </c>
      <c r="E30" s="3" t="s">
        <v>142</v>
      </c>
      <c r="F30" s="57"/>
      <c r="G30" s="57">
        <v>1</v>
      </c>
      <c r="H30" s="6" t="s">
        <v>225</v>
      </c>
      <c r="I30" s="6" t="s">
        <v>226</v>
      </c>
      <c r="J30" s="6"/>
      <c r="K30" s="59"/>
      <c r="L30" s="6" t="s">
        <v>87</v>
      </c>
      <c r="M30" s="57">
        <f>Table135[[#This Row],[20'']]+Table135[[#This Row],[40'']]*2</f>
        <v>2</v>
      </c>
      <c r="N30" t="str">
        <f>Table135[[#This Row],[CN]]&amp;" - "&amp;Table135[[#This Row],[CNEE]]</f>
        <v>顾家 - HANSSEM</v>
      </c>
    </row>
    <row r="31" spans="1:18" hidden="1" x14ac:dyDescent="0.2">
      <c r="A31" s="1">
        <v>43744</v>
      </c>
      <c r="B31" t="s">
        <v>12</v>
      </c>
      <c r="C31" t="s">
        <v>33</v>
      </c>
      <c r="D31" s="50" t="str">
        <f>HYPERLINK("E:\Jobs\0011 "&amp;Table135[[#This Row],[CNEE]]&amp;"\0001 "&amp;VLOOKUP(Table135[[#This Row],[CN]],表5[],2,FALSE)&amp;"\"&amp;TEXT(Table135[[#This Row],[ETD]],IF(Table135[[#This Row],[ETD]]&gt;43830,"YYmmdd","mmdd")),VLOOKUP(Table135[[#This Row],[CN]],表5[],2,FALSE))</f>
        <v>ZHOUJI</v>
      </c>
      <c r="E31" s="9" t="s">
        <v>397</v>
      </c>
      <c r="F31" s="57"/>
      <c r="G31" s="57">
        <v>1</v>
      </c>
      <c r="H31" s="6" t="s">
        <v>9</v>
      </c>
      <c r="I31" s="6" t="s">
        <v>10</v>
      </c>
      <c r="J31" s="6"/>
      <c r="K31" s="59"/>
      <c r="L31" s="6" t="s">
        <v>87</v>
      </c>
      <c r="M31" s="57">
        <f>Table135[[#This Row],[20'']]+Table135[[#This Row],[40'']]*2</f>
        <v>2</v>
      </c>
      <c r="N31" t="str">
        <f>Table135[[#This Row],[CN]]&amp;" - "&amp;Table135[[#This Row],[CNEE]]</f>
        <v>洲际 - CASAMIA</v>
      </c>
    </row>
    <row r="32" spans="1:18" hidden="1" x14ac:dyDescent="0.2">
      <c r="A32" s="1">
        <v>43744</v>
      </c>
      <c r="B32" s="4" t="s">
        <v>4</v>
      </c>
      <c r="C32" t="s">
        <v>34</v>
      </c>
      <c r="D32" s="50" t="str">
        <f>HYPERLINK("E:\Jobs\0011 "&amp;Table135[[#This Row],[CNEE]]&amp;"\0001 "&amp;VLOOKUP(Table135[[#This Row],[CN]],表5[],2,FALSE)&amp;"\"&amp;TEXT(Table135[[#This Row],[ETD]],IF(Table135[[#This Row],[ETD]]&gt;43830,"YYmmdd","mmdd")),VLOOKUP(Table135[[#This Row],[CN]],表5[],2,FALSE))</f>
        <v>WANSHENG</v>
      </c>
      <c r="E32" s="3" t="s">
        <v>68</v>
      </c>
      <c r="F32" s="57"/>
      <c r="G32" s="57">
        <v>3</v>
      </c>
      <c r="H32" s="6" t="s">
        <v>187</v>
      </c>
      <c r="I32" s="6" t="s">
        <v>92</v>
      </c>
      <c r="J32" s="6"/>
      <c r="K32" s="59"/>
      <c r="L32" s="6" t="s">
        <v>87</v>
      </c>
      <c r="M32" s="57">
        <f>Table135[[#This Row],[20'']]+Table135[[#This Row],[40'']]*2</f>
        <v>6</v>
      </c>
      <c r="N32" s="2" t="str">
        <f>Table135[[#This Row],[CN]]&amp;" - "&amp;Table135[[#This Row],[CNEE]]</f>
        <v>万盛 - HANSSEM</v>
      </c>
    </row>
    <row r="33" spans="1:14" hidden="1" x14ac:dyDescent="0.2">
      <c r="A33" s="1">
        <v>43744</v>
      </c>
      <c r="B33" s="4" t="s">
        <v>4</v>
      </c>
      <c r="C33" t="s">
        <v>34</v>
      </c>
      <c r="D33" s="50" t="str">
        <f>HYPERLINK("E:\Jobs\0011 "&amp;Table135[[#This Row],[CNEE]]&amp;"\0001 "&amp;VLOOKUP(Table135[[#This Row],[CN]],表5[],2,FALSE)&amp;"\"&amp;TEXT(Table135[[#This Row],[ETD]],IF(Table135[[#This Row],[ETD]]&gt;43830,"YYmmdd","mmdd")),VLOOKUP(Table135[[#This Row],[CN]],表5[],2,FALSE))</f>
        <v>WANSHENG</v>
      </c>
      <c r="E33" s="3" t="s">
        <v>69</v>
      </c>
      <c r="F33" s="57"/>
      <c r="G33" s="57">
        <v>1</v>
      </c>
      <c r="H33" s="6" t="s">
        <v>188</v>
      </c>
      <c r="I33" s="6" t="s">
        <v>93</v>
      </c>
      <c r="J33" s="6"/>
      <c r="K33" s="59"/>
      <c r="L33" s="6" t="s">
        <v>87</v>
      </c>
      <c r="M33" s="57">
        <f>Table135[[#This Row],[20'']]+Table135[[#This Row],[40'']]*2</f>
        <v>2</v>
      </c>
      <c r="N33" s="2" t="str">
        <f>Table135[[#This Row],[CN]]&amp;" - "&amp;Table135[[#This Row],[CNEE]]</f>
        <v>万盛 - HANSSEM</v>
      </c>
    </row>
    <row r="34" spans="1:14" hidden="1" x14ac:dyDescent="0.2">
      <c r="A34" s="1">
        <v>43744</v>
      </c>
      <c r="B34" s="4" t="s">
        <v>4</v>
      </c>
      <c r="C34" t="s">
        <v>34</v>
      </c>
      <c r="D34" s="50" t="str">
        <f>HYPERLINK("E:\Jobs\0011 "&amp;Table135[[#This Row],[CNEE]]&amp;"\0001 "&amp;VLOOKUP(Table135[[#This Row],[CN]],表5[],2,FALSE)&amp;"\"&amp;TEXT(Table135[[#This Row],[ETD]],IF(Table135[[#This Row],[ETD]]&gt;43830,"YYmmdd","mmdd")),VLOOKUP(Table135[[#This Row],[CN]],表5[],2,FALSE))</f>
        <v>WANSHENG</v>
      </c>
      <c r="E34" s="3" t="s">
        <v>70</v>
      </c>
      <c r="F34" s="57"/>
      <c r="G34" s="57">
        <v>1</v>
      </c>
      <c r="H34" s="6" t="s">
        <v>189</v>
      </c>
      <c r="I34" s="6" t="s">
        <v>94</v>
      </c>
      <c r="J34" s="6"/>
      <c r="K34" s="59"/>
      <c r="L34" s="6" t="s">
        <v>87</v>
      </c>
      <c r="M34" s="57">
        <f>Table135[[#This Row],[20'']]+Table135[[#This Row],[40'']]*2</f>
        <v>2</v>
      </c>
      <c r="N34" s="2" t="str">
        <f>Table135[[#This Row],[CN]]&amp;" - "&amp;Table135[[#This Row],[CNEE]]</f>
        <v>万盛 - HANSSEM</v>
      </c>
    </row>
    <row r="35" spans="1:14" hidden="1" x14ac:dyDescent="0.2">
      <c r="A35" s="1">
        <v>43744</v>
      </c>
      <c r="B35" s="4" t="s">
        <v>139</v>
      </c>
      <c r="C35" t="s">
        <v>140</v>
      </c>
      <c r="D35" s="50" t="str">
        <f>HYPERLINK("E:\Jobs\0011 "&amp;Table135[[#This Row],[CNEE]]&amp;"\0001 "&amp;VLOOKUP(Table135[[#This Row],[CN]],表5[],2,FALSE)&amp;"\"&amp;TEXT(Table135[[#This Row],[ETD]],IF(Table135[[#This Row],[ETD]]&gt;43830,"YYmmdd","mmdd")),VLOOKUP(Table135[[#This Row],[CN]],表5[],2,FALSE))</f>
        <v>KUKA</v>
      </c>
      <c r="E35" s="3" t="s">
        <v>141</v>
      </c>
      <c r="F35" s="57"/>
      <c r="G35" s="57">
        <v>1</v>
      </c>
      <c r="H35" s="6" t="s">
        <v>227</v>
      </c>
      <c r="I35" s="6" t="s">
        <v>146</v>
      </c>
      <c r="J35" s="6"/>
      <c r="K35" s="59"/>
      <c r="L35" s="6" t="s">
        <v>86</v>
      </c>
      <c r="M35" s="57">
        <f>Table135[[#This Row],[20'']]+Table135[[#This Row],[40'']]*2</f>
        <v>2</v>
      </c>
      <c r="N35" s="2" t="str">
        <f>Table135[[#This Row],[CN]]&amp;" - "&amp;Table135[[#This Row],[CNEE]]</f>
        <v>顾家 - HANSSEM</v>
      </c>
    </row>
    <row r="36" spans="1:14" hidden="1" x14ac:dyDescent="0.2">
      <c r="A36" s="1">
        <v>43744</v>
      </c>
      <c r="B36" s="4" t="s">
        <v>139</v>
      </c>
      <c r="C36" t="s">
        <v>140</v>
      </c>
      <c r="D36" s="50" t="str">
        <f>HYPERLINK("E:\Jobs\0011 "&amp;Table135[[#This Row],[CNEE]]&amp;"\0001 "&amp;VLOOKUP(Table135[[#This Row],[CN]],表5[],2,FALSE)&amp;"\"&amp;TEXT(Table135[[#This Row],[ETD]],IF(Table135[[#This Row],[ETD]]&gt;43830,"YYmmdd","mmdd")),VLOOKUP(Table135[[#This Row],[CN]],表5[],2,FALSE))</f>
        <v>KUKA</v>
      </c>
      <c r="E36" s="3" t="s">
        <v>173</v>
      </c>
      <c r="F36" s="57"/>
      <c r="G36" s="57">
        <v>1</v>
      </c>
      <c r="H36" s="6" t="s">
        <v>228</v>
      </c>
      <c r="I36" s="6" t="s">
        <v>229</v>
      </c>
      <c r="J36" s="6"/>
      <c r="K36" s="59"/>
      <c r="L36" s="6" t="s">
        <v>86</v>
      </c>
      <c r="M36" s="57">
        <f>Table135[[#This Row],[20'']]+Table135[[#This Row],[40'']]*2</f>
        <v>2</v>
      </c>
      <c r="N36" s="2" t="str">
        <f>Table135[[#This Row],[CN]]&amp;" - "&amp;Table135[[#This Row],[CNEE]]</f>
        <v>顾家 - HANSSEM</v>
      </c>
    </row>
    <row r="37" spans="1:14" hidden="1" x14ac:dyDescent="0.2">
      <c r="A37" s="1">
        <v>43744</v>
      </c>
      <c r="B37" s="4" t="s">
        <v>136</v>
      </c>
      <c r="C37" t="s">
        <v>27</v>
      </c>
      <c r="D37" s="50" t="str">
        <f>HYPERLINK("E:\Jobs\0011 "&amp;Table135[[#This Row],[CNEE]]&amp;"\0001 "&amp;VLOOKUP(Table135[[#This Row],[CN]],表5[],2,FALSE)&amp;"\"&amp;TEXT(Table135[[#This Row],[ETD]],IF(Table135[[#This Row],[ETD]]&gt;43830,"YYmmdd","mmdd")),VLOOKUP(Table135[[#This Row],[CN]],表5[],2,FALSE))</f>
        <v>UE</v>
      </c>
      <c r="E37" s="3" t="s">
        <v>201</v>
      </c>
      <c r="F37" s="57"/>
      <c r="G37" s="57">
        <v>6</v>
      </c>
      <c r="H37" s="6" t="s">
        <v>197</v>
      </c>
      <c r="I37" s="6" t="s">
        <v>143</v>
      </c>
      <c r="J37" s="6" t="s">
        <v>280</v>
      </c>
      <c r="K37" s="59"/>
      <c r="L37" s="6" t="s">
        <v>86</v>
      </c>
      <c r="M37" s="57">
        <f>Table135[[#This Row],[20'']]+Table135[[#This Row],[40'']]*2</f>
        <v>12</v>
      </c>
      <c r="N37" s="2" t="str">
        <f>Table135[[#This Row],[CN]]&amp;" - "&amp;Table135[[#This Row],[CNEE]]</f>
        <v>永艺 - SSEM</v>
      </c>
    </row>
    <row r="38" spans="1:14" hidden="1" x14ac:dyDescent="0.2">
      <c r="A38" s="1">
        <v>43747</v>
      </c>
      <c r="B38" t="s">
        <v>4</v>
      </c>
      <c r="C38" t="s">
        <v>30</v>
      </c>
      <c r="D38" s="50" t="str">
        <f>HYPERLINK("E:\Jobs\0011 "&amp;Table135[[#This Row],[CNEE]]&amp;"\0001 "&amp;VLOOKUP(Table135[[#This Row],[CN]],表5[],2,FALSE)&amp;"\"&amp;TEXT(Table135[[#This Row],[ETD]],IF(Table135[[#This Row],[ETD]]&gt;43830,"YYmmdd","mmdd")),VLOOKUP(Table135[[#This Row],[CN]],表5[],2,FALSE))</f>
        <v>CABO</v>
      </c>
      <c r="E38" s="3" t="s">
        <v>245</v>
      </c>
      <c r="F38" s="57"/>
      <c r="G38" s="57">
        <v>2</v>
      </c>
      <c r="H38" s="6" t="s">
        <v>2</v>
      </c>
      <c r="I38" s="6" t="s">
        <v>95</v>
      </c>
      <c r="J38" s="6" t="s">
        <v>298</v>
      </c>
      <c r="K38" s="59"/>
      <c r="L38" s="6" t="s">
        <v>87</v>
      </c>
      <c r="M38" s="57">
        <f>Table135[[#This Row],[20'']]+Table135[[#This Row],[40'']]*2</f>
        <v>4</v>
      </c>
      <c r="N38" t="str">
        <f>Table135[[#This Row],[CN]]&amp;" - "&amp;Table135[[#This Row],[CNEE]]</f>
        <v>卡帛 - HANSSEM</v>
      </c>
    </row>
    <row r="39" spans="1:14" hidden="1" x14ac:dyDescent="0.2">
      <c r="A39" s="1">
        <v>43747</v>
      </c>
      <c r="B39" s="4" t="s">
        <v>4</v>
      </c>
      <c r="C39" t="s">
        <v>35</v>
      </c>
      <c r="D39" s="50" t="str">
        <f>HYPERLINK("E:\Jobs\0011 "&amp;Table135[[#This Row],[CNEE]]&amp;"\0001 "&amp;VLOOKUP(Table135[[#This Row],[CN]],表5[],2,FALSE)&amp;"\"&amp;TEXT(Table135[[#This Row],[ETD]],IF(Table135[[#This Row],[ETD]]&gt;43830,"YYmmdd","mmdd")),VLOOKUP(Table135[[#This Row],[CN]],表5[],2,FALSE))</f>
        <v>KUKA</v>
      </c>
      <c r="E39" s="3" t="s">
        <v>74</v>
      </c>
      <c r="F39" s="57"/>
      <c r="G39" s="57">
        <v>1</v>
      </c>
      <c r="H39" s="6" t="s">
        <v>193</v>
      </c>
      <c r="I39" s="6" t="s">
        <v>96</v>
      </c>
      <c r="J39" s="6"/>
      <c r="K39" s="59"/>
      <c r="L39" s="6" t="s">
        <v>87</v>
      </c>
      <c r="M39" s="57">
        <f>Table135[[#This Row],[20'']]+Table135[[#This Row],[40'']]*2</f>
        <v>2</v>
      </c>
      <c r="N39" s="2" t="str">
        <f>Table135[[#This Row],[CN]]&amp;" - "&amp;Table135[[#This Row],[CNEE]]</f>
        <v>顾家 - HANSSEM</v>
      </c>
    </row>
    <row r="40" spans="1:14" hidden="1" x14ac:dyDescent="0.2">
      <c r="A40" s="1">
        <v>43747</v>
      </c>
      <c r="B40" s="4" t="s">
        <v>4</v>
      </c>
      <c r="C40" t="s">
        <v>34</v>
      </c>
      <c r="D40" s="50" t="str">
        <f>HYPERLINK("E:\Jobs\0011 "&amp;Table135[[#This Row],[CNEE]]&amp;"\0001 "&amp;VLOOKUP(Table135[[#This Row],[CN]],表5[],2,FALSE)&amp;"\"&amp;TEXT(Table135[[#This Row],[ETD]],IF(Table135[[#This Row],[ETD]]&gt;43830,"YYmmdd","mmdd")),VLOOKUP(Table135[[#This Row],[CN]],表5[],2,FALSE))</f>
        <v>WANSHENG</v>
      </c>
      <c r="E40" s="3" t="s">
        <v>71</v>
      </c>
      <c r="F40" s="57"/>
      <c r="G40" s="57">
        <v>1</v>
      </c>
      <c r="H40" s="6" t="s">
        <v>190</v>
      </c>
      <c r="I40" s="6" t="s">
        <v>97</v>
      </c>
      <c r="J40" s="6"/>
      <c r="K40" s="59"/>
      <c r="L40" s="6" t="s">
        <v>87</v>
      </c>
      <c r="M40" s="57">
        <f>Table135[[#This Row],[20'']]+Table135[[#This Row],[40'']]*2</f>
        <v>2</v>
      </c>
      <c r="N40" s="2" t="str">
        <f>Table135[[#This Row],[CN]]&amp;" - "&amp;Table135[[#This Row],[CNEE]]</f>
        <v>万盛 - HANSSEM</v>
      </c>
    </row>
    <row r="41" spans="1:14" hidden="1" x14ac:dyDescent="0.2">
      <c r="A41" s="1">
        <v>43747</v>
      </c>
      <c r="B41" s="4" t="s">
        <v>4</v>
      </c>
      <c r="C41" t="s">
        <v>34</v>
      </c>
      <c r="D41" s="50" t="str">
        <f>HYPERLINK("E:\Jobs\0011 "&amp;Table135[[#This Row],[CNEE]]&amp;"\0001 "&amp;VLOOKUP(Table135[[#This Row],[CN]],表5[],2,FALSE)&amp;"\"&amp;TEXT(Table135[[#This Row],[ETD]],IF(Table135[[#This Row],[ETD]]&gt;43830,"YYmmdd","mmdd")),VLOOKUP(Table135[[#This Row],[CN]],表5[],2,FALSE))</f>
        <v>WANSHENG</v>
      </c>
      <c r="E41" s="3" t="s">
        <v>73</v>
      </c>
      <c r="F41" s="57">
        <v>1</v>
      </c>
      <c r="G41" s="57"/>
      <c r="H41" s="6" t="s">
        <v>192</v>
      </c>
      <c r="I41" s="6" t="s">
        <v>98</v>
      </c>
      <c r="J41" s="6" t="s">
        <v>244</v>
      </c>
      <c r="K41" s="59"/>
      <c r="L41" s="6" t="s">
        <v>86</v>
      </c>
      <c r="M41" s="57">
        <f>Table135[[#This Row],[20'']]+Table135[[#This Row],[40'']]*2</f>
        <v>1</v>
      </c>
      <c r="N41" s="2" t="str">
        <f>Table135[[#This Row],[CN]]&amp;" - "&amp;Table135[[#This Row],[CNEE]]</f>
        <v>万盛 - HANSSEM</v>
      </c>
    </row>
    <row r="42" spans="1:14" hidden="1" x14ac:dyDescent="0.2">
      <c r="A42" s="1">
        <v>43747</v>
      </c>
      <c r="B42" s="4" t="s">
        <v>4</v>
      </c>
      <c r="C42" t="s">
        <v>34</v>
      </c>
      <c r="D42" s="50" t="str">
        <f>HYPERLINK("E:\Jobs\0011 "&amp;Table135[[#This Row],[CNEE]]&amp;"\0001 "&amp;VLOOKUP(Table135[[#This Row],[CN]],表5[],2,FALSE)&amp;"\"&amp;TEXT(Table135[[#This Row],[ETD]],IF(Table135[[#This Row],[ETD]]&gt;43830,"YYmmdd","mmdd")),VLOOKUP(Table135[[#This Row],[CN]],表5[],2,FALSE))</f>
        <v>WANSHENG</v>
      </c>
      <c r="E42" s="3" t="s">
        <v>72</v>
      </c>
      <c r="F42" s="57"/>
      <c r="G42" s="57">
        <v>1</v>
      </c>
      <c r="H42" s="6" t="s">
        <v>191</v>
      </c>
      <c r="I42" s="6" t="s">
        <v>205</v>
      </c>
      <c r="J42" s="6" t="s">
        <v>204</v>
      </c>
      <c r="K42" s="59"/>
      <c r="L42" s="6" t="s">
        <v>87</v>
      </c>
      <c r="M42" s="57">
        <f>Table135[[#This Row],[20'']]+Table135[[#This Row],[40'']]*2</f>
        <v>2</v>
      </c>
      <c r="N42" s="2" t="str">
        <f>Table135[[#This Row],[CN]]&amp;" - "&amp;Table135[[#This Row],[CNEE]]</f>
        <v>万盛 - HANSSEM</v>
      </c>
    </row>
    <row r="43" spans="1:14" ht="28.5" hidden="1" x14ac:dyDescent="0.2">
      <c r="A43" s="1">
        <v>43747</v>
      </c>
      <c r="B43" t="s">
        <v>12</v>
      </c>
      <c r="C43" t="s">
        <v>31</v>
      </c>
      <c r="D43" s="50" t="str">
        <f>HYPERLINK("E:\Jobs\0011 "&amp;Table135[[#This Row],[CNEE]]&amp;"\0001 "&amp;VLOOKUP(Table135[[#This Row],[CN]],表5[],2,FALSE)&amp;"\"&amp;TEXT(Table135[[#This Row],[ETD]],IF(Table135[[#This Row],[ETD]]&gt;43830,"YYmmdd","mmdd")),VLOOKUP(Table135[[#This Row],[CN]],表5[],2,FALSE))</f>
        <v>HTL</v>
      </c>
      <c r="E43" s="3" t="s">
        <v>208</v>
      </c>
      <c r="F43" s="57"/>
      <c r="G43" s="57">
        <v>2</v>
      </c>
      <c r="H43" s="6" t="s">
        <v>238</v>
      </c>
      <c r="I43" s="6" t="s">
        <v>11</v>
      </c>
      <c r="J43" s="6" t="s">
        <v>298</v>
      </c>
      <c r="K43" s="59"/>
      <c r="L43" s="6" t="s">
        <v>86</v>
      </c>
      <c r="M43" s="57">
        <f>Table135[[#This Row],[20'']]+Table135[[#This Row],[40'']]*2</f>
        <v>4</v>
      </c>
      <c r="N43" t="str">
        <f>Table135[[#This Row],[CN]]&amp;" - "&amp;Table135[[#This Row],[CNEE]]</f>
        <v>华达利 - CASAMIA</v>
      </c>
    </row>
    <row r="44" spans="1:14" hidden="1" x14ac:dyDescent="0.2">
      <c r="A44" s="1">
        <v>43747</v>
      </c>
      <c r="B44" s="4" t="s">
        <v>75</v>
      </c>
      <c r="C44" t="s">
        <v>27</v>
      </c>
      <c r="D44" s="50" t="str">
        <f>HYPERLINK("E:\Jobs\0011 "&amp;Table135[[#This Row],[CNEE]]&amp;"\0001 "&amp;VLOOKUP(Table135[[#This Row],[CN]],表5[],2,FALSE)&amp;"\"&amp;TEXT(Table135[[#This Row],[ETD]],IF(Table135[[#This Row],[ETD]]&gt;43830,"YYmmdd","mmdd")),VLOOKUP(Table135[[#This Row],[CN]],表5[],2,FALSE))</f>
        <v>UE</v>
      </c>
      <c r="E44" s="3" t="s">
        <v>202</v>
      </c>
      <c r="F44" s="57"/>
      <c r="G44" s="57">
        <v>1</v>
      </c>
      <c r="H44" s="6" t="s">
        <v>198</v>
      </c>
      <c r="I44" s="6" t="s">
        <v>91</v>
      </c>
      <c r="J44" s="6" t="s">
        <v>200</v>
      </c>
      <c r="K44" s="59"/>
      <c r="L44" s="6" t="s">
        <v>87</v>
      </c>
      <c r="M44" s="57">
        <f>Table135[[#This Row],[20'']]+Table135[[#This Row],[40'']]*2</f>
        <v>2</v>
      </c>
      <c r="N44" s="2" t="str">
        <f>Table135[[#This Row],[CN]]&amp;" - "&amp;Table135[[#This Row],[CNEE]]</f>
        <v>永艺 - SSEM</v>
      </c>
    </row>
    <row r="45" spans="1:14" hidden="1" x14ac:dyDescent="0.2">
      <c r="A45" s="1">
        <v>43751</v>
      </c>
      <c r="B45" s="4" t="s">
        <v>32</v>
      </c>
      <c r="C45" t="s">
        <v>34</v>
      </c>
      <c r="D45" s="50" t="str">
        <f>HYPERLINK("E:\Jobs\0011 "&amp;Table135[[#This Row],[CNEE]]&amp;"\0001 "&amp;VLOOKUP(Table135[[#This Row],[CN]],表5[],2,FALSE)&amp;"\"&amp;TEXT(Table135[[#This Row],[ETD]],IF(Table135[[#This Row],[ETD]]&gt;43830,"YYmmdd","mmdd")),VLOOKUP(Table135[[#This Row],[CN]],表5[],2,FALSE))</f>
        <v>WANSHENG</v>
      </c>
      <c r="E45" s="3" t="s">
        <v>76</v>
      </c>
      <c r="F45" s="57"/>
      <c r="G45" s="57">
        <v>1</v>
      </c>
      <c r="H45" s="6" t="s">
        <v>474</v>
      </c>
      <c r="I45" s="6" t="s">
        <v>99</v>
      </c>
      <c r="J45" s="6" t="s">
        <v>473</v>
      </c>
      <c r="K45" s="59"/>
      <c r="L45" s="6" t="s">
        <v>86</v>
      </c>
      <c r="M45" s="57">
        <f>Table135[[#This Row],[20'']]+Table135[[#This Row],[40'']]*2</f>
        <v>2</v>
      </c>
      <c r="N45" s="2" t="str">
        <f>Table135[[#This Row],[CN]]&amp;" - "&amp;Table135[[#This Row],[CNEE]]</f>
        <v>万盛 - HANSSEM</v>
      </c>
    </row>
    <row r="46" spans="1:14" hidden="1" x14ac:dyDescent="0.2">
      <c r="A46" s="1">
        <v>43751</v>
      </c>
      <c r="B46" s="4" t="s">
        <v>32</v>
      </c>
      <c r="C46" t="s">
        <v>34</v>
      </c>
      <c r="D46" s="50" t="str">
        <f>HYPERLINK("E:\Jobs\0011 "&amp;Table135[[#This Row],[CNEE]]&amp;"\0001 "&amp;VLOOKUP(Table135[[#This Row],[CN]],表5[],2,FALSE)&amp;"\"&amp;TEXT(Table135[[#This Row],[ETD]],IF(Table135[[#This Row],[ETD]]&gt;43830,"YYmmdd","mmdd")),VLOOKUP(Table135[[#This Row],[CN]],表5[],2,FALSE))</f>
        <v>WANSHENG</v>
      </c>
      <c r="E46" s="3" t="s">
        <v>76</v>
      </c>
      <c r="F46" s="57"/>
      <c r="G46" s="57">
        <v>1</v>
      </c>
      <c r="H46" s="6" t="s">
        <v>252</v>
      </c>
      <c r="I46" s="6" t="s">
        <v>250</v>
      </c>
      <c r="J46" s="6" t="s">
        <v>251</v>
      </c>
      <c r="K46" s="59"/>
      <c r="L46" s="6" t="s">
        <v>86</v>
      </c>
      <c r="M46" s="57">
        <f>Table135[[#This Row],[20'']]+Table135[[#This Row],[40'']]*2</f>
        <v>2</v>
      </c>
      <c r="N46" s="2" t="str">
        <f>Table135[[#This Row],[CN]]&amp;" - "&amp;Table135[[#This Row],[CNEE]]</f>
        <v>万盛 - HANSSEM</v>
      </c>
    </row>
    <row r="47" spans="1:14" hidden="1" x14ac:dyDescent="0.2">
      <c r="A47" s="1">
        <v>43751</v>
      </c>
      <c r="B47" s="4" t="s">
        <v>12</v>
      </c>
      <c r="C47" t="s">
        <v>28</v>
      </c>
      <c r="D47" s="50" t="str">
        <f>HYPERLINK("E:\Jobs\0011 "&amp;Table135[[#This Row],[CNEE]]&amp;"\0001 "&amp;VLOOKUP(Table135[[#This Row],[CN]],表5[],2,FALSE)&amp;"\"&amp;TEXT(Table135[[#This Row],[ETD]],IF(Table135[[#This Row],[ETD]]&gt;43830,"YYmmdd","mmdd")),VLOOKUP(Table135[[#This Row],[CN]],表5[],2,FALSE))</f>
        <v>YAJIAJU</v>
      </c>
      <c r="E47" s="3" t="s">
        <v>150</v>
      </c>
      <c r="F47" s="57"/>
      <c r="G47" s="57">
        <v>2</v>
      </c>
      <c r="H47" s="6" t="s">
        <v>472</v>
      </c>
      <c r="I47" s="6" t="s">
        <v>171</v>
      </c>
      <c r="J47" s="6" t="s">
        <v>327</v>
      </c>
      <c r="K47" s="59"/>
      <c r="L47" s="6" t="s">
        <v>86</v>
      </c>
      <c r="M47" s="57">
        <f>Table135[[#This Row],[20'']]+Table135[[#This Row],[40'']]*2</f>
        <v>4</v>
      </c>
      <c r="N47" s="2" t="str">
        <f>Table135[[#This Row],[CN]]&amp;" - "&amp;Table135[[#This Row],[CNEE]]</f>
        <v>雅家居 - CASAMIA</v>
      </c>
    </row>
    <row r="48" spans="1:14" hidden="1" x14ac:dyDescent="0.2">
      <c r="A48" s="1">
        <v>43751</v>
      </c>
      <c r="B48" t="s">
        <v>4</v>
      </c>
      <c r="C48" t="s">
        <v>35</v>
      </c>
      <c r="D48" s="50" t="str">
        <f>HYPERLINK("E:\Jobs\0011 "&amp;Table135[[#This Row],[CNEE]]&amp;"\0001 "&amp;VLOOKUP(Table135[[#This Row],[CN]],表5[],2,FALSE)&amp;"\"&amp;TEXT(Table135[[#This Row],[ETD]],IF(Table135[[#This Row],[ETD]]&gt;43830,"YYmmdd","mmdd")),VLOOKUP(Table135[[#This Row],[CN]],表5[],2,FALSE))</f>
        <v>KUKA</v>
      </c>
      <c r="E48" s="3" t="s">
        <v>213</v>
      </c>
      <c r="F48" s="57"/>
      <c r="G48" s="57">
        <v>2</v>
      </c>
      <c r="H48" s="6" t="s">
        <v>1</v>
      </c>
      <c r="I48" s="6" t="s">
        <v>174</v>
      </c>
      <c r="J48" s="6" t="s">
        <v>297</v>
      </c>
      <c r="K48" s="59"/>
      <c r="L48" s="6" t="s">
        <v>86</v>
      </c>
      <c r="M48" s="57">
        <f>Table135[[#This Row],[20'']]+Table135[[#This Row],[40'']]*2</f>
        <v>4</v>
      </c>
      <c r="N48" t="str">
        <f>Table135[[#This Row],[CN]]&amp;" - "&amp;Table135[[#This Row],[CNEE]]</f>
        <v>顾家 - HANSSEM</v>
      </c>
    </row>
    <row r="49" spans="1:14" ht="28.5" hidden="1" x14ac:dyDescent="0.2">
      <c r="A49" s="1">
        <v>43751</v>
      </c>
      <c r="B49" t="s">
        <v>12</v>
      </c>
      <c r="C49" t="s">
        <v>31</v>
      </c>
      <c r="D49" s="50" t="str">
        <f>HYPERLINK("E:\Jobs\0011 "&amp;Table135[[#This Row],[CNEE]]&amp;"\0001 "&amp;VLOOKUP(Table135[[#This Row],[CN]],表5[],2,FALSE)&amp;"\"&amp;TEXT(Table135[[#This Row],[ETD]],IF(Table135[[#This Row],[ETD]]&gt;43830,"YYmmdd","mmdd")),VLOOKUP(Table135[[#This Row],[CN]],表5[],2,FALSE))</f>
        <v>HTL</v>
      </c>
      <c r="E49" s="3" t="s">
        <v>237</v>
      </c>
      <c r="F49" s="57"/>
      <c r="G49" s="57">
        <v>2</v>
      </c>
      <c r="H49" s="6" t="s">
        <v>210</v>
      </c>
      <c r="I49" s="6" t="s">
        <v>247</v>
      </c>
      <c r="J49" s="6" t="s">
        <v>471</v>
      </c>
      <c r="K49" s="59"/>
      <c r="L49" s="6" t="s">
        <v>86</v>
      </c>
      <c r="M49" s="57">
        <f>Table135[[#This Row],[20'']]+Table135[[#This Row],[40'']]*2</f>
        <v>4</v>
      </c>
      <c r="N49" t="str">
        <f>Table135[[#This Row],[CN]]&amp;" - "&amp;Table135[[#This Row],[CNEE]]</f>
        <v>华达利 - CASAMIA</v>
      </c>
    </row>
    <row r="50" spans="1:14" hidden="1" x14ac:dyDescent="0.2">
      <c r="A50" s="1">
        <v>43751</v>
      </c>
      <c r="B50" s="4" t="s">
        <v>304</v>
      </c>
      <c r="C50" t="s">
        <v>29</v>
      </c>
      <c r="D50" s="50" t="str">
        <f>HYPERLINK("E:\Jobs\0011 "&amp;Table135[[#This Row],[CNEE]]&amp;"\0001 "&amp;VLOOKUP(Table135[[#This Row],[CN]],表5[],2,FALSE)&amp;"\"&amp;TEXT(Table135[[#This Row],[ETD]],IF(Table135[[#This Row],[ETD]]&gt;43830,"YYmmdd","mmdd")),VLOOKUP(Table135[[#This Row],[CN]],表5[],2,FALSE))</f>
        <v>HUABAO</v>
      </c>
      <c r="E50" s="3" t="s">
        <v>7</v>
      </c>
      <c r="F50" s="57">
        <v>3</v>
      </c>
      <c r="G50" s="57"/>
      <c r="H50" s="6" t="s">
        <v>249</v>
      </c>
      <c r="I50" s="6" t="s">
        <v>248</v>
      </c>
      <c r="J50" s="6" t="s">
        <v>246</v>
      </c>
      <c r="K50" s="59"/>
      <c r="L50" s="6" t="s">
        <v>86</v>
      </c>
      <c r="M50" s="57">
        <f>Table135[[#This Row],[20'']]+Table135[[#This Row],[40'']]*2</f>
        <v>3</v>
      </c>
      <c r="N50" s="2" t="str">
        <f>Table135[[#This Row],[CN]]&amp;" - "&amp;Table135[[#This Row],[CNEE]]</f>
        <v>华宝 - EFFEX</v>
      </c>
    </row>
    <row r="51" spans="1:14" ht="57" hidden="1" x14ac:dyDescent="0.2">
      <c r="A51" s="1">
        <v>43751</v>
      </c>
      <c r="B51" s="4" t="s">
        <v>12</v>
      </c>
      <c r="C51" t="s">
        <v>31</v>
      </c>
      <c r="D51" s="50" t="str">
        <f>HYPERLINK("E:\Jobs\0011 "&amp;Table135[[#This Row],[CNEE]]&amp;"\0001 "&amp;VLOOKUP(Table135[[#This Row],[CN]],表5[],2,FALSE)&amp;"\"&amp;TEXT(Table135[[#This Row],[ETD]],IF(Table135[[#This Row],[ETD]]&gt;43830,"YYmmdd","mmdd")),VLOOKUP(Table135[[#This Row],[CN]],表5[],2,FALSE))</f>
        <v>HTL</v>
      </c>
      <c r="E51" s="3" t="s">
        <v>207</v>
      </c>
      <c r="F51" s="57"/>
      <c r="G51" s="57">
        <v>4</v>
      </c>
      <c r="H51" s="6" t="s">
        <v>277</v>
      </c>
      <c r="I51" s="6" t="s">
        <v>279</v>
      </c>
      <c r="J51" s="6" t="s">
        <v>278</v>
      </c>
      <c r="K51" s="59"/>
      <c r="L51" s="6" t="s">
        <v>86</v>
      </c>
      <c r="M51" s="57">
        <f>Table135[[#This Row],[20'']]+Table135[[#This Row],[40'']]*2</f>
        <v>8</v>
      </c>
      <c r="N51" s="2" t="str">
        <f>Table135[[#This Row],[CN]]&amp;" - "&amp;Table135[[#This Row],[CNEE]]</f>
        <v>华达利 - CASAMIA</v>
      </c>
    </row>
    <row r="52" spans="1:14" ht="28.5" hidden="1" x14ac:dyDescent="0.2">
      <c r="A52" s="1">
        <v>43754</v>
      </c>
      <c r="B52" t="s">
        <v>4</v>
      </c>
      <c r="C52" t="s">
        <v>30</v>
      </c>
      <c r="D52" s="50" t="str">
        <f>HYPERLINK("E:\Jobs\0011 "&amp;Table135[[#This Row],[CNEE]]&amp;"\0001 "&amp;VLOOKUP(Table135[[#This Row],[CN]],表5[],2,FALSE)&amp;"\"&amp;TEXT(Table135[[#This Row],[ETD]],IF(Table135[[#This Row],[ETD]]&gt;43830,"YYmmdd","mmdd")),VLOOKUP(Table135[[#This Row],[CN]],表5[],2,FALSE))</f>
        <v>CABO</v>
      </c>
      <c r="E52" s="3" t="s">
        <v>299</v>
      </c>
      <c r="F52" s="57"/>
      <c r="G52" s="57">
        <v>0</v>
      </c>
      <c r="H52" s="6" t="s">
        <v>3</v>
      </c>
      <c r="I52" s="6" t="s">
        <v>100</v>
      </c>
      <c r="J52" s="6" t="s">
        <v>302</v>
      </c>
      <c r="K52" s="59"/>
      <c r="L52" s="6" t="s">
        <v>87</v>
      </c>
      <c r="M52" s="57">
        <f>Table135[[#This Row],[20'']]+Table135[[#This Row],[40'']]*2</f>
        <v>0</v>
      </c>
      <c r="N52" t="str">
        <f>Table135[[#This Row],[CN]]&amp;" - "&amp;Table135[[#This Row],[CNEE]]</f>
        <v>卡帛 - HANSSEM</v>
      </c>
    </row>
    <row r="53" spans="1:14" hidden="1" x14ac:dyDescent="0.2">
      <c r="A53" s="1">
        <v>43754</v>
      </c>
      <c r="B53" t="s">
        <v>4</v>
      </c>
      <c r="C53" t="s">
        <v>34</v>
      </c>
      <c r="D53" s="50" t="str">
        <f>HYPERLINK("E:\Jobs\0011 "&amp;Table135[[#This Row],[CNEE]]&amp;"\0001 "&amp;VLOOKUP(Table135[[#This Row],[CN]],表5[],2,FALSE)&amp;"\"&amp;TEXT(Table135[[#This Row],[ETD]],IF(Table135[[#This Row],[ETD]]&gt;43830,"YYmmdd","mmdd")),VLOOKUP(Table135[[#This Row],[CN]],表5[],2,FALSE))</f>
        <v>WANSHENG</v>
      </c>
      <c r="E53" s="3" t="s">
        <v>77</v>
      </c>
      <c r="F53" s="57"/>
      <c r="G53" s="57">
        <v>0</v>
      </c>
      <c r="H53" s="6" t="s">
        <v>194</v>
      </c>
      <c r="I53" s="6" t="s">
        <v>101</v>
      </c>
      <c r="J53" s="6" t="s">
        <v>301</v>
      </c>
      <c r="K53" s="59"/>
      <c r="L53" s="6" t="s">
        <v>87</v>
      </c>
      <c r="M53" s="57">
        <f>Table135[[#This Row],[20'']]+Table135[[#This Row],[40'']]*2</f>
        <v>0</v>
      </c>
      <c r="N53" s="2" t="str">
        <f>Table135[[#This Row],[CN]]&amp;" - "&amp;Table135[[#This Row],[CNEE]]</f>
        <v>万盛 - HANSSEM</v>
      </c>
    </row>
    <row r="54" spans="1:14" hidden="1" x14ac:dyDescent="0.2">
      <c r="A54" s="1">
        <v>43754</v>
      </c>
      <c r="B54" t="s">
        <v>4</v>
      </c>
      <c r="C54" t="s">
        <v>34</v>
      </c>
      <c r="D54" s="50" t="str">
        <f>HYPERLINK("E:\Jobs\0011 "&amp;Table135[[#This Row],[CNEE]]&amp;"\0001 "&amp;VLOOKUP(Table135[[#This Row],[CN]],表5[],2,FALSE)&amp;"\"&amp;TEXT(Table135[[#This Row],[ETD]],IF(Table135[[#This Row],[ETD]]&gt;43830,"YYmmdd","mmdd")),VLOOKUP(Table135[[#This Row],[CN]],表5[],2,FALSE))</f>
        <v>WANSHENG</v>
      </c>
      <c r="E54" s="3" t="s">
        <v>78</v>
      </c>
      <c r="F54" s="57"/>
      <c r="G54" s="57">
        <v>0</v>
      </c>
      <c r="H54" s="6" t="s">
        <v>195</v>
      </c>
      <c r="I54" s="6" t="s">
        <v>102</v>
      </c>
      <c r="J54" s="6" t="s">
        <v>301</v>
      </c>
      <c r="K54" s="59"/>
      <c r="L54" s="6" t="s">
        <v>87</v>
      </c>
      <c r="M54" s="57">
        <f>Table135[[#This Row],[20'']]+Table135[[#This Row],[40'']]*2</f>
        <v>0</v>
      </c>
      <c r="N54" s="2" t="str">
        <f>Table135[[#This Row],[CN]]&amp;" - "&amp;Table135[[#This Row],[CNEE]]</f>
        <v>万盛 - HANSSEM</v>
      </c>
    </row>
    <row r="55" spans="1:14" ht="57" hidden="1" x14ac:dyDescent="0.2">
      <c r="A55" s="1">
        <v>43754</v>
      </c>
      <c r="B55" s="4" t="s">
        <v>12</v>
      </c>
      <c r="C55" t="s">
        <v>35</v>
      </c>
      <c r="D55" s="50" t="str">
        <f>HYPERLINK("E:\Jobs\0011 "&amp;Table135[[#This Row],[CNEE]]&amp;"\0001 "&amp;VLOOKUP(Table135[[#This Row],[CN]],表5[],2,FALSE)&amp;"\"&amp;TEXT(Table135[[#This Row],[ETD]],IF(Table135[[#This Row],[ETD]]&gt;43830,"YYmmdd","mmdd")),VLOOKUP(Table135[[#This Row],[CN]],表5[],2,FALSE))</f>
        <v>KUKA</v>
      </c>
      <c r="E55" s="3" t="s">
        <v>85</v>
      </c>
      <c r="F55" s="57"/>
      <c r="G55" s="57">
        <v>4</v>
      </c>
      <c r="H55" s="6" t="s">
        <v>184</v>
      </c>
      <c r="I55" s="6" t="s">
        <v>103</v>
      </c>
      <c r="J55" s="6"/>
      <c r="K55" s="59"/>
      <c r="L55" s="6" t="s">
        <v>86</v>
      </c>
      <c r="M55" s="57">
        <f>Table135[[#This Row],[20'']]+Table135[[#This Row],[40'']]*2</f>
        <v>8</v>
      </c>
      <c r="N55" s="2" t="str">
        <f>Table135[[#This Row],[CN]]&amp;" - "&amp;Table135[[#This Row],[CNEE]]</f>
        <v>顾家 - CASAMIA</v>
      </c>
    </row>
    <row r="56" spans="1:14" hidden="1" x14ac:dyDescent="0.2">
      <c r="A56" s="1">
        <v>43754</v>
      </c>
      <c r="B56" s="4" t="s">
        <v>12</v>
      </c>
      <c r="C56" t="s">
        <v>33</v>
      </c>
      <c r="D56" s="50" t="str">
        <f>HYPERLINK("E:\Jobs\0011 "&amp;Table135[[#This Row],[CNEE]]&amp;"\0001 "&amp;VLOOKUP(Table135[[#This Row],[CN]],表5[],2,FALSE)&amp;"\"&amp;TEXT(Table135[[#This Row],[ETD]],IF(Table135[[#This Row],[ETD]]&gt;43830,"YYmmdd","mmdd")),VLOOKUP(Table135[[#This Row],[CN]],表5[],2,FALSE))</f>
        <v>ZHOUJI</v>
      </c>
      <c r="E56" s="3" t="s">
        <v>218</v>
      </c>
      <c r="F56" s="57"/>
      <c r="G56" s="57">
        <v>1</v>
      </c>
      <c r="H56" s="6" t="s">
        <v>223</v>
      </c>
      <c r="I56" s="6" t="s">
        <v>221</v>
      </c>
      <c r="J56" s="6" t="s">
        <v>257</v>
      </c>
      <c r="K56" s="59"/>
      <c r="L56" s="6" t="s">
        <v>86</v>
      </c>
      <c r="M56" s="57">
        <f>Table135[[#This Row],[20'']]+Table135[[#This Row],[40'']]*2</f>
        <v>2</v>
      </c>
      <c r="N56" s="2" t="str">
        <f>Table135[[#This Row],[CN]]&amp;" - "&amp;Table135[[#This Row],[CNEE]]</f>
        <v>洲际 - CASAMIA</v>
      </c>
    </row>
    <row r="57" spans="1:14" hidden="1" x14ac:dyDescent="0.2">
      <c r="A57" s="1">
        <v>43758</v>
      </c>
      <c r="B57" s="4" t="s">
        <v>12</v>
      </c>
      <c r="C57" t="s">
        <v>31</v>
      </c>
      <c r="D57" s="50" t="str">
        <f>HYPERLINK("E:\Jobs\0011 "&amp;Table135[[#This Row],[CNEE]]&amp;"\0001 "&amp;VLOOKUP(Table135[[#This Row],[CN]],表5[],2,FALSE)&amp;"\"&amp;TEXT(Table135[[#This Row],[ETD]],IF(Table135[[#This Row],[ETD]]&gt;43830,"YYmmdd","mmdd")),VLOOKUP(Table135[[#This Row],[CN]],表5[],2,FALSE))</f>
        <v>HTL</v>
      </c>
      <c r="E57" s="3" t="s">
        <v>254</v>
      </c>
      <c r="F57" s="57"/>
      <c r="G57" s="57">
        <v>1</v>
      </c>
      <c r="H57" s="6" t="s">
        <v>186</v>
      </c>
      <c r="I57" s="6" t="s">
        <v>358</v>
      </c>
      <c r="J57" s="6" t="s">
        <v>359</v>
      </c>
      <c r="K57" s="59"/>
      <c r="L57" s="6" t="s">
        <v>86</v>
      </c>
      <c r="M57" s="57">
        <f>Table135[[#This Row],[20'']]+Table135[[#This Row],[40'']]*2</f>
        <v>2</v>
      </c>
      <c r="N57" s="2" t="str">
        <f>Table135[[#This Row],[CN]]&amp;" - "&amp;Table135[[#This Row],[CNEE]]</f>
        <v>华达利 - CASAMIA</v>
      </c>
    </row>
    <row r="58" spans="1:14" hidden="1" x14ac:dyDescent="0.2">
      <c r="A58" s="1">
        <v>43758</v>
      </c>
      <c r="B58" s="4" t="s">
        <v>304</v>
      </c>
      <c r="C58" t="s">
        <v>29</v>
      </c>
      <c r="D58" s="50" t="str">
        <f>HYPERLINK("E:\Jobs\0011 "&amp;Table135[[#This Row],[CNEE]]&amp;"\0001 "&amp;VLOOKUP(Table135[[#This Row],[CN]],表5[],2,FALSE)&amp;"\"&amp;TEXT(Table135[[#This Row],[ETD]],IF(Table135[[#This Row],[ETD]]&gt;43830,"YYmmdd","mmdd")),VLOOKUP(Table135[[#This Row],[CN]],表5[],2,FALSE))</f>
        <v>HUABAO</v>
      </c>
      <c r="E58" s="3" t="s">
        <v>7</v>
      </c>
      <c r="F58" s="57">
        <v>0</v>
      </c>
      <c r="G58" s="57"/>
      <c r="H58" s="6" t="s">
        <v>322</v>
      </c>
      <c r="I58" s="6" t="s">
        <v>451</v>
      </c>
      <c r="J58" s="6" t="s">
        <v>449</v>
      </c>
      <c r="K58" s="59"/>
      <c r="L58" s="6" t="s">
        <v>86</v>
      </c>
      <c r="M58" s="57">
        <f>Table135[[#This Row],[20'']]+Table135[[#This Row],[40'']]*2</f>
        <v>0</v>
      </c>
      <c r="N58" s="2" t="str">
        <f>Table135[[#This Row],[CN]]&amp;" - "&amp;Table135[[#This Row],[CNEE]]</f>
        <v>华宝 - EFFEX</v>
      </c>
    </row>
    <row r="59" spans="1:14" ht="42.75" hidden="1" x14ac:dyDescent="0.2">
      <c r="A59" s="1">
        <v>43758</v>
      </c>
      <c r="B59" s="4" t="s">
        <v>32</v>
      </c>
      <c r="C59" t="s">
        <v>30</v>
      </c>
      <c r="D59" s="50" t="str">
        <f>HYPERLINK("E:\Jobs\0011 "&amp;Table135[[#This Row],[CNEE]]&amp;"\0001 "&amp;VLOOKUP(Table135[[#This Row],[CN]],表5[],2,FALSE)&amp;"\"&amp;TEXT(Table135[[#This Row],[ETD]],IF(Table135[[#This Row],[ETD]]&gt;43830,"YYmmdd","mmdd")),VLOOKUP(Table135[[#This Row],[CN]],表5[],2,FALSE))</f>
        <v>CABO</v>
      </c>
      <c r="E59" s="3" t="s">
        <v>300</v>
      </c>
      <c r="F59" s="57"/>
      <c r="G59" s="57">
        <v>7</v>
      </c>
      <c r="H59" s="6" t="s">
        <v>196</v>
      </c>
      <c r="I59" s="6" t="s">
        <v>303</v>
      </c>
      <c r="J59" s="6" t="s">
        <v>360</v>
      </c>
      <c r="K59" s="59"/>
      <c r="L59" s="6" t="s">
        <v>86</v>
      </c>
      <c r="M59" s="57">
        <f>Table135[[#This Row],[20'']]+Table135[[#This Row],[40'']]*2</f>
        <v>14</v>
      </c>
      <c r="N59" s="2" t="str">
        <f>Table135[[#This Row],[CN]]&amp;" - "&amp;Table135[[#This Row],[CNEE]]</f>
        <v>卡帛 - HANSSEM</v>
      </c>
    </row>
    <row r="60" spans="1:14" hidden="1" x14ac:dyDescent="0.2">
      <c r="A60" s="1">
        <v>43758</v>
      </c>
      <c r="B60" s="4" t="s">
        <v>151</v>
      </c>
      <c r="C60" t="s">
        <v>34</v>
      </c>
      <c r="D60" s="50" t="str">
        <f>HYPERLINK("E:\Jobs\0011 "&amp;Table135[[#This Row],[CNEE]]&amp;"\0001 "&amp;VLOOKUP(Table135[[#This Row],[CN]],表5[],2,FALSE)&amp;"\"&amp;TEXT(Table135[[#This Row],[ETD]],IF(Table135[[#This Row],[ETD]]&gt;43830,"YYmmdd","mmdd")),VLOOKUP(Table135[[#This Row],[CN]],表5[],2,FALSE))</f>
        <v>WANSHENG</v>
      </c>
      <c r="E60" s="3" t="s">
        <v>178</v>
      </c>
      <c r="F60" s="57"/>
      <c r="G60" s="57">
        <v>2</v>
      </c>
      <c r="H60" s="6" t="s">
        <v>335</v>
      </c>
      <c r="I60" s="6" t="s">
        <v>175</v>
      </c>
      <c r="J60" s="6"/>
      <c r="K60" s="59"/>
      <c r="L60" s="6" t="s">
        <v>86</v>
      </c>
      <c r="M60" s="57">
        <f>Table135[[#This Row],[20'']]+Table135[[#This Row],[40'']]*2</f>
        <v>4</v>
      </c>
      <c r="N60" s="2" t="str">
        <f>Table135[[#This Row],[CN]]&amp;" - "&amp;Table135[[#This Row],[CNEE]]</f>
        <v>万盛 - HANSSEM</v>
      </c>
    </row>
    <row r="61" spans="1:14" hidden="1" x14ac:dyDescent="0.2">
      <c r="A61" s="1">
        <v>43758</v>
      </c>
      <c r="B61" s="4" t="s">
        <v>151</v>
      </c>
      <c r="C61" t="s">
        <v>34</v>
      </c>
      <c r="D61" s="50" t="str">
        <f>HYPERLINK("E:\Jobs\0011 "&amp;Table135[[#This Row],[CNEE]]&amp;"\0001 "&amp;VLOOKUP(Table135[[#This Row],[CN]],表5[],2,FALSE)&amp;"\"&amp;TEXT(Table135[[#This Row],[ETD]],IF(Table135[[#This Row],[ETD]]&gt;43830,"YYmmdd","mmdd")),VLOOKUP(Table135[[#This Row],[CN]],表5[],2,FALSE))</f>
        <v>WANSHENG</v>
      </c>
      <c r="E61" s="3" t="s">
        <v>179</v>
      </c>
      <c r="F61" s="57"/>
      <c r="G61" s="57">
        <v>2</v>
      </c>
      <c r="H61" s="6" t="s">
        <v>336</v>
      </c>
      <c r="I61" s="6" t="s">
        <v>176</v>
      </c>
      <c r="J61" s="6"/>
      <c r="K61" s="59"/>
      <c r="L61" s="6" t="s">
        <v>86</v>
      </c>
      <c r="M61" s="57">
        <f>Table135[[#This Row],[20'']]+Table135[[#This Row],[40'']]*2</f>
        <v>4</v>
      </c>
      <c r="N61" s="2" t="str">
        <f>Table135[[#This Row],[CN]]&amp;" - "&amp;Table135[[#This Row],[CNEE]]</f>
        <v>万盛 - HANSSEM</v>
      </c>
    </row>
    <row r="62" spans="1:14" hidden="1" x14ac:dyDescent="0.2">
      <c r="A62" s="1">
        <v>43758</v>
      </c>
      <c r="B62" s="4" t="s">
        <v>151</v>
      </c>
      <c r="C62" t="s">
        <v>34</v>
      </c>
      <c r="D62" s="50" t="str">
        <f>HYPERLINK("E:\Jobs\0011 "&amp;Table135[[#This Row],[CNEE]]&amp;"\0001 "&amp;VLOOKUP(Table135[[#This Row],[CN]],表5[],2,FALSE)&amp;"\"&amp;TEXT(Table135[[#This Row],[ETD]],IF(Table135[[#This Row],[ETD]]&gt;43830,"YYmmdd","mmdd")),VLOOKUP(Table135[[#This Row],[CN]],表5[],2,FALSE))</f>
        <v>WANSHENG</v>
      </c>
      <c r="E62" s="3" t="s">
        <v>180</v>
      </c>
      <c r="F62" s="57"/>
      <c r="G62" s="57">
        <v>0</v>
      </c>
      <c r="H62" s="6" t="s">
        <v>337</v>
      </c>
      <c r="I62" s="6" t="s">
        <v>177</v>
      </c>
      <c r="J62" s="6" t="s">
        <v>437</v>
      </c>
      <c r="K62" s="59"/>
      <c r="L62" s="6" t="s">
        <v>86</v>
      </c>
      <c r="M62" s="57">
        <f>Table135[[#This Row],[20'']]+Table135[[#This Row],[40'']]*2</f>
        <v>0</v>
      </c>
      <c r="N62" s="2" t="str">
        <f>Table135[[#This Row],[CN]]&amp;" - "&amp;Table135[[#This Row],[CNEE]]</f>
        <v>万盛 - HANSSEM</v>
      </c>
    </row>
    <row r="63" spans="1:14" hidden="1" x14ac:dyDescent="0.2">
      <c r="A63" s="1">
        <v>43758</v>
      </c>
      <c r="B63" s="4" t="s">
        <v>32</v>
      </c>
      <c r="C63" t="s">
        <v>34</v>
      </c>
      <c r="D63" s="50" t="str">
        <f>HYPERLINK("E:\Jobs\0011 "&amp;Table135[[#This Row],[CNEE]]&amp;"\0001 "&amp;VLOOKUP(Table135[[#This Row],[CN]],表5[],2,FALSE)&amp;"\"&amp;TEXT(Table135[[#This Row],[ETD]],IF(Table135[[#This Row],[ETD]]&gt;43830,"YYmmdd","mmdd")),VLOOKUP(Table135[[#This Row],[CN]],表5[],2,FALSE))</f>
        <v>WANSHENG</v>
      </c>
      <c r="E63" s="3" t="s">
        <v>77</v>
      </c>
      <c r="F63" s="57"/>
      <c r="G63" s="57">
        <v>2</v>
      </c>
      <c r="H63" s="6" t="s">
        <v>338</v>
      </c>
      <c r="I63" s="6" t="s">
        <v>305</v>
      </c>
      <c r="J63" s="6"/>
      <c r="K63" s="59"/>
      <c r="L63" s="6" t="s">
        <v>314</v>
      </c>
      <c r="M63" s="57">
        <f>Table135[[#This Row],[20'']]+Table135[[#This Row],[40'']]*2</f>
        <v>4</v>
      </c>
      <c r="N63" s="2" t="str">
        <f>Table135[[#This Row],[CN]]&amp;" - "&amp;Table135[[#This Row],[CNEE]]</f>
        <v>万盛 - HANSSEM</v>
      </c>
    </row>
    <row r="64" spans="1:14" hidden="1" x14ac:dyDescent="0.2">
      <c r="A64" s="1">
        <v>43758</v>
      </c>
      <c r="B64" s="4" t="s">
        <v>12</v>
      </c>
      <c r="C64" t="s">
        <v>28</v>
      </c>
      <c r="D64" s="50" t="str">
        <f>HYPERLINK("E:\Jobs\0011 "&amp;Table135[[#This Row],[CNEE]]&amp;"\0001 "&amp;VLOOKUP(Table135[[#This Row],[CN]],表5[],2,FALSE)&amp;"\"&amp;TEXT(Table135[[#This Row],[ETD]],IF(Table135[[#This Row],[ETD]]&gt;43830,"YYmmdd","mmdd")),VLOOKUP(Table135[[#This Row],[CN]],表5[],2,FALSE))</f>
        <v>YAJIAJU</v>
      </c>
      <c r="E64" s="3" t="s">
        <v>315</v>
      </c>
      <c r="F64" s="57"/>
      <c r="G64" s="57">
        <v>2</v>
      </c>
      <c r="H64" s="6" t="s">
        <v>475</v>
      </c>
      <c r="I64" s="6" t="s">
        <v>313</v>
      </c>
      <c r="J64" s="6" t="s">
        <v>326</v>
      </c>
      <c r="K64" s="59"/>
      <c r="L64" s="6" t="s">
        <v>86</v>
      </c>
      <c r="M64" s="57">
        <f>Table135[[#This Row],[20'']]+Table135[[#This Row],[40'']]*2</f>
        <v>4</v>
      </c>
      <c r="N64" s="2" t="str">
        <f>Table135[[#This Row],[CN]]&amp;" - "&amp;Table135[[#This Row],[CNEE]]</f>
        <v>雅家居 - CASAMIA</v>
      </c>
    </row>
    <row r="65" spans="1:14" hidden="1" x14ac:dyDescent="0.2">
      <c r="A65" s="1">
        <v>43758</v>
      </c>
      <c r="B65" s="4" t="s">
        <v>12</v>
      </c>
      <c r="C65" t="s">
        <v>35</v>
      </c>
      <c r="D65" s="50" t="str">
        <f>HYPERLINK("E:\Jobs\0011 "&amp;Table135[[#This Row],[CNEE]]&amp;"\0001 "&amp;VLOOKUP(Table135[[#This Row],[CN]],表5[],2,FALSE)&amp;"\"&amp;TEXT(Table135[[#This Row],[ETD]],IF(Table135[[#This Row],[ETD]]&gt;43830,"YYmmdd","mmdd")),VLOOKUP(Table135[[#This Row],[CN]],表5[],2,FALSE))</f>
        <v>KUKA</v>
      </c>
      <c r="E65" s="3" t="s">
        <v>203</v>
      </c>
      <c r="F65" s="57"/>
      <c r="G65" s="57">
        <v>1</v>
      </c>
      <c r="H65" s="6" t="s">
        <v>185</v>
      </c>
      <c r="I65" s="6" t="s">
        <v>104</v>
      </c>
      <c r="J65" s="6"/>
      <c r="K65" s="59"/>
      <c r="L65" s="6" t="s">
        <v>86</v>
      </c>
      <c r="M65" s="57">
        <f>Table135[[#This Row],[20'']]+Table135[[#This Row],[40'']]*2</f>
        <v>2</v>
      </c>
      <c r="N65" s="2" t="str">
        <f>Table135[[#This Row],[CN]]&amp;" - "&amp;Table135[[#This Row],[CNEE]]</f>
        <v>顾家 - CASAMIA</v>
      </c>
    </row>
    <row r="66" spans="1:14" ht="57" hidden="1" x14ac:dyDescent="0.2">
      <c r="A66" s="1">
        <v>43758</v>
      </c>
      <c r="B66" s="4" t="s">
        <v>12</v>
      </c>
      <c r="C66" t="s">
        <v>31</v>
      </c>
      <c r="D66" s="50" t="str">
        <f>HYPERLINK("E:\Jobs\0011 "&amp;Table135[[#This Row],[CNEE]]&amp;"\0001 "&amp;VLOOKUP(Table135[[#This Row],[CN]],表5[],2,FALSE)&amp;"\"&amp;TEXT(Table135[[#This Row],[ETD]],IF(Table135[[#This Row],[ETD]]&gt;43830,"YYmmdd","mmdd")),VLOOKUP(Table135[[#This Row],[CN]],表5[],2,FALSE))</f>
        <v>HTL</v>
      </c>
      <c r="E66" s="3" t="s">
        <v>88</v>
      </c>
      <c r="F66" s="57"/>
      <c r="G66" s="57">
        <v>4</v>
      </c>
      <c r="H66" s="6" t="s">
        <v>333</v>
      </c>
      <c r="I66" s="6" t="s">
        <v>105</v>
      </c>
      <c r="J66" s="6" t="s">
        <v>334</v>
      </c>
      <c r="K66" s="59"/>
      <c r="L66" s="6" t="s">
        <v>86</v>
      </c>
      <c r="M66" s="57">
        <f>Table135[[#This Row],[20'']]+Table135[[#This Row],[40'']]*2</f>
        <v>8</v>
      </c>
      <c r="N66" s="2" t="str">
        <f>Table135[[#This Row],[CN]]&amp;" - "&amp;Table135[[#This Row],[CNEE]]</f>
        <v>华达利 - CASAMIA</v>
      </c>
    </row>
    <row r="67" spans="1:14" hidden="1" x14ac:dyDescent="0.2">
      <c r="A67" s="1">
        <v>43758</v>
      </c>
      <c r="B67" s="4" t="s">
        <v>12</v>
      </c>
      <c r="C67" t="s">
        <v>33</v>
      </c>
      <c r="D67" s="50" t="str">
        <f>HYPERLINK("E:\Jobs\0011 "&amp;Table135[[#This Row],[CNEE]]&amp;"\0001 "&amp;VLOOKUP(Table135[[#This Row],[CN]],表5[],2,FALSE)&amp;"\"&amp;TEXT(Table135[[#This Row],[ETD]],IF(Table135[[#This Row],[ETD]]&gt;43830,"YYmmdd","mmdd")),VLOOKUP(Table135[[#This Row],[CN]],表5[],2,FALSE))</f>
        <v>ZHOUJI</v>
      </c>
      <c r="E67" s="3" t="s">
        <v>219</v>
      </c>
      <c r="F67" s="57"/>
      <c r="G67" s="57">
        <v>1</v>
      </c>
      <c r="H67" s="6" t="s">
        <v>224</v>
      </c>
      <c r="I67" s="6" t="s">
        <v>222</v>
      </c>
      <c r="J67" s="6" t="s">
        <v>258</v>
      </c>
      <c r="K67" s="59"/>
      <c r="L67" s="6" t="s">
        <v>86</v>
      </c>
      <c r="M67" s="57">
        <f>Table135[[#This Row],[20'']]+Table135[[#This Row],[40'']]*2</f>
        <v>2</v>
      </c>
      <c r="N67" s="2" t="str">
        <f>Table135[[#This Row],[CN]]&amp;" - "&amp;Table135[[#This Row],[CNEE]]</f>
        <v>洲际 - CASAMIA</v>
      </c>
    </row>
    <row r="68" spans="1:14" ht="42.75" hidden="1" x14ac:dyDescent="0.2">
      <c r="A68" s="1">
        <v>43761</v>
      </c>
      <c r="B68" t="s">
        <v>12</v>
      </c>
      <c r="C68" t="s">
        <v>31</v>
      </c>
      <c r="D68" s="50" t="str">
        <f>HYPERLINK("E:\Jobs\0011 "&amp;Table135[[#This Row],[CNEE]]&amp;"\0001 "&amp;VLOOKUP(Table135[[#This Row],[CN]],表5[],2,FALSE)&amp;"\"&amp;TEXT(Table135[[#This Row],[ETD]],IF(Table135[[#This Row],[ETD]]&gt;43830,"YYmmdd","mmdd")),VLOOKUP(Table135[[#This Row],[CN]],表5[],2,FALSE))</f>
        <v>HTL</v>
      </c>
      <c r="E68" s="3" t="s">
        <v>281</v>
      </c>
      <c r="F68" s="57"/>
      <c r="G68" s="57">
        <v>3</v>
      </c>
      <c r="H68" s="6" t="s">
        <v>216</v>
      </c>
      <c r="I68" s="6" t="s">
        <v>215</v>
      </c>
      <c r="J68" s="6" t="s">
        <v>388</v>
      </c>
      <c r="K68" s="59"/>
      <c r="L68" s="6" t="s">
        <v>86</v>
      </c>
      <c r="M68" s="57">
        <f>Table135[[#This Row],[20'']]+Table135[[#This Row],[40'']]*2</f>
        <v>6</v>
      </c>
      <c r="N68" s="2" t="str">
        <f>Table135[[#This Row],[CN]]&amp;" - "&amp;Table135[[#This Row],[CNEE]]</f>
        <v>华达利 - CASAMIA</v>
      </c>
    </row>
    <row r="69" spans="1:14" ht="28.5" hidden="1" x14ac:dyDescent="0.2">
      <c r="A69" s="1">
        <v>43761</v>
      </c>
      <c r="B69" s="4" t="s">
        <v>12</v>
      </c>
      <c r="C69" t="s">
        <v>31</v>
      </c>
      <c r="D69" s="50" t="str">
        <f>HYPERLINK("E:\Jobs\0011 "&amp;Table135[[#This Row],[CNEE]]&amp;"\0001 "&amp;VLOOKUP(Table135[[#This Row],[CN]],表5[],2,FALSE)&amp;"\"&amp;TEXT(Table135[[#This Row],[ETD]],IF(Table135[[#This Row],[ETD]]&gt;43830,"YYmmdd","mmdd")),VLOOKUP(Table135[[#This Row],[CN]],表5[],2,FALSE))</f>
        <v>HTL</v>
      </c>
      <c r="E69" s="3" t="s">
        <v>261</v>
      </c>
      <c r="F69" s="57"/>
      <c r="G69" s="57">
        <v>2</v>
      </c>
      <c r="H69" s="6" t="s">
        <v>271</v>
      </c>
      <c r="I69" s="6" t="s">
        <v>265</v>
      </c>
      <c r="J69" s="6"/>
      <c r="K69" s="59"/>
      <c r="L69" s="6" t="s">
        <v>86</v>
      </c>
      <c r="M69" s="57">
        <f>Table135[[#This Row],[20'']]+Table135[[#This Row],[40'']]*2</f>
        <v>4</v>
      </c>
      <c r="N69" s="2" t="str">
        <f>Table135[[#This Row],[CN]]&amp;" - "&amp;Table135[[#This Row],[CNEE]]</f>
        <v>华达利 - CASAMIA</v>
      </c>
    </row>
    <row r="70" spans="1:14" hidden="1" x14ac:dyDescent="0.2">
      <c r="A70" s="1">
        <v>43761</v>
      </c>
      <c r="B70" s="4" t="s">
        <v>4</v>
      </c>
      <c r="C70" t="s">
        <v>34</v>
      </c>
      <c r="D70" s="50" t="str">
        <f>HYPERLINK("E:\Jobs\0011 "&amp;Table135[[#This Row],[CNEE]]&amp;"\0001 "&amp;VLOOKUP(Table135[[#This Row],[CN]],表5[],2,FALSE)&amp;"\"&amp;TEXT(Table135[[#This Row],[ETD]],IF(Table135[[#This Row],[ETD]]&gt;43830,"YYmmdd","mmdd")),VLOOKUP(Table135[[#This Row],[CN]],表5[],2,FALSE))</f>
        <v>WANSHENG</v>
      </c>
      <c r="E70" s="3" t="s">
        <v>253</v>
      </c>
      <c r="F70" s="57"/>
      <c r="G70" s="57">
        <v>2</v>
      </c>
      <c r="H70" s="6" t="s">
        <v>273</v>
      </c>
      <c r="I70" s="6" t="s">
        <v>266</v>
      </c>
      <c r="J70" s="6"/>
      <c r="K70" s="59"/>
      <c r="L70" s="6" t="s">
        <v>86</v>
      </c>
      <c r="M70" s="57">
        <f>Table135[[#This Row],[20'']]+Table135[[#This Row],[40'']]*2</f>
        <v>4</v>
      </c>
      <c r="N70" s="2" t="str">
        <f>Table135[[#This Row],[CN]]&amp;" - "&amp;Table135[[#This Row],[CNEE]]</f>
        <v>万盛 - HANSSEM</v>
      </c>
    </row>
    <row r="71" spans="1:14" hidden="1" x14ac:dyDescent="0.2">
      <c r="A71" s="1">
        <v>43761</v>
      </c>
      <c r="B71" s="4" t="s">
        <v>304</v>
      </c>
      <c r="C71" t="s">
        <v>29</v>
      </c>
      <c r="D71" s="50" t="str">
        <f>HYPERLINK("E:\Jobs\0011 "&amp;Table135[[#This Row],[CNEE]]&amp;"\0001 "&amp;VLOOKUP(Table135[[#This Row],[CN]],表5[],2,FALSE)&amp;"\"&amp;TEXT(Table135[[#This Row],[ETD]],IF(Table135[[#This Row],[ETD]]&gt;43830,"YYmmdd","mmdd")),VLOOKUP(Table135[[#This Row],[CN]],表5[],2,FALSE))</f>
        <v>HUABAO</v>
      </c>
      <c r="E71" s="3" t="s">
        <v>7</v>
      </c>
      <c r="F71" s="57">
        <v>7</v>
      </c>
      <c r="G71" s="57"/>
      <c r="H71" s="6" t="s">
        <v>309</v>
      </c>
      <c r="I71" s="6" t="s">
        <v>306</v>
      </c>
      <c r="J71" s="6" t="s">
        <v>396</v>
      </c>
      <c r="K71" s="59"/>
      <c r="L71" s="6" t="s">
        <v>86</v>
      </c>
      <c r="M71" s="57">
        <f>Table135[[#This Row],[20'']]+Table135[[#This Row],[40'']]*2</f>
        <v>7</v>
      </c>
      <c r="N71" s="2" t="str">
        <f>Table135[[#This Row],[CN]]&amp;" - "&amp;Table135[[#This Row],[CNEE]]</f>
        <v>华宝 - EFFEX</v>
      </c>
    </row>
    <row r="72" spans="1:14" hidden="1" x14ac:dyDescent="0.2">
      <c r="A72" s="1">
        <v>43761</v>
      </c>
      <c r="B72" s="4" t="s">
        <v>32</v>
      </c>
      <c r="C72" t="s">
        <v>35</v>
      </c>
      <c r="D72" s="50" t="str">
        <f>HYPERLINK("E:\Jobs\0011 "&amp;Table135[[#This Row],[CNEE]]&amp;"\0001 "&amp;VLOOKUP(Table135[[#This Row],[CN]],表5[],2,FALSE)&amp;"\"&amp;TEXT(Table135[[#This Row],[ETD]],IF(Table135[[#This Row],[ETD]]&gt;43830,"YYmmdd","mmdd")),VLOOKUP(Table135[[#This Row],[CN]],表5[],2,FALSE))</f>
        <v>KUKA</v>
      </c>
      <c r="E72" s="3" t="s">
        <v>264</v>
      </c>
      <c r="F72" s="57"/>
      <c r="G72" s="57">
        <v>1</v>
      </c>
      <c r="H72" s="6" t="s">
        <v>319</v>
      </c>
      <c r="I72" s="6" t="s">
        <v>318</v>
      </c>
      <c r="J72" s="6" t="s">
        <v>387</v>
      </c>
      <c r="K72" s="59"/>
      <c r="L72" s="6" t="s">
        <v>86</v>
      </c>
      <c r="M72" s="57">
        <f>Table135[[#This Row],[20'']]+Table135[[#This Row],[40'']]*2</f>
        <v>2</v>
      </c>
      <c r="N72" s="2" t="str">
        <f>Table135[[#This Row],[CN]]&amp;" - "&amp;Table135[[#This Row],[CNEE]]</f>
        <v>顾家 - HANSSEM</v>
      </c>
    </row>
    <row r="73" spans="1:14" hidden="1" x14ac:dyDescent="0.2">
      <c r="A73" s="1">
        <v>43761</v>
      </c>
      <c r="B73" s="4" t="s">
        <v>75</v>
      </c>
      <c r="C73" t="s">
        <v>27</v>
      </c>
      <c r="D73" s="50" t="str">
        <f>HYPERLINK("E:\Jobs\0011 "&amp;Table135[[#This Row],[CNEE]]&amp;"\0001 "&amp;VLOOKUP(Table135[[#This Row],[CN]],表5[],2,FALSE)&amp;"\"&amp;TEXT(Table135[[#This Row],[ETD]],IF(Table135[[#This Row],[ETD]]&gt;43830,"YYmmdd","mmdd")),VLOOKUP(Table135[[#This Row],[CN]],表5[],2,FALSE))</f>
        <v>UE</v>
      </c>
      <c r="E73" s="3" t="s">
        <v>320</v>
      </c>
      <c r="F73" s="57"/>
      <c r="G73" s="57">
        <v>2</v>
      </c>
      <c r="H73" s="6" t="s">
        <v>324</v>
      </c>
      <c r="I73" s="6" t="s">
        <v>329</v>
      </c>
      <c r="J73" s="6"/>
      <c r="K73" s="59"/>
      <c r="L73" s="6" t="s">
        <v>86</v>
      </c>
      <c r="M73" s="57">
        <f>Table135[[#This Row],[20'']]+Table135[[#This Row],[40'']]*2</f>
        <v>4</v>
      </c>
      <c r="N73" s="2" t="str">
        <f>Table135[[#This Row],[CN]]&amp;" - "&amp;Table135[[#This Row],[CNEE]]</f>
        <v>永艺 - SSEM</v>
      </c>
    </row>
    <row r="74" spans="1:14" hidden="1" x14ac:dyDescent="0.2">
      <c r="A74" s="1">
        <v>43765</v>
      </c>
      <c r="B74" s="4" t="s">
        <v>304</v>
      </c>
      <c r="C74" t="s">
        <v>29</v>
      </c>
      <c r="D74" s="50" t="str">
        <f>HYPERLINK("E:\Jobs\0011 "&amp;Table135[[#This Row],[CNEE]]&amp;"\0001 "&amp;VLOOKUP(Table135[[#This Row],[CN]],表5[],2,FALSE)&amp;"\"&amp;TEXT(Table135[[#This Row],[ETD]],IF(Table135[[#This Row],[ETD]]&gt;43830,"YYmmdd","mmdd")),VLOOKUP(Table135[[#This Row],[CN]],表5[],2,FALSE))</f>
        <v>HUABAO</v>
      </c>
      <c r="E74" s="3" t="s">
        <v>7</v>
      </c>
      <c r="F74" s="57">
        <v>3</v>
      </c>
      <c r="G74" s="57"/>
      <c r="H74" s="6" t="s">
        <v>322</v>
      </c>
      <c r="I74" s="6" t="s">
        <v>462</v>
      </c>
      <c r="J74" s="6" t="s">
        <v>450</v>
      </c>
      <c r="K74" s="59"/>
      <c r="L74" s="6" t="s">
        <v>86</v>
      </c>
      <c r="M74" s="57">
        <f>Table135[[#This Row],[20'']]+Table135[[#This Row],[40'']]*2</f>
        <v>3</v>
      </c>
      <c r="N74" s="2" t="str">
        <f>Table135[[#This Row],[CN]]&amp;" - "&amp;Table135[[#This Row],[CNEE]]</f>
        <v>华宝 - EFFEX</v>
      </c>
    </row>
    <row r="75" spans="1:14" ht="28.5" hidden="1" x14ac:dyDescent="0.2">
      <c r="A75" s="1">
        <v>43765</v>
      </c>
      <c r="B75" s="4" t="s">
        <v>12</v>
      </c>
      <c r="C75" t="s">
        <v>31</v>
      </c>
      <c r="D75" s="50" t="str">
        <f>HYPERLINK("E:\Jobs\0011 "&amp;Table135[[#This Row],[CNEE]]&amp;"\0001 "&amp;VLOOKUP(Table135[[#This Row],[CN]],表5[],2,FALSE)&amp;"\"&amp;TEXT(Table135[[#This Row],[ETD]],IF(Table135[[#This Row],[ETD]]&gt;43830,"YYmmdd","mmdd")),VLOOKUP(Table135[[#This Row],[CN]],表5[],2,FALSE))</f>
        <v>HTL</v>
      </c>
      <c r="E75" s="3" t="s">
        <v>260</v>
      </c>
      <c r="F75" s="57"/>
      <c r="G75" s="57">
        <v>2</v>
      </c>
      <c r="H75" s="6" t="s">
        <v>275</v>
      </c>
      <c r="I75" s="6" t="s">
        <v>267</v>
      </c>
      <c r="J75" s="6"/>
      <c r="K75" s="59"/>
      <c r="L75" s="6" t="s">
        <v>86</v>
      </c>
      <c r="M75" s="57">
        <f>Table135[[#This Row],[20'']]+Table135[[#This Row],[40'']]*2</f>
        <v>4</v>
      </c>
      <c r="N75" s="2" t="str">
        <f>Table135[[#This Row],[CN]]&amp;" - "&amp;Table135[[#This Row],[CNEE]]</f>
        <v>华达利 - CASAMIA</v>
      </c>
    </row>
    <row r="76" spans="1:14" hidden="1" x14ac:dyDescent="0.2">
      <c r="A76" s="1">
        <v>43765</v>
      </c>
      <c r="B76" s="4" t="s">
        <v>32</v>
      </c>
      <c r="C76" t="s">
        <v>262</v>
      </c>
      <c r="D76" s="50" t="str">
        <f>HYPERLINK("E:\Jobs\0011 "&amp;Table135[[#This Row],[CNEE]]&amp;"\0001 "&amp;VLOOKUP(Table135[[#This Row],[CN]],表5[],2,FALSE)&amp;"\"&amp;TEXT(Table135[[#This Row],[ETD]],IF(Table135[[#This Row],[ETD]]&gt;43830,"YYmmdd","mmdd")),VLOOKUP(Table135[[#This Row],[CN]],表5[],2,FALSE))</f>
        <v>KUKA</v>
      </c>
      <c r="E76" s="3" t="s">
        <v>293</v>
      </c>
      <c r="F76" s="57"/>
      <c r="G76" s="57">
        <v>2</v>
      </c>
      <c r="H76" s="6" t="s">
        <v>317</v>
      </c>
      <c r="I76" s="6" t="s">
        <v>268</v>
      </c>
      <c r="J76" s="6"/>
      <c r="K76" s="59"/>
      <c r="L76" s="6" t="s">
        <v>86</v>
      </c>
      <c r="M76" s="57">
        <f>Table135[[#This Row],[20'']]+Table135[[#This Row],[40'']]*2</f>
        <v>4</v>
      </c>
      <c r="N76" s="2" t="str">
        <f>Table135[[#This Row],[CN]]&amp;" - "&amp;Table135[[#This Row],[CNEE]]</f>
        <v>顾家 - HANSSEM</v>
      </c>
    </row>
    <row r="77" spans="1:14" hidden="1" x14ac:dyDescent="0.2">
      <c r="A77" s="1">
        <v>43765</v>
      </c>
      <c r="B77" s="4" t="s">
        <v>32</v>
      </c>
      <c r="C77" t="s">
        <v>34</v>
      </c>
      <c r="D77" s="50" t="str">
        <f>HYPERLINK("E:\Jobs\0011 "&amp;Table135[[#This Row],[CNEE]]&amp;"\0001 "&amp;VLOOKUP(Table135[[#This Row],[CN]],表5[],2,FALSE)&amp;"\"&amp;TEXT(Table135[[#This Row],[ETD]],IF(Table135[[#This Row],[ETD]]&gt;43830,"YYmmdd","mmdd")),VLOOKUP(Table135[[#This Row],[CN]],表5[],2,FALSE))</f>
        <v>WANSHENG</v>
      </c>
      <c r="E77" s="3" t="s">
        <v>286</v>
      </c>
      <c r="F77" s="57"/>
      <c r="G77" s="57">
        <v>2</v>
      </c>
      <c r="H77" s="6" t="s">
        <v>310</v>
      </c>
      <c r="I77" s="6" t="s">
        <v>289</v>
      </c>
      <c r="J77" s="6"/>
      <c r="K77" s="59"/>
      <c r="L77" s="6" t="s">
        <v>86</v>
      </c>
      <c r="M77" s="57">
        <f>Table135[[#This Row],[20'']]+Table135[[#This Row],[40'']]*2</f>
        <v>4</v>
      </c>
      <c r="N77" s="2" t="str">
        <f>Table135[[#This Row],[CN]]&amp;" - "&amp;Table135[[#This Row],[CNEE]]</f>
        <v>万盛 - HANSSEM</v>
      </c>
    </row>
    <row r="78" spans="1:14" hidden="1" x14ac:dyDescent="0.2">
      <c r="A78" s="1">
        <v>43765</v>
      </c>
      <c r="B78" s="4" t="s">
        <v>32</v>
      </c>
      <c r="C78" t="s">
        <v>34</v>
      </c>
      <c r="D78" s="50" t="str">
        <f>HYPERLINK("E:\Jobs\0011 "&amp;Table135[[#This Row],[CNEE]]&amp;"\0001 "&amp;VLOOKUP(Table135[[#This Row],[CN]],表5[],2,FALSE)&amp;"\"&amp;TEXT(Table135[[#This Row],[ETD]],IF(Table135[[#This Row],[ETD]]&gt;43830,"YYmmdd","mmdd")),VLOOKUP(Table135[[#This Row],[CN]],表5[],2,FALSE))</f>
        <v>WANSHENG</v>
      </c>
      <c r="E78" s="3" t="s">
        <v>287</v>
      </c>
      <c r="F78" s="57"/>
      <c r="G78" s="57">
        <v>1</v>
      </c>
      <c r="H78" s="6" t="s">
        <v>311</v>
      </c>
      <c r="I78" s="6" t="s">
        <v>290</v>
      </c>
      <c r="J78" s="6"/>
      <c r="K78" s="59"/>
      <c r="L78" s="6" t="s">
        <v>86</v>
      </c>
      <c r="M78" s="57">
        <f>Table135[[#This Row],[20'']]+Table135[[#This Row],[40'']]*2</f>
        <v>2</v>
      </c>
      <c r="N78" s="2" t="str">
        <f>Table135[[#This Row],[CN]]&amp;" - "&amp;Table135[[#This Row],[CNEE]]</f>
        <v>万盛 - HANSSEM</v>
      </c>
    </row>
    <row r="79" spans="1:14" hidden="1" x14ac:dyDescent="0.2">
      <c r="A79" s="1">
        <v>43765</v>
      </c>
      <c r="B79" s="4" t="s">
        <v>75</v>
      </c>
      <c r="C79" t="s">
        <v>27</v>
      </c>
      <c r="D79" s="50" t="str">
        <f>HYPERLINK("E:\Jobs\0011 "&amp;Table135[[#This Row],[CNEE]]&amp;"\0001 "&amp;VLOOKUP(Table135[[#This Row],[CN]],表5[],2,FALSE)&amp;"\"&amp;TEXT(Table135[[#This Row],[ETD]],IF(Table135[[#This Row],[ETD]]&gt;43830,"YYmmdd","mmdd")),VLOOKUP(Table135[[#This Row],[CN]],表5[],2,FALSE))</f>
        <v>UE</v>
      </c>
      <c r="E79" s="3" t="s">
        <v>320</v>
      </c>
      <c r="F79" s="57"/>
      <c r="G79" s="57">
        <v>0</v>
      </c>
      <c r="H79" s="6" t="s">
        <v>337</v>
      </c>
      <c r="I79" s="6" t="s">
        <v>321</v>
      </c>
      <c r="J79" s="6" t="s">
        <v>328</v>
      </c>
      <c r="K79" s="59"/>
      <c r="L79" s="6" t="s">
        <v>86</v>
      </c>
      <c r="M79" s="57">
        <f>Table135[[#This Row],[20'']]+Table135[[#This Row],[40'']]*2</f>
        <v>0</v>
      </c>
      <c r="N79" s="2" t="str">
        <f>Table135[[#This Row],[CN]]&amp;" - "&amp;Table135[[#This Row],[CNEE]]</f>
        <v>永艺 - SSEM</v>
      </c>
    </row>
    <row r="80" spans="1:14" hidden="1" x14ac:dyDescent="0.2">
      <c r="A80" s="1">
        <v>43765</v>
      </c>
      <c r="B80" s="4" t="s">
        <v>304</v>
      </c>
      <c r="C80" t="s">
        <v>29</v>
      </c>
      <c r="D80" s="50" t="str">
        <f>HYPERLINK("E:\Jobs\0011 "&amp;Table135[[#This Row],[CNEE]]&amp;"\0001 "&amp;VLOOKUP(Table135[[#This Row],[CN]],表5[],2,FALSE)&amp;"\"&amp;TEXT(Table135[[#This Row],[ETD]],IF(Table135[[#This Row],[ETD]]&gt;43830,"YYmmdd","mmdd")),VLOOKUP(Table135[[#This Row],[CN]],表5[],2,FALSE))</f>
        <v>HUABAO</v>
      </c>
      <c r="E80" s="3" t="s">
        <v>7</v>
      </c>
      <c r="F80" s="57">
        <v>10</v>
      </c>
      <c r="G80" s="57"/>
      <c r="H80" s="6" t="s">
        <v>368</v>
      </c>
      <c r="I80" s="6" t="s">
        <v>361</v>
      </c>
      <c r="J80" s="6" t="s">
        <v>362</v>
      </c>
      <c r="K80" s="59"/>
      <c r="L80" s="6" t="s">
        <v>86</v>
      </c>
      <c r="M80" s="57">
        <f>Table135[[#This Row],[20'']]+Table135[[#This Row],[40'']]*2</f>
        <v>10</v>
      </c>
      <c r="N80" s="2" t="str">
        <f>Table135[[#This Row],[CN]]&amp;" - "&amp;Table135[[#This Row],[CNEE]]</f>
        <v>华宝 - EFFEX</v>
      </c>
    </row>
    <row r="81" spans="1:14" hidden="1" x14ac:dyDescent="0.2">
      <c r="A81" s="1">
        <v>43765</v>
      </c>
      <c r="B81" s="4" t="s">
        <v>75</v>
      </c>
      <c r="C81" t="s">
        <v>27</v>
      </c>
      <c r="D81" s="50" t="str">
        <f>HYPERLINK("E:\Jobs\0011 "&amp;Table135[[#This Row],[CNEE]]&amp;"\0001 "&amp;VLOOKUP(Table135[[#This Row],[CN]],表5[],2,FALSE)&amp;"\"&amp;TEXT(Table135[[#This Row],[ETD]],IF(Table135[[#This Row],[ETD]]&gt;43830,"YYmmdd","mmdd")),VLOOKUP(Table135[[#This Row],[CN]],表5[],2,FALSE))</f>
        <v>UE</v>
      </c>
      <c r="E81" s="3" t="s">
        <v>398</v>
      </c>
      <c r="F81" s="57"/>
      <c r="G81" s="57">
        <v>4</v>
      </c>
      <c r="H81" s="6" t="s">
        <v>408</v>
      </c>
      <c r="I81" s="6" t="s">
        <v>407</v>
      </c>
      <c r="J81" s="6" t="s">
        <v>452</v>
      </c>
      <c r="K81" s="59"/>
      <c r="L81" s="6" t="s">
        <v>86</v>
      </c>
      <c r="M81" s="57">
        <f>Table135[[#This Row],[20'']]+Table135[[#This Row],[40'']]*2</f>
        <v>8</v>
      </c>
      <c r="N81" s="2" t="str">
        <f>Table135[[#This Row],[CN]]&amp;" - "&amp;Table135[[#This Row],[CNEE]]</f>
        <v>永艺 - SSEM</v>
      </c>
    </row>
    <row r="82" spans="1:14" hidden="1" x14ac:dyDescent="0.2">
      <c r="A82" s="1">
        <v>43765</v>
      </c>
      <c r="B82" s="4" t="s">
        <v>32</v>
      </c>
      <c r="C82" t="s">
        <v>34</v>
      </c>
      <c r="D82" s="50" t="str">
        <f>HYPERLINK("E:\Jobs\0011 "&amp;Table135[[#This Row],[CNEE]]&amp;"\0001 "&amp;VLOOKUP(Table135[[#This Row],[CN]],表5[],2,FALSE)&amp;"\"&amp;TEXT(Table135[[#This Row],[ETD]],IF(Table135[[#This Row],[ETD]]&gt;43830,"YYmmdd","mmdd")),VLOOKUP(Table135[[#This Row],[CN]],表5[],2,FALSE))</f>
        <v>WANSHENG</v>
      </c>
      <c r="E82" s="3" t="s">
        <v>180</v>
      </c>
      <c r="F82" s="57"/>
      <c r="G82" s="57">
        <v>1</v>
      </c>
      <c r="H82" s="6" t="s">
        <v>443</v>
      </c>
      <c r="I82" s="6" t="s">
        <v>439</v>
      </c>
      <c r="J82" s="6" t="s">
        <v>476</v>
      </c>
      <c r="K82" s="59"/>
      <c r="L82" s="6" t="s">
        <v>86</v>
      </c>
      <c r="M82" s="57">
        <f>Table135[[#This Row],[20'']]+Table135[[#This Row],[40'']]*2</f>
        <v>2</v>
      </c>
      <c r="N82" s="2" t="str">
        <f>Table135[[#This Row],[CN]]&amp;" - "&amp;Table135[[#This Row],[CNEE]]</f>
        <v>万盛 - HANSSEM</v>
      </c>
    </row>
    <row r="83" spans="1:14" ht="42.75" hidden="1" x14ac:dyDescent="0.2">
      <c r="A83" s="1">
        <v>43768</v>
      </c>
      <c r="B83" s="4" t="s">
        <v>12</v>
      </c>
      <c r="C83" t="s">
        <v>31</v>
      </c>
      <c r="D83" s="50" t="str">
        <f>HYPERLINK("E:\Jobs\0011 "&amp;Table135[[#This Row],[CNEE]]&amp;"\0001 "&amp;VLOOKUP(Table135[[#This Row],[CN]],表5[],2,FALSE)&amp;"\"&amp;TEXT(Table135[[#This Row],[ETD]],IF(Table135[[#This Row],[ETD]]&gt;43830,"YYmmdd","mmdd")),VLOOKUP(Table135[[#This Row],[CN]],表5[],2,FALSE))</f>
        <v>HTL</v>
      </c>
      <c r="E83" s="3" t="s">
        <v>259</v>
      </c>
      <c r="F83" s="57"/>
      <c r="G83" s="57">
        <v>3</v>
      </c>
      <c r="H83" s="6" t="s">
        <v>276</v>
      </c>
      <c r="I83" s="6" t="s">
        <v>269</v>
      </c>
      <c r="J83" s="6" t="s">
        <v>409</v>
      </c>
      <c r="K83" s="59"/>
      <c r="L83" s="6" t="s">
        <v>86</v>
      </c>
      <c r="M83" s="57">
        <f>Table135[[#This Row],[20'']]+Table135[[#This Row],[40'']]*2</f>
        <v>6</v>
      </c>
      <c r="N83" s="2" t="str">
        <f>Table135[[#This Row],[CN]]&amp;" - "&amp;Table135[[#This Row],[CNEE]]</f>
        <v>华达利 - CASAMIA</v>
      </c>
    </row>
    <row r="84" spans="1:14" hidden="1" x14ac:dyDescent="0.2">
      <c r="A84" s="1">
        <v>43768</v>
      </c>
      <c r="B84" s="4" t="s">
        <v>32</v>
      </c>
      <c r="C84" t="s">
        <v>35</v>
      </c>
      <c r="D84" s="50" t="str">
        <f>HYPERLINK("E:\Jobs\0011 "&amp;Table135[[#This Row],[CNEE]]&amp;"\0001 "&amp;VLOOKUP(Table135[[#This Row],[CN]],表5[],2,FALSE)&amp;"\"&amp;TEXT(Table135[[#This Row],[ETD]],IF(Table135[[#This Row],[ETD]]&gt;43830,"YYmmdd","mmdd")),VLOOKUP(Table135[[#This Row],[CN]],表5[],2,FALSE))</f>
        <v>KUKA</v>
      </c>
      <c r="E84" s="3" t="s">
        <v>294</v>
      </c>
      <c r="F84" s="57"/>
      <c r="G84" s="57">
        <v>1</v>
      </c>
      <c r="H84" s="6" t="s">
        <v>307</v>
      </c>
      <c r="I84" s="6" t="s">
        <v>291</v>
      </c>
      <c r="J84" s="6"/>
      <c r="K84" s="59"/>
      <c r="L84" s="6" t="s">
        <v>86</v>
      </c>
      <c r="M84" s="57">
        <f>Table135[[#This Row],[20'']]+Table135[[#This Row],[40'']]*2</f>
        <v>2</v>
      </c>
      <c r="N84" s="2" t="str">
        <f>Table135[[#This Row],[CN]]&amp;" - "&amp;Table135[[#This Row],[CNEE]]</f>
        <v>顾家 - HANSSEM</v>
      </c>
    </row>
    <row r="85" spans="1:14" hidden="1" x14ac:dyDescent="0.2">
      <c r="A85" s="1">
        <v>43768</v>
      </c>
      <c r="B85" s="4" t="s">
        <v>32</v>
      </c>
      <c r="C85" t="s">
        <v>34</v>
      </c>
      <c r="D85" s="50" t="str">
        <f>HYPERLINK("E:\Jobs\0011 "&amp;Table135[[#This Row],[CNEE]]&amp;"\0001 "&amp;VLOOKUP(Table135[[#This Row],[CN]],表5[],2,FALSE)&amp;"\"&amp;TEXT(Table135[[#This Row],[ETD]],IF(Table135[[#This Row],[ETD]]&gt;43830,"YYmmdd","mmdd")),VLOOKUP(Table135[[#This Row],[CN]],表5[],2,FALSE))</f>
        <v>WANSHENG</v>
      </c>
      <c r="E85" s="3" t="s">
        <v>285</v>
      </c>
      <c r="F85" s="57"/>
      <c r="G85" s="57">
        <v>1</v>
      </c>
      <c r="H85" s="6" t="s">
        <v>312</v>
      </c>
      <c r="I85" s="6" t="s">
        <v>292</v>
      </c>
      <c r="J85" s="6"/>
      <c r="K85" s="59"/>
      <c r="L85" s="6" t="s">
        <v>86</v>
      </c>
      <c r="M85" s="57">
        <f>Table135[[#This Row],[20'']]+Table135[[#This Row],[40'']]*2</f>
        <v>2</v>
      </c>
      <c r="N85" s="2" t="str">
        <f>Table135[[#This Row],[CN]]&amp;" - "&amp;Table135[[#This Row],[CNEE]]</f>
        <v>万盛 - HANSSEM</v>
      </c>
    </row>
    <row r="86" spans="1:14" hidden="1" x14ac:dyDescent="0.2">
      <c r="A86" s="1">
        <v>43768</v>
      </c>
      <c r="B86" s="4" t="s">
        <v>12</v>
      </c>
      <c r="C86" t="s">
        <v>33</v>
      </c>
      <c r="D86" s="50" t="str">
        <f>HYPERLINK("E:\Jobs\0011 "&amp;Table135[[#This Row],[CNEE]]&amp;"\0001 "&amp;VLOOKUP(Table135[[#This Row],[CN]],表5[],2,FALSE)&amp;"\"&amp;TEXT(Table135[[#This Row],[ETD]],IF(Table135[[#This Row],[ETD]]&gt;43830,"YYmmdd","mmdd")),VLOOKUP(Table135[[#This Row],[CN]],表5[],2,FALSE))</f>
        <v>ZHOUJI</v>
      </c>
      <c r="E86" s="28" t="s">
        <v>357</v>
      </c>
      <c r="F86" s="57"/>
      <c r="G86" s="57">
        <v>1</v>
      </c>
      <c r="H86" s="6" t="s">
        <v>356</v>
      </c>
      <c r="I86" s="6" t="s">
        <v>355</v>
      </c>
      <c r="J86" s="6"/>
      <c r="K86" s="59"/>
      <c r="L86" s="6" t="s">
        <v>86</v>
      </c>
      <c r="M86" s="57">
        <f>Table135[[#This Row],[20'']]+Table135[[#This Row],[40'']]*2</f>
        <v>2</v>
      </c>
      <c r="N86" s="2" t="str">
        <f>Table135[[#This Row],[CN]]&amp;" - "&amp;Table135[[#This Row],[CNEE]]</f>
        <v>洲际 - CASAMIA</v>
      </c>
    </row>
    <row r="87" spans="1:14" hidden="1" x14ac:dyDescent="0.2">
      <c r="A87" s="1">
        <v>43768</v>
      </c>
      <c r="B87" s="4" t="s">
        <v>12</v>
      </c>
      <c r="C87" t="s">
        <v>28</v>
      </c>
      <c r="D87" s="50" t="str">
        <f>HYPERLINK("E:\Jobs\0011 "&amp;Table135[[#This Row],[CNEE]]&amp;"\0001 "&amp;VLOOKUP(Table135[[#This Row],[CN]],表5[],2,FALSE)&amp;"\"&amp;TEXT(Table135[[#This Row],[ETD]],IF(Table135[[#This Row],[ETD]]&gt;43830,"YYmmdd","mmdd")),VLOOKUP(Table135[[#This Row],[CN]],表5[],2,FALSE))</f>
        <v>YAJIAJU</v>
      </c>
      <c r="E87" s="3" t="s">
        <v>367</v>
      </c>
      <c r="F87" s="57"/>
      <c r="G87" s="57">
        <v>2</v>
      </c>
      <c r="H87" s="6" t="s">
        <v>366</v>
      </c>
      <c r="I87" s="6" t="s">
        <v>363</v>
      </c>
      <c r="J87" s="6"/>
      <c r="K87" s="59"/>
      <c r="L87" s="6" t="s">
        <v>86</v>
      </c>
      <c r="M87" s="57">
        <f>Table135[[#This Row],[20'']]+Table135[[#This Row],[40'']]*2</f>
        <v>4</v>
      </c>
      <c r="N87" s="2" t="str">
        <f>Table135[[#This Row],[CN]]&amp;" - "&amp;Table135[[#This Row],[CNEE]]</f>
        <v>雅家居 - CASAMIA</v>
      </c>
    </row>
    <row r="88" spans="1:14" hidden="1" x14ac:dyDescent="0.2">
      <c r="A88" s="1">
        <v>43768</v>
      </c>
      <c r="B88" s="4" t="s">
        <v>304</v>
      </c>
      <c r="C88" t="s">
        <v>29</v>
      </c>
      <c r="D88" s="50" t="str">
        <f>HYPERLINK("E:\Jobs\0011 "&amp;Table135[[#This Row],[CNEE]]&amp;"\0001 "&amp;VLOOKUP(Table135[[#This Row],[CN]],表5[],2,FALSE)&amp;"\"&amp;TEXT(Table135[[#This Row],[ETD]],IF(Table135[[#This Row],[ETD]]&gt;43830,"YYmmdd","mmdd")),VLOOKUP(Table135[[#This Row],[CN]],表5[],2,FALSE))</f>
        <v>HUABAO</v>
      </c>
      <c r="E88" s="3" t="s">
        <v>7</v>
      </c>
      <c r="F88" s="57">
        <v>8</v>
      </c>
      <c r="G88" s="57"/>
      <c r="H88" s="6" t="s">
        <v>369</v>
      </c>
      <c r="I88" s="6" t="s">
        <v>364</v>
      </c>
      <c r="J88" s="6" t="s">
        <v>365</v>
      </c>
      <c r="K88" s="59"/>
      <c r="L88" s="6" t="s">
        <v>86</v>
      </c>
      <c r="M88" s="57">
        <f>Table135[[#This Row],[20'']]+Table135[[#This Row],[40'']]*2</f>
        <v>8</v>
      </c>
      <c r="N88" s="2" t="str">
        <f>Table135[[#This Row],[CN]]&amp;" - "&amp;Table135[[#This Row],[CNEE]]</f>
        <v>华宝 - EFFEX</v>
      </c>
    </row>
    <row r="89" spans="1:14" ht="28.5" hidden="1" x14ac:dyDescent="0.2">
      <c r="A89" s="1">
        <v>43772</v>
      </c>
      <c r="B89" s="4" t="s">
        <v>12</v>
      </c>
      <c r="C89" t="s">
        <v>331</v>
      </c>
      <c r="D89" s="50" t="str">
        <f>HYPERLINK("E:\Jobs\0011 "&amp;Table135[[#This Row],[CNEE]]&amp;"\0001 "&amp;VLOOKUP(Table135[[#This Row],[CN]],表5[],2,FALSE)&amp;"\"&amp;TEXT(Table135[[#This Row],[ETD]],IF(Table135[[#This Row],[ETD]]&gt;43830,"YYmmdd","mmdd")),VLOOKUP(Table135[[#This Row],[CN]],表5[],2,FALSE))</f>
        <v>HTL</v>
      </c>
      <c r="E89" s="3" t="s">
        <v>332</v>
      </c>
      <c r="F89" s="57"/>
      <c r="G89" s="57">
        <v>2</v>
      </c>
      <c r="H89" s="6" t="s">
        <v>426</v>
      </c>
      <c r="I89" s="6" t="s">
        <v>420</v>
      </c>
      <c r="J89" s="38" t="s">
        <v>492</v>
      </c>
      <c r="K89" s="59"/>
      <c r="L89" s="6" t="s">
        <v>86</v>
      </c>
      <c r="M89" s="57">
        <f>Table135[[#This Row],[20'']]+Table135[[#This Row],[40'']]*2</f>
        <v>4</v>
      </c>
      <c r="N89" s="2" t="str">
        <f>Table135[[#This Row],[CN]]&amp;" - "&amp;Table135[[#This Row],[CNEE]]</f>
        <v>华达利 - CASAMIA</v>
      </c>
    </row>
    <row r="90" spans="1:14" hidden="1" x14ac:dyDescent="0.2">
      <c r="A90" s="1">
        <v>43772</v>
      </c>
      <c r="B90" s="4" t="s">
        <v>32</v>
      </c>
      <c r="C90" t="s">
        <v>262</v>
      </c>
      <c r="D90" s="50" t="str">
        <f>HYPERLINK("E:\Jobs\0011 "&amp;Table135[[#This Row],[CNEE]]&amp;"\0001 "&amp;VLOOKUP(Table135[[#This Row],[CN]],表5[],2,FALSE)&amp;"\"&amp;TEXT(Table135[[#This Row],[ETD]],IF(Table135[[#This Row],[ETD]]&gt;43830,"YYmmdd","mmdd")),VLOOKUP(Table135[[#This Row],[CN]],表5[],2,FALSE))</f>
        <v>KUKA</v>
      </c>
      <c r="E90" s="3" t="s">
        <v>263</v>
      </c>
      <c r="F90" s="57"/>
      <c r="G90" s="57">
        <v>2</v>
      </c>
      <c r="H90" s="6" t="s">
        <v>308</v>
      </c>
      <c r="I90" s="6" t="s">
        <v>421</v>
      </c>
      <c r="J90" s="38" t="s">
        <v>480</v>
      </c>
      <c r="K90" s="59"/>
      <c r="L90" s="6" t="s">
        <v>86</v>
      </c>
      <c r="M90" s="57">
        <f>Table135[[#This Row],[20'']]+Table135[[#This Row],[40'']]*2</f>
        <v>4</v>
      </c>
      <c r="N90" s="2" t="str">
        <f>Table135[[#This Row],[CN]]&amp;" - "&amp;Table135[[#This Row],[CNEE]]</f>
        <v>顾家 - HANSSEM</v>
      </c>
    </row>
    <row r="91" spans="1:14" hidden="1" x14ac:dyDescent="0.2">
      <c r="A91" s="1">
        <v>43772</v>
      </c>
      <c r="B91" s="4" t="s">
        <v>75</v>
      </c>
      <c r="C91" t="s">
        <v>503</v>
      </c>
      <c r="D91" s="50" t="str">
        <f>HYPERLINK("E:\Jobs\0011 "&amp;Table135[[#This Row],[CNEE]]&amp;"\0001 "&amp;VLOOKUP(Table135[[#This Row],[CN]],表5[],2,FALSE)&amp;"\"&amp;TEXT(Table135[[#This Row],[ETD]],IF(Table135[[#This Row],[ETD]]&gt;43830,"YYmmdd","mmdd")),VLOOKUP(Table135[[#This Row],[CN]],表5[],2,FALSE))</f>
        <v>FUHE</v>
      </c>
      <c r="E91" s="3" t="s">
        <v>467</v>
      </c>
      <c r="F91" s="57"/>
      <c r="G91" s="57">
        <v>1</v>
      </c>
      <c r="H91" s="6" t="s">
        <v>468</v>
      </c>
      <c r="I91" s="6" t="s">
        <v>458</v>
      </c>
      <c r="J91" s="6"/>
      <c r="K91" s="59"/>
      <c r="L91" s="6" t="s">
        <v>86</v>
      </c>
      <c r="M91" s="57">
        <f>Table135[[#This Row],[20'']]+Table135[[#This Row],[40'']]*2</f>
        <v>2</v>
      </c>
      <c r="N91" s="2" t="str">
        <f>Table135[[#This Row],[CN]]&amp;" - "&amp;Table135[[#This Row],[CNEE]]</f>
        <v>富和 - SSEM</v>
      </c>
    </row>
    <row r="92" spans="1:14" hidden="1" x14ac:dyDescent="0.2">
      <c r="A92" s="1">
        <v>43772</v>
      </c>
      <c r="B92" s="4" t="s">
        <v>455</v>
      </c>
      <c r="C92" t="s">
        <v>34</v>
      </c>
      <c r="D92" s="50" t="str">
        <f>HYPERLINK("E:\Jobs\0011 "&amp;Table135[[#This Row],[CNEE]]&amp;"\0001 "&amp;VLOOKUP(Table135[[#This Row],[CN]],表5[],2,FALSE)&amp;"\"&amp;TEXT(Table135[[#This Row],[ETD]],IF(Table135[[#This Row],[ETD]]&gt;43830,"YYmmdd","mmdd")),VLOOKUP(Table135[[#This Row],[CN]],表5[],2,FALSE))</f>
        <v>WANSHENG</v>
      </c>
      <c r="E92" s="3" t="s">
        <v>465</v>
      </c>
      <c r="F92" s="57"/>
      <c r="G92" s="57">
        <v>1</v>
      </c>
      <c r="H92" s="6" t="s">
        <v>479</v>
      </c>
      <c r="I92" s="6" t="s">
        <v>459</v>
      </c>
      <c r="J92" s="6"/>
      <c r="K92" s="59"/>
      <c r="L92" s="6" t="s">
        <v>86</v>
      </c>
      <c r="M92" s="57">
        <f>Table135[[#This Row],[20'']]+Table135[[#This Row],[40'']]*2</f>
        <v>2</v>
      </c>
      <c r="N92" s="2" t="str">
        <f>Table135[[#This Row],[CN]]&amp;" - "&amp;Table135[[#This Row],[CNEE]]</f>
        <v>万盛 - HANSSEM</v>
      </c>
    </row>
    <row r="93" spans="1:14" hidden="1" x14ac:dyDescent="0.2">
      <c r="A93" s="1">
        <v>43775</v>
      </c>
      <c r="B93" s="4" t="s">
        <v>32</v>
      </c>
      <c r="C93" t="s">
        <v>34</v>
      </c>
      <c r="D93" s="50" t="str">
        <f>HYPERLINK("E:\Jobs\0011 "&amp;Table135[[#This Row],[CNEE]]&amp;"\0001 "&amp;VLOOKUP(Table135[[#This Row],[CN]],表5[],2,FALSE)&amp;"\"&amp;TEXT(Table135[[#This Row],[ETD]],IF(Table135[[#This Row],[ETD]]&gt;43830,"YYmmdd","mmdd")),VLOOKUP(Table135[[#This Row],[CN]],表5[],2,FALSE))</f>
        <v>WANSHENG</v>
      </c>
      <c r="E93" s="3" t="s">
        <v>481</v>
      </c>
      <c r="F93" s="57"/>
      <c r="G93" s="57">
        <v>2</v>
      </c>
      <c r="H93" s="6" t="s">
        <v>484</v>
      </c>
      <c r="I93" s="6" t="s">
        <v>482</v>
      </c>
      <c r="J93" s="6"/>
      <c r="K93" s="59"/>
      <c r="L93" s="6" t="s">
        <v>86</v>
      </c>
      <c r="M93" s="57">
        <f>Table135[[#This Row],[20'']]+Table135[[#This Row],[40'']]*2</f>
        <v>4</v>
      </c>
      <c r="N93" s="2" t="str">
        <f>Table135[[#This Row],[CN]]&amp;" - "&amp;Table135[[#This Row],[CNEE]]</f>
        <v>万盛 - HANSSEM</v>
      </c>
    </row>
    <row r="94" spans="1:14" hidden="1" x14ac:dyDescent="0.2">
      <c r="A94" s="1">
        <v>43775</v>
      </c>
      <c r="B94" s="4" t="s">
        <v>75</v>
      </c>
      <c r="C94" t="s">
        <v>27</v>
      </c>
      <c r="D94" s="50" t="str">
        <f>HYPERLINK("E:\Jobs\0011 "&amp;Table135[[#This Row],[CNEE]]&amp;"\0001 "&amp;VLOOKUP(Table135[[#This Row],[CN]],表5[],2,FALSE)&amp;"\"&amp;TEXT(Table135[[#This Row],[ETD]],IF(Table135[[#This Row],[ETD]]&gt;43830,"YYmmdd","mmdd")),VLOOKUP(Table135[[#This Row],[CN]],表5[],2,FALSE))</f>
        <v>UE</v>
      </c>
      <c r="E94" s="3" t="s">
        <v>410</v>
      </c>
      <c r="F94" s="57">
        <v>1</v>
      </c>
      <c r="G94" s="57"/>
      <c r="H94" s="6" t="s">
        <v>430</v>
      </c>
      <c r="I94" s="6" t="s">
        <v>422</v>
      </c>
      <c r="J94" s="6" t="s">
        <v>495</v>
      </c>
      <c r="K94" s="59"/>
      <c r="L94" s="6" t="s">
        <v>86</v>
      </c>
      <c r="M94" s="57">
        <f>Table135[[#This Row],[20'']]+Table135[[#This Row],[40'']]*2</f>
        <v>1</v>
      </c>
      <c r="N94" s="2" t="str">
        <f>Table135[[#This Row],[CN]]&amp;" - "&amp;Table135[[#This Row],[CNEE]]</f>
        <v>永艺 - SSEM</v>
      </c>
    </row>
    <row r="95" spans="1:14" hidden="1" x14ac:dyDescent="0.2">
      <c r="A95" s="1">
        <v>43775</v>
      </c>
      <c r="B95" s="4" t="s">
        <v>32</v>
      </c>
      <c r="C95" t="s">
        <v>35</v>
      </c>
      <c r="D95" s="50" t="str">
        <f>HYPERLINK("E:\Jobs\0011 "&amp;Table135[[#This Row],[CNEE]]&amp;"\0001 "&amp;VLOOKUP(Table135[[#This Row],[CN]],表5[],2,FALSE)&amp;"\"&amp;TEXT(Table135[[#This Row],[ETD]],IF(Table135[[#This Row],[ETD]]&gt;43830,"YYmmdd","mmdd")),VLOOKUP(Table135[[#This Row],[CN]],表5[],2,FALSE))</f>
        <v>KUKA</v>
      </c>
      <c r="E95" s="3" t="s">
        <v>442</v>
      </c>
      <c r="F95" s="57"/>
      <c r="G95" s="57">
        <v>1</v>
      </c>
      <c r="H95" s="6" t="s">
        <v>447</v>
      </c>
      <c r="I95" s="6" t="s">
        <v>444</v>
      </c>
      <c r="J95" s="6" t="s">
        <v>445</v>
      </c>
      <c r="K95" s="59"/>
      <c r="L95" s="6" t="s">
        <v>86</v>
      </c>
      <c r="M95" s="57">
        <f>Table135[[#This Row],[20'']]+Table135[[#This Row],[40'']]*2</f>
        <v>2</v>
      </c>
      <c r="N95" s="2" t="str">
        <f>Table135[[#This Row],[CN]]&amp;" - "&amp;Table135[[#This Row],[CNEE]]</f>
        <v>顾家 - HANSSEM</v>
      </c>
    </row>
    <row r="96" spans="1:14" hidden="1" x14ac:dyDescent="0.2">
      <c r="A96" s="1">
        <v>43779</v>
      </c>
      <c r="B96" s="4" t="s">
        <v>478</v>
      </c>
      <c r="C96" t="s">
        <v>28</v>
      </c>
      <c r="D96" s="50" t="str">
        <f>HYPERLINK("E:\Jobs\0011 "&amp;Table135[[#This Row],[CNEE]]&amp;"\0001 "&amp;VLOOKUP(Table135[[#This Row],[CN]],表5[],2,FALSE)&amp;"\"&amp;TEXT(Table135[[#This Row],[ETD]],IF(Table135[[#This Row],[ETD]]&gt;43830,"YYmmdd","mmdd")),VLOOKUP(Table135[[#This Row],[CN]],表5[],2,FALSE))</f>
        <v>YAJIAJU</v>
      </c>
      <c r="E96" s="3" t="s">
        <v>486</v>
      </c>
      <c r="F96" s="57"/>
      <c r="G96" s="57">
        <v>2</v>
      </c>
      <c r="H96" s="6" t="s">
        <v>485</v>
      </c>
      <c r="I96" s="6" t="s">
        <v>483</v>
      </c>
      <c r="J96" s="6"/>
      <c r="K96" s="59"/>
      <c r="L96" s="6" t="s">
        <v>86</v>
      </c>
      <c r="M96" s="57">
        <f>Table135[[#This Row],[20'']]+Table135[[#This Row],[40'']]*2</f>
        <v>4</v>
      </c>
      <c r="N96" s="2" t="str">
        <f>Table135[[#This Row],[CN]]&amp;" - "&amp;Table135[[#This Row],[CNEE]]</f>
        <v>雅家居 - CASAMIA</v>
      </c>
    </row>
    <row r="97" spans="1:14" hidden="1" x14ac:dyDescent="0.2">
      <c r="A97" s="1">
        <v>43779</v>
      </c>
      <c r="B97" s="4" t="s">
        <v>401</v>
      </c>
      <c r="C97" t="s">
        <v>402</v>
      </c>
      <c r="D97" s="50" t="str">
        <f>HYPERLINK("E:\Jobs\0011 "&amp;Table135[[#This Row],[CNEE]]&amp;"\0001 "&amp;VLOOKUP(Table135[[#This Row],[CN]],表5[],2,FALSE)&amp;"\"&amp;TEXT(Table135[[#This Row],[ETD]],IF(Table135[[#This Row],[ETD]]&gt;43830,"YYmmdd","mmdd")),VLOOKUP(Table135[[#This Row],[CN]],表5[],2,FALSE))</f>
        <v>CABO</v>
      </c>
      <c r="E97" s="3" t="s">
        <v>400</v>
      </c>
      <c r="F97" s="57"/>
      <c r="G97" s="57">
        <v>1</v>
      </c>
      <c r="H97" s="6" t="s">
        <v>427</v>
      </c>
      <c r="I97" s="6" t="s">
        <v>423</v>
      </c>
      <c r="J97" s="6"/>
      <c r="K97" s="59"/>
      <c r="L97" s="6" t="s">
        <v>86</v>
      </c>
      <c r="M97" s="57">
        <f>Table135[[#This Row],[20'']]+Table135[[#This Row],[40'']]*2</f>
        <v>2</v>
      </c>
      <c r="N97" s="2" t="str">
        <f>Table135[[#This Row],[CN]]&amp;" - "&amp;Table135[[#This Row],[CNEE]]</f>
        <v>卡帛 - HANSSEM</v>
      </c>
    </row>
    <row r="98" spans="1:14" hidden="1" x14ac:dyDescent="0.2">
      <c r="A98" s="1">
        <v>43779</v>
      </c>
      <c r="B98" s="4" t="s">
        <v>32</v>
      </c>
      <c r="C98" t="s">
        <v>35</v>
      </c>
      <c r="D98" s="50" t="str">
        <f>HYPERLINK("E:\Jobs\0011 "&amp;Table135[[#This Row],[CNEE]]&amp;"\0001 "&amp;VLOOKUP(Table135[[#This Row],[CN]],表5[],2,FALSE)&amp;"\"&amp;TEXT(Table135[[#This Row],[ETD]],IF(Table135[[#This Row],[ETD]]&gt;43830,"YYmmdd","mmdd")),VLOOKUP(Table135[[#This Row],[CN]],表5[],2,FALSE))</f>
        <v>KUKA</v>
      </c>
      <c r="E98" s="3" t="s">
        <v>516</v>
      </c>
      <c r="F98" s="57"/>
      <c r="G98" s="57">
        <v>3</v>
      </c>
      <c r="H98" s="6" t="s">
        <v>529</v>
      </c>
      <c r="I98" s="6" t="s">
        <v>518</v>
      </c>
      <c r="J98" s="6"/>
      <c r="K98" s="59"/>
      <c r="L98" s="6" t="s">
        <v>86</v>
      </c>
      <c r="M98" s="57">
        <f>Table135[[#This Row],[20'']]+Table135[[#This Row],[40'']]*2</f>
        <v>6</v>
      </c>
      <c r="N98" s="2" t="str">
        <f>Table135[[#This Row],[CN]]&amp;" - "&amp;Table135[[#This Row],[CNEE]]</f>
        <v>顾家 - HANSSEM</v>
      </c>
    </row>
    <row r="99" spans="1:14" hidden="1" x14ac:dyDescent="0.2">
      <c r="A99" s="1">
        <v>43779</v>
      </c>
      <c r="B99" s="4" t="s">
        <v>12</v>
      </c>
      <c r="C99" t="s">
        <v>405</v>
      </c>
      <c r="D99" s="50" t="str">
        <f>HYPERLINK("E:\Jobs\0011 "&amp;Table135[[#This Row],[CNEE]]&amp;"\0001 "&amp;VLOOKUP(Table135[[#This Row],[CN]],表5[],2,FALSE)&amp;"\"&amp;TEXT(Table135[[#This Row],[ETD]],IF(Table135[[#This Row],[ETD]]&gt;43830,"YYmmdd","mmdd")),VLOOKUP(Table135[[#This Row],[CN]],表5[],2,FALSE))</f>
        <v>WEIYU</v>
      </c>
      <c r="E99" s="3" t="s">
        <v>441</v>
      </c>
      <c r="F99" s="57"/>
      <c r="G99" s="57">
        <v>1</v>
      </c>
      <c r="H99" s="6" t="s">
        <v>429</v>
      </c>
      <c r="I99" s="6" t="s">
        <v>460</v>
      </c>
      <c r="J99" s="6" t="s">
        <v>454</v>
      </c>
      <c r="K99" s="59"/>
      <c r="L99" s="6" t="s">
        <v>86</v>
      </c>
      <c r="M99" s="57">
        <f>Table135[[#This Row],[20'']]+Table135[[#This Row],[40'']]*2</f>
        <v>2</v>
      </c>
      <c r="N99" s="2" t="str">
        <f>Table135[[#This Row],[CN]]&amp;" - "&amp;Table135[[#This Row],[CNEE]]</f>
        <v>伟誉 - CASAMIA</v>
      </c>
    </row>
    <row r="100" spans="1:14" hidden="1" x14ac:dyDescent="0.2">
      <c r="A100" s="1">
        <v>43779</v>
      </c>
      <c r="B100" s="4" t="s">
        <v>549</v>
      </c>
      <c r="C100" t="s">
        <v>550</v>
      </c>
      <c r="D100" s="50" t="str">
        <f>HYPERLINK("E:\Jobs\0011 "&amp;Table135[[#This Row],[CNEE]]&amp;"\0001 "&amp;VLOOKUP(Table135[[#This Row],[CN]],表5[],2,FALSE)&amp;"\"&amp;TEXT(Table135[[#This Row],[ETD]],IF(Table135[[#This Row],[ETD]]&gt;43830,"YYmmdd","mmdd")),VLOOKUP(Table135[[#This Row],[CN]],表5[],2,FALSE))</f>
        <v>WANSHENG</v>
      </c>
      <c r="E100" s="3" t="s">
        <v>551</v>
      </c>
      <c r="F100" s="57"/>
      <c r="G100" s="57">
        <v>1</v>
      </c>
      <c r="H100" s="6" t="s">
        <v>553</v>
      </c>
      <c r="I100" s="6" t="s">
        <v>552</v>
      </c>
      <c r="J100" s="6"/>
      <c r="K100" s="59"/>
      <c r="L100" s="6" t="s">
        <v>86</v>
      </c>
      <c r="M100" s="57">
        <f>Table135[[#This Row],[20'']]+Table135[[#This Row],[40'']]*2</f>
        <v>2</v>
      </c>
      <c r="N100" s="2" t="str">
        <f>Table135[[#This Row],[CN]]&amp;" - "&amp;Table135[[#This Row],[CNEE]]</f>
        <v>万盛 - HANSSEM</v>
      </c>
    </row>
    <row r="101" spans="1:14" hidden="1" x14ac:dyDescent="0.2">
      <c r="A101" s="1">
        <v>43782</v>
      </c>
      <c r="B101" s="4" t="s">
        <v>32</v>
      </c>
      <c r="C101" t="s">
        <v>34</v>
      </c>
      <c r="D101" s="50" t="str">
        <f>HYPERLINK("E:\Jobs\0011 "&amp;Table135[[#This Row],[CNEE]]&amp;"\0001 "&amp;VLOOKUP(Table135[[#This Row],[CN]],表5[],2,FALSE)&amp;"\"&amp;TEXT(Table135[[#This Row],[ETD]],IF(Table135[[#This Row],[ETD]]&gt;43830,"YYmmdd","mmdd")),VLOOKUP(Table135[[#This Row],[CN]],表5[],2,FALSE))</f>
        <v>WANSHENG</v>
      </c>
      <c r="E101" s="3" t="s">
        <v>506</v>
      </c>
      <c r="F101" s="57"/>
      <c r="G101" s="57">
        <v>1</v>
      </c>
      <c r="H101" s="6" t="s">
        <v>570</v>
      </c>
      <c r="I101" s="6" t="s">
        <v>571</v>
      </c>
      <c r="J101" s="6" t="s">
        <v>572</v>
      </c>
      <c r="K101" s="59"/>
      <c r="L101" s="6" t="s">
        <v>86</v>
      </c>
      <c r="M101" s="57">
        <f>Table135[[#This Row],[20'']]+Table135[[#This Row],[40'']]*2</f>
        <v>2</v>
      </c>
      <c r="N101" s="2" t="str">
        <f>Table135[[#This Row],[CN]]&amp;" - "&amp;Table135[[#This Row],[CNEE]]</f>
        <v>万盛 - HANSSEM</v>
      </c>
    </row>
    <row r="102" spans="1:14" hidden="1" x14ac:dyDescent="0.2">
      <c r="A102" s="1">
        <v>43782</v>
      </c>
      <c r="B102" s="4" t="s">
        <v>404</v>
      </c>
      <c r="C102" t="s">
        <v>405</v>
      </c>
      <c r="D102" s="50" t="str">
        <f>HYPERLINK("E:\Jobs\0011 "&amp;Table135[[#This Row],[CNEE]]&amp;"\0001 "&amp;VLOOKUP(Table135[[#This Row],[CN]],表5[],2,FALSE)&amp;"\"&amp;TEXT(Table135[[#This Row],[ETD]],IF(Table135[[#This Row],[ETD]]&gt;43830,"YYmmdd","mmdd")),VLOOKUP(Table135[[#This Row],[CN]],表5[],2,FALSE))</f>
        <v>WEIYU</v>
      </c>
      <c r="E102" s="3"/>
      <c r="F102" s="57"/>
      <c r="G102" s="57">
        <v>0</v>
      </c>
      <c r="H102" s="6"/>
      <c r="I102" s="6" t="s">
        <v>424</v>
      </c>
      <c r="J102" s="6" t="s">
        <v>436</v>
      </c>
      <c r="K102" s="59"/>
      <c r="L102" s="6" t="s">
        <v>86</v>
      </c>
      <c r="M102" s="57">
        <f>Table135[[#This Row],[20'']]+Table135[[#This Row],[40'']]*2</f>
        <v>0</v>
      </c>
      <c r="N102" s="2" t="str">
        <f>Table135[[#This Row],[CN]]&amp;" - "&amp;Table135[[#This Row],[CNEE]]</f>
        <v>伟誉 - CASAMIA</v>
      </c>
    </row>
    <row r="103" spans="1:14" hidden="1" x14ac:dyDescent="0.2">
      <c r="A103" s="1">
        <v>43782</v>
      </c>
      <c r="B103" s="4" t="s">
        <v>32</v>
      </c>
      <c r="C103" t="s">
        <v>35</v>
      </c>
      <c r="D103" s="50" t="str">
        <f>HYPERLINK("E:\Jobs\0011 "&amp;Table135[[#This Row],[CNEE]]&amp;"\0001 "&amp;VLOOKUP(Table135[[#This Row],[CN]],表5[],2,FALSE)&amp;"\"&amp;TEXT(Table135[[#This Row],[ETD]],IF(Table135[[#This Row],[ETD]]&gt;43830,"YYmmdd","mmdd")),VLOOKUP(Table135[[#This Row],[CN]],表5[],2,FALSE))</f>
        <v>KUKA</v>
      </c>
      <c r="E103" s="3" t="s">
        <v>513</v>
      </c>
      <c r="F103" s="57"/>
      <c r="G103" s="57">
        <v>2</v>
      </c>
      <c r="H103" s="6" t="s">
        <v>448</v>
      </c>
      <c r="I103" s="6" t="s">
        <v>446</v>
      </c>
      <c r="J103" s="6" t="s">
        <v>533</v>
      </c>
      <c r="K103" s="59"/>
      <c r="L103" s="6" t="s">
        <v>86</v>
      </c>
      <c r="M103" s="57">
        <f>Table135[[#This Row],[20'']]+Table135[[#This Row],[40'']]*2</f>
        <v>4</v>
      </c>
      <c r="N103" s="2" t="str">
        <f>Table135[[#This Row],[CN]]&amp;" - "&amp;Table135[[#This Row],[CNEE]]</f>
        <v>顾家 - HANSSEM</v>
      </c>
    </row>
    <row r="104" spans="1:14" hidden="1" x14ac:dyDescent="0.2">
      <c r="A104" s="1">
        <v>43782</v>
      </c>
      <c r="B104" s="4" t="s">
        <v>32</v>
      </c>
      <c r="C104" t="s">
        <v>34</v>
      </c>
      <c r="D104" s="50" t="str">
        <f>HYPERLINK("E:\Jobs\0011 "&amp;Table135[[#This Row],[CNEE]]&amp;"\0001 "&amp;VLOOKUP(Table135[[#This Row],[CN]],表5[],2,FALSE)&amp;"\"&amp;TEXT(Table135[[#This Row],[ETD]],IF(Table135[[#This Row],[ETD]]&gt;43830,"YYmmdd","mmdd")),VLOOKUP(Table135[[#This Row],[CN]],表5[],2,FALSE))</f>
        <v>WANSHENG</v>
      </c>
      <c r="E104" s="3" t="s">
        <v>511</v>
      </c>
      <c r="F104" s="57"/>
      <c r="G104" s="57">
        <v>1</v>
      </c>
      <c r="H104" s="6" t="s">
        <v>536</v>
      </c>
      <c r="I104" s="6" t="s">
        <v>520</v>
      </c>
      <c r="J104" s="6"/>
      <c r="K104" s="59"/>
      <c r="L104" s="6" t="s">
        <v>86</v>
      </c>
      <c r="M104" s="57">
        <f>Table135[[#This Row],[20'']]+Table135[[#This Row],[40'']]*2</f>
        <v>2</v>
      </c>
      <c r="N104" s="2" t="str">
        <f>Table135[[#This Row],[CN]]&amp;" - "&amp;Table135[[#This Row],[CNEE]]</f>
        <v>万盛 - HANSSEM</v>
      </c>
    </row>
    <row r="105" spans="1:14" hidden="1" x14ac:dyDescent="0.2">
      <c r="A105" s="1">
        <v>43782</v>
      </c>
      <c r="B105" s="4" t="s">
        <v>32</v>
      </c>
      <c r="C105" t="s">
        <v>34</v>
      </c>
      <c r="D105" s="50" t="str">
        <f>HYPERLINK("E:\Jobs\0011 "&amp;Table135[[#This Row],[CNEE]]&amp;"\0001 "&amp;VLOOKUP(Table135[[#This Row],[CN]],表5[],2,FALSE)&amp;"\"&amp;TEXT(Table135[[#This Row],[ETD]],IF(Table135[[#This Row],[ETD]]&gt;43830,"YYmmdd","mmdd")),VLOOKUP(Table135[[#This Row],[CN]],表5[],2,FALSE))</f>
        <v>WANSHENG</v>
      </c>
      <c r="E105" s="3" t="s">
        <v>509</v>
      </c>
      <c r="F105" s="57"/>
      <c r="G105" s="57">
        <v>0</v>
      </c>
      <c r="H105" s="6" t="s">
        <v>535</v>
      </c>
      <c r="I105" s="6" t="s">
        <v>519</v>
      </c>
      <c r="J105" s="6" t="s">
        <v>556</v>
      </c>
      <c r="K105" s="59"/>
      <c r="L105" s="6" t="s">
        <v>86</v>
      </c>
      <c r="M105" s="57">
        <f>Table135[[#This Row],[20'']]+Table135[[#This Row],[40'']]*2</f>
        <v>0</v>
      </c>
      <c r="N105" s="2" t="str">
        <f>Table135[[#This Row],[CN]]&amp;" - "&amp;Table135[[#This Row],[CNEE]]</f>
        <v>万盛 - HANSSEM</v>
      </c>
    </row>
    <row r="106" spans="1:14" hidden="1" x14ac:dyDescent="0.2">
      <c r="A106" s="1">
        <v>43786</v>
      </c>
      <c r="B106" s="4" t="s">
        <v>32</v>
      </c>
      <c r="C106" t="s">
        <v>35</v>
      </c>
      <c r="D106" s="50" t="str">
        <f>HYPERLINK("E:\Jobs\0011 "&amp;Table135[[#This Row],[CNEE]]&amp;"\0001 "&amp;VLOOKUP(Table135[[#This Row],[CN]],表5[],2,FALSE)&amp;"\"&amp;TEXT(Table135[[#This Row],[ETD]],IF(Table135[[#This Row],[ETD]]&gt;43830,"YYmmdd","mmdd")),VLOOKUP(Table135[[#This Row],[CN]],表5[],2,FALSE))</f>
        <v>KUKA</v>
      </c>
      <c r="E106" s="3" t="s">
        <v>562</v>
      </c>
      <c r="F106" s="57"/>
      <c r="G106" s="57">
        <v>1</v>
      </c>
      <c r="H106" s="6" t="s">
        <v>541</v>
      </c>
      <c r="I106" s="6" t="s">
        <v>542</v>
      </c>
      <c r="J106" s="6"/>
      <c r="K106" s="59"/>
      <c r="L106" s="6" t="s">
        <v>86</v>
      </c>
      <c r="M106" s="57">
        <f>Table135[[#This Row],[20'']]+Table135[[#This Row],[40'']]*2</f>
        <v>2</v>
      </c>
      <c r="N106" s="2" t="str">
        <f>Table135[[#This Row],[CN]]&amp;" - "&amp;Table135[[#This Row],[CNEE]]</f>
        <v>顾家 - HANSSEM</v>
      </c>
    </row>
    <row r="107" spans="1:14" hidden="1" x14ac:dyDescent="0.2">
      <c r="A107" s="1">
        <v>43786</v>
      </c>
      <c r="B107" s="4" t="s">
        <v>12</v>
      </c>
      <c r="C107" t="s">
        <v>405</v>
      </c>
      <c r="D107" s="50" t="str">
        <f>HYPERLINK("E:\Jobs\0011 "&amp;Table135[[#This Row],[CNEE]]&amp;"\0001 "&amp;VLOOKUP(Table135[[#This Row],[CN]],表5[],2,FALSE)&amp;"\"&amp;TEXT(Table135[[#This Row],[ETD]],IF(Table135[[#This Row],[ETD]]&gt;43830,"YYmmdd","mmdd")),VLOOKUP(Table135[[#This Row],[CN]],表5[],2,FALSE))</f>
        <v>WEIYU</v>
      </c>
      <c r="E107" s="3" t="s">
        <v>441</v>
      </c>
      <c r="F107" s="57"/>
      <c r="G107" s="57">
        <v>0</v>
      </c>
      <c r="H107" s="6" t="s">
        <v>470</v>
      </c>
      <c r="I107" s="6" t="s">
        <v>440</v>
      </c>
      <c r="J107" s="6" t="s">
        <v>453</v>
      </c>
      <c r="K107" s="59"/>
      <c r="L107" s="6" t="s">
        <v>86</v>
      </c>
      <c r="M107" s="57">
        <f>Table135[[#This Row],[20'']]+Table135[[#This Row],[40'']]*2</f>
        <v>0</v>
      </c>
      <c r="N107" s="2" t="str">
        <f>Table135[[#This Row],[CN]]&amp;" - "&amp;Table135[[#This Row],[CNEE]]</f>
        <v>伟誉 - CASAMIA</v>
      </c>
    </row>
    <row r="108" spans="1:14" ht="28.5" hidden="1" x14ac:dyDescent="0.2">
      <c r="A108" s="1">
        <v>43786</v>
      </c>
      <c r="B108" s="4" t="s">
        <v>12</v>
      </c>
      <c r="C108" t="s">
        <v>543</v>
      </c>
      <c r="D108" s="50" t="str">
        <f>HYPERLINK("E:\Jobs\0011 "&amp;Table135[[#This Row],[CNEE]]&amp;"\0001 "&amp;VLOOKUP(Table135[[#This Row],[CN]],表5[],2,FALSE)&amp;"\"&amp;TEXT(Table135[[#This Row],[ETD]],IF(Table135[[#This Row],[ETD]]&gt;43830,"YYmmdd","mmdd")),VLOOKUP(Table135[[#This Row],[CN]],表5[],2,FALSE))</f>
        <v>SENCHUAN</v>
      </c>
      <c r="E108" s="3" t="s">
        <v>545</v>
      </c>
      <c r="F108" s="57"/>
      <c r="G108" s="57">
        <v>0</v>
      </c>
      <c r="H108" s="6" t="s">
        <v>547</v>
      </c>
      <c r="I108" s="6" t="s">
        <v>546</v>
      </c>
      <c r="J108" s="6" t="s">
        <v>548</v>
      </c>
      <c r="K108" s="59"/>
      <c r="L108" s="6" t="s">
        <v>86</v>
      </c>
      <c r="M108" s="57">
        <f>Table135[[#This Row],[20'']]+Table135[[#This Row],[40'']]*2</f>
        <v>0</v>
      </c>
      <c r="N108" s="2" t="str">
        <f>Table135[[#This Row],[CN]]&amp;" - "&amp;Table135[[#This Row],[CNEE]]</f>
        <v>森川 - CASAMIA</v>
      </c>
    </row>
    <row r="109" spans="1:14" ht="28.5" hidden="1" x14ac:dyDescent="0.2">
      <c r="A109" s="1">
        <v>43786</v>
      </c>
      <c r="B109" s="4" t="s">
        <v>12</v>
      </c>
      <c r="C109" t="s">
        <v>31</v>
      </c>
      <c r="D109" s="50" t="str">
        <f>HYPERLINK("E:\Jobs\0011 "&amp;Table135[[#This Row],[CNEE]]&amp;"\0001 "&amp;VLOOKUP(Table135[[#This Row],[CN]],表5[],2,FALSE)&amp;"\"&amp;TEXT(Table135[[#This Row],[ETD]],IF(Table135[[#This Row],[ETD]]&gt;43830,"YYmmdd","mmdd")),VLOOKUP(Table135[[#This Row],[CN]],表5[],2,FALSE))</f>
        <v>HTL</v>
      </c>
      <c r="E109" s="3" t="s">
        <v>456</v>
      </c>
      <c r="F109" s="57"/>
      <c r="G109" s="57">
        <v>2</v>
      </c>
      <c r="H109" s="6" t="s">
        <v>469</v>
      </c>
      <c r="I109" s="6" t="s">
        <v>461</v>
      </c>
      <c r="J109" s="6"/>
      <c r="K109" s="59"/>
      <c r="L109" s="6" t="s">
        <v>86</v>
      </c>
      <c r="M109" s="57">
        <f>Table135[[#This Row],[20'']]+Table135[[#This Row],[40'']]*2</f>
        <v>4</v>
      </c>
      <c r="N109" s="2" t="str">
        <f>Table135[[#This Row],[CN]]&amp;" - "&amp;Table135[[#This Row],[CNEE]]</f>
        <v>华达利 - CASAMIA</v>
      </c>
    </row>
    <row r="110" spans="1:14" hidden="1" x14ac:dyDescent="0.2">
      <c r="A110" s="1">
        <v>43786</v>
      </c>
      <c r="B110" s="4" t="s">
        <v>32</v>
      </c>
      <c r="C110" t="s">
        <v>34</v>
      </c>
      <c r="D110" s="50" t="str">
        <f>HYPERLINK("E:\Jobs\0011 "&amp;Table135[[#This Row],[CNEE]]&amp;"\0001 "&amp;VLOOKUP(Table135[[#This Row],[CN]],表5[],2,FALSE)&amp;"\"&amp;TEXT(Table135[[#This Row],[ETD]],IF(Table135[[#This Row],[ETD]]&gt;43830,"YYmmdd","mmdd")),VLOOKUP(Table135[[#This Row],[CN]],表5[],2,FALSE))</f>
        <v>WANSHENG</v>
      </c>
      <c r="E110" s="3" t="s">
        <v>510</v>
      </c>
      <c r="F110" s="57"/>
      <c r="G110" s="57">
        <v>2</v>
      </c>
      <c r="H110" s="6" t="s">
        <v>537</v>
      </c>
      <c r="I110" s="6" t="s">
        <v>521</v>
      </c>
      <c r="J110" s="6"/>
      <c r="K110" s="59"/>
      <c r="L110" s="6" t="s">
        <v>86</v>
      </c>
      <c r="M110" s="57">
        <f>Table135[[#This Row],[20'']]+Table135[[#This Row],[40'']]*2</f>
        <v>4</v>
      </c>
      <c r="N110" s="2" t="str">
        <f>Table135[[#This Row],[CN]]&amp;" - "&amp;Table135[[#This Row],[CNEE]]</f>
        <v>万盛 - HANSSEM</v>
      </c>
    </row>
    <row r="111" spans="1:14" hidden="1" x14ac:dyDescent="0.2">
      <c r="A111" s="1">
        <v>43786</v>
      </c>
      <c r="B111" s="4" t="s">
        <v>32</v>
      </c>
      <c r="C111" t="s">
        <v>34</v>
      </c>
      <c r="D111" s="50" t="str">
        <f>HYPERLINK("E:\Jobs\0011 "&amp;Table135[[#This Row],[CNEE]]&amp;"\0001 "&amp;VLOOKUP(Table135[[#This Row],[CN]],表5[],2,FALSE)&amp;"\"&amp;TEXT(Table135[[#This Row],[ETD]],IF(Table135[[#This Row],[ETD]]&gt;43830,"YYmmdd","mmdd")),VLOOKUP(Table135[[#This Row],[CN]],表5[],2,FALSE))</f>
        <v>WANSHENG</v>
      </c>
      <c r="E111" s="3" t="s">
        <v>507</v>
      </c>
      <c r="F111" s="57"/>
      <c r="G111" s="57">
        <v>1</v>
      </c>
      <c r="H111" s="6" t="s">
        <v>538</v>
      </c>
      <c r="I111" s="6" t="s">
        <v>522</v>
      </c>
      <c r="J111" s="6"/>
      <c r="K111" s="59"/>
      <c r="L111" s="6" t="s">
        <v>86</v>
      </c>
      <c r="M111" s="57">
        <f>Table135[[#This Row],[20'']]+Table135[[#This Row],[40'']]*2</f>
        <v>2</v>
      </c>
      <c r="N111" s="2" t="str">
        <f>Table135[[#This Row],[CN]]&amp;" - "&amp;Table135[[#This Row],[CNEE]]</f>
        <v>万盛 - HANSSEM</v>
      </c>
    </row>
    <row r="112" spans="1:14" hidden="1" x14ac:dyDescent="0.2">
      <c r="A112" s="1">
        <v>43786</v>
      </c>
      <c r="B112" s="4" t="s">
        <v>12</v>
      </c>
      <c r="C112" t="s">
        <v>28</v>
      </c>
      <c r="D112" s="50" t="str">
        <f>HYPERLINK("E:\Jobs\0011 "&amp;Table135[[#This Row],[CNEE]]&amp;"\0001 "&amp;VLOOKUP(Table135[[#This Row],[CN]],表5[],2,FALSE)&amp;"\"&amp;TEXT(Table135[[#This Row],[ETD]],IF(Table135[[#This Row],[ETD]]&gt;43830,"YYmmdd","mmdd")),VLOOKUP(Table135[[#This Row],[CN]],表5[],2,FALSE))</f>
        <v>YAJIAJU</v>
      </c>
      <c r="E112" s="3" t="s">
        <v>595</v>
      </c>
      <c r="F112" s="57"/>
      <c r="G112" s="57">
        <v>1</v>
      </c>
      <c r="H112" s="6" t="s">
        <v>555</v>
      </c>
      <c r="I112" s="6" t="s">
        <v>554</v>
      </c>
      <c r="J112" s="6"/>
      <c r="K112" s="59"/>
      <c r="L112" s="6" t="s">
        <v>86</v>
      </c>
      <c r="M112" s="57">
        <f>Table135[[#This Row],[20'']]+Table135[[#This Row],[40'']]*2</f>
        <v>2</v>
      </c>
      <c r="N112" s="2" t="str">
        <f>Table135[[#This Row],[CN]]&amp;" - "&amp;Table135[[#This Row],[CNEE]]</f>
        <v>雅家居 - CASAMIA</v>
      </c>
    </row>
    <row r="113" spans="1:14" hidden="1" x14ac:dyDescent="0.2">
      <c r="A113" s="1">
        <v>43786</v>
      </c>
      <c r="B113" s="4" t="s">
        <v>32</v>
      </c>
      <c r="C113" t="s">
        <v>34</v>
      </c>
      <c r="D113" s="50" t="str">
        <f>HYPERLINK("E:\Jobs\0011 "&amp;Table135[[#This Row],[CNEE]]&amp;"\0001 "&amp;VLOOKUP(Table135[[#This Row],[CN]],表5[],2,FALSE)&amp;"\"&amp;TEXT(Table135[[#This Row],[ETD]],IF(Table135[[#This Row],[ETD]]&gt;43830,"YYmmdd","mmdd")),VLOOKUP(Table135[[#This Row],[CN]],表5[],2,FALSE))</f>
        <v>WANSHENG</v>
      </c>
      <c r="E113" s="3"/>
      <c r="F113" s="57"/>
      <c r="G113" s="57">
        <v>1</v>
      </c>
      <c r="H113" s="6" t="s">
        <v>559</v>
      </c>
      <c r="I113" s="6" t="s">
        <v>557</v>
      </c>
      <c r="J113" s="6" t="s">
        <v>594</v>
      </c>
      <c r="K113" s="59"/>
      <c r="L113" s="6" t="s">
        <v>86</v>
      </c>
      <c r="M113" s="57">
        <f>Table135[[#This Row],[20'']]+Table135[[#This Row],[40'']]*2</f>
        <v>2</v>
      </c>
      <c r="N113" s="2" t="str">
        <f>Table135[[#This Row],[CN]]&amp;" - "&amp;Table135[[#This Row],[CNEE]]</f>
        <v>万盛 - HANSSEM</v>
      </c>
    </row>
    <row r="114" spans="1:14" hidden="1" x14ac:dyDescent="0.2">
      <c r="A114" s="1">
        <v>43786</v>
      </c>
      <c r="B114" s="4" t="s">
        <v>32</v>
      </c>
      <c r="C114" t="s">
        <v>34</v>
      </c>
      <c r="D114" s="50" t="str">
        <f>HYPERLINK("E:\Jobs\0011 "&amp;Table135[[#This Row],[CNEE]]&amp;"\0001 "&amp;VLOOKUP(Table135[[#This Row],[CN]],表5[],2,FALSE)&amp;"\"&amp;TEXT(Table135[[#This Row],[ETD]],IF(Table135[[#This Row],[ETD]]&gt;43830,"YYmmdd","mmdd")),VLOOKUP(Table135[[#This Row],[CN]],表5[],2,FALSE))</f>
        <v>WANSHENG</v>
      </c>
      <c r="E114" s="3"/>
      <c r="F114" s="57"/>
      <c r="G114" s="57">
        <v>1</v>
      </c>
      <c r="H114" s="6" t="s">
        <v>608</v>
      </c>
      <c r="I114" s="6" t="s">
        <v>558</v>
      </c>
      <c r="J114" s="6"/>
      <c r="K114" s="59"/>
      <c r="L114" s="6" t="s">
        <v>86</v>
      </c>
      <c r="M114" s="57">
        <f>Table135[[#This Row],[20'']]+Table135[[#This Row],[40'']]*2</f>
        <v>2</v>
      </c>
      <c r="N114" s="2" t="str">
        <f>Table135[[#This Row],[CN]]&amp;" - "&amp;Table135[[#This Row],[CNEE]]</f>
        <v>万盛 - HANSSEM</v>
      </c>
    </row>
    <row r="115" spans="1:14" hidden="1" x14ac:dyDescent="0.2">
      <c r="A115" s="1">
        <v>43789</v>
      </c>
      <c r="B115" s="4" t="s">
        <v>32</v>
      </c>
      <c r="C115" t="s">
        <v>34</v>
      </c>
      <c r="D115" s="50" t="str">
        <f>HYPERLINK("E:\Jobs\0011 "&amp;Table135[[#This Row],[CNEE]]&amp;"\0001 "&amp;VLOOKUP(Table135[[#This Row],[CN]],表5[],2,FALSE)&amp;"\"&amp;TEXT(Table135[[#This Row],[ETD]],IF(Table135[[#This Row],[ETD]]&gt;43830,"YYmmdd","mmdd")),VLOOKUP(Table135[[#This Row],[CN]],表5[],2,FALSE))</f>
        <v>WANSHENG</v>
      </c>
      <c r="E115" s="3"/>
      <c r="F115" s="57"/>
      <c r="G115" s="57">
        <v>1</v>
      </c>
      <c r="H115" s="6" t="s">
        <v>560</v>
      </c>
      <c r="I115" s="6" t="s">
        <v>561</v>
      </c>
      <c r="J115" s="6"/>
      <c r="K115" s="59"/>
      <c r="L115" s="6" t="s">
        <v>86</v>
      </c>
      <c r="M115" s="57">
        <f>Table135[[#This Row],[20'']]+Table135[[#This Row],[40'']]*2</f>
        <v>2</v>
      </c>
      <c r="N115" s="2" t="str">
        <f>Table135[[#This Row],[CN]]&amp;" - "&amp;Table135[[#This Row],[CNEE]]</f>
        <v>万盛 - HANSSEM</v>
      </c>
    </row>
    <row r="116" spans="1:14" ht="28.5" hidden="1" x14ac:dyDescent="0.2">
      <c r="A116" s="1">
        <v>43789</v>
      </c>
      <c r="B116" s="4" t="s">
        <v>32</v>
      </c>
      <c r="C116" t="s">
        <v>30</v>
      </c>
      <c r="D116" s="50" t="str">
        <f>HYPERLINK("E:\Jobs\0011 "&amp;Table135[[#This Row],[CNEE]]&amp;"\0001 "&amp;VLOOKUP(Table135[[#This Row],[CN]],表5[],2,FALSE)&amp;"\"&amp;TEXT(Table135[[#This Row],[ETD]],IF(Table135[[#This Row],[ETD]]&gt;43830,"YYmmdd","mmdd")),VLOOKUP(Table135[[#This Row],[CN]],表5[],2,FALSE))</f>
        <v>CABO</v>
      </c>
      <c r="E116" s="3" t="s">
        <v>403</v>
      </c>
      <c r="F116" s="57"/>
      <c r="G116" s="57">
        <v>3</v>
      </c>
      <c r="H116" s="6" t="s">
        <v>428</v>
      </c>
      <c r="I116" s="6" t="s">
        <v>425</v>
      </c>
      <c r="J116" s="6" t="s">
        <v>618</v>
      </c>
      <c r="K116" s="59"/>
      <c r="L116" s="6" t="s">
        <v>86</v>
      </c>
      <c r="M116" s="57">
        <f>Table135[[#This Row],[20'']]+Table135[[#This Row],[40'']]*2</f>
        <v>6</v>
      </c>
      <c r="N116" s="2" t="str">
        <f>Table135[[#This Row],[CN]]&amp;" - "&amp;Table135[[#This Row],[CNEE]]</f>
        <v>卡帛 - HANSSEM</v>
      </c>
    </row>
    <row r="117" spans="1:14" hidden="1" x14ac:dyDescent="0.2">
      <c r="A117" s="1">
        <v>43789</v>
      </c>
      <c r="B117" s="4" t="s">
        <v>304</v>
      </c>
      <c r="C117" t="s">
        <v>589</v>
      </c>
      <c r="D117" s="50" t="str">
        <f>HYPERLINK("E:\Jobs\0011 "&amp;Table135[[#This Row],[CNEE]]&amp;"\0001 "&amp;VLOOKUP(Table135[[#This Row],[CN]],表5[],2,FALSE)&amp;"\"&amp;TEXT(Table135[[#This Row],[ETD]],IF(Table135[[#This Row],[ETD]]&gt;43830,"YYmmdd","mmdd")),VLOOKUP(Table135[[#This Row],[CN]],表5[],2,FALSE))</f>
        <v>HUABAO</v>
      </c>
      <c r="E117" s="3" t="s">
        <v>7</v>
      </c>
      <c r="F117" s="57">
        <v>10</v>
      </c>
      <c r="G117" s="57"/>
      <c r="H117" s="6" t="s">
        <v>591</v>
      </c>
      <c r="I117" s="6" t="s">
        <v>590</v>
      </c>
      <c r="J117" s="6" t="s">
        <v>596</v>
      </c>
      <c r="K117" s="59"/>
      <c r="L117" s="6" t="s">
        <v>86</v>
      </c>
      <c r="M117" s="57">
        <f>Table135[[#This Row],[20'']]+Table135[[#This Row],[40'']]*2</f>
        <v>10</v>
      </c>
      <c r="N117" s="2" t="str">
        <f>Table135[[#This Row],[CN]]&amp;" - "&amp;Table135[[#This Row],[CNEE]]</f>
        <v>华宝 - EFFEX</v>
      </c>
    </row>
    <row r="118" spans="1:14" hidden="1" x14ac:dyDescent="0.2">
      <c r="A118" s="1">
        <v>43789</v>
      </c>
      <c r="B118" s="4" t="s">
        <v>32</v>
      </c>
      <c r="C118" t="s">
        <v>34</v>
      </c>
      <c r="D118" s="50" t="str">
        <f>HYPERLINK("E:\Jobs\0011 "&amp;Table135[[#This Row],[CNEE]]&amp;"\0001 "&amp;VLOOKUP(Table135[[#This Row],[CN]],表5[],2,FALSE)&amp;"\"&amp;TEXT(Table135[[#This Row],[ETD]],IF(Table135[[#This Row],[ETD]]&gt;43830,"YYmmdd","mmdd")),VLOOKUP(Table135[[#This Row],[CN]],表5[],2,FALSE))</f>
        <v>WANSHENG</v>
      </c>
      <c r="E118" s="3" t="s">
        <v>508</v>
      </c>
      <c r="F118" s="57"/>
      <c r="G118" s="57">
        <v>2</v>
      </c>
      <c r="H118" s="6" t="s">
        <v>612</v>
      </c>
      <c r="I118" s="6" t="s">
        <v>523</v>
      </c>
      <c r="J118" s="6"/>
      <c r="K118" s="59"/>
      <c r="L118" s="6" t="s">
        <v>86</v>
      </c>
      <c r="M118" s="57">
        <f>Table135[[#This Row],[20'']]+Table135[[#This Row],[40'']]*2</f>
        <v>4</v>
      </c>
      <c r="N118" s="2" t="str">
        <f>Table135[[#This Row],[CN]]&amp;" - "&amp;Table135[[#This Row],[CNEE]]</f>
        <v>万盛 - HANSSEM</v>
      </c>
    </row>
    <row r="119" spans="1:14" hidden="1" x14ac:dyDescent="0.2">
      <c r="A119" s="1">
        <v>43789</v>
      </c>
      <c r="B119" s="4" t="s">
        <v>32</v>
      </c>
      <c r="C119" t="s">
        <v>34</v>
      </c>
      <c r="D119" s="50" t="str">
        <f>HYPERLINK("E:\Jobs\0011 "&amp;Table135[[#This Row],[CNEE]]&amp;"\0001 "&amp;VLOOKUP(Table135[[#This Row],[CN]],表5[],2,FALSE)&amp;"\"&amp;TEXT(Table135[[#This Row],[ETD]],IF(Table135[[#This Row],[ETD]]&gt;43830,"YYmmdd","mmdd")),VLOOKUP(Table135[[#This Row],[CN]],表5[],2,FALSE))</f>
        <v>WANSHENG</v>
      </c>
      <c r="E119" s="3" t="s">
        <v>512</v>
      </c>
      <c r="F119" s="57"/>
      <c r="G119" s="57">
        <v>1</v>
      </c>
      <c r="H119" s="6" t="s">
        <v>539</v>
      </c>
      <c r="I119" s="6" t="s">
        <v>524</v>
      </c>
      <c r="J119" s="6" t="s">
        <v>604</v>
      </c>
      <c r="K119" s="59"/>
      <c r="L119" s="6" t="s">
        <v>86</v>
      </c>
      <c r="M119" s="57">
        <f>Table135[[#This Row],[20'']]+Table135[[#This Row],[40'']]*2</f>
        <v>2</v>
      </c>
      <c r="N119" s="2" t="str">
        <f>Table135[[#This Row],[CN]]&amp;" - "&amp;Table135[[#This Row],[CNEE]]</f>
        <v>万盛 - HANSSEM</v>
      </c>
    </row>
    <row r="120" spans="1:14" hidden="1" x14ac:dyDescent="0.2">
      <c r="A120" s="1">
        <v>43789</v>
      </c>
      <c r="B120" s="4" t="s">
        <v>32</v>
      </c>
      <c r="C120" t="s">
        <v>35</v>
      </c>
      <c r="D120" s="50" t="str">
        <f>HYPERLINK("E:\Jobs\0011 "&amp;Table135[[#This Row],[CNEE]]&amp;"\0001 "&amp;VLOOKUP(Table135[[#This Row],[CN]],表5[],2,FALSE)&amp;"\"&amp;TEXT(Table135[[#This Row],[ETD]],IF(Table135[[#This Row],[ETD]]&gt;43830,"YYmmdd","mmdd")),VLOOKUP(Table135[[#This Row],[CN]],表5[],2,FALSE))</f>
        <v>KUKA</v>
      </c>
      <c r="E120" s="3" t="s">
        <v>540</v>
      </c>
      <c r="F120" s="57"/>
      <c r="G120" s="57">
        <v>1</v>
      </c>
      <c r="H120" s="6" t="s">
        <v>530</v>
      </c>
      <c r="I120" s="6" t="s">
        <v>525</v>
      </c>
      <c r="J120" s="6"/>
      <c r="K120" s="59"/>
      <c r="L120" s="6" t="s">
        <v>86</v>
      </c>
      <c r="M120" s="57">
        <f>Table135[[#This Row],[20'']]+Table135[[#This Row],[40'']]*2</f>
        <v>2</v>
      </c>
      <c r="N120" s="2" t="str">
        <f>Table135[[#This Row],[CN]]&amp;" - "&amp;Table135[[#This Row],[CNEE]]</f>
        <v>顾家 - HANSSEM</v>
      </c>
    </row>
    <row r="121" spans="1:14" hidden="1" x14ac:dyDescent="0.2">
      <c r="A121" s="1">
        <v>43789</v>
      </c>
      <c r="B121" s="4" t="s">
        <v>12</v>
      </c>
      <c r="C121" t="s">
        <v>33</v>
      </c>
      <c r="D121" s="50" t="str">
        <f>HYPERLINK("E:\Jobs\0011 "&amp;Table135[[#This Row],[CNEE]]&amp;"\0001 "&amp;VLOOKUP(Table135[[#This Row],[CN]],表5[],2,FALSE)&amp;"\"&amp;TEXT(Table135[[#This Row],[ETD]],IF(Table135[[#This Row],[ETD]]&gt;43830,"YYmmdd","mmdd")),VLOOKUP(Table135[[#This Row],[CN]],表5[],2,FALSE))</f>
        <v>ZHOUJI</v>
      </c>
      <c r="E121" s="3" t="s">
        <v>564</v>
      </c>
      <c r="F121" s="57"/>
      <c r="G121" s="57">
        <v>1</v>
      </c>
      <c r="H121" s="6" t="s">
        <v>566</v>
      </c>
      <c r="I121" s="6" t="s">
        <v>565</v>
      </c>
      <c r="J121" s="6" t="s">
        <v>567</v>
      </c>
      <c r="K121" s="59"/>
      <c r="L121" s="6" t="s">
        <v>86</v>
      </c>
      <c r="M121" s="57">
        <f>Table135[[#This Row],[20'']]+Table135[[#This Row],[40'']]*2</f>
        <v>2</v>
      </c>
      <c r="N121" s="2" t="str">
        <f>Table135[[#This Row],[CN]]&amp;" - "&amp;Table135[[#This Row],[CNEE]]</f>
        <v>洲际 - CASAMIA</v>
      </c>
    </row>
    <row r="122" spans="1:14" hidden="1" x14ac:dyDescent="0.2">
      <c r="A122" s="1">
        <v>43789</v>
      </c>
      <c r="B122" s="4" t="s">
        <v>568</v>
      </c>
      <c r="C122" t="s">
        <v>27</v>
      </c>
      <c r="D122" s="50" t="str">
        <f>HYPERLINK("E:\Jobs\0011 "&amp;Table135[[#This Row],[CNEE]]&amp;"\0001 "&amp;VLOOKUP(Table135[[#This Row],[CN]],表5[],2,FALSE)&amp;"\"&amp;TEXT(Table135[[#This Row],[ETD]],IF(Table135[[#This Row],[ETD]]&gt;43830,"YYmmdd","mmdd")),VLOOKUP(Table135[[#This Row],[CN]],表5[],2,FALSE))</f>
        <v>UE</v>
      </c>
      <c r="E122" s="3" t="s">
        <v>569</v>
      </c>
      <c r="F122" s="57"/>
      <c r="G122" s="57">
        <v>2</v>
      </c>
      <c r="H122" s="6" t="s">
        <v>574</v>
      </c>
      <c r="I122" s="6" t="s">
        <v>573</v>
      </c>
      <c r="J122" s="6"/>
      <c r="K122" s="59"/>
      <c r="L122" s="6" t="s">
        <v>86</v>
      </c>
      <c r="M122" s="57">
        <f>Table135[[#This Row],[20'']]+Table135[[#This Row],[40'']]*2</f>
        <v>4</v>
      </c>
      <c r="N122" s="2" t="str">
        <f>Table135[[#This Row],[CN]]&amp;" - "&amp;Table135[[#This Row],[CNEE]]</f>
        <v>永艺 - SSEM</v>
      </c>
    </row>
    <row r="123" spans="1:14" ht="28.5" hidden="1" x14ac:dyDescent="0.2">
      <c r="A123" s="1">
        <v>43793</v>
      </c>
      <c r="B123" s="4" t="s">
        <v>12</v>
      </c>
      <c r="C123" t="s">
        <v>35</v>
      </c>
      <c r="D123" s="50" t="str">
        <f>HYPERLINK("E:\Jobs\0011 "&amp;Table135[[#This Row],[CNEE]]&amp;"\0001 "&amp;VLOOKUP(Table135[[#This Row],[CN]],表5[],2,FALSE)&amp;"\"&amp;TEXT(Table135[[#This Row],[ETD]],IF(Table135[[#This Row],[ETD]]&gt;43830,"YYmmdd","mmdd")),VLOOKUP(Table135[[#This Row],[CN]],表5[],2,FALSE))</f>
        <v>KUKA</v>
      </c>
      <c r="E123" s="3" t="s">
        <v>487</v>
      </c>
      <c r="F123" s="57"/>
      <c r="G123" s="57">
        <v>0</v>
      </c>
      <c r="H123" s="6" t="s">
        <v>587</v>
      </c>
      <c r="I123" s="6" t="s">
        <v>488</v>
      </c>
      <c r="J123" s="6" t="s">
        <v>585</v>
      </c>
      <c r="K123" s="59"/>
      <c r="L123" s="6" t="s">
        <v>86</v>
      </c>
      <c r="M123" s="57">
        <f>Table135[[#This Row],[20'']]+Table135[[#This Row],[40'']]*2</f>
        <v>0</v>
      </c>
      <c r="N123" s="2" t="str">
        <f>Table135[[#This Row],[CN]]&amp;" - "&amp;Table135[[#This Row],[CNEE]]</f>
        <v>顾家 - CASAMIA</v>
      </c>
    </row>
    <row r="124" spans="1:14" ht="42.75" hidden="1" x14ac:dyDescent="0.2">
      <c r="A124" s="1">
        <v>43793</v>
      </c>
      <c r="B124" s="4" t="s">
        <v>12</v>
      </c>
      <c r="C124" t="s">
        <v>31</v>
      </c>
      <c r="D124" s="50" t="str">
        <f>HYPERLINK("E:\Jobs\0011 "&amp;Table135[[#This Row],[CNEE]]&amp;"\0001 "&amp;VLOOKUP(Table135[[#This Row],[CN]],表5[],2,FALSE)&amp;"\"&amp;TEXT(Table135[[#This Row],[ETD]],IF(Table135[[#This Row],[ETD]]&gt;43830,"YYmmdd","mmdd")),VLOOKUP(Table135[[#This Row],[CN]],表5[],2,FALSE))</f>
        <v>HTL</v>
      </c>
      <c r="E124" s="3" t="s">
        <v>635</v>
      </c>
      <c r="F124" s="57"/>
      <c r="G124" s="57">
        <v>3</v>
      </c>
      <c r="H124" s="6" t="s">
        <v>494</v>
      </c>
      <c r="I124" s="6" t="s">
        <v>493</v>
      </c>
      <c r="J124" s="6" t="s">
        <v>634</v>
      </c>
      <c r="K124" s="59"/>
      <c r="L124" s="6" t="s">
        <v>86</v>
      </c>
      <c r="M124" s="57">
        <f>Table135[[#This Row],[20'']]+Table135[[#This Row],[40'']]*2</f>
        <v>6</v>
      </c>
      <c r="N124" s="2" t="str">
        <f>Table135[[#This Row],[CN]]&amp;" - "&amp;Table135[[#This Row],[CNEE]]</f>
        <v>华达利 - CASAMIA</v>
      </c>
    </row>
    <row r="125" spans="1:14" hidden="1" x14ac:dyDescent="0.2">
      <c r="A125" s="1">
        <v>43793</v>
      </c>
      <c r="B125" s="4" t="s">
        <v>32</v>
      </c>
      <c r="C125" t="s">
        <v>30</v>
      </c>
      <c r="D125" s="50" t="str">
        <f>HYPERLINK("E:\Jobs\0011 "&amp;Table135[[#This Row],[CNEE]]&amp;"\0001 "&amp;VLOOKUP(Table135[[#This Row],[CN]],表5[],2,FALSE)&amp;"\"&amp;TEXT(Table135[[#This Row],[ETD]],IF(Table135[[#This Row],[ETD]]&gt;43830,"YYmmdd","mmdd")),VLOOKUP(Table135[[#This Row],[CN]],表5[],2,FALSE))</f>
        <v>CABO</v>
      </c>
      <c r="E125" s="3" t="s">
        <v>517</v>
      </c>
      <c r="F125" s="57"/>
      <c r="G125" s="57">
        <v>1</v>
      </c>
      <c r="H125" s="6" t="s">
        <v>534</v>
      </c>
      <c r="I125" s="6" t="s">
        <v>526</v>
      </c>
      <c r="J125" s="6"/>
      <c r="K125" s="59"/>
      <c r="L125" s="6" t="s">
        <v>86</v>
      </c>
      <c r="M125" s="57">
        <f>Table135[[#This Row],[20'']]+Table135[[#This Row],[40'']]*2</f>
        <v>2</v>
      </c>
      <c r="N125" s="2" t="str">
        <f>Table135[[#This Row],[CN]]&amp;" - "&amp;Table135[[#This Row],[CNEE]]</f>
        <v>卡帛 - HANSSEM</v>
      </c>
    </row>
    <row r="126" spans="1:14" hidden="1" x14ac:dyDescent="0.2">
      <c r="A126" s="1">
        <v>43793</v>
      </c>
      <c r="B126" s="4" t="s">
        <v>32</v>
      </c>
      <c r="C126" t="s">
        <v>35</v>
      </c>
      <c r="D126" s="50" t="str">
        <f>HYPERLINK("E:\Jobs\0011 "&amp;Table135[[#This Row],[CNEE]]&amp;"\0001 "&amp;VLOOKUP(Table135[[#This Row],[CN]],表5[],2,FALSE)&amp;"\"&amp;TEXT(Table135[[#This Row],[ETD]],IF(Table135[[#This Row],[ETD]]&gt;43830,"YYmmdd","mmdd")),VLOOKUP(Table135[[#This Row],[CN]],表5[],2,FALSE))</f>
        <v>KUKA</v>
      </c>
      <c r="E126" s="3" t="s">
        <v>514</v>
      </c>
      <c r="F126" s="57"/>
      <c r="G126" s="57">
        <v>2</v>
      </c>
      <c r="H126" s="6" t="s">
        <v>531</v>
      </c>
      <c r="I126" s="6" t="s">
        <v>527</v>
      </c>
      <c r="J126" s="6" t="s">
        <v>686</v>
      </c>
      <c r="K126" s="59"/>
      <c r="L126" s="6" t="s">
        <v>86</v>
      </c>
      <c r="M126" s="57">
        <f>Table135[[#This Row],[20'']]+Table135[[#This Row],[40'']]*2</f>
        <v>4</v>
      </c>
      <c r="N126" s="2" t="str">
        <f>Table135[[#This Row],[CN]]&amp;" - "&amp;Table135[[#This Row],[CNEE]]</f>
        <v>顾家 - HANSSEM</v>
      </c>
    </row>
    <row r="127" spans="1:14" hidden="1" x14ac:dyDescent="0.2">
      <c r="A127" s="1">
        <v>43793</v>
      </c>
      <c r="B127" s="4" t="s">
        <v>304</v>
      </c>
      <c r="C127" t="s">
        <v>29</v>
      </c>
      <c r="D127" s="50" t="str">
        <f>HYPERLINK("E:\Jobs\0011 "&amp;Table135[[#This Row],[CNEE]]&amp;"\0001 "&amp;VLOOKUP(Table135[[#This Row],[CN]],表5[],2,FALSE)&amp;"\"&amp;TEXT(Table135[[#This Row],[ETD]],IF(Table135[[#This Row],[ETD]]&gt;43830,"YYmmdd","mmdd")),VLOOKUP(Table135[[#This Row],[CN]],表5[],2,FALSE))</f>
        <v>HUABAO</v>
      </c>
      <c r="E127" s="3" t="s">
        <v>7</v>
      </c>
      <c r="F127" s="57">
        <v>1</v>
      </c>
      <c r="G127" s="57"/>
      <c r="H127" s="6" t="s">
        <v>599</v>
      </c>
      <c r="I127" s="6" t="s">
        <v>597</v>
      </c>
      <c r="J127" s="6"/>
      <c r="K127" s="59"/>
      <c r="L127" s="6" t="s">
        <v>86</v>
      </c>
      <c r="M127" s="57">
        <f>Table135[[#This Row],[20'']]+Table135[[#This Row],[40'']]*2</f>
        <v>1</v>
      </c>
      <c r="N127" s="2" t="str">
        <f>Table135[[#This Row],[CN]]&amp;" - "&amp;Table135[[#This Row],[CNEE]]</f>
        <v>华宝 - EFFEX</v>
      </c>
    </row>
    <row r="128" spans="1:14" hidden="1" x14ac:dyDescent="0.2">
      <c r="A128" s="1">
        <v>43793</v>
      </c>
      <c r="B128" s="4" t="s">
        <v>12</v>
      </c>
      <c r="C128" t="s">
        <v>28</v>
      </c>
      <c r="D128" s="50" t="str">
        <f>HYPERLINK("E:\Jobs\0011 "&amp;Table135[[#This Row],[CNEE]]&amp;"\0001 "&amp;VLOOKUP(Table135[[#This Row],[CN]],表5[],2,FALSE)&amp;"\"&amp;TEXT(Table135[[#This Row],[ETD]],IF(Table135[[#This Row],[ETD]]&gt;43830,"YYmmdd","mmdd")),VLOOKUP(Table135[[#This Row],[CN]],表5[],2,FALSE))</f>
        <v>YAJIAJU</v>
      </c>
      <c r="E128" s="3" t="s">
        <v>603</v>
      </c>
      <c r="F128" s="57"/>
      <c r="G128" s="57">
        <v>1</v>
      </c>
      <c r="H128" s="6" t="s">
        <v>607</v>
      </c>
      <c r="I128" s="6" t="s">
        <v>606</v>
      </c>
      <c r="J128" s="6"/>
      <c r="K128" s="59"/>
      <c r="L128" s="6" t="s">
        <v>86</v>
      </c>
      <c r="M128" s="57">
        <f>Table135[[#This Row],[20'']]+Table135[[#This Row],[40'']]*2</f>
        <v>2</v>
      </c>
      <c r="N128" s="2" t="str">
        <f>Table135[[#This Row],[CN]]&amp;" - "&amp;Table135[[#This Row],[CNEE]]</f>
        <v>雅家居 - CASAMIA</v>
      </c>
    </row>
    <row r="129" spans="1:15" hidden="1" x14ac:dyDescent="0.2">
      <c r="A129" s="1">
        <v>43793</v>
      </c>
      <c r="B129" s="4" t="s">
        <v>32</v>
      </c>
      <c r="C129" t="s">
        <v>34</v>
      </c>
      <c r="D129" s="50" t="str">
        <f>HYPERLINK("E:\Jobs\0011 "&amp;Table135[[#This Row],[CNEE]]&amp;"\0001 "&amp;VLOOKUP(Table135[[#This Row],[CN]],表5[],2,FALSE)&amp;"\"&amp;TEXT(Table135[[#This Row],[ETD]],IF(Table135[[#This Row],[ETD]]&gt;43830,"YYmmdd","mmdd")),VLOOKUP(Table135[[#This Row],[CN]],表5[],2,FALSE))</f>
        <v>WANSHENG</v>
      </c>
      <c r="E129" s="3" t="s">
        <v>551</v>
      </c>
      <c r="F129" s="57"/>
      <c r="G129" s="57">
        <v>2</v>
      </c>
      <c r="H129" s="6" t="s">
        <v>685</v>
      </c>
      <c r="I129" s="6" t="s">
        <v>613</v>
      </c>
      <c r="J129" s="6"/>
      <c r="K129" s="59"/>
      <c r="L129" s="6" t="s">
        <v>86</v>
      </c>
      <c r="M129" s="57">
        <f>Table135[[#This Row],[20'']]+Table135[[#This Row],[40'']]*2</f>
        <v>4</v>
      </c>
      <c r="N129" s="2" t="str">
        <f>Table135[[#This Row],[CN]]&amp;" - "&amp;Table135[[#This Row],[CNEE]]</f>
        <v>万盛 - HANSSEM</v>
      </c>
    </row>
    <row r="130" spans="1:15" hidden="1" x14ac:dyDescent="0.2">
      <c r="A130" s="1">
        <v>43793</v>
      </c>
      <c r="B130" s="4" t="s">
        <v>32</v>
      </c>
      <c r="C130" t="s">
        <v>34</v>
      </c>
      <c r="D130" s="50" t="str">
        <f>HYPERLINK("E:\Jobs\0011 "&amp;Table135[[#This Row],[CNEE]]&amp;"\0001 "&amp;VLOOKUP(Table135[[#This Row],[CN]],表5[],2,FALSE)&amp;"\"&amp;TEXT(Table135[[#This Row],[ETD]],IF(Table135[[#This Row],[ETD]]&gt;43830,"YYmmdd","mmdd")),VLOOKUP(Table135[[#This Row],[CN]],表5[],2,FALSE))</f>
        <v>WANSHENG</v>
      </c>
      <c r="E130" s="3" t="s">
        <v>610</v>
      </c>
      <c r="F130" s="57"/>
      <c r="G130" s="57">
        <v>1</v>
      </c>
      <c r="H130" s="6" t="s">
        <v>616</v>
      </c>
      <c r="I130" s="6" t="s">
        <v>614</v>
      </c>
      <c r="J130" s="6" t="s">
        <v>594</v>
      </c>
      <c r="K130" s="59"/>
      <c r="L130" s="6" t="s">
        <v>86</v>
      </c>
      <c r="M130" s="57">
        <f>Table135[[#This Row],[20'']]+Table135[[#This Row],[40'']]*2</f>
        <v>2</v>
      </c>
      <c r="N130" s="2" t="str">
        <f>Table135[[#This Row],[CN]]&amp;" - "&amp;Table135[[#This Row],[CNEE]]</f>
        <v>万盛 - HANSSEM</v>
      </c>
    </row>
    <row r="131" spans="1:15" hidden="1" x14ac:dyDescent="0.2">
      <c r="A131" s="1">
        <v>43793</v>
      </c>
      <c r="B131" s="4" t="s">
        <v>32</v>
      </c>
      <c r="C131" t="s">
        <v>34</v>
      </c>
      <c r="D131" s="50" t="str">
        <f>HYPERLINK("E:\Jobs\0011 "&amp;Table135[[#This Row],[CNEE]]&amp;"\0001 "&amp;VLOOKUP(Table135[[#This Row],[CN]],表5[],2,FALSE)&amp;"\"&amp;TEXT(Table135[[#This Row],[ETD]],IF(Table135[[#This Row],[ETD]]&gt;43830,"YYmmdd","mmdd")),VLOOKUP(Table135[[#This Row],[CN]],表5[],2,FALSE))</f>
        <v>WANSHENG</v>
      </c>
      <c r="E131" s="3" t="s">
        <v>611</v>
      </c>
      <c r="F131" s="57"/>
      <c r="G131" s="57">
        <v>1</v>
      </c>
      <c r="H131" s="6" t="s">
        <v>617</v>
      </c>
      <c r="I131" s="6" t="s">
        <v>615</v>
      </c>
      <c r="J131" s="6"/>
      <c r="K131" s="59"/>
      <c r="L131" s="6" t="s">
        <v>86</v>
      </c>
      <c r="M131" s="57">
        <f>Table135[[#This Row],[20'']]+Table135[[#This Row],[40'']]*2</f>
        <v>2</v>
      </c>
      <c r="N131" s="2" t="str">
        <f>Table135[[#This Row],[CN]]&amp;" - "&amp;Table135[[#This Row],[CNEE]]</f>
        <v>万盛 - HANSSEM</v>
      </c>
    </row>
    <row r="132" spans="1:15" hidden="1" x14ac:dyDescent="0.2">
      <c r="A132" s="1">
        <v>43793</v>
      </c>
      <c r="B132" s="4" t="s">
        <v>75</v>
      </c>
      <c r="C132" t="s">
        <v>27</v>
      </c>
      <c r="D132" s="50" t="str">
        <f>HYPERLINK("E:\Jobs\0011 "&amp;Table135[[#This Row],[CNEE]]&amp;"\0001 "&amp;VLOOKUP(Table135[[#This Row],[CN]],表5[],2,FALSE)&amp;"\"&amp;TEXT(Table135[[#This Row],[ETD]],IF(Table135[[#This Row],[ETD]]&gt;43830,"YYmmdd","mmdd")),VLOOKUP(Table135[[#This Row],[CN]],表5[],2,FALSE))</f>
        <v>UE</v>
      </c>
      <c r="E132" s="3" t="s">
        <v>639</v>
      </c>
      <c r="F132" s="57"/>
      <c r="G132" s="57">
        <v>1</v>
      </c>
      <c r="H132" s="6" t="s">
        <v>641</v>
      </c>
      <c r="I132" s="6" t="s">
        <v>640</v>
      </c>
      <c r="J132" s="6"/>
      <c r="K132" s="59"/>
      <c r="L132" s="6" t="s">
        <v>86</v>
      </c>
      <c r="M132" s="57">
        <f>Table135[[#This Row],[20'']]+Table135[[#This Row],[40'']]*2</f>
        <v>2</v>
      </c>
      <c r="N132" s="2" t="str">
        <f>Table135[[#This Row],[CN]]&amp;" - "&amp;Table135[[#This Row],[CNEE]]</f>
        <v>永艺 - SSEM</v>
      </c>
    </row>
    <row r="133" spans="1:15" hidden="1" x14ac:dyDescent="0.2">
      <c r="A133" s="1">
        <v>43796</v>
      </c>
      <c r="B133" s="4" t="s">
        <v>496</v>
      </c>
      <c r="C133" t="s">
        <v>30</v>
      </c>
      <c r="D133" s="50" t="str">
        <f>HYPERLINK("E:\Jobs\0011 "&amp;Table135[[#This Row],[CNEE]]&amp;"\0001 "&amp;VLOOKUP(Table135[[#This Row],[CN]],表5[],2,FALSE)&amp;"\"&amp;TEXT(Table135[[#This Row],[ETD]],IF(Table135[[#This Row],[ETD]]&gt;43830,"YYmmdd","mmdd")),VLOOKUP(Table135[[#This Row],[CN]],表5[],2,FALSE))</f>
        <v>CABO</v>
      </c>
      <c r="E133" s="3" t="s">
        <v>497</v>
      </c>
      <c r="F133" s="57"/>
      <c r="G133" s="57">
        <v>1</v>
      </c>
      <c r="H133" s="6" t="s">
        <v>499</v>
      </c>
      <c r="I133" s="6" t="s">
        <v>498</v>
      </c>
      <c r="J133" s="6"/>
      <c r="K133" s="59"/>
      <c r="L133" s="6" t="s">
        <v>86</v>
      </c>
      <c r="M133" s="57">
        <f>Table135[[#This Row],[20'']]+Table135[[#This Row],[40'']]*2</f>
        <v>2</v>
      </c>
      <c r="N133" s="2" t="str">
        <f>Table135[[#This Row],[CN]]&amp;" - "&amp;Table135[[#This Row],[CNEE]]</f>
        <v>卡帛 - HANSSEM</v>
      </c>
    </row>
    <row r="134" spans="1:15" hidden="1" x14ac:dyDescent="0.2">
      <c r="A134" s="1">
        <v>43796</v>
      </c>
      <c r="B134" s="4" t="s">
        <v>32</v>
      </c>
      <c r="C134" t="s">
        <v>35</v>
      </c>
      <c r="D134" s="50" t="str">
        <f>HYPERLINK("E:\Jobs\0011 "&amp;Table135[[#This Row],[CNEE]]&amp;"\0001 "&amp;VLOOKUP(Table135[[#This Row],[CN]],表5[],2,FALSE)&amp;"\"&amp;TEXT(Table135[[#This Row],[ETD]],IF(Table135[[#This Row],[ETD]]&gt;43830,"YYmmdd","mmdd")),VLOOKUP(Table135[[#This Row],[CN]],表5[],2,FALSE))</f>
        <v>KUKA</v>
      </c>
      <c r="E134" s="3" t="s">
        <v>515</v>
      </c>
      <c r="F134" s="57"/>
      <c r="G134" s="57">
        <v>2</v>
      </c>
      <c r="H134" s="6" t="s">
        <v>532</v>
      </c>
      <c r="I134" s="6" t="s">
        <v>528</v>
      </c>
      <c r="J134" s="6"/>
      <c r="K134" s="59"/>
      <c r="L134" s="6" t="s">
        <v>86</v>
      </c>
      <c r="M134" s="57">
        <f>Table135[[#This Row],[20'']]+Table135[[#This Row],[40'']]*2</f>
        <v>4</v>
      </c>
      <c r="N134" s="2" t="str">
        <f>Table135[[#This Row],[CN]]&amp;" - "&amp;Table135[[#This Row],[CNEE]]</f>
        <v>顾家 - HANSSEM</v>
      </c>
    </row>
    <row r="135" spans="1:15" ht="28.5" hidden="1" x14ac:dyDescent="0.2">
      <c r="A135" s="1">
        <v>43796</v>
      </c>
      <c r="B135" s="4" t="s">
        <v>12</v>
      </c>
      <c r="C135" t="s">
        <v>35</v>
      </c>
      <c r="D135" s="50" t="str">
        <f>HYPERLINK("E:\Jobs\0011 "&amp;Table135[[#This Row],[CNEE]]&amp;"\0001 "&amp;VLOOKUP(Table135[[#This Row],[CN]],表5[],2,FALSE)&amp;"\"&amp;TEXT(Table135[[#This Row],[ETD]],IF(Table135[[#This Row],[ETD]]&gt;43830,"YYmmdd","mmdd")),VLOOKUP(Table135[[#This Row],[CN]],表5[],2,FALSE))</f>
        <v>KUKA</v>
      </c>
      <c r="E135" s="3" t="s">
        <v>487</v>
      </c>
      <c r="F135" s="57"/>
      <c r="G135" s="57">
        <v>2</v>
      </c>
      <c r="H135" s="6" t="s">
        <v>586</v>
      </c>
      <c r="I135" s="6" t="s">
        <v>588</v>
      </c>
      <c r="J135" s="6"/>
      <c r="K135" s="59"/>
      <c r="L135" s="6" t="s">
        <v>86</v>
      </c>
      <c r="M135" s="57">
        <f>Table135[[#This Row],[20'']]+Table135[[#This Row],[40'']]*2</f>
        <v>4</v>
      </c>
      <c r="N135" s="2" t="str">
        <f>Table135[[#This Row],[CN]]&amp;" - "&amp;Table135[[#This Row],[CNEE]]</f>
        <v>顾家 - CASAMIA</v>
      </c>
    </row>
    <row r="136" spans="1:15" hidden="1" x14ac:dyDescent="0.2">
      <c r="A136" s="1">
        <v>43796</v>
      </c>
      <c r="B136" s="4" t="s">
        <v>304</v>
      </c>
      <c r="C136" t="s">
        <v>29</v>
      </c>
      <c r="D136" s="50" t="str">
        <f>HYPERLINK("E:\Jobs\0011 "&amp;Table135[[#This Row],[CNEE]]&amp;"\0001 "&amp;VLOOKUP(Table135[[#This Row],[CN]],表5[],2,FALSE)&amp;"\"&amp;TEXT(Table135[[#This Row],[ETD]],IF(Table135[[#This Row],[ETD]]&gt;43830,"YYmmdd","mmdd")),VLOOKUP(Table135[[#This Row],[CN]],表5[],2,FALSE))</f>
        <v>HUABAO</v>
      </c>
      <c r="E136" s="3" t="s">
        <v>7</v>
      </c>
      <c r="F136" s="57">
        <v>11</v>
      </c>
      <c r="G136" s="57"/>
      <c r="H136" s="6" t="s">
        <v>600</v>
      </c>
      <c r="I136" s="6" t="s">
        <v>598</v>
      </c>
      <c r="J136" s="6" t="s">
        <v>601</v>
      </c>
      <c r="K136" s="59"/>
      <c r="L136" s="6" t="s">
        <v>86</v>
      </c>
      <c r="M136" s="57">
        <f>Table135[[#This Row],[20'']]+Table135[[#This Row],[40'']]*2</f>
        <v>11</v>
      </c>
      <c r="N136" s="2" t="str">
        <f>Table135[[#This Row],[CN]]&amp;" - "&amp;Table135[[#This Row],[CNEE]]</f>
        <v>华宝 - EFFEX</v>
      </c>
    </row>
    <row r="137" spans="1:15" hidden="1" x14ac:dyDescent="0.2">
      <c r="A137" s="1">
        <v>43796</v>
      </c>
      <c r="B137" s="4" t="s">
        <v>32</v>
      </c>
      <c r="C137" t="s">
        <v>34</v>
      </c>
      <c r="D137" s="50" t="str">
        <f>HYPERLINK("E:\Jobs\0011 "&amp;Table135[[#This Row],[CNEE]]&amp;"\0001 "&amp;VLOOKUP(Table135[[#This Row],[CN]],表5[],2,FALSE)&amp;"\"&amp;TEXT(Table135[[#This Row],[ETD]],IF(Table135[[#This Row],[ETD]]&gt;43830,"YYmmdd","mmdd")),VLOOKUP(Table135[[#This Row],[CN]],表5[],2,FALSE))</f>
        <v>WANSHENG</v>
      </c>
      <c r="E137" s="3" t="s">
        <v>625</v>
      </c>
      <c r="F137" s="57"/>
      <c r="G137" s="57">
        <v>3</v>
      </c>
      <c r="H137" s="6" t="s">
        <v>712</v>
      </c>
      <c r="I137" s="6" t="s">
        <v>627</v>
      </c>
      <c r="J137" s="6"/>
      <c r="K137" s="59"/>
      <c r="L137" s="6" t="s">
        <v>86</v>
      </c>
      <c r="M137" s="57">
        <f>Table135[[#This Row],[20'']]+Table135[[#This Row],[40'']]*2</f>
        <v>6</v>
      </c>
      <c r="N137" s="2" t="str">
        <f>Table135[[#This Row],[CN]]&amp;" - "&amp;Table135[[#This Row],[CNEE]]</f>
        <v>万盛 - HANSSEM</v>
      </c>
      <c r="O137" s="4"/>
    </row>
    <row r="138" spans="1:15" hidden="1" x14ac:dyDescent="0.2">
      <c r="A138" s="1">
        <v>43796</v>
      </c>
      <c r="B138" s="4" t="s">
        <v>32</v>
      </c>
      <c r="C138" t="s">
        <v>34</v>
      </c>
      <c r="D138" s="50" t="str">
        <f>HYPERLINK("E:\Jobs\0011 "&amp;Table135[[#This Row],[CNEE]]&amp;"\0001 "&amp;VLOOKUP(Table135[[#This Row],[CN]],表5[],2,FALSE)&amp;"\"&amp;TEXT(Table135[[#This Row],[ETD]],IF(Table135[[#This Row],[ETD]]&gt;43830,"YYmmdd","mmdd")),VLOOKUP(Table135[[#This Row],[CN]],表5[],2,FALSE))</f>
        <v>WANSHENG</v>
      </c>
      <c r="E138" s="3" t="s">
        <v>626</v>
      </c>
      <c r="F138" s="57"/>
      <c r="G138" s="57">
        <v>1</v>
      </c>
      <c r="H138" s="6" t="s">
        <v>632</v>
      </c>
      <c r="I138" s="6" t="s">
        <v>628</v>
      </c>
      <c r="J138" s="6"/>
      <c r="K138" s="59"/>
      <c r="L138" s="6" t="s">
        <v>86</v>
      </c>
      <c r="M138" s="57">
        <f>Table135[[#This Row],[20'']]+Table135[[#This Row],[40'']]*2</f>
        <v>2</v>
      </c>
      <c r="N138" s="2" t="str">
        <f>Table135[[#This Row],[CN]]&amp;" - "&amp;Table135[[#This Row],[CNEE]]</f>
        <v>万盛 - HANSSEM</v>
      </c>
    </row>
    <row r="139" spans="1:15" ht="28.5" hidden="1" x14ac:dyDescent="0.2">
      <c r="A139" s="1">
        <v>43796</v>
      </c>
      <c r="B139" s="4" t="s">
        <v>12</v>
      </c>
      <c r="C139" t="s">
        <v>31</v>
      </c>
      <c r="D139" s="50" t="str">
        <f>HYPERLINK("E:\Jobs\0011 "&amp;Table135[[#This Row],[CNEE]]&amp;"\0001 "&amp;VLOOKUP(Table135[[#This Row],[CN]],表5[],2,FALSE)&amp;"\"&amp;TEXT(Table135[[#This Row],[ETD]],IF(Table135[[#This Row],[ETD]]&gt;43830,"YYmmdd","mmdd")),VLOOKUP(Table135[[#This Row],[CN]],表5[],2,FALSE))</f>
        <v>HTL</v>
      </c>
      <c r="E139" s="3" t="s">
        <v>636</v>
      </c>
      <c r="F139" s="57"/>
      <c r="G139" s="57">
        <v>2</v>
      </c>
      <c r="H139" s="6" t="s">
        <v>638</v>
      </c>
      <c r="I139" s="6" t="s">
        <v>637</v>
      </c>
      <c r="J139" s="6"/>
      <c r="K139" s="59"/>
      <c r="L139" s="6" t="s">
        <v>86</v>
      </c>
      <c r="M139" s="57">
        <f>Table135[[#This Row],[20'']]+Table135[[#This Row],[40'']]*2</f>
        <v>4</v>
      </c>
      <c r="N139" s="2" t="str">
        <f>Table135[[#This Row],[CN]]&amp;" - "&amp;Table135[[#This Row],[CNEE]]</f>
        <v>华达利 - CASAMIA</v>
      </c>
    </row>
    <row r="140" spans="1:15" hidden="1" x14ac:dyDescent="0.2">
      <c r="A140" s="1">
        <v>43800</v>
      </c>
      <c r="B140" s="4" t="s">
        <v>32</v>
      </c>
      <c r="C140" t="s">
        <v>35</v>
      </c>
      <c r="D140" s="50" t="str">
        <f>HYPERLINK("E:\Jobs\0011 "&amp;Table135[[#This Row],[CNEE]]&amp;"\0001 "&amp;VLOOKUP(Table135[[#This Row],[CN]],表5[],2,FALSE)&amp;"\"&amp;TEXT(Table135[[#This Row],[ETD]],IF(Table135[[#This Row],[ETD]]&gt;43830,"YYmmdd","mmdd")),VLOOKUP(Table135[[#This Row],[CN]],表5[],2,FALSE))</f>
        <v>KUKA</v>
      </c>
      <c r="E140" s="3" t="s">
        <v>1200</v>
      </c>
      <c r="F140" s="57"/>
      <c r="G140" s="57">
        <v>2</v>
      </c>
      <c r="H140" s="44" t="s">
        <v>963</v>
      </c>
      <c r="I140" s="6" t="s">
        <v>605</v>
      </c>
      <c r="J140" s="6"/>
      <c r="K140" s="59" t="s">
        <v>1235</v>
      </c>
      <c r="L140" s="6" t="s">
        <v>86</v>
      </c>
      <c r="M140" s="57">
        <f>Table135[[#This Row],[20'']]+Table135[[#This Row],[40'']]*2</f>
        <v>4</v>
      </c>
      <c r="N140" s="2" t="str">
        <f>Table135[[#This Row],[CN]]&amp;" - "&amp;Table135[[#This Row],[CNEE]]</f>
        <v>顾家 - HANSSEM</v>
      </c>
    </row>
    <row r="141" spans="1:15" hidden="1" x14ac:dyDescent="0.2">
      <c r="A141" s="1">
        <v>43800</v>
      </c>
      <c r="B141" s="4" t="s">
        <v>304</v>
      </c>
      <c r="C141" t="s">
        <v>29</v>
      </c>
      <c r="D141" s="50" t="str">
        <f>HYPERLINK("E:\Jobs\0011 "&amp;Table135[[#This Row],[CNEE]]&amp;"\0001 "&amp;VLOOKUP(Table135[[#This Row],[CN]],表5[],2,FALSE)&amp;"\"&amp;TEXT(Table135[[#This Row],[ETD]],IF(Table135[[#This Row],[ETD]]&gt;43830,"YYmmdd","mmdd")),VLOOKUP(Table135[[#This Row],[CN]],表5[],2,FALSE))</f>
        <v>HUABAO</v>
      </c>
      <c r="E141" s="3" t="s">
        <v>1205</v>
      </c>
      <c r="F141" s="57">
        <v>10</v>
      </c>
      <c r="G141" s="57"/>
      <c r="H141" s="44" t="s">
        <v>622</v>
      </c>
      <c r="I141" s="6" t="s">
        <v>620</v>
      </c>
      <c r="J141" s="6" t="s">
        <v>623</v>
      </c>
      <c r="K141" s="59">
        <v>1550</v>
      </c>
      <c r="L141" s="6" t="s">
        <v>86</v>
      </c>
      <c r="M141" s="57">
        <f>Table135[[#This Row],[20'']]+Table135[[#This Row],[40'']]*2</f>
        <v>10</v>
      </c>
      <c r="N141" s="2" t="str">
        <f>Table135[[#This Row],[CN]]&amp;" - "&amp;Table135[[#This Row],[CNEE]]</f>
        <v>华宝 - EFFEX</v>
      </c>
    </row>
    <row r="142" spans="1:15" ht="42.75" hidden="1" x14ac:dyDescent="0.2">
      <c r="A142" s="1">
        <v>43800</v>
      </c>
      <c r="B142" s="4" t="s">
        <v>12</v>
      </c>
      <c r="C142" t="s">
        <v>31</v>
      </c>
      <c r="D142" s="50" t="str">
        <f>HYPERLINK("E:\Jobs\0011 "&amp;Table135[[#This Row],[CNEE]]&amp;"\0001 "&amp;VLOOKUP(Table135[[#This Row],[CN]],表5[],2,FALSE)&amp;"\"&amp;TEXT(Table135[[#This Row],[ETD]],IF(Table135[[#This Row],[ETD]]&gt;43830,"YYmmdd","mmdd")),VLOOKUP(Table135[[#This Row],[CN]],表5[],2,FALSE))</f>
        <v>HTL</v>
      </c>
      <c r="E142" s="3" t="s">
        <v>575</v>
      </c>
      <c r="F142" s="57"/>
      <c r="G142" s="57">
        <v>0</v>
      </c>
      <c r="H142" s="6" t="s">
        <v>582</v>
      </c>
      <c r="I142" s="6" t="s">
        <v>580</v>
      </c>
      <c r="J142" s="6" t="s">
        <v>744</v>
      </c>
      <c r="K142" s="59"/>
      <c r="L142" s="6" t="s">
        <v>86</v>
      </c>
      <c r="M142" s="57">
        <f>Table135[[#This Row],[20'']]+Table135[[#This Row],[40'']]*2</f>
        <v>0</v>
      </c>
      <c r="N142" s="2" t="str">
        <f>Table135[[#This Row],[CN]]&amp;" - "&amp;Table135[[#This Row],[CNEE]]</f>
        <v>华达利 - CASAMIA</v>
      </c>
    </row>
    <row r="143" spans="1:15" ht="42.75" hidden="1" x14ac:dyDescent="0.2">
      <c r="A143" s="1">
        <v>43800</v>
      </c>
      <c r="B143" s="4" t="s">
        <v>12</v>
      </c>
      <c r="C143" t="s">
        <v>31</v>
      </c>
      <c r="D143" s="50" t="str">
        <f>HYPERLINK("E:\Jobs\0011 "&amp;Table135[[#This Row],[CNEE]]&amp;"\0001 "&amp;VLOOKUP(Table135[[#This Row],[CN]],表5[],2,FALSE)&amp;"\"&amp;TEXT(Table135[[#This Row],[ETD]],IF(Table135[[#This Row],[ETD]]&gt;43830,"YYmmdd","mmdd")),VLOOKUP(Table135[[#This Row],[CN]],表5[],2,FALSE))</f>
        <v>HTL</v>
      </c>
      <c r="E143" s="3" t="s">
        <v>576</v>
      </c>
      <c r="F143" s="57"/>
      <c r="G143" s="57">
        <v>0</v>
      </c>
      <c r="H143" s="6" t="s">
        <v>583</v>
      </c>
      <c r="I143" s="6" t="s">
        <v>581</v>
      </c>
      <c r="J143" s="6" t="s">
        <v>744</v>
      </c>
      <c r="K143" s="59"/>
      <c r="L143" s="6" t="s">
        <v>86</v>
      </c>
      <c r="M143" s="57">
        <f>Table135[[#This Row],[20'']]+Table135[[#This Row],[40'']]*2</f>
        <v>0</v>
      </c>
      <c r="N143" s="2" t="str">
        <f>Table135[[#This Row],[CN]]&amp;" - "&amp;Table135[[#This Row],[CNEE]]</f>
        <v>华达利 - CASAMIA</v>
      </c>
    </row>
    <row r="144" spans="1:15" hidden="1" x14ac:dyDescent="0.2">
      <c r="A144" s="1">
        <v>43800</v>
      </c>
      <c r="B144" s="4" t="s">
        <v>32</v>
      </c>
      <c r="C144" t="s">
        <v>34</v>
      </c>
      <c r="D144" s="50" t="str">
        <f>HYPERLINK("E:\Jobs\0011 "&amp;Table135[[#This Row],[CNEE]]&amp;"\0001 "&amp;VLOOKUP(Table135[[#This Row],[CN]],表5[],2,FALSE)&amp;"\"&amp;TEXT(Table135[[#This Row],[ETD]],IF(Table135[[#This Row],[ETD]]&gt;43830,"YYmmdd","mmdd")),VLOOKUP(Table135[[#This Row],[CN]],表5[],2,FALSE))</f>
        <v>WANSHENG</v>
      </c>
      <c r="E144" s="3" t="s">
        <v>1210</v>
      </c>
      <c r="F144" s="57"/>
      <c r="G144" s="57">
        <v>1</v>
      </c>
      <c r="H144" s="44" t="s">
        <v>1234</v>
      </c>
      <c r="I144" s="6" t="s">
        <v>630</v>
      </c>
      <c r="J144" s="6" t="s">
        <v>743</v>
      </c>
      <c r="K144" s="59" t="s">
        <v>1236</v>
      </c>
      <c r="L144" s="6" t="s">
        <v>86</v>
      </c>
      <c r="M144" s="57">
        <f>Table135[[#This Row],[20'']]+Table135[[#This Row],[40'']]*2</f>
        <v>2</v>
      </c>
      <c r="N144" s="2" t="str">
        <f>Table135[[#This Row],[CN]]&amp;" - "&amp;Table135[[#This Row],[CNEE]]</f>
        <v>万盛 - HANSSEM</v>
      </c>
      <c r="O144" s="2"/>
    </row>
    <row r="145" spans="1:14" hidden="1" x14ac:dyDescent="0.2">
      <c r="A145" s="1">
        <v>43800</v>
      </c>
      <c r="B145" s="4" t="s">
        <v>32</v>
      </c>
      <c r="C145" t="s">
        <v>34</v>
      </c>
      <c r="D145" s="50" t="str">
        <f>HYPERLINK("E:\Jobs\0011 "&amp;Table135[[#This Row],[CNEE]]&amp;"\0001 "&amp;VLOOKUP(Table135[[#This Row],[CN]],表5[],2,FALSE)&amp;"\"&amp;TEXT(Table135[[#This Row],[ETD]],IF(Table135[[#This Row],[ETD]]&gt;43830,"YYmmdd","mmdd")),VLOOKUP(Table135[[#This Row],[CN]],表5[],2,FALSE))</f>
        <v>WANSHENG</v>
      </c>
      <c r="E145" s="3" t="s">
        <v>1211</v>
      </c>
      <c r="F145" s="57"/>
      <c r="G145" s="57">
        <v>1</v>
      </c>
      <c r="H145" s="44" t="s">
        <v>633</v>
      </c>
      <c r="I145" s="6" t="s">
        <v>631</v>
      </c>
      <c r="J145" s="6"/>
      <c r="K145" s="59"/>
      <c r="L145" s="6" t="s">
        <v>86</v>
      </c>
      <c r="M145" s="57">
        <f>Table135[[#This Row],[20'']]+Table135[[#This Row],[40'']]*2</f>
        <v>2</v>
      </c>
      <c r="N145" s="2" t="str">
        <f>Table135[[#This Row],[CN]]&amp;" - "&amp;Table135[[#This Row],[CNEE]]</f>
        <v>万盛 - HANSSEM</v>
      </c>
    </row>
    <row r="146" spans="1:14" hidden="1" x14ac:dyDescent="0.2">
      <c r="A146" s="1">
        <v>43800</v>
      </c>
      <c r="B146" s="4" t="s">
        <v>32</v>
      </c>
      <c r="C146" t="s">
        <v>34</v>
      </c>
      <c r="D146" s="50" t="str">
        <f>HYPERLINK("E:\Jobs\0011 "&amp;Table135[[#This Row],[CNEE]]&amp;"\0001 "&amp;VLOOKUP(Table135[[#This Row],[CN]],表5[],2,FALSE)&amp;"\"&amp;TEXT(Table135[[#This Row],[ETD]],IF(Table135[[#This Row],[ETD]]&gt;43830,"YYmmdd","mmdd")),VLOOKUP(Table135[[#This Row],[CN]],表5[],2,FALSE))</f>
        <v>WANSHENG</v>
      </c>
      <c r="E146" s="3" t="s">
        <v>1214</v>
      </c>
      <c r="F146" s="57"/>
      <c r="G146" s="57">
        <v>2</v>
      </c>
      <c r="H146" s="44" t="s">
        <v>756</v>
      </c>
      <c r="I146" s="6" t="s">
        <v>629</v>
      </c>
      <c r="J146" s="6"/>
      <c r="K146" s="59"/>
      <c r="L146" s="6" t="s">
        <v>86</v>
      </c>
      <c r="M146" s="57">
        <f>Table135[[#This Row],[20'']]+Table135[[#This Row],[40'']]*2</f>
        <v>4</v>
      </c>
      <c r="N146" s="2" t="str">
        <f>Table135[[#This Row],[CN]]&amp;" - "&amp;Table135[[#This Row],[CNEE]]</f>
        <v>万盛 - HANSSEM</v>
      </c>
    </row>
    <row r="147" spans="1:14" hidden="1" x14ac:dyDescent="0.2">
      <c r="A147" s="1">
        <v>43800</v>
      </c>
      <c r="B147" s="4" t="s">
        <v>12</v>
      </c>
      <c r="C147" t="s">
        <v>28</v>
      </c>
      <c r="D147" s="50" t="str">
        <f>HYPERLINK("E:\Jobs\0011 "&amp;Table135[[#This Row],[CNEE]]&amp;"\0001 "&amp;VLOOKUP(Table135[[#This Row],[CN]],表5[],2,FALSE)&amp;"\"&amp;TEXT(Table135[[#This Row],[ETD]],IF(Table135[[#This Row],[ETD]]&gt;43830,"YYmmdd","mmdd")),VLOOKUP(Table135[[#This Row],[CN]],表5[],2,FALSE))</f>
        <v>YAJIAJU</v>
      </c>
      <c r="E147" s="3" t="s">
        <v>687</v>
      </c>
      <c r="F147" s="57"/>
      <c r="G147" s="57">
        <v>2</v>
      </c>
      <c r="H147" s="44" t="s">
        <v>692</v>
      </c>
      <c r="I147" s="6" t="s">
        <v>688</v>
      </c>
      <c r="J147" s="6"/>
      <c r="K147" s="59">
        <v>564</v>
      </c>
      <c r="L147" s="6" t="s">
        <v>86</v>
      </c>
      <c r="M147" s="57">
        <f>Table135[[#This Row],[20'']]+Table135[[#This Row],[40'']]*2</f>
        <v>4</v>
      </c>
      <c r="N147" s="2" t="str">
        <f>Table135[[#This Row],[CN]]&amp;" - "&amp;Table135[[#This Row],[CNEE]]</f>
        <v>雅家居 - CASAMIA</v>
      </c>
    </row>
    <row r="148" spans="1:14" hidden="1" x14ac:dyDescent="0.2">
      <c r="A148" s="1">
        <v>43800</v>
      </c>
      <c r="B148" s="4" t="s">
        <v>75</v>
      </c>
      <c r="C148" t="s">
        <v>27</v>
      </c>
      <c r="D148" s="50" t="str">
        <f>HYPERLINK("E:\Jobs\0011 "&amp;Table135[[#This Row],[CNEE]]&amp;"\0001 "&amp;VLOOKUP(Table135[[#This Row],[CN]],表5[],2,FALSE)&amp;"\"&amp;TEXT(Table135[[#This Row],[ETD]],IF(Table135[[#This Row],[ETD]]&gt;43830,"YYmmdd","mmdd")),VLOOKUP(Table135[[#This Row],[CN]],表5[],2,FALSE))</f>
        <v>UE</v>
      </c>
      <c r="E148" s="3"/>
      <c r="F148" s="57"/>
      <c r="G148" s="57">
        <v>1</v>
      </c>
      <c r="H148" s="44" t="s">
        <v>621</v>
      </c>
      <c r="I148" s="6" t="s">
        <v>619</v>
      </c>
      <c r="J148" s="6"/>
      <c r="K148" s="59"/>
      <c r="L148" s="6" t="s">
        <v>86</v>
      </c>
      <c r="M148" s="57">
        <f>Table135[[#This Row],[20'']]+Table135[[#This Row],[40'']]*2</f>
        <v>2</v>
      </c>
      <c r="N148" s="2" t="str">
        <f>Table135[[#This Row],[CN]]&amp;" - "&amp;Table135[[#This Row],[CNEE]]</f>
        <v>永艺 - SSEM</v>
      </c>
    </row>
    <row r="149" spans="1:14" hidden="1" x14ac:dyDescent="0.2">
      <c r="A149" s="1">
        <v>43803</v>
      </c>
      <c r="B149" s="4" t="s">
        <v>32</v>
      </c>
      <c r="C149" t="s">
        <v>35</v>
      </c>
      <c r="D149" s="50" t="str">
        <f>HYPERLINK("E:\Jobs\0011 "&amp;Table135[[#This Row],[CNEE]]&amp;"\0001 "&amp;VLOOKUP(Table135[[#This Row],[CN]],表5[],2,FALSE)&amp;"\"&amp;TEXT(Table135[[#This Row],[ETD]],IF(Table135[[#This Row],[ETD]]&gt;43830,"YYmmdd","mmdd")),VLOOKUP(Table135[[#This Row],[CN]],表5[],2,FALSE))</f>
        <v>KUKA</v>
      </c>
      <c r="E149" s="3" t="s">
        <v>1198</v>
      </c>
      <c r="F149" s="57"/>
      <c r="G149" s="57">
        <v>1</v>
      </c>
      <c r="H149" s="44" t="s">
        <v>672</v>
      </c>
      <c r="I149" s="6" t="s">
        <v>668</v>
      </c>
      <c r="J149" s="6"/>
      <c r="K149" s="59" t="s">
        <v>1238</v>
      </c>
      <c r="L149" s="6" t="s">
        <v>86</v>
      </c>
      <c r="M149" s="57">
        <f>Table135[[#This Row],[20'']]+Table135[[#This Row],[40'']]*2</f>
        <v>2</v>
      </c>
      <c r="N149" s="2" t="str">
        <f>Table135[[#This Row],[CN]]&amp;" - "&amp;Table135[[#This Row],[CNEE]]</f>
        <v>顾家 - HANSSEM</v>
      </c>
    </row>
    <row r="150" spans="1:14" hidden="1" x14ac:dyDescent="0.2">
      <c r="A150" s="1">
        <v>43803</v>
      </c>
      <c r="B150" s="4" t="s">
        <v>32</v>
      </c>
      <c r="C150" t="s">
        <v>34</v>
      </c>
      <c r="D150" s="50" t="str">
        <f>HYPERLINK("E:\Jobs\0011 "&amp;Table135[[#This Row],[CNEE]]&amp;"\0001 "&amp;VLOOKUP(Table135[[#This Row],[CN]],表5[],2,FALSE)&amp;"\"&amp;TEXT(Table135[[#This Row],[ETD]],IF(Table135[[#This Row],[ETD]]&gt;43830,"YYmmdd","mmdd")),VLOOKUP(Table135[[#This Row],[CN]],表5[],2,FALSE))</f>
        <v>WANSHENG</v>
      </c>
      <c r="E150" s="3" t="s">
        <v>693</v>
      </c>
      <c r="F150" s="57"/>
      <c r="G150" s="57">
        <v>1</v>
      </c>
      <c r="H150" s="44" t="s">
        <v>1237</v>
      </c>
      <c r="I150" s="6" t="s">
        <v>698</v>
      </c>
      <c r="J150" s="6"/>
      <c r="K150" s="59" t="s">
        <v>1239</v>
      </c>
      <c r="L150" s="6" t="s">
        <v>86</v>
      </c>
      <c r="M150" s="57">
        <f>Table135[[#This Row],[20'']]+Table135[[#This Row],[40'']]*2</f>
        <v>2</v>
      </c>
      <c r="N150" s="2" t="str">
        <f>Table135[[#This Row],[CN]]&amp;" - "&amp;Table135[[#This Row],[CNEE]]</f>
        <v>万盛 - HANSSEM</v>
      </c>
    </row>
    <row r="151" spans="1:14" hidden="1" x14ac:dyDescent="0.2">
      <c r="A151" s="1">
        <v>43803</v>
      </c>
      <c r="B151" s="4" t="s">
        <v>32</v>
      </c>
      <c r="C151" t="s">
        <v>34</v>
      </c>
      <c r="D151" s="50" t="str">
        <f>HYPERLINK("E:\Jobs\0011 "&amp;Table135[[#This Row],[CNEE]]&amp;"\0001 "&amp;VLOOKUP(Table135[[#This Row],[CN]],表5[],2,FALSE)&amp;"\"&amp;TEXT(Table135[[#This Row],[ETD]],IF(Table135[[#This Row],[ETD]]&gt;43830,"YYmmdd","mmdd")),VLOOKUP(Table135[[#This Row],[CN]],表5[],2,FALSE))</f>
        <v>WANSHENG</v>
      </c>
      <c r="E151" s="3" t="s">
        <v>1225</v>
      </c>
      <c r="F151" s="57"/>
      <c r="G151" s="57">
        <v>3</v>
      </c>
      <c r="H151" s="44" t="s">
        <v>768</v>
      </c>
      <c r="I151" s="6" t="s">
        <v>697</v>
      </c>
      <c r="J151" s="6"/>
      <c r="K151" s="59"/>
      <c r="L151" s="6" t="s">
        <v>86</v>
      </c>
      <c r="M151" s="57">
        <f>Table135[[#This Row],[20'']]+Table135[[#This Row],[40'']]*2</f>
        <v>6</v>
      </c>
      <c r="N151" s="2" t="str">
        <f>Table135[[#This Row],[CN]]&amp;" - "&amp;Table135[[#This Row],[CNEE]]</f>
        <v>万盛 - HANSSEM</v>
      </c>
    </row>
    <row r="152" spans="1:14" hidden="1" x14ac:dyDescent="0.2">
      <c r="A152" s="1">
        <v>43803</v>
      </c>
      <c r="B152" s="4" t="s">
        <v>12</v>
      </c>
      <c r="C152" t="s">
        <v>33</v>
      </c>
      <c r="D152" s="50" t="str">
        <f>HYPERLINK("E:\Jobs\0011 "&amp;Table135[[#This Row],[CNEE]]&amp;"\0001 "&amp;VLOOKUP(Table135[[#This Row],[CN]],表5[],2,FALSE)&amp;"\"&amp;TEXT(Table135[[#This Row],[ETD]],IF(Table135[[#This Row],[ETD]]&gt;43830,"YYmmdd","mmdd")),VLOOKUP(Table135[[#This Row],[CN]],表5[],2,FALSE))</f>
        <v>ZHOUJI</v>
      </c>
      <c r="E152" s="3" t="s">
        <v>1233</v>
      </c>
      <c r="F152" s="57"/>
      <c r="G152" s="57">
        <v>1</v>
      </c>
      <c r="H152" s="44" t="s">
        <v>676</v>
      </c>
      <c r="I152" s="6" t="s">
        <v>666</v>
      </c>
      <c r="J152" s="6" t="s">
        <v>667</v>
      </c>
      <c r="K152" s="59">
        <v>512</v>
      </c>
      <c r="L152" s="6" t="s">
        <v>86</v>
      </c>
      <c r="M152" s="57">
        <f>Table135[[#This Row],[20'']]+Table135[[#This Row],[40'']]*2</f>
        <v>2</v>
      </c>
      <c r="N152" s="2" t="str">
        <f>Table135[[#This Row],[CN]]&amp;" - "&amp;Table135[[#This Row],[CNEE]]</f>
        <v>洲际 - CASAMIA</v>
      </c>
    </row>
    <row r="153" spans="1:14" hidden="1" x14ac:dyDescent="0.2">
      <c r="A153" s="1">
        <v>43807</v>
      </c>
      <c r="B153" s="4" t="s">
        <v>32</v>
      </c>
      <c r="C153" t="s">
        <v>35</v>
      </c>
      <c r="D153" s="50" t="str">
        <f>HYPERLINK("E:\Jobs\0011 "&amp;Table135[[#This Row],[CNEE]]&amp;"\0001 "&amp;VLOOKUP(Table135[[#This Row],[CN]],表5[],2,FALSE)&amp;"\"&amp;TEXT(Table135[[#This Row],[ETD]],IF(Table135[[#This Row],[ETD]]&gt;43830,"YYmmdd","mmdd")),VLOOKUP(Table135[[#This Row],[CN]],表5[],2,FALSE))</f>
        <v>KUKA</v>
      </c>
      <c r="E153" s="3" t="s">
        <v>1201</v>
      </c>
      <c r="F153" s="57"/>
      <c r="G153" s="57">
        <v>2</v>
      </c>
      <c r="H153" s="44" t="s">
        <v>673</v>
      </c>
      <c r="I153" s="6" t="s">
        <v>669</v>
      </c>
      <c r="J153" s="6" t="s">
        <v>667</v>
      </c>
      <c r="K153" s="59" t="s">
        <v>1241</v>
      </c>
      <c r="L153" s="6" t="s">
        <v>86</v>
      </c>
      <c r="M153" s="57">
        <f>Table135[[#This Row],[20'']]+Table135[[#This Row],[40'']]*2</f>
        <v>4</v>
      </c>
      <c r="N153" s="2" t="str">
        <f>Table135[[#This Row],[CN]]&amp;" - "&amp;Table135[[#This Row],[CNEE]]</f>
        <v>顾家 - HANSSEM</v>
      </c>
    </row>
    <row r="154" spans="1:14" ht="71.25" hidden="1" x14ac:dyDescent="0.2">
      <c r="A154" s="1">
        <v>43807</v>
      </c>
      <c r="B154" s="4" t="s">
        <v>12</v>
      </c>
      <c r="C154" t="s">
        <v>35</v>
      </c>
      <c r="D154" s="50" t="str">
        <f>HYPERLINK("E:\Jobs\0011 "&amp;Table135[[#This Row],[CNEE]]&amp;"\0001 "&amp;VLOOKUP(Table135[[#This Row],[CN]],表5[],2,FALSE)&amp;"\"&amp;TEXT(Table135[[#This Row],[ETD]],IF(Table135[[#This Row],[ETD]]&gt;43830,"YYmmdd","mmdd")),VLOOKUP(Table135[[#This Row],[CN]],表5[],2,FALSE))</f>
        <v>KUKA</v>
      </c>
      <c r="E154" s="3" t="s">
        <v>719</v>
      </c>
      <c r="F154" s="57"/>
      <c r="G154" s="57">
        <v>5</v>
      </c>
      <c r="H154" s="44" t="s">
        <v>730</v>
      </c>
      <c r="I154" s="6" t="s">
        <v>723</v>
      </c>
      <c r="J154" s="6"/>
      <c r="K154" s="59">
        <v>1160</v>
      </c>
      <c r="L154" s="6" t="s">
        <v>86</v>
      </c>
      <c r="M154" s="57">
        <f>Table135[[#This Row],[20'']]+Table135[[#This Row],[40'']]*2</f>
        <v>10</v>
      </c>
      <c r="N154" s="2" t="str">
        <f>Table135[[#This Row],[CN]]&amp;" - "&amp;Table135[[#This Row],[CNEE]]</f>
        <v>顾家 - CASAMIA</v>
      </c>
    </row>
    <row r="155" spans="1:14" hidden="1" x14ac:dyDescent="0.2">
      <c r="A155" s="1">
        <v>43807</v>
      </c>
      <c r="B155" t="s">
        <v>12</v>
      </c>
      <c r="C155" t="s">
        <v>31</v>
      </c>
      <c r="D155" s="50" t="str">
        <f>HYPERLINK("E:\Jobs\0011 "&amp;Table135[[#This Row],[CNEE]]&amp;"\0001 "&amp;VLOOKUP(Table135[[#This Row],[CN]],表5[],2,FALSE)&amp;"\"&amp;TEXT(Table135[[#This Row],[ETD]],IF(Table135[[#This Row],[ETD]]&gt;43830,"YYmmdd","mmdd")),VLOOKUP(Table135[[#This Row],[CN]],表5[],2,FALSE))</f>
        <v>HTL</v>
      </c>
      <c r="E155" s="3" t="s">
        <v>1206</v>
      </c>
      <c r="F155" s="57"/>
      <c r="G155" s="57">
        <v>1</v>
      </c>
      <c r="H155" s="44" t="s">
        <v>731</v>
      </c>
      <c r="I155" s="6" t="s">
        <v>724</v>
      </c>
      <c r="J155" s="6"/>
      <c r="K155" s="59">
        <v>312</v>
      </c>
      <c r="L155" s="6" t="s">
        <v>86</v>
      </c>
      <c r="M155" s="57">
        <f>Table135[[#This Row],[20'']]+Table135[[#This Row],[40'']]*2</f>
        <v>2</v>
      </c>
      <c r="N155" s="2" t="str">
        <f>Table135[[#This Row],[CN]]&amp;" - "&amp;Table135[[#This Row],[CNEE]]</f>
        <v>华达利 - CASAMIA</v>
      </c>
    </row>
    <row r="156" spans="1:14" hidden="1" x14ac:dyDescent="0.2">
      <c r="A156" s="1">
        <v>43807</v>
      </c>
      <c r="B156" s="4" t="s">
        <v>32</v>
      </c>
      <c r="C156" t="s">
        <v>30</v>
      </c>
      <c r="D156" s="50" t="str">
        <f>HYPERLINK("E:\Jobs\0011 "&amp;Table135[[#This Row],[CNEE]]&amp;"\0001 "&amp;VLOOKUP(Table135[[#This Row],[CN]],表5[],2,FALSE)&amp;"\"&amp;TEXT(Table135[[#This Row],[ETD]],IF(Table135[[#This Row],[ETD]]&gt;43830,"YYmmdd","mmdd")),VLOOKUP(Table135[[#This Row],[CN]],表5[],2,FALSE))</f>
        <v>CABO</v>
      </c>
      <c r="E156" s="3" t="s">
        <v>677</v>
      </c>
      <c r="F156" s="57"/>
      <c r="G156" s="57">
        <v>0</v>
      </c>
      <c r="H156" s="44" t="s">
        <v>689</v>
      </c>
      <c r="I156" s="6" t="s">
        <v>678</v>
      </c>
      <c r="J156" s="6" t="s">
        <v>778</v>
      </c>
      <c r="K156" s="59"/>
      <c r="L156" s="6" t="s">
        <v>86</v>
      </c>
      <c r="M156" s="57">
        <f>Table135[[#This Row],[20'']]+Table135[[#This Row],[40'']]*2</f>
        <v>0</v>
      </c>
      <c r="N156" s="2" t="str">
        <f>Table135[[#This Row],[CN]]&amp;" - "&amp;Table135[[#This Row],[CNEE]]</f>
        <v>卡帛 - HANSSEM</v>
      </c>
    </row>
    <row r="157" spans="1:14" hidden="1" x14ac:dyDescent="0.2">
      <c r="A157" s="1">
        <v>43807</v>
      </c>
      <c r="B157" s="4" t="s">
        <v>32</v>
      </c>
      <c r="C157" t="s">
        <v>34</v>
      </c>
      <c r="D157" s="50" t="str">
        <f>HYPERLINK("E:\Jobs\0011 "&amp;Table135[[#This Row],[CNEE]]&amp;"\0001 "&amp;VLOOKUP(Table135[[#This Row],[CN]],表5[],2,FALSE)&amp;"\"&amp;TEXT(Table135[[#This Row],[ETD]],IF(Table135[[#This Row],[ETD]]&gt;43830,"YYmmdd","mmdd")),VLOOKUP(Table135[[#This Row],[CN]],表5[],2,FALSE))</f>
        <v>WANSHENG</v>
      </c>
      <c r="E157" s="3" t="s">
        <v>1215</v>
      </c>
      <c r="F157" s="57"/>
      <c r="G157" s="57">
        <v>2</v>
      </c>
      <c r="H157" s="44" t="s">
        <v>1240</v>
      </c>
      <c r="I157" s="6" t="s">
        <v>699</v>
      </c>
      <c r="J157" s="6"/>
      <c r="K157" s="59" t="s">
        <v>1236</v>
      </c>
      <c r="L157" s="6" t="s">
        <v>86</v>
      </c>
      <c r="M157" s="57">
        <f>Table135[[#This Row],[20'']]+Table135[[#This Row],[40'']]*2</f>
        <v>4</v>
      </c>
      <c r="N157" s="2" t="str">
        <f>Table135[[#This Row],[CN]]&amp;" - "&amp;Table135[[#This Row],[CNEE]]</f>
        <v>万盛 - HANSSEM</v>
      </c>
    </row>
    <row r="158" spans="1:14" hidden="1" x14ac:dyDescent="0.2">
      <c r="A158" s="1">
        <v>43807</v>
      </c>
      <c r="B158" s="4" t="s">
        <v>32</v>
      </c>
      <c r="C158" t="s">
        <v>34</v>
      </c>
      <c r="D158" s="50" t="str">
        <f>HYPERLINK("E:\Jobs\0011 "&amp;Table135[[#This Row],[CNEE]]&amp;"\0001 "&amp;VLOOKUP(Table135[[#This Row],[CN]],表5[],2,FALSE)&amp;"\"&amp;TEXT(Table135[[#This Row],[ETD]],IF(Table135[[#This Row],[ETD]]&gt;43830,"YYmmdd","mmdd")),VLOOKUP(Table135[[#This Row],[CN]],表5[],2,FALSE))</f>
        <v>WANSHENG</v>
      </c>
      <c r="E158" s="3" t="s">
        <v>1216</v>
      </c>
      <c r="F158" s="57"/>
      <c r="G158" s="57">
        <v>2</v>
      </c>
      <c r="H158" s="44" t="s">
        <v>787</v>
      </c>
      <c r="I158" s="6" t="s">
        <v>700</v>
      </c>
      <c r="J158" s="6"/>
      <c r="K158" s="59"/>
      <c r="L158" s="6" t="s">
        <v>86</v>
      </c>
      <c r="M158" s="57">
        <f>Table135[[#This Row],[20'']]+Table135[[#This Row],[40'']]*2</f>
        <v>4</v>
      </c>
      <c r="N158" s="2" t="str">
        <f>Table135[[#This Row],[CN]]&amp;" - "&amp;Table135[[#This Row],[CNEE]]</f>
        <v>万盛 - HANSSEM</v>
      </c>
    </row>
    <row r="159" spans="1:14" hidden="1" x14ac:dyDescent="0.2">
      <c r="A159" s="1">
        <v>43807</v>
      </c>
      <c r="B159" s="4" t="s">
        <v>32</v>
      </c>
      <c r="C159" t="s">
        <v>34</v>
      </c>
      <c r="D159" s="50" t="str">
        <f>HYPERLINK("E:\Jobs\0011 "&amp;Table135[[#This Row],[CNEE]]&amp;"\0001 "&amp;VLOOKUP(Table135[[#This Row],[CN]],表5[],2,FALSE)&amp;"\"&amp;TEXT(Table135[[#This Row],[ETD]],IF(Table135[[#This Row],[ETD]]&gt;43830,"YYmmdd","mmdd")),VLOOKUP(Table135[[#This Row],[CN]],表5[],2,FALSE))</f>
        <v>WANSHENG</v>
      </c>
      <c r="E159" s="3" t="s">
        <v>694</v>
      </c>
      <c r="F159" s="57"/>
      <c r="G159" s="57">
        <v>2</v>
      </c>
      <c r="H159" s="44" t="s">
        <v>708</v>
      </c>
      <c r="I159" s="6" t="s">
        <v>701</v>
      </c>
      <c r="J159" s="6"/>
      <c r="K159" s="59"/>
      <c r="L159" s="6" t="s">
        <v>86</v>
      </c>
      <c r="M159" s="57">
        <f>Table135[[#This Row],[20'']]+Table135[[#This Row],[40'']]*2</f>
        <v>4</v>
      </c>
      <c r="N159" s="2" t="str">
        <f>Table135[[#This Row],[CN]]&amp;" - "&amp;Table135[[#This Row],[CNEE]]</f>
        <v>万盛 - HANSSEM</v>
      </c>
    </row>
    <row r="160" spans="1:14" hidden="1" x14ac:dyDescent="0.2">
      <c r="A160" s="1">
        <v>43807</v>
      </c>
      <c r="B160" s="4" t="s">
        <v>75</v>
      </c>
      <c r="C160" t="s">
        <v>27</v>
      </c>
      <c r="D160" s="50" t="str">
        <f>HYPERLINK("E:\Jobs\0011 "&amp;Table135[[#This Row],[CNEE]]&amp;"\0001 "&amp;VLOOKUP(Table135[[#This Row],[CN]],表5[],2,FALSE)&amp;"\"&amp;TEXT(Table135[[#This Row],[ETD]],IF(Table135[[#This Row],[ETD]]&gt;43830,"YYmmdd","mmdd")),VLOOKUP(Table135[[#This Row],[CN]],表5[],2,FALSE))</f>
        <v>UE</v>
      </c>
      <c r="E160" s="3" t="s">
        <v>1230</v>
      </c>
      <c r="F160" s="57"/>
      <c r="G160" s="57">
        <v>3</v>
      </c>
      <c r="H160" s="6" t="s">
        <v>775</v>
      </c>
      <c r="I160" s="6" t="s">
        <v>774</v>
      </c>
      <c r="J160" s="6"/>
      <c r="K160" s="59"/>
      <c r="L160" s="6" t="s">
        <v>86</v>
      </c>
      <c r="M160" s="57">
        <f>Table135[[#This Row],[20'']]+Table135[[#This Row],[40'']]*2</f>
        <v>6</v>
      </c>
      <c r="N160" s="2" t="str">
        <f>Table135[[#This Row],[CN]]&amp;" - "&amp;Table135[[#This Row],[CNEE]]</f>
        <v>永艺 - SSEM</v>
      </c>
    </row>
    <row r="161" spans="1:14" hidden="1" x14ac:dyDescent="0.2">
      <c r="A161" s="1">
        <v>43810</v>
      </c>
      <c r="B161" s="4" t="s">
        <v>75</v>
      </c>
      <c r="C161" t="s">
        <v>500</v>
      </c>
      <c r="D161" s="50" t="str">
        <f>HYPERLINK("E:\Jobs\0011 "&amp;Table135[[#This Row],[CNEE]]&amp;"\0001 "&amp;VLOOKUP(Table135[[#This Row],[CN]],表5[],2,FALSE)&amp;"\"&amp;TEXT(Table135[[#This Row],[ETD]],IF(Table135[[#This Row],[ETD]]&gt;43830,"YYmmdd","mmdd")),VLOOKUP(Table135[[#This Row],[CN]],表5[],2,FALSE))</f>
        <v>FUHE</v>
      </c>
      <c r="E161" s="3" t="s">
        <v>720</v>
      </c>
      <c r="F161" s="57"/>
      <c r="G161" s="57">
        <v>0</v>
      </c>
      <c r="H161" s="44" t="s">
        <v>738</v>
      </c>
      <c r="I161" s="6" t="s">
        <v>725</v>
      </c>
      <c r="J161" s="6"/>
      <c r="K161" s="59"/>
      <c r="L161" s="6" t="s">
        <v>86</v>
      </c>
      <c r="M161" s="57">
        <f>Table135[[#This Row],[20'']]+Table135[[#This Row],[40'']]*2</f>
        <v>0</v>
      </c>
      <c r="N161" s="2" t="str">
        <f>Table135[[#This Row],[CN]]&amp;" - "&amp;Table135[[#This Row],[CNEE]]</f>
        <v>富和 - SSEM</v>
      </c>
    </row>
    <row r="162" spans="1:14" ht="28.5" hidden="1" x14ac:dyDescent="0.2">
      <c r="A162" s="1">
        <v>43810</v>
      </c>
      <c r="B162" s="4" t="s">
        <v>12</v>
      </c>
      <c r="C162" t="s">
        <v>35</v>
      </c>
      <c r="D162" s="50" t="str">
        <f>HYPERLINK("E:\Jobs\0011 "&amp;Table135[[#This Row],[CNEE]]&amp;"\0001 "&amp;VLOOKUP(Table135[[#This Row],[CN]],表5[],2,FALSE)&amp;"\"&amp;TEXT(Table135[[#This Row],[ETD]],IF(Table135[[#This Row],[ETD]]&gt;43830,"YYmmdd","mmdd")),VLOOKUP(Table135[[#This Row],[CN]],表5[],2,FALSE))</f>
        <v>KUKA</v>
      </c>
      <c r="E162" s="3" t="s">
        <v>745</v>
      </c>
      <c r="F162" s="57"/>
      <c r="G162" s="57">
        <v>0</v>
      </c>
      <c r="H162" s="6" t="s">
        <v>750</v>
      </c>
      <c r="I162" s="6" t="s">
        <v>749</v>
      </c>
      <c r="J162" s="6" t="s">
        <v>763</v>
      </c>
      <c r="K162" s="59"/>
      <c r="L162" s="6" t="s">
        <v>86</v>
      </c>
      <c r="M162" s="57">
        <f>Table135[[#This Row],[20'']]+Table135[[#This Row],[40'']]*2</f>
        <v>0</v>
      </c>
      <c r="N162" s="2" t="str">
        <f>Table135[[#This Row],[CN]]&amp;" - "&amp;Table135[[#This Row],[CNEE]]</f>
        <v>顾家 - CASAMIA</v>
      </c>
    </row>
    <row r="163" spans="1:14" hidden="1" x14ac:dyDescent="0.2">
      <c r="A163" s="1">
        <v>43810</v>
      </c>
      <c r="B163" s="4" t="s">
        <v>32</v>
      </c>
      <c r="C163" t="s">
        <v>35</v>
      </c>
      <c r="D163" s="50" t="str">
        <f>HYPERLINK("E:\Jobs\0011 "&amp;Table135[[#This Row],[CNEE]]&amp;"\0001 "&amp;VLOOKUP(Table135[[#This Row],[CN]],表5[],2,FALSE)&amp;"\"&amp;TEXT(Table135[[#This Row],[ETD]],IF(Table135[[#This Row],[ETD]]&gt;43830,"YYmmdd","mmdd")),VLOOKUP(Table135[[#This Row],[CN]],表5[],2,FALSE))</f>
        <v>KUKA</v>
      </c>
      <c r="E163" s="3" t="s">
        <v>1199</v>
      </c>
      <c r="F163" s="57"/>
      <c r="G163" s="57">
        <v>1</v>
      </c>
      <c r="H163" s="6" t="s">
        <v>830</v>
      </c>
      <c r="I163" s="6" t="s">
        <v>751</v>
      </c>
      <c r="J163" s="6"/>
      <c r="K163" s="59" t="s">
        <v>1242</v>
      </c>
      <c r="L163" s="6" t="s">
        <v>86</v>
      </c>
      <c r="M163" s="57">
        <f>Table135[[#This Row],[20'']]+Table135[[#This Row],[40'']]*2</f>
        <v>2</v>
      </c>
      <c r="N163" s="2" t="str">
        <f>Table135[[#This Row],[CN]]&amp;" - "&amp;Table135[[#This Row],[CNEE]]</f>
        <v>顾家 - HANSSEM</v>
      </c>
    </row>
    <row r="164" spans="1:14" hidden="1" x14ac:dyDescent="0.2">
      <c r="A164" s="1">
        <v>43810</v>
      </c>
      <c r="B164" t="s">
        <v>12</v>
      </c>
      <c r="C164" t="s">
        <v>31</v>
      </c>
      <c r="D164" s="50" t="str">
        <f>HYPERLINK("E:\Jobs\0011 "&amp;Table135[[#This Row],[CNEE]]&amp;"\0001 "&amp;VLOOKUP(Table135[[#This Row],[CN]],表5[],2,FALSE)&amp;"\"&amp;TEXT(Table135[[#This Row],[ETD]],IF(Table135[[#This Row],[ETD]]&gt;43830,"YYmmdd","mmdd")),VLOOKUP(Table135[[#This Row],[CN]],表5[],2,FALSE))</f>
        <v>HTL</v>
      </c>
      <c r="E164" s="3"/>
      <c r="F164" s="57"/>
      <c r="G164" s="57">
        <v>0</v>
      </c>
      <c r="H164" s="44" t="s">
        <v>741</v>
      </c>
      <c r="I164" s="6" t="s">
        <v>740</v>
      </c>
      <c r="J164" s="6"/>
      <c r="K164" s="59"/>
      <c r="L164" s="6" t="s">
        <v>86</v>
      </c>
      <c r="M164" s="57">
        <f>Table135[[#This Row],[20'']]+Table135[[#This Row],[40'']]*2</f>
        <v>0</v>
      </c>
      <c r="N164" s="2" t="str">
        <f>Table135[[#This Row],[CN]]&amp;" - "&amp;Table135[[#This Row],[CNEE]]</f>
        <v>华达利 - CASAMIA</v>
      </c>
    </row>
    <row r="165" spans="1:14" hidden="1" x14ac:dyDescent="0.2">
      <c r="A165" s="1">
        <v>43810</v>
      </c>
      <c r="B165" t="s">
        <v>12</v>
      </c>
      <c r="C165" t="s">
        <v>31</v>
      </c>
      <c r="D165" s="50" t="str">
        <f>HYPERLINK("E:\Jobs\0011 "&amp;Table135[[#This Row],[CNEE]]&amp;"\0001 "&amp;VLOOKUP(Table135[[#This Row],[CN]],表5[],2,FALSE)&amp;"\"&amp;TEXT(Table135[[#This Row],[ETD]],IF(Table135[[#This Row],[ETD]]&gt;43830,"YYmmdd","mmdd")),VLOOKUP(Table135[[#This Row],[CN]],表5[],2,FALSE))</f>
        <v>HTL</v>
      </c>
      <c r="E165" s="3" t="s">
        <v>753</v>
      </c>
      <c r="F165" s="57"/>
      <c r="G165" s="57">
        <v>1</v>
      </c>
      <c r="H165" s="44" t="s">
        <v>732</v>
      </c>
      <c r="I165" s="6" t="s">
        <v>726</v>
      </c>
      <c r="J165" s="6"/>
      <c r="K165" s="59">
        <v>212</v>
      </c>
      <c r="L165" s="6" t="s">
        <v>86</v>
      </c>
      <c r="M165" s="57">
        <f>Table135[[#This Row],[20'']]+Table135[[#This Row],[40'']]*2</f>
        <v>2</v>
      </c>
      <c r="N165" s="2" t="str">
        <f>Table135[[#This Row],[CN]]&amp;" - "&amp;Table135[[#This Row],[CNEE]]</f>
        <v>华达利 - CASAMIA</v>
      </c>
    </row>
    <row r="166" spans="1:14" hidden="1" x14ac:dyDescent="0.2">
      <c r="A166" s="1">
        <v>43810</v>
      </c>
      <c r="B166" s="4" t="s">
        <v>32</v>
      </c>
      <c r="C166" t="s">
        <v>30</v>
      </c>
      <c r="D166" s="50" t="str">
        <f>HYPERLINK("E:\Jobs\0011 "&amp;Table135[[#This Row],[CNEE]]&amp;"\0001 "&amp;VLOOKUP(Table135[[#This Row],[CN]],表5[],2,FALSE)&amp;"\"&amp;TEXT(Table135[[#This Row],[ETD]],IF(Table135[[#This Row],[ETD]]&gt;43830,"YYmmdd","mmdd")),VLOOKUP(Table135[[#This Row],[CN]],表5[],2,FALSE))</f>
        <v>CABO</v>
      </c>
      <c r="E166" s="3" t="s">
        <v>779</v>
      </c>
      <c r="F166" s="57"/>
      <c r="G166" s="57">
        <v>3</v>
      </c>
      <c r="H166" s="44" t="s">
        <v>690</v>
      </c>
      <c r="I166" s="6" t="s">
        <v>679</v>
      </c>
      <c r="J166" s="6" t="s">
        <v>780</v>
      </c>
      <c r="K166" s="59" t="s">
        <v>1244</v>
      </c>
      <c r="L166" s="6" t="s">
        <v>86</v>
      </c>
      <c r="M166" s="57">
        <f>Table135[[#This Row],[20'']]+Table135[[#This Row],[40'']]*2</f>
        <v>6</v>
      </c>
      <c r="N166" s="2" t="str">
        <f>Table135[[#This Row],[CN]]&amp;" - "&amp;Table135[[#This Row],[CNEE]]</f>
        <v>卡帛 - HANSSEM</v>
      </c>
    </row>
    <row r="167" spans="1:14" hidden="1" x14ac:dyDescent="0.2">
      <c r="A167" s="1">
        <v>43810</v>
      </c>
      <c r="B167" s="4" t="s">
        <v>32</v>
      </c>
      <c r="C167" t="s">
        <v>34</v>
      </c>
      <c r="D167" s="50" t="str">
        <f>HYPERLINK("E:\Jobs\0011 "&amp;Table135[[#This Row],[CNEE]]&amp;"\0001 "&amp;VLOOKUP(Table135[[#This Row],[CN]],表5[],2,FALSE)&amp;"\"&amp;TEXT(Table135[[#This Row],[ETD]],IF(Table135[[#This Row],[ETD]]&gt;43830,"YYmmdd","mmdd")),VLOOKUP(Table135[[#This Row],[CN]],表5[],2,FALSE))</f>
        <v>WANSHENG</v>
      </c>
      <c r="E167" s="3" t="s">
        <v>695</v>
      </c>
      <c r="F167" s="57"/>
      <c r="G167" s="57">
        <v>0</v>
      </c>
      <c r="H167" s="44" t="s">
        <v>709</v>
      </c>
      <c r="I167" s="6" t="s">
        <v>702</v>
      </c>
      <c r="J167" s="6"/>
      <c r="K167" s="59"/>
      <c r="L167" s="6" t="s">
        <v>86</v>
      </c>
      <c r="M167" s="57">
        <f>Table135[[#This Row],[20'']]+Table135[[#This Row],[40'']]*2</f>
        <v>0</v>
      </c>
      <c r="N167" s="2" t="str">
        <f>Table135[[#This Row],[CN]]&amp;" - "&amp;Table135[[#This Row],[CNEE]]</f>
        <v>万盛 - HANSSEM</v>
      </c>
    </row>
    <row r="168" spans="1:14" hidden="1" x14ac:dyDescent="0.2">
      <c r="A168" s="1">
        <v>43810</v>
      </c>
      <c r="B168" s="4" t="s">
        <v>32</v>
      </c>
      <c r="C168" t="s">
        <v>34</v>
      </c>
      <c r="D168" s="50" t="str">
        <f>HYPERLINK("E:\Jobs\0011 "&amp;Table135[[#This Row],[CNEE]]&amp;"\0001 "&amp;VLOOKUP(Table135[[#This Row],[CN]],表5[],2,FALSE)&amp;"\"&amp;TEXT(Table135[[#This Row],[ETD]],IF(Table135[[#This Row],[ETD]]&gt;43830,"YYmmdd","mmdd")),VLOOKUP(Table135[[#This Row],[CN]],表5[],2,FALSE))</f>
        <v>WANSHENG</v>
      </c>
      <c r="E168" s="3" t="s">
        <v>1217</v>
      </c>
      <c r="F168" s="57"/>
      <c r="G168" s="57">
        <v>2</v>
      </c>
      <c r="H168" s="44" t="s">
        <v>801</v>
      </c>
      <c r="I168" s="6" t="s">
        <v>703</v>
      </c>
      <c r="J168" s="6"/>
      <c r="K168" s="59" t="s">
        <v>1239</v>
      </c>
      <c r="L168" s="6" t="s">
        <v>86</v>
      </c>
      <c r="M168" s="57">
        <f>Table135[[#This Row],[20'']]+Table135[[#This Row],[40'']]*2</f>
        <v>4</v>
      </c>
      <c r="N168" s="2" t="str">
        <f>Table135[[#This Row],[CN]]&amp;" - "&amp;Table135[[#This Row],[CNEE]]</f>
        <v>万盛 - HANSSEM</v>
      </c>
    </row>
    <row r="169" spans="1:14" hidden="1" x14ac:dyDescent="0.2">
      <c r="A169" s="1">
        <v>43810</v>
      </c>
      <c r="B169" s="4" t="s">
        <v>32</v>
      </c>
      <c r="C169" t="s">
        <v>34</v>
      </c>
      <c r="D169" s="50" t="str">
        <f>HYPERLINK("E:\Jobs\0011 "&amp;Table135[[#This Row],[CNEE]]&amp;"\0001 "&amp;VLOOKUP(Table135[[#This Row],[CN]],表5[],2,FALSE)&amp;"\"&amp;TEXT(Table135[[#This Row],[ETD]],IF(Table135[[#This Row],[ETD]]&gt;43830,"YYmmdd","mmdd")),VLOOKUP(Table135[[#This Row],[CN]],表5[],2,FALSE))</f>
        <v>WANSHENG</v>
      </c>
      <c r="E169" s="3" t="s">
        <v>696</v>
      </c>
      <c r="F169" s="57"/>
      <c r="G169" s="57">
        <v>2</v>
      </c>
      <c r="H169" s="44" t="s">
        <v>1243</v>
      </c>
      <c r="I169" s="6" t="s">
        <v>704</v>
      </c>
      <c r="J169" s="6"/>
      <c r="K169" s="59" t="s">
        <v>1245</v>
      </c>
      <c r="L169" s="6" t="s">
        <v>86</v>
      </c>
      <c r="M169" s="57">
        <f>Table135[[#This Row],[20'']]+Table135[[#This Row],[40'']]*2</f>
        <v>4</v>
      </c>
      <c r="N169" s="2" t="str">
        <f>Table135[[#This Row],[CN]]&amp;" - "&amp;Table135[[#This Row],[CNEE]]</f>
        <v>万盛 - HANSSEM</v>
      </c>
    </row>
    <row r="170" spans="1:14" hidden="1" x14ac:dyDescent="0.2">
      <c r="A170" s="1">
        <v>43810</v>
      </c>
      <c r="B170" s="4" t="s">
        <v>12</v>
      </c>
      <c r="C170" t="s">
        <v>28</v>
      </c>
      <c r="D170" s="50" t="str">
        <f>HYPERLINK("E:\Jobs\0011 "&amp;Table135[[#This Row],[CNEE]]&amp;"\0001 "&amp;VLOOKUP(Table135[[#This Row],[CN]],表5[],2,FALSE)&amp;"\"&amp;TEXT(Table135[[#This Row],[ETD]],IF(Table135[[#This Row],[ETD]]&gt;43830,"YYmmdd","mmdd")),VLOOKUP(Table135[[#This Row],[CN]],表5[],2,FALSE))</f>
        <v>YAJIAJU</v>
      </c>
      <c r="E170" s="3" t="s">
        <v>746</v>
      </c>
      <c r="F170" s="57"/>
      <c r="G170" s="57">
        <v>2</v>
      </c>
      <c r="H170" s="6" t="s">
        <v>752</v>
      </c>
      <c r="I170" s="6" t="s">
        <v>748</v>
      </c>
      <c r="J170" s="6"/>
      <c r="K170" s="59">
        <v>564</v>
      </c>
      <c r="L170" s="6" t="s">
        <v>86</v>
      </c>
      <c r="M170" s="57">
        <f>Table135[[#This Row],[20'']]+Table135[[#This Row],[40'']]*2</f>
        <v>4</v>
      </c>
      <c r="N170" s="2" t="str">
        <f>Table135[[#This Row],[CN]]&amp;" - "&amp;Table135[[#This Row],[CNEE]]</f>
        <v>雅家居 - CASAMIA</v>
      </c>
    </row>
    <row r="171" spans="1:14" hidden="1" x14ac:dyDescent="0.2">
      <c r="A171" s="1">
        <v>43814</v>
      </c>
      <c r="B171" s="4" t="s">
        <v>32</v>
      </c>
      <c r="C171" t="s">
        <v>35</v>
      </c>
      <c r="D171" s="50" t="str">
        <f>HYPERLINK("E:\Jobs\0011 "&amp;Table135[[#This Row],[CNEE]]&amp;"\0001 "&amp;VLOOKUP(Table135[[#This Row],[CN]],表5[],2,FALSE)&amp;"\"&amp;TEXT(Table135[[#This Row],[ETD]],IF(Table135[[#This Row],[ETD]]&gt;43830,"YYmmdd","mmdd")),VLOOKUP(Table135[[#This Row],[CN]],表5[],2,FALSE))</f>
        <v>KUKA</v>
      </c>
      <c r="E171" s="3" t="s">
        <v>1203</v>
      </c>
      <c r="F171" s="57"/>
      <c r="G171" s="57">
        <v>4</v>
      </c>
      <c r="H171" s="44" t="s">
        <v>674</v>
      </c>
      <c r="I171" s="6" t="s">
        <v>670</v>
      </c>
      <c r="J171" s="6" t="s">
        <v>667</v>
      </c>
      <c r="K171" s="60" t="s">
        <v>1246</v>
      </c>
      <c r="L171" s="6" t="s">
        <v>86</v>
      </c>
      <c r="M171" s="57">
        <f>Table135[[#This Row],[20'']]+Table135[[#This Row],[40'']]*2</f>
        <v>8</v>
      </c>
      <c r="N171" s="2" t="str">
        <f>Table135[[#This Row],[CN]]&amp;" - "&amp;Table135[[#This Row],[CNEE]]</f>
        <v>顾家 - HANSSEM</v>
      </c>
    </row>
    <row r="172" spans="1:14" hidden="1" x14ac:dyDescent="0.2">
      <c r="A172" s="1">
        <v>43814</v>
      </c>
      <c r="B172" s="4" t="s">
        <v>304</v>
      </c>
      <c r="C172" t="s">
        <v>29</v>
      </c>
      <c r="D172" s="50" t="str">
        <f>HYPERLINK("E:\Jobs\0011 "&amp;Table135[[#This Row],[CNEE]]&amp;"\0001 "&amp;VLOOKUP(Table135[[#This Row],[CN]],表5[],2,FALSE)&amp;"\"&amp;TEXT(Table135[[#This Row],[ETD]],IF(Table135[[#This Row],[ETD]]&gt;43830,"YYmmdd","mmdd")),VLOOKUP(Table135[[#This Row],[CN]],表5[],2,FALSE))</f>
        <v>HUABAO</v>
      </c>
      <c r="E172" s="3"/>
      <c r="F172" s="57">
        <v>12</v>
      </c>
      <c r="G172" s="57"/>
      <c r="H172" s="6" t="s">
        <v>821</v>
      </c>
      <c r="I172" s="6" t="s">
        <v>799</v>
      </c>
      <c r="J172" s="6" t="s">
        <v>800</v>
      </c>
      <c r="K172" s="59">
        <v>1620</v>
      </c>
      <c r="L172" s="6" t="s">
        <v>86</v>
      </c>
      <c r="M172" s="57">
        <f>Table135[[#This Row],[20'']]+Table135[[#This Row],[40'']]*2</f>
        <v>12</v>
      </c>
      <c r="N172" s="2" t="str">
        <f>Table135[[#This Row],[CN]]&amp;" - "&amp;Table135[[#This Row],[CNEE]]</f>
        <v>华宝 - EFFEX</v>
      </c>
    </row>
    <row r="173" spans="1:14" ht="28.5" hidden="1" x14ac:dyDescent="0.2">
      <c r="A173" s="1">
        <v>43814</v>
      </c>
      <c r="B173" t="s">
        <v>12</v>
      </c>
      <c r="C173" t="s">
        <v>31</v>
      </c>
      <c r="D173" s="50" t="str">
        <f>HYPERLINK("E:\Jobs\0011 "&amp;Table135[[#This Row],[CNEE]]&amp;"\0001 "&amp;VLOOKUP(Table135[[#This Row],[CN]],表5[],2,FALSE)&amp;"\"&amp;TEXT(Table135[[#This Row],[ETD]],IF(Table135[[#This Row],[ETD]]&gt;43830,"YYmmdd","mmdd")),VLOOKUP(Table135[[#This Row],[CN]],表5[],2,FALSE))</f>
        <v>HTL</v>
      </c>
      <c r="E173" s="3" t="s">
        <v>754</v>
      </c>
      <c r="F173" s="57"/>
      <c r="G173" s="57">
        <v>2</v>
      </c>
      <c r="H173" s="44" t="s">
        <v>733</v>
      </c>
      <c r="I173" s="6" t="s">
        <v>727</v>
      </c>
      <c r="J173" s="6" t="s">
        <v>939</v>
      </c>
      <c r="K173" s="59">
        <v>424</v>
      </c>
      <c r="L173" s="6" t="s">
        <v>86</v>
      </c>
      <c r="M173" s="57">
        <f>Table135[[#This Row],[20'']]+Table135[[#This Row],[40'']]*2</f>
        <v>4</v>
      </c>
      <c r="N173" s="2" t="str">
        <f>Table135[[#This Row],[CN]]&amp;" - "&amp;Table135[[#This Row],[CNEE]]</f>
        <v>华达利 - CASAMIA</v>
      </c>
    </row>
    <row r="174" spans="1:14" hidden="1" x14ac:dyDescent="0.2">
      <c r="A174" s="1">
        <v>43814</v>
      </c>
      <c r="B174" s="4" t="s">
        <v>12</v>
      </c>
      <c r="C174" t="s">
        <v>31</v>
      </c>
      <c r="D174" s="50" t="str">
        <f>HYPERLINK("E:\Jobs\0011 "&amp;Table135[[#This Row],[CNEE]]&amp;"\0001 "&amp;VLOOKUP(Table135[[#This Row],[CN]],表5[],2,FALSE)&amp;"\"&amp;TEXT(Table135[[#This Row],[ETD]],IF(Table135[[#This Row],[ETD]]&gt;43830,"YYmmdd","mmdd")),VLOOKUP(Table135[[#This Row],[CN]],表5[],2,FALSE))</f>
        <v>HTL</v>
      </c>
      <c r="E174" s="9" t="s">
        <v>786</v>
      </c>
      <c r="F174" s="57">
        <v>1</v>
      </c>
      <c r="G174" s="57"/>
      <c r="H174" s="6" t="s">
        <v>792</v>
      </c>
      <c r="I174" s="6" t="s">
        <v>785</v>
      </c>
      <c r="J174" s="6" t="s">
        <v>929</v>
      </c>
      <c r="K174" s="59">
        <v>235</v>
      </c>
      <c r="L174" s="6" t="s">
        <v>86</v>
      </c>
      <c r="M174" s="57">
        <f>Table135[[#This Row],[20'']]+Table135[[#This Row],[40'']]*2</f>
        <v>1</v>
      </c>
      <c r="N174" s="2" t="str">
        <f>Table135[[#This Row],[CN]]&amp;" - "&amp;Table135[[#This Row],[CNEE]]</f>
        <v>华达利 - CASAMIA</v>
      </c>
    </row>
    <row r="175" spans="1:14" hidden="1" x14ac:dyDescent="0.2">
      <c r="A175" s="1">
        <v>43814</v>
      </c>
      <c r="B175" s="4" t="s">
        <v>32</v>
      </c>
      <c r="C175" t="s">
        <v>30</v>
      </c>
      <c r="D175" s="50" t="str">
        <f>HYPERLINK("E:\Jobs\0011 "&amp;Table135[[#This Row],[CNEE]]&amp;"\0001 "&amp;VLOOKUP(Table135[[#This Row],[CN]],表5[],2,FALSE)&amp;"\"&amp;TEXT(Table135[[#This Row],[ETD]],IF(Table135[[#This Row],[ETD]]&gt;43830,"YYmmdd","mmdd")),VLOOKUP(Table135[[#This Row],[CN]],表5[],2,FALSE))</f>
        <v>CABO</v>
      </c>
      <c r="E175" s="3" t="s">
        <v>1207</v>
      </c>
      <c r="F175" s="57"/>
      <c r="G175" s="57">
        <v>2</v>
      </c>
      <c r="H175" s="44" t="s">
        <v>691</v>
      </c>
      <c r="I175" s="6" t="s">
        <v>680</v>
      </c>
      <c r="J175" s="6" t="s">
        <v>925</v>
      </c>
      <c r="K175" s="60" t="s">
        <v>1247</v>
      </c>
      <c r="L175" s="6" t="s">
        <v>86</v>
      </c>
      <c r="M175" s="57">
        <f>Table135[[#This Row],[20'']]+Table135[[#This Row],[40'']]*2</f>
        <v>4</v>
      </c>
      <c r="N175" s="2" t="str">
        <f>Table135[[#This Row],[CN]]&amp;" - "&amp;Table135[[#This Row],[CNEE]]</f>
        <v>卡帛 - HANSSEM</v>
      </c>
    </row>
    <row r="176" spans="1:14" hidden="1" x14ac:dyDescent="0.2">
      <c r="A176" s="1">
        <v>43814</v>
      </c>
      <c r="B176" s="4" t="s">
        <v>32</v>
      </c>
      <c r="C176" t="s">
        <v>34</v>
      </c>
      <c r="D176" s="50" t="str">
        <f>HYPERLINK("E:\Jobs\0011 "&amp;Table135[[#This Row],[CNEE]]&amp;"\0001 "&amp;VLOOKUP(Table135[[#This Row],[CN]],表5[],2,FALSE)&amp;"\"&amp;TEXT(Table135[[#This Row],[ETD]],IF(Table135[[#This Row],[ETD]]&gt;43830,"YYmmdd","mmdd")),VLOOKUP(Table135[[#This Row],[CN]],表5[],2,FALSE))</f>
        <v>WANSHENG</v>
      </c>
      <c r="E176" s="3"/>
      <c r="F176" s="57"/>
      <c r="G176" s="57">
        <v>1</v>
      </c>
      <c r="H176" s="6" t="s">
        <v>921</v>
      </c>
      <c r="I176" s="6" t="s">
        <v>834</v>
      </c>
      <c r="J176" s="6" t="s">
        <v>835</v>
      </c>
      <c r="K176" s="59" t="s">
        <v>1248</v>
      </c>
      <c r="L176" s="6" t="s">
        <v>86</v>
      </c>
      <c r="M176" s="57">
        <f>Table135[[#This Row],[20'']]+Table135[[#This Row],[40'']]*2</f>
        <v>2</v>
      </c>
      <c r="N176" s="2" t="str">
        <f>Table135[[#This Row],[CN]]&amp;" - "&amp;Table135[[#This Row],[CNEE]]</f>
        <v>万盛 - HANSSEM</v>
      </c>
    </row>
    <row r="177" spans="1:14" hidden="1" x14ac:dyDescent="0.2">
      <c r="A177" s="1">
        <v>43814</v>
      </c>
      <c r="B177" s="4" t="s">
        <v>32</v>
      </c>
      <c r="C177" t="s">
        <v>34</v>
      </c>
      <c r="D177" s="50" t="str">
        <f>HYPERLINK("E:\Jobs\0011 "&amp;Table135[[#This Row],[CNEE]]&amp;"\0001 "&amp;VLOOKUP(Table135[[#This Row],[CN]],表5[],2,FALSE)&amp;"\"&amp;TEXT(Table135[[#This Row],[ETD]],IF(Table135[[#This Row],[ETD]]&gt;43830,"YYmmdd","mmdd")),VLOOKUP(Table135[[#This Row],[CN]],表5[],2,FALSE))</f>
        <v>WANSHENG</v>
      </c>
      <c r="E177" s="3" t="s">
        <v>1218</v>
      </c>
      <c r="F177" s="57"/>
      <c r="G177" s="57">
        <v>2</v>
      </c>
      <c r="H177" s="44" t="s">
        <v>829</v>
      </c>
      <c r="I177" s="6" t="s">
        <v>705</v>
      </c>
      <c r="J177" s="6"/>
      <c r="K177" s="59" t="s">
        <v>1249</v>
      </c>
      <c r="L177" s="6" t="s">
        <v>86</v>
      </c>
      <c r="M177" s="57">
        <f>Table135[[#This Row],[20'']]+Table135[[#This Row],[40'']]*2</f>
        <v>4</v>
      </c>
      <c r="N177" s="2" t="str">
        <f>Table135[[#This Row],[CN]]&amp;" - "&amp;Table135[[#This Row],[CNEE]]</f>
        <v>万盛 - HANSSEM</v>
      </c>
    </row>
    <row r="178" spans="1:14" hidden="1" x14ac:dyDescent="0.2">
      <c r="A178" s="1">
        <v>43814</v>
      </c>
      <c r="B178" s="4" t="s">
        <v>32</v>
      </c>
      <c r="C178" t="s">
        <v>34</v>
      </c>
      <c r="D178" s="50" t="str">
        <f>HYPERLINK("E:\Jobs\0011 "&amp;Table135[[#This Row],[CNEE]]&amp;"\0001 "&amp;VLOOKUP(Table135[[#This Row],[CN]],表5[],2,FALSE)&amp;"\"&amp;TEXT(Table135[[#This Row],[ETD]],IF(Table135[[#This Row],[ETD]]&gt;43830,"YYmmdd","mmdd")),VLOOKUP(Table135[[#This Row],[CN]],表5[],2,FALSE))</f>
        <v>WANSHENG</v>
      </c>
      <c r="E178" s="3" t="s">
        <v>1219</v>
      </c>
      <c r="F178" s="57"/>
      <c r="G178" s="57">
        <v>2</v>
      </c>
      <c r="H178" s="44" t="s">
        <v>922</v>
      </c>
      <c r="I178" s="6" t="s">
        <v>706</v>
      </c>
      <c r="J178" s="6"/>
      <c r="K178" s="59"/>
      <c r="L178" s="6" t="s">
        <v>86</v>
      </c>
      <c r="M178" s="57">
        <f>Table135[[#This Row],[20'']]+Table135[[#This Row],[40'']]*2</f>
        <v>4</v>
      </c>
      <c r="N178" s="2" t="str">
        <f>Table135[[#This Row],[CN]]&amp;" - "&amp;Table135[[#This Row],[CNEE]]</f>
        <v>万盛 - HANSSEM</v>
      </c>
    </row>
    <row r="179" spans="1:14" hidden="1" x14ac:dyDescent="0.2">
      <c r="A179" s="1">
        <v>43814</v>
      </c>
      <c r="B179" s="4" t="s">
        <v>75</v>
      </c>
      <c r="C179" t="s">
        <v>27</v>
      </c>
      <c r="D179" s="50" t="str">
        <f>HYPERLINK("E:\Jobs\0011 "&amp;Table135[[#This Row],[CNEE]]&amp;"\0001 "&amp;VLOOKUP(Table135[[#This Row],[CN]],表5[],2,FALSE)&amp;"\"&amp;TEXT(Table135[[#This Row],[ETD]],IF(Table135[[#This Row],[ETD]]&gt;43830,"YYmmdd","mmdd")),VLOOKUP(Table135[[#This Row],[CN]],表5[],2,FALSE))</f>
        <v>UE</v>
      </c>
      <c r="E179" s="3" t="s">
        <v>1229</v>
      </c>
      <c r="F179" s="57"/>
      <c r="G179" s="57">
        <v>1</v>
      </c>
      <c r="H179" s="6" t="s">
        <v>797</v>
      </c>
      <c r="I179" s="6" t="s">
        <v>798</v>
      </c>
      <c r="J179" s="6"/>
      <c r="K179" s="59"/>
      <c r="L179" s="6" t="s">
        <v>86</v>
      </c>
      <c r="M179" s="57">
        <f>Table135[[#This Row],[20'']]+Table135[[#This Row],[40'']]*2</f>
        <v>2</v>
      </c>
      <c r="N179" s="2" t="str">
        <f>Table135[[#This Row],[CN]]&amp;" - "&amp;Table135[[#This Row],[CNEE]]</f>
        <v>永艺 - SSEM</v>
      </c>
    </row>
    <row r="180" spans="1:14" hidden="1" x14ac:dyDescent="0.2">
      <c r="A180" s="1">
        <v>43814</v>
      </c>
      <c r="B180" s="4" t="s">
        <v>12</v>
      </c>
      <c r="C180" t="s">
        <v>33</v>
      </c>
      <c r="D180" s="50" t="str">
        <f>HYPERLINK("E:\Jobs\0011 "&amp;Table135[[#This Row],[CNEE]]&amp;"\0001 "&amp;VLOOKUP(Table135[[#This Row],[CN]],表5[],2,FALSE)&amp;"\"&amp;TEXT(Table135[[#This Row],[ETD]],IF(Table135[[#This Row],[ETD]]&gt;43830,"YYmmdd","mmdd")),VLOOKUP(Table135[[#This Row],[CN]],表5[],2,FALSE))</f>
        <v>ZHOUJI</v>
      </c>
      <c r="E180" s="3" t="s">
        <v>759</v>
      </c>
      <c r="F180" s="57"/>
      <c r="G180" s="57">
        <v>1</v>
      </c>
      <c r="H180" s="6" t="s">
        <v>760</v>
      </c>
      <c r="I180" s="6" t="s">
        <v>757</v>
      </c>
      <c r="J180" s="6" t="s">
        <v>758</v>
      </c>
      <c r="K180" s="59">
        <v>512</v>
      </c>
      <c r="L180" s="6" t="s">
        <v>86</v>
      </c>
      <c r="M180" s="57">
        <f>Table135[[#This Row],[20'']]+Table135[[#This Row],[40'']]*2</f>
        <v>2</v>
      </c>
      <c r="N180" s="2" t="str">
        <f>Table135[[#This Row],[CN]]&amp;" - "&amp;Table135[[#This Row],[CNEE]]</f>
        <v>洲际 - CASAMIA</v>
      </c>
    </row>
    <row r="181" spans="1:14" hidden="1" x14ac:dyDescent="0.2">
      <c r="A181" s="1">
        <v>43817</v>
      </c>
      <c r="B181" s="4" t="s">
        <v>32</v>
      </c>
      <c r="C181" t="s">
        <v>35</v>
      </c>
      <c r="D181" s="50" t="str">
        <f>HYPERLINK("E:\Jobs\0011 "&amp;Table135[[#This Row],[CNEE]]&amp;"\0001 "&amp;VLOOKUP(Table135[[#This Row],[CN]],表5[],2,FALSE)&amp;"\"&amp;TEXT(Table135[[#This Row],[ETD]],IF(Table135[[#This Row],[ETD]]&gt;43830,"YYmmdd","mmdd")),VLOOKUP(Table135[[#This Row],[CN]],表5[],2,FALSE))</f>
        <v>KUKA</v>
      </c>
      <c r="E181" s="3" t="s">
        <v>624</v>
      </c>
      <c r="F181" s="57"/>
      <c r="G181" s="57">
        <v>0</v>
      </c>
      <c r="H181" s="44" t="s">
        <v>675</v>
      </c>
      <c r="I181" s="6" t="s">
        <v>671</v>
      </c>
      <c r="J181" s="6" t="s">
        <v>933</v>
      </c>
      <c r="K181" s="59"/>
      <c r="L181" s="6" t="s">
        <v>86</v>
      </c>
      <c r="M181" s="57">
        <f>Table135[[#This Row],[20'']]+Table135[[#This Row],[40'']]*2</f>
        <v>0</v>
      </c>
      <c r="N181" s="2" t="str">
        <f>Table135[[#This Row],[CN]]&amp;" - "&amp;Table135[[#This Row],[CNEE]]</f>
        <v>顾家 - HANSSEM</v>
      </c>
    </row>
    <row r="182" spans="1:14" ht="28.5" hidden="1" x14ac:dyDescent="0.2">
      <c r="A182" s="1">
        <v>43817</v>
      </c>
      <c r="B182" s="4" t="s">
        <v>12</v>
      </c>
      <c r="C182" t="s">
        <v>35</v>
      </c>
      <c r="D182" s="50" t="str">
        <f>HYPERLINK("E:\Jobs\0011 "&amp;Table135[[#This Row],[CNEE]]&amp;"\0001 "&amp;VLOOKUP(Table135[[#This Row],[CN]],表5[],2,FALSE)&amp;"\"&amp;TEXT(Table135[[#This Row],[ETD]],IF(Table135[[#This Row],[ETD]]&gt;43830,"YYmmdd","mmdd")),VLOOKUP(Table135[[#This Row],[CN]],表5[],2,FALSE))</f>
        <v>KUKA</v>
      </c>
      <c r="E182" s="3" t="s">
        <v>745</v>
      </c>
      <c r="F182" s="57"/>
      <c r="G182" s="57">
        <v>2</v>
      </c>
      <c r="H182" s="6" t="s">
        <v>764</v>
      </c>
      <c r="I182" s="6" t="s">
        <v>765</v>
      </c>
      <c r="J182" s="6" t="s">
        <v>837</v>
      </c>
      <c r="K182" s="59">
        <v>524</v>
      </c>
      <c r="L182" s="6" t="s">
        <v>86</v>
      </c>
      <c r="M182" s="57">
        <f>Table135[[#This Row],[20'']]+Table135[[#This Row],[40'']]*2</f>
        <v>4</v>
      </c>
      <c r="N182" s="2" t="str">
        <f>Table135[[#This Row],[CN]]&amp;" - "&amp;Table135[[#This Row],[CNEE]]</f>
        <v>顾家 - CASAMIA</v>
      </c>
    </row>
    <row r="183" spans="1:14" hidden="1" x14ac:dyDescent="0.2">
      <c r="A183" s="1">
        <v>43817</v>
      </c>
      <c r="B183" s="4" t="s">
        <v>304</v>
      </c>
      <c r="C183" t="s">
        <v>29</v>
      </c>
      <c r="D183" s="50" t="str">
        <f>HYPERLINK("E:\Jobs\0011 "&amp;Table135[[#This Row],[CNEE]]&amp;"\0001 "&amp;VLOOKUP(Table135[[#This Row],[CN]],表5[],2,FALSE)&amp;"\"&amp;TEXT(Table135[[#This Row],[ETD]],IF(Table135[[#This Row],[ETD]]&gt;43830,"YYmmdd","mmdd")),VLOOKUP(Table135[[#This Row],[CN]],表5[],2,FALSE))</f>
        <v>HUABAO</v>
      </c>
      <c r="E183" s="3"/>
      <c r="F183" s="57">
        <v>14</v>
      </c>
      <c r="G183" s="57"/>
      <c r="H183" s="6" t="s">
        <v>822</v>
      </c>
      <c r="I183" s="6" t="s">
        <v>802</v>
      </c>
      <c r="J183" s="6" t="s">
        <v>803</v>
      </c>
      <c r="K183" s="59">
        <v>1890</v>
      </c>
      <c r="L183" s="6" t="s">
        <v>86</v>
      </c>
      <c r="M183" s="57">
        <f>Table135[[#This Row],[20'']]+Table135[[#This Row],[40'']]*2</f>
        <v>14</v>
      </c>
      <c r="N183" s="2" t="str">
        <f>Table135[[#This Row],[CN]]&amp;" - "&amp;Table135[[#This Row],[CNEE]]</f>
        <v>华宝 - EFFEX</v>
      </c>
    </row>
    <row r="184" spans="1:14" ht="42.75" hidden="1" x14ac:dyDescent="0.2">
      <c r="A184" s="1">
        <v>43817</v>
      </c>
      <c r="B184" t="s">
        <v>12</v>
      </c>
      <c r="C184" t="s">
        <v>31</v>
      </c>
      <c r="D184" s="50" t="str">
        <f>HYPERLINK("E:\Jobs\0011 "&amp;Table135[[#This Row],[CNEE]]&amp;"\0001 "&amp;VLOOKUP(Table135[[#This Row],[CN]],表5[],2,FALSE)&amp;"\"&amp;TEXT(Table135[[#This Row],[ETD]],IF(Table135[[#This Row],[ETD]]&gt;43830,"YYmmdd","mmdd")),VLOOKUP(Table135[[#This Row],[CN]],表5[],2,FALSE))</f>
        <v>HTL</v>
      </c>
      <c r="E184" s="3" t="s">
        <v>739</v>
      </c>
      <c r="F184" s="57"/>
      <c r="G184" s="57">
        <v>0</v>
      </c>
      <c r="H184" s="44" t="s">
        <v>747</v>
      </c>
      <c r="I184" s="6" t="s">
        <v>755</v>
      </c>
      <c r="J184" s="6" t="s">
        <v>831</v>
      </c>
      <c r="K184" s="59"/>
      <c r="L184" s="6" t="s">
        <v>86</v>
      </c>
      <c r="M184" s="57">
        <f>Table135[[#This Row],[20'']]+Table135[[#This Row],[40'']]*2</f>
        <v>0</v>
      </c>
      <c r="N184" s="2" t="str">
        <f>Table135[[#This Row],[CN]]&amp;" - "&amp;Table135[[#This Row],[CNEE]]</f>
        <v>华达利 - CASAMIA</v>
      </c>
    </row>
    <row r="185" spans="1:14" ht="28.5" hidden="1" x14ac:dyDescent="0.2">
      <c r="A185" s="1">
        <v>43817</v>
      </c>
      <c r="B185" s="4" t="s">
        <v>12</v>
      </c>
      <c r="C185" t="s">
        <v>31</v>
      </c>
      <c r="D185" s="50" t="str">
        <f>HYPERLINK("E:\Jobs\0011 "&amp;Table135[[#This Row],[CNEE]]&amp;"\0001 "&amp;VLOOKUP(Table135[[#This Row],[CN]],表5[],2,FALSE)&amp;"\"&amp;TEXT(Table135[[#This Row],[ETD]],IF(Table135[[#This Row],[ETD]]&gt;43830,"YYmmdd","mmdd")),VLOOKUP(Table135[[#This Row],[CN]],表5[],2,FALSE))</f>
        <v>HTL</v>
      </c>
      <c r="E185" s="3" t="s">
        <v>773</v>
      </c>
      <c r="F185" s="57"/>
      <c r="G185" s="57">
        <v>2</v>
      </c>
      <c r="H185" s="6" t="s">
        <v>781</v>
      </c>
      <c r="I185" s="6" t="s">
        <v>776</v>
      </c>
      <c r="J185" s="6" t="s">
        <v>777</v>
      </c>
      <c r="K185" s="59">
        <v>424</v>
      </c>
      <c r="L185" s="6" t="s">
        <v>86</v>
      </c>
      <c r="M185" s="57">
        <f>Table135[[#This Row],[20'']]+Table135[[#This Row],[40'']]*2</f>
        <v>4</v>
      </c>
      <c r="N185" s="2" t="str">
        <f>Table135[[#This Row],[CN]]&amp;" - "&amp;Table135[[#This Row],[CNEE]]</f>
        <v>华达利 - CASAMIA</v>
      </c>
    </row>
    <row r="186" spans="1:14" hidden="1" x14ac:dyDescent="0.2">
      <c r="A186" s="1">
        <v>43817</v>
      </c>
      <c r="B186" s="4" t="s">
        <v>32</v>
      </c>
      <c r="C186" t="s">
        <v>30</v>
      </c>
      <c r="D186" s="50" t="str">
        <f>HYPERLINK("E:\Jobs\0011 "&amp;Table135[[#This Row],[CNEE]]&amp;"\0001 "&amp;VLOOKUP(Table135[[#This Row],[CN]],表5[],2,FALSE)&amp;"\"&amp;TEXT(Table135[[#This Row],[ETD]],IF(Table135[[#This Row],[ETD]]&gt;43830,"YYmmdd","mmdd")),VLOOKUP(Table135[[#This Row],[CN]],表5[],2,FALSE))</f>
        <v>CABO</v>
      </c>
      <c r="E186" s="3" t="s">
        <v>1209</v>
      </c>
      <c r="F186" s="57"/>
      <c r="G186" s="57">
        <v>3</v>
      </c>
      <c r="H186" s="44" t="s">
        <v>735</v>
      </c>
      <c r="I186" s="6" t="s">
        <v>736</v>
      </c>
      <c r="J186" s="6" t="s">
        <v>938</v>
      </c>
      <c r="K186" s="60" t="s">
        <v>1250</v>
      </c>
      <c r="L186" s="6" t="s">
        <v>86</v>
      </c>
      <c r="M186" s="57">
        <f>Table135[[#This Row],[20'']]+Table135[[#This Row],[40'']]*2</f>
        <v>6</v>
      </c>
      <c r="N186" s="2" t="str">
        <f>Table135[[#This Row],[CN]]&amp;" - "&amp;Table135[[#This Row],[CNEE]]</f>
        <v>卡帛 - HANSSEM</v>
      </c>
    </row>
    <row r="187" spans="1:14" hidden="1" x14ac:dyDescent="0.2">
      <c r="A187" s="1">
        <v>43817</v>
      </c>
      <c r="B187" s="4" t="s">
        <v>32</v>
      </c>
      <c r="C187" t="s">
        <v>34</v>
      </c>
      <c r="D187" s="50" t="str">
        <f>HYPERLINK("E:\Jobs\0011 "&amp;Table135[[#This Row],[CNEE]]&amp;"\0001 "&amp;VLOOKUP(Table135[[#This Row],[CN]],表5[],2,FALSE)&amp;"\"&amp;TEXT(Table135[[#This Row],[ETD]],IF(Table135[[#This Row],[ETD]]&gt;43830,"YYmmdd","mmdd")),VLOOKUP(Table135[[#This Row],[CN]],表5[],2,FALSE))</f>
        <v>WANSHENG</v>
      </c>
      <c r="E187" s="3" t="s">
        <v>1212</v>
      </c>
      <c r="F187" s="57"/>
      <c r="G187" s="57">
        <v>1</v>
      </c>
      <c r="H187" s="6" t="s">
        <v>945</v>
      </c>
      <c r="I187" s="6" t="s">
        <v>809</v>
      </c>
      <c r="J187" s="6"/>
      <c r="K187" s="59"/>
      <c r="L187" s="6" t="s">
        <v>86</v>
      </c>
      <c r="M187" s="57">
        <f>Table135[[#This Row],[20'']]+Table135[[#This Row],[40'']]*2</f>
        <v>2</v>
      </c>
      <c r="N187" s="2" t="str">
        <f>Table135[[#This Row],[CN]]&amp;" - "&amp;Table135[[#This Row],[CNEE]]</f>
        <v>万盛 - HANSSEM</v>
      </c>
    </row>
    <row r="188" spans="1:14" hidden="1" x14ac:dyDescent="0.2">
      <c r="A188" s="1">
        <v>43817</v>
      </c>
      <c r="B188" s="4" t="s">
        <v>32</v>
      </c>
      <c r="C188" t="s">
        <v>34</v>
      </c>
      <c r="D188" s="50" t="str">
        <f>HYPERLINK("E:\Jobs\0011 "&amp;Table135[[#This Row],[CNEE]]&amp;"\0001 "&amp;VLOOKUP(Table135[[#This Row],[CN]],表5[],2,FALSE)&amp;"\"&amp;TEXT(Table135[[#This Row],[ETD]],IF(Table135[[#This Row],[ETD]]&gt;43830,"YYmmdd","mmdd")),VLOOKUP(Table135[[#This Row],[CN]],表5[],2,FALSE))</f>
        <v>WANSHENG</v>
      </c>
      <c r="E188" s="3"/>
      <c r="F188" s="57"/>
      <c r="G188" s="57">
        <v>1</v>
      </c>
      <c r="H188" s="6" t="s">
        <v>927</v>
      </c>
      <c r="I188" s="6" t="s">
        <v>926</v>
      </c>
      <c r="J188" s="6"/>
      <c r="K188" s="59"/>
      <c r="L188" s="6" t="s">
        <v>86</v>
      </c>
      <c r="M188" s="57">
        <f>Table135[[#This Row],[20'']]+Table135[[#This Row],[40'']]*2</f>
        <v>2</v>
      </c>
      <c r="N188" s="2" t="str">
        <f>Table135[[#This Row],[CN]]&amp;" - "&amp;Table135[[#This Row],[CNEE]]</f>
        <v>万盛 - HANSSEM</v>
      </c>
    </row>
    <row r="189" spans="1:14" hidden="1" x14ac:dyDescent="0.2">
      <c r="A189" s="1">
        <v>43817</v>
      </c>
      <c r="B189" s="4" t="s">
        <v>32</v>
      </c>
      <c r="C189" t="s">
        <v>34</v>
      </c>
      <c r="D189" s="50" t="str">
        <f>HYPERLINK("E:\Jobs\0011 "&amp;Table135[[#This Row],[CNEE]]&amp;"\0001 "&amp;VLOOKUP(Table135[[#This Row],[CN]],表5[],2,FALSE)&amp;"\"&amp;TEXT(Table135[[#This Row],[ETD]],IF(Table135[[#This Row],[ETD]]&gt;43830,"YYmmdd","mmdd")),VLOOKUP(Table135[[#This Row],[CN]],表5[],2,FALSE))</f>
        <v>WANSHENG</v>
      </c>
      <c r="E189" s="3" t="s">
        <v>1226</v>
      </c>
      <c r="F189" s="57"/>
      <c r="G189" s="57">
        <v>3</v>
      </c>
      <c r="H189" s="6" t="s">
        <v>944</v>
      </c>
      <c r="I189" s="6" t="s">
        <v>808</v>
      </c>
      <c r="J189" s="6"/>
      <c r="K189" s="59" t="s">
        <v>1251</v>
      </c>
      <c r="L189" s="6" t="s">
        <v>86</v>
      </c>
      <c r="M189" s="57">
        <f>Table135[[#This Row],[20'']]+Table135[[#This Row],[40'']]*2</f>
        <v>6</v>
      </c>
      <c r="N189" s="2" t="str">
        <f>Table135[[#This Row],[CN]]&amp;" - "&amp;Table135[[#This Row],[CNEE]]</f>
        <v>万盛 - HANSSEM</v>
      </c>
    </row>
    <row r="190" spans="1:14" hidden="1" x14ac:dyDescent="0.2">
      <c r="A190" s="1">
        <v>43817</v>
      </c>
      <c r="B190" s="4" t="s">
        <v>75</v>
      </c>
      <c r="C190" t="s">
        <v>27</v>
      </c>
      <c r="D190" s="50" t="str">
        <f>HYPERLINK("E:\Jobs\0011 "&amp;Table135[[#This Row],[CNEE]]&amp;"\0001 "&amp;VLOOKUP(Table135[[#This Row],[CN]],表5[],2,FALSE)&amp;"\"&amp;TEXT(Table135[[#This Row],[ETD]],IF(Table135[[#This Row],[ETD]]&gt;43830,"YYmmdd","mmdd")),VLOOKUP(Table135[[#This Row],[CN]],表5[],2,FALSE))</f>
        <v>UE</v>
      </c>
      <c r="E190" s="3" t="s">
        <v>782</v>
      </c>
      <c r="F190" s="57"/>
      <c r="G190" s="57">
        <v>0</v>
      </c>
      <c r="H190" s="6" t="s">
        <v>784</v>
      </c>
      <c r="I190" s="6" t="s">
        <v>783</v>
      </c>
      <c r="J190" s="6"/>
      <c r="K190" s="59"/>
      <c r="L190" s="6" t="s">
        <v>86</v>
      </c>
      <c r="M190" s="57">
        <f>Table135[[#This Row],[20'']]+Table135[[#This Row],[40'']]*2</f>
        <v>0</v>
      </c>
      <c r="N190" s="2" t="str">
        <f>Table135[[#This Row],[CN]]&amp;" - "&amp;Table135[[#This Row],[CNEE]]</f>
        <v>永艺 - SSEM</v>
      </c>
    </row>
    <row r="191" spans="1:14" hidden="1" x14ac:dyDescent="0.2">
      <c r="A191" s="1">
        <v>43817</v>
      </c>
      <c r="B191" s="4" t="s">
        <v>75</v>
      </c>
      <c r="C191" t="s">
        <v>27</v>
      </c>
      <c r="D191" s="50" t="str">
        <f>HYPERLINK("E:\Jobs\0011 "&amp;Table135[[#This Row],[CNEE]]&amp;"\0001 "&amp;VLOOKUP(Table135[[#This Row],[CN]],表5[],2,FALSE)&amp;"\"&amp;TEXT(Table135[[#This Row],[ETD]],IF(Table135[[#This Row],[ETD]]&gt;43830,"YYmmdd","mmdd")),VLOOKUP(Table135[[#This Row],[CN]],表5[],2,FALSE))</f>
        <v>UE</v>
      </c>
      <c r="E191" s="3" t="s">
        <v>1231</v>
      </c>
      <c r="F191" s="57"/>
      <c r="G191" s="57">
        <v>4</v>
      </c>
      <c r="H191" s="6" t="s">
        <v>823</v>
      </c>
      <c r="I191" s="6" t="s">
        <v>804</v>
      </c>
      <c r="J191" s="6" t="s">
        <v>934</v>
      </c>
      <c r="K191" s="59"/>
      <c r="L191" s="6" t="s">
        <v>86</v>
      </c>
      <c r="M191" s="57">
        <f>Table135[[#This Row],[20'']]+Table135[[#This Row],[40'']]*2</f>
        <v>8</v>
      </c>
      <c r="N191" s="2" t="str">
        <f>Table135[[#This Row],[CN]]&amp;" - "&amp;Table135[[#This Row],[CNEE]]</f>
        <v>永艺 - SSEM</v>
      </c>
    </row>
    <row r="192" spans="1:14" hidden="1" x14ac:dyDescent="0.2">
      <c r="A192" s="1">
        <v>43818</v>
      </c>
      <c r="B192" s="4" t="s">
        <v>946</v>
      </c>
      <c r="C192" t="s">
        <v>947</v>
      </c>
      <c r="D192" s="50" t="str">
        <f>HYPERLINK("E:\Jobs\0011 "&amp;Table135[[#This Row],[CNEE]]&amp;"\0001 "&amp;VLOOKUP(Table135[[#This Row],[CN]],表5[],2,FALSE)&amp;"\"&amp;TEXT(Table135[[#This Row],[ETD]],IF(Table135[[#This Row],[ETD]]&gt;43830,"YYmmdd","mmdd")),VLOOKUP(Table135[[#This Row],[CN]],表5[],2,FALSE))</f>
        <v>FEIJI</v>
      </c>
      <c r="E192" s="3" t="s">
        <v>1196</v>
      </c>
      <c r="F192" s="57"/>
      <c r="G192" s="57">
        <v>2</v>
      </c>
      <c r="H192" s="6" t="s">
        <v>950</v>
      </c>
      <c r="I192" s="6" t="s">
        <v>949</v>
      </c>
      <c r="J192" s="6" t="s">
        <v>951</v>
      </c>
      <c r="K192" s="59"/>
      <c r="L192" s="6" t="s">
        <v>86</v>
      </c>
      <c r="M192" s="57">
        <f>Table135[[#This Row],[20'']]+Table135[[#This Row],[40'']]*2</f>
        <v>4</v>
      </c>
      <c r="N192" s="2" t="str">
        <f>Table135[[#This Row],[CN]]&amp;" - "&amp;Table135[[#This Row],[CNEE]]</f>
        <v>飞集 - SIDIZ</v>
      </c>
    </row>
    <row r="193" spans="1:14" hidden="1" x14ac:dyDescent="0.2">
      <c r="A193" s="1">
        <v>43821</v>
      </c>
      <c r="B193" s="4" t="s">
        <v>32</v>
      </c>
      <c r="C193" t="s">
        <v>35</v>
      </c>
      <c r="D193" s="50" t="str">
        <f>HYPERLINK("E:\Jobs\0011 "&amp;Table135[[#This Row],[CNEE]]&amp;"\0001 "&amp;VLOOKUP(Table135[[#This Row],[CN]],表5[],2,FALSE)&amp;"\"&amp;TEXT(Table135[[#This Row],[ETD]],IF(Table135[[#This Row],[ETD]]&gt;43830,"YYmmdd","mmdd")),VLOOKUP(Table135[[#This Row],[CN]],表5[],2,FALSE))</f>
        <v>KUKA</v>
      </c>
      <c r="E193" s="3" t="s">
        <v>1204</v>
      </c>
      <c r="F193" s="57"/>
      <c r="G193" s="57">
        <v>4</v>
      </c>
      <c r="H193" s="6" t="s">
        <v>793</v>
      </c>
      <c r="I193" s="6" t="s">
        <v>790</v>
      </c>
      <c r="J193" s="6" t="s">
        <v>942</v>
      </c>
      <c r="K193" s="60" t="s">
        <v>1252</v>
      </c>
      <c r="L193" s="6" t="s">
        <v>86</v>
      </c>
      <c r="M193" s="57">
        <f>Table135[[#This Row],[20'']]+Table135[[#This Row],[40'']]*2</f>
        <v>8</v>
      </c>
      <c r="N193" s="2" t="str">
        <f>Table135[[#This Row],[CN]]&amp;" - "&amp;Table135[[#This Row],[CNEE]]</f>
        <v>顾家 - HANSSEM</v>
      </c>
    </row>
    <row r="194" spans="1:14" hidden="1" x14ac:dyDescent="0.2">
      <c r="A194" s="1">
        <v>43821</v>
      </c>
      <c r="B194" s="4" t="s">
        <v>304</v>
      </c>
      <c r="C194" t="s">
        <v>29</v>
      </c>
      <c r="D194" s="50" t="str">
        <f>HYPERLINK("E:\Jobs\0011 "&amp;Table135[[#This Row],[CNEE]]&amp;"\0001 "&amp;VLOOKUP(Table135[[#This Row],[CN]],表5[],2,FALSE)&amp;"\"&amp;TEXT(Table135[[#This Row],[ETD]],IF(Table135[[#This Row],[ETD]]&gt;43830,"YYmmdd","mmdd")),VLOOKUP(Table135[[#This Row],[CN]],表5[],2,FALSE))</f>
        <v>HUABAO</v>
      </c>
      <c r="E194" s="3"/>
      <c r="F194" s="57">
        <v>12</v>
      </c>
      <c r="G194" s="57"/>
      <c r="H194" s="6" t="s">
        <v>931</v>
      </c>
      <c r="I194" s="6" t="s">
        <v>930</v>
      </c>
      <c r="J194" s="6" t="s">
        <v>623</v>
      </c>
      <c r="K194" s="59">
        <v>1620</v>
      </c>
      <c r="L194" s="6" t="s">
        <v>86</v>
      </c>
      <c r="M194" s="57">
        <f>Table135[[#This Row],[20'']]+Table135[[#This Row],[40'']]*2</f>
        <v>12</v>
      </c>
      <c r="N194" s="2" t="str">
        <f>Table135[[#This Row],[CN]]&amp;" - "&amp;Table135[[#This Row],[CNEE]]</f>
        <v>华宝 - EFFEX</v>
      </c>
    </row>
    <row r="195" spans="1:14" ht="42.75" hidden="1" x14ac:dyDescent="0.2">
      <c r="A195" s="1">
        <v>43821</v>
      </c>
      <c r="B195" s="4" t="s">
        <v>12</v>
      </c>
      <c r="C195" t="s">
        <v>31</v>
      </c>
      <c r="D195" s="50" t="str">
        <f>HYPERLINK("E:\Jobs\0011 "&amp;Table135[[#This Row],[CNEE]]&amp;"\0001 "&amp;VLOOKUP(Table135[[#This Row],[CN]],表5[],2,FALSE)&amp;"\"&amp;TEXT(Table135[[#This Row],[ETD]],IF(Table135[[#This Row],[ETD]]&gt;43830,"YYmmdd","mmdd")),VLOOKUP(Table135[[#This Row],[CN]],表5[],2,FALSE))</f>
        <v>HTL</v>
      </c>
      <c r="E195" s="3" t="s">
        <v>739</v>
      </c>
      <c r="F195" s="57"/>
      <c r="G195" s="57">
        <v>3</v>
      </c>
      <c r="H195" s="6" t="s">
        <v>832</v>
      </c>
      <c r="I195" s="6" t="s">
        <v>833</v>
      </c>
      <c r="J195" s="6"/>
      <c r="K195" s="59">
        <v>636</v>
      </c>
      <c r="L195" s="6" t="s">
        <v>86</v>
      </c>
      <c r="M195" s="57">
        <f>Table135[[#This Row],[20'']]+Table135[[#This Row],[40'']]*2</f>
        <v>6</v>
      </c>
      <c r="N195" s="2" t="str">
        <f>Table135[[#This Row],[CN]]&amp;" - "&amp;Table135[[#This Row],[CNEE]]</f>
        <v>华达利 - CASAMIA</v>
      </c>
    </row>
    <row r="196" spans="1:14" hidden="1" x14ac:dyDescent="0.2">
      <c r="A196" s="1">
        <v>43821</v>
      </c>
      <c r="B196" s="4" t="s">
        <v>32</v>
      </c>
      <c r="C196" t="s">
        <v>30</v>
      </c>
      <c r="D196" s="50" t="str">
        <f>HYPERLINK("E:\Jobs\0011 "&amp;Table135[[#This Row],[CNEE]]&amp;"\0001 "&amp;VLOOKUP(Table135[[#This Row],[CN]],表5[],2,FALSE)&amp;"\"&amp;TEXT(Table135[[#This Row],[ETD]],IF(Table135[[#This Row],[ETD]]&gt;43830,"YYmmdd","mmdd")),VLOOKUP(Table135[[#This Row],[CN]],表5[],2,FALSE))</f>
        <v>CABO</v>
      </c>
      <c r="E196" s="3" t="s">
        <v>1208</v>
      </c>
      <c r="F196" s="57"/>
      <c r="G196" s="57">
        <v>2</v>
      </c>
      <c r="H196" s="44" t="s">
        <v>737</v>
      </c>
      <c r="I196" s="6" t="s">
        <v>728</v>
      </c>
      <c r="J196" s="6"/>
      <c r="K196" s="59" t="s">
        <v>1254</v>
      </c>
      <c r="L196" s="6" t="s">
        <v>86</v>
      </c>
      <c r="M196" s="57">
        <f>Table135[[#This Row],[20'']]+Table135[[#This Row],[40'']]*2</f>
        <v>4</v>
      </c>
      <c r="N196" s="2" t="str">
        <f>Table135[[#This Row],[CN]]&amp;" - "&amp;Table135[[#This Row],[CNEE]]</f>
        <v>卡帛 - HANSSEM</v>
      </c>
    </row>
    <row r="197" spans="1:14" hidden="1" x14ac:dyDescent="0.2">
      <c r="A197" s="1">
        <v>43821</v>
      </c>
      <c r="B197" s="4" t="s">
        <v>32</v>
      </c>
      <c r="C197" t="s">
        <v>34</v>
      </c>
      <c r="D197" s="50" t="str">
        <f>HYPERLINK("E:\Jobs\0011 "&amp;Table135[[#This Row],[CNEE]]&amp;"\0001 "&amp;VLOOKUP(Table135[[#This Row],[CN]],表5[],2,FALSE)&amp;"\"&amp;TEXT(Table135[[#This Row],[ETD]],IF(Table135[[#This Row],[ETD]]&gt;43830,"YYmmdd","mmdd")),VLOOKUP(Table135[[#This Row],[CN]],表5[],2,FALSE))</f>
        <v>WANSHENG</v>
      </c>
      <c r="E197" s="3" t="s">
        <v>805</v>
      </c>
      <c r="F197" s="57"/>
      <c r="G197" s="57">
        <v>0</v>
      </c>
      <c r="H197" s="6" t="s">
        <v>824</v>
      </c>
      <c r="I197" s="6" t="s">
        <v>812</v>
      </c>
      <c r="J197" s="6" t="s">
        <v>967</v>
      </c>
      <c r="K197" s="59"/>
      <c r="L197" s="6" t="s">
        <v>86</v>
      </c>
      <c r="M197" s="57">
        <f>Table135[[#This Row],[20'']]+Table135[[#This Row],[40'']]*2</f>
        <v>0</v>
      </c>
      <c r="N197" s="2" t="str">
        <f>Table135[[#This Row],[CN]]&amp;" - "&amp;Table135[[#This Row],[CNEE]]</f>
        <v>万盛 - HANSSEM</v>
      </c>
    </row>
    <row r="198" spans="1:14" hidden="1" x14ac:dyDescent="0.2">
      <c r="A198" s="1">
        <v>43821</v>
      </c>
      <c r="B198" s="4" t="s">
        <v>32</v>
      </c>
      <c r="C198" t="s">
        <v>34</v>
      </c>
      <c r="D198" s="50" t="str">
        <f>HYPERLINK("E:\Jobs\0011 "&amp;Table135[[#This Row],[CNEE]]&amp;"\0001 "&amp;VLOOKUP(Table135[[#This Row],[CN]],表5[],2,FALSE)&amp;"\"&amp;TEXT(Table135[[#This Row],[ETD]],IF(Table135[[#This Row],[ETD]]&gt;43830,"YYmmdd","mmdd")),VLOOKUP(Table135[[#This Row],[CN]],表5[],2,FALSE))</f>
        <v>WANSHENG</v>
      </c>
      <c r="E198" s="3" t="s">
        <v>1220</v>
      </c>
      <c r="F198" s="57"/>
      <c r="G198" s="57">
        <v>2</v>
      </c>
      <c r="H198" s="6" t="s">
        <v>976</v>
      </c>
      <c r="I198" s="6" t="s">
        <v>810</v>
      </c>
      <c r="J198" s="6"/>
      <c r="K198" s="59" t="s">
        <v>1253</v>
      </c>
      <c r="L198" s="6" t="s">
        <v>86</v>
      </c>
      <c r="M198" s="57">
        <f>Table135[[#This Row],[20'']]+Table135[[#This Row],[40'']]*2</f>
        <v>4</v>
      </c>
      <c r="N198" s="2" t="str">
        <f>Table135[[#This Row],[CN]]&amp;" - "&amp;Table135[[#This Row],[CNEE]]</f>
        <v>万盛 - HANSSEM</v>
      </c>
    </row>
    <row r="199" spans="1:14" hidden="1" x14ac:dyDescent="0.2">
      <c r="A199" s="1">
        <v>43821</v>
      </c>
      <c r="B199" s="4" t="s">
        <v>32</v>
      </c>
      <c r="C199" t="s">
        <v>34</v>
      </c>
      <c r="D199" s="50" t="str">
        <f>HYPERLINK("E:\Jobs\0011 "&amp;Table135[[#This Row],[CNEE]]&amp;"\0001 "&amp;VLOOKUP(Table135[[#This Row],[CN]],表5[],2,FALSE)&amp;"\"&amp;TEXT(Table135[[#This Row],[ETD]],IF(Table135[[#This Row],[ETD]]&gt;43830,"YYmmdd","mmdd")),VLOOKUP(Table135[[#This Row],[CN]],表5[],2,FALSE))</f>
        <v>WANSHENG</v>
      </c>
      <c r="E199" s="3" t="s">
        <v>1221</v>
      </c>
      <c r="F199" s="57"/>
      <c r="G199" s="57">
        <v>2</v>
      </c>
      <c r="H199" s="6" t="s">
        <v>977</v>
      </c>
      <c r="I199" s="6" t="s">
        <v>811</v>
      </c>
      <c r="J199" s="6"/>
      <c r="K199" s="59" t="s">
        <v>1236</v>
      </c>
      <c r="L199" s="6" t="s">
        <v>86</v>
      </c>
      <c r="M199" s="57">
        <f>Table135[[#This Row],[20'']]+Table135[[#This Row],[40'']]*2</f>
        <v>4</v>
      </c>
      <c r="N199" s="2" t="str">
        <f>Table135[[#This Row],[CN]]&amp;" - "&amp;Table135[[#This Row],[CNEE]]</f>
        <v>万盛 - HANSSEM</v>
      </c>
    </row>
    <row r="200" spans="1:14" hidden="1" x14ac:dyDescent="0.2">
      <c r="A200" s="1">
        <v>43821</v>
      </c>
      <c r="B200" s="4" t="s">
        <v>12</v>
      </c>
      <c r="C200" t="s">
        <v>28</v>
      </c>
      <c r="D200" s="50" t="str">
        <f>HYPERLINK("E:\Jobs\0011 "&amp;Table135[[#This Row],[CNEE]]&amp;"\0001 "&amp;VLOOKUP(Table135[[#This Row],[CN]],表5[],2,FALSE)&amp;"\"&amp;TEXT(Table135[[#This Row],[ETD]],IF(Table135[[#This Row],[ETD]]&gt;43830,"YYmmdd","mmdd")),VLOOKUP(Table135[[#This Row],[CN]],表5[],2,FALSE))</f>
        <v>YAJIAJU</v>
      </c>
      <c r="E200" s="3" t="s">
        <v>1228</v>
      </c>
      <c r="F200" s="57"/>
      <c r="G200" s="57">
        <v>1</v>
      </c>
      <c r="H200" s="6" t="s">
        <v>843</v>
      </c>
      <c r="I200" s="6" t="s">
        <v>842</v>
      </c>
      <c r="J200" s="6"/>
      <c r="K200" s="59">
        <v>482</v>
      </c>
      <c r="L200" s="6" t="s">
        <v>86</v>
      </c>
      <c r="M200" s="57">
        <f>Table135[[#This Row],[20'']]+Table135[[#This Row],[40'']]*2</f>
        <v>2</v>
      </c>
      <c r="N200" s="2" t="str">
        <f>Table135[[#This Row],[CN]]&amp;" - "&amp;Table135[[#This Row],[CNEE]]</f>
        <v>雅家居 - CASAMIA</v>
      </c>
    </row>
    <row r="201" spans="1:14" hidden="1" x14ac:dyDescent="0.2">
      <c r="A201" s="1">
        <v>43824</v>
      </c>
      <c r="B201" s="4" t="s">
        <v>32</v>
      </c>
      <c r="C201" t="s">
        <v>35</v>
      </c>
      <c r="D201" s="50" t="str">
        <f>HYPERLINK("E:\Jobs\0011 "&amp;Table135[[#This Row],[CNEE]]&amp;"\0001 "&amp;VLOOKUP(Table135[[#This Row],[CN]],表5[],2,FALSE)&amp;"\"&amp;TEXT(Table135[[#This Row],[ETD]],IF(Table135[[#This Row],[ETD]]&gt;43830,"YYmmdd","mmdd")),VLOOKUP(Table135[[#This Row],[CN]],表5[],2,FALSE))</f>
        <v>KUKA</v>
      </c>
      <c r="E201" s="3" t="s">
        <v>1026</v>
      </c>
      <c r="F201" s="57"/>
      <c r="G201" s="57">
        <v>2</v>
      </c>
      <c r="H201" s="6" t="s">
        <v>794</v>
      </c>
      <c r="I201" s="6" t="s">
        <v>789</v>
      </c>
      <c r="J201" s="6" t="s">
        <v>795</v>
      </c>
      <c r="K201" s="59" t="s">
        <v>1256</v>
      </c>
      <c r="L201" s="6" t="s">
        <v>86</v>
      </c>
      <c r="M201" s="57">
        <f>Table135[[#This Row],[20'']]+Table135[[#This Row],[40'']]*2</f>
        <v>4</v>
      </c>
      <c r="N201" s="2" t="str">
        <f>Table135[[#This Row],[CN]]&amp;" - "&amp;Table135[[#This Row],[CNEE]]</f>
        <v>顾家 - HANSSEM</v>
      </c>
    </row>
    <row r="202" spans="1:14" hidden="1" x14ac:dyDescent="0.2">
      <c r="A202" s="1">
        <v>43824</v>
      </c>
      <c r="B202" s="4" t="s">
        <v>304</v>
      </c>
      <c r="C202" t="s">
        <v>29</v>
      </c>
      <c r="D202" s="50" t="str">
        <f>HYPERLINK("E:\Jobs\0011 "&amp;Table135[[#This Row],[CNEE]]&amp;"\0001 "&amp;VLOOKUP(Table135[[#This Row],[CN]],表5[],2,FALSE)&amp;"\"&amp;TEXT(Table135[[#This Row],[ETD]],IF(Table135[[#This Row],[ETD]]&gt;43830,"YYmmdd","mmdd")),VLOOKUP(Table135[[#This Row],[CN]],表5[],2,FALSE))</f>
        <v>HUABAO</v>
      </c>
      <c r="E202" s="3"/>
      <c r="F202" s="57">
        <v>13</v>
      </c>
      <c r="G202" s="57"/>
      <c r="H202" s="6" t="s">
        <v>937</v>
      </c>
      <c r="I202" s="6" t="s">
        <v>935</v>
      </c>
      <c r="J202" s="6" t="s">
        <v>936</v>
      </c>
      <c r="K202" s="59">
        <v>1755</v>
      </c>
      <c r="L202" s="6" t="s">
        <v>86</v>
      </c>
      <c r="M202" s="57">
        <f>Table135[[#This Row],[20'']]+Table135[[#This Row],[40'']]*2</f>
        <v>13</v>
      </c>
      <c r="N202" s="2" t="str">
        <f>Table135[[#This Row],[CN]]&amp;" - "&amp;Table135[[#This Row],[CNEE]]</f>
        <v>华宝 - EFFEX</v>
      </c>
    </row>
    <row r="203" spans="1:14" hidden="1" x14ac:dyDescent="0.2">
      <c r="A203" s="1">
        <v>43824</v>
      </c>
      <c r="B203" s="4" t="s">
        <v>12</v>
      </c>
      <c r="C203" t="s">
        <v>31</v>
      </c>
      <c r="D203" s="50" t="str">
        <f>HYPERLINK("E:\Jobs\0011 "&amp;Table135[[#This Row],[CNEE]]&amp;"\0001 "&amp;VLOOKUP(Table135[[#This Row],[CN]],表5[],2,FALSE)&amp;"\"&amp;TEXT(Table135[[#This Row],[ETD]],IF(Table135[[#This Row],[ETD]]&gt;43830,"YYmmdd","mmdd")),VLOOKUP(Table135[[#This Row],[CN]],表5[],2,FALSE))</f>
        <v>HTL</v>
      </c>
      <c r="E203" s="3" t="s">
        <v>970</v>
      </c>
      <c r="F203" s="57"/>
      <c r="G203" s="57">
        <v>0</v>
      </c>
      <c r="H203" s="6" t="s">
        <v>918</v>
      </c>
      <c r="I203" s="6" t="s">
        <v>813</v>
      </c>
      <c r="J203" s="6" t="s">
        <v>840</v>
      </c>
      <c r="K203" s="59"/>
      <c r="L203" s="6" t="s">
        <v>86</v>
      </c>
      <c r="M203" s="57">
        <f>Table135[[#This Row],[20'']]+Table135[[#This Row],[40'']]*2</f>
        <v>0</v>
      </c>
      <c r="N203" s="2" t="str">
        <f>Table135[[#This Row],[CN]]&amp;" - "&amp;Table135[[#This Row],[CNEE]]</f>
        <v>华达利 - CASAMIA</v>
      </c>
    </row>
    <row r="204" spans="1:14" ht="28.5" hidden="1" x14ac:dyDescent="0.2">
      <c r="A204" s="1">
        <v>43824</v>
      </c>
      <c r="B204" s="4" t="s">
        <v>12</v>
      </c>
      <c r="C204" t="s">
        <v>31</v>
      </c>
      <c r="D204" s="50" t="str">
        <f>HYPERLINK("E:\Jobs\0011 "&amp;Table135[[#This Row],[CNEE]]&amp;"\0001 "&amp;VLOOKUP(Table135[[#This Row],[CN]],表5[],2,FALSE)&amp;"\"&amp;TEXT(Table135[[#This Row],[ETD]],IF(Table135[[#This Row],[ETD]]&gt;43830,"YYmmdd","mmdd")),VLOOKUP(Table135[[#This Row],[CN]],表5[],2,FALSE))</f>
        <v>HTL</v>
      </c>
      <c r="E204" s="3" t="s">
        <v>907</v>
      </c>
      <c r="F204" s="57"/>
      <c r="G204" s="57">
        <v>0</v>
      </c>
      <c r="H204" s="6" t="s">
        <v>915</v>
      </c>
      <c r="I204" s="6" t="s">
        <v>911</v>
      </c>
      <c r="J204" s="6"/>
      <c r="K204" s="59"/>
      <c r="L204" s="6" t="s">
        <v>86</v>
      </c>
      <c r="M204" s="57">
        <f>Table135[[#This Row],[20'']]+Table135[[#This Row],[40'']]*2</f>
        <v>0</v>
      </c>
      <c r="N204" s="2" t="str">
        <f>Table135[[#This Row],[CN]]&amp;" - "&amp;Table135[[#This Row],[CNEE]]</f>
        <v>华达利 - CASAMIA</v>
      </c>
    </row>
    <row r="205" spans="1:14" ht="28.5" hidden="1" x14ac:dyDescent="0.2">
      <c r="A205" s="1">
        <v>43824</v>
      </c>
      <c r="B205" s="4" t="s">
        <v>12</v>
      </c>
      <c r="C205" t="s">
        <v>31</v>
      </c>
      <c r="D205" s="50" t="str">
        <f>HYPERLINK("E:\Jobs\0011 "&amp;Table135[[#This Row],[CNEE]]&amp;"\0001 "&amp;VLOOKUP(Table135[[#This Row],[CN]],表5[],2,FALSE)&amp;"\"&amp;TEXT(Table135[[#This Row],[ETD]],IF(Table135[[#This Row],[ETD]]&gt;43830,"YYmmdd","mmdd")),VLOOKUP(Table135[[#This Row],[CN]],表5[],2,FALSE))</f>
        <v>HTL</v>
      </c>
      <c r="E205" s="3" t="s">
        <v>908</v>
      </c>
      <c r="F205" s="57"/>
      <c r="G205" s="57">
        <v>2</v>
      </c>
      <c r="H205" s="6" t="s">
        <v>916</v>
      </c>
      <c r="I205" s="6" t="s">
        <v>912</v>
      </c>
      <c r="J205" s="6"/>
      <c r="K205" s="59">
        <v>424</v>
      </c>
      <c r="L205" s="6" t="s">
        <v>86</v>
      </c>
      <c r="M205" s="57">
        <f>Table135[[#This Row],[20'']]+Table135[[#This Row],[40'']]*2</f>
        <v>4</v>
      </c>
      <c r="N205" s="2" t="str">
        <f>Table135[[#This Row],[CN]]&amp;" - "&amp;Table135[[#This Row],[CNEE]]</f>
        <v>华达利 - CASAMIA</v>
      </c>
    </row>
    <row r="206" spans="1:14" ht="57" hidden="1" x14ac:dyDescent="0.2">
      <c r="A206" s="1">
        <v>43824</v>
      </c>
      <c r="B206" s="4" t="s">
        <v>12</v>
      </c>
      <c r="C206" t="s">
        <v>31</v>
      </c>
      <c r="D206" s="50" t="str">
        <f>HYPERLINK("E:\Jobs\0011 "&amp;Table135[[#This Row],[CNEE]]&amp;"\0001 "&amp;VLOOKUP(Table135[[#This Row],[CN]],表5[],2,FALSE)&amp;"\"&amp;TEXT(Table135[[#This Row],[ETD]],IF(Table135[[#This Row],[ETD]]&gt;43830,"YYmmdd","mmdd")),VLOOKUP(Table135[[#This Row],[CN]],表5[],2,FALSE))</f>
        <v>HTL</v>
      </c>
      <c r="E206" s="3" t="s">
        <v>906</v>
      </c>
      <c r="F206" s="57"/>
      <c r="G206" s="57">
        <v>4</v>
      </c>
      <c r="H206" s="6" t="s">
        <v>914</v>
      </c>
      <c r="I206" s="6" t="s">
        <v>910</v>
      </c>
      <c r="J206" s="6" t="s">
        <v>1053</v>
      </c>
      <c r="K206" s="59">
        <v>1648</v>
      </c>
      <c r="L206" s="6" t="s">
        <v>86</v>
      </c>
      <c r="M206" s="57">
        <f>Table135[[#This Row],[20'']]+Table135[[#This Row],[40'']]*2</f>
        <v>8</v>
      </c>
      <c r="N206" s="2" t="str">
        <f>Table135[[#This Row],[CN]]&amp;" - "&amp;Table135[[#This Row],[CNEE]]</f>
        <v>华达利 - CASAMIA</v>
      </c>
    </row>
    <row r="207" spans="1:14" hidden="1" x14ac:dyDescent="0.2">
      <c r="A207" s="1">
        <v>43824</v>
      </c>
      <c r="B207" s="4" t="s">
        <v>32</v>
      </c>
      <c r="C207" t="s">
        <v>34</v>
      </c>
      <c r="D207" s="50" t="str">
        <f>HYPERLINK("E:\Jobs\0011 "&amp;Table135[[#This Row],[CNEE]]&amp;"\0001 "&amp;VLOOKUP(Table135[[#This Row],[CN]],表5[],2,FALSE)&amp;"\"&amp;TEXT(Table135[[#This Row],[ETD]],IF(Table135[[#This Row],[ETD]]&gt;43830,"YYmmdd","mmdd")),VLOOKUP(Table135[[#This Row],[CN]],表5[],2,FALSE))</f>
        <v>WANSHENG</v>
      </c>
      <c r="E207" s="3" t="s">
        <v>1222</v>
      </c>
      <c r="F207" s="57"/>
      <c r="G207" s="57">
        <v>2</v>
      </c>
      <c r="H207" s="6" t="s">
        <v>1255</v>
      </c>
      <c r="I207" s="6" t="s">
        <v>815</v>
      </c>
      <c r="J207" s="6"/>
      <c r="K207" s="59" t="s">
        <v>1249</v>
      </c>
      <c r="L207" s="6" t="s">
        <v>86</v>
      </c>
      <c r="M207" s="57">
        <f>Table135[[#This Row],[20'']]+Table135[[#This Row],[40'']]*2</f>
        <v>4</v>
      </c>
      <c r="N207" s="2" t="str">
        <f>Table135[[#This Row],[CN]]&amp;" - "&amp;Table135[[#This Row],[CNEE]]</f>
        <v>万盛 - HANSSEM</v>
      </c>
    </row>
    <row r="208" spans="1:14" hidden="1" x14ac:dyDescent="0.2">
      <c r="A208" s="1">
        <v>43824</v>
      </c>
      <c r="B208" s="4" t="s">
        <v>32</v>
      </c>
      <c r="C208" t="s">
        <v>34</v>
      </c>
      <c r="D208" s="50" t="str">
        <f>HYPERLINK("E:\Jobs\0011 "&amp;Table135[[#This Row],[CNEE]]&amp;"\0001 "&amp;VLOOKUP(Table135[[#This Row],[CN]],表5[],2,FALSE)&amp;"\"&amp;TEXT(Table135[[#This Row],[ETD]],IF(Table135[[#This Row],[ETD]]&gt;43830,"YYmmdd","mmdd")),VLOOKUP(Table135[[#This Row],[CN]],表5[],2,FALSE))</f>
        <v>WANSHENG</v>
      </c>
      <c r="E208" s="3" t="s">
        <v>1223</v>
      </c>
      <c r="F208" s="57"/>
      <c r="G208" s="57">
        <v>2</v>
      </c>
      <c r="H208" s="6" t="s">
        <v>825</v>
      </c>
      <c r="I208" s="6" t="s">
        <v>816</v>
      </c>
      <c r="J208" s="6"/>
      <c r="K208" s="59"/>
      <c r="L208" s="6" t="s">
        <v>86</v>
      </c>
      <c r="M208" s="57">
        <f>Table135[[#This Row],[20'']]+Table135[[#This Row],[40'']]*2</f>
        <v>4</v>
      </c>
      <c r="N208" s="2" t="str">
        <f>Table135[[#This Row],[CN]]&amp;" - "&amp;Table135[[#This Row],[CNEE]]</f>
        <v>万盛 - HANSSEM</v>
      </c>
    </row>
    <row r="209" spans="1:14" hidden="1" x14ac:dyDescent="0.2">
      <c r="A209" s="1">
        <v>43824</v>
      </c>
      <c r="B209" s="4" t="s">
        <v>32</v>
      </c>
      <c r="C209" t="s">
        <v>34</v>
      </c>
      <c r="D209" s="50" t="str">
        <f>HYPERLINK("E:\Jobs\0011 "&amp;Table135[[#This Row],[CNEE]]&amp;"\0001 "&amp;VLOOKUP(Table135[[#This Row],[CN]],表5[],2,FALSE)&amp;"\"&amp;TEXT(Table135[[#This Row],[ETD]],IF(Table135[[#This Row],[ETD]]&gt;43830,"YYmmdd","mmdd")),VLOOKUP(Table135[[#This Row],[CN]],表5[],2,FALSE))</f>
        <v>WANSHENG</v>
      </c>
      <c r="E209" s="3" t="s">
        <v>1227</v>
      </c>
      <c r="F209" s="57"/>
      <c r="G209" s="57">
        <v>3</v>
      </c>
      <c r="H209" s="6" t="s">
        <v>978</v>
      </c>
      <c r="I209" s="6" t="s">
        <v>814</v>
      </c>
      <c r="J209" s="6"/>
      <c r="K209" s="59"/>
      <c r="L209" s="6" t="s">
        <v>86</v>
      </c>
      <c r="M209" s="57">
        <f>Table135[[#This Row],[20'']]+Table135[[#This Row],[40'']]*2</f>
        <v>6</v>
      </c>
      <c r="N209" s="2" t="str">
        <f>Table135[[#This Row],[CN]]&amp;" - "&amp;Table135[[#This Row],[CNEE]]</f>
        <v>万盛 - HANSSEM</v>
      </c>
    </row>
    <row r="210" spans="1:14" hidden="1" x14ac:dyDescent="0.2">
      <c r="A210" s="1">
        <v>43824</v>
      </c>
      <c r="B210" s="4" t="s">
        <v>75</v>
      </c>
      <c r="C210" t="s">
        <v>27</v>
      </c>
      <c r="D210" s="50" t="str">
        <f>HYPERLINK("E:\Jobs\0011 "&amp;Table135[[#This Row],[CNEE]]&amp;"\0001 "&amp;VLOOKUP(Table135[[#This Row],[CN]],表5[],2,FALSE)&amp;"\"&amp;TEXT(Table135[[#This Row],[ETD]],IF(Table135[[#This Row],[ETD]]&gt;43830,"YYmmdd","mmdd")),VLOOKUP(Table135[[#This Row],[CN]],表5[],2,FALSE))</f>
        <v>UE</v>
      </c>
      <c r="E210" s="3" t="s">
        <v>1232</v>
      </c>
      <c r="F210" s="57"/>
      <c r="G210" s="57">
        <v>5</v>
      </c>
      <c r="H210" s="6" t="s">
        <v>943</v>
      </c>
      <c r="I210" s="6" t="s">
        <v>941</v>
      </c>
      <c r="J210" s="6" t="s">
        <v>995</v>
      </c>
      <c r="K210" s="59"/>
      <c r="L210" s="6" t="s">
        <v>86</v>
      </c>
      <c r="M210" s="57">
        <f>Table135[[#This Row],[20'']]+Table135[[#This Row],[40'']]*2</f>
        <v>10</v>
      </c>
      <c r="N210" s="2" t="str">
        <f>Table135[[#This Row],[CN]]&amp;" - "&amp;Table135[[#This Row],[CNEE]]</f>
        <v>永艺 - SSEM</v>
      </c>
    </row>
    <row r="211" spans="1:14" hidden="1" x14ac:dyDescent="0.2">
      <c r="A211" s="1">
        <v>43825</v>
      </c>
      <c r="B211" s="4" t="s">
        <v>946</v>
      </c>
      <c r="C211" t="s">
        <v>947</v>
      </c>
      <c r="D211" s="50" t="str">
        <f>HYPERLINK("E:\Jobs\0011 "&amp;Table135[[#This Row],[CNEE]]&amp;"\0001 "&amp;VLOOKUP(Table135[[#This Row],[CN]],表5[],2,FALSE)&amp;"\"&amp;TEXT(Table135[[#This Row],[ETD]],IF(Table135[[#This Row],[ETD]]&gt;43830,"YYmmdd","mmdd")),VLOOKUP(Table135[[#This Row],[CN]],表5[],2,FALSE))</f>
        <v>FEIJI</v>
      </c>
      <c r="E211" s="3" t="s">
        <v>1197</v>
      </c>
      <c r="F211" s="57"/>
      <c r="G211" s="57">
        <v>2</v>
      </c>
      <c r="H211" s="6" t="s">
        <v>952</v>
      </c>
      <c r="I211" s="6" t="s">
        <v>953</v>
      </c>
      <c r="J211" s="6" t="s">
        <v>954</v>
      </c>
      <c r="K211" s="59"/>
      <c r="L211" s="6" t="s">
        <v>86</v>
      </c>
      <c r="M211" s="57">
        <f>Table135[[#This Row],[20'']]+Table135[[#This Row],[40'']]*2</f>
        <v>4</v>
      </c>
      <c r="N211" s="2" t="str">
        <f>Table135[[#This Row],[CN]]&amp;" - "&amp;Table135[[#This Row],[CNEE]]</f>
        <v>飞集 - SIDIZ</v>
      </c>
    </row>
    <row r="212" spans="1:14" ht="42.75" hidden="1" x14ac:dyDescent="0.2">
      <c r="A212" s="1">
        <v>43828</v>
      </c>
      <c r="B212" s="4" t="s">
        <v>12</v>
      </c>
      <c r="C212" t="s">
        <v>762</v>
      </c>
      <c r="D212" s="50" t="str">
        <f>HYPERLINK("E:\Jobs\0011 "&amp;Table135[[#This Row],[CNEE]]&amp;"\0001 "&amp;VLOOKUP(Table135[[#This Row],[CN]],表5[],2,FALSE)&amp;"\"&amp;TEXT(Table135[[#This Row],[ETD]],IF(Table135[[#This Row],[ETD]]&gt;43830,"YYmmdd","mmdd")),VLOOKUP(Table135[[#This Row],[CN]],表5[],2,FALSE))</f>
        <v>KUKA</v>
      </c>
      <c r="E212" s="3" t="s">
        <v>761</v>
      </c>
      <c r="F212" s="57"/>
      <c r="G212" s="57">
        <v>0</v>
      </c>
      <c r="H212" s="6" t="s">
        <v>767</v>
      </c>
      <c r="I212" s="6" t="s">
        <v>766</v>
      </c>
      <c r="J212" s="6" t="s">
        <v>771</v>
      </c>
      <c r="K212" s="59"/>
      <c r="L212" s="6" t="s">
        <v>86</v>
      </c>
      <c r="M212" s="57">
        <f>Table135[[#This Row],[20'']]+Table135[[#This Row],[40'']]*2</f>
        <v>0</v>
      </c>
      <c r="N212" s="2" t="str">
        <f>Table135[[#This Row],[CN]]&amp;" - "&amp;Table135[[#This Row],[CNEE]]</f>
        <v>顾家 - CASAMIA</v>
      </c>
    </row>
    <row r="213" spans="1:14" hidden="1" x14ac:dyDescent="0.2">
      <c r="A213" s="1">
        <v>43828</v>
      </c>
      <c r="B213" s="4" t="s">
        <v>32</v>
      </c>
      <c r="C213" t="s">
        <v>35</v>
      </c>
      <c r="D213" s="50" t="str">
        <f>HYPERLINK("E:\Jobs\0011 "&amp;Table135[[#This Row],[CNEE]]&amp;"\0001 "&amp;VLOOKUP(Table135[[#This Row],[CN]],表5[],2,FALSE)&amp;"\"&amp;TEXT(Table135[[#This Row],[ETD]],IF(Table135[[#This Row],[ETD]]&gt;43830,"YYmmdd","mmdd")),VLOOKUP(Table135[[#This Row],[CN]],表5[],2,FALSE))</f>
        <v>KUKA</v>
      </c>
      <c r="E213" s="3" t="s">
        <v>1202</v>
      </c>
      <c r="F213" s="57"/>
      <c r="G213" s="57">
        <v>3</v>
      </c>
      <c r="H213" s="6" t="s">
        <v>796</v>
      </c>
      <c r="I213" s="6" t="s">
        <v>791</v>
      </c>
      <c r="J213" s="6"/>
      <c r="K213" s="59" t="s">
        <v>1258</v>
      </c>
      <c r="L213" s="6" t="s">
        <v>86</v>
      </c>
      <c r="M213" s="57">
        <f>Table135[[#This Row],[20'']]+Table135[[#This Row],[40'']]*2</f>
        <v>6</v>
      </c>
      <c r="N213" s="2" t="str">
        <f>Table135[[#This Row],[CN]]&amp;" - "&amp;Table135[[#This Row],[CNEE]]</f>
        <v>顾家 - HANSSEM</v>
      </c>
    </row>
    <row r="214" spans="1:14" ht="57" hidden="1" x14ac:dyDescent="0.2">
      <c r="A214" s="1">
        <v>43828</v>
      </c>
      <c r="B214" s="4" t="s">
        <v>12</v>
      </c>
      <c r="C214" t="s">
        <v>31</v>
      </c>
      <c r="D214" s="50" t="str">
        <f>HYPERLINK("E:\Jobs\0011 "&amp;Table135[[#This Row],[CNEE]]&amp;"\0001 "&amp;VLOOKUP(Table135[[#This Row],[CN]],表5[],2,FALSE)&amp;"\"&amp;TEXT(Table135[[#This Row],[ETD]],IF(Table135[[#This Row],[ETD]]&gt;43830,"YYmmdd","mmdd")),VLOOKUP(Table135[[#This Row],[CN]],表5[],2,FALSE))</f>
        <v>HTL</v>
      </c>
      <c r="E214" s="3" t="s">
        <v>909</v>
      </c>
      <c r="F214" s="57"/>
      <c r="G214" s="57">
        <v>0</v>
      </c>
      <c r="H214" s="6" t="s">
        <v>917</v>
      </c>
      <c r="I214" s="6" t="s">
        <v>913</v>
      </c>
      <c r="J214" s="6"/>
      <c r="K214" s="59"/>
      <c r="L214" s="6" t="s">
        <v>86</v>
      </c>
      <c r="M214" s="57">
        <f>Table135[[#This Row],[20'']]+Table135[[#This Row],[40'']]*2</f>
        <v>0</v>
      </c>
      <c r="N214" s="2" t="str">
        <f>Table135[[#This Row],[CN]]&amp;" - "&amp;Table135[[#This Row],[CNEE]]</f>
        <v>华达利 - CASAMIA</v>
      </c>
    </row>
    <row r="215" spans="1:14" ht="28.5" hidden="1" x14ac:dyDescent="0.2">
      <c r="A215" s="1">
        <v>43828</v>
      </c>
      <c r="B215" s="4" t="s">
        <v>12</v>
      </c>
      <c r="C215" t="s">
        <v>31</v>
      </c>
      <c r="D215" s="50" t="str">
        <f>HYPERLINK("E:\Jobs\0011 "&amp;Table135[[#This Row],[CNEE]]&amp;"\0001 "&amp;VLOOKUP(Table135[[#This Row],[CN]],表5[],2,FALSE)&amp;"\"&amp;TEXT(Table135[[#This Row],[ETD]],IF(Table135[[#This Row],[ETD]]&gt;43830,"YYmmdd","mmdd")),VLOOKUP(Table135[[#This Row],[CN]],表5[],2,FALSE))</f>
        <v>HTL</v>
      </c>
      <c r="E215" s="3" t="s">
        <v>907</v>
      </c>
      <c r="F215" s="57"/>
      <c r="G215" s="57">
        <v>2</v>
      </c>
      <c r="H215" s="6" t="s">
        <v>969</v>
      </c>
      <c r="I215" s="6" t="s">
        <v>973</v>
      </c>
      <c r="J215" s="6"/>
      <c r="K215" s="59">
        <v>424</v>
      </c>
      <c r="L215" s="6" t="s">
        <v>86</v>
      </c>
      <c r="M215" s="57">
        <f>Table135[[#This Row],[20'']]+Table135[[#This Row],[40'']]*2</f>
        <v>4</v>
      </c>
      <c r="N215" s="2" t="str">
        <f>Table135[[#This Row],[CN]]&amp;" - "&amp;Table135[[#This Row],[CNEE]]</f>
        <v>华达利 - CASAMIA</v>
      </c>
    </row>
    <row r="216" spans="1:14" ht="42.75" hidden="1" x14ac:dyDescent="0.2">
      <c r="A216" s="1">
        <v>43828</v>
      </c>
      <c r="B216" s="4" t="s">
        <v>12</v>
      </c>
      <c r="C216" t="s">
        <v>31</v>
      </c>
      <c r="D216" s="50" t="str">
        <f>HYPERLINK("E:\Jobs\0011 "&amp;Table135[[#This Row],[CNEE]]&amp;"\0001 "&amp;VLOOKUP(Table135[[#This Row],[CN]],表5[],2,FALSE)&amp;"\"&amp;TEXT(Table135[[#This Row],[ETD]],IF(Table135[[#This Row],[ETD]]&gt;43830,"YYmmdd","mmdd")),VLOOKUP(Table135[[#This Row],[CN]],表5[],2,FALSE))</f>
        <v>HTL</v>
      </c>
      <c r="E216" s="3" t="s">
        <v>972</v>
      </c>
      <c r="F216" s="57"/>
      <c r="G216" s="57">
        <v>3</v>
      </c>
      <c r="H216" s="6" t="s">
        <v>924</v>
      </c>
      <c r="I216" s="6" t="s">
        <v>923</v>
      </c>
      <c r="J216" s="6" t="s">
        <v>1141</v>
      </c>
      <c r="K216" s="59">
        <v>1436</v>
      </c>
      <c r="L216" s="6" t="s">
        <v>86</v>
      </c>
      <c r="M216" s="57">
        <f>Table135[[#This Row],[20'']]+Table135[[#This Row],[40'']]*2</f>
        <v>6</v>
      </c>
      <c r="N216" s="2" t="str">
        <f>Table135[[#This Row],[CN]]&amp;" - "&amp;Table135[[#This Row],[CNEE]]</f>
        <v>华达利 - CASAMIA</v>
      </c>
    </row>
    <row r="217" spans="1:14" hidden="1" x14ac:dyDescent="0.2">
      <c r="A217" s="1">
        <v>43828</v>
      </c>
      <c r="B217" s="4" t="s">
        <v>32</v>
      </c>
      <c r="C217" t="s">
        <v>34</v>
      </c>
      <c r="D217" s="50" t="str">
        <f>HYPERLINK("E:\Jobs\0011 "&amp;Table135[[#This Row],[CNEE]]&amp;"\0001 "&amp;VLOOKUP(Table135[[#This Row],[CN]],表5[],2,FALSE)&amp;"\"&amp;TEXT(Table135[[#This Row],[ETD]],IF(Table135[[#This Row],[ETD]]&gt;43830,"YYmmdd","mmdd")),VLOOKUP(Table135[[#This Row],[CN]],表5[],2,FALSE))</f>
        <v>WANSHENG</v>
      </c>
      <c r="E217" s="3" t="s">
        <v>806</v>
      </c>
      <c r="F217" s="57"/>
      <c r="G217" s="57">
        <v>0</v>
      </c>
      <c r="H217" s="6" t="s">
        <v>827</v>
      </c>
      <c r="I217" s="6" t="s">
        <v>819</v>
      </c>
      <c r="J217" s="6" t="s">
        <v>1109</v>
      </c>
      <c r="K217" s="59"/>
      <c r="L217" s="6" t="s">
        <v>86</v>
      </c>
      <c r="M217" s="57">
        <f>Table135[[#This Row],[20'']]+Table135[[#This Row],[40'']]*2</f>
        <v>0</v>
      </c>
      <c r="N217" s="2" t="str">
        <f>Table135[[#This Row],[CN]]&amp;" - "&amp;Table135[[#This Row],[CNEE]]</f>
        <v>万盛 - HANSSEM</v>
      </c>
    </row>
    <row r="218" spans="1:14" hidden="1" x14ac:dyDescent="0.2">
      <c r="A218" s="1">
        <v>43828</v>
      </c>
      <c r="B218" s="4" t="s">
        <v>32</v>
      </c>
      <c r="C218" t="s">
        <v>34</v>
      </c>
      <c r="D218" s="50" t="str">
        <f>HYPERLINK("E:\Jobs\0011 "&amp;Table135[[#This Row],[CNEE]]&amp;"\0001 "&amp;VLOOKUP(Table135[[#This Row],[CN]],表5[],2,FALSE)&amp;"\"&amp;TEXT(Table135[[#This Row],[ETD]],IF(Table135[[#This Row],[ETD]]&gt;43830,"YYmmdd","mmdd")),VLOOKUP(Table135[[#This Row],[CN]],表5[],2,FALSE))</f>
        <v>WANSHENG</v>
      </c>
      <c r="E218" s="3" t="s">
        <v>807</v>
      </c>
      <c r="F218" s="57"/>
      <c r="G218" s="57">
        <v>0</v>
      </c>
      <c r="H218" s="6" t="s">
        <v>828</v>
      </c>
      <c r="I218" s="6" t="s">
        <v>820</v>
      </c>
      <c r="J218" s="6" t="s">
        <v>836</v>
      </c>
      <c r="K218" s="59"/>
      <c r="L218" s="6" t="s">
        <v>86</v>
      </c>
      <c r="M218" s="57">
        <f>Table135[[#This Row],[20'']]+Table135[[#This Row],[40'']]*2</f>
        <v>0</v>
      </c>
      <c r="N218" s="2" t="str">
        <f>Table135[[#This Row],[CN]]&amp;" - "&amp;Table135[[#This Row],[CNEE]]</f>
        <v>万盛 - HANSSEM</v>
      </c>
    </row>
    <row r="219" spans="1:14" hidden="1" x14ac:dyDescent="0.2">
      <c r="A219" s="1">
        <v>43828</v>
      </c>
      <c r="B219" s="4" t="s">
        <v>32</v>
      </c>
      <c r="C219" t="s">
        <v>34</v>
      </c>
      <c r="D219" s="50" t="str">
        <f>HYPERLINK("E:\Jobs\0011 "&amp;Table135[[#This Row],[CNEE]]&amp;"\0001 "&amp;VLOOKUP(Table135[[#This Row],[CN]],表5[],2,FALSE)&amp;"\"&amp;TEXT(Table135[[#This Row],[ETD]],IF(Table135[[#This Row],[ETD]]&gt;43830,"YYmmdd","mmdd")),VLOOKUP(Table135[[#This Row],[CN]],表5[],2,FALSE))</f>
        <v>WANSHENG</v>
      </c>
      <c r="E219" s="3" t="s">
        <v>1213</v>
      </c>
      <c r="F219" s="57"/>
      <c r="G219" s="57">
        <v>1</v>
      </c>
      <c r="H219" s="6" t="s">
        <v>1257</v>
      </c>
      <c r="I219" s="6" t="s">
        <v>818</v>
      </c>
      <c r="J219" s="6"/>
      <c r="K219" s="59" t="s">
        <v>1259</v>
      </c>
      <c r="L219" s="6" t="s">
        <v>86</v>
      </c>
      <c r="M219" s="57">
        <f>Table135[[#This Row],[20'']]+Table135[[#This Row],[40'']]*2</f>
        <v>2</v>
      </c>
      <c r="N219" s="2" t="str">
        <f>Table135[[#This Row],[CN]]&amp;" - "&amp;Table135[[#This Row],[CNEE]]</f>
        <v>万盛 - HANSSEM</v>
      </c>
    </row>
    <row r="220" spans="1:14" hidden="1" x14ac:dyDescent="0.2">
      <c r="A220" s="1">
        <v>43828</v>
      </c>
      <c r="B220" s="4" t="s">
        <v>32</v>
      </c>
      <c r="C220" t="s">
        <v>34</v>
      </c>
      <c r="D220" s="50" t="str">
        <f>HYPERLINK("E:\Jobs\0011 "&amp;Table135[[#This Row],[CNEE]]&amp;"\0001 "&amp;VLOOKUP(Table135[[#This Row],[CN]],表5[],2,FALSE)&amp;"\"&amp;TEXT(Table135[[#This Row],[ETD]],IF(Table135[[#This Row],[ETD]]&gt;43830,"YYmmdd","mmdd")),VLOOKUP(Table135[[#This Row],[CN]],表5[],2,FALSE))</f>
        <v>WANSHENG</v>
      </c>
      <c r="E220" s="3" t="s">
        <v>1224</v>
      </c>
      <c r="F220" s="57"/>
      <c r="G220" s="57">
        <v>2</v>
      </c>
      <c r="H220" s="6" t="s">
        <v>826</v>
      </c>
      <c r="I220" s="6" t="s">
        <v>817</v>
      </c>
      <c r="J220" s="6"/>
      <c r="K220" s="59"/>
      <c r="L220" s="6" t="s">
        <v>86</v>
      </c>
      <c r="M220" s="57">
        <f>Table135[[#This Row],[20'']]+Table135[[#This Row],[40'']]*2</f>
        <v>4</v>
      </c>
      <c r="N220" s="2" t="str">
        <f>Table135[[#This Row],[CN]]&amp;" - "&amp;Table135[[#This Row],[CNEE]]</f>
        <v>万盛 - HANSSEM</v>
      </c>
    </row>
    <row r="221" spans="1:14" hidden="1" x14ac:dyDescent="0.2">
      <c r="A221" s="1">
        <v>43831</v>
      </c>
      <c r="B221" s="4" t="s">
        <v>32</v>
      </c>
      <c r="C221" t="s">
        <v>35</v>
      </c>
      <c r="D221" s="50" t="str">
        <f>HYPERLINK("E:\Jobs\0011 "&amp;Table135[[#This Row],[CNEE]]&amp;"\0001 "&amp;VLOOKUP(Table135[[#This Row],[CN]],表5[],2,FALSE)&amp;"\"&amp;TEXT(Table135[[#This Row],[ETD]],IF(Table135[[#This Row],[ETD]]&gt;43830,"YYmmdd","mmdd")),VLOOKUP(Table135[[#This Row],[CN]],表5[],2,FALSE))</f>
        <v>KUKA</v>
      </c>
      <c r="E221" s="3" t="s">
        <v>788</v>
      </c>
      <c r="F221" s="57"/>
      <c r="G221" s="57">
        <v>0</v>
      </c>
      <c r="H221" s="6" t="s">
        <v>1015</v>
      </c>
      <c r="I221" s="6" t="s">
        <v>996</v>
      </c>
      <c r="J221" s="6" t="s">
        <v>1133</v>
      </c>
      <c r="K221" s="59"/>
      <c r="L221" s="6" t="s">
        <v>86</v>
      </c>
      <c r="M221" s="57">
        <f>Table135[[#This Row],[20'']]+Table135[[#This Row],[40'']]*2</f>
        <v>0</v>
      </c>
      <c r="N221" s="2" t="str">
        <f>Table135[[#This Row],[CN]]&amp;" - "&amp;Table135[[#This Row],[CNEE]]</f>
        <v>顾家 - HANSSEM</v>
      </c>
    </row>
    <row r="222" spans="1:14" hidden="1" x14ac:dyDescent="0.2">
      <c r="A222" s="1">
        <v>43831</v>
      </c>
      <c r="B222" s="4" t="s">
        <v>75</v>
      </c>
      <c r="C222" t="s">
        <v>500</v>
      </c>
      <c r="D222" s="50" t="str">
        <f>HYPERLINK("E:\Jobs\0011 "&amp;Table135[[#This Row],[CNEE]]&amp;"\0001 "&amp;VLOOKUP(Table135[[#This Row],[CN]],表5[],2,FALSE)&amp;"\"&amp;TEXT(Table135[[#This Row],[ETD]],IF(Table135[[#This Row],[ETD]]&gt;43830,"YYmmdd","mmdd")),VLOOKUP(Table135[[#This Row],[CN]],表5[],2,FALSE))</f>
        <v>FUHE</v>
      </c>
      <c r="E222" s="3" t="s">
        <v>721</v>
      </c>
      <c r="F222" s="57"/>
      <c r="G222" s="57">
        <v>0</v>
      </c>
      <c r="H222" s="44" t="s">
        <v>1013</v>
      </c>
      <c r="I222" s="6" t="s">
        <v>997</v>
      </c>
      <c r="J222" s="6" t="s">
        <v>1116</v>
      </c>
      <c r="K222" s="59"/>
      <c r="L222" s="6" t="s">
        <v>86</v>
      </c>
      <c r="M222" s="57">
        <f>Table135[[#This Row],[20'']]+Table135[[#This Row],[40'']]*2</f>
        <v>0</v>
      </c>
      <c r="N222" s="2" t="str">
        <f>Table135[[#This Row],[CN]]&amp;" - "&amp;Table135[[#This Row],[CNEE]]</f>
        <v>富和 - SSEM</v>
      </c>
    </row>
    <row r="223" spans="1:14" ht="57" hidden="1" x14ac:dyDescent="0.2">
      <c r="A223" s="1">
        <v>43831</v>
      </c>
      <c r="B223" s="4" t="s">
        <v>12</v>
      </c>
      <c r="C223" t="s">
        <v>31</v>
      </c>
      <c r="D223" s="50" t="str">
        <f>HYPERLINK("E:\Jobs\0011 "&amp;Table135[[#This Row],[CNEE]]&amp;"\0001 "&amp;VLOOKUP(Table135[[#This Row],[CN]],表5[],2,FALSE)&amp;"\"&amp;TEXT(Table135[[#This Row],[ETD]],IF(Table135[[#This Row],[ETD]]&gt;43830,"YYmmdd","mmdd")),VLOOKUP(Table135[[#This Row],[CN]],表5[],2,FALSE))</f>
        <v>HTL</v>
      </c>
      <c r="E223" s="3" t="s">
        <v>968</v>
      </c>
      <c r="F223" s="57"/>
      <c r="G223" s="57">
        <v>0</v>
      </c>
      <c r="H223" s="6" t="s">
        <v>971</v>
      </c>
      <c r="I223" s="6" t="s">
        <v>998</v>
      </c>
      <c r="J223" s="6"/>
      <c r="K223" s="59"/>
      <c r="L223" s="6" t="s">
        <v>86</v>
      </c>
      <c r="M223" s="57">
        <f>Table135[[#This Row],[20'']]+Table135[[#This Row],[40'']]*2</f>
        <v>0</v>
      </c>
      <c r="N223" s="2" t="str">
        <f>Table135[[#This Row],[CN]]&amp;" - "&amp;Table135[[#This Row],[CNEE]]</f>
        <v>华达利 - CASAMIA</v>
      </c>
    </row>
    <row r="224" spans="1:14" hidden="1" x14ac:dyDescent="0.2">
      <c r="A224" s="1">
        <v>43831</v>
      </c>
      <c r="B224" s="4" t="s">
        <v>12</v>
      </c>
      <c r="C224" t="s">
        <v>28</v>
      </c>
      <c r="D224" s="50" t="str">
        <f>HYPERLINK("E:\Jobs\0011 "&amp;Table135[[#This Row],[CNEE]]&amp;"\0001 "&amp;VLOOKUP(Table135[[#This Row],[CN]],表5[],2,FALSE)&amp;"\"&amp;TEXT(Table135[[#This Row],[ETD]],IF(Table135[[#This Row],[ETD]]&gt;43830,"YYmmdd","mmdd")),VLOOKUP(Table135[[#This Row],[CN]],表5[],2,FALSE))</f>
        <v>YAJIAJU</v>
      </c>
      <c r="E224" s="3" t="s">
        <v>1027</v>
      </c>
      <c r="F224" s="57"/>
      <c r="G224" s="57">
        <v>0</v>
      </c>
      <c r="H224" s="6" t="s">
        <v>1088</v>
      </c>
      <c r="I224" s="6" t="s">
        <v>1058</v>
      </c>
      <c r="J224" s="6" t="s">
        <v>1120</v>
      </c>
      <c r="K224" s="59"/>
      <c r="L224" s="6" t="s">
        <v>86</v>
      </c>
      <c r="M224" s="57">
        <f>Table135[[#This Row],[20'']]+Table135[[#This Row],[40'']]*2</f>
        <v>0</v>
      </c>
      <c r="N224" s="2" t="str">
        <f>Table135[[#This Row],[CN]]&amp;" - "&amp;Table135[[#This Row],[CNEE]]</f>
        <v>雅家居 - CASAMIA</v>
      </c>
    </row>
    <row r="225" spans="1:14" hidden="1" x14ac:dyDescent="0.2">
      <c r="A225" s="1">
        <v>43831</v>
      </c>
      <c r="B225" s="4" t="s">
        <v>32</v>
      </c>
      <c r="C225" t="s">
        <v>34</v>
      </c>
      <c r="D225" s="50" t="str">
        <f>HYPERLINK("E:\Jobs\0011 "&amp;Table135[[#This Row],[CNEE]]&amp;"\0001 "&amp;VLOOKUP(Table135[[#This Row],[CN]],表5[],2,FALSE)&amp;"\"&amp;TEXT(Table135[[#This Row],[ETD]],IF(Table135[[#This Row],[ETD]]&gt;43830,"YYmmdd","mmdd")),VLOOKUP(Table135[[#This Row],[CN]],表5[],2,FALSE))</f>
        <v>WANSHENG</v>
      </c>
      <c r="E225" s="3" t="s">
        <v>1028</v>
      </c>
      <c r="F225" s="57"/>
      <c r="G225" s="57">
        <v>0</v>
      </c>
      <c r="H225" s="6" t="s">
        <v>1118</v>
      </c>
      <c r="I225" s="6" t="s">
        <v>1059</v>
      </c>
      <c r="J225" s="6" t="s">
        <v>1134</v>
      </c>
      <c r="K225" s="59"/>
      <c r="L225" s="6" t="s">
        <v>86</v>
      </c>
      <c r="M225" s="57">
        <f>Table135[[#This Row],[20'']]+Table135[[#This Row],[40'']]*2</f>
        <v>0</v>
      </c>
      <c r="N225" s="2" t="str">
        <f>Table135[[#This Row],[CN]]&amp;" - "&amp;Table135[[#This Row],[CNEE]]</f>
        <v>万盛 - HANSSEM</v>
      </c>
    </row>
    <row r="226" spans="1:14" hidden="1" x14ac:dyDescent="0.2">
      <c r="A226" s="1">
        <v>43831</v>
      </c>
      <c r="B226" s="4" t="s">
        <v>32</v>
      </c>
      <c r="C226" t="s">
        <v>34</v>
      </c>
      <c r="D226" s="50" t="str">
        <f>HYPERLINK("E:\Jobs\0011 "&amp;Table135[[#This Row],[CNEE]]&amp;"\0001 "&amp;VLOOKUP(Table135[[#This Row],[CN]],表5[],2,FALSE)&amp;"\"&amp;TEXT(Table135[[#This Row],[ETD]],IF(Table135[[#This Row],[ETD]]&gt;43830,"YYmmdd","mmdd")),VLOOKUP(Table135[[#This Row],[CN]],表5[],2,FALSE))</f>
        <v>WANSHENG</v>
      </c>
      <c r="E226" s="3" t="s">
        <v>1029</v>
      </c>
      <c r="F226" s="57"/>
      <c r="G226" s="57">
        <v>0</v>
      </c>
      <c r="H226" s="6" t="s">
        <v>1117</v>
      </c>
      <c r="I226" s="6" t="s">
        <v>1060</v>
      </c>
      <c r="J226" s="6" t="s">
        <v>1135</v>
      </c>
      <c r="K226" s="59"/>
      <c r="L226" s="6" t="s">
        <v>86</v>
      </c>
      <c r="M226" s="57">
        <f>Table135[[#This Row],[20'']]+Table135[[#This Row],[40'']]*2</f>
        <v>0</v>
      </c>
      <c r="N226" s="2" t="str">
        <f>Table135[[#This Row],[CN]]&amp;" - "&amp;Table135[[#This Row],[CNEE]]</f>
        <v>万盛 - HANSSEM</v>
      </c>
    </row>
    <row r="227" spans="1:14" x14ac:dyDescent="0.2">
      <c r="A227" s="1">
        <v>43835</v>
      </c>
      <c r="B227" s="4" t="s">
        <v>4</v>
      </c>
      <c r="C227" t="s">
        <v>50</v>
      </c>
      <c r="D227" s="50" t="str">
        <f>HYPERLINK("E:\Jobs\0011 "&amp;Table135[[#This Row],[CNEE]]&amp;"\0001 "&amp;VLOOKUP(Table135[[#This Row],[CN]],表5[],2,FALSE)&amp;"\"&amp;TEXT(Table135[[#This Row],[ETD]],IF(Table135[[#This Row],[ETD]]&gt;43830,"YYmmdd","mmdd")),VLOOKUP(Table135[[#This Row],[CN]],表5[],2,FALSE))</f>
        <v>KUKA</v>
      </c>
      <c r="E227" s="3" t="s">
        <v>841</v>
      </c>
      <c r="F227" s="57"/>
      <c r="G227" s="57">
        <v>2</v>
      </c>
      <c r="H227" s="6" t="s">
        <v>1016</v>
      </c>
      <c r="I227" s="6" t="s">
        <v>999</v>
      </c>
      <c r="J227" s="6"/>
      <c r="K227" s="59"/>
      <c r="L227" s="6" t="s">
        <v>86</v>
      </c>
      <c r="M227" s="57">
        <f>Table135[[#This Row],[20'']]+Table135[[#This Row],[40'']]*2</f>
        <v>4</v>
      </c>
      <c r="N227" s="2" t="str">
        <f>Table135[[#This Row],[CN]]&amp;" - "&amp;Table135[[#This Row],[CNEE]]</f>
        <v>顾家 - HANSSEM</v>
      </c>
    </row>
    <row r="228" spans="1:14" ht="42.75" x14ac:dyDescent="0.2">
      <c r="A228" s="1">
        <v>43835</v>
      </c>
      <c r="B228" s="4" t="s">
        <v>12</v>
      </c>
      <c r="C228" t="s">
        <v>35</v>
      </c>
      <c r="D228" s="50" t="str">
        <f>HYPERLINK("E:\Jobs\0011 "&amp;Table135[[#This Row],[CNEE]]&amp;"\0001 "&amp;VLOOKUP(Table135[[#This Row],[CN]],表5[],2,FALSE)&amp;"\"&amp;TEXT(Table135[[#This Row],[ETD]],IF(Table135[[#This Row],[ETD]]&gt;43830,"YYmmdd","mmdd")),VLOOKUP(Table135[[#This Row],[CN]],表5[],2,FALSE))</f>
        <v>KUKA</v>
      </c>
      <c r="E228" s="3" t="s">
        <v>1154</v>
      </c>
      <c r="F228" s="57"/>
      <c r="G228" s="57">
        <v>3</v>
      </c>
      <c r="H228" s="6" t="s">
        <v>1014</v>
      </c>
      <c r="I228" s="6" t="s">
        <v>1000</v>
      </c>
      <c r="J228" s="6" t="s">
        <v>1115</v>
      </c>
      <c r="K228" s="59"/>
      <c r="L228" s="6" t="s">
        <v>86</v>
      </c>
      <c r="M228" s="57">
        <f>Table135[[#This Row],[20'']]+Table135[[#This Row],[40'']]*2</f>
        <v>6</v>
      </c>
      <c r="N228" s="2" t="str">
        <f>Table135[[#This Row],[CN]]&amp;" - "&amp;Table135[[#This Row],[CNEE]]</f>
        <v>顾家 - CASAMIA</v>
      </c>
    </row>
    <row r="229" spans="1:14" hidden="1" x14ac:dyDescent="0.2">
      <c r="A229" s="1">
        <v>43835</v>
      </c>
      <c r="B229" s="4" t="s">
        <v>32</v>
      </c>
      <c r="C229" t="s">
        <v>34</v>
      </c>
      <c r="D229" s="50" t="str">
        <f>HYPERLINK("E:\Jobs\0011 "&amp;Table135[[#This Row],[CNEE]]&amp;"\0001 "&amp;VLOOKUP(Table135[[#This Row],[CN]],表5[],2,FALSE)&amp;"\"&amp;TEXT(Table135[[#This Row],[ETD]],IF(Table135[[#This Row],[ETD]]&gt;43830,"YYmmdd","mmdd")),VLOOKUP(Table135[[#This Row],[CN]],表5[],2,FALSE))</f>
        <v>WANSHENG</v>
      </c>
      <c r="E229" s="3" t="s">
        <v>1030</v>
      </c>
      <c r="F229" s="57"/>
      <c r="G229" s="57">
        <v>5</v>
      </c>
      <c r="H229" s="6" t="s">
        <v>1089</v>
      </c>
      <c r="I229" s="6" t="s">
        <v>1061</v>
      </c>
      <c r="J229" s="6"/>
      <c r="K229" s="59"/>
      <c r="L229" s="6" t="s">
        <v>86</v>
      </c>
      <c r="M229" s="57">
        <f>Table135[[#This Row],[20'']]+Table135[[#This Row],[40'']]*2</f>
        <v>10</v>
      </c>
      <c r="N229" s="2" t="str">
        <f>Table135[[#This Row],[CN]]&amp;" - "&amp;Table135[[#This Row],[CNEE]]</f>
        <v>万盛 - HANSSEM</v>
      </c>
    </row>
    <row r="230" spans="1:14" hidden="1" x14ac:dyDescent="0.2">
      <c r="A230" s="1">
        <v>43835</v>
      </c>
      <c r="B230" s="4" t="s">
        <v>32</v>
      </c>
      <c r="C230" t="s">
        <v>34</v>
      </c>
      <c r="D230" s="50" t="str">
        <f>HYPERLINK("E:\Jobs\0011 "&amp;Table135[[#This Row],[CNEE]]&amp;"\0001 "&amp;VLOOKUP(Table135[[#This Row],[CN]],表5[],2,FALSE)&amp;"\"&amp;TEXT(Table135[[#This Row],[ETD]],IF(Table135[[#This Row],[ETD]]&gt;43830,"YYmmdd","mmdd")),VLOOKUP(Table135[[#This Row],[CN]],表5[],2,FALSE))</f>
        <v>WANSHENG</v>
      </c>
      <c r="E230" s="3" t="s">
        <v>1031</v>
      </c>
      <c r="F230" s="57"/>
      <c r="G230" s="57">
        <v>2</v>
      </c>
      <c r="H230" s="6" t="s">
        <v>1090</v>
      </c>
      <c r="I230" s="6" t="s">
        <v>1062</v>
      </c>
      <c r="J230" s="6"/>
      <c r="K230" s="59"/>
      <c r="L230" s="6" t="s">
        <v>86</v>
      </c>
      <c r="M230" s="57">
        <f>Table135[[#This Row],[20'']]+Table135[[#This Row],[40'']]*2</f>
        <v>4</v>
      </c>
      <c r="N230" s="2" t="str">
        <f>Table135[[#This Row],[CN]]&amp;" - "&amp;Table135[[#This Row],[CNEE]]</f>
        <v>万盛 - HANSSEM</v>
      </c>
    </row>
    <row r="231" spans="1:14" hidden="1" x14ac:dyDescent="0.2">
      <c r="A231" s="1">
        <v>43835</v>
      </c>
      <c r="B231" s="4" t="s">
        <v>304</v>
      </c>
      <c r="C231" t="s">
        <v>29</v>
      </c>
      <c r="D231" s="50" t="str">
        <f>HYPERLINK("E:\Jobs\0011 "&amp;Table135[[#This Row],[CNEE]]&amp;"\0001 "&amp;VLOOKUP(Table135[[#This Row],[CN]],表5[],2,FALSE)&amp;"\"&amp;TEXT(Table135[[#This Row],[ETD]],IF(Table135[[#This Row],[ETD]]&gt;43830,"YYmmdd","mmdd")),VLOOKUP(Table135[[#This Row],[CN]],表5[],2,FALSE))</f>
        <v>HUABAO</v>
      </c>
      <c r="E231" s="3"/>
      <c r="F231" s="57">
        <v>14</v>
      </c>
      <c r="G231" s="57"/>
      <c r="H231" s="6" t="s">
        <v>1084</v>
      </c>
      <c r="I231" s="6" t="s">
        <v>1063</v>
      </c>
      <c r="J231" s="6" t="s">
        <v>1064</v>
      </c>
      <c r="K231" s="59"/>
      <c r="L231" s="6" t="s">
        <v>86</v>
      </c>
      <c r="M231" s="57">
        <f>Table135[[#This Row],[20'']]+Table135[[#This Row],[40'']]*2</f>
        <v>14</v>
      </c>
      <c r="N231" s="2" t="str">
        <f>Table135[[#This Row],[CN]]&amp;" - "&amp;Table135[[#This Row],[CNEE]]</f>
        <v>华宝 - EFFEX</v>
      </c>
    </row>
    <row r="232" spans="1:14" ht="42.75" hidden="1" x14ac:dyDescent="0.2">
      <c r="A232" s="1">
        <v>43835</v>
      </c>
      <c r="B232" s="4" t="s">
        <v>12</v>
      </c>
      <c r="C232" t="s">
        <v>31</v>
      </c>
      <c r="D232" s="50" t="str">
        <f>HYPERLINK("E:\Jobs\0011 "&amp;Table135[[#This Row],[CNEE]]&amp;"\0001 "&amp;VLOOKUP(Table135[[#This Row],[CN]],表5[],2,FALSE)&amp;"\"&amp;TEXT(Table135[[#This Row],[ETD]],IF(Table135[[#This Row],[ETD]]&gt;43830,"YYmmdd","mmdd")),VLOOKUP(Table135[[#This Row],[CN]],表5[],2,FALSE))</f>
        <v>HTL</v>
      </c>
      <c r="E232" s="3" t="s">
        <v>1057</v>
      </c>
      <c r="F232" s="57"/>
      <c r="G232" s="57">
        <v>0</v>
      </c>
      <c r="H232" s="6" t="s">
        <v>1086</v>
      </c>
      <c r="I232" s="6" t="s">
        <v>1065</v>
      </c>
      <c r="J232" s="6" t="s">
        <v>1187</v>
      </c>
      <c r="K232" s="59"/>
      <c r="L232" s="6" t="s">
        <v>86</v>
      </c>
      <c r="M232" s="57">
        <f>Table135[[#This Row],[20'']]+Table135[[#This Row],[40'']]*2</f>
        <v>0</v>
      </c>
      <c r="N232" s="2" t="str">
        <f>Table135[[#This Row],[CN]]&amp;" - "&amp;Table135[[#This Row],[CNEE]]</f>
        <v>华达利 - CASAMIA</v>
      </c>
    </row>
    <row r="233" spans="1:14" ht="57" hidden="1" x14ac:dyDescent="0.2">
      <c r="A233" s="1">
        <v>43835</v>
      </c>
      <c r="B233" s="4" t="s">
        <v>12</v>
      </c>
      <c r="C233" t="s">
        <v>31</v>
      </c>
      <c r="D233" s="50" t="str">
        <f>HYPERLINK("E:\Jobs\0011 "&amp;Table135[[#This Row],[CNEE]]&amp;"\0001 "&amp;VLOOKUP(Table135[[#This Row],[CN]],表5[],2,FALSE)&amp;"\"&amp;TEXT(Table135[[#This Row],[ETD]],IF(Table135[[#This Row],[ETD]]&gt;43830,"YYmmdd","mmdd")),VLOOKUP(Table135[[#This Row],[CN]],表5[],2,FALSE))</f>
        <v>HTL</v>
      </c>
      <c r="E233" s="3" t="s">
        <v>968</v>
      </c>
      <c r="F233" s="57"/>
      <c r="G233" s="57">
        <v>4</v>
      </c>
      <c r="H233" s="6" t="s">
        <v>1121</v>
      </c>
      <c r="I233" s="6" t="s">
        <v>1122</v>
      </c>
      <c r="J233" s="6" t="s">
        <v>1158</v>
      </c>
      <c r="K233" s="59"/>
      <c r="L233" s="6" t="s">
        <v>86</v>
      </c>
      <c r="M233" s="57">
        <f>Table135[[#This Row],[20'']]+Table135[[#This Row],[40'']]*2</f>
        <v>8</v>
      </c>
      <c r="N233" s="2" t="str">
        <f>Table135[[#This Row],[CN]]&amp;" - "&amp;Table135[[#This Row],[CNEE]]</f>
        <v>华达利 - CASAMIA</v>
      </c>
    </row>
    <row r="234" spans="1:14" hidden="1" x14ac:dyDescent="0.2">
      <c r="A234" s="1">
        <v>43835</v>
      </c>
      <c r="B234" s="4" t="s">
        <v>12</v>
      </c>
      <c r="C234" t="s">
        <v>28</v>
      </c>
      <c r="D234" s="50" t="str">
        <f>HYPERLINK("E:\Jobs\0011 "&amp;Table135[[#This Row],[CNEE]]&amp;"\0001 "&amp;VLOOKUP(Table135[[#This Row],[CN]],表5[],2,FALSE)&amp;"\"&amp;TEXT(Table135[[#This Row],[ETD]],IF(Table135[[#This Row],[ETD]]&gt;43830,"YYmmdd","mmdd")),VLOOKUP(Table135[[#This Row],[CN]],表5[],2,FALSE))</f>
        <v>YAJIAJU</v>
      </c>
      <c r="E234" s="3" t="s">
        <v>1027</v>
      </c>
      <c r="F234" s="57"/>
      <c r="G234" s="57">
        <v>1</v>
      </c>
      <c r="H234" s="6" t="s">
        <v>1124</v>
      </c>
      <c r="I234" s="6" t="s">
        <v>1123</v>
      </c>
      <c r="J234" s="6" t="s">
        <v>1131</v>
      </c>
      <c r="K234" s="59"/>
      <c r="L234" s="6" t="s">
        <v>86</v>
      </c>
      <c r="M234" s="57">
        <f>Table135[[#This Row],[20'']]+Table135[[#This Row],[40'']]*2</f>
        <v>2</v>
      </c>
      <c r="N234" s="2" t="str">
        <f>Table135[[#This Row],[CN]]&amp;" - "&amp;Table135[[#This Row],[CNEE]]</f>
        <v>雅家居 - CASAMIA</v>
      </c>
    </row>
    <row r="235" spans="1:14" hidden="1" x14ac:dyDescent="0.2">
      <c r="A235" s="1">
        <v>43835</v>
      </c>
      <c r="B235" s="4" t="s">
        <v>32</v>
      </c>
      <c r="C235" t="s">
        <v>34</v>
      </c>
      <c r="D235" s="50" t="str">
        <f>HYPERLINK("E:\Jobs\0011 "&amp;Table135[[#This Row],[CNEE]]&amp;"\0001 "&amp;VLOOKUP(Table135[[#This Row],[CN]],表5[],2,FALSE)&amp;"\"&amp;TEXT(Table135[[#This Row],[ETD]],IF(Table135[[#This Row],[ETD]]&gt;43830,"YYmmdd","mmdd")),VLOOKUP(Table135[[#This Row],[CN]],表5[],2,FALSE))</f>
        <v>WANSHENG</v>
      </c>
      <c r="E235" s="3"/>
      <c r="F235" s="57"/>
      <c r="G235" s="57">
        <v>1</v>
      </c>
      <c r="H235" s="6" t="s">
        <v>1150</v>
      </c>
      <c r="I235" s="6" t="s">
        <v>1144</v>
      </c>
      <c r="J235" s="6"/>
      <c r="K235" s="59"/>
      <c r="L235" s="6" t="s">
        <v>86</v>
      </c>
      <c r="M235" s="57">
        <f>Table135[[#This Row],[20'']]+Table135[[#This Row],[40'']]*2</f>
        <v>2</v>
      </c>
      <c r="N235" s="2" t="str">
        <f>Table135[[#This Row],[CN]]&amp;" - "&amp;Table135[[#This Row],[CNEE]]</f>
        <v>万盛 - HANSSEM</v>
      </c>
    </row>
    <row r="236" spans="1:14" ht="42.75" hidden="1" x14ac:dyDescent="0.2">
      <c r="A236" s="1">
        <v>43835</v>
      </c>
      <c r="B236" s="4" t="s">
        <v>12</v>
      </c>
      <c r="C236" t="s">
        <v>31</v>
      </c>
      <c r="D236" s="50" t="str">
        <f>HYPERLINK("E:\Jobs\0011 "&amp;Table135[[#This Row],[CNEE]]&amp;"\0001 "&amp;VLOOKUP(Table135[[#This Row],[CN]],表5[],2,FALSE)&amp;"\"&amp;TEXT(Table135[[#This Row],[ETD]],IF(Table135[[#This Row],[ETD]]&gt;43830,"YYmmdd","mmdd")),VLOOKUP(Table135[[#This Row],[CN]],表5[],2,FALSE))</f>
        <v>HTL</v>
      </c>
      <c r="E236" s="3" t="s">
        <v>1057</v>
      </c>
      <c r="F236" s="57"/>
      <c r="G236" s="57">
        <v>3</v>
      </c>
      <c r="H236" s="6" t="s">
        <v>1189</v>
      </c>
      <c r="I236" s="6" t="s">
        <v>1188</v>
      </c>
      <c r="J236" s="6"/>
      <c r="K236" s="59"/>
      <c r="L236" s="6" t="s">
        <v>86</v>
      </c>
      <c r="M236" s="57">
        <f>Table135[[#This Row],[20'']]+Table135[[#This Row],[40'']]*2</f>
        <v>6</v>
      </c>
      <c r="N236" s="2" t="str">
        <f>Table135[[#This Row],[CN]]&amp;" - "&amp;Table135[[#This Row],[CNEE]]</f>
        <v>华达利 - CASAMIA</v>
      </c>
    </row>
    <row r="237" spans="1:14" hidden="1" x14ac:dyDescent="0.2">
      <c r="A237" s="1">
        <v>43838</v>
      </c>
      <c r="B237" s="4" t="s">
        <v>4</v>
      </c>
      <c r="C237" t="s">
        <v>50</v>
      </c>
      <c r="D237" s="50" t="str">
        <f>HYPERLINK("E:\Jobs\0011 "&amp;Table135[[#This Row],[CNEE]]&amp;"\0001 "&amp;VLOOKUP(Table135[[#This Row],[CN]],表5[],2,FALSE)&amp;"\"&amp;TEXT(Table135[[#This Row],[ETD]],IF(Table135[[#This Row],[ETD]]&gt;43830,"YYmmdd","mmdd")),VLOOKUP(Table135[[#This Row],[CN]],表5[],2,FALSE))</f>
        <v>KUKA</v>
      </c>
      <c r="E237" s="3" t="s">
        <v>928</v>
      </c>
      <c r="F237" s="57"/>
      <c r="G237" s="57">
        <v>2</v>
      </c>
      <c r="H237" s="6" t="s">
        <v>1017</v>
      </c>
      <c r="I237" s="6" t="s">
        <v>1001</v>
      </c>
      <c r="J237" s="6"/>
      <c r="K237" s="59"/>
      <c r="L237" s="6" t="s">
        <v>86</v>
      </c>
      <c r="M237" s="57">
        <f>Table135[[#This Row],[20'']]+Table135[[#This Row],[40'']]*2</f>
        <v>4</v>
      </c>
      <c r="N237" s="2" t="str">
        <f>Table135[[#This Row],[CN]]&amp;" - "&amp;Table135[[#This Row],[CNEE]]</f>
        <v>顾家 - HANSSEM</v>
      </c>
    </row>
    <row r="238" spans="1:14" ht="42.75" hidden="1" x14ac:dyDescent="0.2">
      <c r="A238" s="1">
        <v>43838</v>
      </c>
      <c r="B238" s="4" t="s">
        <v>12</v>
      </c>
      <c r="C238" t="s">
        <v>35</v>
      </c>
      <c r="D238" s="50" t="str">
        <f>HYPERLINK("E:\Jobs\0011 "&amp;Table135[[#This Row],[CNEE]]&amp;"\0001 "&amp;VLOOKUP(Table135[[#This Row],[CN]],表5[],2,FALSE)&amp;"\"&amp;TEXT(Table135[[#This Row],[ETD]],IF(Table135[[#This Row],[ETD]]&gt;43830,"YYmmdd","mmdd")),VLOOKUP(Table135[[#This Row],[CN]],表5[],2,FALSE))</f>
        <v>KUKA</v>
      </c>
      <c r="E238" s="3" t="s">
        <v>761</v>
      </c>
      <c r="F238" s="57"/>
      <c r="G238" s="57">
        <v>3</v>
      </c>
      <c r="H238" s="6" t="s">
        <v>772</v>
      </c>
      <c r="I238" s="6" t="s">
        <v>1002</v>
      </c>
      <c r="J238" s="6" t="s">
        <v>838</v>
      </c>
      <c r="K238" s="59"/>
      <c r="L238" s="6" t="s">
        <v>86</v>
      </c>
      <c r="M238" s="57">
        <f>Table135[[#This Row],[20'']]+Table135[[#This Row],[40'']]*2</f>
        <v>6</v>
      </c>
      <c r="N238" s="2" t="str">
        <f>Table135[[#This Row],[CN]]&amp;" - "&amp;Table135[[#This Row],[CNEE]]</f>
        <v>顾家 - CASAMIA</v>
      </c>
    </row>
    <row r="239" spans="1:14" hidden="1" x14ac:dyDescent="0.2">
      <c r="A239" s="1">
        <v>43838</v>
      </c>
      <c r="B239" s="4" t="s">
        <v>32</v>
      </c>
      <c r="C239" t="s">
        <v>34</v>
      </c>
      <c r="D239" s="50" t="str">
        <f>HYPERLINK("E:\Jobs\0011 "&amp;Table135[[#This Row],[CNEE]]&amp;"\0001 "&amp;VLOOKUP(Table135[[#This Row],[CN]],表5[],2,FALSE)&amp;"\"&amp;TEXT(Table135[[#This Row],[ETD]],IF(Table135[[#This Row],[ETD]]&gt;43830,"YYmmdd","mmdd")),VLOOKUP(Table135[[#This Row],[CN]],表5[],2,FALSE))</f>
        <v>WANSHENG</v>
      </c>
      <c r="E239" s="3" t="s">
        <v>1032</v>
      </c>
      <c r="F239" s="57"/>
      <c r="G239" s="57">
        <v>0</v>
      </c>
      <c r="H239" s="6" t="s">
        <v>1091</v>
      </c>
      <c r="I239" s="6" t="s">
        <v>1066</v>
      </c>
      <c r="J239" s="6" t="s">
        <v>1174</v>
      </c>
      <c r="K239" s="59"/>
      <c r="L239" s="6" t="s">
        <v>86</v>
      </c>
      <c r="M239" s="57">
        <f>Table135[[#This Row],[20'']]+Table135[[#This Row],[40'']]*2</f>
        <v>0</v>
      </c>
      <c r="N239" s="2" t="str">
        <f>Table135[[#This Row],[CN]]&amp;" - "&amp;Table135[[#This Row],[CNEE]]</f>
        <v>万盛 - HANSSEM</v>
      </c>
    </row>
    <row r="240" spans="1:14" hidden="1" x14ac:dyDescent="0.2">
      <c r="A240" s="1">
        <v>43838</v>
      </c>
      <c r="B240" s="4" t="s">
        <v>32</v>
      </c>
      <c r="C240" t="s">
        <v>34</v>
      </c>
      <c r="D240" s="50" t="str">
        <f>HYPERLINK("E:\Jobs\0011 "&amp;Table135[[#This Row],[CNEE]]&amp;"\0001 "&amp;VLOOKUP(Table135[[#This Row],[CN]],表5[],2,FALSE)&amp;"\"&amp;TEXT(Table135[[#This Row],[ETD]],IF(Table135[[#This Row],[ETD]]&gt;43830,"YYmmdd","mmdd")),VLOOKUP(Table135[[#This Row],[CN]],表5[],2,FALSE))</f>
        <v>WANSHENG</v>
      </c>
      <c r="E240" s="3" t="s">
        <v>1033</v>
      </c>
      <c r="F240" s="57"/>
      <c r="G240" s="57">
        <v>0</v>
      </c>
      <c r="H240" s="6" t="s">
        <v>1092</v>
      </c>
      <c r="I240" s="6" t="s">
        <v>1067</v>
      </c>
      <c r="J240" s="6" t="s">
        <v>1174</v>
      </c>
      <c r="K240" s="59"/>
      <c r="L240" s="6" t="s">
        <v>86</v>
      </c>
      <c r="M240" s="57">
        <f>Table135[[#This Row],[20'']]+Table135[[#This Row],[40'']]*2</f>
        <v>0</v>
      </c>
      <c r="N240" s="2" t="str">
        <f>Table135[[#This Row],[CN]]&amp;" - "&amp;Table135[[#This Row],[CNEE]]</f>
        <v>万盛 - HANSSEM</v>
      </c>
    </row>
    <row r="241" spans="1:14" hidden="1" x14ac:dyDescent="0.2">
      <c r="A241" s="1">
        <v>43838</v>
      </c>
      <c r="B241" s="4" t="s">
        <v>32</v>
      </c>
      <c r="C241" t="s">
        <v>34</v>
      </c>
      <c r="D241" s="50" t="str">
        <f>HYPERLINK("E:\Jobs\0011 "&amp;Table135[[#This Row],[CNEE]]&amp;"\0001 "&amp;VLOOKUP(Table135[[#This Row],[CN]],表5[],2,FALSE)&amp;"\"&amp;TEXT(Table135[[#This Row],[ETD]],IF(Table135[[#This Row],[ETD]]&gt;43830,"YYmmdd","mmdd")),VLOOKUP(Table135[[#This Row],[CN]],表5[],2,FALSE))</f>
        <v>WANSHENG</v>
      </c>
      <c r="E241" s="3" t="s">
        <v>1034</v>
      </c>
      <c r="F241" s="57"/>
      <c r="G241" s="57">
        <v>1</v>
      </c>
      <c r="H241" s="6" t="s">
        <v>1093</v>
      </c>
      <c r="I241" s="6" t="s">
        <v>1068</v>
      </c>
      <c r="J241" s="6"/>
      <c r="K241" s="59"/>
      <c r="L241" s="6" t="s">
        <v>86</v>
      </c>
      <c r="M241" s="57">
        <f>Table135[[#This Row],[20'']]+Table135[[#This Row],[40'']]*2</f>
        <v>2</v>
      </c>
      <c r="N241" s="2" t="str">
        <f>Table135[[#This Row],[CN]]&amp;" - "&amp;Table135[[#This Row],[CNEE]]</f>
        <v>万盛 - HANSSEM</v>
      </c>
    </row>
    <row r="242" spans="1:14" hidden="1" x14ac:dyDescent="0.2">
      <c r="A242" s="1">
        <v>43838</v>
      </c>
      <c r="B242" s="4" t="s">
        <v>32</v>
      </c>
      <c r="C242" t="s">
        <v>34</v>
      </c>
      <c r="D242" s="50" t="str">
        <f>HYPERLINK("E:\Jobs\0011 "&amp;Table135[[#This Row],[CNEE]]&amp;"\0001 "&amp;VLOOKUP(Table135[[#This Row],[CN]],表5[],2,FALSE)&amp;"\"&amp;TEXT(Table135[[#This Row],[ETD]],IF(Table135[[#This Row],[ETD]]&gt;43830,"YYmmdd","mmdd")),VLOOKUP(Table135[[#This Row],[CN]],表5[],2,FALSE))</f>
        <v>WANSHENG</v>
      </c>
      <c r="E242" s="3" t="s">
        <v>1035</v>
      </c>
      <c r="F242" s="57"/>
      <c r="G242" s="57">
        <v>2</v>
      </c>
      <c r="H242" s="6" t="s">
        <v>1094</v>
      </c>
      <c r="I242" s="6" t="s">
        <v>1069</v>
      </c>
      <c r="J242" s="6"/>
      <c r="K242" s="59"/>
      <c r="L242" s="6" t="s">
        <v>86</v>
      </c>
      <c r="M242" s="57">
        <f>Table135[[#This Row],[20'']]+Table135[[#This Row],[40'']]*2</f>
        <v>4</v>
      </c>
      <c r="N242" s="2" t="str">
        <f>Table135[[#This Row],[CN]]&amp;" - "&amp;Table135[[#This Row],[CNEE]]</f>
        <v>万盛 - HANSSEM</v>
      </c>
    </row>
    <row r="243" spans="1:14" hidden="1" x14ac:dyDescent="0.2">
      <c r="A243" s="1">
        <v>43838</v>
      </c>
      <c r="B243" s="4" t="s">
        <v>32</v>
      </c>
      <c r="C243" t="s">
        <v>34</v>
      </c>
      <c r="D243" s="50" t="str">
        <f>HYPERLINK("E:\Jobs\0011 "&amp;Table135[[#This Row],[CNEE]]&amp;"\0001 "&amp;VLOOKUP(Table135[[#This Row],[CN]],表5[],2,FALSE)&amp;"\"&amp;TEXT(Table135[[#This Row],[ETD]],IF(Table135[[#This Row],[ETD]]&gt;43830,"YYmmdd","mmdd")),VLOOKUP(Table135[[#This Row],[CN]],表5[],2,FALSE))</f>
        <v>WANSHENG</v>
      </c>
      <c r="E243" s="3" t="s">
        <v>1036</v>
      </c>
      <c r="F243" s="57"/>
      <c r="G243" s="57">
        <v>2</v>
      </c>
      <c r="H243" s="6" t="s">
        <v>1095</v>
      </c>
      <c r="I243" s="6" t="s">
        <v>1070</v>
      </c>
      <c r="J243" s="6"/>
      <c r="K243" s="59"/>
      <c r="L243" s="6" t="s">
        <v>86</v>
      </c>
      <c r="M243" s="57">
        <f>Table135[[#This Row],[20'']]+Table135[[#This Row],[40'']]*2</f>
        <v>4</v>
      </c>
      <c r="N243" s="2" t="str">
        <f>Table135[[#This Row],[CN]]&amp;" - "&amp;Table135[[#This Row],[CNEE]]</f>
        <v>万盛 - HANSSEM</v>
      </c>
    </row>
    <row r="244" spans="1:14" hidden="1" x14ac:dyDescent="0.2">
      <c r="A244" s="1">
        <v>43838</v>
      </c>
      <c r="B244" s="4" t="s">
        <v>304</v>
      </c>
      <c r="C244" t="s">
        <v>29</v>
      </c>
      <c r="D244" s="51" t="str">
        <f>HYPERLINK("E:\Jobs\0011 "&amp;Table135[[#This Row],[CNEE]]&amp;"\0001 "&amp;VLOOKUP(Table135[[#This Row],[CN]],表5[],2,FALSE)&amp;"\"&amp;TEXT(Table135[[#This Row],[ETD]],IF(Table135[[#This Row],[ETD]]&gt;43830,"YYmmdd","mmdd")),VLOOKUP(Table135[[#This Row],[CN]],表5[],2,FALSE))</f>
        <v>HUABAO</v>
      </c>
      <c r="E244" s="3"/>
      <c r="F244" s="57">
        <v>12</v>
      </c>
      <c r="G244" s="57"/>
      <c r="H244" s="6" t="s">
        <v>1085</v>
      </c>
      <c r="I244" s="6" t="s">
        <v>1071</v>
      </c>
      <c r="J244" s="6" t="s">
        <v>1072</v>
      </c>
      <c r="K244" s="59"/>
      <c r="L244" s="6" t="s">
        <v>86</v>
      </c>
      <c r="M244" s="57">
        <f>Table135[[#This Row],[20'']]+Table135[[#This Row],[40'']]*2</f>
        <v>12</v>
      </c>
      <c r="N244" s="2" t="str">
        <f>Table135[[#This Row],[CN]]&amp;" - "&amp;Table135[[#This Row],[CNEE]]</f>
        <v>华宝 - EFFEX</v>
      </c>
    </row>
    <row r="245" spans="1:14" ht="57" hidden="1" x14ac:dyDescent="0.2">
      <c r="A245" s="1">
        <v>43838</v>
      </c>
      <c r="B245" s="4" t="s">
        <v>12</v>
      </c>
      <c r="C245" t="s">
        <v>31</v>
      </c>
      <c r="D245" s="50" t="str">
        <f>HYPERLINK("E:\Jobs\0011 "&amp;Table135[[#This Row],[CNEE]]&amp;"\0001 "&amp;VLOOKUP(Table135[[#This Row],[CN]],表5[],2,FALSE)&amp;"\"&amp;TEXT(Table135[[#This Row],[ETD]],IF(Table135[[#This Row],[ETD]]&gt;43830,"YYmmdd","mmdd")),VLOOKUP(Table135[[#This Row],[CN]],表5[],2,FALSE))</f>
        <v>HTL</v>
      </c>
      <c r="E245" s="3" t="s">
        <v>1056</v>
      </c>
      <c r="F245" s="57"/>
      <c r="G245" s="57">
        <v>0</v>
      </c>
      <c r="H245" s="6" t="s">
        <v>1087</v>
      </c>
      <c r="I245" s="6" t="s">
        <v>1073</v>
      </c>
      <c r="J245" s="6" t="s">
        <v>556</v>
      </c>
      <c r="K245" s="59"/>
      <c r="L245" s="6" t="s">
        <v>86</v>
      </c>
      <c r="M245" s="57">
        <f>Table135[[#This Row],[20'']]+Table135[[#This Row],[40'']]*2</f>
        <v>0</v>
      </c>
      <c r="N245" s="2" t="str">
        <f>Table135[[#This Row],[CN]]&amp;" - "&amp;Table135[[#This Row],[CNEE]]</f>
        <v>华达利 - CASAMIA</v>
      </c>
    </row>
    <row r="246" spans="1:14" hidden="1" x14ac:dyDescent="0.2">
      <c r="A246" s="1">
        <v>43838</v>
      </c>
      <c r="B246" s="4" t="s">
        <v>75</v>
      </c>
      <c r="C246" t="s">
        <v>1110</v>
      </c>
      <c r="D246" s="50" t="str">
        <f>HYPERLINK("E:\Jobs\0011 "&amp;Table135[[#This Row],[CNEE]]&amp;"\0001 "&amp;VLOOKUP(Table135[[#This Row],[CN]],表5[],2,FALSE)&amp;"\"&amp;TEXT(Table135[[#This Row],[ETD]],IF(Table135[[#This Row],[ETD]]&gt;43830,"YYmmdd","mmdd")),VLOOKUP(Table135[[#This Row],[CN]],表5[],2,FALSE))</f>
        <v>UE</v>
      </c>
      <c r="E246" s="3" t="s">
        <v>1111</v>
      </c>
      <c r="F246" s="57"/>
      <c r="G246" s="57">
        <v>2</v>
      </c>
      <c r="H246" s="6" t="s">
        <v>1151</v>
      </c>
      <c r="I246" s="6" t="s">
        <v>1128</v>
      </c>
      <c r="J246" s="6" t="s">
        <v>1195</v>
      </c>
      <c r="K246" s="59"/>
      <c r="L246" s="6"/>
      <c r="M246" s="57">
        <f>Table135[[#This Row],[20'']]+Table135[[#This Row],[40'']]*2</f>
        <v>4</v>
      </c>
      <c r="N246" s="2" t="str">
        <f>Table135[[#This Row],[CN]]&amp;" - "&amp;Table135[[#This Row],[CNEE]]</f>
        <v>永艺 - SSEM</v>
      </c>
    </row>
    <row r="247" spans="1:14" ht="42.75" hidden="1" x14ac:dyDescent="0.2">
      <c r="A247" s="1">
        <v>43838</v>
      </c>
      <c r="B247" s="4" t="s">
        <v>12</v>
      </c>
      <c r="C247" t="s">
        <v>31</v>
      </c>
      <c r="D247" s="50" t="str">
        <f>HYPERLINK("E:\Jobs\0011 "&amp;Table135[[#This Row],[CNEE]]&amp;"\0001 "&amp;VLOOKUP(Table135[[#This Row],[CN]],表5[],2,FALSE)&amp;"\"&amp;TEXT(Table135[[#This Row],[ETD]],IF(Table135[[#This Row],[ETD]]&gt;43830,"YYmmdd","mmdd")),VLOOKUP(Table135[[#This Row],[CN]],表5[],2,FALSE))</f>
        <v>HTL</v>
      </c>
      <c r="E247" s="3" t="s">
        <v>1057</v>
      </c>
      <c r="F247" s="57"/>
      <c r="G247" s="57">
        <v>0</v>
      </c>
      <c r="H247" s="6" t="s">
        <v>1126</v>
      </c>
      <c r="I247" s="6" t="s">
        <v>1129</v>
      </c>
      <c r="J247" s="6" t="s">
        <v>1184</v>
      </c>
      <c r="K247" s="59"/>
      <c r="L247" s="6" t="s">
        <v>86</v>
      </c>
      <c r="M247" s="57">
        <f>Table135[[#This Row],[20'']]+Table135[[#This Row],[40'']]*2</f>
        <v>0</v>
      </c>
      <c r="N247" s="2" t="str">
        <f>Table135[[#This Row],[CN]]&amp;" - "&amp;Table135[[#This Row],[CNEE]]</f>
        <v>华达利 - CASAMIA</v>
      </c>
    </row>
    <row r="248" spans="1:14" hidden="1" x14ac:dyDescent="0.2">
      <c r="A248" s="1">
        <v>43838</v>
      </c>
      <c r="B248" s="4" t="s">
        <v>12</v>
      </c>
      <c r="C248" t="s">
        <v>28</v>
      </c>
      <c r="D248" s="50" t="str">
        <f>HYPERLINK("E:\Jobs\0011 "&amp;Table135[[#This Row],[CNEE]]&amp;"\0001 "&amp;VLOOKUP(Table135[[#This Row],[CN]],表5[],2,FALSE)&amp;"\"&amp;TEXT(Table135[[#This Row],[ETD]],IF(Table135[[#This Row],[ETD]]&gt;43830,"YYmmdd","mmdd")),VLOOKUP(Table135[[#This Row],[CN]],表5[],2,FALSE))</f>
        <v>YAJIAJU</v>
      </c>
      <c r="E248" s="3" t="s">
        <v>1165</v>
      </c>
      <c r="F248" s="57"/>
      <c r="G248" s="57">
        <v>1</v>
      </c>
      <c r="H248" s="6" t="s">
        <v>1167</v>
      </c>
      <c r="I248" s="6" t="s">
        <v>1166</v>
      </c>
      <c r="J248" s="6"/>
      <c r="K248" s="59"/>
      <c r="L248" s="6" t="s">
        <v>86</v>
      </c>
      <c r="M248" s="57">
        <f>Table135[[#This Row],[20'']]+Table135[[#This Row],[40'']]*2</f>
        <v>2</v>
      </c>
      <c r="N248" s="2" t="str">
        <f>Table135[[#This Row],[CN]]&amp;" - "&amp;Table135[[#This Row],[CNEE]]</f>
        <v>雅家居 - CASAMIA</v>
      </c>
    </row>
    <row r="249" spans="1:14" hidden="1" x14ac:dyDescent="0.2">
      <c r="A249" s="1">
        <v>43842</v>
      </c>
      <c r="B249" s="4" t="s">
        <v>32</v>
      </c>
      <c r="C249" t="s">
        <v>30</v>
      </c>
      <c r="D249" s="50" t="str">
        <f>HYPERLINK("E:\Jobs\0011 "&amp;Table135[[#This Row],[CNEE]]&amp;"\0001 "&amp;VLOOKUP(Table135[[#This Row],[CN]],表5[],2,FALSE)&amp;"\"&amp;TEXT(Table135[[#This Row],[ETD]],IF(Table135[[#This Row],[ETD]]&gt;43830,"YYmmdd","mmdd")),VLOOKUP(Table135[[#This Row],[CN]],表5[],2,FALSE))</f>
        <v>CABO</v>
      </c>
      <c r="E249" s="3" t="s">
        <v>940</v>
      </c>
      <c r="F249" s="57"/>
      <c r="G249" s="57">
        <v>0</v>
      </c>
      <c r="H249" s="6" t="s">
        <v>1021</v>
      </c>
      <c r="I249" s="6" t="s">
        <v>1003</v>
      </c>
      <c r="J249" s="6" t="s">
        <v>1136</v>
      </c>
      <c r="K249" s="59"/>
      <c r="L249" s="6" t="s">
        <v>86</v>
      </c>
      <c r="M249" s="57">
        <f>Table135[[#This Row],[20'']]+Table135[[#This Row],[40'']]*2</f>
        <v>0</v>
      </c>
      <c r="N249" s="2" t="str">
        <f>Table135[[#This Row],[CN]]&amp;" - "&amp;Table135[[#This Row],[CNEE]]</f>
        <v>卡帛 - HANSSEM</v>
      </c>
    </row>
    <row r="250" spans="1:14" hidden="1" x14ac:dyDescent="0.2">
      <c r="A250" s="1">
        <v>43842</v>
      </c>
      <c r="B250" s="4" t="s">
        <v>12</v>
      </c>
      <c r="C250" t="s">
        <v>33</v>
      </c>
      <c r="D250" s="50" t="str">
        <f>HYPERLINK("E:\Jobs\0011 "&amp;Table135[[#This Row],[CNEE]]&amp;"\0001 "&amp;VLOOKUP(Table135[[#This Row],[CN]],表5[],2,FALSE)&amp;"\"&amp;TEXT(Table135[[#This Row],[ETD]],IF(Table135[[#This Row],[ETD]]&gt;43830,"YYmmdd","mmdd")),VLOOKUP(Table135[[#This Row],[CN]],表5[],2,FALSE))</f>
        <v>ZHOUJI</v>
      </c>
      <c r="E250" s="3" t="s">
        <v>960</v>
      </c>
      <c r="F250" s="57"/>
      <c r="G250" s="57">
        <v>1</v>
      </c>
      <c r="H250" s="6" t="s">
        <v>1022</v>
      </c>
      <c r="I250" s="6" t="s">
        <v>1004</v>
      </c>
      <c r="J250" s="6" t="s">
        <v>495</v>
      </c>
      <c r="K250" s="59"/>
      <c r="L250" s="6" t="s">
        <v>86</v>
      </c>
      <c r="M250" s="57">
        <f>Table135[[#This Row],[20'']]+Table135[[#This Row],[40'']]*2</f>
        <v>2</v>
      </c>
      <c r="N250" s="2" t="str">
        <f>Table135[[#This Row],[CN]]&amp;" - "&amp;Table135[[#This Row],[CNEE]]</f>
        <v>洲际 - CASAMIA</v>
      </c>
    </row>
    <row r="251" spans="1:14" hidden="1" x14ac:dyDescent="0.2">
      <c r="A251" s="1">
        <v>43842</v>
      </c>
      <c r="B251" s="4" t="s">
        <v>12</v>
      </c>
      <c r="C251" t="s">
        <v>33</v>
      </c>
      <c r="D251" s="50" t="str">
        <f>HYPERLINK("E:\Jobs\0011 "&amp;Table135[[#This Row],[CNEE]]&amp;"\0001 "&amp;VLOOKUP(Table135[[#This Row],[CN]],表5[],2,FALSE)&amp;"\"&amp;TEXT(Table135[[#This Row],[ETD]],IF(Table135[[#This Row],[ETD]]&gt;43830,"YYmmdd","mmdd")),VLOOKUP(Table135[[#This Row],[CN]],表5[],2,FALSE))</f>
        <v>ZHOUJI</v>
      </c>
      <c r="E251" s="3" t="s">
        <v>961</v>
      </c>
      <c r="F251" s="57"/>
      <c r="G251" s="57">
        <v>1</v>
      </c>
      <c r="H251" s="6" t="s">
        <v>1023</v>
      </c>
      <c r="I251" s="6" t="s">
        <v>1005</v>
      </c>
      <c r="J251" s="6" t="s">
        <v>251</v>
      </c>
      <c r="K251" s="59"/>
      <c r="L251" s="6" t="s">
        <v>86</v>
      </c>
      <c r="M251" s="57">
        <f>Table135[[#This Row],[20'']]+Table135[[#This Row],[40'']]*2</f>
        <v>2</v>
      </c>
      <c r="N251" s="2" t="str">
        <f>Table135[[#This Row],[CN]]&amp;" - "&amp;Table135[[#This Row],[CNEE]]</f>
        <v>洲际 - CASAMIA</v>
      </c>
    </row>
    <row r="252" spans="1:14" hidden="1" x14ac:dyDescent="0.2">
      <c r="A252" s="1">
        <v>43842</v>
      </c>
      <c r="B252" s="4" t="s">
        <v>12</v>
      </c>
      <c r="C252" t="s">
        <v>33</v>
      </c>
      <c r="D252" s="50" t="str">
        <f>HYPERLINK("E:\Jobs\0011 "&amp;Table135[[#This Row],[CNEE]]&amp;"\0001 "&amp;VLOOKUP(Table135[[#This Row],[CN]],表5[],2,FALSE)&amp;"\"&amp;TEXT(Table135[[#This Row],[ETD]],IF(Table135[[#This Row],[ETD]]&gt;43830,"YYmmdd","mmdd")),VLOOKUP(Table135[[#This Row],[CN]],表5[],2,FALSE))</f>
        <v>ZHOUJI</v>
      </c>
      <c r="E252" s="23" t="s">
        <v>962</v>
      </c>
      <c r="F252" s="57"/>
      <c r="G252" s="57">
        <v>1</v>
      </c>
      <c r="H252" s="6" t="s">
        <v>1024</v>
      </c>
      <c r="I252" s="6" t="s">
        <v>1006</v>
      </c>
      <c r="J252" s="6" t="s">
        <v>1009</v>
      </c>
      <c r="K252" s="59"/>
      <c r="L252" s="6" t="s">
        <v>86</v>
      </c>
      <c r="M252" s="57">
        <f>Table135[[#This Row],[20'']]+Table135[[#This Row],[40'']]*2</f>
        <v>2</v>
      </c>
      <c r="N252" s="2" t="str">
        <f>Table135[[#This Row],[CN]]&amp;" - "&amp;Table135[[#This Row],[CNEE]]</f>
        <v>洲际 - CASAMIA</v>
      </c>
    </row>
    <row r="253" spans="1:14" hidden="1" x14ac:dyDescent="0.2">
      <c r="A253" s="1">
        <v>43842</v>
      </c>
      <c r="B253" s="4" t="s">
        <v>4</v>
      </c>
      <c r="C253" t="s">
        <v>50</v>
      </c>
      <c r="D253" s="50" t="str">
        <f>HYPERLINK("E:\Jobs\0011 "&amp;Table135[[#This Row],[CNEE]]&amp;"\0001 "&amp;VLOOKUP(Table135[[#This Row],[CN]],表5[],2,FALSE)&amp;"\"&amp;TEXT(Table135[[#This Row],[ETD]],IF(Table135[[#This Row],[ETD]]&gt;43830,"YYmmdd","mmdd")),VLOOKUP(Table135[[#This Row],[CN]],表5[],2,FALSE))</f>
        <v>KUKA</v>
      </c>
      <c r="E253" s="3" t="s">
        <v>964</v>
      </c>
      <c r="F253" s="57"/>
      <c r="G253" s="57">
        <v>3</v>
      </c>
      <c r="H253" s="6" t="s">
        <v>1018</v>
      </c>
      <c r="I253" s="6" t="s">
        <v>1007</v>
      </c>
      <c r="J253" s="6"/>
      <c r="K253" s="59"/>
      <c r="L253" s="6" t="s">
        <v>86</v>
      </c>
      <c r="M253" s="57">
        <f>Table135[[#This Row],[20'']]+Table135[[#This Row],[40'']]*2</f>
        <v>6</v>
      </c>
      <c r="N253" s="2" t="str">
        <f>Table135[[#This Row],[CN]]&amp;" - "&amp;Table135[[#This Row],[CNEE]]</f>
        <v>顾家 - HANSSEM</v>
      </c>
    </row>
    <row r="254" spans="1:14" ht="71.25" hidden="1" x14ac:dyDescent="0.2">
      <c r="A254" s="1">
        <v>43842</v>
      </c>
      <c r="B254" s="4" t="s">
        <v>12</v>
      </c>
      <c r="C254" t="s">
        <v>31</v>
      </c>
      <c r="D254" s="50" t="str">
        <f>HYPERLINK("E:\Jobs\0011 "&amp;Table135[[#This Row],[CNEE]]&amp;"\0001 "&amp;VLOOKUP(Table135[[#This Row],[CN]],表5[],2,FALSE)&amp;"\"&amp;TEXT(Table135[[#This Row],[ETD]],IF(Table135[[#This Row],[ETD]]&gt;43830,"YYmmdd","mmdd")),VLOOKUP(Table135[[#This Row],[CN]],表5[],2,FALSE))</f>
        <v>HTL</v>
      </c>
      <c r="E254" s="3" t="s">
        <v>1186</v>
      </c>
      <c r="F254" s="57"/>
      <c r="G254" s="57">
        <v>5</v>
      </c>
      <c r="H254" s="6" t="s">
        <v>919</v>
      </c>
      <c r="I254" s="6" t="s">
        <v>1008</v>
      </c>
      <c r="J254" s="6"/>
      <c r="K254" s="59"/>
      <c r="L254" s="6" t="s">
        <v>86</v>
      </c>
      <c r="M254" s="57">
        <f>Table135[[#This Row],[20'']]+Table135[[#This Row],[40'']]*2</f>
        <v>10</v>
      </c>
      <c r="N254" s="2" t="str">
        <f>Table135[[#This Row],[CN]]&amp;" - "&amp;Table135[[#This Row],[CNEE]]</f>
        <v>华达利 - CASAMIA</v>
      </c>
    </row>
    <row r="255" spans="1:14" hidden="1" x14ac:dyDescent="0.2">
      <c r="A255" s="1">
        <v>43842</v>
      </c>
      <c r="B255" s="4" t="s">
        <v>32</v>
      </c>
      <c r="C255" t="s">
        <v>34</v>
      </c>
      <c r="D255" s="50" t="str">
        <f>HYPERLINK("E:\Jobs\0011 "&amp;Table135[[#This Row],[CNEE]]&amp;"\0001 "&amp;VLOOKUP(Table135[[#This Row],[CN]],表5[],2,FALSE)&amp;"\"&amp;TEXT(Table135[[#This Row],[ETD]],IF(Table135[[#This Row],[ETD]]&gt;43830,"YYmmdd","mmdd")),VLOOKUP(Table135[[#This Row],[CN]],表5[],2,FALSE))</f>
        <v>WANSHENG</v>
      </c>
      <c r="E255" s="3" t="s">
        <v>1037</v>
      </c>
      <c r="F255" s="57"/>
      <c r="G255" s="57">
        <v>5</v>
      </c>
      <c r="H255" s="6" t="s">
        <v>1096</v>
      </c>
      <c r="I255" s="6" t="s">
        <v>1074</v>
      </c>
      <c r="J255" s="6"/>
      <c r="K255" s="59"/>
      <c r="L255" s="6" t="s">
        <v>86</v>
      </c>
      <c r="M255" s="57">
        <f>Table135[[#This Row],[20'']]+Table135[[#This Row],[40'']]*2</f>
        <v>10</v>
      </c>
      <c r="N255" s="2" t="str">
        <f>Table135[[#This Row],[CN]]&amp;" - "&amp;Table135[[#This Row],[CNEE]]</f>
        <v>万盛 - HANSSEM</v>
      </c>
    </row>
    <row r="256" spans="1:14" hidden="1" x14ac:dyDescent="0.2">
      <c r="A256" s="1">
        <v>43842</v>
      </c>
      <c r="B256" s="4" t="s">
        <v>32</v>
      </c>
      <c r="C256" t="s">
        <v>34</v>
      </c>
      <c r="D256" s="50" t="str">
        <f>HYPERLINK("E:\Jobs\0011 "&amp;Table135[[#This Row],[CNEE]]&amp;"\0001 "&amp;VLOOKUP(Table135[[#This Row],[CN]],表5[],2,FALSE)&amp;"\"&amp;TEXT(Table135[[#This Row],[ETD]],IF(Table135[[#This Row],[ETD]]&gt;43830,"YYmmdd","mmdd")),VLOOKUP(Table135[[#This Row],[CN]],表5[],2,FALSE))</f>
        <v>WANSHENG</v>
      </c>
      <c r="E256" s="3" t="s">
        <v>1038</v>
      </c>
      <c r="F256" s="57"/>
      <c r="G256" s="57">
        <v>3</v>
      </c>
      <c r="H256" s="6" t="s">
        <v>1097</v>
      </c>
      <c r="I256" s="6" t="s">
        <v>1075</v>
      </c>
      <c r="J256" s="6"/>
      <c r="K256" s="59"/>
      <c r="L256" s="6" t="s">
        <v>86</v>
      </c>
      <c r="M256" s="57">
        <f>Table135[[#This Row],[20'']]+Table135[[#This Row],[40'']]*2</f>
        <v>6</v>
      </c>
      <c r="N256" s="2" t="str">
        <f>Table135[[#This Row],[CN]]&amp;" - "&amp;Table135[[#This Row],[CNEE]]</f>
        <v>万盛 - HANSSEM</v>
      </c>
    </row>
    <row r="257" spans="1:14" hidden="1" x14ac:dyDescent="0.2">
      <c r="A257" s="1">
        <v>43842</v>
      </c>
      <c r="B257" s="4" t="s">
        <v>32</v>
      </c>
      <c r="C257" t="s">
        <v>34</v>
      </c>
      <c r="D257" s="50" t="str">
        <f>HYPERLINK("E:\Jobs\0011 "&amp;Table135[[#This Row],[CNEE]]&amp;"\0001 "&amp;VLOOKUP(Table135[[#This Row],[CN]],表5[],2,FALSE)&amp;"\"&amp;TEXT(Table135[[#This Row],[ETD]],IF(Table135[[#This Row],[ETD]]&gt;43830,"YYmmdd","mmdd")),VLOOKUP(Table135[[#This Row],[CN]],表5[],2,FALSE))</f>
        <v>WANSHENG</v>
      </c>
      <c r="E257" s="3" t="s">
        <v>1039</v>
      </c>
      <c r="F257" s="57"/>
      <c r="G257" s="57">
        <v>2</v>
      </c>
      <c r="H257" s="6" t="s">
        <v>1098</v>
      </c>
      <c r="I257" s="6" t="s">
        <v>1076</v>
      </c>
      <c r="J257" s="6"/>
      <c r="K257" s="59"/>
      <c r="L257" s="6" t="s">
        <v>86</v>
      </c>
      <c r="M257" s="57">
        <f>Table135[[#This Row],[20'']]+Table135[[#This Row],[40'']]*2</f>
        <v>4</v>
      </c>
      <c r="N257" s="2" t="str">
        <f>Table135[[#This Row],[CN]]&amp;" - "&amp;Table135[[#This Row],[CNEE]]</f>
        <v>万盛 - HANSSEM</v>
      </c>
    </row>
    <row r="258" spans="1:14" hidden="1" x14ac:dyDescent="0.2">
      <c r="A258" s="1">
        <v>43842</v>
      </c>
      <c r="B258" s="4" t="s">
        <v>32</v>
      </c>
      <c r="C258" t="s">
        <v>34</v>
      </c>
      <c r="D258" s="50" t="str">
        <f>HYPERLINK("E:\Jobs\0011 "&amp;Table135[[#This Row],[CNEE]]&amp;"\0001 "&amp;VLOOKUP(Table135[[#This Row],[CN]],表5[],2,FALSE)&amp;"\"&amp;TEXT(Table135[[#This Row],[ETD]],IF(Table135[[#This Row],[ETD]]&gt;43830,"YYmmdd","mmdd")),VLOOKUP(Table135[[#This Row],[CN]],表5[],2,FALSE))</f>
        <v>WANSHENG</v>
      </c>
      <c r="E258" s="3" t="s">
        <v>1040</v>
      </c>
      <c r="F258" s="57"/>
      <c r="G258" s="57">
        <v>1</v>
      </c>
      <c r="H258" s="6" t="s">
        <v>1099</v>
      </c>
      <c r="I258" s="6" t="s">
        <v>1077</v>
      </c>
      <c r="J258" s="6"/>
      <c r="K258" s="59"/>
      <c r="L258" s="6" t="s">
        <v>86</v>
      </c>
      <c r="M258" s="57">
        <f>Table135[[#This Row],[20'']]+Table135[[#This Row],[40'']]*2</f>
        <v>2</v>
      </c>
      <c r="N258" s="2" t="str">
        <f>Table135[[#This Row],[CN]]&amp;" - "&amp;Table135[[#This Row],[CNEE]]</f>
        <v>万盛 - HANSSEM</v>
      </c>
    </row>
    <row r="259" spans="1:14" hidden="1" x14ac:dyDescent="0.2">
      <c r="A259" s="1">
        <v>43842</v>
      </c>
      <c r="B259" s="4" t="s">
        <v>75</v>
      </c>
      <c r="C259" t="s">
        <v>1139</v>
      </c>
      <c r="D259" s="50" t="str">
        <f>HYPERLINK("E:\Jobs\0011 "&amp;Table135[[#This Row],[CNEE]]&amp;"\0001 "&amp;VLOOKUP(Table135[[#This Row],[CN]],表5[],2,FALSE)&amp;"\"&amp;TEXT(Table135[[#This Row],[ETD]],IF(Table135[[#This Row],[ETD]]&gt;43830,"YYmmdd","mmdd")),VLOOKUP(Table135[[#This Row],[CN]],表5[],2,FALSE))</f>
        <v>UE</v>
      </c>
      <c r="E259" s="3" t="s">
        <v>1138</v>
      </c>
      <c r="F259" s="57"/>
      <c r="G259" s="57">
        <v>2</v>
      </c>
      <c r="H259" s="6" t="s">
        <v>1152</v>
      </c>
      <c r="I259" s="6" t="s">
        <v>1145</v>
      </c>
      <c r="J259" s="6"/>
      <c r="K259" s="59"/>
      <c r="L259" s="6" t="s">
        <v>86</v>
      </c>
      <c r="M259" s="57">
        <f>Table135[[#This Row],[20'']]+Table135[[#This Row],[40'']]*2</f>
        <v>4</v>
      </c>
      <c r="N259" s="2" t="str">
        <f>Table135[[#This Row],[CN]]&amp;" - "&amp;Table135[[#This Row],[CNEE]]</f>
        <v>永艺 - SSEM</v>
      </c>
    </row>
    <row r="260" spans="1:14" hidden="1" x14ac:dyDescent="0.2">
      <c r="A260" s="1">
        <v>43842</v>
      </c>
      <c r="B260" s="4" t="s">
        <v>1173</v>
      </c>
      <c r="C260" t="s">
        <v>1173</v>
      </c>
      <c r="D260" s="50" t="e">
        <f>HYPERLINK("E:\Jobs\0011 "&amp;Table135[[#This Row],[CNEE]]&amp;"\0001 "&amp;VLOOKUP(Table135[[#This Row],[CN]],表5[],2,FALSE)&amp;"\"&amp;TEXT(Table135[[#This Row],[ETD]],IF(Table135[[#This Row],[ETD]]&gt;43830,"YYmmdd","mmdd")),VLOOKUP(Table135[[#This Row],[CN]],表5[],2,FALSE))</f>
        <v>#N/A</v>
      </c>
      <c r="E260" s="3"/>
      <c r="F260" s="57"/>
      <c r="G260" s="57">
        <v>1</v>
      </c>
      <c r="H260" s="6" t="s">
        <v>1170</v>
      </c>
      <c r="I260" s="6" t="s">
        <v>1169</v>
      </c>
      <c r="J260" s="6" t="s">
        <v>1172</v>
      </c>
      <c r="K260" s="59"/>
      <c r="L260" s="6" t="s">
        <v>86</v>
      </c>
      <c r="M260" s="57">
        <f>Table135[[#This Row],[20'']]+Table135[[#This Row],[40'']]*2</f>
        <v>2</v>
      </c>
      <c r="N260" s="2" t="str">
        <f>Table135[[#This Row],[CN]]&amp;" - "&amp;Table135[[#This Row],[CNEE]]</f>
        <v>KANG - KANG</v>
      </c>
    </row>
    <row r="261" spans="1:14" hidden="1" x14ac:dyDescent="0.2">
      <c r="A261" s="1">
        <v>43842</v>
      </c>
      <c r="B261" s="4" t="s">
        <v>32</v>
      </c>
      <c r="C261" t="s">
        <v>34</v>
      </c>
      <c r="D261" s="50" t="str">
        <f>HYPERLINK("E:\Jobs\0011 "&amp;Table135[[#This Row],[CNEE]]&amp;"\0001 "&amp;VLOOKUP(Table135[[#This Row],[CN]],表5[],2,FALSE)&amp;"\"&amp;TEXT(Table135[[#This Row],[ETD]],IF(Table135[[#This Row],[ETD]]&gt;43830,"YYmmdd","mmdd")),VLOOKUP(Table135[[#This Row],[CN]],表5[],2,FALSE))</f>
        <v>WANSHENG</v>
      </c>
      <c r="E261" s="3"/>
      <c r="F261" s="57"/>
      <c r="G261" s="57">
        <v>1</v>
      </c>
      <c r="H261" s="6" t="s">
        <v>1181</v>
      </c>
      <c r="I261" s="6" t="s">
        <v>1178</v>
      </c>
      <c r="J261" s="6"/>
      <c r="K261" s="59"/>
      <c r="L261" s="6" t="s">
        <v>86</v>
      </c>
      <c r="M261" s="57">
        <f>Table135[[#This Row],[20'']]+Table135[[#This Row],[40'']]*2</f>
        <v>2</v>
      </c>
      <c r="N261" s="2" t="str">
        <f>Table135[[#This Row],[CN]]&amp;" - "&amp;Table135[[#This Row],[CNEE]]</f>
        <v>万盛 - HANSSEM</v>
      </c>
    </row>
    <row r="262" spans="1:14" hidden="1" x14ac:dyDescent="0.2">
      <c r="A262" s="1">
        <v>43845</v>
      </c>
      <c r="B262" s="4" t="s">
        <v>4</v>
      </c>
      <c r="C262" t="s">
        <v>50</v>
      </c>
      <c r="D262" s="50" t="str">
        <f>HYPERLINK("E:\Jobs\0011 "&amp;Table135[[#This Row],[CNEE]]&amp;"\0001 "&amp;VLOOKUP(Table135[[#This Row],[CN]],表5[],2,FALSE)&amp;"\"&amp;TEXT(Table135[[#This Row],[ETD]],IF(Table135[[#This Row],[ETD]]&gt;43830,"YYmmdd","mmdd")),VLOOKUP(Table135[[#This Row],[CN]],表5[],2,FALSE))</f>
        <v>KUKA</v>
      </c>
      <c r="E262" s="3" t="s">
        <v>965</v>
      </c>
      <c r="F262" s="57"/>
      <c r="G262" s="57">
        <v>3</v>
      </c>
      <c r="H262" s="6" t="s">
        <v>1019</v>
      </c>
      <c r="I262" s="6" t="s">
        <v>1011</v>
      </c>
      <c r="J262" s="6" t="s">
        <v>1192</v>
      </c>
      <c r="K262" s="59"/>
      <c r="L262" s="6" t="s">
        <v>86</v>
      </c>
      <c r="M262" s="57">
        <f>Table135[[#This Row],[20'']]+Table135[[#This Row],[40'']]*2</f>
        <v>6</v>
      </c>
      <c r="N262" s="2" t="str">
        <f>Table135[[#This Row],[CN]]&amp;" - "&amp;Table135[[#This Row],[CNEE]]</f>
        <v>顾家 - HANSSEM</v>
      </c>
    </row>
    <row r="263" spans="1:14" hidden="1" x14ac:dyDescent="0.2">
      <c r="A263" s="1">
        <v>43845</v>
      </c>
      <c r="B263" s="4" t="s">
        <v>32</v>
      </c>
      <c r="C263" t="s">
        <v>34</v>
      </c>
      <c r="D263" s="50" t="str">
        <f>HYPERLINK("E:\Jobs\0011 "&amp;Table135[[#This Row],[CNEE]]&amp;"\0001 "&amp;VLOOKUP(Table135[[#This Row],[CN]],表5[],2,FALSE)&amp;"\"&amp;TEXT(Table135[[#This Row],[ETD]],IF(Table135[[#This Row],[ETD]]&gt;43830,"YYmmdd","mmdd")),VLOOKUP(Table135[[#This Row],[CN]],表5[],2,FALSE))</f>
        <v>WANSHENG</v>
      </c>
      <c r="E263" s="3" t="s">
        <v>1041</v>
      </c>
      <c r="F263" s="57"/>
      <c r="G263" s="57">
        <v>2</v>
      </c>
      <c r="H263" s="6" t="s">
        <v>1100</v>
      </c>
      <c r="I263" s="6" t="s">
        <v>1078</v>
      </c>
      <c r="J263" s="6"/>
      <c r="K263" s="59"/>
      <c r="L263" s="6" t="s">
        <v>86</v>
      </c>
      <c r="M263" s="57">
        <f>Table135[[#This Row],[20'']]+Table135[[#This Row],[40'']]*2</f>
        <v>4</v>
      </c>
      <c r="N263" s="2" t="str">
        <f>Table135[[#This Row],[CN]]&amp;" - "&amp;Table135[[#This Row],[CNEE]]</f>
        <v>万盛 - HANSSEM</v>
      </c>
    </row>
    <row r="264" spans="1:14" hidden="1" x14ac:dyDescent="0.2">
      <c r="A264" s="1">
        <v>43845</v>
      </c>
      <c r="B264" s="4" t="s">
        <v>32</v>
      </c>
      <c r="C264" t="s">
        <v>34</v>
      </c>
      <c r="D264" s="50" t="str">
        <f>HYPERLINK("E:\Jobs\0011 "&amp;Table135[[#This Row],[CNEE]]&amp;"\0001 "&amp;VLOOKUP(Table135[[#This Row],[CN]],表5[],2,FALSE)&amp;"\"&amp;TEXT(Table135[[#This Row],[ETD]],IF(Table135[[#This Row],[ETD]]&gt;43830,"YYmmdd","mmdd")),VLOOKUP(Table135[[#This Row],[CN]],表5[],2,FALSE))</f>
        <v>WANSHENG</v>
      </c>
      <c r="E264" s="3" t="s">
        <v>1042</v>
      </c>
      <c r="F264" s="57"/>
      <c r="G264" s="57">
        <v>3</v>
      </c>
      <c r="H264" s="6" t="s">
        <v>1101</v>
      </c>
      <c r="I264" s="6" t="s">
        <v>1079</v>
      </c>
      <c r="J264" s="6"/>
      <c r="K264" s="59"/>
      <c r="L264" s="6" t="s">
        <v>86</v>
      </c>
      <c r="M264" s="57">
        <f>Table135[[#This Row],[20'']]+Table135[[#This Row],[40'']]*2</f>
        <v>6</v>
      </c>
      <c r="N264" s="2" t="str">
        <f>Table135[[#This Row],[CN]]&amp;" - "&amp;Table135[[#This Row],[CNEE]]</f>
        <v>万盛 - HANSSEM</v>
      </c>
    </row>
    <row r="265" spans="1:14" hidden="1" x14ac:dyDescent="0.2">
      <c r="A265" s="1">
        <v>43845</v>
      </c>
      <c r="B265" s="4" t="s">
        <v>32</v>
      </c>
      <c r="C265" t="s">
        <v>34</v>
      </c>
      <c r="D265" s="50" t="str">
        <f>HYPERLINK("E:\Jobs\0011 "&amp;Table135[[#This Row],[CNEE]]&amp;"\0001 "&amp;VLOOKUP(Table135[[#This Row],[CN]],表5[],2,FALSE)&amp;"\"&amp;TEXT(Table135[[#This Row],[ETD]],IF(Table135[[#This Row],[ETD]]&gt;43830,"YYmmdd","mmdd")),VLOOKUP(Table135[[#This Row],[CN]],表5[],2,FALSE))</f>
        <v>WANSHENG</v>
      </c>
      <c r="E265" s="3" t="s">
        <v>1043</v>
      </c>
      <c r="F265" s="57"/>
      <c r="G265" s="57">
        <v>2</v>
      </c>
      <c r="H265" s="6" t="s">
        <v>1102</v>
      </c>
      <c r="I265" s="6" t="s">
        <v>1080</v>
      </c>
      <c r="J265" s="6" t="s">
        <v>1193</v>
      </c>
      <c r="K265" s="59"/>
      <c r="L265" s="6" t="s">
        <v>86</v>
      </c>
      <c r="M265" s="57">
        <f>Table135[[#This Row],[20'']]+Table135[[#This Row],[40'']]*2</f>
        <v>4</v>
      </c>
      <c r="N265" s="2" t="str">
        <f>Table135[[#This Row],[CN]]&amp;" - "&amp;Table135[[#This Row],[CNEE]]</f>
        <v>万盛 - HANSSEM</v>
      </c>
    </row>
    <row r="266" spans="1:14" hidden="1" x14ac:dyDescent="0.2">
      <c r="A266" s="1">
        <v>43845</v>
      </c>
      <c r="B266" s="4" t="s">
        <v>12</v>
      </c>
      <c r="C266" t="s">
        <v>50</v>
      </c>
      <c r="D266" s="50" t="str">
        <f>HYPERLINK("E:\Jobs\0011 "&amp;Table135[[#This Row],[CNEE]]&amp;"\0001 "&amp;VLOOKUP(Table135[[#This Row],[CN]],表5[],2,FALSE)&amp;"\"&amp;TEXT(Table135[[#This Row],[ETD]],IF(Table135[[#This Row],[ETD]]&gt;43830,"YYmmdd","mmdd")),VLOOKUP(Table135[[#This Row],[CN]],表5[],2,FALSE))</f>
        <v>KUKA</v>
      </c>
      <c r="E266" s="3" t="s">
        <v>1104</v>
      </c>
      <c r="F266" s="57"/>
      <c r="G266" s="57">
        <v>1</v>
      </c>
      <c r="H266" s="6" t="s">
        <v>1083</v>
      </c>
      <c r="I266" s="6" t="s">
        <v>1081</v>
      </c>
      <c r="J266" s="6" t="s">
        <v>1155</v>
      </c>
      <c r="K266" s="59"/>
      <c r="L266" s="6" t="s">
        <v>86</v>
      </c>
      <c r="M266" s="57">
        <f>Table135[[#This Row],[20'']]+Table135[[#This Row],[40'']]*2</f>
        <v>2</v>
      </c>
      <c r="N266" s="2" t="str">
        <f>Table135[[#This Row],[CN]]&amp;" - "&amp;Table135[[#This Row],[CNEE]]</f>
        <v>顾家 - CASAMIA</v>
      </c>
    </row>
    <row r="267" spans="1:14" ht="57" hidden="1" x14ac:dyDescent="0.2">
      <c r="A267" s="1">
        <v>43845</v>
      </c>
      <c r="B267" s="4" t="s">
        <v>12</v>
      </c>
      <c r="C267" t="s">
        <v>31</v>
      </c>
      <c r="D267" s="50" t="str">
        <f>HYPERLINK("E:\Jobs\0011 "&amp;Table135[[#This Row],[CNEE]]&amp;"\0001 "&amp;VLOOKUP(Table135[[#This Row],[CN]],表5[],2,FALSE)&amp;"\"&amp;TEXT(Table135[[#This Row],[ETD]],IF(Table135[[#This Row],[ETD]]&gt;43830,"YYmmdd","mmdd")),VLOOKUP(Table135[[#This Row],[CN]],表5[],2,FALSE))</f>
        <v>HTL</v>
      </c>
      <c r="E267" s="3" t="s">
        <v>1056</v>
      </c>
      <c r="F267" s="57"/>
      <c r="G267" s="57">
        <v>0</v>
      </c>
      <c r="H267" s="6" t="s">
        <v>1127</v>
      </c>
      <c r="I267" s="6" t="s">
        <v>1130</v>
      </c>
      <c r="J267" s="6" t="s">
        <v>1185</v>
      </c>
      <c r="K267" s="59"/>
      <c r="L267" s="6" t="s">
        <v>86</v>
      </c>
      <c r="M267" s="57">
        <f>Table135[[#This Row],[20'']]+Table135[[#This Row],[40'']]*2</f>
        <v>0</v>
      </c>
      <c r="N267" s="2" t="str">
        <f>Table135[[#This Row],[CN]]&amp;" - "&amp;Table135[[#This Row],[CNEE]]</f>
        <v>华达利 - CASAMIA</v>
      </c>
    </row>
    <row r="268" spans="1:14" hidden="1" x14ac:dyDescent="0.2">
      <c r="A268" s="1">
        <v>43845</v>
      </c>
      <c r="B268" s="4" t="s">
        <v>75</v>
      </c>
      <c r="C268" t="s">
        <v>1139</v>
      </c>
      <c r="D268" s="50" t="str">
        <f>HYPERLINK("E:\Jobs\0011 "&amp;Table135[[#This Row],[CNEE]]&amp;"\0001 "&amp;VLOOKUP(Table135[[#This Row],[CN]],表5[],2,FALSE)&amp;"\"&amp;TEXT(Table135[[#This Row],[ETD]],IF(Table135[[#This Row],[ETD]]&gt;43830,"YYmmdd","mmdd")),VLOOKUP(Table135[[#This Row],[CN]],表5[],2,FALSE))</f>
        <v>UE</v>
      </c>
      <c r="E268" s="3" t="s">
        <v>1140</v>
      </c>
      <c r="F268" s="57"/>
      <c r="G268" s="57">
        <v>6</v>
      </c>
      <c r="H268" s="6" t="s">
        <v>1153</v>
      </c>
      <c r="I268" s="6" t="s">
        <v>1146</v>
      </c>
      <c r="J268" s="6" t="s">
        <v>1147</v>
      </c>
      <c r="K268" s="59"/>
      <c r="L268" s="6" t="s">
        <v>86</v>
      </c>
      <c r="M268" s="57">
        <f>Table135[[#This Row],[20'']]+Table135[[#This Row],[40'']]*2</f>
        <v>12</v>
      </c>
      <c r="N268" s="2" t="str">
        <f>Table135[[#This Row],[CN]]&amp;" - "&amp;Table135[[#This Row],[CNEE]]</f>
        <v>永艺 - SSEM</v>
      </c>
    </row>
    <row r="269" spans="1:14" hidden="1" x14ac:dyDescent="0.2">
      <c r="A269" s="1">
        <v>43845</v>
      </c>
      <c r="B269" s="4" t="s">
        <v>75</v>
      </c>
      <c r="C269" t="s">
        <v>500</v>
      </c>
      <c r="D269" s="50" t="str">
        <f>HYPERLINK("E:\Jobs\0011 "&amp;Table135[[#This Row],[CNEE]]&amp;"\0001 "&amp;VLOOKUP(Table135[[#This Row],[CN]],表5[],2,FALSE)&amp;"\"&amp;TEXT(Table135[[#This Row],[ETD]],IF(Table135[[#This Row],[ETD]]&gt;43830,"YYmmdd","mmdd")),VLOOKUP(Table135[[#This Row],[CN]],表5[],2,FALSE))</f>
        <v>FUHE</v>
      </c>
      <c r="E269" s="3" t="s">
        <v>721</v>
      </c>
      <c r="F269" s="57"/>
      <c r="G269" s="57">
        <v>1</v>
      </c>
      <c r="H269" s="44" t="s">
        <v>1142</v>
      </c>
      <c r="I269" s="6" t="s">
        <v>1148</v>
      </c>
      <c r="J269" s="6"/>
      <c r="K269" s="59"/>
      <c r="L269" s="6" t="s">
        <v>86</v>
      </c>
      <c r="M269" s="57">
        <f>Table135[[#This Row],[20'']]+Table135[[#This Row],[40'']]*2</f>
        <v>2</v>
      </c>
      <c r="N269" s="2" t="str">
        <f>Table135[[#This Row],[CN]]&amp;" - "&amp;Table135[[#This Row],[CNEE]]</f>
        <v>富和 - SSEM</v>
      </c>
    </row>
    <row r="270" spans="1:14" hidden="1" x14ac:dyDescent="0.2">
      <c r="A270" s="1">
        <v>43845</v>
      </c>
      <c r="B270" s="4" t="s">
        <v>32</v>
      </c>
      <c r="C270" t="s">
        <v>30</v>
      </c>
      <c r="D270" s="50" t="str">
        <f>HYPERLINK("E:\Jobs\0011 "&amp;Table135[[#This Row],[CNEE]]&amp;"\0001 "&amp;VLOOKUP(Table135[[#This Row],[CN]],表5[],2,FALSE)&amp;"\"&amp;TEXT(Table135[[#This Row],[ETD]],IF(Table135[[#This Row],[ETD]]&gt;43830,"YYmmdd","mmdd")),VLOOKUP(Table135[[#This Row],[CN]],表5[],2,FALSE))</f>
        <v>CABO</v>
      </c>
      <c r="E270" s="3" t="s">
        <v>940</v>
      </c>
      <c r="F270" s="57"/>
      <c r="G270" s="57">
        <v>1</v>
      </c>
      <c r="H270" s="6" t="s">
        <v>1137</v>
      </c>
      <c r="I270" s="6" t="s">
        <v>1149</v>
      </c>
      <c r="J270" s="6"/>
      <c r="K270" s="59"/>
      <c r="L270" s="6" t="s">
        <v>86</v>
      </c>
      <c r="M270" s="57">
        <f>Table135[[#This Row],[20'']]+Table135[[#This Row],[40'']]*2</f>
        <v>2</v>
      </c>
      <c r="N270" s="2" t="str">
        <f>Table135[[#This Row],[CN]]&amp;" - "&amp;Table135[[#This Row],[CNEE]]</f>
        <v>卡帛 - HANSSEM</v>
      </c>
    </row>
    <row r="271" spans="1:14" hidden="1" x14ac:dyDescent="0.2">
      <c r="A271" s="1">
        <v>43845</v>
      </c>
      <c r="B271" s="4" t="s">
        <v>304</v>
      </c>
      <c r="C271" t="s">
        <v>29</v>
      </c>
      <c r="D271" s="50" t="str">
        <f>HYPERLINK("E:\Jobs\0011 "&amp;Table135[[#This Row],[CNEE]]&amp;"\0001 "&amp;VLOOKUP(Table135[[#This Row],[CN]],表5[],2,FALSE)&amp;"\"&amp;TEXT(Table135[[#This Row],[ETD]],IF(Table135[[#This Row],[ETD]]&gt;43830,"YYmmdd","mmdd")),VLOOKUP(Table135[[#This Row],[CN]],表5[],2,FALSE))</f>
        <v>HUABAO</v>
      </c>
      <c r="E271" s="3"/>
      <c r="F271" s="57">
        <v>12</v>
      </c>
      <c r="G271" s="57"/>
      <c r="H271" s="6" t="s">
        <v>1163</v>
      </c>
      <c r="I271" s="6" t="s">
        <v>1159</v>
      </c>
      <c r="J271" s="6" t="s">
        <v>1160</v>
      </c>
      <c r="K271" s="59"/>
      <c r="L271" s="6" t="s">
        <v>86</v>
      </c>
      <c r="M271" s="57">
        <f>Table135[[#This Row],[20'']]+Table135[[#This Row],[40'']]*2</f>
        <v>12</v>
      </c>
      <c r="N271" s="2" t="str">
        <f>Table135[[#This Row],[CN]]&amp;" - "&amp;Table135[[#This Row],[CNEE]]</f>
        <v>华宝 - EFFEX</v>
      </c>
    </row>
    <row r="272" spans="1:14" hidden="1" x14ac:dyDescent="0.2">
      <c r="A272" s="1">
        <v>43845</v>
      </c>
      <c r="B272" s="4" t="s">
        <v>32</v>
      </c>
      <c r="C272" t="s">
        <v>34</v>
      </c>
      <c r="D272" s="50" t="str">
        <f>HYPERLINK("E:\Jobs\0011 "&amp;Table135[[#This Row],[CNEE]]&amp;"\0001 "&amp;VLOOKUP(Table135[[#This Row],[CN]],表5[],2,FALSE)&amp;"\"&amp;TEXT(Table135[[#This Row],[ETD]],IF(Table135[[#This Row],[ETD]]&gt;43830,"YYmmdd","mmdd")),VLOOKUP(Table135[[#This Row],[CN]],表5[],2,FALSE))</f>
        <v>WANSHENG</v>
      </c>
      <c r="E272" s="3"/>
      <c r="F272" s="57"/>
      <c r="G272" s="57">
        <v>2</v>
      </c>
      <c r="H272" s="6" t="s">
        <v>1182</v>
      </c>
      <c r="I272" s="6" t="s">
        <v>1179</v>
      </c>
      <c r="J272" s="6"/>
      <c r="K272" s="59"/>
      <c r="L272" s="6" t="s">
        <v>86</v>
      </c>
      <c r="M272" s="57">
        <f>Table135[[#This Row],[20'']]+Table135[[#This Row],[40'']]*2</f>
        <v>4</v>
      </c>
      <c r="N272" s="2" t="str">
        <f>Table135[[#This Row],[CN]]&amp;" - "&amp;Table135[[#This Row],[CNEE]]</f>
        <v>万盛 - HANSSEM</v>
      </c>
    </row>
    <row r="273" spans="1:14" hidden="1" x14ac:dyDescent="0.2">
      <c r="A273" s="1">
        <v>43845</v>
      </c>
      <c r="B273" s="4" t="s">
        <v>32</v>
      </c>
      <c r="C273" t="s">
        <v>34</v>
      </c>
      <c r="D273" s="50" t="str">
        <f>HYPERLINK("E:\Jobs\0011 "&amp;Table135[[#This Row],[CNEE]]&amp;"\0001 "&amp;VLOOKUP(Table135[[#This Row],[CN]],表5[],2,FALSE)&amp;"\"&amp;TEXT(Table135[[#This Row],[ETD]],IF(Table135[[#This Row],[ETD]]&gt;43830,"YYmmdd","mmdd")),VLOOKUP(Table135[[#This Row],[CN]],表5[],2,FALSE))</f>
        <v>WANSHENG</v>
      </c>
      <c r="E273" s="3"/>
      <c r="F273" s="57"/>
      <c r="G273" s="57">
        <v>1</v>
      </c>
      <c r="H273" s="6" t="s">
        <v>1183</v>
      </c>
      <c r="I273" s="6" t="s">
        <v>1180</v>
      </c>
      <c r="J273" s="6"/>
      <c r="K273" s="59"/>
      <c r="L273" s="6" t="s">
        <v>86</v>
      </c>
      <c r="M273" s="57">
        <f>Table135[[#This Row],[20'']]+Table135[[#This Row],[40'']]*2</f>
        <v>2</v>
      </c>
      <c r="N273" s="2" t="str">
        <f>Table135[[#This Row],[CN]]&amp;" - "&amp;Table135[[#This Row],[CNEE]]</f>
        <v>万盛 - HANSSEM</v>
      </c>
    </row>
    <row r="274" spans="1:14" hidden="1" x14ac:dyDescent="0.2">
      <c r="A274" s="1">
        <v>43849</v>
      </c>
      <c r="B274" s="4" t="s">
        <v>4</v>
      </c>
      <c r="C274" t="s">
        <v>50</v>
      </c>
      <c r="D274" s="50" t="str">
        <f>HYPERLINK("E:\Jobs\0011 "&amp;Table135[[#This Row],[CNEE]]&amp;"\0001 "&amp;VLOOKUP(Table135[[#This Row],[CN]],表5[],2,FALSE)&amp;"\"&amp;TEXT(Table135[[#This Row],[ETD]],IF(Table135[[#This Row],[ETD]]&gt;43830,"YYmmdd","mmdd")),VLOOKUP(Table135[[#This Row],[CN]],表5[],2,FALSE))</f>
        <v>KUKA</v>
      </c>
      <c r="E274" s="3" t="s">
        <v>966</v>
      </c>
      <c r="F274" s="57"/>
      <c r="G274" s="57">
        <v>3</v>
      </c>
      <c r="H274" s="6" t="s">
        <v>1020</v>
      </c>
      <c r="I274" s="6" t="s">
        <v>1012</v>
      </c>
      <c r="J274" s="6"/>
      <c r="K274" s="59"/>
      <c r="L274" s="6" t="s">
        <v>86</v>
      </c>
      <c r="M274" s="57">
        <f>Table135[[#This Row],[20'']]+Table135[[#This Row],[40'']]*2</f>
        <v>6</v>
      </c>
      <c r="N274" s="2" t="str">
        <f>Table135[[#This Row],[CN]]&amp;" - "&amp;Table135[[#This Row],[CNEE]]</f>
        <v>顾家 - HANSSEM</v>
      </c>
    </row>
    <row r="275" spans="1:14" hidden="1" x14ac:dyDescent="0.2">
      <c r="A275" s="1">
        <v>43849</v>
      </c>
      <c r="B275" s="4" t="s">
        <v>32</v>
      </c>
      <c r="C275" t="s">
        <v>34</v>
      </c>
      <c r="D275" s="50" t="str">
        <f>HYPERLINK("E:\Jobs\0011 "&amp;Table135[[#This Row],[CNEE]]&amp;"\0001 "&amp;VLOOKUP(Table135[[#This Row],[CN]],表5[],2,FALSE)&amp;"\"&amp;TEXT(Table135[[#This Row],[ETD]],IF(Table135[[#This Row],[ETD]]&gt;43830,"YYmmdd","mmdd")),VLOOKUP(Table135[[#This Row],[CN]],表5[],2,FALSE))</f>
        <v>WANSHENG</v>
      </c>
      <c r="E275" s="3" t="s">
        <v>1190</v>
      </c>
      <c r="F275" s="57"/>
      <c r="G275" s="57">
        <v>2</v>
      </c>
      <c r="H275" s="6" t="s">
        <v>1103</v>
      </c>
      <c r="I275" s="6" t="s">
        <v>1082</v>
      </c>
      <c r="J275" s="6"/>
      <c r="K275" s="59"/>
      <c r="L275" s="6" t="s">
        <v>86</v>
      </c>
      <c r="M275" s="57">
        <f>Table135[[#This Row],[20'']]+Table135[[#This Row],[40'']]*2</f>
        <v>4</v>
      </c>
      <c r="N275" s="2" t="str">
        <f>Table135[[#This Row],[CN]]&amp;" - "&amp;Table135[[#This Row],[CNEE]]</f>
        <v>万盛 - HANSSEM</v>
      </c>
    </row>
    <row r="276" spans="1:14" hidden="1" x14ac:dyDescent="0.2">
      <c r="A276" s="1">
        <v>43849</v>
      </c>
      <c r="B276" s="4" t="s">
        <v>304</v>
      </c>
      <c r="C276" t="s">
        <v>29</v>
      </c>
      <c r="D276" s="50" t="str">
        <f>HYPERLINK("E:\Jobs\0011 "&amp;Table135[[#This Row],[CNEE]]&amp;"\0001 "&amp;VLOOKUP(Table135[[#This Row],[CN]],表5[],2,FALSE)&amp;"\"&amp;TEXT(Table135[[#This Row],[ETD]],IF(Table135[[#This Row],[ETD]]&gt;43830,"YYmmdd","mmdd")),VLOOKUP(Table135[[#This Row],[CN]],表5[],2,FALSE))</f>
        <v>HUABAO</v>
      </c>
      <c r="E276" s="3"/>
      <c r="F276" s="57">
        <v>12</v>
      </c>
      <c r="G276" s="57"/>
      <c r="H276" s="6" t="s">
        <v>1164</v>
      </c>
      <c r="I276" s="6" t="s">
        <v>1161</v>
      </c>
      <c r="J276" s="6" t="s">
        <v>1162</v>
      </c>
      <c r="K276" s="59"/>
      <c r="L276" s="6" t="s">
        <v>86</v>
      </c>
      <c r="M276" s="57">
        <f>Table135[[#This Row],[20'']]+Table135[[#This Row],[40'']]*2</f>
        <v>12</v>
      </c>
      <c r="N276" s="2" t="str">
        <f>Table135[[#This Row],[CN]]&amp;" - "&amp;Table135[[#This Row],[CNEE]]</f>
        <v>华宝 - EFFEX</v>
      </c>
    </row>
    <row r="277" spans="1:14" hidden="1" x14ac:dyDescent="0.2">
      <c r="A277" s="1">
        <v>43870</v>
      </c>
      <c r="B277" s="4" t="s">
        <v>4</v>
      </c>
      <c r="C277" t="s">
        <v>50</v>
      </c>
      <c r="D277" s="50" t="str">
        <f>HYPERLINK("E:\Jobs\0011 "&amp;Table135[[#This Row],[CNEE]]&amp;"\0001 "&amp;VLOOKUP(Table135[[#This Row],[CN]],表5[],2,FALSE)&amp;"\"&amp;TEXT(Table135[[#This Row],[ETD]],IF(Table135[[#This Row],[ETD]]&gt;43830,"YYmmdd","mmdd")),VLOOKUP(Table135[[#This Row],[CN]],表5[],2,FALSE))</f>
        <v>KUKA</v>
      </c>
      <c r="E277" s="3" t="s">
        <v>1010</v>
      </c>
      <c r="F277" s="57"/>
      <c r="G277" s="57">
        <v>1</v>
      </c>
      <c r="H277" s="6"/>
      <c r="I277" s="6"/>
      <c r="J277" s="6"/>
      <c r="K277" s="59"/>
      <c r="L277" s="6"/>
      <c r="M277" s="57">
        <f>Table135[[#This Row],[20'']]+Table135[[#This Row],[40'']]*2</f>
        <v>2</v>
      </c>
      <c r="N277" s="2" t="str">
        <f>Table135[[#This Row],[CN]]&amp;" - "&amp;Table135[[#This Row],[CNEE]]</f>
        <v>顾家 - HANSSEM</v>
      </c>
    </row>
  </sheetData>
  <sortState ref="R9:S38">
    <sortCondition ref="R9:R38"/>
    <sortCondition ref="S9:S38"/>
  </sortState>
  <phoneticPr fontId="1" type="noConversion"/>
  <conditionalFormatting sqref="I2:I277">
    <cfRule type="duplicateValues" dxfId="113" priority="172"/>
  </conditionalFormatting>
  <conditionalFormatting sqref="I273">
    <cfRule type="duplicateValues" dxfId="112" priority="3"/>
  </conditionalFormatting>
  <conditionalFormatting sqref="I274">
    <cfRule type="duplicateValues" dxfId="111" priority="2"/>
  </conditionalFormatting>
  <conditionalFormatting sqref="I275">
    <cfRule type="duplicateValues" dxfId="110" priority="1"/>
  </conditionalFormatting>
  <dataValidations count="1">
    <dataValidation type="list" allowBlank="1" showInputMessage="1" showErrorMessage="1" sqref="L2:L277" xr:uid="{A79C949C-5D3E-4F28-9A58-4BF936B5CF66}">
      <formula1>"OK"</formula1>
    </dataValidation>
  </dataValidations>
  <pageMargins left="0.7" right="0.7" top="0.75" bottom="0.75" header="0.3" footer="0.3"/>
  <pageSetup paperSize="9" orientation="portrait" r:id="rId1"/>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A4170-8B6E-4CF0-8C36-472950479640}">
  <sheetPr codeName="Sheet3"/>
  <dimension ref="A1:V239"/>
  <sheetViews>
    <sheetView workbookViewId="0">
      <pane xSplit="1" ySplit="3" topLeftCell="B193" activePane="bottomRight" state="frozen"/>
      <selection pane="topRight" activeCell="B1" sqref="B1"/>
      <selection pane="bottomLeft" activeCell="A4" sqref="A4"/>
      <selection pane="bottomRight" activeCell="J223" sqref="J223"/>
    </sheetView>
  </sheetViews>
  <sheetFormatPr defaultRowHeight="14.25" x14ac:dyDescent="0.2"/>
  <cols>
    <col min="1" max="1" width="21.875" bestFit="1" customWidth="1"/>
    <col min="2" max="2" width="5.875" bestFit="1" customWidth="1"/>
    <col min="3" max="3" width="6.25" bestFit="1" customWidth="1"/>
    <col min="4" max="4" width="5.875" bestFit="1" customWidth="1"/>
    <col min="5" max="5" width="11.125" bestFit="1" customWidth="1"/>
    <col min="6" max="6" width="5.25" bestFit="1" customWidth="1"/>
    <col min="7" max="7" width="7.125" bestFit="1" customWidth="1"/>
    <col min="8" max="8" width="4.5" bestFit="1" customWidth="1"/>
    <col min="9" max="14" width="6.5" bestFit="1" customWidth="1"/>
    <col min="15" max="29" width="10.125" bestFit="1" customWidth="1"/>
    <col min="30" max="31" width="14.25" bestFit="1" customWidth="1"/>
    <col min="32" max="32" width="10.875" bestFit="1" customWidth="1"/>
    <col min="33" max="33" width="7.75" bestFit="1" customWidth="1"/>
    <col min="34" max="34" width="8.25" bestFit="1" customWidth="1"/>
    <col min="35" max="35" width="10.875" bestFit="1" customWidth="1"/>
    <col min="36" max="36" width="7.75" bestFit="1" customWidth="1"/>
    <col min="37" max="37" width="8.25" bestFit="1" customWidth="1"/>
    <col min="38" max="38" width="6.75" bestFit="1" customWidth="1"/>
    <col min="39" max="39" width="4.25" bestFit="1" customWidth="1"/>
    <col min="40" max="40" width="6.75" bestFit="1" customWidth="1"/>
    <col min="41" max="41" width="4.25" bestFit="1" customWidth="1"/>
    <col min="42" max="42" width="6.75" bestFit="1" customWidth="1"/>
    <col min="43" max="43" width="4.25" bestFit="1" customWidth="1"/>
    <col min="44" max="44" width="6.5" bestFit="1" customWidth="1"/>
    <col min="45" max="45" width="6.75" bestFit="1" customWidth="1"/>
    <col min="46" max="46" width="4.25" bestFit="1" customWidth="1"/>
    <col min="47" max="47" width="6.75" bestFit="1" customWidth="1"/>
    <col min="48" max="48" width="4.25" bestFit="1" customWidth="1"/>
    <col min="49" max="49" width="6.75" bestFit="1" customWidth="1"/>
    <col min="50" max="50" width="4.25" bestFit="1" customWidth="1"/>
    <col min="51" max="51" width="6.75" bestFit="1" customWidth="1"/>
    <col min="52" max="52" width="4.25" bestFit="1" customWidth="1"/>
    <col min="53" max="53" width="6.75" bestFit="1" customWidth="1"/>
    <col min="54" max="54" width="10.875" bestFit="1" customWidth="1"/>
    <col min="55" max="55" width="5.25" bestFit="1" customWidth="1"/>
  </cols>
  <sheetData>
    <row r="1" spans="1:22" x14ac:dyDescent="0.2">
      <c r="F1" t="s">
        <v>232</v>
      </c>
      <c r="G1" t="s">
        <v>231</v>
      </c>
      <c r="H1" t="s">
        <v>137</v>
      </c>
      <c r="I1" s="24">
        <v>43803</v>
      </c>
      <c r="J1" s="24">
        <f>I2+3</f>
        <v>43810</v>
      </c>
      <c r="K1" s="24">
        <f>J2+3</f>
        <v>43817</v>
      </c>
      <c r="L1" s="24">
        <f>K2+3</f>
        <v>43824</v>
      </c>
      <c r="M1" s="24">
        <f>L2+3</f>
        <v>43831</v>
      </c>
      <c r="N1" s="24">
        <f>M2+3</f>
        <v>43838</v>
      </c>
      <c r="P1" t="s">
        <v>353</v>
      </c>
    </row>
    <row r="2" spans="1:22" x14ac:dyDescent="0.2">
      <c r="F2" t="s">
        <v>233</v>
      </c>
      <c r="G2" t="s">
        <v>230</v>
      </c>
      <c r="H2" t="s">
        <v>138</v>
      </c>
      <c r="I2" s="24">
        <f t="shared" ref="I2:N2" si="0">I1+4</f>
        <v>43807</v>
      </c>
      <c r="J2" s="24">
        <f t="shared" si="0"/>
        <v>43814</v>
      </c>
      <c r="K2" s="24">
        <f t="shared" si="0"/>
        <v>43821</v>
      </c>
      <c r="L2" s="24">
        <f t="shared" si="0"/>
        <v>43828</v>
      </c>
      <c r="M2" s="24">
        <f t="shared" si="0"/>
        <v>43835</v>
      </c>
      <c r="N2" s="24">
        <f t="shared" si="0"/>
        <v>43842</v>
      </c>
      <c r="P2" t="s">
        <v>352</v>
      </c>
      <c r="V2" t="s">
        <v>682</v>
      </c>
    </row>
    <row r="3" spans="1:22" x14ac:dyDescent="0.2">
      <c r="A3" s="52" t="s">
        <v>1156</v>
      </c>
      <c r="B3" s="53" t="s">
        <v>1112</v>
      </c>
      <c r="C3" s="53" t="s">
        <v>1113</v>
      </c>
      <c r="D3" s="53" t="s">
        <v>1114</v>
      </c>
      <c r="V3" t="s">
        <v>684</v>
      </c>
    </row>
    <row r="4" spans="1:22" x14ac:dyDescent="0.2">
      <c r="A4" s="54">
        <v>43723</v>
      </c>
      <c r="B4" s="55"/>
      <c r="C4" s="55">
        <v>1</v>
      </c>
      <c r="D4" s="55">
        <v>2</v>
      </c>
    </row>
    <row r="5" spans="1:22" x14ac:dyDescent="0.2">
      <c r="A5" s="56" t="s">
        <v>82</v>
      </c>
      <c r="B5" s="55"/>
      <c r="C5" s="55">
        <v>1</v>
      </c>
      <c r="D5" s="55">
        <v>2</v>
      </c>
    </row>
    <row r="6" spans="1:22" x14ac:dyDescent="0.2">
      <c r="A6" s="54">
        <v>43726</v>
      </c>
      <c r="B6" s="55">
        <v>10</v>
      </c>
      <c r="C6" s="55">
        <v>5</v>
      </c>
      <c r="D6" s="55">
        <v>20</v>
      </c>
    </row>
    <row r="7" spans="1:22" x14ac:dyDescent="0.2">
      <c r="A7" s="56" t="s">
        <v>80</v>
      </c>
      <c r="B7" s="55"/>
      <c r="C7" s="55">
        <v>1</v>
      </c>
      <c r="D7" s="55">
        <v>2</v>
      </c>
    </row>
    <row r="8" spans="1:22" x14ac:dyDescent="0.2">
      <c r="A8" s="56" t="s">
        <v>593</v>
      </c>
      <c r="B8" s="55">
        <v>9</v>
      </c>
      <c r="C8" s="55"/>
      <c r="D8" s="55">
        <v>9</v>
      </c>
    </row>
    <row r="9" spans="1:22" x14ac:dyDescent="0.2">
      <c r="A9" s="56" t="s">
        <v>81</v>
      </c>
      <c r="B9" s="55"/>
      <c r="C9" s="55">
        <v>1</v>
      </c>
      <c r="D9" s="55">
        <v>2</v>
      </c>
    </row>
    <row r="10" spans="1:22" x14ac:dyDescent="0.2">
      <c r="A10" s="56" t="s">
        <v>79</v>
      </c>
      <c r="B10" s="55"/>
      <c r="C10" s="55">
        <v>3</v>
      </c>
      <c r="D10" s="55">
        <v>6</v>
      </c>
    </row>
    <row r="11" spans="1:22" x14ac:dyDescent="0.2">
      <c r="A11" s="56" t="s">
        <v>82</v>
      </c>
      <c r="B11" s="55">
        <v>1</v>
      </c>
      <c r="C11" s="55"/>
      <c r="D11" s="55">
        <v>1</v>
      </c>
    </row>
    <row r="12" spans="1:22" x14ac:dyDescent="0.2">
      <c r="A12" s="54">
        <v>43727</v>
      </c>
      <c r="B12" s="55">
        <v>1</v>
      </c>
      <c r="C12" s="55"/>
      <c r="D12" s="55">
        <v>1</v>
      </c>
    </row>
    <row r="13" spans="1:22" x14ac:dyDescent="0.2">
      <c r="A13" s="56" t="s">
        <v>854</v>
      </c>
      <c r="B13" s="55">
        <v>1</v>
      </c>
      <c r="C13" s="55"/>
      <c r="D13" s="55">
        <v>1</v>
      </c>
    </row>
    <row r="14" spans="1:22" x14ac:dyDescent="0.2">
      <c r="A14" s="54">
        <v>43730</v>
      </c>
      <c r="B14" s="55">
        <v>10</v>
      </c>
      <c r="C14" s="55">
        <v>9</v>
      </c>
      <c r="D14" s="55">
        <v>28</v>
      </c>
    </row>
    <row r="15" spans="1:22" x14ac:dyDescent="0.2">
      <c r="A15" s="56" t="s">
        <v>80</v>
      </c>
      <c r="B15" s="55"/>
      <c r="C15" s="55">
        <v>1</v>
      </c>
      <c r="D15" s="55">
        <v>2</v>
      </c>
    </row>
    <row r="16" spans="1:22" x14ac:dyDescent="0.2">
      <c r="A16" s="56" t="s">
        <v>593</v>
      </c>
      <c r="B16" s="55">
        <v>10</v>
      </c>
      <c r="C16" s="55"/>
      <c r="D16" s="55">
        <v>10</v>
      </c>
    </row>
    <row r="17" spans="1:4" x14ac:dyDescent="0.2">
      <c r="A17" s="56" t="s">
        <v>81</v>
      </c>
      <c r="B17" s="55"/>
      <c r="C17" s="55">
        <v>3</v>
      </c>
      <c r="D17" s="55">
        <v>6</v>
      </c>
    </row>
    <row r="18" spans="1:4" x14ac:dyDescent="0.2">
      <c r="A18" s="56" t="s">
        <v>79</v>
      </c>
      <c r="B18" s="55"/>
      <c r="C18" s="55">
        <v>5</v>
      </c>
      <c r="D18" s="55">
        <v>10</v>
      </c>
    </row>
    <row r="19" spans="1:4" x14ac:dyDescent="0.2">
      <c r="A19" s="54">
        <v>43733</v>
      </c>
      <c r="B19" s="55">
        <v>8</v>
      </c>
      <c r="C19" s="55">
        <v>10</v>
      </c>
      <c r="D19" s="55">
        <v>28</v>
      </c>
    </row>
    <row r="20" spans="1:4" x14ac:dyDescent="0.2">
      <c r="A20" s="56" t="s">
        <v>80</v>
      </c>
      <c r="B20" s="55"/>
      <c r="C20" s="55">
        <v>1</v>
      </c>
      <c r="D20" s="55">
        <v>2</v>
      </c>
    </row>
    <row r="21" spans="1:4" x14ac:dyDescent="0.2">
      <c r="A21" s="56" t="s">
        <v>593</v>
      </c>
      <c r="B21" s="55">
        <v>8</v>
      </c>
      <c r="C21" s="55"/>
      <c r="D21" s="55">
        <v>8</v>
      </c>
    </row>
    <row r="22" spans="1:4" x14ac:dyDescent="0.2">
      <c r="A22" s="56" t="s">
        <v>83</v>
      </c>
      <c r="B22" s="55"/>
      <c r="C22" s="55">
        <v>3</v>
      </c>
      <c r="D22" s="55">
        <v>6</v>
      </c>
    </row>
    <row r="23" spans="1:4" x14ac:dyDescent="0.2">
      <c r="A23" s="56" t="s">
        <v>79</v>
      </c>
      <c r="B23" s="55"/>
      <c r="C23" s="55">
        <v>4</v>
      </c>
      <c r="D23" s="55">
        <v>8</v>
      </c>
    </row>
    <row r="24" spans="1:4" x14ac:dyDescent="0.2">
      <c r="A24" s="56" t="s">
        <v>82</v>
      </c>
      <c r="B24" s="55"/>
      <c r="C24" s="55">
        <v>2</v>
      </c>
      <c r="D24" s="55">
        <v>4</v>
      </c>
    </row>
    <row r="25" spans="1:4" x14ac:dyDescent="0.2">
      <c r="A25" s="54">
        <v>43737</v>
      </c>
      <c r="B25" s="55">
        <v>1</v>
      </c>
      <c r="C25" s="55">
        <v>13</v>
      </c>
      <c r="D25" s="55">
        <v>27</v>
      </c>
    </row>
    <row r="26" spans="1:4" x14ac:dyDescent="0.2">
      <c r="A26" s="56" t="s">
        <v>887</v>
      </c>
      <c r="B26" s="55">
        <v>1</v>
      </c>
      <c r="C26" s="55"/>
      <c r="D26" s="55">
        <v>1</v>
      </c>
    </row>
    <row r="27" spans="1:4" x14ac:dyDescent="0.2">
      <c r="A27" s="56" t="s">
        <v>80</v>
      </c>
      <c r="B27" s="55"/>
      <c r="C27" s="55">
        <v>2</v>
      </c>
      <c r="D27" s="55">
        <v>4</v>
      </c>
    </row>
    <row r="28" spans="1:4" x14ac:dyDescent="0.2">
      <c r="A28" s="56" t="s">
        <v>79</v>
      </c>
      <c r="B28" s="55"/>
      <c r="C28" s="55">
        <v>5</v>
      </c>
      <c r="D28" s="55">
        <v>10</v>
      </c>
    </row>
    <row r="29" spans="1:4" x14ac:dyDescent="0.2">
      <c r="A29" s="56" t="s">
        <v>84</v>
      </c>
      <c r="B29" s="55"/>
      <c r="C29" s="55">
        <v>2</v>
      </c>
      <c r="D29" s="55">
        <v>4</v>
      </c>
    </row>
    <row r="30" spans="1:4" x14ac:dyDescent="0.2">
      <c r="A30" s="56" t="s">
        <v>82</v>
      </c>
      <c r="B30" s="55"/>
      <c r="C30" s="55">
        <v>4</v>
      </c>
      <c r="D30" s="55">
        <v>8</v>
      </c>
    </row>
    <row r="31" spans="1:4" x14ac:dyDescent="0.2">
      <c r="A31" s="54">
        <v>43740</v>
      </c>
      <c r="B31" s="55">
        <v>4</v>
      </c>
      <c r="C31" s="55">
        <v>3</v>
      </c>
      <c r="D31" s="55">
        <v>10</v>
      </c>
    </row>
    <row r="32" spans="1:4" x14ac:dyDescent="0.2">
      <c r="A32" s="56" t="s">
        <v>593</v>
      </c>
      <c r="B32" s="55">
        <v>4</v>
      </c>
      <c r="C32" s="55"/>
      <c r="D32" s="55">
        <v>4</v>
      </c>
    </row>
    <row r="33" spans="1:4" x14ac:dyDescent="0.2">
      <c r="A33" s="56" t="s">
        <v>83</v>
      </c>
      <c r="B33" s="55"/>
      <c r="C33" s="55">
        <v>3</v>
      </c>
      <c r="D33" s="55">
        <v>6</v>
      </c>
    </row>
    <row r="34" spans="1:4" x14ac:dyDescent="0.2">
      <c r="A34" s="54">
        <v>43744</v>
      </c>
      <c r="B34" s="55"/>
      <c r="C34" s="55">
        <v>15</v>
      </c>
      <c r="D34" s="55">
        <v>30</v>
      </c>
    </row>
    <row r="35" spans="1:4" x14ac:dyDescent="0.2">
      <c r="A35" s="56" t="s">
        <v>80</v>
      </c>
      <c r="B35" s="55"/>
      <c r="C35" s="55">
        <v>3</v>
      </c>
      <c r="D35" s="55">
        <v>6</v>
      </c>
    </row>
    <row r="36" spans="1:4" x14ac:dyDescent="0.2">
      <c r="A36" s="56" t="s">
        <v>79</v>
      </c>
      <c r="B36" s="55"/>
      <c r="C36" s="55">
        <v>5</v>
      </c>
      <c r="D36" s="55">
        <v>10</v>
      </c>
    </row>
    <row r="37" spans="1:4" x14ac:dyDescent="0.2">
      <c r="A37" s="56" t="s">
        <v>82</v>
      </c>
      <c r="B37" s="55"/>
      <c r="C37" s="55">
        <v>6</v>
      </c>
      <c r="D37" s="55">
        <v>12</v>
      </c>
    </row>
    <row r="38" spans="1:4" x14ac:dyDescent="0.2">
      <c r="A38" s="56" t="s">
        <v>1046</v>
      </c>
      <c r="B38" s="55"/>
      <c r="C38" s="55">
        <v>1</v>
      </c>
      <c r="D38" s="55">
        <v>2</v>
      </c>
    </row>
    <row r="39" spans="1:4" x14ac:dyDescent="0.2">
      <c r="A39" s="54">
        <v>43747</v>
      </c>
      <c r="B39" s="55">
        <v>1</v>
      </c>
      <c r="C39" s="55">
        <v>8</v>
      </c>
      <c r="D39" s="55">
        <v>17</v>
      </c>
    </row>
    <row r="40" spans="1:4" x14ac:dyDescent="0.2">
      <c r="A40" s="56" t="s">
        <v>80</v>
      </c>
      <c r="B40" s="55"/>
      <c r="C40" s="55">
        <v>1</v>
      </c>
      <c r="D40" s="55">
        <v>2</v>
      </c>
    </row>
    <row r="41" spans="1:4" x14ac:dyDescent="0.2">
      <c r="A41" s="56" t="s">
        <v>83</v>
      </c>
      <c r="B41" s="55"/>
      <c r="C41" s="55">
        <v>2</v>
      </c>
      <c r="D41" s="55">
        <v>4</v>
      </c>
    </row>
    <row r="42" spans="1:4" x14ac:dyDescent="0.2">
      <c r="A42" s="56" t="s">
        <v>81</v>
      </c>
      <c r="B42" s="55"/>
      <c r="C42" s="55">
        <v>2</v>
      </c>
      <c r="D42" s="55">
        <v>4</v>
      </c>
    </row>
    <row r="43" spans="1:4" x14ac:dyDescent="0.2">
      <c r="A43" s="56" t="s">
        <v>79</v>
      </c>
      <c r="B43" s="55">
        <v>1</v>
      </c>
      <c r="C43" s="55">
        <v>2</v>
      </c>
      <c r="D43" s="55">
        <v>5</v>
      </c>
    </row>
    <row r="44" spans="1:4" x14ac:dyDescent="0.2">
      <c r="A44" s="56" t="s">
        <v>82</v>
      </c>
      <c r="B44" s="55"/>
      <c r="C44" s="55">
        <v>1</v>
      </c>
      <c r="D44" s="55">
        <v>2</v>
      </c>
    </row>
    <row r="45" spans="1:4" x14ac:dyDescent="0.2">
      <c r="A45" s="54">
        <v>43751</v>
      </c>
      <c r="B45" s="55">
        <v>3</v>
      </c>
      <c r="C45" s="55">
        <v>12</v>
      </c>
      <c r="D45" s="55">
        <v>27</v>
      </c>
    </row>
    <row r="46" spans="1:4" x14ac:dyDescent="0.2">
      <c r="A46" s="56" t="s">
        <v>80</v>
      </c>
      <c r="B46" s="55"/>
      <c r="C46" s="55">
        <v>2</v>
      </c>
      <c r="D46" s="55">
        <v>4</v>
      </c>
    </row>
    <row r="47" spans="1:4" x14ac:dyDescent="0.2">
      <c r="A47" s="56" t="s">
        <v>593</v>
      </c>
      <c r="B47" s="55">
        <v>3</v>
      </c>
      <c r="C47" s="55"/>
      <c r="D47" s="55">
        <v>3</v>
      </c>
    </row>
    <row r="48" spans="1:4" x14ac:dyDescent="0.2">
      <c r="A48" s="56" t="s">
        <v>83</v>
      </c>
      <c r="B48" s="55"/>
      <c r="C48" s="55">
        <v>6</v>
      </c>
      <c r="D48" s="55">
        <v>12</v>
      </c>
    </row>
    <row r="49" spans="1:4" x14ac:dyDescent="0.2">
      <c r="A49" s="56" t="s">
        <v>79</v>
      </c>
      <c r="B49" s="55"/>
      <c r="C49" s="55">
        <v>2</v>
      </c>
      <c r="D49" s="55">
        <v>4</v>
      </c>
    </row>
    <row r="50" spans="1:4" x14ac:dyDescent="0.2">
      <c r="A50" s="56" t="s">
        <v>84</v>
      </c>
      <c r="B50" s="55"/>
      <c r="C50" s="55">
        <v>2</v>
      </c>
      <c r="D50" s="55">
        <v>4</v>
      </c>
    </row>
    <row r="51" spans="1:4" x14ac:dyDescent="0.2">
      <c r="A51" s="54">
        <v>43754</v>
      </c>
      <c r="B51" s="55"/>
      <c r="C51" s="55">
        <v>5</v>
      </c>
      <c r="D51" s="55">
        <v>10</v>
      </c>
    </row>
    <row r="52" spans="1:4" x14ac:dyDescent="0.2">
      <c r="A52" s="56" t="s">
        <v>1045</v>
      </c>
      <c r="B52" s="55"/>
      <c r="C52" s="55">
        <v>4</v>
      </c>
      <c r="D52" s="55">
        <v>8</v>
      </c>
    </row>
    <row r="53" spans="1:4" x14ac:dyDescent="0.2">
      <c r="A53" s="56" t="s">
        <v>81</v>
      </c>
      <c r="B53" s="55"/>
      <c r="C53" s="55">
        <v>0</v>
      </c>
      <c r="D53" s="55">
        <v>0</v>
      </c>
    </row>
    <row r="54" spans="1:4" x14ac:dyDescent="0.2">
      <c r="A54" s="56" t="s">
        <v>79</v>
      </c>
      <c r="B54" s="55"/>
      <c r="C54" s="55">
        <v>0</v>
      </c>
      <c r="D54" s="55">
        <v>0</v>
      </c>
    </row>
    <row r="55" spans="1:4" x14ac:dyDescent="0.2">
      <c r="A55" s="56" t="s">
        <v>1046</v>
      </c>
      <c r="B55" s="55"/>
      <c r="C55" s="55">
        <v>1</v>
      </c>
      <c r="D55" s="55">
        <v>2</v>
      </c>
    </row>
    <row r="56" spans="1:4" x14ac:dyDescent="0.2">
      <c r="A56" s="54">
        <v>43758</v>
      </c>
      <c r="B56" s="55">
        <v>0</v>
      </c>
      <c r="C56" s="55">
        <v>22</v>
      </c>
      <c r="D56" s="55">
        <v>44</v>
      </c>
    </row>
    <row r="57" spans="1:4" x14ac:dyDescent="0.2">
      <c r="A57" s="56" t="s">
        <v>1045</v>
      </c>
      <c r="B57" s="55"/>
      <c r="C57" s="55">
        <v>1</v>
      </c>
      <c r="D57" s="55">
        <v>2</v>
      </c>
    </row>
    <row r="58" spans="1:4" x14ac:dyDescent="0.2">
      <c r="A58" s="56" t="s">
        <v>593</v>
      </c>
      <c r="B58" s="55">
        <v>0</v>
      </c>
      <c r="C58" s="55"/>
      <c r="D58" s="55">
        <v>0</v>
      </c>
    </row>
    <row r="59" spans="1:4" x14ac:dyDescent="0.2">
      <c r="A59" s="56" t="s">
        <v>83</v>
      </c>
      <c r="B59" s="55"/>
      <c r="C59" s="55">
        <v>5</v>
      </c>
      <c r="D59" s="55">
        <v>10</v>
      </c>
    </row>
    <row r="60" spans="1:4" x14ac:dyDescent="0.2">
      <c r="A60" s="56" t="s">
        <v>81</v>
      </c>
      <c r="B60" s="55"/>
      <c r="C60" s="55">
        <v>7</v>
      </c>
      <c r="D60" s="55">
        <v>14</v>
      </c>
    </row>
    <row r="61" spans="1:4" x14ac:dyDescent="0.2">
      <c r="A61" s="56" t="s">
        <v>79</v>
      </c>
      <c r="B61" s="55"/>
      <c r="C61" s="55">
        <v>6</v>
      </c>
      <c r="D61" s="55">
        <v>12</v>
      </c>
    </row>
    <row r="62" spans="1:4" x14ac:dyDescent="0.2">
      <c r="A62" s="56" t="s">
        <v>84</v>
      </c>
      <c r="B62" s="55"/>
      <c r="C62" s="55">
        <v>2</v>
      </c>
      <c r="D62" s="55">
        <v>4</v>
      </c>
    </row>
    <row r="63" spans="1:4" x14ac:dyDescent="0.2">
      <c r="A63" s="56" t="s">
        <v>1046</v>
      </c>
      <c r="B63" s="55"/>
      <c r="C63" s="55">
        <v>1</v>
      </c>
      <c r="D63" s="55">
        <v>2</v>
      </c>
    </row>
    <row r="64" spans="1:4" x14ac:dyDescent="0.2">
      <c r="A64" s="54">
        <v>43761</v>
      </c>
      <c r="B64" s="55">
        <v>7</v>
      </c>
      <c r="C64" s="55">
        <v>10</v>
      </c>
      <c r="D64" s="55">
        <v>27</v>
      </c>
    </row>
    <row r="65" spans="1:4" x14ac:dyDescent="0.2">
      <c r="A65" s="56" t="s">
        <v>80</v>
      </c>
      <c r="B65" s="55"/>
      <c r="C65" s="55">
        <v>1</v>
      </c>
      <c r="D65" s="55">
        <v>2</v>
      </c>
    </row>
    <row r="66" spans="1:4" x14ac:dyDescent="0.2">
      <c r="A66" s="56" t="s">
        <v>593</v>
      </c>
      <c r="B66" s="55">
        <v>7</v>
      </c>
      <c r="C66" s="55"/>
      <c r="D66" s="55">
        <v>7</v>
      </c>
    </row>
    <row r="67" spans="1:4" x14ac:dyDescent="0.2">
      <c r="A67" s="56" t="s">
        <v>83</v>
      </c>
      <c r="B67" s="55"/>
      <c r="C67" s="55">
        <v>5</v>
      </c>
      <c r="D67" s="55">
        <v>10</v>
      </c>
    </row>
    <row r="68" spans="1:4" x14ac:dyDescent="0.2">
      <c r="A68" s="56" t="s">
        <v>79</v>
      </c>
      <c r="B68" s="55"/>
      <c r="C68" s="55">
        <v>2</v>
      </c>
      <c r="D68" s="55">
        <v>4</v>
      </c>
    </row>
    <row r="69" spans="1:4" x14ac:dyDescent="0.2">
      <c r="A69" s="56" t="s">
        <v>82</v>
      </c>
      <c r="B69" s="55"/>
      <c r="C69" s="55">
        <v>2</v>
      </c>
      <c r="D69" s="55">
        <v>4</v>
      </c>
    </row>
    <row r="70" spans="1:4" x14ac:dyDescent="0.2">
      <c r="A70" s="54">
        <v>43765</v>
      </c>
      <c r="B70" s="55">
        <v>13</v>
      </c>
      <c r="C70" s="55">
        <v>12</v>
      </c>
      <c r="D70" s="55">
        <v>37</v>
      </c>
    </row>
    <row r="71" spans="1:4" x14ac:dyDescent="0.2">
      <c r="A71" s="56" t="s">
        <v>80</v>
      </c>
      <c r="B71" s="55"/>
      <c r="C71" s="55">
        <v>2</v>
      </c>
      <c r="D71" s="55">
        <v>4</v>
      </c>
    </row>
    <row r="72" spans="1:4" x14ac:dyDescent="0.2">
      <c r="A72" s="56" t="s">
        <v>593</v>
      </c>
      <c r="B72" s="55">
        <v>13</v>
      </c>
      <c r="C72" s="55"/>
      <c r="D72" s="55">
        <v>13</v>
      </c>
    </row>
    <row r="73" spans="1:4" x14ac:dyDescent="0.2">
      <c r="A73" s="56" t="s">
        <v>83</v>
      </c>
      <c r="B73" s="55"/>
      <c r="C73" s="55">
        <v>2</v>
      </c>
      <c r="D73" s="55">
        <v>4</v>
      </c>
    </row>
    <row r="74" spans="1:4" x14ac:dyDescent="0.2">
      <c r="A74" s="56" t="s">
        <v>79</v>
      </c>
      <c r="B74" s="55"/>
      <c r="C74" s="55">
        <v>4</v>
      </c>
      <c r="D74" s="55">
        <v>8</v>
      </c>
    </row>
    <row r="75" spans="1:4" x14ac:dyDescent="0.2">
      <c r="A75" s="56" t="s">
        <v>82</v>
      </c>
      <c r="B75" s="55"/>
      <c r="C75" s="55">
        <v>4</v>
      </c>
      <c r="D75" s="55">
        <v>8</v>
      </c>
    </row>
    <row r="76" spans="1:4" x14ac:dyDescent="0.2">
      <c r="A76" s="54">
        <v>43768</v>
      </c>
      <c r="B76" s="55">
        <v>8</v>
      </c>
      <c r="C76" s="55">
        <v>8</v>
      </c>
      <c r="D76" s="55">
        <v>24</v>
      </c>
    </row>
    <row r="77" spans="1:4" x14ac:dyDescent="0.2">
      <c r="A77" s="56" t="s">
        <v>80</v>
      </c>
      <c r="B77" s="55"/>
      <c r="C77" s="55">
        <v>1</v>
      </c>
      <c r="D77" s="55">
        <v>2</v>
      </c>
    </row>
    <row r="78" spans="1:4" x14ac:dyDescent="0.2">
      <c r="A78" s="56" t="s">
        <v>593</v>
      </c>
      <c r="B78" s="55">
        <v>8</v>
      </c>
      <c r="C78" s="55"/>
      <c r="D78" s="55">
        <v>8</v>
      </c>
    </row>
    <row r="79" spans="1:4" x14ac:dyDescent="0.2">
      <c r="A79" s="56" t="s">
        <v>83</v>
      </c>
      <c r="B79" s="55"/>
      <c r="C79" s="55">
        <v>3</v>
      </c>
      <c r="D79" s="55">
        <v>6</v>
      </c>
    </row>
    <row r="80" spans="1:4" x14ac:dyDescent="0.2">
      <c r="A80" s="56" t="s">
        <v>79</v>
      </c>
      <c r="B80" s="55"/>
      <c r="C80" s="55">
        <v>1</v>
      </c>
      <c r="D80" s="55">
        <v>2</v>
      </c>
    </row>
    <row r="81" spans="1:4" x14ac:dyDescent="0.2">
      <c r="A81" s="56" t="s">
        <v>84</v>
      </c>
      <c r="B81" s="55"/>
      <c r="C81" s="55">
        <v>2</v>
      </c>
      <c r="D81" s="55">
        <v>4</v>
      </c>
    </row>
    <row r="82" spans="1:4" x14ac:dyDescent="0.2">
      <c r="A82" s="56" t="s">
        <v>1046</v>
      </c>
      <c r="B82" s="55"/>
      <c r="C82" s="55">
        <v>1</v>
      </c>
      <c r="D82" s="55">
        <v>2</v>
      </c>
    </row>
    <row r="83" spans="1:4" x14ac:dyDescent="0.2">
      <c r="A83" s="54">
        <v>43772</v>
      </c>
      <c r="B83" s="55"/>
      <c r="C83" s="55">
        <v>6</v>
      </c>
      <c r="D83" s="55">
        <v>12</v>
      </c>
    </row>
    <row r="84" spans="1:4" x14ac:dyDescent="0.2">
      <c r="A84" s="56" t="s">
        <v>1044</v>
      </c>
      <c r="B84" s="55"/>
      <c r="C84" s="55">
        <v>1</v>
      </c>
      <c r="D84" s="55">
        <v>2</v>
      </c>
    </row>
    <row r="85" spans="1:4" x14ac:dyDescent="0.2">
      <c r="A85" s="56" t="s">
        <v>80</v>
      </c>
      <c r="B85" s="55"/>
      <c r="C85" s="55">
        <v>2</v>
      </c>
      <c r="D85" s="55">
        <v>4</v>
      </c>
    </row>
    <row r="86" spans="1:4" x14ac:dyDescent="0.2">
      <c r="A86" s="56" t="s">
        <v>83</v>
      </c>
      <c r="B86" s="55"/>
      <c r="C86" s="55">
        <v>2</v>
      </c>
      <c r="D86" s="55">
        <v>4</v>
      </c>
    </row>
    <row r="87" spans="1:4" x14ac:dyDescent="0.2">
      <c r="A87" s="56" t="s">
        <v>79</v>
      </c>
      <c r="B87" s="55"/>
      <c r="C87" s="55">
        <v>1</v>
      </c>
      <c r="D87" s="55">
        <v>2</v>
      </c>
    </row>
    <row r="88" spans="1:4" x14ac:dyDescent="0.2">
      <c r="A88" s="54">
        <v>43775</v>
      </c>
      <c r="B88" s="55">
        <v>1</v>
      </c>
      <c r="C88" s="55">
        <v>3</v>
      </c>
      <c r="D88" s="55">
        <v>7</v>
      </c>
    </row>
    <row r="89" spans="1:4" x14ac:dyDescent="0.2">
      <c r="A89" s="56" t="s">
        <v>80</v>
      </c>
      <c r="B89" s="55"/>
      <c r="C89" s="55">
        <v>1</v>
      </c>
      <c r="D89" s="55">
        <v>2</v>
      </c>
    </row>
    <row r="90" spans="1:4" x14ac:dyDescent="0.2">
      <c r="A90" s="56" t="s">
        <v>79</v>
      </c>
      <c r="B90" s="55"/>
      <c r="C90" s="55">
        <v>2</v>
      </c>
      <c r="D90" s="55">
        <v>4</v>
      </c>
    </row>
    <row r="91" spans="1:4" x14ac:dyDescent="0.2">
      <c r="A91" s="56" t="s">
        <v>82</v>
      </c>
      <c r="B91" s="55">
        <v>1</v>
      </c>
      <c r="C91" s="55"/>
      <c r="D91" s="55">
        <v>1</v>
      </c>
    </row>
    <row r="92" spans="1:4" x14ac:dyDescent="0.2">
      <c r="A92" s="54">
        <v>43779</v>
      </c>
      <c r="B92" s="55"/>
      <c r="C92" s="55">
        <v>8</v>
      </c>
      <c r="D92" s="55">
        <v>16</v>
      </c>
    </row>
    <row r="93" spans="1:4" x14ac:dyDescent="0.2">
      <c r="A93" s="56" t="s">
        <v>80</v>
      </c>
      <c r="B93" s="55"/>
      <c r="C93" s="55">
        <v>3</v>
      </c>
      <c r="D93" s="55">
        <v>6</v>
      </c>
    </row>
    <row r="94" spans="1:4" x14ac:dyDescent="0.2">
      <c r="A94" s="56" t="s">
        <v>81</v>
      </c>
      <c r="B94" s="55"/>
      <c r="C94" s="55">
        <v>1</v>
      </c>
      <c r="D94" s="55">
        <v>2</v>
      </c>
    </row>
    <row r="95" spans="1:4" x14ac:dyDescent="0.2">
      <c r="A95" s="56" t="s">
        <v>79</v>
      </c>
      <c r="B95" s="55"/>
      <c r="C95" s="55">
        <v>1</v>
      </c>
      <c r="D95" s="55">
        <v>2</v>
      </c>
    </row>
    <row r="96" spans="1:4" x14ac:dyDescent="0.2">
      <c r="A96" s="56" t="s">
        <v>1048</v>
      </c>
      <c r="B96" s="55"/>
      <c r="C96" s="55">
        <v>1</v>
      </c>
      <c r="D96" s="55">
        <v>2</v>
      </c>
    </row>
    <row r="97" spans="1:4" x14ac:dyDescent="0.2">
      <c r="A97" s="56" t="s">
        <v>84</v>
      </c>
      <c r="B97" s="55"/>
      <c r="C97" s="55">
        <v>2</v>
      </c>
      <c r="D97" s="55">
        <v>4</v>
      </c>
    </row>
    <row r="98" spans="1:4" x14ac:dyDescent="0.2">
      <c r="A98" s="54">
        <v>43782</v>
      </c>
      <c r="B98" s="55"/>
      <c r="C98" s="55">
        <v>4</v>
      </c>
      <c r="D98" s="55">
        <v>8</v>
      </c>
    </row>
    <row r="99" spans="1:4" x14ac:dyDescent="0.2">
      <c r="A99" s="56" t="s">
        <v>80</v>
      </c>
      <c r="B99" s="55"/>
      <c r="C99" s="55">
        <v>2</v>
      </c>
      <c r="D99" s="55">
        <v>4</v>
      </c>
    </row>
    <row r="100" spans="1:4" x14ac:dyDescent="0.2">
      <c r="A100" s="56" t="s">
        <v>79</v>
      </c>
      <c r="B100" s="55"/>
      <c r="C100" s="55">
        <v>2</v>
      </c>
      <c r="D100" s="55">
        <v>4</v>
      </c>
    </row>
    <row r="101" spans="1:4" x14ac:dyDescent="0.2">
      <c r="A101" s="56" t="s">
        <v>1048</v>
      </c>
      <c r="B101" s="55"/>
      <c r="C101" s="55">
        <v>0</v>
      </c>
      <c r="D101" s="55">
        <v>0</v>
      </c>
    </row>
    <row r="102" spans="1:4" x14ac:dyDescent="0.2">
      <c r="A102" s="54">
        <v>43786</v>
      </c>
      <c r="B102" s="55"/>
      <c r="C102" s="55">
        <v>9</v>
      </c>
      <c r="D102" s="55">
        <v>18</v>
      </c>
    </row>
    <row r="103" spans="1:4" x14ac:dyDescent="0.2">
      <c r="A103" s="56" t="s">
        <v>80</v>
      </c>
      <c r="B103" s="55"/>
      <c r="C103" s="55">
        <v>1</v>
      </c>
      <c r="D103" s="55">
        <v>2</v>
      </c>
    </row>
    <row r="104" spans="1:4" x14ac:dyDescent="0.2">
      <c r="A104" s="56" t="s">
        <v>83</v>
      </c>
      <c r="B104" s="55"/>
      <c r="C104" s="55">
        <v>2</v>
      </c>
      <c r="D104" s="55">
        <v>4</v>
      </c>
    </row>
    <row r="105" spans="1:4" x14ac:dyDescent="0.2">
      <c r="A105" s="56" t="s">
        <v>1047</v>
      </c>
      <c r="B105" s="55"/>
      <c r="C105" s="55">
        <v>0</v>
      </c>
      <c r="D105" s="55">
        <v>0</v>
      </c>
    </row>
    <row r="106" spans="1:4" x14ac:dyDescent="0.2">
      <c r="A106" s="56" t="s">
        <v>79</v>
      </c>
      <c r="B106" s="55"/>
      <c r="C106" s="55">
        <v>5</v>
      </c>
      <c r="D106" s="55">
        <v>10</v>
      </c>
    </row>
    <row r="107" spans="1:4" x14ac:dyDescent="0.2">
      <c r="A107" s="56" t="s">
        <v>1048</v>
      </c>
      <c r="B107" s="55"/>
      <c r="C107" s="55">
        <v>0</v>
      </c>
      <c r="D107" s="55">
        <v>0</v>
      </c>
    </row>
    <row r="108" spans="1:4" x14ac:dyDescent="0.2">
      <c r="A108" s="56" t="s">
        <v>84</v>
      </c>
      <c r="B108" s="55"/>
      <c r="C108" s="55">
        <v>1</v>
      </c>
      <c r="D108" s="55">
        <v>2</v>
      </c>
    </row>
    <row r="109" spans="1:4" x14ac:dyDescent="0.2">
      <c r="A109" s="54">
        <v>43789</v>
      </c>
      <c r="B109" s="55">
        <v>10</v>
      </c>
      <c r="C109" s="55">
        <v>11</v>
      </c>
      <c r="D109" s="55">
        <v>32</v>
      </c>
    </row>
    <row r="110" spans="1:4" x14ac:dyDescent="0.2">
      <c r="A110" s="56" t="s">
        <v>80</v>
      </c>
      <c r="B110" s="55"/>
      <c r="C110" s="55">
        <v>1</v>
      </c>
      <c r="D110" s="55">
        <v>2</v>
      </c>
    </row>
    <row r="111" spans="1:4" x14ac:dyDescent="0.2">
      <c r="A111" s="56" t="s">
        <v>593</v>
      </c>
      <c r="B111" s="55">
        <v>10</v>
      </c>
      <c r="C111" s="55"/>
      <c r="D111" s="55">
        <v>10</v>
      </c>
    </row>
    <row r="112" spans="1:4" x14ac:dyDescent="0.2">
      <c r="A112" s="56" t="s">
        <v>81</v>
      </c>
      <c r="B112" s="55"/>
      <c r="C112" s="55">
        <v>3</v>
      </c>
      <c r="D112" s="55">
        <v>6</v>
      </c>
    </row>
    <row r="113" spans="1:4" x14ac:dyDescent="0.2">
      <c r="A113" s="56" t="s">
        <v>79</v>
      </c>
      <c r="B113" s="55"/>
      <c r="C113" s="55">
        <v>4</v>
      </c>
      <c r="D113" s="55">
        <v>8</v>
      </c>
    </row>
    <row r="114" spans="1:4" x14ac:dyDescent="0.2">
      <c r="A114" s="56" t="s">
        <v>82</v>
      </c>
      <c r="B114" s="55"/>
      <c r="C114" s="55">
        <v>2</v>
      </c>
      <c r="D114" s="55">
        <v>4</v>
      </c>
    </row>
    <row r="115" spans="1:4" x14ac:dyDescent="0.2">
      <c r="A115" s="56" t="s">
        <v>1046</v>
      </c>
      <c r="B115" s="55"/>
      <c r="C115" s="55">
        <v>1</v>
      </c>
      <c r="D115" s="55">
        <v>2</v>
      </c>
    </row>
    <row r="116" spans="1:4" x14ac:dyDescent="0.2">
      <c r="A116" s="54">
        <v>43793</v>
      </c>
      <c r="B116" s="55">
        <v>1</v>
      </c>
      <c r="C116" s="55">
        <v>12</v>
      </c>
      <c r="D116" s="55">
        <v>25</v>
      </c>
    </row>
    <row r="117" spans="1:4" x14ac:dyDescent="0.2">
      <c r="A117" s="56" t="s">
        <v>1045</v>
      </c>
      <c r="B117" s="55"/>
      <c r="C117" s="55">
        <v>0</v>
      </c>
      <c r="D117" s="55">
        <v>0</v>
      </c>
    </row>
    <row r="118" spans="1:4" x14ac:dyDescent="0.2">
      <c r="A118" s="56" t="s">
        <v>80</v>
      </c>
      <c r="B118" s="55"/>
      <c r="C118" s="55">
        <v>2</v>
      </c>
      <c r="D118" s="55">
        <v>4</v>
      </c>
    </row>
    <row r="119" spans="1:4" x14ac:dyDescent="0.2">
      <c r="A119" s="56" t="s">
        <v>593</v>
      </c>
      <c r="B119" s="55">
        <v>1</v>
      </c>
      <c r="C119" s="55"/>
      <c r="D119" s="55">
        <v>1</v>
      </c>
    </row>
    <row r="120" spans="1:4" x14ac:dyDescent="0.2">
      <c r="A120" s="56" t="s">
        <v>83</v>
      </c>
      <c r="B120" s="55"/>
      <c r="C120" s="55">
        <v>3</v>
      </c>
      <c r="D120" s="55">
        <v>6</v>
      </c>
    </row>
    <row r="121" spans="1:4" x14ac:dyDescent="0.2">
      <c r="A121" s="56" t="s">
        <v>81</v>
      </c>
      <c r="B121" s="55"/>
      <c r="C121" s="55">
        <v>1</v>
      </c>
      <c r="D121" s="55">
        <v>2</v>
      </c>
    </row>
    <row r="122" spans="1:4" x14ac:dyDescent="0.2">
      <c r="A122" s="56" t="s">
        <v>79</v>
      </c>
      <c r="B122" s="55"/>
      <c r="C122" s="55">
        <v>4</v>
      </c>
      <c r="D122" s="55">
        <v>8</v>
      </c>
    </row>
    <row r="123" spans="1:4" x14ac:dyDescent="0.2">
      <c r="A123" s="56" t="s">
        <v>84</v>
      </c>
      <c r="B123" s="55"/>
      <c r="C123" s="55">
        <v>1</v>
      </c>
      <c r="D123" s="55">
        <v>2</v>
      </c>
    </row>
    <row r="124" spans="1:4" x14ac:dyDescent="0.2">
      <c r="A124" s="56" t="s">
        <v>82</v>
      </c>
      <c r="B124" s="55"/>
      <c r="C124" s="55">
        <v>1</v>
      </c>
      <c r="D124" s="55">
        <v>2</v>
      </c>
    </row>
    <row r="125" spans="1:4" x14ac:dyDescent="0.2">
      <c r="A125" s="54">
        <v>43796</v>
      </c>
      <c r="B125" s="55">
        <v>11</v>
      </c>
      <c r="C125" s="55">
        <v>11</v>
      </c>
      <c r="D125" s="55">
        <v>33</v>
      </c>
    </row>
    <row r="126" spans="1:4" x14ac:dyDescent="0.2">
      <c r="A126" s="56" t="s">
        <v>1045</v>
      </c>
      <c r="B126" s="55"/>
      <c r="C126" s="55">
        <v>2</v>
      </c>
      <c r="D126" s="55">
        <v>4</v>
      </c>
    </row>
    <row r="127" spans="1:4" x14ac:dyDescent="0.2">
      <c r="A127" s="56" t="s">
        <v>80</v>
      </c>
      <c r="B127" s="55"/>
      <c r="C127" s="55">
        <v>2</v>
      </c>
      <c r="D127" s="55">
        <v>4</v>
      </c>
    </row>
    <row r="128" spans="1:4" x14ac:dyDescent="0.2">
      <c r="A128" s="56" t="s">
        <v>593</v>
      </c>
      <c r="B128" s="55">
        <v>11</v>
      </c>
      <c r="C128" s="55"/>
      <c r="D128" s="55">
        <v>11</v>
      </c>
    </row>
    <row r="129" spans="1:4" x14ac:dyDescent="0.2">
      <c r="A129" s="56" t="s">
        <v>83</v>
      </c>
      <c r="B129" s="55"/>
      <c r="C129" s="55">
        <v>2</v>
      </c>
      <c r="D129" s="55">
        <v>4</v>
      </c>
    </row>
    <row r="130" spans="1:4" x14ac:dyDescent="0.2">
      <c r="A130" s="56" t="s">
        <v>81</v>
      </c>
      <c r="B130" s="55"/>
      <c r="C130" s="55">
        <v>1</v>
      </c>
      <c r="D130" s="55">
        <v>2</v>
      </c>
    </row>
    <row r="131" spans="1:4" x14ac:dyDescent="0.2">
      <c r="A131" s="56" t="s">
        <v>79</v>
      </c>
      <c r="B131" s="55"/>
      <c r="C131" s="55">
        <v>4</v>
      </c>
      <c r="D131" s="55">
        <v>8</v>
      </c>
    </row>
    <row r="132" spans="1:4" x14ac:dyDescent="0.2">
      <c r="A132" s="54">
        <v>43800</v>
      </c>
      <c r="B132" s="55">
        <v>10</v>
      </c>
      <c r="C132" s="55">
        <v>9</v>
      </c>
      <c r="D132" s="55">
        <v>28</v>
      </c>
    </row>
    <row r="133" spans="1:4" x14ac:dyDescent="0.2">
      <c r="A133" s="56" t="s">
        <v>80</v>
      </c>
      <c r="B133" s="55"/>
      <c r="C133" s="55">
        <v>2</v>
      </c>
      <c r="D133" s="55">
        <v>4</v>
      </c>
    </row>
    <row r="134" spans="1:4" x14ac:dyDescent="0.2">
      <c r="A134" s="56" t="s">
        <v>593</v>
      </c>
      <c r="B134" s="55">
        <v>10</v>
      </c>
      <c r="C134" s="55"/>
      <c r="D134" s="55">
        <v>10</v>
      </c>
    </row>
    <row r="135" spans="1:4" x14ac:dyDescent="0.2">
      <c r="A135" s="56" t="s">
        <v>83</v>
      </c>
      <c r="B135" s="55"/>
      <c r="C135" s="55">
        <v>0</v>
      </c>
      <c r="D135" s="55">
        <v>0</v>
      </c>
    </row>
    <row r="136" spans="1:4" x14ac:dyDescent="0.2">
      <c r="A136" s="56" t="s">
        <v>79</v>
      </c>
      <c r="B136" s="55"/>
      <c r="C136" s="55">
        <v>4</v>
      </c>
      <c r="D136" s="55">
        <v>8</v>
      </c>
    </row>
    <row r="137" spans="1:4" x14ac:dyDescent="0.2">
      <c r="A137" s="56" t="s">
        <v>84</v>
      </c>
      <c r="B137" s="55"/>
      <c r="C137" s="55">
        <v>2</v>
      </c>
      <c r="D137" s="55">
        <v>4</v>
      </c>
    </row>
    <row r="138" spans="1:4" x14ac:dyDescent="0.2">
      <c r="A138" s="56" t="s">
        <v>82</v>
      </c>
      <c r="B138" s="55"/>
      <c r="C138" s="55">
        <v>1</v>
      </c>
      <c r="D138" s="55">
        <v>2</v>
      </c>
    </row>
    <row r="139" spans="1:4" x14ac:dyDescent="0.2">
      <c r="A139" s="54">
        <v>43803</v>
      </c>
      <c r="B139" s="55"/>
      <c r="C139" s="55">
        <v>6</v>
      </c>
      <c r="D139" s="55">
        <v>12</v>
      </c>
    </row>
    <row r="140" spans="1:4" x14ac:dyDescent="0.2">
      <c r="A140" s="56" t="s">
        <v>80</v>
      </c>
      <c r="B140" s="55"/>
      <c r="C140" s="55">
        <v>1</v>
      </c>
      <c r="D140" s="55">
        <v>2</v>
      </c>
    </row>
    <row r="141" spans="1:4" x14ac:dyDescent="0.2">
      <c r="A141" s="56" t="s">
        <v>79</v>
      </c>
      <c r="B141" s="55"/>
      <c r="C141" s="55">
        <v>4</v>
      </c>
      <c r="D141" s="55">
        <v>8</v>
      </c>
    </row>
    <row r="142" spans="1:4" x14ac:dyDescent="0.2">
      <c r="A142" s="56" t="s">
        <v>1046</v>
      </c>
      <c r="B142" s="55"/>
      <c r="C142" s="55">
        <v>1</v>
      </c>
      <c r="D142" s="55">
        <v>2</v>
      </c>
    </row>
    <row r="143" spans="1:4" x14ac:dyDescent="0.2">
      <c r="A143" s="54">
        <v>43807</v>
      </c>
      <c r="B143" s="55"/>
      <c r="C143" s="55">
        <v>17</v>
      </c>
      <c r="D143" s="55">
        <v>34</v>
      </c>
    </row>
    <row r="144" spans="1:4" x14ac:dyDescent="0.2">
      <c r="A144" s="56" t="s">
        <v>1045</v>
      </c>
      <c r="B144" s="55"/>
      <c r="C144" s="55">
        <v>5</v>
      </c>
      <c r="D144" s="55">
        <v>10</v>
      </c>
    </row>
    <row r="145" spans="1:4" x14ac:dyDescent="0.2">
      <c r="A145" s="56" t="s">
        <v>80</v>
      </c>
      <c r="B145" s="55"/>
      <c r="C145" s="55">
        <v>2</v>
      </c>
      <c r="D145" s="55">
        <v>4</v>
      </c>
    </row>
    <row r="146" spans="1:4" x14ac:dyDescent="0.2">
      <c r="A146" s="56" t="s">
        <v>83</v>
      </c>
      <c r="B146" s="55"/>
      <c r="C146" s="55">
        <v>1</v>
      </c>
      <c r="D146" s="55">
        <v>2</v>
      </c>
    </row>
    <row r="147" spans="1:4" x14ac:dyDescent="0.2">
      <c r="A147" s="56" t="s">
        <v>81</v>
      </c>
      <c r="B147" s="55"/>
      <c r="C147" s="55">
        <v>0</v>
      </c>
      <c r="D147" s="55">
        <v>0</v>
      </c>
    </row>
    <row r="148" spans="1:4" x14ac:dyDescent="0.2">
      <c r="A148" s="56" t="s">
        <v>79</v>
      </c>
      <c r="B148" s="55"/>
      <c r="C148" s="55">
        <v>6</v>
      </c>
      <c r="D148" s="55">
        <v>12</v>
      </c>
    </row>
    <row r="149" spans="1:4" x14ac:dyDescent="0.2">
      <c r="A149" s="56" t="s">
        <v>82</v>
      </c>
      <c r="B149" s="55"/>
      <c r="C149" s="55">
        <v>3</v>
      </c>
      <c r="D149" s="55">
        <v>6</v>
      </c>
    </row>
    <row r="150" spans="1:4" x14ac:dyDescent="0.2">
      <c r="A150" s="54">
        <v>43810</v>
      </c>
      <c r="B150" s="55"/>
      <c r="C150" s="55">
        <v>11</v>
      </c>
      <c r="D150" s="55">
        <v>22</v>
      </c>
    </row>
    <row r="151" spans="1:4" x14ac:dyDescent="0.2">
      <c r="A151" s="56" t="s">
        <v>1044</v>
      </c>
      <c r="B151" s="55"/>
      <c r="C151" s="55">
        <v>0</v>
      </c>
      <c r="D151" s="55">
        <v>0</v>
      </c>
    </row>
    <row r="152" spans="1:4" x14ac:dyDescent="0.2">
      <c r="A152" s="56" t="s">
        <v>1045</v>
      </c>
      <c r="B152" s="55"/>
      <c r="C152" s="55">
        <v>0</v>
      </c>
      <c r="D152" s="55">
        <v>0</v>
      </c>
    </row>
    <row r="153" spans="1:4" x14ac:dyDescent="0.2">
      <c r="A153" s="56" t="s">
        <v>80</v>
      </c>
      <c r="B153" s="55"/>
      <c r="C153" s="55">
        <v>1</v>
      </c>
      <c r="D153" s="55">
        <v>2</v>
      </c>
    </row>
    <row r="154" spans="1:4" x14ac:dyDescent="0.2">
      <c r="A154" s="56" t="s">
        <v>83</v>
      </c>
      <c r="B154" s="55"/>
      <c r="C154" s="55">
        <v>1</v>
      </c>
      <c r="D154" s="55">
        <v>2</v>
      </c>
    </row>
    <row r="155" spans="1:4" x14ac:dyDescent="0.2">
      <c r="A155" s="56" t="s">
        <v>81</v>
      </c>
      <c r="B155" s="55"/>
      <c r="C155" s="55">
        <v>3</v>
      </c>
      <c r="D155" s="55">
        <v>6</v>
      </c>
    </row>
    <row r="156" spans="1:4" x14ac:dyDescent="0.2">
      <c r="A156" s="56" t="s">
        <v>79</v>
      </c>
      <c r="B156" s="55"/>
      <c r="C156" s="55">
        <v>4</v>
      </c>
      <c r="D156" s="55">
        <v>8</v>
      </c>
    </row>
    <row r="157" spans="1:4" x14ac:dyDescent="0.2">
      <c r="A157" s="56" t="s">
        <v>84</v>
      </c>
      <c r="B157" s="55"/>
      <c r="C157" s="55">
        <v>2</v>
      </c>
      <c r="D157" s="55">
        <v>4</v>
      </c>
    </row>
    <row r="158" spans="1:4" x14ac:dyDescent="0.2">
      <c r="A158" s="54">
        <v>43814</v>
      </c>
      <c r="B158" s="55">
        <v>13</v>
      </c>
      <c r="C158" s="55">
        <v>15</v>
      </c>
      <c r="D158" s="55">
        <v>43</v>
      </c>
    </row>
    <row r="159" spans="1:4" x14ac:dyDescent="0.2">
      <c r="A159" s="56" t="s">
        <v>80</v>
      </c>
      <c r="B159" s="55"/>
      <c r="C159" s="55">
        <v>4</v>
      </c>
      <c r="D159" s="55">
        <v>8</v>
      </c>
    </row>
    <row r="160" spans="1:4" x14ac:dyDescent="0.2">
      <c r="A160" s="56" t="s">
        <v>593</v>
      </c>
      <c r="B160" s="55">
        <v>12</v>
      </c>
      <c r="C160" s="55"/>
      <c r="D160" s="55">
        <v>12</v>
      </c>
    </row>
    <row r="161" spans="1:4" x14ac:dyDescent="0.2">
      <c r="A161" s="56" t="s">
        <v>83</v>
      </c>
      <c r="B161" s="55">
        <v>1</v>
      </c>
      <c r="C161" s="55">
        <v>2</v>
      </c>
      <c r="D161" s="55">
        <v>5</v>
      </c>
    </row>
    <row r="162" spans="1:4" x14ac:dyDescent="0.2">
      <c r="A162" s="56" t="s">
        <v>81</v>
      </c>
      <c r="B162" s="55"/>
      <c r="C162" s="55">
        <v>2</v>
      </c>
      <c r="D162" s="55">
        <v>4</v>
      </c>
    </row>
    <row r="163" spans="1:4" x14ac:dyDescent="0.2">
      <c r="A163" s="56" t="s">
        <v>79</v>
      </c>
      <c r="B163" s="55"/>
      <c r="C163" s="55">
        <v>5</v>
      </c>
      <c r="D163" s="55">
        <v>10</v>
      </c>
    </row>
    <row r="164" spans="1:4" x14ac:dyDescent="0.2">
      <c r="A164" s="56" t="s">
        <v>82</v>
      </c>
      <c r="B164" s="55"/>
      <c r="C164" s="55">
        <v>1</v>
      </c>
      <c r="D164" s="55">
        <v>2</v>
      </c>
    </row>
    <row r="165" spans="1:4" x14ac:dyDescent="0.2">
      <c r="A165" s="56" t="s">
        <v>1046</v>
      </c>
      <c r="B165" s="55"/>
      <c r="C165" s="55">
        <v>1</v>
      </c>
      <c r="D165" s="55">
        <v>2</v>
      </c>
    </row>
    <row r="166" spans="1:4" x14ac:dyDescent="0.2">
      <c r="A166" s="54">
        <v>43817</v>
      </c>
      <c r="B166" s="55">
        <v>14</v>
      </c>
      <c r="C166" s="55">
        <v>16</v>
      </c>
      <c r="D166" s="55">
        <v>46</v>
      </c>
    </row>
    <row r="167" spans="1:4" x14ac:dyDescent="0.2">
      <c r="A167" s="56" t="s">
        <v>1045</v>
      </c>
      <c r="B167" s="55"/>
      <c r="C167" s="55">
        <v>2</v>
      </c>
      <c r="D167" s="55">
        <v>4</v>
      </c>
    </row>
    <row r="168" spans="1:4" x14ac:dyDescent="0.2">
      <c r="A168" s="56" t="s">
        <v>80</v>
      </c>
      <c r="B168" s="55"/>
      <c r="C168" s="55">
        <v>0</v>
      </c>
      <c r="D168" s="55">
        <v>0</v>
      </c>
    </row>
    <row r="169" spans="1:4" x14ac:dyDescent="0.2">
      <c r="A169" s="56" t="s">
        <v>593</v>
      </c>
      <c r="B169" s="55">
        <v>14</v>
      </c>
      <c r="C169" s="55"/>
      <c r="D169" s="55">
        <v>14</v>
      </c>
    </row>
    <row r="170" spans="1:4" x14ac:dyDescent="0.2">
      <c r="A170" s="56" t="s">
        <v>83</v>
      </c>
      <c r="B170" s="55"/>
      <c r="C170" s="55">
        <v>2</v>
      </c>
      <c r="D170" s="55">
        <v>4</v>
      </c>
    </row>
    <row r="171" spans="1:4" x14ac:dyDescent="0.2">
      <c r="A171" s="56" t="s">
        <v>81</v>
      </c>
      <c r="B171" s="55"/>
      <c r="C171" s="55">
        <v>3</v>
      </c>
      <c r="D171" s="55">
        <v>6</v>
      </c>
    </row>
    <row r="172" spans="1:4" x14ac:dyDescent="0.2">
      <c r="A172" s="56" t="s">
        <v>79</v>
      </c>
      <c r="B172" s="55"/>
      <c r="C172" s="55">
        <v>5</v>
      </c>
      <c r="D172" s="55">
        <v>10</v>
      </c>
    </row>
    <row r="173" spans="1:4" x14ac:dyDescent="0.2">
      <c r="A173" s="56" t="s">
        <v>82</v>
      </c>
      <c r="B173" s="55"/>
      <c r="C173" s="55">
        <v>4</v>
      </c>
      <c r="D173" s="55">
        <v>8</v>
      </c>
    </row>
    <row r="174" spans="1:4" x14ac:dyDescent="0.2">
      <c r="A174" s="54">
        <v>43818</v>
      </c>
      <c r="B174" s="55"/>
      <c r="C174" s="55">
        <v>2</v>
      </c>
      <c r="D174" s="55">
        <v>4</v>
      </c>
    </row>
    <row r="175" spans="1:4" x14ac:dyDescent="0.2">
      <c r="A175" s="56" t="s">
        <v>1049</v>
      </c>
      <c r="B175" s="55"/>
      <c r="C175" s="55">
        <v>2</v>
      </c>
      <c r="D175" s="55">
        <v>4</v>
      </c>
    </row>
    <row r="176" spans="1:4" x14ac:dyDescent="0.2">
      <c r="A176" s="54">
        <v>43821</v>
      </c>
      <c r="B176" s="55">
        <v>12</v>
      </c>
      <c r="C176" s="55">
        <v>14</v>
      </c>
      <c r="D176" s="55">
        <v>40</v>
      </c>
    </row>
    <row r="177" spans="1:4" x14ac:dyDescent="0.2">
      <c r="A177" s="56" t="s">
        <v>80</v>
      </c>
      <c r="B177" s="55"/>
      <c r="C177" s="55">
        <v>4</v>
      </c>
      <c r="D177" s="55">
        <v>8</v>
      </c>
    </row>
    <row r="178" spans="1:4" x14ac:dyDescent="0.2">
      <c r="A178" s="56" t="s">
        <v>593</v>
      </c>
      <c r="B178" s="55">
        <v>12</v>
      </c>
      <c r="C178" s="55"/>
      <c r="D178" s="55">
        <v>12</v>
      </c>
    </row>
    <row r="179" spans="1:4" x14ac:dyDescent="0.2">
      <c r="A179" s="56" t="s">
        <v>83</v>
      </c>
      <c r="B179" s="55"/>
      <c r="C179" s="55">
        <v>3</v>
      </c>
      <c r="D179" s="55">
        <v>6</v>
      </c>
    </row>
    <row r="180" spans="1:4" x14ac:dyDescent="0.2">
      <c r="A180" s="56" t="s">
        <v>81</v>
      </c>
      <c r="B180" s="55"/>
      <c r="C180" s="55">
        <v>2</v>
      </c>
      <c r="D180" s="55">
        <v>4</v>
      </c>
    </row>
    <row r="181" spans="1:4" x14ac:dyDescent="0.2">
      <c r="A181" s="56" t="s">
        <v>79</v>
      </c>
      <c r="B181" s="55"/>
      <c r="C181" s="55">
        <v>4</v>
      </c>
      <c r="D181" s="55">
        <v>8</v>
      </c>
    </row>
    <row r="182" spans="1:4" x14ac:dyDescent="0.2">
      <c r="A182" s="56" t="s">
        <v>84</v>
      </c>
      <c r="B182" s="55"/>
      <c r="C182" s="55">
        <v>1</v>
      </c>
      <c r="D182" s="55">
        <v>2</v>
      </c>
    </row>
    <row r="183" spans="1:4" x14ac:dyDescent="0.2">
      <c r="A183" s="54">
        <v>43824</v>
      </c>
      <c r="B183" s="55">
        <v>13</v>
      </c>
      <c r="C183" s="55">
        <v>20</v>
      </c>
      <c r="D183" s="55">
        <v>53</v>
      </c>
    </row>
    <row r="184" spans="1:4" x14ac:dyDescent="0.2">
      <c r="A184" s="56" t="s">
        <v>80</v>
      </c>
      <c r="B184" s="55"/>
      <c r="C184" s="55">
        <v>2</v>
      </c>
      <c r="D184" s="55">
        <v>4</v>
      </c>
    </row>
    <row r="185" spans="1:4" x14ac:dyDescent="0.2">
      <c r="A185" s="56" t="s">
        <v>593</v>
      </c>
      <c r="B185" s="55">
        <v>13</v>
      </c>
      <c r="C185" s="55"/>
      <c r="D185" s="55">
        <v>13</v>
      </c>
    </row>
    <row r="186" spans="1:4" x14ac:dyDescent="0.2">
      <c r="A186" s="56" t="s">
        <v>83</v>
      </c>
      <c r="B186" s="55"/>
      <c r="C186" s="55">
        <v>6</v>
      </c>
      <c r="D186" s="55">
        <v>12</v>
      </c>
    </row>
    <row r="187" spans="1:4" x14ac:dyDescent="0.2">
      <c r="A187" s="56" t="s">
        <v>79</v>
      </c>
      <c r="B187" s="55"/>
      <c r="C187" s="55">
        <v>7</v>
      </c>
      <c r="D187" s="55">
        <v>14</v>
      </c>
    </row>
    <row r="188" spans="1:4" x14ac:dyDescent="0.2">
      <c r="A188" s="56" t="s">
        <v>82</v>
      </c>
      <c r="B188" s="55"/>
      <c r="C188" s="55">
        <v>5</v>
      </c>
      <c r="D188" s="55">
        <v>10</v>
      </c>
    </row>
    <row r="189" spans="1:4" x14ac:dyDescent="0.2">
      <c r="A189" s="54">
        <v>43825</v>
      </c>
      <c r="B189" s="55"/>
      <c r="C189" s="55">
        <v>2</v>
      </c>
      <c r="D189" s="55">
        <v>4</v>
      </c>
    </row>
    <row r="190" spans="1:4" x14ac:dyDescent="0.2">
      <c r="A190" s="56" t="s">
        <v>1049</v>
      </c>
      <c r="B190" s="55"/>
      <c r="C190" s="55">
        <v>2</v>
      </c>
      <c r="D190" s="55">
        <v>4</v>
      </c>
    </row>
    <row r="191" spans="1:4" x14ac:dyDescent="0.2">
      <c r="A191" s="54">
        <v>43828</v>
      </c>
      <c r="B191" s="55"/>
      <c r="C191" s="55">
        <v>11</v>
      </c>
      <c r="D191" s="55">
        <v>22</v>
      </c>
    </row>
    <row r="192" spans="1:4" x14ac:dyDescent="0.2">
      <c r="A192" s="56" t="s">
        <v>1045</v>
      </c>
      <c r="B192" s="55"/>
      <c r="C192" s="55">
        <v>0</v>
      </c>
      <c r="D192" s="55">
        <v>0</v>
      </c>
    </row>
    <row r="193" spans="1:4" x14ac:dyDescent="0.2">
      <c r="A193" s="56" t="s">
        <v>80</v>
      </c>
      <c r="B193" s="55"/>
      <c r="C193" s="55">
        <v>3</v>
      </c>
      <c r="D193" s="55">
        <v>6</v>
      </c>
    </row>
    <row r="194" spans="1:4" x14ac:dyDescent="0.2">
      <c r="A194" s="56" t="s">
        <v>83</v>
      </c>
      <c r="B194" s="55"/>
      <c r="C194" s="55">
        <v>5</v>
      </c>
      <c r="D194" s="55">
        <v>10</v>
      </c>
    </row>
    <row r="195" spans="1:4" x14ac:dyDescent="0.2">
      <c r="A195" s="56" t="s">
        <v>79</v>
      </c>
      <c r="B195" s="55"/>
      <c r="C195" s="55">
        <v>3</v>
      </c>
      <c r="D195" s="55">
        <v>6</v>
      </c>
    </row>
    <row r="196" spans="1:4" x14ac:dyDescent="0.2">
      <c r="A196" s="54">
        <v>43831</v>
      </c>
      <c r="B196" s="55"/>
      <c r="C196" s="55">
        <v>0</v>
      </c>
      <c r="D196" s="55">
        <v>0</v>
      </c>
    </row>
    <row r="197" spans="1:4" x14ac:dyDescent="0.2">
      <c r="A197" s="56" t="s">
        <v>1044</v>
      </c>
      <c r="B197" s="55"/>
      <c r="C197" s="55">
        <v>0</v>
      </c>
      <c r="D197" s="55">
        <v>0</v>
      </c>
    </row>
    <row r="198" spans="1:4" x14ac:dyDescent="0.2">
      <c r="A198" s="56" t="s">
        <v>80</v>
      </c>
      <c r="B198" s="55"/>
      <c r="C198" s="55">
        <v>0</v>
      </c>
      <c r="D198" s="55">
        <v>0</v>
      </c>
    </row>
    <row r="199" spans="1:4" x14ac:dyDescent="0.2">
      <c r="A199" s="56" t="s">
        <v>83</v>
      </c>
      <c r="B199" s="55"/>
      <c r="C199" s="55">
        <v>0</v>
      </c>
      <c r="D199" s="55">
        <v>0</v>
      </c>
    </row>
    <row r="200" spans="1:4" x14ac:dyDescent="0.2">
      <c r="A200" s="56" t="s">
        <v>79</v>
      </c>
      <c r="B200" s="55"/>
      <c r="C200" s="55">
        <v>0</v>
      </c>
      <c r="D200" s="55">
        <v>0</v>
      </c>
    </row>
    <row r="201" spans="1:4" x14ac:dyDescent="0.2">
      <c r="A201" s="56" t="s">
        <v>84</v>
      </c>
      <c r="B201" s="55"/>
      <c r="C201" s="55">
        <v>0</v>
      </c>
      <c r="D201" s="55">
        <v>0</v>
      </c>
    </row>
    <row r="202" spans="1:4" x14ac:dyDescent="0.2">
      <c r="A202" s="54">
        <v>43835</v>
      </c>
      <c r="B202" s="55">
        <v>14</v>
      </c>
      <c r="C202" s="55">
        <v>21</v>
      </c>
      <c r="D202" s="55">
        <v>56</v>
      </c>
    </row>
    <row r="203" spans="1:4" x14ac:dyDescent="0.2">
      <c r="A203" s="56" t="s">
        <v>1045</v>
      </c>
      <c r="B203" s="55"/>
      <c r="C203" s="55">
        <v>3</v>
      </c>
      <c r="D203" s="55">
        <v>6</v>
      </c>
    </row>
    <row r="204" spans="1:4" x14ac:dyDescent="0.2">
      <c r="A204" s="56" t="s">
        <v>80</v>
      </c>
      <c r="B204" s="55"/>
      <c r="C204" s="55">
        <v>2</v>
      </c>
      <c r="D204" s="55">
        <v>4</v>
      </c>
    </row>
    <row r="205" spans="1:4" x14ac:dyDescent="0.2">
      <c r="A205" s="56" t="s">
        <v>593</v>
      </c>
      <c r="B205" s="55">
        <v>14</v>
      </c>
      <c r="C205" s="55"/>
      <c r="D205" s="55">
        <v>14</v>
      </c>
    </row>
    <row r="206" spans="1:4" x14ac:dyDescent="0.2">
      <c r="A206" s="56" t="s">
        <v>83</v>
      </c>
      <c r="B206" s="55"/>
      <c r="C206" s="55">
        <v>7</v>
      </c>
      <c r="D206" s="55">
        <v>14</v>
      </c>
    </row>
    <row r="207" spans="1:4" x14ac:dyDescent="0.2">
      <c r="A207" s="56" t="s">
        <v>79</v>
      </c>
      <c r="B207" s="55"/>
      <c r="C207" s="55">
        <v>8</v>
      </c>
      <c r="D207" s="55">
        <v>16</v>
      </c>
    </row>
    <row r="208" spans="1:4" x14ac:dyDescent="0.2">
      <c r="A208" s="56" t="s">
        <v>84</v>
      </c>
      <c r="B208" s="55"/>
      <c r="C208" s="55">
        <v>1</v>
      </c>
      <c r="D208" s="55">
        <v>2</v>
      </c>
    </row>
    <row r="209" spans="1:4" x14ac:dyDescent="0.2">
      <c r="A209" s="54">
        <v>43838</v>
      </c>
      <c r="B209" s="55">
        <v>12</v>
      </c>
      <c r="C209" s="55">
        <v>13</v>
      </c>
      <c r="D209" s="55">
        <v>38</v>
      </c>
    </row>
    <row r="210" spans="1:4" x14ac:dyDescent="0.2">
      <c r="A210" s="56" t="s">
        <v>1045</v>
      </c>
      <c r="B210" s="55"/>
      <c r="C210" s="55">
        <v>3</v>
      </c>
      <c r="D210" s="55">
        <v>6</v>
      </c>
    </row>
    <row r="211" spans="1:4" x14ac:dyDescent="0.2">
      <c r="A211" s="56" t="s">
        <v>80</v>
      </c>
      <c r="B211" s="55"/>
      <c r="C211" s="55">
        <v>2</v>
      </c>
      <c r="D211" s="55">
        <v>4</v>
      </c>
    </row>
    <row r="212" spans="1:4" x14ac:dyDescent="0.2">
      <c r="A212" s="56" t="s">
        <v>593</v>
      </c>
      <c r="B212" s="55">
        <v>12</v>
      </c>
      <c r="C212" s="55"/>
      <c r="D212" s="55">
        <v>12</v>
      </c>
    </row>
    <row r="213" spans="1:4" x14ac:dyDescent="0.2">
      <c r="A213" s="56" t="s">
        <v>83</v>
      </c>
      <c r="B213" s="55"/>
      <c r="C213" s="55">
        <v>0</v>
      </c>
      <c r="D213" s="55">
        <v>0</v>
      </c>
    </row>
    <row r="214" spans="1:4" x14ac:dyDescent="0.2">
      <c r="A214" s="56" t="s">
        <v>79</v>
      </c>
      <c r="B214" s="55"/>
      <c r="C214" s="55">
        <v>5</v>
      </c>
      <c r="D214" s="55">
        <v>10</v>
      </c>
    </row>
    <row r="215" spans="1:4" x14ac:dyDescent="0.2">
      <c r="A215" s="56" t="s">
        <v>84</v>
      </c>
      <c r="B215" s="55"/>
      <c r="C215" s="55">
        <v>1</v>
      </c>
      <c r="D215" s="55">
        <v>2</v>
      </c>
    </row>
    <row r="216" spans="1:4" x14ac:dyDescent="0.2">
      <c r="A216" s="56" t="s">
        <v>82</v>
      </c>
      <c r="B216" s="55"/>
      <c r="C216" s="55">
        <v>2</v>
      </c>
      <c r="D216" s="55">
        <v>4</v>
      </c>
    </row>
    <row r="217" spans="1:4" x14ac:dyDescent="0.2">
      <c r="A217" s="54">
        <v>43842</v>
      </c>
      <c r="B217" s="55"/>
      <c r="C217" s="55">
        <v>26</v>
      </c>
      <c r="D217" s="55">
        <v>52</v>
      </c>
    </row>
    <row r="218" spans="1:4" x14ac:dyDescent="0.2">
      <c r="A218" s="56" t="s">
        <v>80</v>
      </c>
      <c r="B218" s="55"/>
      <c r="C218" s="55">
        <v>3</v>
      </c>
      <c r="D218" s="55">
        <v>6</v>
      </c>
    </row>
    <row r="219" spans="1:4" x14ac:dyDescent="0.2">
      <c r="A219" s="56" t="s">
        <v>83</v>
      </c>
      <c r="B219" s="55"/>
      <c r="C219" s="55">
        <v>5</v>
      </c>
      <c r="D219" s="55">
        <v>10</v>
      </c>
    </row>
    <row r="220" spans="1:4" x14ac:dyDescent="0.2">
      <c r="A220" s="56" t="s">
        <v>81</v>
      </c>
      <c r="B220" s="55"/>
      <c r="C220" s="55">
        <v>0</v>
      </c>
      <c r="D220" s="55">
        <v>0</v>
      </c>
    </row>
    <row r="221" spans="1:4" x14ac:dyDescent="0.2">
      <c r="A221" s="56" t="s">
        <v>79</v>
      </c>
      <c r="B221" s="55"/>
      <c r="C221" s="55">
        <v>12</v>
      </c>
      <c r="D221" s="55">
        <v>24</v>
      </c>
    </row>
    <row r="222" spans="1:4" x14ac:dyDescent="0.2">
      <c r="A222" s="56" t="s">
        <v>82</v>
      </c>
      <c r="B222" s="55"/>
      <c r="C222" s="55">
        <v>2</v>
      </c>
      <c r="D222" s="55">
        <v>4</v>
      </c>
    </row>
    <row r="223" spans="1:4" x14ac:dyDescent="0.2">
      <c r="A223" s="56" t="s">
        <v>1046</v>
      </c>
      <c r="B223" s="55"/>
      <c r="C223" s="55">
        <v>3</v>
      </c>
      <c r="D223" s="55">
        <v>6</v>
      </c>
    </row>
    <row r="224" spans="1:4" x14ac:dyDescent="0.2">
      <c r="A224" s="56" t="s">
        <v>1175</v>
      </c>
      <c r="B224" s="55"/>
      <c r="C224" s="55">
        <v>1</v>
      </c>
      <c r="D224" s="55">
        <v>2</v>
      </c>
    </row>
    <row r="225" spans="1:4" x14ac:dyDescent="0.2">
      <c r="A225" s="54">
        <v>43845</v>
      </c>
      <c r="B225" s="55">
        <v>12</v>
      </c>
      <c r="C225" s="55">
        <v>22</v>
      </c>
      <c r="D225" s="55">
        <v>56</v>
      </c>
    </row>
    <row r="226" spans="1:4" x14ac:dyDescent="0.2">
      <c r="A226" s="56" t="s">
        <v>1044</v>
      </c>
      <c r="B226" s="55"/>
      <c r="C226" s="55">
        <v>1</v>
      </c>
      <c r="D226" s="55">
        <v>2</v>
      </c>
    </row>
    <row r="227" spans="1:4" x14ac:dyDescent="0.2">
      <c r="A227" s="56" t="s">
        <v>1045</v>
      </c>
      <c r="B227" s="55"/>
      <c r="C227" s="55">
        <v>1</v>
      </c>
      <c r="D227" s="55">
        <v>2</v>
      </c>
    </row>
    <row r="228" spans="1:4" x14ac:dyDescent="0.2">
      <c r="A228" s="56" t="s">
        <v>80</v>
      </c>
      <c r="B228" s="55"/>
      <c r="C228" s="55">
        <v>3</v>
      </c>
      <c r="D228" s="55">
        <v>6</v>
      </c>
    </row>
    <row r="229" spans="1:4" x14ac:dyDescent="0.2">
      <c r="A229" s="56" t="s">
        <v>593</v>
      </c>
      <c r="B229" s="55">
        <v>12</v>
      </c>
      <c r="C229" s="55"/>
      <c r="D229" s="55">
        <v>12</v>
      </c>
    </row>
    <row r="230" spans="1:4" x14ac:dyDescent="0.2">
      <c r="A230" s="56" t="s">
        <v>83</v>
      </c>
      <c r="B230" s="55"/>
      <c r="C230" s="55">
        <v>0</v>
      </c>
      <c r="D230" s="55">
        <v>0</v>
      </c>
    </row>
    <row r="231" spans="1:4" x14ac:dyDescent="0.2">
      <c r="A231" s="56" t="s">
        <v>81</v>
      </c>
      <c r="B231" s="55"/>
      <c r="C231" s="55">
        <v>1</v>
      </c>
      <c r="D231" s="55">
        <v>2</v>
      </c>
    </row>
    <row r="232" spans="1:4" x14ac:dyDescent="0.2">
      <c r="A232" s="56" t="s">
        <v>79</v>
      </c>
      <c r="B232" s="55"/>
      <c r="C232" s="55">
        <v>10</v>
      </c>
      <c r="D232" s="55">
        <v>20</v>
      </c>
    </row>
    <row r="233" spans="1:4" x14ac:dyDescent="0.2">
      <c r="A233" s="56" t="s">
        <v>82</v>
      </c>
      <c r="B233" s="55"/>
      <c r="C233" s="55">
        <v>6</v>
      </c>
      <c r="D233" s="55">
        <v>12</v>
      </c>
    </row>
    <row r="234" spans="1:4" x14ac:dyDescent="0.2">
      <c r="A234" s="54">
        <v>43849</v>
      </c>
      <c r="B234" s="55">
        <v>12</v>
      </c>
      <c r="C234" s="55">
        <v>5</v>
      </c>
      <c r="D234" s="55">
        <v>22</v>
      </c>
    </row>
    <row r="235" spans="1:4" x14ac:dyDescent="0.2">
      <c r="A235" s="56" t="s">
        <v>80</v>
      </c>
      <c r="B235" s="55"/>
      <c r="C235" s="55">
        <v>3</v>
      </c>
      <c r="D235" s="55">
        <v>6</v>
      </c>
    </row>
    <row r="236" spans="1:4" x14ac:dyDescent="0.2">
      <c r="A236" s="56" t="s">
        <v>593</v>
      </c>
      <c r="B236" s="55">
        <v>12</v>
      </c>
      <c r="C236" s="55"/>
      <c r="D236" s="55">
        <v>12</v>
      </c>
    </row>
    <row r="237" spans="1:4" x14ac:dyDescent="0.2">
      <c r="A237" s="56" t="s">
        <v>79</v>
      </c>
      <c r="B237" s="55"/>
      <c r="C237" s="55">
        <v>2</v>
      </c>
      <c r="D237" s="55">
        <v>4</v>
      </c>
    </row>
    <row r="238" spans="1:4" x14ac:dyDescent="0.2">
      <c r="A238" s="54">
        <v>43870</v>
      </c>
      <c r="B238" s="55"/>
      <c r="C238" s="55">
        <v>1</v>
      </c>
      <c r="D238" s="55">
        <v>2</v>
      </c>
    </row>
    <row r="239" spans="1:4" x14ac:dyDescent="0.2">
      <c r="A239" s="56" t="s">
        <v>80</v>
      </c>
      <c r="B239" s="55"/>
      <c r="C239" s="55">
        <v>1</v>
      </c>
      <c r="D239" s="55">
        <v>2</v>
      </c>
    </row>
  </sheetData>
  <phoneticPr fontId="1" type="noConversion"/>
  <conditionalFormatting sqref="I1:N2">
    <cfRule type="expression" dxfId="96" priority="1">
      <formula>ABS(I1-TODAY())&lt;3</formula>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C8CC4-CBA3-45F8-8E9E-D0203A15D05C}">
  <sheetPr codeName="Sheet4">
    <pageSetUpPr autoPageBreaks="0"/>
  </sheetPr>
  <dimension ref="A1:AA169"/>
  <sheetViews>
    <sheetView showGridLines="0" tabSelected="1" zoomScaleNormal="100" workbookViewId="0">
      <pane xSplit="2" ySplit="1" topLeftCell="C2" activePane="bottomRight" state="frozen"/>
      <selection pane="topRight" activeCell="D1" sqref="D1"/>
      <selection pane="bottomLeft" activeCell="A2" sqref="A2"/>
      <selection pane="bottomRight" activeCell="H193" sqref="H193"/>
    </sheetView>
  </sheetViews>
  <sheetFormatPr defaultColWidth="12.625" defaultRowHeight="14.25" x14ac:dyDescent="0.2"/>
  <cols>
    <col min="1" max="1" width="9.25" bestFit="1" customWidth="1"/>
    <col min="2" max="2" width="7.125" bestFit="1" customWidth="1"/>
    <col min="3" max="3" width="17.125" bestFit="1" customWidth="1"/>
    <col min="4" max="12" width="7.25" bestFit="1" customWidth="1"/>
    <col min="13" max="13" width="8.75" bestFit="1" customWidth="1"/>
    <col min="14" max="19" width="7.25" bestFit="1" customWidth="1"/>
    <col min="20" max="20" width="7.75" bestFit="1" customWidth="1"/>
    <col min="21" max="22" width="7.25" bestFit="1" customWidth="1"/>
    <col min="23" max="23" width="7" bestFit="1" customWidth="1"/>
    <col min="24" max="24" width="7" customWidth="1"/>
    <col min="25" max="26" width="7.25" bestFit="1" customWidth="1"/>
  </cols>
  <sheetData>
    <row r="1" spans="1:27" ht="42.75" x14ac:dyDescent="0.2">
      <c r="A1" s="21" t="s">
        <v>23</v>
      </c>
      <c r="B1" s="22" t="s">
        <v>111</v>
      </c>
      <c r="C1" s="21" t="s">
        <v>106</v>
      </c>
      <c r="D1" s="14" t="s">
        <v>110</v>
      </c>
      <c r="E1" s="14" t="s">
        <v>270</v>
      </c>
      <c r="F1" s="14" t="s">
        <v>148</v>
      </c>
      <c r="G1" s="14" t="s">
        <v>955</v>
      </c>
      <c r="H1" s="14" t="s">
        <v>956</v>
      </c>
      <c r="I1" s="14" t="s">
        <v>957</v>
      </c>
      <c r="J1" s="14" t="s">
        <v>158</v>
      </c>
      <c r="K1" s="14" t="s">
        <v>159</v>
      </c>
      <c r="L1" s="14" t="s">
        <v>160</v>
      </c>
      <c r="M1" s="14" t="s">
        <v>974</v>
      </c>
      <c r="N1" s="14" t="s">
        <v>958</v>
      </c>
      <c r="O1" s="14" t="s">
        <v>975</v>
      </c>
      <c r="P1" s="14" t="s">
        <v>161</v>
      </c>
      <c r="Q1" s="14" t="s">
        <v>170</v>
      </c>
      <c r="R1" s="14" t="s">
        <v>162</v>
      </c>
      <c r="S1" s="14" t="s">
        <v>163</v>
      </c>
      <c r="T1" s="14" t="s">
        <v>164</v>
      </c>
      <c r="U1" s="14" t="s">
        <v>165</v>
      </c>
      <c r="V1" s="14" t="s">
        <v>166</v>
      </c>
      <c r="W1" s="14" t="s">
        <v>167</v>
      </c>
      <c r="X1" s="14" t="s">
        <v>722</v>
      </c>
      <c r="Y1" s="14" t="s">
        <v>168</v>
      </c>
      <c r="Z1" s="14" t="s">
        <v>169</v>
      </c>
      <c r="AA1" s="15" t="s">
        <v>149</v>
      </c>
    </row>
    <row r="2" spans="1:27" hidden="1" x14ac:dyDescent="0.2">
      <c r="A2" s="16">
        <v>43744</v>
      </c>
      <c r="B2" s="10" t="s">
        <v>147</v>
      </c>
      <c r="C2" s="36"/>
      <c r="D2" s="12" t="s">
        <v>145</v>
      </c>
      <c r="E2" s="12" t="s">
        <v>145</v>
      </c>
      <c r="F2" s="12" t="s">
        <v>87</v>
      </c>
      <c r="G2" s="12" t="s">
        <v>87</v>
      </c>
      <c r="H2" s="12" t="s">
        <v>109</v>
      </c>
      <c r="I2" s="12" t="s">
        <v>109</v>
      </c>
      <c r="J2" s="12" t="s">
        <v>87</v>
      </c>
      <c r="K2" s="12" t="s">
        <v>87</v>
      </c>
      <c r="L2" s="12" t="s">
        <v>87</v>
      </c>
      <c r="M2" s="12" t="s">
        <v>87</v>
      </c>
      <c r="N2" s="12" t="s">
        <v>87</v>
      </c>
      <c r="O2" s="12" t="s">
        <v>87</v>
      </c>
      <c r="P2" s="12" t="s">
        <v>87</v>
      </c>
      <c r="Q2" s="12" t="s">
        <v>87</v>
      </c>
      <c r="R2" s="12" t="s">
        <v>109</v>
      </c>
      <c r="S2" s="12" t="s">
        <v>109</v>
      </c>
      <c r="T2" s="12" t="s">
        <v>87</v>
      </c>
      <c r="U2" s="12" t="s">
        <v>87</v>
      </c>
      <c r="V2" s="12" t="s">
        <v>87</v>
      </c>
      <c r="W2" s="12" t="s">
        <v>87</v>
      </c>
      <c r="X2" s="12" t="s">
        <v>742</v>
      </c>
      <c r="Y2" s="12" t="s">
        <v>87</v>
      </c>
      <c r="Z2" s="12" t="s">
        <v>87</v>
      </c>
      <c r="AA2" s="45" t="s">
        <v>87</v>
      </c>
    </row>
    <row r="3" spans="1:27" hidden="1" x14ac:dyDescent="0.2">
      <c r="A3" s="16">
        <v>43744</v>
      </c>
      <c r="B3" s="10" t="s">
        <v>46</v>
      </c>
      <c r="C3" s="36"/>
      <c r="D3" s="12" t="s">
        <v>87</v>
      </c>
      <c r="E3" s="12" t="s">
        <v>87</v>
      </c>
      <c r="F3" s="12" t="s">
        <v>87</v>
      </c>
      <c r="G3" s="12" t="s">
        <v>87</v>
      </c>
      <c r="H3" s="12" t="s">
        <v>109</v>
      </c>
      <c r="I3" s="12" t="s">
        <v>109</v>
      </c>
      <c r="J3" s="12" t="s">
        <v>87</v>
      </c>
      <c r="K3" s="12" t="s">
        <v>87</v>
      </c>
      <c r="L3" s="12" t="s">
        <v>87</v>
      </c>
      <c r="M3" s="12" t="s">
        <v>87</v>
      </c>
      <c r="N3" s="12" t="s">
        <v>87</v>
      </c>
      <c r="O3" s="12" t="s">
        <v>87</v>
      </c>
      <c r="P3" s="12" t="s">
        <v>87</v>
      </c>
      <c r="Q3" s="12" t="s">
        <v>87</v>
      </c>
      <c r="R3" s="12" t="s">
        <v>109</v>
      </c>
      <c r="S3" s="12" t="s">
        <v>109</v>
      </c>
      <c r="T3" s="12" t="s">
        <v>87</v>
      </c>
      <c r="U3" s="12" t="s">
        <v>87</v>
      </c>
      <c r="V3" s="12" t="s">
        <v>87</v>
      </c>
      <c r="W3" s="12" t="s">
        <v>87</v>
      </c>
      <c r="X3" s="12" t="s">
        <v>742</v>
      </c>
      <c r="Y3" s="12" t="s">
        <v>109</v>
      </c>
      <c r="Z3" s="12" t="s">
        <v>109</v>
      </c>
      <c r="AA3" s="45" t="s">
        <v>87</v>
      </c>
    </row>
    <row r="4" spans="1:27" hidden="1" x14ac:dyDescent="0.2">
      <c r="A4" s="16">
        <v>43744</v>
      </c>
      <c r="B4" s="10" t="s">
        <v>144</v>
      </c>
      <c r="C4" s="36"/>
      <c r="D4" s="12" t="s">
        <v>145</v>
      </c>
      <c r="E4" s="12" t="s">
        <v>87</v>
      </c>
      <c r="F4" s="12" t="s">
        <v>87</v>
      </c>
      <c r="G4" s="12" t="s">
        <v>87</v>
      </c>
      <c r="H4" s="12" t="s">
        <v>109</v>
      </c>
      <c r="I4" s="12" t="s">
        <v>109</v>
      </c>
      <c r="J4" s="12" t="s">
        <v>87</v>
      </c>
      <c r="K4" s="12" t="s">
        <v>87</v>
      </c>
      <c r="L4" s="12" t="s">
        <v>87</v>
      </c>
      <c r="M4" s="12" t="s">
        <v>87</v>
      </c>
      <c r="N4" s="12" t="s">
        <v>87</v>
      </c>
      <c r="O4" s="12" t="s">
        <v>87</v>
      </c>
      <c r="P4" s="12" t="s">
        <v>87</v>
      </c>
      <c r="Q4" s="12" t="s">
        <v>87</v>
      </c>
      <c r="R4" s="12" t="s">
        <v>109</v>
      </c>
      <c r="S4" s="12" t="s">
        <v>109</v>
      </c>
      <c r="T4" s="12" t="s">
        <v>87</v>
      </c>
      <c r="U4" s="12" t="s">
        <v>87</v>
      </c>
      <c r="V4" s="12" t="s">
        <v>87</v>
      </c>
      <c r="W4" s="12" t="s">
        <v>87</v>
      </c>
      <c r="X4" s="12" t="s">
        <v>742</v>
      </c>
      <c r="Y4" s="12" t="s">
        <v>109</v>
      </c>
      <c r="Z4" s="12" t="s">
        <v>109</v>
      </c>
      <c r="AA4" s="45" t="s">
        <v>87</v>
      </c>
    </row>
    <row r="5" spans="1:27" hidden="1" x14ac:dyDescent="0.2">
      <c r="A5" s="16">
        <v>43744</v>
      </c>
      <c r="B5" s="10" t="s">
        <v>51</v>
      </c>
      <c r="C5" s="36"/>
      <c r="D5" s="12" t="s">
        <v>87</v>
      </c>
      <c r="E5" s="12" t="s">
        <v>87</v>
      </c>
      <c r="F5" s="12" t="s">
        <v>87</v>
      </c>
      <c r="G5" s="12" t="s">
        <v>87</v>
      </c>
      <c r="H5" s="12" t="s">
        <v>109</v>
      </c>
      <c r="I5" s="12" t="s">
        <v>109</v>
      </c>
      <c r="J5" s="12" t="s">
        <v>87</v>
      </c>
      <c r="K5" s="12" t="s">
        <v>87</v>
      </c>
      <c r="L5" s="12" t="s">
        <v>87</v>
      </c>
      <c r="M5" s="12" t="s">
        <v>87</v>
      </c>
      <c r="N5" s="12" t="s">
        <v>87</v>
      </c>
      <c r="O5" s="12" t="s">
        <v>87</v>
      </c>
      <c r="P5" s="12" t="s">
        <v>87</v>
      </c>
      <c r="Q5" s="12" t="s">
        <v>87</v>
      </c>
      <c r="R5" s="12" t="s">
        <v>109</v>
      </c>
      <c r="S5" s="12" t="s">
        <v>109</v>
      </c>
      <c r="T5" s="12" t="s">
        <v>87</v>
      </c>
      <c r="U5" s="12" t="s">
        <v>87</v>
      </c>
      <c r="V5" s="12" t="s">
        <v>87</v>
      </c>
      <c r="W5" s="12" t="s">
        <v>87</v>
      </c>
      <c r="X5" s="12" t="s">
        <v>742</v>
      </c>
      <c r="Y5" s="12" t="s">
        <v>87</v>
      </c>
      <c r="Z5" s="12" t="s">
        <v>87</v>
      </c>
      <c r="AA5" s="45" t="s">
        <v>87</v>
      </c>
    </row>
    <row r="6" spans="1:27" hidden="1" x14ac:dyDescent="0.2">
      <c r="A6" s="16">
        <v>43747</v>
      </c>
      <c r="B6" s="10" t="s">
        <v>50</v>
      </c>
      <c r="C6" s="36"/>
      <c r="D6" s="12" t="s">
        <v>87</v>
      </c>
      <c r="E6" s="12" t="s">
        <v>87</v>
      </c>
      <c r="F6" s="12" t="s">
        <v>87</v>
      </c>
      <c r="G6" s="12" t="s">
        <v>87</v>
      </c>
      <c r="H6" s="12" t="s">
        <v>109</v>
      </c>
      <c r="I6" s="12" t="s">
        <v>109</v>
      </c>
      <c r="J6" s="12" t="s">
        <v>87</v>
      </c>
      <c r="K6" s="12" t="s">
        <v>87</v>
      </c>
      <c r="L6" s="12" t="s">
        <v>87</v>
      </c>
      <c r="M6" s="12" t="s">
        <v>87</v>
      </c>
      <c r="N6" s="12" t="s">
        <v>87</v>
      </c>
      <c r="O6" s="12" t="s">
        <v>87</v>
      </c>
      <c r="P6" s="12" t="s">
        <v>87</v>
      </c>
      <c r="Q6" s="12" t="s">
        <v>87</v>
      </c>
      <c r="R6" s="12" t="s">
        <v>109</v>
      </c>
      <c r="S6" s="12" t="s">
        <v>109</v>
      </c>
      <c r="T6" s="12" t="s">
        <v>87</v>
      </c>
      <c r="U6" s="12" t="s">
        <v>87</v>
      </c>
      <c r="V6" s="12" t="s">
        <v>87</v>
      </c>
      <c r="W6" s="12" t="s">
        <v>87</v>
      </c>
      <c r="X6" s="12" t="s">
        <v>742</v>
      </c>
      <c r="Y6" s="12" t="s">
        <v>87</v>
      </c>
      <c r="Z6" s="12" t="s">
        <v>87</v>
      </c>
      <c r="AA6" s="45" t="s">
        <v>87</v>
      </c>
    </row>
    <row r="7" spans="1:27" hidden="1" x14ac:dyDescent="0.2">
      <c r="A7" s="16">
        <v>43747</v>
      </c>
      <c r="B7" s="10" t="s">
        <v>53</v>
      </c>
      <c r="C7" s="36"/>
      <c r="D7" s="12" t="s">
        <v>87</v>
      </c>
      <c r="E7" s="12" t="s">
        <v>87</v>
      </c>
      <c r="F7" s="12" t="s">
        <v>87</v>
      </c>
      <c r="G7" s="12" t="s">
        <v>87</v>
      </c>
      <c r="H7" s="12" t="s">
        <v>109</v>
      </c>
      <c r="I7" s="12" t="s">
        <v>109</v>
      </c>
      <c r="J7" s="12" t="s">
        <v>87</v>
      </c>
      <c r="K7" s="12" t="s">
        <v>87</v>
      </c>
      <c r="L7" s="12" t="s">
        <v>87</v>
      </c>
      <c r="M7" s="12" t="s">
        <v>87</v>
      </c>
      <c r="N7" s="12" t="s">
        <v>87</v>
      </c>
      <c r="O7" s="12" t="s">
        <v>87</v>
      </c>
      <c r="P7" s="12" t="s">
        <v>87</v>
      </c>
      <c r="Q7" s="12" t="s">
        <v>87</v>
      </c>
      <c r="R7" s="12" t="s">
        <v>109</v>
      </c>
      <c r="S7" s="12" t="s">
        <v>109</v>
      </c>
      <c r="T7" s="12" t="s">
        <v>87</v>
      </c>
      <c r="U7" s="12" t="s">
        <v>87</v>
      </c>
      <c r="V7" s="12" t="s">
        <v>87</v>
      </c>
      <c r="W7" s="12" t="s">
        <v>87</v>
      </c>
      <c r="X7" s="12" t="s">
        <v>742</v>
      </c>
      <c r="Y7" s="12" t="s">
        <v>87</v>
      </c>
      <c r="Z7" s="12" t="s">
        <v>87</v>
      </c>
      <c r="AA7" s="45" t="s">
        <v>87</v>
      </c>
    </row>
    <row r="8" spans="1:27" hidden="1" x14ac:dyDescent="0.2">
      <c r="A8" s="16">
        <v>43747</v>
      </c>
      <c r="B8" s="10" t="s">
        <v>54</v>
      </c>
      <c r="C8" s="36"/>
      <c r="D8" s="12" t="s">
        <v>87</v>
      </c>
      <c r="E8" s="12" t="s">
        <v>87</v>
      </c>
      <c r="F8" s="12" t="s">
        <v>87</v>
      </c>
      <c r="G8" s="12" t="s">
        <v>87</v>
      </c>
      <c r="H8" s="12" t="s">
        <v>109</v>
      </c>
      <c r="I8" s="12" t="s">
        <v>109</v>
      </c>
      <c r="J8" s="12" t="s">
        <v>87</v>
      </c>
      <c r="K8" s="12" t="s">
        <v>87</v>
      </c>
      <c r="L8" s="12" t="s">
        <v>87</v>
      </c>
      <c r="M8" s="12" t="s">
        <v>87</v>
      </c>
      <c r="N8" s="12" t="s">
        <v>87</v>
      </c>
      <c r="O8" s="12" t="s">
        <v>87</v>
      </c>
      <c r="P8" s="12" t="s">
        <v>87</v>
      </c>
      <c r="Q8" s="12" t="s">
        <v>87</v>
      </c>
      <c r="R8" s="12" t="s">
        <v>109</v>
      </c>
      <c r="S8" s="12" t="s">
        <v>109</v>
      </c>
      <c r="T8" s="12" t="s">
        <v>87</v>
      </c>
      <c r="U8" s="12" t="s">
        <v>87</v>
      </c>
      <c r="V8" s="12" t="s">
        <v>87</v>
      </c>
      <c r="W8" s="12" t="s">
        <v>87</v>
      </c>
      <c r="X8" s="12" t="s">
        <v>742</v>
      </c>
      <c r="Y8" s="12" t="s">
        <v>87</v>
      </c>
      <c r="Z8" s="12" t="s">
        <v>87</v>
      </c>
      <c r="AA8" s="45" t="s">
        <v>87</v>
      </c>
    </row>
    <row r="9" spans="1:27" hidden="1" x14ac:dyDescent="0.2">
      <c r="A9" s="16">
        <v>43747</v>
      </c>
      <c r="B9" s="10" t="s">
        <v>46</v>
      </c>
      <c r="C9" s="36"/>
      <c r="D9" s="12" t="s">
        <v>87</v>
      </c>
      <c r="E9" s="12" t="s">
        <v>87</v>
      </c>
      <c r="F9" s="12" t="s">
        <v>87</v>
      </c>
      <c r="G9" s="12" t="s">
        <v>87</v>
      </c>
      <c r="H9" s="12" t="s">
        <v>87</v>
      </c>
      <c r="I9" s="12" t="s">
        <v>87</v>
      </c>
      <c r="J9" s="12" t="s">
        <v>87</v>
      </c>
      <c r="K9" s="12" t="s">
        <v>87</v>
      </c>
      <c r="L9" s="12" t="s">
        <v>87</v>
      </c>
      <c r="M9" s="12" t="s">
        <v>87</v>
      </c>
      <c r="N9" s="12" t="s">
        <v>87</v>
      </c>
      <c r="O9" s="12" t="s">
        <v>87</v>
      </c>
      <c r="P9" s="12" t="s">
        <v>87</v>
      </c>
      <c r="Q9" s="12" t="s">
        <v>87</v>
      </c>
      <c r="R9" s="12" t="s">
        <v>87</v>
      </c>
      <c r="S9" s="12" t="s">
        <v>87</v>
      </c>
      <c r="T9" s="12" t="s">
        <v>87</v>
      </c>
      <c r="U9" s="12" t="s">
        <v>87</v>
      </c>
      <c r="V9" s="12" t="s">
        <v>87</v>
      </c>
      <c r="W9" s="12" t="s">
        <v>87</v>
      </c>
      <c r="X9" s="12" t="s">
        <v>742</v>
      </c>
      <c r="Y9" s="12" t="s">
        <v>109</v>
      </c>
      <c r="Z9" s="12" t="s">
        <v>109</v>
      </c>
      <c r="AA9" s="45" t="s">
        <v>87</v>
      </c>
    </row>
    <row r="10" spans="1:27" hidden="1" x14ac:dyDescent="0.2">
      <c r="A10" s="16">
        <v>43747</v>
      </c>
      <c r="B10" s="10" t="s">
        <v>58</v>
      </c>
      <c r="C10" s="36"/>
      <c r="D10" s="12" t="s">
        <v>87</v>
      </c>
      <c r="E10" s="12" t="s">
        <v>87</v>
      </c>
      <c r="F10" s="12" t="s">
        <v>87</v>
      </c>
      <c r="G10" s="12" t="s">
        <v>87</v>
      </c>
      <c r="H10" s="12" t="s">
        <v>87</v>
      </c>
      <c r="I10" s="12" t="s">
        <v>87</v>
      </c>
      <c r="J10" s="12" t="s">
        <v>87</v>
      </c>
      <c r="K10" s="12" t="s">
        <v>87</v>
      </c>
      <c r="L10" s="12" t="s">
        <v>87</v>
      </c>
      <c r="M10" s="12" t="s">
        <v>87</v>
      </c>
      <c r="N10" s="12" t="s">
        <v>87</v>
      </c>
      <c r="O10" s="12" t="s">
        <v>87</v>
      </c>
      <c r="P10" s="12" t="s">
        <v>87</v>
      </c>
      <c r="Q10" s="12" t="s">
        <v>87</v>
      </c>
      <c r="R10" s="12" t="s">
        <v>87</v>
      </c>
      <c r="S10" s="12" t="s">
        <v>87</v>
      </c>
      <c r="T10" s="12" t="s">
        <v>87</v>
      </c>
      <c r="U10" s="12" t="s">
        <v>87</v>
      </c>
      <c r="V10" s="12" t="s">
        <v>109</v>
      </c>
      <c r="W10" s="12" t="s">
        <v>87</v>
      </c>
      <c r="X10" s="12" t="s">
        <v>742</v>
      </c>
      <c r="Y10" s="12" t="s">
        <v>109</v>
      </c>
      <c r="Z10" s="12" t="s">
        <v>109</v>
      </c>
      <c r="AA10" s="45" t="s">
        <v>87</v>
      </c>
    </row>
    <row r="11" spans="1:27" hidden="1" x14ac:dyDescent="0.2">
      <c r="A11" s="16">
        <v>43747</v>
      </c>
      <c r="B11" s="10" t="s">
        <v>325</v>
      </c>
      <c r="C11" s="36"/>
      <c r="D11" s="12" t="s">
        <v>87</v>
      </c>
      <c r="E11" s="12" t="s">
        <v>87</v>
      </c>
      <c r="F11" s="12" t="s">
        <v>87</v>
      </c>
      <c r="G11" s="12" t="s">
        <v>87</v>
      </c>
      <c r="H11" s="12" t="s">
        <v>109</v>
      </c>
      <c r="I11" s="12" t="s">
        <v>109</v>
      </c>
      <c r="J11" s="12" t="s">
        <v>87</v>
      </c>
      <c r="K11" s="12" t="s">
        <v>87</v>
      </c>
      <c r="L11" s="12" t="s">
        <v>87</v>
      </c>
      <c r="M11" s="12" t="s">
        <v>87</v>
      </c>
      <c r="N11" s="12" t="s">
        <v>87</v>
      </c>
      <c r="O11" s="12" t="s">
        <v>87</v>
      </c>
      <c r="P11" s="12" t="s">
        <v>87</v>
      </c>
      <c r="Q11" s="12" t="s">
        <v>87</v>
      </c>
      <c r="R11" s="12" t="s">
        <v>109</v>
      </c>
      <c r="S11" s="12" t="s">
        <v>109</v>
      </c>
      <c r="T11" s="12" t="s">
        <v>87</v>
      </c>
      <c r="U11" s="12" t="s">
        <v>87</v>
      </c>
      <c r="V11" s="12" t="s">
        <v>87</v>
      </c>
      <c r="W11" s="12" t="s">
        <v>87</v>
      </c>
      <c r="X11" s="12" t="s">
        <v>742</v>
      </c>
      <c r="Y11" s="12" t="s">
        <v>109</v>
      </c>
      <c r="Z11" s="12" t="s">
        <v>109</v>
      </c>
      <c r="AA11" s="45" t="s">
        <v>87</v>
      </c>
    </row>
    <row r="12" spans="1:27" hidden="1" x14ac:dyDescent="0.2">
      <c r="A12" s="16">
        <v>43751</v>
      </c>
      <c r="B12" s="10" t="s">
        <v>182</v>
      </c>
      <c r="C12" s="36"/>
      <c r="D12" s="12" t="s">
        <v>87</v>
      </c>
      <c r="E12" s="12" t="s">
        <v>87</v>
      </c>
      <c r="F12" s="12" t="s">
        <v>87</v>
      </c>
      <c r="G12" s="12" t="s">
        <v>87</v>
      </c>
      <c r="H12" s="12" t="s">
        <v>87</v>
      </c>
      <c r="I12" s="12" t="s">
        <v>87</v>
      </c>
      <c r="J12" s="12" t="s">
        <v>87</v>
      </c>
      <c r="K12" s="12" t="s">
        <v>87</v>
      </c>
      <c r="L12" s="12" t="s">
        <v>87</v>
      </c>
      <c r="M12" s="12" t="s">
        <v>87</v>
      </c>
      <c r="N12" s="12" t="s">
        <v>87</v>
      </c>
      <c r="O12" s="12" t="s">
        <v>87</v>
      </c>
      <c r="P12" s="12" t="s">
        <v>87</v>
      </c>
      <c r="Q12" s="12" t="s">
        <v>87</v>
      </c>
      <c r="R12" s="12" t="s">
        <v>87</v>
      </c>
      <c r="S12" s="12" t="s">
        <v>87</v>
      </c>
      <c r="T12" s="12" t="s">
        <v>87</v>
      </c>
      <c r="U12" s="12" t="s">
        <v>87</v>
      </c>
      <c r="V12" s="12" t="s">
        <v>87</v>
      </c>
      <c r="W12" s="12" t="s">
        <v>87</v>
      </c>
      <c r="X12" s="12" t="s">
        <v>742</v>
      </c>
      <c r="Y12" s="12" t="s">
        <v>87</v>
      </c>
      <c r="Z12" s="12" t="s">
        <v>87</v>
      </c>
      <c r="AA12" s="45" t="s">
        <v>87</v>
      </c>
    </row>
    <row r="13" spans="1:27" hidden="1" x14ac:dyDescent="0.2">
      <c r="A13" s="16">
        <v>43751</v>
      </c>
      <c r="B13" s="10" t="s">
        <v>29</v>
      </c>
      <c r="C13" s="36"/>
      <c r="D13" s="12" t="s">
        <v>87</v>
      </c>
      <c r="E13" s="12" t="s">
        <v>87</v>
      </c>
      <c r="F13" s="12" t="s">
        <v>87</v>
      </c>
      <c r="G13" s="12" t="s">
        <v>87</v>
      </c>
      <c r="H13" s="12" t="s">
        <v>109</v>
      </c>
      <c r="I13" s="12" t="s">
        <v>109</v>
      </c>
      <c r="J13" s="12" t="s">
        <v>87</v>
      </c>
      <c r="K13" s="12" t="s">
        <v>87</v>
      </c>
      <c r="L13" s="12" t="s">
        <v>87</v>
      </c>
      <c r="M13" s="12" t="s">
        <v>87</v>
      </c>
      <c r="N13" s="12" t="s">
        <v>87</v>
      </c>
      <c r="O13" s="12" t="s">
        <v>87</v>
      </c>
      <c r="P13" s="12" t="s">
        <v>87</v>
      </c>
      <c r="Q13" s="12" t="s">
        <v>87</v>
      </c>
      <c r="R13" s="12" t="s">
        <v>109</v>
      </c>
      <c r="S13" s="12" t="s">
        <v>109</v>
      </c>
      <c r="T13" s="12" t="s">
        <v>87</v>
      </c>
      <c r="U13" s="12" t="s">
        <v>87</v>
      </c>
      <c r="V13" s="12" t="s">
        <v>87</v>
      </c>
      <c r="W13" s="12" t="s">
        <v>87</v>
      </c>
      <c r="X13" s="12" t="s">
        <v>742</v>
      </c>
      <c r="Y13" s="12" t="s">
        <v>86</v>
      </c>
      <c r="Z13" s="12" t="s">
        <v>432</v>
      </c>
      <c r="AA13" s="46" t="s">
        <v>563</v>
      </c>
    </row>
    <row r="14" spans="1:27" hidden="1" x14ac:dyDescent="0.2">
      <c r="A14" s="16">
        <v>43751</v>
      </c>
      <c r="B14" s="10" t="s">
        <v>53</v>
      </c>
      <c r="C14" s="36"/>
      <c r="D14" s="12" t="s">
        <v>87</v>
      </c>
      <c r="E14" s="12" t="s">
        <v>87</v>
      </c>
      <c r="F14" s="12" t="s">
        <v>87</v>
      </c>
      <c r="G14" s="12" t="s">
        <v>87</v>
      </c>
      <c r="H14" s="12" t="s">
        <v>109</v>
      </c>
      <c r="I14" s="12" t="s">
        <v>109</v>
      </c>
      <c r="J14" s="12" t="s">
        <v>87</v>
      </c>
      <c r="K14" s="12" t="s">
        <v>87</v>
      </c>
      <c r="L14" s="12" t="s">
        <v>87</v>
      </c>
      <c r="M14" s="12" t="s">
        <v>87</v>
      </c>
      <c r="N14" s="12" t="s">
        <v>87</v>
      </c>
      <c r="O14" s="12" t="s">
        <v>87</v>
      </c>
      <c r="P14" s="12" t="s">
        <v>87</v>
      </c>
      <c r="Q14" s="12" t="s">
        <v>87</v>
      </c>
      <c r="R14" s="12" t="s">
        <v>109</v>
      </c>
      <c r="S14" s="12" t="s">
        <v>109</v>
      </c>
      <c r="T14" s="12" t="s">
        <v>87</v>
      </c>
      <c r="U14" s="12" t="s">
        <v>87</v>
      </c>
      <c r="V14" s="12" t="s">
        <v>87</v>
      </c>
      <c r="W14" s="12" t="s">
        <v>87</v>
      </c>
      <c r="X14" s="12" t="s">
        <v>742</v>
      </c>
      <c r="Y14" s="12" t="s">
        <v>87</v>
      </c>
      <c r="Z14" s="12" t="s">
        <v>87</v>
      </c>
      <c r="AA14" s="45" t="s">
        <v>87</v>
      </c>
    </row>
    <row r="15" spans="1:27" hidden="1" x14ac:dyDescent="0.2">
      <c r="A15" s="17">
        <v>43751</v>
      </c>
      <c r="B15" s="11" t="s">
        <v>46</v>
      </c>
      <c r="C15" s="37"/>
      <c r="D15" s="13" t="s">
        <v>87</v>
      </c>
      <c r="E15" s="13" t="s">
        <v>87</v>
      </c>
      <c r="F15" s="13" t="s">
        <v>87</v>
      </c>
      <c r="G15" s="12" t="s">
        <v>87</v>
      </c>
      <c r="H15" s="13" t="s">
        <v>87</v>
      </c>
      <c r="I15" s="13" t="s">
        <v>87</v>
      </c>
      <c r="J15" s="13" t="s">
        <v>87</v>
      </c>
      <c r="K15" s="12" t="s">
        <v>87</v>
      </c>
      <c r="L15" s="12" t="s">
        <v>87</v>
      </c>
      <c r="M15" s="12" t="s">
        <v>87</v>
      </c>
      <c r="N15" s="12" t="s">
        <v>87</v>
      </c>
      <c r="O15" s="12" t="s">
        <v>87</v>
      </c>
      <c r="P15" s="12" t="s">
        <v>87</v>
      </c>
      <c r="Q15" s="12" t="s">
        <v>87</v>
      </c>
      <c r="R15" s="13" t="s">
        <v>87</v>
      </c>
      <c r="S15" s="13" t="s">
        <v>87</v>
      </c>
      <c r="T15" s="12" t="s">
        <v>87</v>
      </c>
      <c r="U15" s="12" t="s">
        <v>87</v>
      </c>
      <c r="V15" s="12" t="s">
        <v>87</v>
      </c>
      <c r="W15" s="12" t="s">
        <v>87</v>
      </c>
      <c r="X15" s="12" t="s">
        <v>742</v>
      </c>
      <c r="Y15" s="12" t="s">
        <v>109</v>
      </c>
      <c r="Z15" s="12" t="s">
        <v>109</v>
      </c>
      <c r="AA15" s="45" t="s">
        <v>87</v>
      </c>
    </row>
    <row r="16" spans="1:27" hidden="1" x14ac:dyDescent="0.2">
      <c r="A16" s="17">
        <v>43751</v>
      </c>
      <c r="B16" s="11" t="s">
        <v>172</v>
      </c>
      <c r="C16" s="37"/>
      <c r="D16" s="13" t="s">
        <v>87</v>
      </c>
      <c r="E16" s="13" t="s">
        <v>87</v>
      </c>
      <c r="F16" s="13" t="s">
        <v>87</v>
      </c>
      <c r="G16" s="13" t="s">
        <v>87</v>
      </c>
      <c r="H16" s="13" t="s">
        <v>109</v>
      </c>
      <c r="I16" s="13" t="s">
        <v>109</v>
      </c>
      <c r="J16" s="13" t="s">
        <v>87</v>
      </c>
      <c r="K16" s="13" t="s">
        <v>87</v>
      </c>
      <c r="L16" s="13" t="s">
        <v>87</v>
      </c>
      <c r="M16" s="13" t="s">
        <v>87</v>
      </c>
      <c r="N16" s="13" t="s">
        <v>87</v>
      </c>
      <c r="O16" s="13" t="s">
        <v>87</v>
      </c>
      <c r="P16" s="13" t="s">
        <v>87</v>
      </c>
      <c r="Q16" s="13" t="s">
        <v>87</v>
      </c>
      <c r="R16" s="13" t="s">
        <v>109</v>
      </c>
      <c r="S16" s="13" t="s">
        <v>109</v>
      </c>
      <c r="T16" s="13" t="s">
        <v>87</v>
      </c>
      <c r="U16" s="12" t="s">
        <v>87</v>
      </c>
      <c r="V16" s="12" t="s">
        <v>87</v>
      </c>
      <c r="W16" s="12" t="s">
        <v>87</v>
      </c>
      <c r="X16" s="12" t="s">
        <v>742</v>
      </c>
      <c r="Y16" s="12" t="s">
        <v>87</v>
      </c>
      <c r="Z16" s="13" t="s">
        <v>87</v>
      </c>
      <c r="AA16" s="46" t="s">
        <v>87</v>
      </c>
    </row>
    <row r="17" spans="1:27" hidden="1" x14ac:dyDescent="0.2">
      <c r="A17" s="17">
        <v>43754</v>
      </c>
      <c r="B17" s="11" t="s">
        <v>35</v>
      </c>
      <c r="C17" s="37" t="s">
        <v>108</v>
      </c>
      <c r="D17" s="13" t="s">
        <v>87</v>
      </c>
      <c r="E17" s="13" t="s">
        <v>87</v>
      </c>
      <c r="F17" s="13" t="s">
        <v>87</v>
      </c>
      <c r="G17" s="13" t="s">
        <v>87</v>
      </c>
      <c r="H17" s="13" t="s">
        <v>109</v>
      </c>
      <c r="I17" s="13" t="s">
        <v>109</v>
      </c>
      <c r="J17" s="12" t="s">
        <v>87</v>
      </c>
      <c r="K17" s="13" t="s">
        <v>87</v>
      </c>
      <c r="L17" s="12" t="s">
        <v>87</v>
      </c>
      <c r="M17" s="12" t="s">
        <v>87</v>
      </c>
      <c r="N17" s="12" t="s">
        <v>87</v>
      </c>
      <c r="O17" s="12" t="s">
        <v>87</v>
      </c>
      <c r="P17" s="12" t="s">
        <v>87</v>
      </c>
      <c r="Q17" s="12" t="s">
        <v>87</v>
      </c>
      <c r="R17" s="13" t="s">
        <v>109</v>
      </c>
      <c r="S17" s="13" t="s">
        <v>109</v>
      </c>
      <c r="T17" s="12" t="s">
        <v>87</v>
      </c>
      <c r="U17" s="12" t="s">
        <v>87</v>
      </c>
      <c r="V17" s="13" t="s">
        <v>87</v>
      </c>
      <c r="W17" s="13" t="s">
        <v>87</v>
      </c>
      <c r="X17" s="13" t="s">
        <v>742</v>
      </c>
      <c r="Y17" s="13" t="s">
        <v>87</v>
      </c>
      <c r="Z17" s="13" t="s">
        <v>87</v>
      </c>
      <c r="AA17" s="46" t="s">
        <v>87</v>
      </c>
    </row>
    <row r="18" spans="1:27" hidden="1" x14ac:dyDescent="0.2">
      <c r="A18" s="17">
        <v>43754</v>
      </c>
      <c r="B18" s="11" t="s">
        <v>220</v>
      </c>
      <c r="C18" s="37"/>
      <c r="D18" s="13" t="s">
        <v>87</v>
      </c>
      <c r="E18" s="13" t="s">
        <v>87</v>
      </c>
      <c r="F18" s="13" t="s">
        <v>87</v>
      </c>
      <c r="G18" s="13" t="s">
        <v>87</v>
      </c>
      <c r="H18" s="13" t="s">
        <v>87</v>
      </c>
      <c r="I18" s="13" t="s">
        <v>87</v>
      </c>
      <c r="J18" s="13" t="s">
        <v>87</v>
      </c>
      <c r="K18" s="13" t="s">
        <v>87</v>
      </c>
      <c r="L18" s="13" t="s">
        <v>87</v>
      </c>
      <c r="M18" s="13" t="s">
        <v>87</v>
      </c>
      <c r="N18" s="13" t="s">
        <v>87</v>
      </c>
      <c r="O18" s="13" t="s">
        <v>87</v>
      </c>
      <c r="P18" s="13" t="s">
        <v>87</v>
      </c>
      <c r="Q18" s="13" t="s">
        <v>87</v>
      </c>
      <c r="R18" s="13" t="s">
        <v>87</v>
      </c>
      <c r="S18" s="13" t="s">
        <v>87</v>
      </c>
      <c r="T18" s="13" t="s">
        <v>87</v>
      </c>
      <c r="U18" s="13" t="s">
        <v>87</v>
      </c>
      <c r="V18" s="13" t="s">
        <v>87</v>
      </c>
      <c r="W18" s="13" t="s">
        <v>87</v>
      </c>
      <c r="X18" s="13" t="s">
        <v>742</v>
      </c>
      <c r="Y18" s="13" t="s">
        <v>87</v>
      </c>
      <c r="Z18" s="13" t="s">
        <v>86</v>
      </c>
      <c r="AA18" s="46" t="s">
        <v>86</v>
      </c>
    </row>
    <row r="19" spans="1:27" hidden="1" x14ac:dyDescent="0.2">
      <c r="A19" s="17">
        <v>43758</v>
      </c>
      <c r="B19" s="11" t="s">
        <v>50</v>
      </c>
      <c r="C19" s="37" t="s">
        <v>108</v>
      </c>
      <c r="D19" s="13" t="s">
        <v>87</v>
      </c>
      <c r="E19" s="13" t="s">
        <v>87</v>
      </c>
      <c r="F19" s="13" t="s">
        <v>87</v>
      </c>
      <c r="G19" s="13" t="s">
        <v>87</v>
      </c>
      <c r="H19" s="13" t="s">
        <v>109</v>
      </c>
      <c r="I19" s="13" t="s">
        <v>109</v>
      </c>
      <c r="J19" s="13" t="s">
        <v>87</v>
      </c>
      <c r="K19" s="13" t="s">
        <v>87</v>
      </c>
      <c r="L19" s="13" t="s">
        <v>87</v>
      </c>
      <c r="M19" s="13" t="s">
        <v>87</v>
      </c>
      <c r="N19" s="13" t="s">
        <v>87</v>
      </c>
      <c r="O19" s="13" t="s">
        <v>87</v>
      </c>
      <c r="P19" s="13" t="s">
        <v>87</v>
      </c>
      <c r="Q19" s="13" t="s">
        <v>87</v>
      </c>
      <c r="R19" s="13" t="s">
        <v>109</v>
      </c>
      <c r="S19" s="13" t="s">
        <v>109</v>
      </c>
      <c r="T19" s="13" t="s">
        <v>87</v>
      </c>
      <c r="U19" s="13" t="s">
        <v>87</v>
      </c>
      <c r="V19" s="13" t="s">
        <v>87</v>
      </c>
      <c r="W19" s="13" t="s">
        <v>87</v>
      </c>
      <c r="X19" s="13" t="s">
        <v>742</v>
      </c>
      <c r="Y19" s="12" t="s">
        <v>87</v>
      </c>
      <c r="Z19" s="12" t="s">
        <v>87</v>
      </c>
      <c r="AA19" s="46" t="s">
        <v>87</v>
      </c>
    </row>
    <row r="20" spans="1:27" hidden="1" x14ac:dyDescent="0.2">
      <c r="A20" s="16">
        <v>43758</v>
      </c>
      <c r="B20" s="10" t="s">
        <v>316</v>
      </c>
      <c r="C20" s="36" t="s">
        <v>323</v>
      </c>
      <c r="D20" s="12" t="s">
        <v>87</v>
      </c>
      <c r="E20" s="13" t="s">
        <v>87</v>
      </c>
      <c r="F20" s="13" t="s">
        <v>87</v>
      </c>
      <c r="G20" s="13" t="s">
        <v>87</v>
      </c>
      <c r="H20" s="12" t="s">
        <v>109</v>
      </c>
      <c r="I20" s="12" t="s">
        <v>109</v>
      </c>
      <c r="J20" s="13" t="s">
        <v>432</v>
      </c>
      <c r="K20" s="13" t="s">
        <v>87</v>
      </c>
      <c r="L20" s="13" t="s">
        <v>87</v>
      </c>
      <c r="M20" s="13" t="s">
        <v>432</v>
      </c>
      <c r="N20" s="13" t="s">
        <v>87</v>
      </c>
      <c r="O20" s="13" t="s">
        <v>87</v>
      </c>
      <c r="P20" s="13" t="s">
        <v>87</v>
      </c>
      <c r="Q20" s="13" t="s">
        <v>87</v>
      </c>
      <c r="R20" s="12" t="s">
        <v>109</v>
      </c>
      <c r="S20" s="12" t="s">
        <v>109</v>
      </c>
      <c r="T20" s="13" t="s">
        <v>87</v>
      </c>
      <c r="U20" s="13" t="s">
        <v>87</v>
      </c>
      <c r="V20" s="12" t="s">
        <v>432</v>
      </c>
      <c r="W20" s="13" t="s">
        <v>432</v>
      </c>
      <c r="X20" s="13" t="s">
        <v>742</v>
      </c>
      <c r="Y20" s="12" t="s">
        <v>86</v>
      </c>
      <c r="Z20" s="12" t="s">
        <v>432</v>
      </c>
      <c r="AA20" s="45" t="s">
        <v>432</v>
      </c>
    </row>
    <row r="21" spans="1:27" hidden="1" x14ac:dyDescent="0.2">
      <c r="A21" s="17">
        <v>43758</v>
      </c>
      <c r="B21" s="20" t="s">
        <v>31</v>
      </c>
      <c r="C21" s="37"/>
      <c r="D21" s="12" t="s">
        <v>87</v>
      </c>
      <c r="E21" s="12" t="s">
        <v>87</v>
      </c>
      <c r="F21" s="12" t="s">
        <v>87</v>
      </c>
      <c r="G21" s="12" t="s">
        <v>87</v>
      </c>
      <c r="H21" s="12" t="s">
        <v>109</v>
      </c>
      <c r="I21" s="12" t="s">
        <v>109</v>
      </c>
      <c r="J21" s="12" t="s">
        <v>87</v>
      </c>
      <c r="K21" s="12" t="s">
        <v>87</v>
      </c>
      <c r="L21" s="12" t="s">
        <v>87</v>
      </c>
      <c r="M21" s="12" t="s">
        <v>87</v>
      </c>
      <c r="N21" s="12" t="s">
        <v>87</v>
      </c>
      <c r="O21" s="12" t="s">
        <v>87</v>
      </c>
      <c r="P21" s="12" t="s">
        <v>87</v>
      </c>
      <c r="Q21" s="12" t="s">
        <v>87</v>
      </c>
      <c r="R21" s="12" t="s">
        <v>109</v>
      </c>
      <c r="S21" s="12" t="s">
        <v>109</v>
      </c>
      <c r="T21" s="12" t="s">
        <v>87</v>
      </c>
      <c r="U21" s="12" t="s">
        <v>87</v>
      </c>
      <c r="V21" s="12" t="s">
        <v>87</v>
      </c>
      <c r="W21" s="13" t="s">
        <v>87</v>
      </c>
      <c r="X21" s="13" t="s">
        <v>742</v>
      </c>
      <c r="Y21" s="13" t="s">
        <v>87</v>
      </c>
      <c r="Z21" s="13" t="s">
        <v>86</v>
      </c>
      <c r="AA21" s="46" t="s">
        <v>86</v>
      </c>
    </row>
    <row r="22" spans="1:27" hidden="1" x14ac:dyDescent="0.2">
      <c r="A22" s="17">
        <v>43758</v>
      </c>
      <c r="B22" s="20" t="s">
        <v>31</v>
      </c>
      <c r="C22" s="37" t="s">
        <v>354</v>
      </c>
      <c r="D22" s="12" t="s">
        <v>87</v>
      </c>
      <c r="E22" s="12" t="s">
        <v>87</v>
      </c>
      <c r="F22" s="12" t="s">
        <v>87</v>
      </c>
      <c r="G22" s="12" t="s">
        <v>87</v>
      </c>
      <c r="H22" s="13" t="s">
        <v>109</v>
      </c>
      <c r="I22" s="13" t="s">
        <v>109</v>
      </c>
      <c r="J22" s="12" t="s">
        <v>87</v>
      </c>
      <c r="K22" s="12" t="s">
        <v>87</v>
      </c>
      <c r="L22" s="12" t="s">
        <v>87</v>
      </c>
      <c r="M22" s="12" t="s">
        <v>87</v>
      </c>
      <c r="N22" s="12" t="s">
        <v>87</v>
      </c>
      <c r="O22" s="12" t="s">
        <v>87</v>
      </c>
      <c r="P22" s="12" t="s">
        <v>87</v>
      </c>
      <c r="Q22" s="12" t="s">
        <v>87</v>
      </c>
      <c r="R22" s="13" t="s">
        <v>109</v>
      </c>
      <c r="S22" s="13" t="s">
        <v>109</v>
      </c>
      <c r="T22" s="12" t="s">
        <v>87</v>
      </c>
      <c r="U22" s="12" t="s">
        <v>87</v>
      </c>
      <c r="V22" s="12" t="s">
        <v>87</v>
      </c>
      <c r="W22" s="12" t="s">
        <v>87</v>
      </c>
      <c r="X22" s="12" t="s">
        <v>742</v>
      </c>
      <c r="Y22" s="12" t="s">
        <v>87</v>
      </c>
      <c r="Z22" s="12" t="s">
        <v>86</v>
      </c>
      <c r="AA22" s="46" t="s">
        <v>86</v>
      </c>
    </row>
    <row r="23" spans="1:27" hidden="1" x14ac:dyDescent="0.2">
      <c r="A23" s="17">
        <v>43758</v>
      </c>
      <c r="B23" s="11" t="s">
        <v>54</v>
      </c>
      <c r="C23" s="37"/>
      <c r="D23" s="12" t="s">
        <v>87</v>
      </c>
      <c r="E23" s="12" t="s">
        <v>87</v>
      </c>
      <c r="F23" s="12" t="s">
        <v>87</v>
      </c>
      <c r="G23" s="12" t="s">
        <v>87</v>
      </c>
      <c r="H23" s="12" t="s">
        <v>109</v>
      </c>
      <c r="I23" s="12" t="s">
        <v>109</v>
      </c>
      <c r="J23" s="12" t="s">
        <v>87</v>
      </c>
      <c r="K23" s="12" t="s">
        <v>87</v>
      </c>
      <c r="L23" s="12" t="s">
        <v>87</v>
      </c>
      <c r="M23" s="12" t="s">
        <v>87</v>
      </c>
      <c r="N23" s="12" t="s">
        <v>87</v>
      </c>
      <c r="O23" s="12" t="s">
        <v>87</v>
      </c>
      <c r="P23" s="12" t="s">
        <v>87</v>
      </c>
      <c r="Q23" s="13" t="s">
        <v>87</v>
      </c>
      <c r="R23" s="12" t="s">
        <v>109</v>
      </c>
      <c r="S23" s="12" t="s">
        <v>109</v>
      </c>
      <c r="T23" s="12" t="s">
        <v>87</v>
      </c>
      <c r="U23" s="12" t="s">
        <v>87</v>
      </c>
      <c r="V23" s="12" t="s">
        <v>87</v>
      </c>
      <c r="W23" s="12" t="s">
        <v>87</v>
      </c>
      <c r="X23" s="12" t="s">
        <v>742</v>
      </c>
      <c r="Y23" s="12" t="s">
        <v>87</v>
      </c>
      <c r="Z23" s="12" t="s">
        <v>87</v>
      </c>
      <c r="AA23" s="45" t="s">
        <v>87</v>
      </c>
    </row>
    <row r="24" spans="1:27" hidden="1" x14ac:dyDescent="0.2">
      <c r="A24" s="17">
        <v>43758</v>
      </c>
      <c r="B24" s="11" t="s">
        <v>181</v>
      </c>
      <c r="C24" s="37"/>
      <c r="D24" s="12" t="s">
        <v>87</v>
      </c>
      <c r="E24" s="13" t="s">
        <v>87</v>
      </c>
      <c r="F24" s="12" t="s">
        <v>87</v>
      </c>
      <c r="G24" s="12" t="s">
        <v>87</v>
      </c>
      <c r="H24" s="12" t="s">
        <v>109</v>
      </c>
      <c r="I24" s="12" t="s">
        <v>109</v>
      </c>
      <c r="J24" s="13" t="s">
        <v>87</v>
      </c>
      <c r="K24" s="12" t="s">
        <v>87</v>
      </c>
      <c r="L24" s="12" t="s">
        <v>87</v>
      </c>
      <c r="M24" s="13" t="s">
        <v>87</v>
      </c>
      <c r="N24" s="12" t="s">
        <v>87</v>
      </c>
      <c r="O24" s="12" t="s">
        <v>87</v>
      </c>
      <c r="P24" s="12" t="s">
        <v>87</v>
      </c>
      <c r="Q24" s="12" t="s">
        <v>87</v>
      </c>
      <c r="R24" s="12" t="s">
        <v>109</v>
      </c>
      <c r="S24" s="12" t="s">
        <v>109</v>
      </c>
      <c r="T24" s="12" t="s">
        <v>87</v>
      </c>
      <c r="U24" s="12" t="s">
        <v>87</v>
      </c>
      <c r="V24" s="13" t="s">
        <v>109</v>
      </c>
      <c r="W24" s="13" t="s">
        <v>87</v>
      </c>
      <c r="X24" s="13" t="s">
        <v>742</v>
      </c>
      <c r="Y24" s="13" t="s">
        <v>109</v>
      </c>
      <c r="Z24" s="13" t="s">
        <v>109</v>
      </c>
      <c r="AA24" s="45" t="s">
        <v>87</v>
      </c>
    </row>
    <row r="25" spans="1:27" hidden="1" x14ac:dyDescent="0.2">
      <c r="A25" s="17">
        <v>43758</v>
      </c>
      <c r="B25" s="11" t="s">
        <v>295</v>
      </c>
      <c r="C25" s="37"/>
      <c r="D25" s="12" t="s">
        <v>296</v>
      </c>
      <c r="E25" s="13" t="s">
        <v>87</v>
      </c>
      <c r="F25" s="13" t="s">
        <v>87</v>
      </c>
      <c r="G25" s="13" t="s">
        <v>87</v>
      </c>
      <c r="H25" s="12" t="s">
        <v>109</v>
      </c>
      <c r="I25" s="12" t="s">
        <v>109</v>
      </c>
      <c r="J25" s="13" t="s">
        <v>87</v>
      </c>
      <c r="K25" s="13" t="s">
        <v>87</v>
      </c>
      <c r="L25" s="13" t="s">
        <v>87</v>
      </c>
      <c r="M25" s="13" t="s">
        <v>87</v>
      </c>
      <c r="N25" s="13" t="s">
        <v>87</v>
      </c>
      <c r="O25" s="13" t="s">
        <v>87</v>
      </c>
      <c r="P25" s="13" t="s">
        <v>87</v>
      </c>
      <c r="Q25" s="13" t="s">
        <v>87</v>
      </c>
      <c r="R25" s="12" t="s">
        <v>109</v>
      </c>
      <c r="S25" s="12" t="s">
        <v>109</v>
      </c>
      <c r="T25" s="13" t="s">
        <v>87</v>
      </c>
      <c r="U25" s="12" t="s">
        <v>87</v>
      </c>
      <c r="V25" s="13" t="s">
        <v>87</v>
      </c>
      <c r="W25" s="13" t="s">
        <v>87</v>
      </c>
      <c r="X25" s="13" t="s">
        <v>742</v>
      </c>
      <c r="Y25" s="13" t="s">
        <v>87</v>
      </c>
      <c r="Z25" s="13" t="s">
        <v>86</v>
      </c>
      <c r="AA25" s="46" t="s">
        <v>86</v>
      </c>
    </row>
    <row r="26" spans="1:27" hidden="1" x14ac:dyDescent="0.2">
      <c r="A26" s="17">
        <v>43758</v>
      </c>
      <c r="B26" s="11" t="s">
        <v>220</v>
      </c>
      <c r="C26" s="37"/>
      <c r="D26" s="12" t="s">
        <v>87</v>
      </c>
      <c r="E26" s="12" t="s">
        <v>87</v>
      </c>
      <c r="F26" s="12" t="s">
        <v>87</v>
      </c>
      <c r="G26" s="13" t="s">
        <v>87</v>
      </c>
      <c r="H26" s="12" t="s">
        <v>87</v>
      </c>
      <c r="I26" s="12" t="s">
        <v>87</v>
      </c>
      <c r="J26" s="13" t="s">
        <v>87</v>
      </c>
      <c r="K26" s="13" t="s">
        <v>87</v>
      </c>
      <c r="L26" s="13" t="s">
        <v>87</v>
      </c>
      <c r="M26" s="13" t="s">
        <v>87</v>
      </c>
      <c r="N26" s="13" t="s">
        <v>87</v>
      </c>
      <c r="O26" s="13" t="s">
        <v>87</v>
      </c>
      <c r="P26" s="13" t="s">
        <v>87</v>
      </c>
      <c r="Q26" s="13" t="s">
        <v>87</v>
      </c>
      <c r="R26" s="12" t="s">
        <v>87</v>
      </c>
      <c r="S26" s="12" t="s">
        <v>87</v>
      </c>
      <c r="T26" s="13" t="s">
        <v>87</v>
      </c>
      <c r="U26" s="13" t="s">
        <v>87</v>
      </c>
      <c r="V26" s="13" t="s">
        <v>87</v>
      </c>
      <c r="W26" s="13" t="s">
        <v>87</v>
      </c>
      <c r="X26" s="13" t="s">
        <v>742</v>
      </c>
      <c r="Y26" s="13" t="s">
        <v>87</v>
      </c>
      <c r="Z26" s="13" t="s">
        <v>86</v>
      </c>
      <c r="AA26" s="47" t="s">
        <v>563</v>
      </c>
    </row>
    <row r="27" spans="1:27" hidden="1" x14ac:dyDescent="0.2">
      <c r="A27" s="17">
        <v>43761</v>
      </c>
      <c r="B27" s="11" t="s">
        <v>272</v>
      </c>
      <c r="C27" s="37"/>
      <c r="D27" s="12" t="s">
        <v>87</v>
      </c>
      <c r="E27" s="12" t="s">
        <v>87</v>
      </c>
      <c r="F27" s="12" t="s">
        <v>87</v>
      </c>
      <c r="G27" s="12" t="s">
        <v>87</v>
      </c>
      <c r="H27" s="12" t="s">
        <v>109</v>
      </c>
      <c r="I27" s="12" t="s">
        <v>109</v>
      </c>
      <c r="J27" s="12" t="s">
        <v>87</v>
      </c>
      <c r="K27" s="12" t="s">
        <v>87</v>
      </c>
      <c r="L27" s="12" t="s">
        <v>87</v>
      </c>
      <c r="M27" s="12" t="s">
        <v>87</v>
      </c>
      <c r="N27" s="12" t="s">
        <v>87</v>
      </c>
      <c r="O27" s="12" t="s">
        <v>87</v>
      </c>
      <c r="P27" s="12" t="s">
        <v>87</v>
      </c>
      <c r="Q27" s="12" t="s">
        <v>87</v>
      </c>
      <c r="R27" s="12" t="s">
        <v>109</v>
      </c>
      <c r="S27" s="12" t="s">
        <v>109</v>
      </c>
      <c r="T27" s="12" t="s">
        <v>87</v>
      </c>
      <c r="U27" s="12" t="s">
        <v>87</v>
      </c>
      <c r="V27" s="12" t="s">
        <v>87</v>
      </c>
      <c r="W27" s="12" t="s">
        <v>87</v>
      </c>
      <c r="X27" s="12" t="s">
        <v>742</v>
      </c>
      <c r="Y27" s="12" t="s">
        <v>87</v>
      </c>
      <c r="Z27" s="12" t="s">
        <v>86</v>
      </c>
      <c r="AA27" s="46" t="s">
        <v>86</v>
      </c>
    </row>
    <row r="28" spans="1:27" hidden="1" x14ac:dyDescent="0.2">
      <c r="A28" s="17">
        <v>43761</v>
      </c>
      <c r="B28" s="11" t="s">
        <v>316</v>
      </c>
      <c r="C28" s="37"/>
      <c r="D28" s="12" t="s">
        <v>87</v>
      </c>
      <c r="E28" s="12" t="s">
        <v>87</v>
      </c>
      <c r="F28" s="13" t="s">
        <v>87</v>
      </c>
      <c r="G28" s="12" t="s">
        <v>87</v>
      </c>
      <c r="H28" s="12" t="s">
        <v>87</v>
      </c>
      <c r="I28" s="12" t="s">
        <v>87</v>
      </c>
      <c r="J28" s="12" t="s">
        <v>87</v>
      </c>
      <c r="K28" s="12" t="s">
        <v>87</v>
      </c>
      <c r="L28" s="12" t="s">
        <v>87</v>
      </c>
      <c r="M28" s="12" t="s">
        <v>87</v>
      </c>
      <c r="N28" s="12" t="s">
        <v>87</v>
      </c>
      <c r="O28" s="12" t="s">
        <v>87</v>
      </c>
      <c r="P28" s="12" t="s">
        <v>87</v>
      </c>
      <c r="Q28" s="12" t="s">
        <v>87</v>
      </c>
      <c r="R28" s="12" t="s">
        <v>87</v>
      </c>
      <c r="S28" s="12" t="s">
        <v>87</v>
      </c>
      <c r="T28" s="12" t="s">
        <v>87</v>
      </c>
      <c r="U28" s="12" t="s">
        <v>87</v>
      </c>
      <c r="V28" s="12" t="s">
        <v>87</v>
      </c>
      <c r="W28" s="12" t="s">
        <v>87</v>
      </c>
      <c r="X28" s="12" t="s">
        <v>742</v>
      </c>
      <c r="Y28" s="12" t="s">
        <v>86</v>
      </c>
      <c r="Z28" s="12" t="s">
        <v>432</v>
      </c>
      <c r="AA28" s="46" t="s">
        <v>86</v>
      </c>
    </row>
    <row r="29" spans="1:27" hidden="1" x14ac:dyDescent="0.2">
      <c r="A29" s="17">
        <v>43761</v>
      </c>
      <c r="B29" s="11" t="s">
        <v>206</v>
      </c>
      <c r="C29" s="37"/>
      <c r="D29" s="12" t="s">
        <v>87</v>
      </c>
      <c r="E29" s="12" t="s">
        <v>87</v>
      </c>
      <c r="F29" s="12" t="s">
        <v>87</v>
      </c>
      <c r="G29" s="13" t="s">
        <v>87</v>
      </c>
      <c r="H29" s="12" t="s">
        <v>109</v>
      </c>
      <c r="I29" s="12" t="s">
        <v>109</v>
      </c>
      <c r="J29" s="13" t="s">
        <v>87</v>
      </c>
      <c r="K29" s="13" t="s">
        <v>87</v>
      </c>
      <c r="L29" s="13" t="s">
        <v>87</v>
      </c>
      <c r="M29" s="13" t="s">
        <v>87</v>
      </c>
      <c r="N29" s="13" t="s">
        <v>87</v>
      </c>
      <c r="O29" s="13" t="s">
        <v>87</v>
      </c>
      <c r="P29" s="13" t="s">
        <v>87</v>
      </c>
      <c r="Q29" s="13" t="s">
        <v>87</v>
      </c>
      <c r="R29" s="12" t="s">
        <v>109</v>
      </c>
      <c r="S29" s="12" t="s">
        <v>109</v>
      </c>
      <c r="T29" s="13" t="s">
        <v>87</v>
      </c>
      <c r="U29" s="13" t="s">
        <v>87</v>
      </c>
      <c r="V29" s="13" t="s">
        <v>87</v>
      </c>
      <c r="W29" s="13" t="s">
        <v>87</v>
      </c>
      <c r="X29" s="13" t="s">
        <v>742</v>
      </c>
      <c r="Y29" s="13" t="s">
        <v>87</v>
      </c>
      <c r="Z29" s="13" t="s">
        <v>86</v>
      </c>
      <c r="AA29" s="46" t="s">
        <v>86</v>
      </c>
    </row>
    <row r="30" spans="1:27" hidden="1" x14ac:dyDescent="0.2">
      <c r="A30" s="17">
        <v>43761</v>
      </c>
      <c r="B30" s="11" t="s">
        <v>31</v>
      </c>
      <c r="C30" s="37"/>
      <c r="D30" s="12" t="s">
        <v>87</v>
      </c>
      <c r="E30" s="12" t="s">
        <v>87</v>
      </c>
      <c r="F30" s="12" t="s">
        <v>87</v>
      </c>
      <c r="G30" s="13" t="s">
        <v>87</v>
      </c>
      <c r="H30" s="12" t="s">
        <v>109</v>
      </c>
      <c r="I30" s="12" t="s">
        <v>109</v>
      </c>
      <c r="J30" s="13" t="s">
        <v>87</v>
      </c>
      <c r="K30" s="13" t="s">
        <v>87</v>
      </c>
      <c r="L30" s="13" t="s">
        <v>87</v>
      </c>
      <c r="M30" s="13" t="s">
        <v>87</v>
      </c>
      <c r="N30" s="13" t="s">
        <v>87</v>
      </c>
      <c r="O30" s="13" t="s">
        <v>87</v>
      </c>
      <c r="P30" s="13" t="s">
        <v>87</v>
      </c>
      <c r="Q30" s="13" t="s">
        <v>87</v>
      </c>
      <c r="R30" s="12" t="s">
        <v>109</v>
      </c>
      <c r="S30" s="12" t="s">
        <v>109</v>
      </c>
      <c r="T30" s="13" t="s">
        <v>87</v>
      </c>
      <c r="U30" s="13" t="s">
        <v>87</v>
      </c>
      <c r="V30" s="13" t="s">
        <v>87</v>
      </c>
      <c r="W30" s="13" t="s">
        <v>87</v>
      </c>
      <c r="X30" s="13" t="s">
        <v>742</v>
      </c>
      <c r="Y30" s="13" t="s">
        <v>87</v>
      </c>
      <c r="Z30" s="13" t="s">
        <v>86</v>
      </c>
      <c r="AA30" s="46" t="s">
        <v>86</v>
      </c>
    </row>
    <row r="31" spans="1:27" hidden="1" x14ac:dyDescent="0.2">
      <c r="A31" s="17">
        <v>43761</v>
      </c>
      <c r="B31" s="11" t="s">
        <v>274</v>
      </c>
      <c r="C31" s="37"/>
      <c r="D31" s="13" t="s">
        <v>87</v>
      </c>
      <c r="E31" s="13" t="s">
        <v>87</v>
      </c>
      <c r="F31" s="13" t="s">
        <v>87</v>
      </c>
      <c r="G31" s="12" t="s">
        <v>87</v>
      </c>
      <c r="H31" s="12" t="s">
        <v>109</v>
      </c>
      <c r="I31" s="12" t="s">
        <v>109</v>
      </c>
      <c r="J31" s="13" t="s">
        <v>87</v>
      </c>
      <c r="K31" s="13" t="s">
        <v>87</v>
      </c>
      <c r="L31" s="13" t="s">
        <v>87</v>
      </c>
      <c r="M31" s="13" t="s">
        <v>87</v>
      </c>
      <c r="N31" s="13" t="s">
        <v>87</v>
      </c>
      <c r="O31" s="13" t="s">
        <v>87</v>
      </c>
      <c r="P31" s="13" t="s">
        <v>87</v>
      </c>
      <c r="Q31" s="13" t="s">
        <v>87</v>
      </c>
      <c r="R31" s="12" t="s">
        <v>109</v>
      </c>
      <c r="S31" s="12" t="s">
        <v>109</v>
      </c>
      <c r="T31" s="13" t="s">
        <v>87</v>
      </c>
      <c r="U31" s="13" t="s">
        <v>87</v>
      </c>
      <c r="V31" s="13" t="s">
        <v>87</v>
      </c>
      <c r="W31" s="13" t="s">
        <v>87</v>
      </c>
      <c r="X31" s="13" t="s">
        <v>742</v>
      </c>
      <c r="Y31" s="13" t="s">
        <v>109</v>
      </c>
      <c r="Z31" s="13" t="s">
        <v>109</v>
      </c>
      <c r="AA31" s="46" t="s">
        <v>86</v>
      </c>
    </row>
    <row r="32" spans="1:27" hidden="1" x14ac:dyDescent="0.2">
      <c r="A32" s="17">
        <v>43761</v>
      </c>
      <c r="B32" s="11" t="s">
        <v>27</v>
      </c>
      <c r="C32" s="37"/>
      <c r="D32" s="12" t="s">
        <v>87</v>
      </c>
      <c r="E32" s="12" t="s">
        <v>87</v>
      </c>
      <c r="F32" s="12" t="s">
        <v>87</v>
      </c>
      <c r="G32" s="13" t="s">
        <v>87</v>
      </c>
      <c r="H32" s="12" t="s">
        <v>109</v>
      </c>
      <c r="I32" s="12" t="s">
        <v>109</v>
      </c>
      <c r="J32" s="13" t="s">
        <v>87</v>
      </c>
      <c r="K32" s="13" t="s">
        <v>87</v>
      </c>
      <c r="L32" s="13" t="s">
        <v>87</v>
      </c>
      <c r="M32" s="13" t="s">
        <v>87</v>
      </c>
      <c r="N32" s="13" t="s">
        <v>87</v>
      </c>
      <c r="O32" s="13" t="s">
        <v>87</v>
      </c>
      <c r="P32" s="13" t="s">
        <v>87</v>
      </c>
      <c r="Q32" s="13" t="s">
        <v>87</v>
      </c>
      <c r="R32" s="12" t="s">
        <v>109</v>
      </c>
      <c r="S32" s="12" t="s">
        <v>109</v>
      </c>
      <c r="T32" s="13" t="s">
        <v>87</v>
      </c>
      <c r="U32" s="13" t="s">
        <v>87</v>
      </c>
      <c r="V32" s="13" t="s">
        <v>87</v>
      </c>
      <c r="W32" s="13" t="s">
        <v>87</v>
      </c>
      <c r="X32" s="13" t="s">
        <v>742</v>
      </c>
      <c r="Y32" s="13" t="s">
        <v>109</v>
      </c>
      <c r="Z32" s="13" t="s">
        <v>109</v>
      </c>
      <c r="AA32" s="46" t="s">
        <v>86</v>
      </c>
    </row>
    <row r="33" spans="1:27" hidden="1" x14ac:dyDescent="0.2">
      <c r="A33" s="17">
        <v>43765</v>
      </c>
      <c r="B33" s="11" t="s">
        <v>272</v>
      </c>
      <c r="C33" s="37"/>
      <c r="D33" s="12" t="s">
        <v>87</v>
      </c>
      <c r="E33" s="13" t="s">
        <v>87</v>
      </c>
      <c r="F33" s="13" t="s">
        <v>87</v>
      </c>
      <c r="G33" s="13" t="s">
        <v>87</v>
      </c>
      <c r="H33" s="12" t="s">
        <v>109</v>
      </c>
      <c r="I33" s="12" t="s">
        <v>109</v>
      </c>
      <c r="J33" s="13" t="s">
        <v>86</v>
      </c>
      <c r="K33" s="13" t="s">
        <v>86</v>
      </c>
      <c r="L33" s="13" t="s">
        <v>86</v>
      </c>
      <c r="M33" s="13" t="s">
        <v>86</v>
      </c>
      <c r="N33" s="13" t="s">
        <v>86</v>
      </c>
      <c r="O33" s="13" t="s">
        <v>86</v>
      </c>
      <c r="P33" s="13" t="s">
        <v>86</v>
      </c>
      <c r="Q33" s="13" t="s">
        <v>86</v>
      </c>
      <c r="R33" s="12" t="s">
        <v>109</v>
      </c>
      <c r="S33" s="12" t="s">
        <v>109</v>
      </c>
      <c r="T33" s="13" t="s">
        <v>86</v>
      </c>
      <c r="U33" s="13" t="s">
        <v>86</v>
      </c>
      <c r="V33" s="13" t="s">
        <v>86</v>
      </c>
      <c r="W33" s="13" t="s">
        <v>86</v>
      </c>
      <c r="X33" s="13" t="s">
        <v>742</v>
      </c>
      <c r="Y33" s="13" t="s">
        <v>86</v>
      </c>
      <c r="Z33" s="13" t="s">
        <v>86</v>
      </c>
      <c r="AA33" s="46" t="s">
        <v>86</v>
      </c>
    </row>
    <row r="34" spans="1:27" hidden="1" x14ac:dyDescent="0.2">
      <c r="A34" s="17">
        <v>43765</v>
      </c>
      <c r="B34" s="11" t="s">
        <v>370</v>
      </c>
      <c r="C34" s="37"/>
      <c r="D34" s="13" t="s">
        <v>87</v>
      </c>
      <c r="E34" s="13" t="s">
        <v>87</v>
      </c>
      <c r="F34" s="13" t="s">
        <v>87</v>
      </c>
      <c r="G34" s="12" t="s">
        <v>87</v>
      </c>
      <c r="H34" s="12" t="s">
        <v>87</v>
      </c>
      <c r="I34" s="12" t="s">
        <v>87</v>
      </c>
      <c r="J34" s="13" t="s">
        <v>86</v>
      </c>
      <c r="K34" s="13" t="s">
        <v>86</v>
      </c>
      <c r="L34" s="13" t="s">
        <v>86</v>
      </c>
      <c r="M34" s="13" t="s">
        <v>86</v>
      </c>
      <c r="N34" s="13" t="s">
        <v>86</v>
      </c>
      <c r="O34" s="13" t="s">
        <v>86</v>
      </c>
      <c r="P34" s="13" t="s">
        <v>86</v>
      </c>
      <c r="Q34" s="13" t="s">
        <v>86</v>
      </c>
      <c r="R34" s="12" t="s">
        <v>86</v>
      </c>
      <c r="S34" s="12" t="s">
        <v>86</v>
      </c>
      <c r="T34" s="13" t="s">
        <v>86</v>
      </c>
      <c r="U34" s="13" t="s">
        <v>86</v>
      </c>
      <c r="V34" s="13" t="s">
        <v>86</v>
      </c>
      <c r="W34" s="13" t="s">
        <v>86</v>
      </c>
      <c r="X34" s="13" t="s">
        <v>742</v>
      </c>
      <c r="Y34" s="13" t="s">
        <v>86</v>
      </c>
      <c r="Z34" s="13" t="s">
        <v>432</v>
      </c>
      <c r="AA34" s="46" t="s">
        <v>86</v>
      </c>
    </row>
    <row r="35" spans="1:27" hidden="1" x14ac:dyDescent="0.2">
      <c r="A35" s="17">
        <v>43765</v>
      </c>
      <c r="B35" s="11" t="s">
        <v>29</v>
      </c>
      <c r="C35" s="37" t="s">
        <v>464</v>
      </c>
      <c r="D35" s="12" t="s">
        <v>86</v>
      </c>
      <c r="E35" s="12" t="s">
        <v>86</v>
      </c>
      <c r="F35" s="13" t="s">
        <v>86</v>
      </c>
      <c r="G35" s="13" t="s">
        <v>86</v>
      </c>
      <c r="H35" s="12" t="s">
        <v>432</v>
      </c>
      <c r="I35" s="12" t="s">
        <v>432</v>
      </c>
      <c r="J35" s="12" t="s">
        <v>86</v>
      </c>
      <c r="K35" s="13" t="s">
        <v>86</v>
      </c>
      <c r="L35" s="12" t="s">
        <v>86</v>
      </c>
      <c r="M35" s="12" t="s">
        <v>86</v>
      </c>
      <c r="N35" s="12" t="s">
        <v>86</v>
      </c>
      <c r="O35" s="12" t="s">
        <v>86</v>
      </c>
      <c r="P35" s="12" t="s">
        <v>86</v>
      </c>
      <c r="Q35" s="12" t="s">
        <v>86</v>
      </c>
      <c r="R35" s="12" t="s">
        <v>432</v>
      </c>
      <c r="S35" s="12" t="s">
        <v>432</v>
      </c>
      <c r="T35" s="12" t="s">
        <v>86</v>
      </c>
      <c r="U35" s="13" t="s">
        <v>86</v>
      </c>
      <c r="V35" s="13" t="s">
        <v>86</v>
      </c>
      <c r="W35" s="12" t="s">
        <v>86</v>
      </c>
      <c r="X35" s="13" t="s">
        <v>742</v>
      </c>
      <c r="Y35" s="13" t="s">
        <v>86</v>
      </c>
      <c r="Z35" s="13" t="s">
        <v>432</v>
      </c>
      <c r="AA35" s="46" t="s">
        <v>86</v>
      </c>
    </row>
    <row r="36" spans="1:27" hidden="1" x14ac:dyDescent="0.2">
      <c r="A36" s="17">
        <v>43765</v>
      </c>
      <c r="B36" s="11" t="s">
        <v>31</v>
      </c>
      <c r="C36" s="37"/>
      <c r="D36" s="12" t="s">
        <v>87</v>
      </c>
      <c r="E36" s="12" t="s">
        <v>87</v>
      </c>
      <c r="F36" s="13" t="s">
        <v>87</v>
      </c>
      <c r="G36" s="13" t="s">
        <v>87</v>
      </c>
      <c r="H36" s="13" t="s">
        <v>109</v>
      </c>
      <c r="I36" s="13" t="s">
        <v>109</v>
      </c>
      <c r="J36" s="13" t="s">
        <v>87</v>
      </c>
      <c r="K36" s="13" t="s">
        <v>87</v>
      </c>
      <c r="L36" s="13" t="s">
        <v>87</v>
      </c>
      <c r="M36" s="13" t="s">
        <v>87</v>
      </c>
      <c r="N36" s="13" t="s">
        <v>87</v>
      </c>
      <c r="O36" s="13" t="s">
        <v>87</v>
      </c>
      <c r="P36" s="13" t="s">
        <v>87</v>
      </c>
      <c r="Q36" s="13" t="s">
        <v>87</v>
      </c>
      <c r="R36" s="13" t="s">
        <v>109</v>
      </c>
      <c r="S36" s="13" t="s">
        <v>109</v>
      </c>
      <c r="T36" s="13" t="s">
        <v>87</v>
      </c>
      <c r="U36" s="13" t="s">
        <v>86</v>
      </c>
      <c r="V36" s="13" t="s">
        <v>86</v>
      </c>
      <c r="W36" s="13" t="s">
        <v>87</v>
      </c>
      <c r="X36" s="13" t="s">
        <v>742</v>
      </c>
      <c r="Y36" s="13" t="s">
        <v>86</v>
      </c>
      <c r="Z36" s="13" t="s">
        <v>86</v>
      </c>
      <c r="AA36" s="46" t="s">
        <v>86</v>
      </c>
    </row>
    <row r="37" spans="1:27" hidden="1" x14ac:dyDescent="0.2">
      <c r="A37" s="17">
        <v>43765</v>
      </c>
      <c r="B37" s="11" t="s">
        <v>288</v>
      </c>
      <c r="C37" s="37"/>
      <c r="D37" s="13" t="s">
        <v>87</v>
      </c>
      <c r="E37" s="13" t="s">
        <v>87</v>
      </c>
      <c r="F37" s="13" t="s">
        <v>87</v>
      </c>
      <c r="G37" s="12" t="s">
        <v>87</v>
      </c>
      <c r="H37" s="12" t="s">
        <v>109</v>
      </c>
      <c r="I37" s="12" t="s">
        <v>109</v>
      </c>
      <c r="J37" s="12" t="s">
        <v>87</v>
      </c>
      <c r="K37" s="12" t="s">
        <v>87</v>
      </c>
      <c r="L37" s="12" t="s">
        <v>87</v>
      </c>
      <c r="M37" s="12" t="s">
        <v>87</v>
      </c>
      <c r="N37" s="12" t="s">
        <v>87</v>
      </c>
      <c r="O37" s="12" t="s">
        <v>87</v>
      </c>
      <c r="P37" s="12" t="s">
        <v>87</v>
      </c>
      <c r="Q37" s="12" t="s">
        <v>87</v>
      </c>
      <c r="R37" s="12" t="s">
        <v>109</v>
      </c>
      <c r="S37" s="12" t="s">
        <v>109</v>
      </c>
      <c r="T37" s="12" t="s">
        <v>87</v>
      </c>
      <c r="U37" s="12" t="s">
        <v>86</v>
      </c>
      <c r="V37" s="12" t="s">
        <v>86</v>
      </c>
      <c r="W37" s="12" t="s">
        <v>86</v>
      </c>
      <c r="X37" s="12" t="s">
        <v>742</v>
      </c>
      <c r="Y37" s="12" t="s">
        <v>432</v>
      </c>
      <c r="Z37" s="12" t="s">
        <v>432</v>
      </c>
      <c r="AA37" s="46" t="s">
        <v>86</v>
      </c>
    </row>
    <row r="38" spans="1:27" hidden="1" x14ac:dyDescent="0.2">
      <c r="A38" s="17">
        <v>43765</v>
      </c>
      <c r="B38" s="11" t="s">
        <v>34</v>
      </c>
      <c r="C38" s="37" t="s">
        <v>438</v>
      </c>
      <c r="D38" s="12" t="s">
        <v>87</v>
      </c>
      <c r="E38" s="12" t="s">
        <v>87</v>
      </c>
      <c r="F38" s="12" t="s">
        <v>87</v>
      </c>
      <c r="G38" s="12" t="s">
        <v>87</v>
      </c>
      <c r="H38" s="12" t="s">
        <v>109</v>
      </c>
      <c r="I38" s="12" t="s">
        <v>109</v>
      </c>
      <c r="J38" s="13" t="s">
        <v>87</v>
      </c>
      <c r="K38" s="12" t="s">
        <v>87</v>
      </c>
      <c r="L38" s="12" t="s">
        <v>86</v>
      </c>
      <c r="M38" s="12" t="s">
        <v>86</v>
      </c>
      <c r="N38" s="12" t="s">
        <v>86</v>
      </c>
      <c r="O38" s="12" t="s">
        <v>86</v>
      </c>
      <c r="P38" s="12" t="s">
        <v>86</v>
      </c>
      <c r="Q38" s="12" t="s">
        <v>86</v>
      </c>
      <c r="R38" s="12" t="s">
        <v>109</v>
      </c>
      <c r="S38" s="12" t="s">
        <v>109</v>
      </c>
      <c r="T38" s="12" t="s">
        <v>86</v>
      </c>
      <c r="U38" s="13" t="s">
        <v>86</v>
      </c>
      <c r="V38" s="13" t="s">
        <v>86</v>
      </c>
      <c r="W38" s="13" t="s">
        <v>86</v>
      </c>
      <c r="X38" s="13" t="s">
        <v>742</v>
      </c>
      <c r="Y38" s="13" t="s">
        <v>432</v>
      </c>
      <c r="Z38" s="13" t="s">
        <v>432</v>
      </c>
      <c r="AA38" s="45" t="s">
        <v>86</v>
      </c>
    </row>
    <row r="39" spans="1:27" hidden="1" x14ac:dyDescent="0.2">
      <c r="A39" s="17">
        <v>43765</v>
      </c>
      <c r="B39" s="11" t="s">
        <v>27</v>
      </c>
      <c r="C39" s="37"/>
      <c r="D39" s="12" t="s">
        <v>87</v>
      </c>
      <c r="E39" s="12" t="s">
        <v>87</v>
      </c>
      <c r="F39" s="12" t="s">
        <v>87</v>
      </c>
      <c r="G39" s="13" t="s">
        <v>87</v>
      </c>
      <c r="H39" s="12" t="s">
        <v>87</v>
      </c>
      <c r="I39" s="12" t="s">
        <v>87</v>
      </c>
      <c r="J39" s="13" t="s">
        <v>86</v>
      </c>
      <c r="K39" s="13" t="s">
        <v>86</v>
      </c>
      <c r="L39" s="13" t="s">
        <v>86</v>
      </c>
      <c r="M39" s="13" t="s">
        <v>86</v>
      </c>
      <c r="N39" s="13" t="s">
        <v>86</v>
      </c>
      <c r="O39" s="13" t="s">
        <v>86</v>
      </c>
      <c r="P39" s="13" t="s">
        <v>86</v>
      </c>
      <c r="Q39" s="13" t="s">
        <v>86</v>
      </c>
      <c r="R39" s="12" t="s">
        <v>86</v>
      </c>
      <c r="S39" s="12" t="s">
        <v>86</v>
      </c>
      <c r="T39" s="13" t="s">
        <v>86</v>
      </c>
      <c r="U39" s="13" t="s">
        <v>86</v>
      </c>
      <c r="V39" s="13" t="s">
        <v>86</v>
      </c>
      <c r="W39" s="13" t="s">
        <v>86</v>
      </c>
      <c r="X39" s="13" t="s">
        <v>742</v>
      </c>
      <c r="Y39" s="13" t="s">
        <v>109</v>
      </c>
      <c r="Z39" s="13" t="s">
        <v>109</v>
      </c>
      <c r="AA39" s="46" t="s">
        <v>86</v>
      </c>
    </row>
    <row r="40" spans="1:27" hidden="1" x14ac:dyDescent="0.2">
      <c r="A40" s="17">
        <v>43768</v>
      </c>
      <c r="B40" s="11" t="s">
        <v>35</v>
      </c>
      <c r="C40" s="37"/>
      <c r="D40" s="12" t="s">
        <v>87</v>
      </c>
      <c r="E40" s="12" t="s">
        <v>87</v>
      </c>
      <c r="F40" s="12" t="s">
        <v>87</v>
      </c>
      <c r="G40" s="12" t="s">
        <v>86</v>
      </c>
      <c r="H40" s="12" t="s">
        <v>109</v>
      </c>
      <c r="I40" s="12" t="s">
        <v>109</v>
      </c>
      <c r="J40" s="12" t="s">
        <v>86</v>
      </c>
      <c r="K40" s="12" t="s">
        <v>86</v>
      </c>
      <c r="L40" s="12" t="s">
        <v>86</v>
      </c>
      <c r="M40" s="12" t="s">
        <v>86</v>
      </c>
      <c r="N40" s="12" t="s">
        <v>86</v>
      </c>
      <c r="O40" s="12" t="s">
        <v>86</v>
      </c>
      <c r="P40" s="12" t="s">
        <v>86</v>
      </c>
      <c r="Q40" s="12" t="s">
        <v>86</v>
      </c>
      <c r="R40" s="12" t="s">
        <v>109</v>
      </c>
      <c r="S40" s="12" t="s">
        <v>109</v>
      </c>
      <c r="T40" s="12" t="s">
        <v>86</v>
      </c>
      <c r="U40" s="12" t="s">
        <v>86</v>
      </c>
      <c r="V40" s="12" t="s">
        <v>86</v>
      </c>
      <c r="W40" s="12" t="s">
        <v>86</v>
      </c>
      <c r="X40" s="12" t="s">
        <v>742</v>
      </c>
      <c r="Y40" s="12" t="s">
        <v>86</v>
      </c>
      <c r="Z40" s="13" t="s">
        <v>86</v>
      </c>
      <c r="AA40" s="46" t="s">
        <v>86</v>
      </c>
    </row>
    <row r="41" spans="1:27" hidden="1" x14ac:dyDescent="0.2">
      <c r="A41" s="17">
        <v>43768</v>
      </c>
      <c r="B41" s="11" t="s">
        <v>370</v>
      </c>
      <c r="C41" s="37"/>
      <c r="D41" s="12" t="s">
        <v>87</v>
      </c>
      <c r="E41" s="12" t="s">
        <v>87</v>
      </c>
      <c r="F41" s="12" t="s">
        <v>87</v>
      </c>
      <c r="G41" s="13" t="s">
        <v>86</v>
      </c>
      <c r="H41" s="12" t="s">
        <v>86</v>
      </c>
      <c r="I41" s="12" t="s">
        <v>86</v>
      </c>
      <c r="J41" s="13" t="s">
        <v>86</v>
      </c>
      <c r="K41" s="13" t="s">
        <v>86</v>
      </c>
      <c r="L41" s="13" t="s">
        <v>86</v>
      </c>
      <c r="M41" s="13" t="s">
        <v>86</v>
      </c>
      <c r="N41" s="13" t="s">
        <v>86</v>
      </c>
      <c r="O41" s="13" t="s">
        <v>86</v>
      </c>
      <c r="P41" s="13" t="s">
        <v>86</v>
      </c>
      <c r="Q41" s="13" t="s">
        <v>86</v>
      </c>
      <c r="R41" s="12" t="s">
        <v>86</v>
      </c>
      <c r="S41" s="12" t="s">
        <v>86</v>
      </c>
      <c r="T41" s="13" t="s">
        <v>86</v>
      </c>
      <c r="U41" s="13" t="s">
        <v>86</v>
      </c>
      <c r="V41" s="13" t="s">
        <v>86</v>
      </c>
      <c r="W41" s="13" t="s">
        <v>86</v>
      </c>
      <c r="X41" s="13" t="s">
        <v>742</v>
      </c>
      <c r="Y41" s="13" t="s">
        <v>86</v>
      </c>
      <c r="Z41" s="13" t="s">
        <v>432</v>
      </c>
      <c r="AA41" s="46" t="s">
        <v>86</v>
      </c>
    </row>
    <row r="42" spans="1:27" hidden="1" x14ac:dyDescent="0.2">
      <c r="A42" s="17">
        <v>43768</v>
      </c>
      <c r="B42" s="11" t="s">
        <v>31</v>
      </c>
      <c r="C42" s="37"/>
      <c r="D42" s="12" t="s">
        <v>87</v>
      </c>
      <c r="E42" s="12" t="s">
        <v>87</v>
      </c>
      <c r="F42" s="12" t="s">
        <v>87</v>
      </c>
      <c r="G42" s="13" t="s">
        <v>86</v>
      </c>
      <c r="H42" s="13" t="s">
        <v>86</v>
      </c>
      <c r="I42" s="13" t="s">
        <v>86</v>
      </c>
      <c r="J42" s="13" t="s">
        <v>86</v>
      </c>
      <c r="K42" s="13" t="s">
        <v>86</v>
      </c>
      <c r="L42" s="13" t="s">
        <v>86</v>
      </c>
      <c r="M42" s="13" t="s">
        <v>86</v>
      </c>
      <c r="N42" s="13" t="s">
        <v>86</v>
      </c>
      <c r="O42" s="13" t="s">
        <v>86</v>
      </c>
      <c r="P42" s="13" t="s">
        <v>86</v>
      </c>
      <c r="Q42" s="13" t="s">
        <v>86</v>
      </c>
      <c r="R42" s="13" t="s">
        <v>86</v>
      </c>
      <c r="S42" s="13" t="s">
        <v>86</v>
      </c>
      <c r="T42" s="13" t="s">
        <v>86</v>
      </c>
      <c r="U42" s="13" t="s">
        <v>86</v>
      </c>
      <c r="V42" s="13" t="s">
        <v>86</v>
      </c>
      <c r="W42" s="13" t="s">
        <v>86</v>
      </c>
      <c r="X42" s="13" t="s">
        <v>742</v>
      </c>
      <c r="Y42" s="13" t="s">
        <v>86</v>
      </c>
      <c r="Z42" s="13" t="s">
        <v>86</v>
      </c>
      <c r="AA42" s="46" t="s">
        <v>86</v>
      </c>
    </row>
    <row r="43" spans="1:27" hidden="1" x14ac:dyDescent="0.2">
      <c r="A43" s="17">
        <v>43768</v>
      </c>
      <c r="B43" s="11" t="s">
        <v>288</v>
      </c>
      <c r="C43" s="37"/>
      <c r="D43" s="13" t="s">
        <v>87</v>
      </c>
      <c r="E43" s="13" t="s">
        <v>87</v>
      </c>
      <c r="F43" s="13" t="s">
        <v>87</v>
      </c>
      <c r="G43" s="13" t="s">
        <v>86</v>
      </c>
      <c r="H43" s="13" t="s">
        <v>109</v>
      </c>
      <c r="I43" s="13" t="s">
        <v>109</v>
      </c>
      <c r="J43" s="13" t="s">
        <v>86</v>
      </c>
      <c r="K43" s="13" t="s">
        <v>86</v>
      </c>
      <c r="L43" s="13" t="s">
        <v>86</v>
      </c>
      <c r="M43" s="13" t="s">
        <v>86</v>
      </c>
      <c r="N43" s="13" t="s">
        <v>86</v>
      </c>
      <c r="O43" s="13" t="s">
        <v>86</v>
      </c>
      <c r="P43" s="13" t="s">
        <v>86</v>
      </c>
      <c r="Q43" s="13" t="s">
        <v>86</v>
      </c>
      <c r="R43" s="13" t="s">
        <v>109</v>
      </c>
      <c r="S43" s="13" t="s">
        <v>109</v>
      </c>
      <c r="T43" s="13" t="s">
        <v>86</v>
      </c>
      <c r="U43" s="13" t="s">
        <v>86</v>
      </c>
      <c r="V43" s="13" t="s">
        <v>86</v>
      </c>
      <c r="W43" s="13" t="s">
        <v>86</v>
      </c>
      <c r="X43" s="13" t="s">
        <v>742</v>
      </c>
      <c r="Y43" s="13" t="s">
        <v>432</v>
      </c>
      <c r="Z43" s="13" t="s">
        <v>432</v>
      </c>
      <c r="AA43" s="46" t="s">
        <v>432</v>
      </c>
    </row>
    <row r="44" spans="1:27" hidden="1" x14ac:dyDescent="0.2">
      <c r="A44" s="17">
        <v>43768</v>
      </c>
      <c r="B44" s="11" t="s">
        <v>28</v>
      </c>
      <c r="C44" s="37"/>
      <c r="D44" s="12" t="s">
        <v>87</v>
      </c>
      <c r="E44" s="12" t="s">
        <v>87</v>
      </c>
      <c r="F44" s="12" t="s">
        <v>87</v>
      </c>
      <c r="G44" s="12" t="s">
        <v>86</v>
      </c>
      <c r="H44" s="12" t="s">
        <v>109</v>
      </c>
      <c r="I44" s="12" t="s">
        <v>109</v>
      </c>
      <c r="J44" s="13" t="s">
        <v>86</v>
      </c>
      <c r="K44" s="13" t="s">
        <v>86</v>
      </c>
      <c r="L44" s="13" t="s">
        <v>86</v>
      </c>
      <c r="M44" s="13" t="s">
        <v>86</v>
      </c>
      <c r="N44" s="13" t="s">
        <v>86</v>
      </c>
      <c r="O44" s="13" t="s">
        <v>86</v>
      </c>
      <c r="P44" s="13" t="s">
        <v>86</v>
      </c>
      <c r="Q44" s="13" t="s">
        <v>86</v>
      </c>
      <c r="R44" s="13" t="s">
        <v>109</v>
      </c>
      <c r="S44" s="13" t="s">
        <v>109</v>
      </c>
      <c r="T44" s="13" t="s">
        <v>86</v>
      </c>
      <c r="U44" s="13" t="s">
        <v>86</v>
      </c>
      <c r="V44" s="13" t="s">
        <v>86</v>
      </c>
      <c r="W44" s="13" t="s">
        <v>86</v>
      </c>
      <c r="X44" s="13" t="s">
        <v>742</v>
      </c>
      <c r="Y44" s="13" t="s">
        <v>86</v>
      </c>
      <c r="Z44" s="13" t="s">
        <v>86</v>
      </c>
      <c r="AA44" s="46" t="s">
        <v>86</v>
      </c>
    </row>
    <row r="45" spans="1:27" hidden="1" x14ac:dyDescent="0.2">
      <c r="A45" s="17">
        <v>43768</v>
      </c>
      <c r="B45" s="11" t="s">
        <v>33</v>
      </c>
      <c r="C45" s="37"/>
      <c r="D45" s="12" t="s">
        <v>87</v>
      </c>
      <c r="E45" s="12" t="s">
        <v>87</v>
      </c>
      <c r="F45" s="12" t="s">
        <v>87</v>
      </c>
      <c r="G45" s="12" t="s">
        <v>86</v>
      </c>
      <c r="H45" s="12" t="s">
        <v>109</v>
      </c>
      <c r="I45" s="12" t="s">
        <v>109</v>
      </c>
      <c r="J45" s="13" t="s">
        <v>86</v>
      </c>
      <c r="K45" s="13" t="s">
        <v>86</v>
      </c>
      <c r="L45" s="13" t="s">
        <v>86</v>
      </c>
      <c r="M45" s="13" t="s">
        <v>86</v>
      </c>
      <c r="N45" s="13" t="s">
        <v>86</v>
      </c>
      <c r="O45" s="13" t="s">
        <v>86</v>
      </c>
      <c r="P45" s="13" t="s">
        <v>86</v>
      </c>
      <c r="Q45" s="13" t="s">
        <v>86</v>
      </c>
      <c r="R45" s="12" t="s">
        <v>109</v>
      </c>
      <c r="S45" s="12" t="s">
        <v>109</v>
      </c>
      <c r="T45" s="13" t="s">
        <v>86</v>
      </c>
      <c r="U45" s="13" t="s">
        <v>86</v>
      </c>
      <c r="V45" s="13" t="s">
        <v>86</v>
      </c>
      <c r="W45" s="13" t="s">
        <v>86</v>
      </c>
      <c r="X45" s="13" t="s">
        <v>742</v>
      </c>
      <c r="Y45" s="13" t="s">
        <v>86</v>
      </c>
      <c r="Z45" s="13" t="s">
        <v>86</v>
      </c>
      <c r="AA45" s="46" t="s">
        <v>86</v>
      </c>
    </row>
    <row r="46" spans="1:27" hidden="1" x14ac:dyDescent="0.2">
      <c r="A46" s="17">
        <v>43772</v>
      </c>
      <c r="B46" s="11" t="s">
        <v>503</v>
      </c>
      <c r="C46" s="37"/>
      <c r="D46" s="12" t="s">
        <v>86</v>
      </c>
      <c r="E46" s="12" t="s">
        <v>86</v>
      </c>
      <c r="F46" s="12" t="s">
        <v>86</v>
      </c>
      <c r="G46" s="13" t="s">
        <v>86</v>
      </c>
      <c r="H46" s="12" t="s">
        <v>432</v>
      </c>
      <c r="I46" s="12" t="s">
        <v>432</v>
      </c>
      <c r="J46" s="13" t="s">
        <v>86</v>
      </c>
      <c r="K46" s="13" t="s">
        <v>86</v>
      </c>
      <c r="L46" s="13" t="s">
        <v>86</v>
      </c>
      <c r="M46" s="13" t="s">
        <v>86</v>
      </c>
      <c r="N46" s="13" t="s">
        <v>86</v>
      </c>
      <c r="O46" s="13" t="s">
        <v>86</v>
      </c>
      <c r="P46" s="13" t="s">
        <v>86</v>
      </c>
      <c r="Q46" s="13" t="s">
        <v>86</v>
      </c>
      <c r="R46" s="12" t="s">
        <v>432</v>
      </c>
      <c r="S46" s="12" t="s">
        <v>432</v>
      </c>
      <c r="T46" s="13" t="s">
        <v>86</v>
      </c>
      <c r="U46" s="13" t="s">
        <v>86</v>
      </c>
      <c r="V46" s="13" t="s">
        <v>86</v>
      </c>
      <c r="W46" s="13" t="s">
        <v>86</v>
      </c>
      <c r="X46" s="13" t="s">
        <v>742</v>
      </c>
      <c r="Y46" s="12" t="s">
        <v>86</v>
      </c>
      <c r="Z46" s="12" t="s">
        <v>86</v>
      </c>
      <c r="AA46" s="46" t="s">
        <v>86</v>
      </c>
    </row>
    <row r="47" spans="1:27" hidden="1" x14ac:dyDescent="0.2">
      <c r="A47" s="17">
        <v>43772</v>
      </c>
      <c r="B47" s="11" t="s">
        <v>35</v>
      </c>
      <c r="C47" s="37"/>
      <c r="D47" s="12" t="s">
        <v>87</v>
      </c>
      <c r="E47" s="12" t="s">
        <v>87</v>
      </c>
      <c r="F47" s="12" t="s">
        <v>87</v>
      </c>
      <c r="G47" s="13" t="s">
        <v>87</v>
      </c>
      <c r="H47" s="12" t="s">
        <v>432</v>
      </c>
      <c r="I47" s="12" t="s">
        <v>432</v>
      </c>
      <c r="J47" s="13" t="s">
        <v>86</v>
      </c>
      <c r="K47" s="13" t="s">
        <v>86</v>
      </c>
      <c r="L47" s="13" t="s">
        <v>86</v>
      </c>
      <c r="M47" s="13" t="s">
        <v>86</v>
      </c>
      <c r="N47" s="13" t="s">
        <v>86</v>
      </c>
      <c r="O47" s="13" t="s">
        <v>86</v>
      </c>
      <c r="P47" s="13" t="s">
        <v>86</v>
      </c>
      <c r="Q47" s="13" t="s">
        <v>86</v>
      </c>
      <c r="R47" s="12" t="s">
        <v>432</v>
      </c>
      <c r="S47" s="12" t="s">
        <v>432</v>
      </c>
      <c r="T47" s="13" t="s">
        <v>86</v>
      </c>
      <c r="U47" s="13" t="s">
        <v>86</v>
      </c>
      <c r="V47" s="13" t="s">
        <v>86</v>
      </c>
      <c r="W47" s="13" t="s">
        <v>86</v>
      </c>
      <c r="X47" s="13" t="s">
        <v>742</v>
      </c>
      <c r="Y47" s="13" t="s">
        <v>86</v>
      </c>
      <c r="Z47" s="13" t="s">
        <v>86</v>
      </c>
      <c r="AA47" s="46" t="s">
        <v>86</v>
      </c>
    </row>
    <row r="48" spans="1:27" hidden="1" x14ac:dyDescent="0.2">
      <c r="A48" s="17">
        <v>43772</v>
      </c>
      <c r="B48" s="11" t="s">
        <v>31</v>
      </c>
      <c r="C48" s="37"/>
      <c r="D48" s="13" t="s">
        <v>87</v>
      </c>
      <c r="E48" s="13" t="s">
        <v>87</v>
      </c>
      <c r="F48" s="13" t="s">
        <v>87</v>
      </c>
      <c r="G48" s="13" t="s">
        <v>87</v>
      </c>
      <c r="H48" s="12" t="s">
        <v>86</v>
      </c>
      <c r="I48" s="12" t="s">
        <v>86</v>
      </c>
      <c r="J48" s="13" t="s">
        <v>86</v>
      </c>
      <c r="K48" s="13" t="s">
        <v>86</v>
      </c>
      <c r="L48" s="13" t="s">
        <v>86</v>
      </c>
      <c r="M48" s="13" t="s">
        <v>86</v>
      </c>
      <c r="N48" s="13" t="s">
        <v>86</v>
      </c>
      <c r="O48" s="13" t="s">
        <v>86</v>
      </c>
      <c r="P48" s="13" t="s">
        <v>86</v>
      </c>
      <c r="Q48" s="13" t="s">
        <v>86</v>
      </c>
      <c r="R48" s="12" t="s">
        <v>432</v>
      </c>
      <c r="S48" s="12" t="s">
        <v>432</v>
      </c>
      <c r="T48" s="13" t="s">
        <v>86</v>
      </c>
      <c r="U48" s="13" t="s">
        <v>86</v>
      </c>
      <c r="V48" s="13" t="s">
        <v>86</v>
      </c>
      <c r="W48" s="13" t="s">
        <v>86</v>
      </c>
      <c r="X48" s="13" t="s">
        <v>742</v>
      </c>
      <c r="Y48" s="13" t="s">
        <v>86</v>
      </c>
      <c r="Z48" s="13" t="s">
        <v>86</v>
      </c>
      <c r="AA48" s="46" t="s">
        <v>86</v>
      </c>
    </row>
    <row r="49" spans="1:27" hidden="1" x14ac:dyDescent="0.2">
      <c r="A49" s="17">
        <v>43772</v>
      </c>
      <c r="B49" s="11" t="s">
        <v>34</v>
      </c>
      <c r="C49" s="37"/>
      <c r="D49" s="13" t="s">
        <v>86</v>
      </c>
      <c r="E49" s="13" t="s">
        <v>86</v>
      </c>
      <c r="F49" s="13" t="s">
        <v>86</v>
      </c>
      <c r="G49" s="13" t="s">
        <v>86</v>
      </c>
      <c r="H49" s="13" t="s">
        <v>432</v>
      </c>
      <c r="I49" s="13" t="s">
        <v>432</v>
      </c>
      <c r="J49" s="13" t="s">
        <v>86</v>
      </c>
      <c r="K49" s="13" t="s">
        <v>86</v>
      </c>
      <c r="L49" s="13" t="s">
        <v>86</v>
      </c>
      <c r="M49" s="13" t="s">
        <v>86</v>
      </c>
      <c r="N49" s="13" t="s">
        <v>86</v>
      </c>
      <c r="O49" s="13" t="s">
        <v>86</v>
      </c>
      <c r="P49" s="13" t="s">
        <v>86</v>
      </c>
      <c r="Q49" s="13" t="s">
        <v>86</v>
      </c>
      <c r="R49" s="13" t="s">
        <v>432</v>
      </c>
      <c r="S49" s="13" t="s">
        <v>432</v>
      </c>
      <c r="T49" s="13" t="s">
        <v>86</v>
      </c>
      <c r="U49" s="13" t="s">
        <v>86</v>
      </c>
      <c r="V49" s="13" t="s">
        <v>86</v>
      </c>
      <c r="W49" s="13" t="s">
        <v>86</v>
      </c>
      <c r="X49" s="13" t="s">
        <v>742</v>
      </c>
      <c r="Y49" s="13" t="s">
        <v>432</v>
      </c>
      <c r="Z49" s="13" t="s">
        <v>432</v>
      </c>
      <c r="AA49" s="46" t="s">
        <v>432</v>
      </c>
    </row>
    <row r="50" spans="1:27" hidden="1" x14ac:dyDescent="0.2">
      <c r="A50" s="17">
        <v>43775</v>
      </c>
      <c r="B50" s="11" t="s">
        <v>35</v>
      </c>
      <c r="C50" s="37"/>
      <c r="D50" s="12" t="s">
        <v>87</v>
      </c>
      <c r="E50" s="12" t="s">
        <v>87</v>
      </c>
      <c r="F50" s="12" t="s">
        <v>86</v>
      </c>
      <c r="G50" s="12" t="s">
        <v>86</v>
      </c>
      <c r="H50" s="13" t="s">
        <v>86</v>
      </c>
      <c r="I50" s="13" t="s">
        <v>86</v>
      </c>
      <c r="J50" s="13" t="s">
        <v>86</v>
      </c>
      <c r="K50" s="13" t="s">
        <v>86</v>
      </c>
      <c r="L50" s="13" t="s">
        <v>86</v>
      </c>
      <c r="M50" s="13" t="s">
        <v>86</v>
      </c>
      <c r="N50" s="13" t="s">
        <v>86</v>
      </c>
      <c r="O50" s="13" t="s">
        <v>86</v>
      </c>
      <c r="P50" s="13" t="s">
        <v>86</v>
      </c>
      <c r="Q50" s="13" t="s">
        <v>86</v>
      </c>
      <c r="R50" s="13" t="s">
        <v>86</v>
      </c>
      <c r="S50" s="13" t="s">
        <v>86</v>
      </c>
      <c r="T50" s="13" t="s">
        <v>86</v>
      </c>
      <c r="U50" s="13" t="s">
        <v>86</v>
      </c>
      <c r="V50" s="13" t="s">
        <v>86</v>
      </c>
      <c r="W50" s="13" t="s">
        <v>86</v>
      </c>
      <c r="X50" s="13" t="s">
        <v>742</v>
      </c>
      <c r="Y50" s="13" t="s">
        <v>86</v>
      </c>
      <c r="Z50" s="13" t="s">
        <v>86</v>
      </c>
      <c r="AA50" s="46" t="s">
        <v>86</v>
      </c>
    </row>
    <row r="51" spans="1:27" hidden="1" x14ac:dyDescent="0.2">
      <c r="A51" s="17">
        <v>43775</v>
      </c>
      <c r="B51" s="11" t="s">
        <v>34</v>
      </c>
      <c r="C51" s="37"/>
      <c r="D51" s="13" t="s">
        <v>86</v>
      </c>
      <c r="E51" s="13" t="s">
        <v>86</v>
      </c>
      <c r="F51" s="13" t="s">
        <v>86</v>
      </c>
      <c r="G51" s="13" t="s">
        <v>86</v>
      </c>
      <c r="H51" s="13" t="s">
        <v>432</v>
      </c>
      <c r="I51" s="13" t="s">
        <v>432</v>
      </c>
      <c r="J51" s="13" t="s">
        <v>86</v>
      </c>
      <c r="K51" s="13" t="s">
        <v>86</v>
      </c>
      <c r="L51" s="13" t="s">
        <v>86</v>
      </c>
      <c r="M51" s="13" t="s">
        <v>86</v>
      </c>
      <c r="N51" s="13" t="s">
        <v>86</v>
      </c>
      <c r="O51" s="13" t="s">
        <v>86</v>
      </c>
      <c r="P51" s="13" t="s">
        <v>86</v>
      </c>
      <c r="Q51" s="13" t="s">
        <v>86</v>
      </c>
      <c r="R51" s="13" t="s">
        <v>432</v>
      </c>
      <c r="S51" s="13" t="s">
        <v>432</v>
      </c>
      <c r="T51" s="13" t="s">
        <v>86</v>
      </c>
      <c r="U51" s="13" t="s">
        <v>86</v>
      </c>
      <c r="V51" s="13" t="s">
        <v>86</v>
      </c>
      <c r="W51" s="13" t="s">
        <v>86</v>
      </c>
      <c r="X51" s="13" t="s">
        <v>742</v>
      </c>
      <c r="Y51" s="13" t="s">
        <v>432</v>
      </c>
      <c r="Z51" s="13" t="s">
        <v>432</v>
      </c>
      <c r="AA51" s="46" t="s">
        <v>432</v>
      </c>
    </row>
    <row r="52" spans="1:27" hidden="1" x14ac:dyDescent="0.2">
      <c r="A52" s="17">
        <v>43775</v>
      </c>
      <c r="B52" s="11" t="s">
        <v>27</v>
      </c>
      <c r="C52" s="37"/>
      <c r="D52" s="13" t="s">
        <v>87</v>
      </c>
      <c r="E52" s="13" t="s">
        <v>87</v>
      </c>
      <c r="F52" s="13" t="s">
        <v>87</v>
      </c>
      <c r="G52" s="13" t="s">
        <v>86</v>
      </c>
      <c r="H52" s="13" t="s">
        <v>86</v>
      </c>
      <c r="I52" s="13" t="s">
        <v>86</v>
      </c>
      <c r="J52" s="13" t="s">
        <v>86</v>
      </c>
      <c r="K52" s="13" t="s">
        <v>86</v>
      </c>
      <c r="L52" s="13" t="s">
        <v>86</v>
      </c>
      <c r="M52" s="13" t="s">
        <v>86</v>
      </c>
      <c r="N52" s="13" t="s">
        <v>86</v>
      </c>
      <c r="O52" s="13" t="s">
        <v>86</v>
      </c>
      <c r="P52" s="13" t="s">
        <v>86</v>
      </c>
      <c r="Q52" s="13" t="s">
        <v>86</v>
      </c>
      <c r="R52" s="13" t="s">
        <v>86</v>
      </c>
      <c r="S52" s="13" t="s">
        <v>86</v>
      </c>
      <c r="T52" s="13" t="s">
        <v>86</v>
      </c>
      <c r="U52" s="13" t="s">
        <v>86</v>
      </c>
      <c r="V52" s="13" t="s">
        <v>86</v>
      </c>
      <c r="W52" s="13" t="s">
        <v>86</v>
      </c>
      <c r="X52" s="13" t="s">
        <v>742</v>
      </c>
      <c r="Y52" s="13" t="s">
        <v>109</v>
      </c>
      <c r="Z52" s="13" t="s">
        <v>109</v>
      </c>
      <c r="AA52" s="46" t="s">
        <v>86</v>
      </c>
    </row>
    <row r="53" spans="1:27" hidden="1" x14ac:dyDescent="0.2">
      <c r="A53" s="17">
        <v>43779</v>
      </c>
      <c r="B53" s="11" t="s">
        <v>35</v>
      </c>
      <c r="C53" s="37"/>
      <c r="D53" s="13" t="s">
        <v>86</v>
      </c>
      <c r="E53" s="13" t="s">
        <v>86</v>
      </c>
      <c r="F53" s="13" t="s">
        <v>86</v>
      </c>
      <c r="G53" s="13" t="s">
        <v>86</v>
      </c>
      <c r="H53" s="13" t="s">
        <v>432</v>
      </c>
      <c r="I53" s="13" t="s">
        <v>432</v>
      </c>
      <c r="J53" s="13" t="s">
        <v>86</v>
      </c>
      <c r="K53" s="13" t="s">
        <v>86</v>
      </c>
      <c r="L53" s="13" t="s">
        <v>86</v>
      </c>
      <c r="M53" s="13" t="s">
        <v>86</v>
      </c>
      <c r="N53" s="13" t="s">
        <v>86</v>
      </c>
      <c r="O53" s="13" t="s">
        <v>86</v>
      </c>
      <c r="P53" s="13" t="s">
        <v>86</v>
      </c>
      <c r="Q53" s="13" t="s">
        <v>86</v>
      </c>
      <c r="R53" s="13" t="s">
        <v>432</v>
      </c>
      <c r="S53" s="13" t="s">
        <v>432</v>
      </c>
      <c r="T53" s="13" t="s">
        <v>86</v>
      </c>
      <c r="U53" s="13" t="s">
        <v>86</v>
      </c>
      <c r="V53" s="13" t="s">
        <v>86</v>
      </c>
      <c r="W53" s="13" t="s">
        <v>86</v>
      </c>
      <c r="X53" s="13" t="s">
        <v>742</v>
      </c>
      <c r="Y53" s="13" t="s">
        <v>86</v>
      </c>
      <c r="Z53" s="13" t="s">
        <v>86</v>
      </c>
      <c r="AA53" s="46" t="s">
        <v>86</v>
      </c>
    </row>
    <row r="54" spans="1:27" hidden="1" x14ac:dyDescent="0.2">
      <c r="A54" s="17">
        <v>43779</v>
      </c>
      <c r="B54" s="11" t="s">
        <v>54</v>
      </c>
      <c r="C54" s="37"/>
      <c r="D54" s="13" t="s">
        <v>87</v>
      </c>
      <c r="E54" s="13" t="s">
        <v>87</v>
      </c>
      <c r="F54" s="13" t="s">
        <v>87</v>
      </c>
      <c r="G54" s="13" t="s">
        <v>86</v>
      </c>
      <c r="H54" s="13" t="s">
        <v>109</v>
      </c>
      <c r="I54" s="13" t="s">
        <v>109</v>
      </c>
      <c r="J54" s="13" t="s">
        <v>86</v>
      </c>
      <c r="K54" s="13" t="s">
        <v>86</v>
      </c>
      <c r="L54" s="13" t="s">
        <v>86</v>
      </c>
      <c r="M54" s="13" t="s">
        <v>86</v>
      </c>
      <c r="N54" s="13" t="s">
        <v>86</v>
      </c>
      <c r="O54" s="13" t="s">
        <v>86</v>
      </c>
      <c r="P54" s="13" t="s">
        <v>86</v>
      </c>
      <c r="Q54" s="13" t="s">
        <v>86</v>
      </c>
      <c r="R54" s="13" t="s">
        <v>109</v>
      </c>
      <c r="S54" s="13" t="s">
        <v>109</v>
      </c>
      <c r="T54" s="13" t="s">
        <v>86</v>
      </c>
      <c r="U54" s="13" t="s">
        <v>86</v>
      </c>
      <c r="V54" s="13" t="s">
        <v>86</v>
      </c>
      <c r="W54" s="13" t="s">
        <v>86</v>
      </c>
      <c r="X54" s="13" t="s">
        <v>742</v>
      </c>
      <c r="Y54" s="13" t="s">
        <v>86</v>
      </c>
      <c r="Z54" s="13" t="s">
        <v>86</v>
      </c>
      <c r="AA54" s="46" t="s">
        <v>86</v>
      </c>
    </row>
    <row r="55" spans="1:27" hidden="1" x14ac:dyDescent="0.2">
      <c r="A55" s="17">
        <v>43779</v>
      </c>
      <c r="B55" s="11" t="s">
        <v>34</v>
      </c>
      <c r="C55" s="37"/>
      <c r="D55" s="13" t="s">
        <v>86</v>
      </c>
      <c r="E55" s="13" t="s">
        <v>86</v>
      </c>
      <c r="F55" s="13" t="s">
        <v>86</v>
      </c>
      <c r="G55" s="13" t="s">
        <v>86</v>
      </c>
      <c r="H55" s="13" t="s">
        <v>432</v>
      </c>
      <c r="I55" s="13" t="s">
        <v>432</v>
      </c>
      <c r="J55" s="13" t="s">
        <v>86</v>
      </c>
      <c r="K55" s="13" t="s">
        <v>86</v>
      </c>
      <c r="L55" s="13" t="s">
        <v>86</v>
      </c>
      <c r="M55" s="13" t="s">
        <v>86</v>
      </c>
      <c r="N55" s="13" t="s">
        <v>86</v>
      </c>
      <c r="O55" s="13" t="s">
        <v>86</v>
      </c>
      <c r="P55" s="13" t="s">
        <v>86</v>
      </c>
      <c r="Q55" s="13" t="s">
        <v>86</v>
      </c>
      <c r="R55" s="13" t="s">
        <v>432</v>
      </c>
      <c r="S55" s="13" t="s">
        <v>432</v>
      </c>
      <c r="T55" s="13" t="s">
        <v>86</v>
      </c>
      <c r="U55" s="13" t="s">
        <v>86</v>
      </c>
      <c r="V55" s="13" t="s">
        <v>86</v>
      </c>
      <c r="W55" s="13" t="s">
        <v>86</v>
      </c>
      <c r="X55" s="13" t="s">
        <v>742</v>
      </c>
      <c r="Y55" s="13" t="s">
        <v>432</v>
      </c>
      <c r="Z55" s="13" t="s">
        <v>432</v>
      </c>
      <c r="AA55" s="46" t="s">
        <v>432</v>
      </c>
    </row>
    <row r="56" spans="1:27" hidden="1" x14ac:dyDescent="0.2">
      <c r="A56" s="17">
        <v>43779</v>
      </c>
      <c r="B56" s="11" t="s">
        <v>431</v>
      </c>
      <c r="C56" s="37"/>
      <c r="D56" s="13" t="s">
        <v>86</v>
      </c>
      <c r="E56" s="13" t="s">
        <v>86</v>
      </c>
      <c r="F56" s="13" t="s">
        <v>86</v>
      </c>
      <c r="G56" s="13" t="s">
        <v>86</v>
      </c>
      <c r="H56" s="13" t="s">
        <v>432</v>
      </c>
      <c r="I56" s="13" t="s">
        <v>432</v>
      </c>
      <c r="J56" s="13" t="s">
        <v>86</v>
      </c>
      <c r="K56" s="13" t="s">
        <v>86</v>
      </c>
      <c r="L56" s="13" t="s">
        <v>86</v>
      </c>
      <c r="M56" s="13" t="s">
        <v>86</v>
      </c>
      <c r="N56" s="13" t="s">
        <v>86</v>
      </c>
      <c r="O56" s="13" t="s">
        <v>86</v>
      </c>
      <c r="P56" s="13" t="s">
        <v>86</v>
      </c>
      <c r="Q56" s="13" t="s">
        <v>86</v>
      </c>
      <c r="R56" s="13" t="s">
        <v>432</v>
      </c>
      <c r="S56" s="13" t="s">
        <v>432</v>
      </c>
      <c r="T56" s="13" t="s">
        <v>86</v>
      </c>
      <c r="U56" s="13" t="s">
        <v>86</v>
      </c>
      <c r="V56" s="13" t="s">
        <v>86</v>
      </c>
      <c r="W56" s="13" t="s">
        <v>86</v>
      </c>
      <c r="X56" s="13" t="s">
        <v>742</v>
      </c>
      <c r="Y56" s="13" t="s">
        <v>86</v>
      </c>
      <c r="Z56" s="13" t="s">
        <v>86</v>
      </c>
      <c r="AA56" s="46" t="s">
        <v>86</v>
      </c>
    </row>
    <row r="57" spans="1:27" hidden="1" x14ac:dyDescent="0.2">
      <c r="A57" s="17">
        <v>43779</v>
      </c>
      <c r="B57" s="11" t="s">
        <v>28</v>
      </c>
      <c r="C57" s="37"/>
      <c r="D57" s="13" t="s">
        <v>86</v>
      </c>
      <c r="E57" s="13" t="s">
        <v>86</v>
      </c>
      <c r="F57" s="13" t="s">
        <v>86</v>
      </c>
      <c r="G57" s="13" t="s">
        <v>86</v>
      </c>
      <c r="H57" s="13" t="s">
        <v>432</v>
      </c>
      <c r="I57" s="13" t="s">
        <v>432</v>
      </c>
      <c r="J57" s="13" t="s">
        <v>86</v>
      </c>
      <c r="K57" s="13" t="s">
        <v>86</v>
      </c>
      <c r="L57" s="13" t="s">
        <v>86</v>
      </c>
      <c r="M57" s="13" t="s">
        <v>86</v>
      </c>
      <c r="N57" s="13" t="s">
        <v>86</v>
      </c>
      <c r="O57" s="13" t="s">
        <v>86</v>
      </c>
      <c r="P57" s="13" t="s">
        <v>86</v>
      </c>
      <c r="Q57" s="13" t="s">
        <v>86</v>
      </c>
      <c r="R57" s="13" t="s">
        <v>432</v>
      </c>
      <c r="S57" s="13" t="s">
        <v>432</v>
      </c>
      <c r="T57" s="13" t="s">
        <v>86</v>
      </c>
      <c r="U57" s="13" t="s">
        <v>86</v>
      </c>
      <c r="V57" s="13" t="s">
        <v>86</v>
      </c>
      <c r="W57" s="13" t="s">
        <v>86</v>
      </c>
      <c r="X57" s="13" t="s">
        <v>742</v>
      </c>
      <c r="Y57" s="13" t="s">
        <v>86</v>
      </c>
      <c r="Z57" s="13" t="s">
        <v>432</v>
      </c>
      <c r="AA57" s="46" t="s">
        <v>86</v>
      </c>
    </row>
    <row r="58" spans="1:27" hidden="1" x14ac:dyDescent="0.2">
      <c r="A58" s="17">
        <v>43782</v>
      </c>
      <c r="B58" s="11" t="s">
        <v>35</v>
      </c>
      <c r="C58" s="37"/>
      <c r="D58" s="13" t="s">
        <v>87</v>
      </c>
      <c r="E58" s="13" t="s">
        <v>87</v>
      </c>
      <c r="F58" s="13" t="s">
        <v>86</v>
      </c>
      <c r="G58" s="13" t="s">
        <v>86</v>
      </c>
      <c r="H58" s="13" t="s">
        <v>86</v>
      </c>
      <c r="I58" s="13" t="s">
        <v>86</v>
      </c>
      <c r="J58" s="13" t="s">
        <v>86</v>
      </c>
      <c r="K58" s="13" t="s">
        <v>86</v>
      </c>
      <c r="L58" s="13" t="s">
        <v>86</v>
      </c>
      <c r="M58" s="13" t="s">
        <v>86</v>
      </c>
      <c r="N58" s="13" t="s">
        <v>86</v>
      </c>
      <c r="O58" s="13" t="s">
        <v>86</v>
      </c>
      <c r="P58" s="13" t="s">
        <v>86</v>
      </c>
      <c r="Q58" s="13" t="s">
        <v>86</v>
      </c>
      <c r="R58" s="13" t="s">
        <v>86</v>
      </c>
      <c r="S58" s="13" t="s">
        <v>86</v>
      </c>
      <c r="T58" s="13" t="s">
        <v>86</v>
      </c>
      <c r="U58" s="13" t="s">
        <v>86</v>
      </c>
      <c r="V58" s="13" t="s">
        <v>86</v>
      </c>
      <c r="W58" s="13" t="s">
        <v>86</v>
      </c>
      <c r="X58" s="13" t="s">
        <v>742</v>
      </c>
      <c r="Y58" s="13" t="s">
        <v>86</v>
      </c>
      <c r="Z58" s="13" t="s">
        <v>86</v>
      </c>
      <c r="AA58" s="46" t="s">
        <v>86</v>
      </c>
    </row>
    <row r="59" spans="1:27" hidden="1" x14ac:dyDescent="0.2">
      <c r="A59" s="17">
        <v>43782</v>
      </c>
      <c r="B59" s="11" t="s">
        <v>34</v>
      </c>
      <c r="C59" s="37"/>
      <c r="D59" s="13" t="s">
        <v>86</v>
      </c>
      <c r="E59" s="13" t="s">
        <v>86</v>
      </c>
      <c r="F59" s="13" t="s">
        <v>86</v>
      </c>
      <c r="G59" s="13" t="s">
        <v>86</v>
      </c>
      <c r="H59" s="13" t="s">
        <v>86</v>
      </c>
      <c r="I59" s="13" t="s">
        <v>86</v>
      </c>
      <c r="J59" s="13" t="s">
        <v>86</v>
      </c>
      <c r="K59" s="13" t="s">
        <v>86</v>
      </c>
      <c r="L59" s="13" t="s">
        <v>86</v>
      </c>
      <c r="M59" s="13" t="s">
        <v>86</v>
      </c>
      <c r="N59" s="13" t="s">
        <v>86</v>
      </c>
      <c r="O59" s="13" t="s">
        <v>86</v>
      </c>
      <c r="P59" s="13" t="s">
        <v>86</v>
      </c>
      <c r="Q59" s="13" t="s">
        <v>86</v>
      </c>
      <c r="R59" s="13" t="s">
        <v>86</v>
      </c>
      <c r="S59" s="13" t="s">
        <v>86</v>
      </c>
      <c r="T59" s="13" t="s">
        <v>86</v>
      </c>
      <c r="U59" s="13" t="s">
        <v>86</v>
      </c>
      <c r="V59" s="13" t="s">
        <v>86</v>
      </c>
      <c r="W59" s="13" t="s">
        <v>86</v>
      </c>
      <c r="X59" s="13" t="s">
        <v>742</v>
      </c>
      <c r="Y59" s="13" t="s">
        <v>432</v>
      </c>
      <c r="Z59" s="13" t="s">
        <v>432</v>
      </c>
      <c r="AA59" s="46" t="s">
        <v>432</v>
      </c>
    </row>
    <row r="60" spans="1:27" hidden="1" x14ac:dyDescent="0.2">
      <c r="A60" s="17">
        <v>43786</v>
      </c>
      <c r="B60" s="11" t="s">
        <v>35</v>
      </c>
      <c r="C60" s="37"/>
      <c r="D60" s="13" t="s">
        <v>86</v>
      </c>
      <c r="E60" s="13" t="s">
        <v>86</v>
      </c>
      <c r="F60" s="13" t="s">
        <v>86</v>
      </c>
      <c r="G60" s="13" t="s">
        <v>86</v>
      </c>
      <c r="H60" s="13" t="s">
        <v>432</v>
      </c>
      <c r="I60" s="13" t="s">
        <v>432</v>
      </c>
      <c r="J60" s="13" t="s">
        <v>86</v>
      </c>
      <c r="K60" s="13" t="s">
        <v>86</v>
      </c>
      <c r="L60" s="13" t="s">
        <v>86</v>
      </c>
      <c r="M60" s="13" t="s">
        <v>86</v>
      </c>
      <c r="N60" s="13" t="s">
        <v>86</v>
      </c>
      <c r="O60" s="13" t="s">
        <v>86</v>
      </c>
      <c r="P60" s="13" t="s">
        <v>86</v>
      </c>
      <c r="Q60" s="13" t="s">
        <v>86</v>
      </c>
      <c r="R60" s="13" t="s">
        <v>432</v>
      </c>
      <c r="S60" s="13" t="s">
        <v>432</v>
      </c>
      <c r="T60" s="13" t="s">
        <v>86</v>
      </c>
      <c r="U60" s="13" t="s">
        <v>86</v>
      </c>
      <c r="V60" s="13" t="s">
        <v>86</v>
      </c>
      <c r="W60" s="13" t="s">
        <v>86</v>
      </c>
      <c r="X60" s="13" t="s">
        <v>742</v>
      </c>
      <c r="Y60" s="13" t="s">
        <v>86</v>
      </c>
      <c r="Z60" s="13" t="s">
        <v>86</v>
      </c>
      <c r="AA60" s="46" t="s">
        <v>86</v>
      </c>
    </row>
    <row r="61" spans="1:27" hidden="1" x14ac:dyDescent="0.2">
      <c r="A61" s="17">
        <v>43786</v>
      </c>
      <c r="B61" s="11" t="s">
        <v>31</v>
      </c>
      <c r="C61" s="37"/>
      <c r="D61" s="13" t="s">
        <v>86</v>
      </c>
      <c r="E61" s="13" t="s">
        <v>86</v>
      </c>
      <c r="F61" s="13" t="s">
        <v>86</v>
      </c>
      <c r="G61" s="13" t="s">
        <v>86</v>
      </c>
      <c r="H61" s="13" t="s">
        <v>432</v>
      </c>
      <c r="I61" s="13" t="s">
        <v>432</v>
      </c>
      <c r="J61" s="13" t="s">
        <v>86</v>
      </c>
      <c r="K61" s="13" t="s">
        <v>86</v>
      </c>
      <c r="L61" s="13" t="s">
        <v>86</v>
      </c>
      <c r="M61" s="13" t="s">
        <v>86</v>
      </c>
      <c r="N61" s="13" t="s">
        <v>86</v>
      </c>
      <c r="O61" s="13" t="s">
        <v>86</v>
      </c>
      <c r="P61" s="13" t="s">
        <v>86</v>
      </c>
      <c r="Q61" s="13" t="s">
        <v>86</v>
      </c>
      <c r="R61" s="13" t="s">
        <v>432</v>
      </c>
      <c r="S61" s="13" t="s">
        <v>432</v>
      </c>
      <c r="T61" s="13" t="s">
        <v>86</v>
      </c>
      <c r="U61" s="13" t="s">
        <v>86</v>
      </c>
      <c r="V61" s="13" t="s">
        <v>86</v>
      </c>
      <c r="W61" s="13" t="s">
        <v>86</v>
      </c>
      <c r="X61" s="13" t="s">
        <v>742</v>
      </c>
      <c r="Y61" s="13" t="s">
        <v>86</v>
      </c>
      <c r="Z61" s="13" t="s">
        <v>86</v>
      </c>
      <c r="AA61" s="46" t="s">
        <v>86</v>
      </c>
    </row>
    <row r="62" spans="1:27" hidden="1" x14ac:dyDescent="0.2">
      <c r="A62" s="17">
        <v>43786</v>
      </c>
      <c r="B62" s="11" t="s">
        <v>34</v>
      </c>
      <c r="C62" s="37"/>
      <c r="D62" s="13" t="s">
        <v>86</v>
      </c>
      <c r="E62" s="13" t="s">
        <v>86</v>
      </c>
      <c r="F62" s="13" t="s">
        <v>86</v>
      </c>
      <c r="G62" s="13" t="s">
        <v>86</v>
      </c>
      <c r="H62" s="13" t="s">
        <v>432</v>
      </c>
      <c r="I62" s="13" t="s">
        <v>432</v>
      </c>
      <c r="J62" s="13" t="s">
        <v>86</v>
      </c>
      <c r="K62" s="13" t="s">
        <v>86</v>
      </c>
      <c r="L62" s="13" t="s">
        <v>86</v>
      </c>
      <c r="M62" s="13" t="s">
        <v>86</v>
      </c>
      <c r="N62" s="13" t="s">
        <v>86</v>
      </c>
      <c r="O62" s="13" t="s">
        <v>86</v>
      </c>
      <c r="P62" s="13" t="s">
        <v>86</v>
      </c>
      <c r="Q62" s="13" t="s">
        <v>86</v>
      </c>
      <c r="R62" s="13" t="s">
        <v>432</v>
      </c>
      <c r="S62" s="13" t="s">
        <v>432</v>
      </c>
      <c r="T62" s="13" t="s">
        <v>86</v>
      </c>
      <c r="U62" s="13" t="s">
        <v>86</v>
      </c>
      <c r="V62" s="13" t="s">
        <v>86</v>
      </c>
      <c r="W62" s="13" t="s">
        <v>86</v>
      </c>
      <c r="X62" s="13" t="s">
        <v>742</v>
      </c>
      <c r="Y62" s="13" t="s">
        <v>432</v>
      </c>
      <c r="Z62" s="13" t="s">
        <v>432</v>
      </c>
      <c r="AA62" s="46" t="s">
        <v>432</v>
      </c>
    </row>
    <row r="63" spans="1:27" hidden="1" x14ac:dyDescent="0.2">
      <c r="A63" s="17">
        <v>43786</v>
      </c>
      <c r="B63" s="11" t="s">
        <v>28</v>
      </c>
      <c r="C63" s="37"/>
      <c r="D63" s="13" t="s">
        <v>86</v>
      </c>
      <c r="E63" s="13" t="s">
        <v>86</v>
      </c>
      <c r="F63" s="13" t="s">
        <v>86</v>
      </c>
      <c r="G63" s="13" t="s">
        <v>86</v>
      </c>
      <c r="H63" s="13" t="s">
        <v>432</v>
      </c>
      <c r="I63" s="13" t="s">
        <v>432</v>
      </c>
      <c r="J63" s="13" t="s">
        <v>86</v>
      </c>
      <c r="K63" s="13" t="s">
        <v>86</v>
      </c>
      <c r="L63" s="13" t="s">
        <v>86</v>
      </c>
      <c r="M63" s="13" t="s">
        <v>86</v>
      </c>
      <c r="N63" s="13" t="s">
        <v>86</v>
      </c>
      <c r="O63" s="13" t="s">
        <v>86</v>
      </c>
      <c r="P63" s="13" t="s">
        <v>86</v>
      </c>
      <c r="Q63" s="13" t="s">
        <v>86</v>
      </c>
      <c r="R63" s="13" t="s">
        <v>432</v>
      </c>
      <c r="S63" s="13" t="s">
        <v>432</v>
      </c>
      <c r="T63" s="13" t="s">
        <v>86</v>
      </c>
      <c r="U63" s="13" t="s">
        <v>86</v>
      </c>
      <c r="V63" s="13" t="s">
        <v>86</v>
      </c>
      <c r="W63" s="13" t="s">
        <v>86</v>
      </c>
      <c r="X63" s="13" t="s">
        <v>742</v>
      </c>
      <c r="Y63" s="13" t="s">
        <v>86</v>
      </c>
      <c r="Z63" s="13" t="s">
        <v>432</v>
      </c>
      <c r="AA63" s="46" t="s">
        <v>86</v>
      </c>
    </row>
    <row r="64" spans="1:27" hidden="1" x14ac:dyDescent="0.2">
      <c r="A64" s="17">
        <v>43789</v>
      </c>
      <c r="B64" s="11" t="s">
        <v>35</v>
      </c>
      <c r="C64" s="37"/>
      <c r="D64" s="13" t="s">
        <v>86</v>
      </c>
      <c r="E64" s="13" t="s">
        <v>86</v>
      </c>
      <c r="F64" s="13" t="s">
        <v>86</v>
      </c>
      <c r="G64" s="13" t="s">
        <v>86</v>
      </c>
      <c r="H64" s="13" t="s">
        <v>432</v>
      </c>
      <c r="I64" s="13" t="s">
        <v>432</v>
      </c>
      <c r="J64" s="13" t="s">
        <v>86</v>
      </c>
      <c r="K64" s="13" t="s">
        <v>86</v>
      </c>
      <c r="L64" s="13" t="s">
        <v>86</v>
      </c>
      <c r="M64" s="13" t="s">
        <v>86</v>
      </c>
      <c r="N64" s="13" t="s">
        <v>86</v>
      </c>
      <c r="O64" s="13" t="s">
        <v>86</v>
      </c>
      <c r="P64" s="13" t="s">
        <v>86</v>
      </c>
      <c r="Q64" s="13" t="s">
        <v>86</v>
      </c>
      <c r="R64" s="13" t="s">
        <v>432</v>
      </c>
      <c r="S64" s="13" t="s">
        <v>432</v>
      </c>
      <c r="T64" s="13" t="s">
        <v>86</v>
      </c>
      <c r="U64" s="13" t="s">
        <v>86</v>
      </c>
      <c r="V64" s="13" t="s">
        <v>86</v>
      </c>
      <c r="W64" s="13" t="s">
        <v>86</v>
      </c>
      <c r="X64" s="13" t="s">
        <v>742</v>
      </c>
      <c r="Y64" s="13" t="s">
        <v>86</v>
      </c>
      <c r="Z64" s="13" t="s">
        <v>86</v>
      </c>
      <c r="AA64" s="46" t="s">
        <v>86</v>
      </c>
    </row>
    <row r="65" spans="1:27" hidden="1" x14ac:dyDescent="0.2">
      <c r="A65" s="17">
        <v>43789</v>
      </c>
      <c r="B65" s="11" t="s">
        <v>592</v>
      </c>
      <c r="C65" s="37"/>
      <c r="D65" s="13" t="s">
        <v>86</v>
      </c>
      <c r="E65" s="13" t="s">
        <v>86</v>
      </c>
      <c r="F65" s="13" t="s">
        <v>86</v>
      </c>
      <c r="G65" s="13" t="s">
        <v>86</v>
      </c>
      <c r="H65" s="13" t="s">
        <v>86</v>
      </c>
      <c r="I65" s="13" t="s">
        <v>86</v>
      </c>
      <c r="J65" s="13" t="s">
        <v>86</v>
      </c>
      <c r="K65" s="13" t="s">
        <v>86</v>
      </c>
      <c r="L65" s="13" t="s">
        <v>86</v>
      </c>
      <c r="M65" s="13" t="s">
        <v>86</v>
      </c>
      <c r="N65" s="13" t="s">
        <v>86</v>
      </c>
      <c r="O65" s="13" t="s">
        <v>86</v>
      </c>
      <c r="P65" s="13" t="s">
        <v>86</v>
      </c>
      <c r="Q65" s="13" t="s">
        <v>86</v>
      </c>
      <c r="R65" s="13" t="s">
        <v>86</v>
      </c>
      <c r="S65" s="13" t="s">
        <v>86</v>
      </c>
      <c r="T65" s="13" t="s">
        <v>86</v>
      </c>
      <c r="U65" s="13" t="s">
        <v>86</v>
      </c>
      <c r="V65" s="13" t="s">
        <v>86</v>
      </c>
      <c r="W65" s="13" t="s">
        <v>86</v>
      </c>
      <c r="X65" s="13" t="s">
        <v>742</v>
      </c>
      <c r="Y65" s="13" t="s">
        <v>86</v>
      </c>
      <c r="Z65" s="13" t="s">
        <v>432</v>
      </c>
      <c r="AA65" s="46" t="s">
        <v>86</v>
      </c>
    </row>
    <row r="66" spans="1:27" hidden="1" x14ac:dyDescent="0.2">
      <c r="A66" s="17">
        <v>43789</v>
      </c>
      <c r="B66" s="11" t="s">
        <v>54</v>
      </c>
      <c r="C66" s="37"/>
      <c r="D66" s="13" t="s">
        <v>86</v>
      </c>
      <c r="E66" s="13" t="s">
        <v>86</v>
      </c>
      <c r="F66" s="13" t="s">
        <v>86</v>
      </c>
      <c r="G66" s="13" t="s">
        <v>86</v>
      </c>
      <c r="H66" s="13" t="s">
        <v>432</v>
      </c>
      <c r="I66" s="13" t="s">
        <v>432</v>
      </c>
      <c r="J66" s="13" t="s">
        <v>86</v>
      </c>
      <c r="K66" s="13" t="s">
        <v>86</v>
      </c>
      <c r="L66" s="13" t="s">
        <v>86</v>
      </c>
      <c r="M66" s="13" t="s">
        <v>86</v>
      </c>
      <c r="N66" s="13" t="s">
        <v>86</v>
      </c>
      <c r="O66" s="13" t="s">
        <v>86</v>
      </c>
      <c r="P66" s="13" t="s">
        <v>86</v>
      </c>
      <c r="Q66" s="13" t="s">
        <v>86</v>
      </c>
      <c r="R66" s="13" t="s">
        <v>432</v>
      </c>
      <c r="S66" s="13" t="s">
        <v>432</v>
      </c>
      <c r="T66" s="13" t="s">
        <v>86</v>
      </c>
      <c r="U66" s="13" t="s">
        <v>86</v>
      </c>
      <c r="V66" s="13" t="s">
        <v>86</v>
      </c>
      <c r="W66" s="13" t="s">
        <v>86</v>
      </c>
      <c r="X66" s="13" t="s">
        <v>742</v>
      </c>
      <c r="Y66" s="13" t="s">
        <v>86</v>
      </c>
      <c r="Z66" s="13" t="s">
        <v>86</v>
      </c>
      <c r="AA66" s="46" t="s">
        <v>86</v>
      </c>
    </row>
    <row r="67" spans="1:27" hidden="1" x14ac:dyDescent="0.2">
      <c r="A67" s="17">
        <v>43789</v>
      </c>
      <c r="B67" s="39" t="s">
        <v>34</v>
      </c>
      <c r="C67" s="37"/>
      <c r="D67" s="13" t="s">
        <v>86</v>
      </c>
      <c r="E67" s="13" t="s">
        <v>86</v>
      </c>
      <c r="F67" s="13" t="s">
        <v>86</v>
      </c>
      <c r="G67" s="13" t="s">
        <v>86</v>
      </c>
      <c r="H67" s="13" t="s">
        <v>86</v>
      </c>
      <c r="I67" s="13" t="s">
        <v>86</v>
      </c>
      <c r="J67" s="13" t="s">
        <v>86</v>
      </c>
      <c r="K67" s="13" t="s">
        <v>86</v>
      </c>
      <c r="L67" s="13" t="s">
        <v>86</v>
      </c>
      <c r="M67" s="13" t="s">
        <v>86</v>
      </c>
      <c r="N67" s="13" t="s">
        <v>86</v>
      </c>
      <c r="O67" s="13" t="s">
        <v>86</v>
      </c>
      <c r="P67" s="13" t="s">
        <v>86</v>
      </c>
      <c r="Q67" s="13" t="s">
        <v>86</v>
      </c>
      <c r="R67" s="13" t="s">
        <v>86</v>
      </c>
      <c r="S67" s="13" t="s">
        <v>86</v>
      </c>
      <c r="T67" s="13" t="s">
        <v>86</v>
      </c>
      <c r="U67" s="13" t="s">
        <v>86</v>
      </c>
      <c r="V67" s="13" t="s">
        <v>86</v>
      </c>
      <c r="W67" s="13" t="s">
        <v>86</v>
      </c>
      <c r="X67" s="13" t="s">
        <v>742</v>
      </c>
      <c r="Y67" s="13" t="s">
        <v>432</v>
      </c>
      <c r="Z67" s="13" t="s">
        <v>432</v>
      </c>
      <c r="AA67" s="46" t="s">
        <v>432</v>
      </c>
    </row>
    <row r="68" spans="1:27" hidden="1" x14ac:dyDescent="0.2">
      <c r="A68" s="17">
        <v>43789</v>
      </c>
      <c r="B68" s="11" t="s">
        <v>27</v>
      </c>
      <c r="C68" s="37"/>
      <c r="D68" s="13" t="s">
        <v>86</v>
      </c>
      <c r="E68" s="13" t="s">
        <v>86</v>
      </c>
      <c r="F68" s="13" t="s">
        <v>86</v>
      </c>
      <c r="G68" s="13" t="s">
        <v>86</v>
      </c>
      <c r="H68" s="13" t="s">
        <v>432</v>
      </c>
      <c r="I68" s="13" t="s">
        <v>432</v>
      </c>
      <c r="J68" s="13" t="s">
        <v>86</v>
      </c>
      <c r="K68" s="13" t="s">
        <v>86</v>
      </c>
      <c r="L68" s="13" t="s">
        <v>86</v>
      </c>
      <c r="M68" s="13" t="s">
        <v>86</v>
      </c>
      <c r="N68" s="13" t="s">
        <v>86</v>
      </c>
      <c r="O68" s="13" t="s">
        <v>86</v>
      </c>
      <c r="P68" s="13" t="s">
        <v>86</v>
      </c>
      <c r="Q68" s="13" t="s">
        <v>86</v>
      </c>
      <c r="R68" s="13" t="s">
        <v>432</v>
      </c>
      <c r="S68" s="13" t="s">
        <v>432</v>
      </c>
      <c r="T68" s="13" t="s">
        <v>86</v>
      </c>
      <c r="U68" s="13" t="s">
        <v>86</v>
      </c>
      <c r="V68" s="13" t="s">
        <v>86</v>
      </c>
      <c r="W68" s="13" t="s">
        <v>86</v>
      </c>
      <c r="X68" s="13" t="s">
        <v>742</v>
      </c>
      <c r="Y68" s="13" t="s">
        <v>432</v>
      </c>
      <c r="Z68" s="13" t="s">
        <v>432</v>
      </c>
      <c r="AA68" s="46" t="s">
        <v>86</v>
      </c>
    </row>
    <row r="69" spans="1:27" hidden="1" x14ac:dyDescent="0.2">
      <c r="A69" s="17">
        <v>43789</v>
      </c>
      <c r="B69" s="11" t="s">
        <v>33</v>
      </c>
      <c r="C69" s="37"/>
      <c r="D69" s="13" t="s">
        <v>86</v>
      </c>
      <c r="E69" s="13" t="s">
        <v>86</v>
      </c>
      <c r="F69" s="13" t="s">
        <v>86</v>
      </c>
      <c r="G69" s="13" t="s">
        <v>86</v>
      </c>
      <c r="H69" s="13" t="s">
        <v>86</v>
      </c>
      <c r="I69" s="13" t="s">
        <v>86</v>
      </c>
      <c r="J69" s="13" t="s">
        <v>86</v>
      </c>
      <c r="K69" s="13" t="s">
        <v>86</v>
      </c>
      <c r="L69" s="13" t="s">
        <v>86</v>
      </c>
      <c r="M69" s="13" t="s">
        <v>86</v>
      </c>
      <c r="N69" s="13" t="s">
        <v>86</v>
      </c>
      <c r="O69" s="13" t="s">
        <v>86</v>
      </c>
      <c r="P69" s="13" t="s">
        <v>86</v>
      </c>
      <c r="Q69" s="13" t="s">
        <v>86</v>
      </c>
      <c r="R69" s="13" t="s">
        <v>86</v>
      </c>
      <c r="S69" s="13" t="s">
        <v>86</v>
      </c>
      <c r="T69" s="13" t="s">
        <v>86</v>
      </c>
      <c r="U69" s="13" t="s">
        <v>86</v>
      </c>
      <c r="V69" s="13" t="s">
        <v>86</v>
      </c>
      <c r="W69" s="13" t="s">
        <v>86</v>
      </c>
      <c r="X69" s="13" t="s">
        <v>742</v>
      </c>
      <c r="Y69" s="13" t="s">
        <v>86</v>
      </c>
      <c r="Z69" s="13" t="s">
        <v>86</v>
      </c>
      <c r="AA69" s="47" t="s">
        <v>86</v>
      </c>
    </row>
    <row r="70" spans="1:27" hidden="1" x14ac:dyDescent="0.2">
      <c r="A70" s="17">
        <v>43793</v>
      </c>
      <c r="B70" s="11" t="s">
        <v>35</v>
      </c>
      <c r="C70" s="37" t="s">
        <v>489</v>
      </c>
      <c r="D70" s="13" t="s">
        <v>86</v>
      </c>
      <c r="E70" s="13" t="s">
        <v>86</v>
      </c>
      <c r="F70" s="13" t="s">
        <v>86</v>
      </c>
      <c r="G70" s="13" t="s">
        <v>432</v>
      </c>
      <c r="H70" s="13" t="s">
        <v>432</v>
      </c>
      <c r="I70" s="13" t="s">
        <v>432</v>
      </c>
      <c r="J70" s="13" t="s">
        <v>432</v>
      </c>
      <c r="K70" s="13" t="s">
        <v>432</v>
      </c>
      <c r="L70" s="13" t="s">
        <v>432</v>
      </c>
      <c r="M70" s="13" t="s">
        <v>432</v>
      </c>
      <c r="N70" s="13" t="s">
        <v>432</v>
      </c>
      <c r="O70" s="13" t="s">
        <v>432</v>
      </c>
      <c r="P70" s="13" t="s">
        <v>432</v>
      </c>
      <c r="Q70" s="13" t="s">
        <v>432</v>
      </c>
      <c r="R70" s="13" t="s">
        <v>432</v>
      </c>
      <c r="S70" s="13" t="s">
        <v>432</v>
      </c>
      <c r="T70" s="13" t="s">
        <v>432</v>
      </c>
      <c r="U70" s="13" t="s">
        <v>432</v>
      </c>
      <c r="V70" s="13" t="s">
        <v>432</v>
      </c>
      <c r="W70" s="13" t="s">
        <v>432</v>
      </c>
      <c r="X70" s="13" t="s">
        <v>742</v>
      </c>
      <c r="Y70" s="13" t="s">
        <v>432</v>
      </c>
      <c r="Z70" s="13" t="s">
        <v>432</v>
      </c>
      <c r="AA70" s="46" t="s">
        <v>432</v>
      </c>
    </row>
    <row r="71" spans="1:27" hidden="1" x14ac:dyDescent="0.2">
      <c r="A71" s="17">
        <v>43793</v>
      </c>
      <c r="B71" s="11" t="s">
        <v>35</v>
      </c>
      <c r="C71" s="37"/>
      <c r="D71" s="13" t="s">
        <v>86</v>
      </c>
      <c r="E71" s="13" t="s">
        <v>86</v>
      </c>
      <c r="F71" s="13" t="s">
        <v>86</v>
      </c>
      <c r="G71" s="13" t="s">
        <v>86</v>
      </c>
      <c r="H71" s="13" t="s">
        <v>432</v>
      </c>
      <c r="I71" s="13" t="s">
        <v>432</v>
      </c>
      <c r="J71" s="13" t="s">
        <v>86</v>
      </c>
      <c r="K71" s="13" t="s">
        <v>86</v>
      </c>
      <c r="L71" s="13" t="s">
        <v>86</v>
      </c>
      <c r="M71" s="13" t="s">
        <v>86</v>
      </c>
      <c r="N71" s="13" t="s">
        <v>86</v>
      </c>
      <c r="O71" s="13" t="s">
        <v>86</v>
      </c>
      <c r="P71" s="13" t="s">
        <v>86</v>
      </c>
      <c r="Q71" s="13" t="s">
        <v>86</v>
      </c>
      <c r="R71" s="13" t="s">
        <v>432</v>
      </c>
      <c r="S71" s="13" t="s">
        <v>432</v>
      </c>
      <c r="T71" s="13" t="s">
        <v>86</v>
      </c>
      <c r="U71" s="13" t="s">
        <v>86</v>
      </c>
      <c r="V71" s="13" t="s">
        <v>86</v>
      </c>
      <c r="W71" s="13" t="s">
        <v>86</v>
      </c>
      <c r="X71" s="13" t="s">
        <v>742</v>
      </c>
      <c r="Y71" s="13" t="s">
        <v>86</v>
      </c>
      <c r="Z71" s="13" t="s">
        <v>86</v>
      </c>
      <c r="AA71" s="46" t="s">
        <v>86</v>
      </c>
    </row>
    <row r="72" spans="1:27" hidden="1" x14ac:dyDescent="0.2">
      <c r="A72" s="17">
        <v>43793</v>
      </c>
      <c r="B72" s="11" t="s">
        <v>29</v>
      </c>
      <c r="C72" s="37"/>
      <c r="D72" s="13" t="s">
        <v>86</v>
      </c>
      <c r="E72" s="13" t="s">
        <v>86</v>
      </c>
      <c r="F72" s="13" t="s">
        <v>86</v>
      </c>
      <c r="G72" s="13" t="s">
        <v>86</v>
      </c>
      <c r="H72" s="13" t="s">
        <v>432</v>
      </c>
      <c r="I72" s="13" t="s">
        <v>432</v>
      </c>
      <c r="J72" s="13" t="s">
        <v>86</v>
      </c>
      <c r="K72" s="13" t="s">
        <v>86</v>
      </c>
      <c r="L72" s="13" t="s">
        <v>86</v>
      </c>
      <c r="M72" s="13" t="s">
        <v>86</v>
      </c>
      <c r="N72" s="13" t="s">
        <v>86</v>
      </c>
      <c r="O72" s="13" t="s">
        <v>86</v>
      </c>
      <c r="P72" s="13" t="s">
        <v>86</v>
      </c>
      <c r="Q72" s="13" t="s">
        <v>86</v>
      </c>
      <c r="R72" s="13" t="s">
        <v>432</v>
      </c>
      <c r="S72" s="13" t="s">
        <v>432</v>
      </c>
      <c r="T72" s="13" t="s">
        <v>86</v>
      </c>
      <c r="U72" s="13" t="s">
        <v>86</v>
      </c>
      <c r="V72" s="13" t="s">
        <v>86</v>
      </c>
      <c r="W72" s="13" t="s">
        <v>86</v>
      </c>
      <c r="X72" s="13" t="s">
        <v>742</v>
      </c>
      <c r="Y72" s="13" t="s">
        <v>86</v>
      </c>
      <c r="Z72" s="13" t="s">
        <v>432</v>
      </c>
      <c r="AA72" s="46" t="s">
        <v>86</v>
      </c>
    </row>
    <row r="73" spans="1:27" hidden="1" x14ac:dyDescent="0.2">
      <c r="A73" s="17">
        <v>43793</v>
      </c>
      <c r="B73" s="11" t="s">
        <v>31</v>
      </c>
      <c r="C73" s="37"/>
      <c r="D73" s="13" t="s">
        <v>86</v>
      </c>
      <c r="E73" s="13" t="s">
        <v>86</v>
      </c>
      <c r="F73" s="13" t="s">
        <v>86</v>
      </c>
      <c r="G73" s="13" t="s">
        <v>86</v>
      </c>
      <c r="H73" s="13" t="s">
        <v>432</v>
      </c>
      <c r="I73" s="13" t="s">
        <v>432</v>
      </c>
      <c r="J73" s="13" t="s">
        <v>86</v>
      </c>
      <c r="K73" s="13" t="s">
        <v>86</v>
      </c>
      <c r="L73" s="13" t="s">
        <v>86</v>
      </c>
      <c r="M73" s="13" t="s">
        <v>86</v>
      </c>
      <c r="N73" s="13" t="s">
        <v>86</v>
      </c>
      <c r="O73" s="13" t="s">
        <v>86</v>
      </c>
      <c r="P73" s="13" t="s">
        <v>86</v>
      </c>
      <c r="Q73" s="13" t="s">
        <v>86</v>
      </c>
      <c r="R73" s="13" t="s">
        <v>432</v>
      </c>
      <c r="S73" s="13" t="s">
        <v>432</v>
      </c>
      <c r="T73" s="13" t="s">
        <v>86</v>
      </c>
      <c r="U73" s="13" t="s">
        <v>86</v>
      </c>
      <c r="V73" s="13" t="s">
        <v>86</v>
      </c>
      <c r="W73" s="13" t="s">
        <v>86</v>
      </c>
      <c r="X73" s="13" t="s">
        <v>742</v>
      </c>
      <c r="Y73" s="13" t="s">
        <v>86</v>
      </c>
      <c r="Z73" s="13" t="s">
        <v>86</v>
      </c>
      <c r="AA73" s="46" t="s">
        <v>86</v>
      </c>
    </row>
    <row r="74" spans="1:27" hidden="1" x14ac:dyDescent="0.2">
      <c r="A74" s="17">
        <v>43793</v>
      </c>
      <c r="B74" s="11" t="s">
        <v>54</v>
      </c>
      <c r="C74" s="37"/>
      <c r="D74" s="13" t="s">
        <v>86</v>
      </c>
      <c r="E74" s="13" t="s">
        <v>86</v>
      </c>
      <c r="F74" s="13" t="s">
        <v>86</v>
      </c>
      <c r="G74" s="13" t="s">
        <v>86</v>
      </c>
      <c r="H74" s="13" t="s">
        <v>432</v>
      </c>
      <c r="I74" s="13" t="s">
        <v>432</v>
      </c>
      <c r="J74" s="13" t="s">
        <v>86</v>
      </c>
      <c r="K74" s="13" t="s">
        <v>86</v>
      </c>
      <c r="L74" s="13" t="s">
        <v>86</v>
      </c>
      <c r="M74" s="13" t="s">
        <v>86</v>
      </c>
      <c r="N74" s="13" t="s">
        <v>86</v>
      </c>
      <c r="O74" s="13" t="s">
        <v>86</v>
      </c>
      <c r="P74" s="13" t="s">
        <v>86</v>
      </c>
      <c r="Q74" s="13" t="s">
        <v>86</v>
      </c>
      <c r="R74" s="13" t="s">
        <v>432</v>
      </c>
      <c r="S74" s="13" t="s">
        <v>432</v>
      </c>
      <c r="T74" s="13" t="s">
        <v>86</v>
      </c>
      <c r="U74" s="13" t="s">
        <v>86</v>
      </c>
      <c r="V74" s="13" t="s">
        <v>86</v>
      </c>
      <c r="W74" s="13" t="s">
        <v>86</v>
      </c>
      <c r="X74" s="13" t="s">
        <v>742</v>
      </c>
      <c r="Y74" s="13" t="s">
        <v>86</v>
      </c>
      <c r="Z74" s="13" t="s">
        <v>86</v>
      </c>
      <c r="AA74" s="46" t="s">
        <v>86</v>
      </c>
    </row>
    <row r="75" spans="1:27" hidden="1" x14ac:dyDescent="0.2">
      <c r="A75" s="17">
        <v>43793</v>
      </c>
      <c r="B75" s="39" t="s">
        <v>34</v>
      </c>
      <c r="C75" s="37"/>
      <c r="D75" s="13" t="s">
        <v>86</v>
      </c>
      <c r="E75" s="13" t="s">
        <v>86</v>
      </c>
      <c r="F75" s="13" t="s">
        <v>86</v>
      </c>
      <c r="G75" s="13" t="s">
        <v>86</v>
      </c>
      <c r="H75" s="13" t="s">
        <v>86</v>
      </c>
      <c r="I75" s="13" t="s">
        <v>86</v>
      </c>
      <c r="J75" s="13" t="s">
        <v>86</v>
      </c>
      <c r="K75" s="13" t="s">
        <v>86</v>
      </c>
      <c r="L75" s="13" t="s">
        <v>86</v>
      </c>
      <c r="M75" s="13" t="s">
        <v>86</v>
      </c>
      <c r="N75" s="13" t="s">
        <v>86</v>
      </c>
      <c r="O75" s="13" t="s">
        <v>86</v>
      </c>
      <c r="P75" s="13" t="s">
        <v>86</v>
      </c>
      <c r="Q75" s="13" t="s">
        <v>86</v>
      </c>
      <c r="R75" s="13" t="s">
        <v>86</v>
      </c>
      <c r="S75" s="13" t="s">
        <v>86</v>
      </c>
      <c r="T75" s="13" t="s">
        <v>86</v>
      </c>
      <c r="U75" s="13" t="s">
        <v>86</v>
      </c>
      <c r="V75" s="13" t="s">
        <v>86</v>
      </c>
      <c r="W75" s="13" t="s">
        <v>86</v>
      </c>
      <c r="X75" s="13" t="s">
        <v>742</v>
      </c>
      <c r="Y75" s="13" t="s">
        <v>432</v>
      </c>
      <c r="Z75" s="13" t="s">
        <v>432</v>
      </c>
      <c r="AA75" s="46" t="s">
        <v>432</v>
      </c>
    </row>
    <row r="76" spans="1:27" hidden="1" x14ac:dyDescent="0.2">
      <c r="A76" s="17">
        <v>43793</v>
      </c>
      <c r="B76" s="11" t="s">
        <v>28</v>
      </c>
      <c r="C76" s="37"/>
      <c r="D76" s="13" t="s">
        <v>86</v>
      </c>
      <c r="E76" s="13" t="s">
        <v>86</v>
      </c>
      <c r="F76" s="13" t="s">
        <v>86</v>
      </c>
      <c r="G76" s="13" t="s">
        <v>86</v>
      </c>
      <c r="H76" s="13" t="s">
        <v>432</v>
      </c>
      <c r="I76" s="13" t="s">
        <v>432</v>
      </c>
      <c r="J76" s="13" t="s">
        <v>86</v>
      </c>
      <c r="K76" s="13" t="s">
        <v>86</v>
      </c>
      <c r="L76" s="13" t="s">
        <v>86</v>
      </c>
      <c r="M76" s="13" t="s">
        <v>86</v>
      </c>
      <c r="N76" s="13" t="s">
        <v>86</v>
      </c>
      <c r="O76" s="13" t="s">
        <v>86</v>
      </c>
      <c r="P76" s="13" t="s">
        <v>86</v>
      </c>
      <c r="Q76" s="13" t="s">
        <v>86</v>
      </c>
      <c r="R76" s="13" t="s">
        <v>432</v>
      </c>
      <c r="S76" s="13" t="s">
        <v>432</v>
      </c>
      <c r="T76" s="13" t="s">
        <v>86</v>
      </c>
      <c r="U76" s="13" t="s">
        <v>86</v>
      </c>
      <c r="V76" s="13" t="s">
        <v>86</v>
      </c>
      <c r="W76" s="13" t="s">
        <v>86</v>
      </c>
      <c r="X76" s="13" t="s">
        <v>742</v>
      </c>
      <c r="Y76" s="13" t="s">
        <v>86</v>
      </c>
      <c r="Z76" s="13" t="s">
        <v>432</v>
      </c>
      <c r="AA76" s="46" t="s">
        <v>86</v>
      </c>
    </row>
    <row r="77" spans="1:27" hidden="1" x14ac:dyDescent="0.2">
      <c r="A77" s="17">
        <v>43793</v>
      </c>
      <c r="B77" s="11" t="s">
        <v>27</v>
      </c>
      <c r="C77" s="37"/>
      <c r="D77" s="13" t="s">
        <v>86</v>
      </c>
      <c r="E77" s="13" t="s">
        <v>86</v>
      </c>
      <c r="F77" s="13" t="s">
        <v>86</v>
      </c>
      <c r="G77" s="13" t="s">
        <v>86</v>
      </c>
      <c r="H77" s="13" t="s">
        <v>432</v>
      </c>
      <c r="I77" s="13" t="s">
        <v>432</v>
      </c>
      <c r="J77" s="13" t="s">
        <v>86</v>
      </c>
      <c r="K77" s="13" t="s">
        <v>86</v>
      </c>
      <c r="L77" s="13" t="s">
        <v>86</v>
      </c>
      <c r="M77" s="13" t="s">
        <v>86</v>
      </c>
      <c r="N77" s="13" t="s">
        <v>86</v>
      </c>
      <c r="O77" s="13" t="s">
        <v>86</v>
      </c>
      <c r="P77" s="13" t="s">
        <v>86</v>
      </c>
      <c r="Q77" s="13" t="s">
        <v>86</v>
      </c>
      <c r="R77" s="13" t="s">
        <v>432</v>
      </c>
      <c r="S77" s="13" t="s">
        <v>432</v>
      </c>
      <c r="T77" s="13" t="s">
        <v>86</v>
      </c>
      <c r="U77" s="13" t="s">
        <v>86</v>
      </c>
      <c r="V77" s="13" t="s">
        <v>86</v>
      </c>
      <c r="W77" s="13" t="s">
        <v>86</v>
      </c>
      <c r="X77" s="13" t="s">
        <v>742</v>
      </c>
      <c r="Y77" s="13" t="s">
        <v>432</v>
      </c>
      <c r="Z77" s="13" t="s">
        <v>432</v>
      </c>
      <c r="AA77" s="46" t="s">
        <v>86</v>
      </c>
    </row>
    <row r="78" spans="1:27" hidden="1" x14ac:dyDescent="0.2">
      <c r="A78" s="17">
        <v>43796</v>
      </c>
      <c r="B78" s="11" t="s">
        <v>35</v>
      </c>
      <c r="C78" s="37"/>
      <c r="D78" s="13" t="s">
        <v>86</v>
      </c>
      <c r="E78" s="13" t="s">
        <v>86</v>
      </c>
      <c r="F78" s="13" t="s">
        <v>86</v>
      </c>
      <c r="G78" s="13" t="s">
        <v>86</v>
      </c>
      <c r="H78" s="13" t="s">
        <v>432</v>
      </c>
      <c r="I78" s="13" t="s">
        <v>432</v>
      </c>
      <c r="J78" s="13" t="s">
        <v>86</v>
      </c>
      <c r="K78" s="13" t="s">
        <v>86</v>
      </c>
      <c r="L78" s="13" t="s">
        <v>86</v>
      </c>
      <c r="M78" s="13" t="s">
        <v>86</v>
      </c>
      <c r="N78" s="13" t="s">
        <v>86</v>
      </c>
      <c r="O78" s="13" t="s">
        <v>86</v>
      </c>
      <c r="P78" s="13" t="s">
        <v>86</v>
      </c>
      <c r="Q78" s="13" t="s">
        <v>86</v>
      </c>
      <c r="R78" s="13" t="s">
        <v>432</v>
      </c>
      <c r="S78" s="13" t="s">
        <v>432</v>
      </c>
      <c r="T78" s="13" t="s">
        <v>86</v>
      </c>
      <c r="U78" s="13" t="s">
        <v>86</v>
      </c>
      <c r="V78" s="13" t="s">
        <v>86</v>
      </c>
      <c r="W78" s="13" t="s">
        <v>86</v>
      </c>
      <c r="X78" s="13" t="s">
        <v>86</v>
      </c>
      <c r="Y78" s="13" t="s">
        <v>86</v>
      </c>
      <c r="Z78" s="13" t="s">
        <v>86</v>
      </c>
      <c r="AA78" s="46" t="s">
        <v>86</v>
      </c>
    </row>
    <row r="79" spans="1:27" hidden="1" x14ac:dyDescent="0.2">
      <c r="A79" s="17">
        <v>43796</v>
      </c>
      <c r="B79" s="11" t="s">
        <v>35</v>
      </c>
      <c r="C79" s="37" t="s">
        <v>12</v>
      </c>
      <c r="D79" s="13" t="s">
        <v>86</v>
      </c>
      <c r="E79" s="13" t="s">
        <v>86</v>
      </c>
      <c r="F79" s="13" t="s">
        <v>86</v>
      </c>
      <c r="G79" s="13" t="s">
        <v>86</v>
      </c>
      <c r="H79" s="13" t="s">
        <v>432</v>
      </c>
      <c r="I79" s="13" t="s">
        <v>432</v>
      </c>
      <c r="J79" s="13" t="s">
        <v>86</v>
      </c>
      <c r="K79" s="13" t="s">
        <v>86</v>
      </c>
      <c r="L79" s="13" t="s">
        <v>86</v>
      </c>
      <c r="M79" s="13" t="s">
        <v>86</v>
      </c>
      <c r="N79" s="13" t="s">
        <v>86</v>
      </c>
      <c r="O79" s="13" t="s">
        <v>86</v>
      </c>
      <c r="P79" s="13" t="s">
        <v>86</v>
      </c>
      <c r="Q79" s="13" t="s">
        <v>86</v>
      </c>
      <c r="R79" s="13" t="s">
        <v>432</v>
      </c>
      <c r="S79" s="13" t="s">
        <v>432</v>
      </c>
      <c r="T79" s="13" t="s">
        <v>86</v>
      </c>
      <c r="U79" s="13" t="s">
        <v>86</v>
      </c>
      <c r="V79" s="13" t="s">
        <v>86</v>
      </c>
      <c r="W79" s="13" t="s">
        <v>86</v>
      </c>
      <c r="X79" s="13" t="s">
        <v>86</v>
      </c>
      <c r="Y79" s="13" t="s">
        <v>86</v>
      </c>
      <c r="Z79" s="13" t="s">
        <v>86</v>
      </c>
      <c r="AA79" s="46" t="s">
        <v>86</v>
      </c>
    </row>
    <row r="80" spans="1:27" hidden="1" x14ac:dyDescent="0.2">
      <c r="A80" s="17">
        <v>43796</v>
      </c>
      <c r="B80" s="11" t="s">
        <v>29</v>
      </c>
      <c r="C80" s="37"/>
      <c r="D80" s="13" t="s">
        <v>86</v>
      </c>
      <c r="E80" s="13" t="s">
        <v>86</v>
      </c>
      <c r="F80" s="13" t="s">
        <v>86</v>
      </c>
      <c r="G80" s="13" t="s">
        <v>86</v>
      </c>
      <c r="H80" s="13" t="s">
        <v>86</v>
      </c>
      <c r="I80" s="13" t="s">
        <v>86</v>
      </c>
      <c r="J80" s="13" t="s">
        <v>86</v>
      </c>
      <c r="K80" s="13" t="s">
        <v>86</v>
      </c>
      <c r="L80" s="13" t="s">
        <v>86</v>
      </c>
      <c r="M80" s="13" t="s">
        <v>86</v>
      </c>
      <c r="N80" s="13" t="s">
        <v>86</v>
      </c>
      <c r="O80" s="13" t="s">
        <v>86</v>
      </c>
      <c r="P80" s="13" t="s">
        <v>86</v>
      </c>
      <c r="Q80" s="13" t="s">
        <v>86</v>
      </c>
      <c r="R80" s="13" t="s">
        <v>86</v>
      </c>
      <c r="S80" s="13" t="s">
        <v>86</v>
      </c>
      <c r="T80" s="13" t="s">
        <v>86</v>
      </c>
      <c r="U80" s="13" t="s">
        <v>86</v>
      </c>
      <c r="V80" s="13" t="s">
        <v>86</v>
      </c>
      <c r="W80" s="13" t="s">
        <v>86</v>
      </c>
      <c r="X80" s="13" t="s">
        <v>86</v>
      </c>
      <c r="Y80" s="13" t="s">
        <v>86</v>
      </c>
      <c r="Z80" s="13" t="s">
        <v>432</v>
      </c>
      <c r="AA80" s="46" t="s">
        <v>86</v>
      </c>
    </row>
    <row r="81" spans="1:27" hidden="1" x14ac:dyDescent="0.2">
      <c r="A81" s="17">
        <v>43796</v>
      </c>
      <c r="B81" s="11" t="s">
        <v>54</v>
      </c>
      <c r="C81" s="37"/>
      <c r="D81" s="13" t="s">
        <v>86</v>
      </c>
      <c r="E81" s="13" t="s">
        <v>86</v>
      </c>
      <c r="F81" s="13" t="s">
        <v>86</v>
      </c>
      <c r="G81" s="13" t="s">
        <v>86</v>
      </c>
      <c r="H81" s="13" t="s">
        <v>432</v>
      </c>
      <c r="I81" s="13" t="s">
        <v>432</v>
      </c>
      <c r="J81" s="13" t="s">
        <v>86</v>
      </c>
      <c r="K81" s="13" t="s">
        <v>86</v>
      </c>
      <c r="L81" s="13" t="s">
        <v>86</v>
      </c>
      <c r="M81" s="13" t="s">
        <v>86</v>
      </c>
      <c r="N81" s="13" t="s">
        <v>86</v>
      </c>
      <c r="O81" s="13" t="s">
        <v>86</v>
      </c>
      <c r="P81" s="13" t="s">
        <v>86</v>
      </c>
      <c r="Q81" s="13" t="s">
        <v>86</v>
      </c>
      <c r="R81" s="13" t="s">
        <v>432</v>
      </c>
      <c r="S81" s="13" t="s">
        <v>432</v>
      </c>
      <c r="T81" s="13" t="s">
        <v>86</v>
      </c>
      <c r="U81" s="13" t="s">
        <v>86</v>
      </c>
      <c r="V81" s="13" t="s">
        <v>86</v>
      </c>
      <c r="W81" s="13" t="s">
        <v>86</v>
      </c>
      <c r="X81" s="13" t="s">
        <v>86</v>
      </c>
      <c r="Y81" s="13" t="s">
        <v>86</v>
      </c>
      <c r="Z81" s="13" t="s">
        <v>86</v>
      </c>
      <c r="AA81" s="46" t="s">
        <v>86</v>
      </c>
    </row>
    <row r="82" spans="1:27" hidden="1" x14ac:dyDescent="0.2">
      <c r="A82" s="17">
        <v>43796</v>
      </c>
      <c r="B82" s="39" t="s">
        <v>34</v>
      </c>
      <c r="C82" s="37"/>
      <c r="D82" s="13" t="s">
        <v>86</v>
      </c>
      <c r="E82" s="13" t="s">
        <v>86</v>
      </c>
      <c r="F82" s="13" t="s">
        <v>86</v>
      </c>
      <c r="G82" s="13" t="s">
        <v>86</v>
      </c>
      <c r="H82" s="13" t="s">
        <v>432</v>
      </c>
      <c r="I82" s="13" t="s">
        <v>432</v>
      </c>
      <c r="J82" s="13" t="s">
        <v>86</v>
      </c>
      <c r="K82" s="13" t="s">
        <v>86</v>
      </c>
      <c r="L82" s="13" t="s">
        <v>86</v>
      </c>
      <c r="M82" s="13" t="s">
        <v>86</v>
      </c>
      <c r="N82" s="13" t="s">
        <v>86</v>
      </c>
      <c r="O82" s="13" t="s">
        <v>86</v>
      </c>
      <c r="P82" s="13" t="s">
        <v>86</v>
      </c>
      <c r="Q82" s="13" t="s">
        <v>86</v>
      </c>
      <c r="R82" s="13" t="s">
        <v>432</v>
      </c>
      <c r="S82" s="13" t="s">
        <v>432</v>
      </c>
      <c r="T82" s="13" t="s">
        <v>86</v>
      </c>
      <c r="U82" s="13" t="s">
        <v>86</v>
      </c>
      <c r="V82" s="13" t="s">
        <v>86</v>
      </c>
      <c r="W82" s="13" t="s">
        <v>86</v>
      </c>
      <c r="X82" s="13" t="s">
        <v>86</v>
      </c>
      <c r="Y82" s="13" t="s">
        <v>432</v>
      </c>
      <c r="Z82" s="13" t="s">
        <v>432</v>
      </c>
      <c r="AA82" s="46" t="s">
        <v>432</v>
      </c>
    </row>
    <row r="83" spans="1:27" hidden="1" x14ac:dyDescent="0.2">
      <c r="A83" s="17">
        <v>43796</v>
      </c>
      <c r="B83" s="11" t="s">
        <v>31</v>
      </c>
      <c r="C83" s="37"/>
      <c r="D83" s="13" t="s">
        <v>86</v>
      </c>
      <c r="E83" s="13" t="s">
        <v>86</v>
      </c>
      <c r="F83" s="13" t="s">
        <v>86</v>
      </c>
      <c r="G83" s="13" t="s">
        <v>86</v>
      </c>
      <c r="H83" s="13" t="s">
        <v>432</v>
      </c>
      <c r="I83" s="13" t="s">
        <v>432</v>
      </c>
      <c r="J83" s="13" t="s">
        <v>86</v>
      </c>
      <c r="K83" s="13" t="s">
        <v>86</v>
      </c>
      <c r="L83" s="13" t="s">
        <v>86</v>
      </c>
      <c r="M83" s="13" t="s">
        <v>86</v>
      </c>
      <c r="N83" s="13" t="s">
        <v>86</v>
      </c>
      <c r="O83" s="13" t="s">
        <v>86</v>
      </c>
      <c r="P83" s="13" t="s">
        <v>86</v>
      </c>
      <c r="Q83" s="13" t="s">
        <v>86</v>
      </c>
      <c r="R83" s="13" t="s">
        <v>432</v>
      </c>
      <c r="S83" s="13" t="s">
        <v>432</v>
      </c>
      <c r="T83" s="13" t="s">
        <v>86</v>
      </c>
      <c r="U83" s="13" t="s">
        <v>86</v>
      </c>
      <c r="V83" s="13" t="s">
        <v>86</v>
      </c>
      <c r="W83" s="13" t="s">
        <v>86</v>
      </c>
      <c r="X83" s="13" t="s">
        <v>86</v>
      </c>
      <c r="Y83" s="13" t="s">
        <v>86</v>
      </c>
      <c r="Z83" s="13" t="s">
        <v>86</v>
      </c>
      <c r="AA83" s="46" t="s">
        <v>86</v>
      </c>
    </row>
    <row r="84" spans="1:27" hidden="1" x14ac:dyDescent="0.2">
      <c r="A84" s="17">
        <v>43800</v>
      </c>
      <c r="B84" s="11" t="s">
        <v>35</v>
      </c>
      <c r="C84" s="37"/>
      <c r="D84" s="13" t="s">
        <v>86</v>
      </c>
      <c r="E84" s="13" t="s">
        <v>86</v>
      </c>
      <c r="F84" s="13" t="s">
        <v>86</v>
      </c>
      <c r="G84" s="13" t="s">
        <v>86</v>
      </c>
      <c r="H84" s="13" t="s">
        <v>432</v>
      </c>
      <c r="I84" s="13" t="s">
        <v>432</v>
      </c>
      <c r="J84" s="13" t="s">
        <v>86</v>
      </c>
      <c r="K84" s="13" t="s">
        <v>86</v>
      </c>
      <c r="L84" s="13" t="s">
        <v>86</v>
      </c>
      <c r="M84" s="13" t="s">
        <v>86</v>
      </c>
      <c r="N84" s="13" t="s">
        <v>86</v>
      </c>
      <c r="O84" s="13" t="s">
        <v>86</v>
      </c>
      <c r="P84" s="13" t="s">
        <v>86</v>
      </c>
      <c r="Q84" s="13" t="s">
        <v>86</v>
      </c>
      <c r="R84" s="13" t="s">
        <v>432</v>
      </c>
      <c r="S84" s="13" t="s">
        <v>432</v>
      </c>
      <c r="T84" s="13" t="s">
        <v>86</v>
      </c>
      <c r="U84" s="13" t="s">
        <v>86</v>
      </c>
      <c r="V84" s="13" t="s">
        <v>86</v>
      </c>
      <c r="W84" s="13" t="s">
        <v>86</v>
      </c>
      <c r="X84" s="13" t="s">
        <v>86</v>
      </c>
      <c r="Y84" s="13" t="s">
        <v>86</v>
      </c>
      <c r="Z84" s="13" t="s">
        <v>86</v>
      </c>
      <c r="AA84" s="46" t="s">
        <v>86</v>
      </c>
    </row>
    <row r="85" spans="1:27" hidden="1" x14ac:dyDescent="0.2">
      <c r="A85" s="17">
        <v>43800</v>
      </c>
      <c r="B85" s="11" t="s">
        <v>29</v>
      </c>
      <c r="C85" s="37"/>
      <c r="D85" s="13" t="s">
        <v>86</v>
      </c>
      <c r="E85" s="13" t="s">
        <v>86</v>
      </c>
      <c r="F85" s="13" t="s">
        <v>86</v>
      </c>
      <c r="G85" s="13" t="s">
        <v>86</v>
      </c>
      <c r="H85" s="13" t="s">
        <v>86</v>
      </c>
      <c r="I85" s="13" t="s">
        <v>86</v>
      </c>
      <c r="J85" s="13" t="s">
        <v>86</v>
      </c>
      <c r="K85" s="13" t="s">
        <v>86</v>
      </c>
      <c r="L85" s="13" t="s">
        <v>86</v>
      </c>
      <c r="M85" s="13" t="s">
        <v>86</v>
      </c>
      <c r="N85" s="13" t="s">
        <v>86</v>
      </c>
      <c r="O85" s="13" t="s">
        <v>86</v>
      </c>
      <c r="P85" s="13" t="s">
        <v>86</v>
      </c>
      <c r="Q85" s="13" t="s">
        <v>86</v>
      </c>
      <c r="R85" s="13" t="s">
        <v>86</v>
      </c>
      <c r="S85" s="13" t="s">
        <v>86</v>
      </c>
      <c r="T85" s="13" t="s">
        <v>86</v>
      </c>
      <c r="U85" s="13" t="s">
        <v>86</v>
      </c>
      <c r="V85" s="13" t="s">
        <v>86</v>
      </c>
      <c r="W85" s="13" t="s">
        <v>86</v>
      </c>
      <c r="X85" s="13" t="s">
        <v>86</v>
      </c>
      <c r="Y85" s="13" t="s">
        <v>86</v>
      </c>
      <c r="Z85" s="13" t="s">
        <v>432</v>
      </c>
      <c r="AA85" s="46" t="s">
        <v>86</v>
      </c>
    </row>
    <row r="86" spans="1:27" hidden="1" x14ac:dyDescent="0.2">
      <c r="A86" s="17">
        <v>43800</v>
      </c>
      <c r="B86" s="11" t="s">
        <v>31</v>
      </c>
      <c r="C86" s="37"/>
      <c r="D86" s="13" t="s">
        <v>584</v>
      </c>
      <c r="E86" s="13" t="s">
        <v>584</v>
      </c>
      <c r="F86" s="13" t="s">
        <v>86</v>
      </c>
      <c r="G86" s="13" t="s">
        <v>86</v>
      </c>
      <c r="H86" s="13" t="s">
        <v>432</v>
      </c>
      <c r="I86" s="13" t="s">
        <v>432</v>
      </c>
      <c r="J86" s="13" t="s">
        <v>432</v>
      </c>
      <c r="K86" s="13" t="s">
        <v>432</v>
      </c>
      <c r="L86" s="13" t="s">
        <v>432</v>
      </c>
      <c r="M86" s="13" t="s">
        <v>432</v>
      </c>
      <c r="N86" s="13" t="s">
        <v>432</v>
      </c>
      <c r="O86" s="13" t="s">
        <v>432</v>
      </c>
      <c r="P86" s="13" t="s">
        <v>432</v>
      </c>
      <c r="Q86" s="13" t="s">
        <v>432</v>
      </c>
      <c r="R86" s="13" t="s">
        <v>432</v>
      </c>
      <c r="S86" s="13" t="s">
        <v>432</v>
      </c>
      <c r="T86" s="13" t="s">
        <v>432</v>
      </c>
      <c r="U86" s="13" t="s">
        <v>432</v>
      </c>
      <c r="V86" s="13" t="s">
        <v>432</v>
      </c>
      <c r="W86" s="13" t="s">
        <v>432</v>
      </c>
      <c r="X86" s="13" t="s">
        <v>432</v>
      </c>
      <c r="Y86" s="13" t="s">
        <v>432</v>
      </c>
      <c r="Z86" s="13" t="s">
        <v>432</v>
      </c>
      <c r="AA86" s="46" t="s">
        <v>432</v>
      </c>
    </row>
    <row r="87" spans="1:27" hidden="1" x14ac:dyDescent="0.2">
      <c r="A87" s="17">
        <v>43800</v>
      </c>
      <c r="B87" s="11" t="s">
        <v>27</v>
      </c>
      <c r="C87" s="37"/>
      <c r="D87" s="13" t="s">
        <v>86</v>
      </c>
      <c r="E87" s="13" t="s">
        <v>86</v>
      </c>
      <c r="F87" s="13" t="s">
        <v>86</v>
      </c>
      <c r="G87" s="13" t="s">
        <v>86</v>
      </c>
      <c r="H87" s="13" t="s">
        <v>432</v>
      </c>
      <c r="I87" s="13" t="s">
        <v>432</v>
      </c>
      <c r="J87" s="13" t="s">
        <v>86</v>
      </c>
      <c r="K87" s="13" t="s">
        <v>86</v>
      </c>
      <c r="L87" s="13" t="s">
        <v>86</v>
      </c>
      <c r="M87" s="13" t="s">
        <v>86</v>
      </c>
      <c r="N87" s="13" t="s">
        <v>86</v>
      </c>
      <c r="O87" s="13" t="s">
        <v>86</v>
      </c>
      <c r="P87" s="13" t="s">
        <v>86</v>
      </c>
      <c r="Q87" s="13" t="s">
        <v>86</v>
      </c>
      <c r="R87" s="13" t="s">
        <v>432</v>
      </c>
      <c r="S87" s="13" t="s">
        <v>432</v>
      </c>
      <c r="T87" s="13" t="s">
        <v>86</v>
      </c>
      <c r="U87" s="13" t="s">
        <v>86</v>
      </c>
      <c r="V87" s="13" t="s">
        <v>86</v>
      </c>
      <c r="W87" s="13" t="s">
        <v>86</v>
      </c>
      <c r="X87" s="13" t="s">
        <v>86</v>
      </c>
      <c r="Y87" s="13" t="s">
        <v>432</v>
      </c>
      <c r="Z87" s="13" t="s">
        <v>432</v>
      </c>
      <c r="AA87" s="46" t="s">
        <v>86</v>
      </c>
    </row>
    <row r="88" spans="1:27" hidden="1" x14ac:dyDescent="0.2">
      <c r="A88" s="17">
        <v>43800</v>
      </c>
      <c r="B88" s="39" t="s">
        <v>34</v>
      </c>
      <c r="C88" s="37"/>
      <c r="D88" s="13" t="s">
        <v>86</v>
      </c>
      <c r="E88" s="13" t="s">
        <v>86</v>
      </c>
      <c r="F88" s="13" t="s">
        <v>86</v>
      </c>
      <c r="G88" s="13" t="s">
        <v>86</v>
      </c>
      <c r="H88" s="13" t="s">
        <v>86</v>
      </c>
      <c r="I88" s="13" t="s">
        <v>86</v>
      </c>
      <c r="J88" s="13" t="s">
        <v>86</v>
      </c>
      <c r="K88" s="13" t="s">
        <v>86</v>
      </c>
      <c r="L88" s="13" t="s">
        <v>86</v>
      </c>
      <c r="M88" s="13" t="s">
        <v>86</v>
      </c>
      <c r="N88" s="13" t="s">
        <v>86</v>
      </c>
      <c r="O88" s="13" t="s">
        <v>86</v>
      </c>
      <c r="P88" s="13" t="s">
        <v>86</v>
      </c>
      <c r="Q88" s="13" t="s">
        <v>86</v>
      </c>
      <c r="R88" s="13" t="s">
        <v>86</v>
      </c>
      <c r="S88" s="13" t="s">
        <v>86</v>
      </c>
      <c r="T88" s="13" t="s">
        <v>86</v>
      </c>
      <c r="U88" s="13" t="s">
        <v>86</v>
      </c>
      <c r="V88" s="13" t="s">
        <v>86</v>
      </c>
      <c r="W88" s="13" t="s">
        <v>86</v>
      </c>
      <c r="X88" s="13" t="s">
        <v>86</v>
      </c>
      <c r="Y88" s="13" t="s">
        <v>432</v>
      </c>
      <c r="Z88" s="13" t="s">
        <v>432</v>
      </c>
      <c r="AA88" s="46" t="s">
        <v>432</v>
      </c>
    </row>
    <row r="89" spans="1:27" hidden="1" x14ac:dyDescent="0.2">
      <c r="A89" s="17">
        <v>43800</v>
      </c>
      <c r="B89" s="11" t="s">
        <v>28</v>
      </c>
      <c r="C89" s="37"/>
      <c r="D89" s="13" t="s">
        <v>86</v>
      </c>
      <c r="E89" s="13" t="s">
        <v>86</v>
      </c>
      <c r="F89" s="13" t="s">
        <v>86</v>
      </c>
      <c r="G89" s="13" t="s">
        <v>86</v>
      </c>
      <c r="H89" s="13" t="s">
        <v>432</v>
      </c>
      <c r="I89" s="13" t="s">
        <v>432</v>
      </c>
      <c r="J89" s="13" t="s">
        <v>86</v>
      </c>
      <c r="K89" s="13" t="s">
        <v>86</v>
      </c>
      <c r="L89" s="13" t="s">
        <v>86</v>
      </c>
      <c r="M89" s="13" t="s">
        <v>86</v>
      </c>
      <c r="N89" s="13" t="s">
        <v>86</v>
      </c>
      <c r="O89" s="13" t="s">
        <v>86</v>
      </c>
      <c r="P89" s="13" t="s">
        <v>86</v>
      </c>
      <c r="Q89" s="13" t="s">
        <v>86</v>
      </c>
      <c r="R89" s="13" t="s">
        <v>432</v>
      </c>
      <c r="S89" s="13" t="s">
        <v>432</v>
      </c>
      <c r="T89" s="13" t="s">
        <v>86</v>
      </c>
      <c r="U89" s="13" t="s">
        <v>86</v>
      </c>
      <c r="V89" s="13" t="s">
        <v>86</v>
      </c>
      <c r="W89" s="13" t="s">
        <v>86</v>
      </c>
      <c r="X89" s="13" t="s">
        <v>86</v>
      </c>
      <c r="Y89" s="13" t="s">
        <v>86</v>
      </c>
      <c r="Z89" s="13" t="s">
        <v>432</v>
      </c>
      <c r="AA89" s="46" t="s">
        <v>86</v>
      </c>
    </row>
    <row r="90" spans="1:27" hidden="1" x14ac:dyDescent="0.2">
      <c r="A90" s="17">
        <v>43803</v>
      </c>
      <c r="B90" s="11" t="s">
        <v>33</v>
      </c>
      <c r="C90" s="37"/>
      <c r="D90" s="13" t="s">
        <v>86</v>
      </c>
      <c r="E90" s="13" t="s">
        <v>86</v>
      </c>
      <c r="F90" s="13" t="s">
        <v>86</v>
      </c>
      <c r="G90" s="13" t="s">
        <v>86</v>
      </c>
      <c r="H90" s="13" t="s">
        <v>86</v>
      </c>
      <c r="I90" s="13" t="s">
        <v>86</v>
      </c>
      <c r="J90" s="13" t="s">
        <v>86</v>
      </c>
      <c r="K90" s="13" t="s">
        <v>86</v>
      </c>
      <c r="L90" s="13" t="s">
        <v>86</v>
      </c>
      <c r="M90" s="13" t="s">
        <v>86</v>
      </c>
      <c r="N90" s="13" t="s">
        <v>86</v>
      </c>
      <c r="O90" s="13" t="s">
        <v>86</v>
      </c>
      <c r="P90" s="13" t="s">
        <v>86</v>
      </c>
      <c r="Q90" s="13" t="s">
        <v>86</v>
      </c>
      <c r="R90" s="13" t="s">
        <v>86</v>
      </c>
      <c r="S90" s="13" t="s">
        <v>86</v>
      </c>
      <c r="T90" s="13" t="s">
        <v>86</v>
      </c>
      <c r="U90" s="13" t="s">
        <v>86</v>
      </c>
      <c r="V90" s="13" t="s">
        <v>86</v>
      </c>
      <c r="W90" s="13" t="s">
        <v>86</v>
      </c>
      <c r="X90" s="13" t="s">
        <v>86</v>
      </c>
      <c r="Y90" s="13" t="s">
        <v>86</v>
      </c>
      <c r="Z90" s="13" t="s">
        <v>86</v>
      </c>
      <c r="AA90" s="46" t="s">
        <v>86</v>
      </c>
    </row>
    <row r="91" spans="1:27" hidden="1" x14ac:dyDescent="0.2">
      <c r="A91" s="16">
        <v>43803</v>
      </c>
      <c r="B91" s="11" t="s">
        <v>35</v>
      </c>
      <c r="C91" s="36"/>
      <c r="D91" s="12" t="s">
        <v>86</v>
      </c>
      <c r="E91" s="12" t="s">
        <v>86</v>
      </c>
      <c r="F91" s="12" t="s">
        <v>86</v>
      </c>
      <c r="G91" s="12" t="s">
        <v>86</v>
      </c>
      <c r="H91" s="12" t="s">
        <v>432</v>
      </c>
      <c r="I91" s="12" t="s">
        <v>432</v>
      </c>
      <c r="J91" s="12" t="s">
        <v>86</v>
      </c>
      <c r="K91" s="12" t="s">
        <v>86</v>
      </c>
      <c r="L91" s="12" t="s">
        <v>86</v>
      </c>
      <c r="M91" s="12" t="s">
        <v>86</v>
      </c>
      <c r="N91" s="12" t="s">
        <v>86</v>
      </c>
      <c r="O91" s="12" t="s">
        <v>86</v>
      </c>
      <c r="P91" s="12" t="s">
        <v>86</v>
      </c>
      <c r="Q91" s="12" t="s">
        <v>86</v>
      </c>
      <c r="R91" s="12" t="s">
        <v>432</v>
      </c>
      <c r="S91" s="12" t="s">
        <v>432</v>
      </c>
      <c r="T91" s="12" t="s">
        <v>86</v>
      </c>
      <c r="U91" s="12" t="s">
        <v>86</v>
      </c>
      <c r="V91" s="12" t="s">
        <v>86</v>
      </c>
      <c r="W91" s="12" t="s">
        <v>86</v>
      </c>
      <c r="X91" s="12" t="s">
        <v>86</v>
      </c>
      <c r="Y91" s="12" t="s">
        <v>86</v>
      </c>
      <c r="Z91" s="12" t="s">
        <v>86</v>
      </c>
      <c r="AA91" s="46" t="s">
        <v>86</v>
      </c>
    </row>
    <row r="92" spans="1:27" hidden="1" x14ac:dyDescent="0.2">
      <c r="A92" s="16">
        <v>43803</v>
      </c>
      <c r="B92" s="39" t="s">
        <v>34</v>
      </c>
      <c r="C92" s="36"/>
      <c r="D92" s="12" t="s">
        <v>86</v>
      </c>
      <c r="E92" s="12" t="s">
        <v>86</v>
      </c>
      <c r="F92" s="12" t="s">
        <v>86</v>
      </c>
      <c r="G92" s="12" t="s">
        <v>86</v>
      </c>
      <c r="H92" s="12" t="s">
        <v>432</v>
      </c>
      <c r="I92" s="12" t="s">
        <v>432</v>
      </c>
      <c r="J92" s="12" t="s">
        <v>86</v>
      </c>
      <c r="K92" s="12" t="s">
        <v>86</v>
      </c>
      <c r="L92" s="12" t="s">
        <v>86</v>
      </c>
      <c r="M92" s="12" t="s">
        <v>86</v>
      </c>
      <c r="N92" s="12" t="s">
        <v>86</v>
      </c>
      <c r="O92" s="12" t="s">
        <v>86</v>
      </c>
      <c r="P92" s="12" t="s">
        <v>86</v>
      </c>
      <c r="Q92" s="12" t="s">
        <v>86</v>
      </c>
      <c r="R92" s="12" t="s">
        <v>432</v>
      </c>
      <c r="S92" s="12" t="s">
        <v>432</v>
      </c>
      <c r="T92" s="12" t="s">
        <v>86</v>
      </c>
      <c r="U92" s="12" t="s">
        <v>86</v>
      </c>
      <c r="V92" s="12" t="s">
        <v>86</v>
      </c>
      <c r="W92" s="12" t="s">
        <v>86</v>
      </c>
      <c r="X92" s="12" t="s">
        <v>86</v>
      </c>
      <c r="Y92" s="12" t="s">
        <v>432</v>
      </c>
      <c r="Z92" s="12" t="s">
        <v>432</v>
      </c>
      <c r="AA92" s="48" t="s">
        <v>432</v>
      </c>
    </row>
    <row r="93" spans="1:27" hidden="1" x14ac:dyDescent="0.2">
      <c r="A93" s="17">
        <v>43807</v>
      </c>
      <c r="B93" s="11" t="s">
        <v>35</v>
      </c>
      <c r="C93" s="37"/>
      <c r="D93" s="13" t="s">
        <v>86</v>
      </c>
      <c r="E93" s="13" t="s">
        <v>86</v>
      </c>
      <c r="F93" s="13" t="s">
        <v>86</v>
      </c>
      <c r="G93" s="13" t="s">
        <v>86</v>
      </c>
      <c r="H93" s="13" t="s">
        <v>86</v>
      </c>
      <c r="I93" s="13" t="s">
        <v>86</v>
      </c>
      <c r="J93" s="13" t="s">
        <v>86</v>
      </c>
      <c r="K93" s="13" t="s">
        <v>86</v>
      </c>
      <c r="L93" s="13" t="s">
        <v>86</v>
      </c>
      <c r="M93" s="13" t="s">
        <v>86</v>
      </c>
      <c r="N93" s="13" t="s">
        <v>86</v>
      </c>
      <c r="O93" s="13" t="s">
        <v>86</v>
      </c>
      <c r="P93" s="13" t="s">
        <v>86</v>
      </c>
      <c r="Q93" s="13" t="s">
        <v>86</v>
      </c>
      <c r="R93" s="13" t="s">
        <v>86</v>
      </c>
      <c r="S93" s="13" t="s">
        <v>86</v>
      </c>
      <c r="T93" s="13" t="s">
        <v>86</v>
      </c>
      <c r="U93" s="13" t="s">
        <v>86</v>
      </c>
      <c r="V93" s="13" t="s">
        <v>86</v>
      </c>
      <c r="W93" s="13" t="s">
        <v>86</v>
      </c>
      <c r="X93" s="13" t="s">
        <v>86</v>
      </c>
      <c r="Y93" s="13" t="s">
        <v>86</v>
      </c>
      <c r="Z93" s="13" t="s">
        <v>86</v>
      </c>
      <c r="AA93" s="46" t="s">
        <v>86</v>
      </c>
    </row>
    <row r="94" spans="1:27" hidden="1" x14ac:dyDescent="0.2">
      <c r="A94" s="17">
        <v>43807</v>
      </c>
      <c r="B94" s="11" t="s">
        <v>54</v>
      </c>
      <c r="C94" s="37"/>
      <c r="D94" s="13" t="s">
        <v>86</v>
      </c>
      <c r="E94" s="13" t="s">
        <v>86</v>
      </c>
      <c r="F94" s="13" t="s">
        <v>86</v>
      </c>
      <c r="G94" s="13" t="s">
        <v>86</v>
      </c>
      <c r="H94" s="13" t="s">
        <v>432</v>
      </c>
      <c r="I94" s="13" t="s">
        <v>432</v>
      </c>
      <c r="J94" s="13" t="s">
        <v>432</v>
      </c>
      <c r="K94" s="13" t="s">
        <v>432</v>
      </c>
      <c r="L94" s="13" t="s">
        <v>432</v>
      </c>
      <c r="M94" s="13" t="s">
        <v>432</v>
      </c>
      <c r="N94" s="13" t="s">
        <v>432</v>
      </c>
      <c r="O94" s="13" t="s">
        <v>432</v>
      </c>
      <c r="P94" s="13" t="s">
        <v>432</v>
      </c>
      <c r="Q94" s="13" t="s">
        <v>432</v>
      </c>
      <c r="R94" s="13" t="s">
        <v>432</v>
      </c>
      <c r="S94" s="13" t="s">
        <v>432</v>
      </c>
      <c r="T94" s="13" t="s">
        <v>432</v>
      </c>
      <c r="U94" s="13" t="s">
        <v>432</v>
      </c>
      <c r="V94" s="13" t="s">
        <v>432</v>
      </c>
      <c r="W94" s="13" t="s">
        <v>432</v>
      </c>
      <c r="X94" s="13" t="s">
        <v>432</v>
      </c>
      <c r="Y94" s="13" t="s">
        <v>432</v>
      </c>
      <c r="Z94" s="13" t="s">
        <v>432</v>
      </c>
      <c r="AA94" s="46" t="s">
        <v>432</v>
      </c>
    </row>
    <row r="95" spans="1:27" hidden="1" x14ac:dyDescent="0.2">
      <c r="A95" s="16">
        <v>43807</v>
      </c>
      <c r="B95" s="41" t="s">
        <v>34</v>
      </c>
      <c r="C95" s="36"/>
      <c r="D95" s="13" t="s">
        <v>86</v>
      </c>
      <c r="E95" s="12" t="s">
        <v>86</v>
      </c>
      <c r="F95" s="12" t="s">
        <v>86</v>
      </c>
      <c r="G95" s="12" t="s">
        <v>86</v>
      </c>
      <c r="H95" s="12" t="s">
        <v>432</v>
      </c>
      <c r="I95" s="12" t="s">
        <v>432</v>
      </c>
      <c r="J95" s="12" t="s">
        <v>86</v>
      </c>
      <c r="K95" s="12" t="s">
        <v>86</v>
      </c>
      <c r="L95" s="12" t="s">
        <v>86</v>
      </c>
      <c r="M95" s="12" t="s">
        <v>86</v>
      </c>
      <c r="N95" s="12" t="s">
        <v>86</v>
      </c>
      <c r="O95" s="12" t="s">
        <v>86</v>
      </c>
      <c r="P95" s="12" t="s">
        <v>86</v>
      </c>
      <c r="Q95" s="12" t="s">
        <v>86</v>
      </c>
      <c r="R95" s="12" t="s">
        <v>432</v>
      </c>
      <c r="S95" s="12" t="s">
        <v>432</v>
      </c>
      <c r="T95" s="12" t="s">
        <v>86</v>
      </c>
      <c r="U95" s="12" t="s">
        <v>86</v>
      </c>
      <c r="V95" s="12" t="s">
        <v>86</v>
      </c>
      <c r="W95" s="12" t="s">
        <v>86</v>
      </c>
      <c r="X95" s="12" t="s">
        <v>86</v>
      </c>
      <c r="Y95" s="12" t="s">
        <v>432</v>
      </c>
      <c r="Z95" s="12" t="s">
        <v>432</v>
      </c>
      <c r="AA95" s="48" t="s">
        <v>432</v>
      </c>
    </row>
    <row r="96" spans="1:27" hidden="1" x14ac:dyDescent="0.2">
      <c r="A96" s="16">
        <v>43807</v>
      </c>
      <c r="B96" s="10" t="s">
        <v>35</v>
      </c>
      <c r="C96" s="36" t="s">
        <v>12</v>
      </c>
      <c r="D96" s="13" t="s">
        <v>86</v>
      </c>
      <c r="E96" s="12" t="s">
        <v>86</v>
      </c>
      <c r="F96" s="12" t="s">
        <v>86</v>
      </c>
      <c r="G96" s="12" t="s">
        <v>86</v>
      </c>
      <c r="H96" s="12" t="s">
        <v>432</v>
      </c>
      <c r="I96" s="12" t="s">
        <v>432</v>
      </c>
      <c r="J96" s="12" t="s">
        <v>86</v>
      </c>
      <c r="K96" s="12" t="s">
        <v>86</v>
      </c>
      <c r="L96" s="12" t="s">
        <v>86</v>
      </c>
      <c r="M96" s="12" t="s">
        <v>86</v>
      </c>
      <c r="N96" s="12" t="s">
        <v>86</v>
      </c>
      <c r="O96" s="12" t="s">
        <v>86</v>
      </c>
      <c r="P96" s="12" t="s">
        <v>86</v>
      </c>
      <c r="Q96" s="12" t="s">
        <v>86</v>
      </c>
      <c r="R96" s="12" t="s">
        <v>432</v>
      </c>
      <c r="S96" s="12" t="s">
        <v>432</v>
      </c>
      <c r="T96" s="12" t="s">
        <v>86</v>
      </c>
      <c r="U96" s="12" t="s">
        <v>86</v>
      </c>
      <c r="V96" s="12" t="s">
        <v>86</v>
      </c>
      <c r="W96" s="12" t="s">
        <v>86</v>
      </c>
      <c r="X96" s="12" t="s">
        <v>86</v>
      </c>
      <c r="Y96" s="12" t="s">
        <v>86</v>
      </c>
      <c r="Z96" s="12" t="s">
        <v>86</v>
      </c>
      <c r="AA96" s="48" t="s">
        <v>86</v>
      </c>
    </row>
    <row r="97" spans="1:27" hidden="1" x14ac:dyDescent="0.2">
      <c r="A97" s="17">
        <v>43807</v>
      </c>
      <c r="B97" s="11" t="s">
        <v>31</v>
      </c>
      <c r="C97" s="37"/>
      <c r="D97" s="13" t="s">
        <v>86</v>
      </c>
      <c r="E97" s="13" t="s">
        <v>86</v>
      </c>
      <c r="F97" s="13" t="s">
        <v>86</v>
      </c>
      <c r="G97" s="13" t="s">
        <v>86</v>
      </c>
      <c r="H97" s="13" t="s">
        <v>432</v>
      </c>
      <c r="I97" s="13" t="s">
        <v>432</v>
      </c>
      <c r="J97" s="13" t="s">
        <v>86</v>
      </c>
      <c r="K97" s="13" t="s">
        <v>86</v>
      </c>
      <c r="L97" s="13" t="s">
        <v>86</v>
      </c>
      <c r="M97" s="13" t="s">
        <v>86</v>
      </c>
      <c r="N97" s="13" t="s">
        <v>86</v>
      </c>
      <c r="O97" s="13" t="s">
        <v>86</v>
      </c>
      <c r="P97" s="13" t="s">
        <v>86</v>
      </c>
      <c r="Q97" s="13" t="s">
        <v>86</v>
      </c>
      <c r="R97" s="13" t="s">
        <v>432</v>
      </c>
      <c r="S97" s="13" t="s">
        <v>432</v>
      </c>
      <c r="T97" s="13" t="s">
        <v>86</v>
      </c>
      <c r="U97" s="13" t="s">
        <v>86</v>
      </c>
      <c r="V97" s="13" t="s">
        <v>86</v>
      </c>
      <c r="W97" s="13" t="s">
        <v>86</v>
      </c>
      <c r="X97" s="13" t="s">
        <v>86</v>
      </c>
      <c r="Y97" s="13" t="s">
        <v>86</v>
      </c>
      <c r="Z97" s="13" t="s">
        <v>86</v>
      </c>
      <c r="AA97" s="49" t="s">
        <v>86</v>
      </c>
    </row>
    <row r="98" spans="1:27" hidden="1" x14ac:dyDescent="0.2">
      <c r="A98" s="16">
        <v>43807</v>
      </c>
      <c r="B98" s="10" t="s">
        <v>27</v>
      </c>
      <c r="C98" s="36"/>
      <c r="D98" s="12" t="s">
        <v>86</v>
      </c>
      <c r="E98" s="12" t="s">
        <v>86</v>
      </c>
      <c r="F98" s="12" t="s">
        <v>86</v>
      </c>
      <c r="G98" s="12" t="s">
        <v>86</v>
      </c>
      <c r="H98" s="12" t="s">
        <v>432</v>
      </c>
      <c r="I98" s="12" t="s">
        <v>432</v>
      </c>
      <c r="J98" s="12" t="s">
        <v>86</v>
      </c>
      <c r="K98" s="12" t="s">
        <v>86</v>
      </c>
      <c r="L98" s="12" t="s">
        <v>86</v>
      </c>
      <c r="M98" s="12" t="s">
        <v>86</v>
      </c>
      <c r="N98" s="12" t="s">
        <v>86</v>
      </c>
      <c r="O98" s="12" t="s">
        <v>86</v>
      </c>
      <c r="P98" s="12" t="s">
        <v>86</v>
      </c>
      <c r="Q98" s="12" t="s">
        <v>86</v>
      </c>
      <c r="R98" s="12" t="s">
        <v>432</v>
      </c>
      <c r="S98" s="12" t="s">
        <v>432</v>
      </c>
      <c r="T98" s="12" t="s">
        <v>86</v>
      </c>
      <c r="U98" s="12" t="s">
        <v>86</v>
      </c>
      <c r="V98" s="12" t="s">
        <v>86</v>
      </c>
      <c r="W98" s="12" t="s">
        <v>86</v>
      </c>
      <c r="X98" s="12" t="s">
        <v>86</v>
      </c>
      <c r="Y98" s="12" t="s">
        <v>432</v>
      </c>
      <c r="Z98" s="12" t="s">
        <v>432</v>
      </c>
      <c r="AA98" s="48" t="s">
        <v>86</v>
      </c>
    </row>
    <row r="99" spans="1:27" hidden="1" x14ac:dyDescent="0.2">
      <c r="A99" s="16">
        <v>43810</v>
      </c>
      <c r="B99" s="10" t="s">
        <v>54</v>
      </c>
      <c r="C99" s="36"/>
      <c r="D99" s="12" t="s">
        <v>86</v>
      </c>
      <c r="E99" s="12" t="s">
        <v>86</v>
      </c>
      <c r="F99" s="12" t="s">
        <v>86</v>
      </c>
      <c r="G99" s="12" t="s">
        <v>86</v>
      </c>
      <c r="H99" s="12" t="s">
        <v>432</v>
      </c>
      <c r="I99" s="12" t="s">
        <v>432</v>
      </c>
      <c r="J99" s="12" t="s">
        <v>86</v>
      </c>
      <c r="K99" s="12" t="s">
        <v>86</v>
      </c>
      <c r="L99" s="12" t="s">
        <v>86</v>
      </c>
      <c r="M99" s="12" t="s">
        <v>86</v>
      </c>
      <c r="N99" s="12" t="s">
        <v>86</v>
      </c>
      <c r="O99" s="12" t="s">
        <v>86</v>
      </c>
      <c r="P99" s="12" t="s">
        <v>86</v>
      </c>
      <c r="Q99" s="12" t="s">
        <v>86</v>
      </c>
      <c r="R99" s="12" t="s">
        <v>432</v>
      </c>
      <c r="S99" s="12" t="s">
        <v>432</v>
      </c>
      <c r="T99" s="12" t="s">
        <v>86</v>
      </c>
      <c r="U99" s="12" t="s">
        <v>86</v>
      </c>
      <c r="V99" s="12" t="s">
        <v>86</v>
      </c>
      <c r="W99" s="12" t="s">
        <v>86</v>
      </c>
      <c r="X99" s="12" t="s">
        <v>86</v>
      </c>
      <c r="Y99" s="12" t="s">
        <v>86</v>
      </c>
      <c r="Z99" s="12" t="s">
        <v>86</v>
      </c>
      <c r="AA99" s="48" t="s">
        <v>86</v>
      </c>
    </row>
    <row r="100" spans="1:27" hidden="1" x14ac:dyDescent="0.2">
      <c r="A100" s="16">
        <v>43810</v>
      </c>
      <c r="B100" s="41" t="s">
        <v>34</v>
      </c>
      <c r="C100" s="36"/>
      <c r="D100" s="12" t="s">
        <v>86</v>
      </c>
      <c r="E100" s="12" t="s">
        <v>86</v>
      </c>
      <c r="F100" s="12" t="s">
        <v>86</v>
      </c>
      <c r="G100" s="12" t="s">
        <v>86</v>
      </c>
      <c r="H100" s="12" t="s">
        <v>432</v>
      </c>
      <c r="I100" s="12" t="s">
        <v>432</v>
      </c>
      <c r="J100" s="12" t="s">
        <v>86</v>
      </c>
      <c r="K100" s="12" t="s">
        <v>86</v>
      </c>
      <c r="L100" s="12" t="s">
        <v>86</v>
      </c>
      <c r="M100" s="12" t="s">
        <v>86</v>
      </c>
      <c r="N100" s="12" t="s">
        <v>86</v>
      </c>
      <c r="O100" s="12" t="s">
        <v>86</v>
      </c>
      <c r="P100" s="12" t="s">
        <v>86</v>
      </c>
      <c r="Q100" s="12" t="s">
        <v>86</v>
      </c>
      <c r="R100" s="12" t="s">
        <v>432</v>
      </c>
      <c r="S100" s="12" t="s">
        <v>432</v>
      </c>
      <c r="T100" s="12" t="s">
        <v>86</v>
      </c>
      <c r="U100" s="12" t="s">
        <v>86</v>
      </c>
      <c r="V100" s="12" t="s">
        <v>86</v>
      </c>
      <c r="W100" s="12" t="s">
        <v>86</v>
      </c>
      <c r="X100" s="12" t="s">
        <v>86</v>
      </c>
      <c r="Y100" s="12" t="s">
        <v>432</v>
      </c>
      <c r="Z100" s="12" t="s">
        <v>432</v>
      </c>
      <c r="AA100" s="48" t="s">
        <v>432</v>
      </c>
    </row>
    <row r="101" spans="1:27" hidden="1" x14ac:dyDescent="0.2">
      <c r="A101" s="17">
        <v>43810</v>
      </c>
      <c r="B101" s="11" t="s">
        <v>31</v>
      </c>
      <c r="C101" s="37"/>
      <c r="D101" s="13" t="s">
        <v>86</v>
      </c>
      <c r="E101" s="13" t="s">
        <v>86</v>
      </c>
      <c r="F101" s="13" t="s">
        <v>86</v>
      </c>
      <c r="G101" s="13" t="s">
        <v>86</v>
      </c>
      <c r="H101" s="13" t="s">
        <v>432</v>
      </c>
      <c r="I101" s="13" t="s">
        <v>432</v>
      </c>
      <c r="J101" s="13" t="s">
        <v>86</v>
      </c>
      <c r="K101" s="13" t="s">
        <v>86</v>
      </c>
      <c r="L101" s="13" t="s">
        <v>86</v>
      </c>
      <c r="M101" s="13" t="s">
        <v>86</v>
      </c>
      <c r="N101" s="13" t="s">
        <v>86</v>
      </c>
      <c r="O101" s="13" t="s">
        <v>86</v>
      </c>
      <c r="P101" s="13" t="s">
        <v>86</v>
      </c>
      <c r="Q101" s="13" t="s">
        <v>86</v>
      </c>
      <c r="R101" s="13" t="s">
        <v>432</v>
      </c>
      <c r="S101" s="13" t="s">
        <v>432</v>
      </c>
      <c r="T101" s="13" t="s">
        <v>86</v>
      </c>
      <c r="U101" s="13" t="s">
        <v>86</v>
      </c>
      <c r="V101" s="13" t="s">
        <v>86</v>
      </c>
      <c r="W101" s="13" t="s">
        <v>86</v>
      </c>
      <c r="X101" s="13" t="s">
        <v>86</v>
      </c>
      <c r="Y101" s="13" t="s">
        <v>86</v>
      </c>
      <c r="Z101" s="13" t="s">
        <v>86</v>
      </c>
      <c r="AA101" s="49" t="s">
        <v>86</v>
      </c>
    </row>
    <row r="102" spans="1:27" hidden="1" x14ac:dyDescent="0.2">
      <c r="A102" s="17">
        <v>43810</v>
      </c>
      <c r="B102" s="11" t="s">
        <v>500</v>
      </c>
      <c r="C102" s="37"/>
      <c r="D102" s="13" t="s">
        <v>86</v>
      </c>
      <c r="E102" s="13" t="s">
        <v>86</v>
      </c>
      <c r="F102" s="13" t="s">
        <v>432</v>
      </c>
      <c r="G102" s="13" t="s">
        <v>86</v>
      </c>
      <c r="H102" s="13" t="s">
        <v>432</v>
      </c>
      <c r="I102" s="13" t="s">
        <v>432</v>
      </c>
      <c r="J102" s="13" t="s">
        <v>432</v>
      </c>
      <c r="K102" s="13" t="s">
        <v>432</v>
      </c>
      <c r="L102" s="13" t="s">
        <v>432</v>
      </c>
      <c r="M102" s="13" t="s">
        <v>432</v>
      </c>
      <c r="N102" s="13" t="s">
        <v>432</v>
      </c>
      <c r="O102" s="13" t="s">
        <v>432</v>
      </c>
      <c r="P102" s="13" t="s">
        <v>432</v>
      </c>
      <c r="Q102" s="13" t="s">
        <v>432</v>
      </c>
      <c r="R102" s="13" t="s">
        <v>432</v>
      </c>
      <c r="S102" s="13" t="s">
        <v>432</v>
      </c>
      <c r="T102" s="13" t="s">
        <v>432</v>
      </c>
      <c r="U102" s="13" t="s">
        <v>432</v>
      </c>
      <c r="V102" s="13" t="s">
        <v>432</v>
      </c>
      <c r="W102" s="13" t="s">
        <v>432</v>
      </c>
      <c r="X102" s="13" t="s">
        <v>432</v>
      </c>
      <c r="Y102" s="13" t="s">
        <v>432</v>
      </c>
      <c r="Z102" s="13" t="s">
        <v>432</v>
      </c>
      <c r="AA102" s="46" t="s">
        <v>432</v>
      </c>
    </row>
    <row r="103" spans="1:27" hidden="1" x14ac:dyDescent="0.2">
      <c r="A103" s="16">
        <v>43810</v>
      </c>
      <c r="B103" s="10" t="s">
        <v>28</v>
      </c>
      <c r="C103" s="36"/>
      <c r="D103" s="12" t="s">
        <v>86</v>
      </c>
      <c r="E103" s="12" t="s">
        <v>86</v>
      </c>
      <c r="F103" s="12" t="s">
        <v>86</v>
      </c>
      <c r="G103" s="12" t="s">
        <v>86</v>
      </c>
      <c r="H103" s="12" t="s">
        <v>432</v>
      </c>
      <c r="I103" s="12" t="s">
        <v>432</v>
      </c>
      <c r="J103" s="12" t="s">
        <v>86</v>
      </c>
      <c r="K103" s="12" t="s">
        <v>86</v>
      </c>
      <c r="L103" s="12" t="s">
        <v>86</v>
      </c>
      <c r="M103" s="12" t="s">
        <v>86</v>
      </c>
      <c r="N103" s="12" t="s">
        <v>86</v>
      </c>
      <c r="O103" s="12" t="s">
        <v>86</v>
      </c>
      <c r="P103" s="12" t="s">
        <v>86</v>
      </c>
      <c r="Q103" s="12" t="s">
        <v>86</v>
      </c>
      <c r="R103" s="12" t="s">
        <v>432</v>
      </c>
      <c r="S103" s="12" t="s">
        <v>432</v>
      </c>
      <c r="T103" s="12" t="s">
        <v>86</v>
      </c>
      <c r="U103" s="12" t="s">
        <v>86</v>
      </c>
      <c r="V103" s="12" t="s">
        <v>86</v>
      </c>
      <c r="W103" s="12" t="s">
        <v>86</v>
      </c>
      <c r="X103" s="12" t="s">
        <v>86</v>
      </c>
      <c r="Y103" s="12" t="s">
        <v>86</v>
      </c>
      <c r="Z103" s="12" t="s">
        <v>432</v>
      </c>
      <c r="AA103" s="46" t="s">
        <v>86</v>
      </c>
    </row>
    <row r="104" spans="1:27" hidden="1" x14ac:dyDescent="0.2">
      <c r="A104" s="16">
        <v>43810</v>
      </c>
      <c r="B104" s="10" t="s">
        <v>35</v>
      </c>
      <c r="C104" s="36" t="s">
        <v>12</v>
      </c>
      <c r="D104" s="12" t="s">
        <v>86</v>
      </c>
      <c r="E104" s="12" t="s">
        <v>86</v>
      </c>
      <c r="F104" s="12" t="s">
        <v>432</v>
      </c>
      <c r="G104" s="12" t="s">
        <v>86</v>
      </c>
      <c r="H104" s="12" t="s">
        <v>432</v>
      </c>
      <c r="I104" s="12" t="s">
        <v>432</v>
      </c>
      <c r="J104" s="12" t="s">
        <v>432</v>
      </c>
      <c r="K104" s="12" t="s">
        <v>432</v>
      </c>
      <c r="L104" s="12" t="s">
        <v>432</v>
      </c>
      <c r="M104" s="12" t="s">
        <v>432</v>
      </c>
      <c r="N104" s="12" t="s">
        <v>432</v>
      </c>
      <c r="O104" s="12" t="s">
        <v>432</v>
      </c>
      <c r="P104" s="12" t="s">
        <v>432</v>
      </c>
      <c r="Q104" s="12" t="s">
        <v>432</v>
      </c>
      <c r="R104" s="12" t="s">
        <v>432</v>
      </c>
      <c r="S104" s="12" t="s">
        <v>432</v>
      </c>
      <c r="T104" s="12" t="s">
        <v>432</v>
      </c>
      <c r="U104" s="12" t="s">
        <v>432</v>
      </c>
      <c r="V104" s="12" t="s">
        <v>432</v>
      </c>
      <c r="W104" s="12" t="s">
        <v>432</v>
      </c>
      <c r="X104" s="12" t="s">
        <v>432</v>
      </c>
      <c r="Y104" s="12" t="s">
        <v>432</v>
      </c>
      <c r="Z104" s="12" t="s">
        <v>432</v>
      </c>
      <c r="AA104" s="48" t="s">
        <v>432</v>
      </c>
    </row>
    <row r="105" spans="1:27" hidden="1" x14ac:dyDescent="0.2">
      <c r="A105" s="17">
        <v>43810</v>
      </c>
      <c r="B105" s="11" t="s">
        <v>35</v>
      </c>
      <c r="C105" s="37"/>
      <c r="D105" s="13" t="s">
        <v>86</v>
      </c>
      <c r="E105" s="13" t="s">
        <v>86</v>
      </c>
      <c r="F105" s="13" t="s">
        <v>86</v>
      </c>
      <c r="G105" s="13" t="s">
        <v>86</v>
      </c>
      <c r="H105" s="13" t="s">
        <v>432</v>
      </c>
      <c r="I105" s="13" t="s">
        <v>432</v>
      </c>
      <c r="J105" s="13" t="s">
        <v>86</v>
      </c>
      <c r="K105" s="13" t="s">
        <v>86</v>
      </c>
      <c r="L105" s="13" t="s">
        <v>86</v>
      </c>
      <c r="M105" s="13" t="s">
        <v>86</v>
      </c>
      <c r="N105" s="13" t="s">
        <v>86</v>
      </c>
      <c r="O105" s="13" t="s">
        <v>86</v>
      </c>
      <c r="P105" s="13" t="s">
        <v>86</v>
      </c>
      <c r="Q105" s="13" t="s">
        <v>86</v>
      </c>
      <c r="R105" s="13" t="s">
        <v>432</v>
      </c>
      <c r="S105" s="13" t="s">
        <v>432</v>
      </c>
      <c r="T105" s="13" t="s">
        <v>86</v>
      </c>
      <c r="U105" s="13" t="s">
        <v>86</v>
      </c>
      <c r="V105" s="13" t="s">
        <v>86</v>
      </c>
      <c r="W105" s="13" t="s">
        <v>86</v>
      </c>
      <c r="X105" s="13" t="s">
        <v>86</v>
      </c>
      <c r="Y105" s="13" t="s">
        <v>86</v>
      </c>
      <c r="Z105" s="13" t="s">
        <v>86</v>
      </c>
      <c r="AA105" s="46" t="s">
        <v>86</v>
      </c>
    </row>
    <row r="106" spans="1:27" hidden="1" x14ac:dyDescent="0.2">
      <c r="A106" s="17">
        <v>43814</v>
      </c>
      <c r="B106" s="11" t="s">
        <v>35</v>
      </c>
      <c r="C106" s="37"/>
      <c r="D106" s="13" t="s">
        <v>86</v>
      </c>
      <c r="E106" s="13" t="s">
        <v>86</v>
      </c>
      <c r="F106" s="13" t="s">
        <v>86</v>
      </c>
      <c r="G106" s="13" t="s">
        <v>86</v>
      </c>
      <c r="H106" s="13" t="s">
        <v>86</v>
      </c>
      <c r="I106" s="13" t="s">
        <v>86</v>
      </c>
      <c r="J106" s="13" t="s">
        <v>86</v>
      </c>
      <c r="K106" s="13" t="s">
        <v>86</v>
      </c>
      <c r="L106" s="13" t="s">
        <v>86</v>
      </c>
      <c r="M106" s="13" t="s">
        <v>86</v>
      </c>
      <c r="N106" s="13" t="s">
        <v>86</v>
      </c>
      <c r="O106" s="13" t="s">
        <v>86</v>
      </c>
      <c r="P106" s="13" t="s">
        <v>86</v>
      </c>
      <c r="Q106" s="13" t="s">
        <v>86</v>
      </c>
      <c r="R106" s="13" t="s">
        <v>86</v>
      </c>
      <c r="S106" s="13" t="s">
        <v>86</v>
      </c>
      <c r="T106" s="13" t="s">
        <v>86</v>
      </c>
      <c r="U106" s="13" t="s">
        <v>86</v>
      </c>
      <c r="V106" s="13" t="s">
        <v>86</v>
      </c>
      <c r="W106" s="13" t="s">
        <v>86</v>
      </c>
      <c r="X106" s="13" t="s">
        <v>86</v>
      </c>
      <c r="Y106" s="13" t="s">
        <v>86</v>
      </c>
      <c r="Z106" s="13" t="s">
        <v>86</v>
      </c>
      <c r="AA106" s="46" t="s">
        <v>86</v>
      </c>
    </row>
    <row r="107" spans="1:27" hidden="1" x14ac:dyDescent="0.2">
      <c r="A107" s="17">
        <v>43814</v>
      </c>
      <c r="B107" s="11" t="s">
        <v>54</v>
      </c>
      <c r="C107" s="37"/>
      <c r="D107" s="13" t="s">
        <v>86</v>
      </c>
      <c r="E107" s="13" t="s">
        <v>86</v>
      </c>
      <c r="F107" s="13" t="s">
        <v>86</v>
      </c>
      <c r="G107" s="13" t="s">
        <v>86</v>
      </c>
      <c r="H107" s="13" t="s">
        <v>432</v>
      </c>
      <c r="I107" s="13" t="s">
        <v>432</v>
      </c>
      <c r="J107" s="13" t="s">
        <v>86</v>
      </c>
      <c r="K107" s="13" t="s">
        <v>86</v>
      </c>
      <c r="L107" s="13" t="s">
        <v>86</v>
      </c>
      <c r="M107" s="13" t="s">
        <v>86</v>
      </c>
      <c r="N107" s="13" t="s">
        <v>86</v>
      </c>
      <c r="O107" s="13" t="s">
        <v>86</v>
      </c>
      <c r="P107" s="13" t="s">
        <v>86</v>
      </c>
      <c r="Q107" s="13" t="s">
        <v>86</v>
      </c>
      <c r="R107" s="13" t="s">
        <v>432</v>
      </c>
      <c r="S107" s="13" t="s">
        <v>432</v>
      </c>
      <c r="T107" s="13" t="s">
        <v>86</v>
      </c>
      <c r="U107" s="13" t="s">
        <v>86</v>
      </c>
      <c r="V107" s="13" t="s">
        <v>86</v>
      </c>
      <c r="W107" s="13" t="s">
        <v>86</v>
      </c>
      <c r="X107" s="13" t="s">
        <v>86</v>
      </c>
      <c r="Y107" s="13" t="s">
        <v>86</v>
      </c>
      <c r="Z107" s="13" t="s">
        <v>86</v>
      </c>
      <c r="AA107" s="46" t="s">
        <v>86</v>
      </c>
    </row>
    <row r="108" spans="1:27" hidden="1" x14ac:dyDescent="0.2">
      <c r="A108" s="17">
        <v>43814</v>
      </c>
      <c r="B108" s="39" t="s">
        <v>34</v>
      </c>
      <c r="C108" s="37"/>
      <c r="D108" s="13" t="s">
        <v>86</v>
      </c>
      <c r="E108" s="13" t="s">
        <v>86</v>
      </c>
      <c r="F108" s="13" t="s">
        <v>86</v>
      </c>
      <c r="G108" s="13" t="s">
        <v>86</v>
      </c>
      <c r="H108" s="13" t="s">
        <v>86</v>
      </c>
      <c r="I108" s="13" t="s">
        <v>86</v>
      </c>
      <c r="J108" s="13" t="s">
        <v>86</v>
      </c>
      <c r="K108" s="13" t="s">
        <v>86</v>
      </c>
      <c r="L108" s="13" t="s">
        <v>86</v>
      </c>
      <c r="M108" s="13" t="s">
        <v>86</v>
      </c>
      <c r="N108" s="13" t="s">
        <v>86</v>
      </c>
      <c r="O108" s="13" t="s">
        <v>86</v>
      </c>
      <c r="P108" s="13" t="s">
        <v>86</v>
      </c>
      <c r="Q108" s="13" t="s">
        <v>86</v>
      </c>
      <c r="R108" s="13" t="s">
        <v>86</v>
      </c>
      <c r="S108" s="13" t="s">
        <v>86</v>
      </c>
      <c r="T108" s="13" t="s">
        <v>86</v>
      </c>
      <c r="U108" s="13" t="s">
        <v>86</v>
      </c>
      <c r="V108" s="13" t="s">
        <v>86</v>
      </c>
      <c r="W108" s="13" t="s">
        <v>86</v>
      </c>
      <c r="X108" s="13" t="s">
        <v>86</v>
      </c>
      <c r="Y108" s="13" t="s">
        <v>432</v>
      </c>
      <c r="Z108" s="13" t="s">
        <v>432</v>
      </c>
      <c r="AA108" s="46" t="s">
        <v>432</v>
      </c>
    </row>
    <row r="109" spans="1:27" hidden="1" x14ac:dyDescent="0.2">
      <c r="A109" s="17">
        <v>43814</v>
      </c>
      <c r="B109" s="11" t="s">
        <v>31</v>
      </c>
      <c r="C109" s="37"/>
      <c r="D109" s="13" t="s">
        <v>86</v>
      </c>
      <c r="E109" s="13" t="s">
        <v>86</v>
      </c>
      <c r="F109" s="13" t="s">
        <v>86</v>
      </c>
      <c r="G109" s="13" t="s">
        <v>86</v>
      </c>
      <c r="H109" s="13" t="s">
        <v>432</v>
      </c>
      <c r="I109" s="13" t="s">
        <v>432</v>
      </c>
      <c r="J109" s="13" t="s">
        <v>86</v>
      </c>
      <c r="K109" s="13" t="s">
        <v>86</v>
      </c>
      <c r="L109" s="13" t="s">
        <v>86</v>
      </c>
      <c r="M109" s="13" t="s">
        <v>86</v>
      </c>
      <c r="N109" s="13" t="s">
        <v>86</v>
      </c>
      <c r="O109" s="13" t="s">
        <v>86</v>
      </c>
      <c r="P109" s="13" t="s">
        <v>86</v>
      </c>
      <c r="Q109" s="13" t="s">
        <v>86</v>
      </c>
      <c r="R109" s="13" t="s">
        <v>432</v>
      </c>
      <c r="S109" s="13" t="s">
        <v>432</v>
      </c>
      <c r="T109" s="13" t="s">
        <v>86</v>
      </c>
      <c r="U109" s="13" t="s">
        <v>86</v>
      </c>
      <c r="V109" s="13" t="s">
        <v>86</v>
      </c>
      <c r="W109" s="13" t="s">
        <v>86</v>
      </c>
      <c r="X109" s="13" t="s">
        <v>86</v>
      </c>
      <c r="Y109" s="13" t="s">
        <v>86</v>
      </c>
      <c r="Z109" s="13" t="s">
        <v>86</v>
      </c>
      <c r="AA109" s="49" t="s">
        <v>86</v>
      </c>
    </row>
    <row r="110" spans="1:27" hidden="1" x14ac:dyDescent="0.2">
      <c r="A110" s="17">
        <v>43814</v>
      </c>
      <c r="B110" s="11" t="s">
        <v>33</v>
      </c>
      <c r="C110" s="37"/>
      <c r="D110" s="13" t="s">
        <v>86</v>
      </c>
      <c r="E110" s="13" t="s">
        <v>86</v>
      </c>
      <c r="F110" s="13" t="s">
        <v>86</v>
      </c>
      <c r="G110" s="13" t="s">
        <v>86</v>
      </c>
      <c r="H110" s="13" t="s">
        <v>86</v>
      </c>
      <c r="I110" s="13" t="s">
        <v>86</v>
      </c>
      <c r="J110" s="13" t="s">
        <v>86</v>
      </c>
      <c r="K110" s="13" t="s">
        <v>86</v>
      </c>
      <c r="L110" s="13" t="s">
        <v>86</v>
      </c>
      <c r="M110" s="13" t="s">
        <v>86</v>
      </c>
      <c r="N110" s="13" t="s">
        <v>86</v>
      </c>
      <c r="O110" s="13" t="s">
        <v>86</v>
      </c>
      <c r="P110" s="13" t="s">
        <v>86</v>
      </c>
      <c r="Q110" s="13" t="s">
        <v>86</v>
      </c>
      <c r="R110" s="13" t="s">
        <v>86</v>
      </c>
      <c r="S110" s="13" t="s">
        <v>86</v>
      </c>
      <c r="T110" s="13" t="s">
        <v>86</v>
      </c>
      <c r="U110" s="13" t="s">
        <v>86</v>
      </c>
      <c r="V110" s="13" t="s">
        <v>86</v>
      </c>
      <c r="W110" s="13" t="s">
        <v>86</v>
      </c>
      <c r="X110" s="13" t="s">
        <v>86</v>
      </c>
      <c r="Y110" s="13" t="s">
        <v>86</v>
      </c>
      <c r="Z110" s="13" t="s">
        <v>86</v>
      </c>
      <c r="AA110" s="46" t="s">
        <v>1132</v>
      </c>
    </row>
    <row r="111" spans="1:27" hidden="1" x14ac:dyDescent="0.2">
      <c r="A111" s="17">
        <v>43814</v>
      </c>
      <c r="B111" s="11" t="s">
        <v>27</v>
      </c>
      <c r="C111" s="37"/>
      <c r="D111" s="13" t="s">
        <v>86</v>
      </c>
      <c r="E111" s="13" t="s">
        <v>86</v>
      </c>
      <c r="F111" s="13" t="s">
        <v>86</v>
      </c>
      <c r="G111" s="13" t="s">
        <v>86</v>
      </c>
      <c r="H111" s="13" t="s">
        <v>432</v>
      </c>
      <c r="I111" s="13" t="s">
        <v>432</v>
      </c>
      <c r="J111" s="13" t="s">
        <v>86</v>
      </c>
      <c r="K111" s="13" t="s">
        <v>86</v>
      </c>
      <c r="L111" s="13" t="s">
        <v>86</v>
      </c>
      <c r="M111" s="13" t="s">
        <v>86</v>
      </c>
      <c r="N111" s="13" t="s">
        <v>86</v>
      </c>
      <c r="O111" s="13" t="s">
        <v>86</v>
      </c>
      <c r="P111" s="13" t="s">
        <v>86</v>
      </c>
      <c r="Q111" s="13" t="s">
        <v>86</v>
      </c>
      <c r="R111" s="13" t="s">
        <v>432</v>
      </c>
      <c r="S111" s="13" t="s">
        <v>432</v>
      </c>
      <c r="T111" s="13" t="s">
        <v>86</v>
      </c>
      <c r="U111" s="13" t="s">
        <v>86</v>
      </c>
      <c r="V111" s="13" t="s">
        <v>86</v>
      </c>
      <c r="W111" s="13" t="s">
        <v>86</v>
      </c>
      <c r="X111" s="13" t="s">
        <v>86</v>
      </c>
      <c r="Y111" s="13" t="s">
        <v>432</v>
      </c>
      <c r="Z111" s="13" t="s">
        <v>432</v>
      </c>
      <c r="AA111" s="46" t="s">
        <v>86</v>
      </c>
    </row>
    <row r="112" spans="1:27" hidden="1" x14ac:dyDescent="0.2">
      <c r="A112" s="17">
        <v>43814</v>
      </c>
      <c r="B112" s="11" t="s">
        <v>29</v>
      </c>
      <c r="C112" s="37"/>
      <c r="D112" s="13" t="s">
        <v>86</v>
      </c>
      <c r="E112" s="13" t="s">
        <v>86</v>
      </c>
      <c r="F112" s="13" t="s">
        <v>86</v>
      </c>
      <c r="G112" s="13" t="s">
        <v>86</v>
      </c>
      <c r="H112" s="13" t="s">
        <v>86</v>
      </c>
      <c r="I112" s="13" t="s">
        <v>86</v>
      </c>
      <c r="J112" s="13" t="s">
        <v>86</v>
      </c>
      <c r="K112" s="13" t="s">
        <v>86</v>
      </c>
      <c r="L112" s="13" t="s">
        <v>86</v>
      </c>
      <c r="M112" s="13" t="s">
        <v>86</v>
      </c>
      <c r="N112" s="13" t="s">
        <v>86</v>
      </c>
      <c r="O112" s="13" t="s">
        <v>86</v>
      </c>
      <c r="P112" s="13" t="s">
        <v>86</v>
      </c>
      <c r="Q112" s="13" t="s">
        <v>86</v>
      </c>
      <c r="R112" s="13" t="s">
        <v>86</v>
      </c>
      <c r="S112" s="13" t="s">
        <v>86</v>
      </c>
      <c r="T112" s="13" t="s">
        <v>86</v>
      </c>
      <c r="U112" s="13" t="s">
        <v>86</v>
      </c>
      <c r="V112" s="13" t="s">
        <v>86</v>
      </c>
      <c r="W112" s="13" t="s">
        <v>86</v>
      </c>
      <c r="X112" s="13" t="s">
        <v>86</v>
      </c>
      <c r="Y112" s="13" t="s">
        <v>86</v>
      </c>
      <c r="Z112" s="13" t="s">
        <v>432</v>
      </c>
      <c r="AA112" s="46" t="s">
        <v>86</v>
      </c>
    </row>
    <row r="113" spans="1:27" hidden="1" x14ac:dyDescent="0.2">
      <c r="A113" s="17">
        <v>43817</v>
      </c>
      <c r="B113" s="11" t="s">
        <v>35</v>
      </c>
      <c r="C113" s="37"/>
      <c r="D113" s="13" t="s">
        <v>86</v>
      </c>
      <c r="E113" s="13" t="s">
        <v>86</v>
      </c>
      <c r="F113" s="13" t="s">
        <v>86</v>
      </c>
      <c r="G113" s="13" t="s">
        <v>86</v>
      </c>
      <c r="H113" s="13" t="s">
        <v>432</v>
      </c>
      <c r="I113" s="13" t="s">
        <v>432</v>
      </c>
      <c r="J113" s="13" t="s">
        <v>432</v>
      </c>
      <c r="K113" s="13" t="s">
        <v>432</v>
      </c>
      <c r="L113" s="13" t="s">
        <v>432</v>
      </c>
      <c r="M113" s="13" t="s">
        <v>432</v>
      </c>
      <c r="N113" s="13" t="s">
        <v>432</v>
      </c>
      <c r="O113" s="13" t="s">
        <v>432</v>
      </c>
      <c r="P113" s="13" t="s">
        <v>432</v>
      </c>
      <c r="Q113" s="13" t="s">
        <v>432</v>
      </c>
      <c r="R113" s="13" t="s">
        <v>432</v>
      </c>
      <c r="S113" s="13" t="s">
        <v>432</v>
      </c>
      <c r="T113" s="13" t="s">
        <v>432</v>
      </c>
      <c r="U113" s="13" t="s">
        <v>432</v>
      </c>
      <c r="V113" s="13" t="s">
        <v>432</v>
      </c>
      <c r="W113" s="13" t="s">
        <v>432</v>
      </c>
      <c r="X113" s="13" t="s">
        <v>432</v>
      </c>
      <c r="Y113" s="13" t="s">
        <v>432</v>
      </c>
      <c r="Z113" s="13" t="s">
        <v>432</v>
      </c>
      <c r="AA113" s="46" t="s">
        <v>432</v>
      </c>
    </row>
    <row r="114" spans="1:27" hidden="1" x14ac:dyDescent="0.2">
      <c r="A114" s="17">
        <v>43817</v>
      </c>
      <c r="B114" s="11" t="s">
        <v>54</v>
      </c>
      <c r="C114" s="37"/>
      <c r="D114" s="13" t="s">
        <v>86</v>
      </c>
      <c r="E114" s="13" t="s">
        <v>86</v>
      </c>
      <c r="F114" s="13" t="s">
        <v>86</v>
      </c>
      <c r="G114" s="13" t="s">
        <v>86</v>
      </c>
      <c r="H114" s="13" t="s">
        <v>432</v>
      </c>
      <c r="I114" s="13" t="s">
        <v>432</v>
      </c>
      <c r="J114" s="13" t="s">
        <v>86</v>
      </c>
      <c r="K114" s="13" t="s">
        <v>86</v>
      </c>
      <c r="L114" s="13" t="s">
        <v>86</v>
      </c>
      <c r="M114" s="13" t="s">
        <v>86</v>
      </c>
      <c r="N114" s="13" t="s">
        <v>86</v>
      </c>
      <c r="O114" s="13" t="s">
        <v>86</v>
      </c>
      <c r="P114" s="13" t="s">
        <v>86</v>
      </c>
      <c r="Q114" s="13" t="s">
        <v>86</v>
      </c>
      <c r="R114" s="13" t="s">
        <v>432</v>
      </c>
      <c r="S114" s="13" t="s">
        <v>432</v>
      </c>
      <c r="T114" s="13" t="s">
        <v>86</v>
      </c>
      <c r="U114" s="13" t="s">
        <v>86</v>
      </c>
      <c r="V114" s="13" t="s">
        <v>86</v>
      </c>
      <c r="W114" s="13" t="s">
        <v>86</v>
      </c>
      <c r="X114" s="13" t="s">
        <v>86</v>
      </c>
      <c r="Y114" s="13" t="s">
        <v>86</v>
      </c>
      <c r="Z114" s="13" t="s">
        <v>86</v>
      </c>
      <c r="AA114" s="46" t="s">
        <v>86</v>
      </c>
    </row>
    <row r="115" spans="1:27" hidden="1" x14ac:dyDescent="0.2">
      <c r="A115" s="17">
        <v>43817</v>
      </c>
      <c r="B115" s="11" t="s">
        <v>31</v>
      </c>
      <c r="C115" s="37"/>
      <c r="D115" s="13" t="s">
        <v>86</v>
      </c>
      <c r="E115" s="13" t="s">
        <v>86</v>
      </c>
      <c r="F115" s="13" t="s">
        <v>86</v>
      </c>
      <c r="G115" s="13" t="s">
        <v>86</v>
      </c>
      <c r="H115" s="13" t="s">
        <v>432</v>
      </c>
      <c r="I115" s="13" t="s">
        <v>432</v>
      </c>
      <c r="J115" s="13" t="s">
        <v>86</v>
      </c>
      <c r="K115" s="13" t="s">
        <v>86</v>
      </c>
      <c r="L115" s="13" t="s">
        <v>86</v>
      </c>
      <c r="M115" s="13" t="s">
        <v>86</v>
      </c>
      <c r="N115" s="13" t="s">
        <v>86</v>
      </c>
      <c r="O115" s="13" t="s">
        <v>86</v>
      </c>
      <c r="P115" s="13" t="s">
        <v>86</v>
      </c>
      <c r="Q115" s="13" t="s">
        <v>86</v>
      </c>
      <c r="R115" s="13" t="s">
        <v>432</v>
      </c>
      <c r="S115" s="13" t="s">
        <v>432</v>
      </c>
      <c r="T115" s="13" t="s">
        <v>86</v>
      </c>
      <c r="U115" s="13" t="s">
        <v>86</v>
      </c>
      <c r="V115" s="13" t="s">
        <v>86</v>
      </c>
      <c r="W115" s="13" t="s">
        <v>86</v>
      </c>
      <c r="X115" s="13" t="s">
        <v>86</v>
      </c>
      <c r="Y115" s="13" t="s">
        <v>86</v>
      </c>
      <c r="Z115" s="13" t="s">
        <v>86</v>
      </c>
      <c r="AA115" s="46" t="s">
        <v>86</v>
      </c>
    </row>
    <row r="116" spans="1:27" hidden="1" x14ac:dyDescent="0.2">
      <c r="A116" s="17">
        <v>43817</v>
      </c>
      <c r="B116" s="11" t="s">
        <v>27</v>
      </c>
      <c r="C116" s="37"/>
      <c r="D116" s="13" t="s">
        <v>86</v>
      </c>
      <c r="E116" s="13" t="s">
        <v>86</v>
      </c>
      <c r="F116" s="13" t="s">
        <v>86</v>
      </c>
      <c r="G116" s="13" t="s">
        <v>86</v>
      </c>
      <c r="H116" s="13" t="s">
        <v>86</v>
      </c>
      <c r="I116" s="13" t="s">
        <v>86</v>
      </c>
      <c r="J116" s="13" t="s">
        <v>86</v>
      </c>
      <c r="K116" s="13" t="s">
        <v>86</v>
      </c>
      <c r="L116" s="13" t="s">
        <v>86</v>
      </c>
      <c r="M116" s="13" t="s">
        <v>86</v>
      </c>
      <c r="N116" s="13" t="s">
        <v>86</v>
      </c>
      <c r="O116" s="13" t="s">
        <v>86</v>
      </c>
      <c r="P116" s="13" t="s">
        <v>86</v>
      </c>
      <c r="Q116" s="13" t="s">
        <v>86</v>
      </c>
      <c r="R116" s="13" t="s">
        <v>86</v>
      </c>
      <c r="S116" s="13" t="s">
        <v>86</v>
      </c>
      <c r="T116" s="13" t="s">
        <v>86</v>
      </c>
      <c r="U116" s="13" t="s">
        <v>86</v>
      </c>
      <c r="V116" s="13" t="s">
        <v>86</v>
      </c>
      <c r="W116" s="13" t="s">
        <v>86</v>
      </c>
      <c r="X116" s="13" t="s">
        <v>86</v>
      </c>
      <c r="Y116" s="13" t="s">
        <v>432</v>
      </c>
      <c r="Z116" s="13" t="s">
        <v>432</v>
      </c>
      <c r="AA116" s="46" t="s">
        <v>86</v>
      </c>
    </row>
    <row r="117" spans="1:27" hidden="1" x14ac:dyDescent="0.2">
      <c r="A117" s="17">
        <v>43817</v>
      </c>
      <c r="B117" s="11" t="s">
        <v>29</v>
      </c>
      <c r="C117" s="37"/>
      <c r="D117" s="13" t="s">
        <v>86</v>
      </c>
      <c r="E117" s="13" t="s">
        <v>86</v>
      </c>
      <c r="F117" s="13" t="s">
        <v>86</v>
      </c>
      <c r="G117" s="13" t="s">
        <v>86</v>
      </c>
      <c r="H117" s="13" t="s">
        <v>86</v>
      </c>
      <c r="I117" s="13" t="s">
        <v>86</v>
      </c>
      <c r="J117" s="13" t="s">
        <v>86</v>
      </c>
      <c r="K117" s="13" t="s">
        <v>86</v>
      </c>
      <c r="L117" s="13" t="s">
        <v>86</v>
      </c>
      <c r="M117" s="13" t="s">
        <v>86</v>
      </c>
      <c r="N117" s="13" t="s">
        <v>86</v>
      </c>
      <c r="O117" s="13" t="s">
        <v>86</v>
      </c>
      <c r="P117" s="13" t="s">
        <v>86</v>
      </c>
      <c r="Q117" s="13" t="s">
        <v>86</v>
      </c>
      <c r="R117" s="13" t="s">
        <v>86</v>
      </c>
      <c r="S117" s="13" t="s">
        <v>86</v>
      </c>
      <c r="T117" s="13" t="s">
        <v>86</v>
      </c>
      <c r="U117" s="13" t="s">
        <v>86</v>
      </c>
      <c r="V117" s="13" t="s">
        <v>86</v>
      </c>
      <c r="W117" s="13" t="s">
        <v>86</v>
      </c>
      <c r="X117" s="13" t="s">
        <v>86</v>
      </c>
      <c r="Y117" s="13" t="s">
        <v>86</v>
      </c>
      <c r="Z117" s="13" t="s">
        <v>432</v>
      </c>
      <c r="AA117" s="46" t="s">
        <v>457</v>
      </c>
    </row>
    <row r="118" spans="1:27" hidden="1" x14ac:dyDescent="0.2">
      <c r="A118" s="17">
        <v>43817</v>
      </c>
      <c r="B118" s="39" t="s">
        <v>34</v>
      </c>
      <c r="C118" s="37"/>
      <c r="D118" s="13" t="s">
        <v>86</v>
      </c>
      <c r="E118" s="13" t="s">
        <v>86</v>
      </c>
      <c r="F118" s="13" t="s">
        <v>86</v>
      </c>
      <c r="G118" s="13" t="s">
        <v>86</v>
      </c>
      <c r="H118" s="13" t="s">
        <v>432</v>
      </c>
      <c r="I118" s="13" t="s">
        <v>432</v>
      </c>
      <c r="J118" s="13" t="s">
        <v>86</v>
      </c>
      <c r="K118" s="13" t="s">
        <v>86</v>
      </c>
      <c r="L118" s="13" t="s">
        <v>86</v>
      </c>
      <c r="M118" s="13" t="s">
        <v>86</v>
      </c>
      <c r="N118" s="13" t="s">
        <v>86</v>
      </c>
      <c r="O118" s="13" t="s">
        <v>86</v>
      </c>
      <c r="P118" s="13" t="s">
        <v>86</v>
      </c>
      <c r="Q118" s="13" t="s">
        <v>86</v>
      </c>
      <c r="R118" s="13" t="s">
        <v>432</v>
      </c>
      <c r="S118" s="13" t="s">
        <v>432</v>
      </c>
      <c r="T118" s="13" t="s">
        <v>86</v>
      </c>
      <c r="U118" s="13" t="s">
        <v>86</v>
      </c>
      <c r="V118" s="13" t="s">
        <v>86</v>
      </c>
      <c r="W118" s="13" t="s">
        <v>86</v>
      </c>
      <c r="X118" s="13" t="s">
        <v>86</v>
      </c>
      <c r="Y118" s="13" t="s">
        <v>432</v>
      </c>
      <c r="Z118" s="13" t="s">
        <v>432</v>
      </c>
      <c r="AA118" s="46" t="s">
        <v>432</v>
      </c>
    </row>
    <row r="119" spans="1:27" hidden="1" x14ac:dyDescent="0.2">
      <c r="A119" s="17">
        <v>43817</v>
      </c>
      <c r="B119" s="11" t="s">
        <v>35</v>
      </c>
      <c r="C119" s="37" t="s">
        <v>12</v>
      </c>
      <c r="D119" s="13" t="s">
        <v>86</v>
      </c>
      <c r="E119" s="13" t="s">
        <v>86</v>
      </c>
      <c r="F119" s="13" t="s">
        <v>86</v>
      </c>
      <c r="G119" s="13" t="s">
        <v>86</v>
      </c>
      <c r="H119" s="13" t="s">
        <v>432</v>
      </c>
      <c r="I119" s="13" t="s">
        <v>432</v>
      </c>
      <c r="J119" s="13" t="s">
        <v>86</v>
      </c>
      <c r="K119" s="13" t="s">
        <v>86</v>
      </c>
      <c r="L119" s="13" t="s">
        <v>86</v>
      </c>
      <c r="M119" s="13" t="s">
        <v>86</v>
      </c>
      <c r="N119" s="13" t="s">
        <v>86</v>
      </c>
      <c r="O119" s="13" t="s">
        <v>86</v>
      </c>
      <c r="P119" s="13" t="s">
        <v>86</v>
      </c>
      <c r="Q119" s="13" t="s">
        <v>86</v>
      </c>
      <c r="R119" s="13" t="s">
        <v>432</v>
      </c>
      <c r="S119" s="13" t="s">
        <v>432</v>
      </c>
      <c r="T119" s="13" t="s">
        <v>86</v>
      </c>
      <c r="U119" s="13" t="s">
        <v>86</v>
      </c>
      <c r="V119" s="13" t="s">
        <v>86</v>
      </c>
      <c r="W119" s="13" t="s">
        <v>86</v>
      </c>
      <c r="X119" s="13" t="s">
        <v>86</v>
      </c>
      <c r="Y119" s="13" t="s">
        <v>86</v>
      </c>
      <c r="Z119" s="13" t="s">
        <v>86</v>
      </c>
      <c r="AA119" s="46" t="s">
        <v>86</v>
      </c>
    </row>
    <row r="120" spans="1:27" hidden="1" x14ac:dyDescent="0.2">
      <c r="A120" s="16">
        <v>43818</v>
      </c>
      <c r="B120" s="10" t="s">
        <v>947</v>
      </c>
      <c r="C120" s="36"/>
      <c r="D120" s="12" t="s">
        <v>86</v>
      </c>
      <c r="E120" s="12" t="s">
        <v>86</v>
      </c>
      <c r="F120" s="12" t="s">
        <v>86</v>
      </c>
      <c r="G120" s="12" t="s">
        <v>86</v>
      </c>
      <c r="H120" s="12" t="s">
        <v>432</v>
      </c>
      <c r="I120" s="12" t="s">
        <v>432</v>
      </c>
      <c r="J120" s="12"/>
      <c r="K120" s="12" t="s">
        <v>86</v>
      </c>
      <c r="L120" s="12" t="s">
        <v>86</v>
      </c>
      <c r="M120" s="12" t="s">
        <v>959</v>
      </c>
      <c r="N120" s="12" t="s">
        <v>86</v>
      </c>
      <c r="O120" s="12" t="s">
        <v>959</v>
      </c>
      <c r="P120" s="12" t="s">
        <v>86</v>
      </c>
      <c r="Q120" s="12" t="s">
        <v>86</v>
      </c>
      <c r="R120" s="12" t="s">
        <v>432</v>
      </c>
      <c r="S120" s="12" t="s">
        <v>432</v>
      </c>
      <c r="T120" s="12" t="s">
        <v>86</v>
      </c>
      <c r="U120" s="12" t="s">
        <v>86</v>
      </c>
      <c r="V120" s="12"/>
      <c r="W120" s="12"/>
      <c r="X120" s="12"/>
      <c r="Y120" s="12"/>
      <c r="Z120" s="12"/>
      <c r="AA120" s="46"/>
    </row>
    <row r="121" spans="1:27" hidden="1" x14ac:dyDescent="0.2">
      <c r="A121" s="17">
        <v>43821</v>
      </c>
      <c r="B121" s="11" t="s">
        <v>54</v>
      </c>
      <c r="C121" s="37"/>
      <c r="D121" s="13" t="s">
        <v>86</v>
      </c>
      <c r="E121" s="13" t="s">
        <v>86</v>
      </c>
      <c r="F121" s="13" t="s">
        <v>86</v>
      </c>
      <c r="G121" s="13" t="s">
        <v>86</v>
      </c>
      <c r="H121" s="13" t="s">
        <v>432</v>
      </c>
      <c r="I121" s="13" t="s">
        <v>432</v>
      </c>
      <c r="J121" s="13" t="s">
        <v>86</v>
      </c>
      <c r="K121" s="13" t="s">
        <v>86</v>
      </c>
      <c r="L121" s="13" t="s">
        <v>86</v>
      </c>
      <c r="M121" s="13" t="s">
        <v>86</v>
      </c>
      <c r="N121" s="13" t="s">
        <v>86</v>
      </c>
      <c r="O121" s="13" t="s">
        <v>86</v>
      </c>
      <c r="P121" s="13" t="s">
        <v>86</v>
      </c>
      <c r="Q121" s="13" t="s">
        <v>86</v>
      </c>
      <c r="R121" s="13" t="s">
        <v>432</v>
      </c>
      <c r="S121" s="13" t="s">
        <v>432</v>
      </c>
      <c r="T121" s="13" t="s">
        <v>86</v>
      </c>
      <c r="U121" s="13" t="s">
        <v>86</v>
      </c>
      <c r="V121" s="13" t="s">
        <v>86</v>
      </c>
      <c r="W121" s="13" t="s">
        <v>86</v>
      </c>
      <c r="X121" s="13" t="s">
        <v>86</v>
      </c>
      <c r="Y121" s="13" t="s">
        <v>86</v>
      </c>
      <c r="Z121" s="13" t="s">
        <v>86</v>
      </c>
      <c r="AA121" s="46" t="s">
        <v>86</v>
      </c>
    </row>
    <row r="122" spans="1:27" hidden="1" x14ac:dyDescent="0.2">
      <c r="A122" s="17">
        <v>43821</v>
      </c>
      <c r="B122" s="11" t="s">
        <v>35</v>
      </c>
      <c r="C122" s="37"/>
      <c r="D122" s="13" t="s">
        <v>86</v>
      </c>
      <c r="E122" s="13" t="s">
        <v>86</v>
      </c>
      <c r="F122" s="13" t="s">
        <v>86</v>
      </c>
      <c r="G122" s="13" t="s">
        <v>86</v>
      </c>
      <c r="H122" s="13" t="s">
        <v>86</v>
      </c>
      <c r="I122" s="13" t="s">
        <v>86</v>
      </c>
      <c r="J122" s="13" t="s">
        <v>86</v>
      </c>
      <c r="K122" s="13" t="s">
        <v>86</v>
      </c>
      <c r="L122" s="13" t="s">
        <v>86</v>
      </c>
      <c r="M122" s="13" t="s">
        <v>86</v>
      </c>
      <c r="N122" s="13" t="s">
        <v>86</v>
      </c>
      <c r="O122" s="13" t="s">
        <v>86</v>
      </c>
      <c r="P122" s="13" t="s">
        <v>86</v>
      </c>
      <c r="Q122" s="13" t="s">
        <v>86</v>
      </c>
      <c r="R122" s="13" t="s">
        <v>86</v>
      </c>
      <c r="S122" s="13" t="s">
        <v>86</v>
      </c>
      <c r="T122" s="13" t="s">
        <v>86</v>
      </c>
      <c r="U122" s="13" t="s">
        <v>86</v>
      </c>
      <c r="V122" s="13" t="s">
        <v>86</v>
      </c>
      <c r="W122" s="13" t="s">
        <v>86</v>
      </c>
      <c r="X122" s="13" t="s">
        <v>86</v>
      </c>
      <c r="Y122" s="13" t="s">
        <v>86</v>
      </c>
      <c r="Z122" s="13" t="s">
        <v>86</v>
      </c>
      <c r="AA122" s="46" t="s">
        <v>1157</v>
      </c>
    </row>
    <row r="123" spans="1:27" hidden="1" x14ac:dyDescent="0.2">
      <c r="A123" s="16">
        <v>43821</v>
      </c>
      <c r="B123" s="41" t="s">
        <v>34</v>
      </c>
      <c r="C123" s="36"/>
      <c r="D123" s="12" t="s">
        <v>86</v>
      </c>
      <c r="E123" s="12" t="s">
        <v>86</v>
      </c>
      <c r="F123" s="12" t="s">
        <v>86</v>
      </c>
      <c r="G123" s="12" t="s">
        <v>86</v>
      </c>
      <c r="H123" s="12" t="s">
        <v>432</v>
      </c>
      <c r="I123" s="12" t="s">
        <v>432</v>
      </c>
      <c r="J123" s="12"/>
      <c r="K123" s="12" t="s">
        <v>86</v>
      </c>
      <c r="L123" s="12" t="s">
        <v>86</v>
      </c>
      <c r="M123" s="12" t="s">
        <v>86</v>
      </c>
      <c r="N123" s="12" t="s">
        <v>86</v>
      </c>
      <c r="O123" s="12" t="s">
        <v>86</v>
      </c>
      <c r="P123" s="12" t="s">
        <v>86</v>
      </c>
      <c r="Q123" s="12" t="s">
        <v>86</v>
      </c>
      <c r="R123" s="12" t="s">
        <v>432</v>
      </c>
      <c r="S123" s="12" t="s">
        <v>432</v>
      </c>
      <c r="T123" s="12" t="s">
        <v>86</v>
      </c>
      <c r="U123" s="12" t="s">
        <v>86</v>
      </c>
      <c r="V123" s="12" t="s">
        <v>86</v>
      </c>
      <c r="W123" s="12" t="s">
        <v>86</v>
      </c>
      <c r="X123" s="12" t="s">
        <v>86</v>
      </c>
      <c r="Y123" s="12" t="s">
        <v>432</v>
      </c>
      <c r="Z123" s="12" t="s">
        <v>432</v>
      </c>
      <c r="AA123" s="48" t="s">
        <v>432</v>
      </c>
    </row>
    <row r="124" spans="1:27" hidden="1" x14ac:dyDescent="0.2">
      <c r="A124" s="16">
        <v>43821</v>
      </c>
      <c r="B124" s="10" t="s">
        <v>31</v>
      </c>
      <c r="C124" s="36"/>
      <c r="D124" s="12" t="s">
        <v>86</v>
      </c>
      <c r="E124" s="12" t="s">
        <v>86</v>
      </c>
      <c r="F124" s="12" t="s">
        <v>86</v>
      </c>
      <c r="G124" s="12" t="s">
        <v>86</v>
      </c>
      <c r="H124" s="12" t="s">
        <v>432</v>
      </c>
      <c r="I124" s="12" t="s">
        <v>432</v>
      </c>
      <c r="J124" s="12" t="s">
        <v>86</v>
      </c>
      <c r="K124" s="12" t="s">
        <v>86</v>
      </c>
      <c r="L124" s="12" t="s">
        <v>86</v>
      </c>
      <c r="M124" s="12" t="s">
        <v>86</v>
      </c>
      <c r="N124" s="12" t="s">
        <v>86</v>
      </c>
      <c r="O124" s="12" t="s">
        <v>86</v>
      </c>
      <c r="P124" s="12" t="s">
        <v>86</v>
      </c>
      <c r="Q124" s="12" t="s">
        <v>86</v>
      </c>
      <c r="R124" s="12" t="s">
        <v>432</v>
      </c>
      <c r="S124" s="12" t="s">
        <v>432</v>
      </c>
      <c r="T124" s="12" t="s">
        <v>86</v>
      </c>
      <c r="U124" s="12" t="s">
        <v>86</v>
      </c>
      <c r="V124" s="12" t="s">
        <v>86</v>
      </c>
      <c r="W124" s="12" t="s">
        <v>86</v>
      </c>
      <c r="X124" s="12" t="s">
        <v>86</v>
      </c>
      <c r="Y124" s="12" t="s">
        <v>86</v>
      </c>
      <c r="Z124" s="12" t="s">
        <v>86</v>
      </c>
      <c r="AA124" s="48" t="s">
        <v>1143</v>
      </c>
    </row>
    <row r="125" spans="1:27" hidden="1" x14ac:dyDescent="0.2">
      <c r="A125" s="16">
        <v>43821</v>
      </c>
      <c r="B125" s="10" t="s">
        <v>28</v>
      </c>
      <c r="C125" s="36"/>
      <c r="D125" s="12" t="s">
        <v>86</v>
      </c>
      <c r="E125" s="12" t="s">
        <v>86</v>
      </c>
      <c r="F125" s="12" t="s">
        <v>86</v>
      </c>
      <c r="G125" s="12" t="s">
        <v>86</v>
      </c>
      <c r="H125" s="12" t="s">
        <v>432</v>
      </c>
      <c r="I125" s="12" t="s">
        <v>432</v>
      </c>
      <c r="J125" s="12" t="s">
        <v>86</v>
      </c>
      <c r="K125" s="12" t="s">
        <v>86</v>
      </c>
      <c r="L125" s="12" t="s">
        <v>86</v>
      </c>
      <c r="M125" s="12" t="s">
        <v>86</v>
      </c>
      <c r="N125" s="12" t="s">
        <v>86</v>
      </c>
      <c r="O125" s="12" t="s">
        <v>86</v>
      </c>
      <c r="P125" s="12" t="s">
        <v>86</v>
      </c>
      <c r="Q125" s="12" t="s">
        <v>86</v>
      </c>
      <c r="R125" s="12" t="s">
        <v>432</v>
      </c>
      <c r="S125" s="12" t="s">
        <v>432</v>
      </c>
      <c r="T125" s="12" t="s">
        <v>86</v>
      </c>
      <c r="U125" s="12" t="s">
        <v>86</v>
      </c>
      <c r="V125" s="12" t="s">
        <v>86</v>
      </c>
      <c r="W125" s="12" t="s">
        <v>86</v>
      </c>
      <c r="X125" s="12" t="s">
        <v>86</v>
      </c>
      <c r="Y125" s="12" t="s">
        <v>86</v>
      </c>
      <c r="Z125" s="12" t="s">
        <v>432</v>
      </c>
      <c r="AA125" s="48" t="s">
        <v>86</v>
      </c>
    </row>
    <row r="126" spans="1:27" hidden="1" x14ac:dyDescent="0.2">
      <c r="A126" s="17">
        <v>43821</v>
      </c>
      <c r="B126" s="11" t="s">
        <v>932</v>
      </c>
      <c r="C126" s="37"/>
      <c r="D126" s="13" t="s">
        <v>86</v>
      </c>
      <c r="E126" s="13" t="s">
        <v>86</v>
      </c>
      <c r="F126" s="13" t="s">
        <v>86</v>
      </c>
      <c r="G126" s="13" t="s">
        <v>86</v>
      </c>
      <c r="H126" s="13" t="s">
        <v>86</v>
      </c>
      <c r="I126" s="13" t="s">
        <v>86</v>
      </c>
      <c r="J126" s="13" t="s">
        <v>86</v>
      </c>
      <c r="K126" s="13" t="s">
        <v>86</v>
      </c>
      <c r="L126" s="13" t="s">
        <v>86</v>
      </c>
      <c r="M126" s="13" t="s">
        <v>86</v>
      </c>
      <c r="N126" s="13" t="s">
        <v>86</v>
      </c>
      <c r="O126" s="13" t="s">
        <v>86</v>
      </c>
      <c r="P126" s="13" t="s">
        <v>86</v>
      </c>
      <c r="Q126" s="13" t="s">
        <v>86</v>
      </c>
      <c r="R126" s="13" t="s">
        <v>86</v>
      </c>
      <c r="S126" s="13" t="s">
        <v>86</v>
      </c>
      <c r="T126" s="13" t="s">
        <v>86</v>
      </c>
      <c r="U126" s="13" t="s">
        <v>86</v>
      </c>
      <c r="V126" s="13" t="s">
        <v>86</v>
      </c>
      <c r="W126" s="13" t="s">
        <v>86</v>
      </c>
      <c r="X126" s="13" t="s">
        <v>86</v>
      </c>
      <c r="Y126" s="13" t="s">
        <v>86</v>
      </c>
      <c r="Z126" s="13" t="s">
        <v>432</v>
      </c>
      <c r="AA126" s="46" t="s">
        <v>457</v>
      </c>
    </row>
    <row r="127" spans="1:27" hidden="1" x14ac:dyDescent="0.2">
      <c r="A127" s="17">
        <v>43824</v>
      </c>
      <c r="B127" s="11" t="s">
        <v>35</v>
      </c>
      <c r="C127" s="37"/>
      <c r="D127" s="13" t="s">
        <v>86</v>
      </c>
      <c r="E127" s="13" t="s">
        <v>86</v>
      </c>
      <c r="F127" s="13" t="s">
        <v>86</v>
      </c>
      <c r="G127" s="13" t="s">
        <v>86</v>
      </c>
      <c r="H127" s="13" t="s">
        <v>432</v>
      </c>
      <c r="I127" s="13" t="s">
        <v>432</v>
      </c>
      <c r="J127" s="13" t="s">
        <v>86</v>
      </c>
      <c r="K127" s="13" t="s">
        <v>86</v>
      </c>
      <c r="L127" s="13" t="s">
        <v>86</v>
      </c>
      <c r="M127" s="13" t="s">
        <v>86</v>
      </c>
      <c r="N127" s="13" t="s">
        <v>86</v>
      </c>
      <c r="O127" s="13" t="s">
        <v>86</v>
      </c>
      <c r="P127" s="13" t="s">
        <v>86</v>
      </c>
      <c r="Q127" s="13" t="s">
        <v>86</v>
      </c>
      <c r="R127" s="13" t="s">
        <v>432</v>
      </c>
      <c r="S127" s="13" t="s">
        <v>432</v>
      </c>
      <c r="T127" s="13" t="s">
        <v>86</v>
      </c>
      <c r="U127" s="13" t="s">
        <v>86</v>
      </c>
      <c r="V127" s="13"/>
      <c r="W127" s="13" t="s">
        <v>86</v>
      </c>
      <c r="X127" s="13" t="s">
        <v>432</v>
      </c>
      <c r="Y127" s="13" t="s">
        <v>86</v>
      </c>
      <c r="Z127" s="13" t="s">
        <v>86</v>
      </c>
      <c r="AA127" s="46" t="s">
        <v>1177</v>
      </c>
    </row>
    <row r="128" spans="1:27" hidden="1" x14ac:dyDescent="0.2">
      <c r="A128" s="17">
        <v>43824</v>
      </c>
      <c r="B128" s="11" t="s">
        <v>31</v>
      </c>
      <c r="C128" s="37"/>
      <c r="D128" s="13" t="s">
        <v>920</v>
      </c>
      <c r="E128" s="13" t="s">
        <v>920</v>
      </c>
      <c r="F128" s="13" t="s">
        <v>86</v>
      </c>
      <c r="G128" s="13" t="s">
        <v>86</v>
      </c>
      <c r="H128" s="13" t="s">
        <v>432</v>
      </c>
      <c r="I128" s="13" t="s">
        <v>432</v>
      </c>
      <c r="J128" s="13"/>
      <c r="K128" s="13" t="s">
        <v>86</v>
      </c>
      <c r="L128" s="13" t="s">
        <v>86</v>
      </c>
      <c r="M128" s="13" t="s">
        <v>86</v>
      </c>
      <c r="N128" s="13" t="s">
        <v>86</v>
      </c>
      <c r="O128" s="13" t="s">
        <v>86</v>
      </c>
      <c r="P128" s="13" t="s">
        <v>86</v>
      </c>
      <c r="Q128" s="13" t="s">
        <v>86</v>
      </c>
      <c r="R128" s="13" t="s">
        <v>432</v>
      </c>
      <c r="S128" s="13" t="s">
        <v>432</v>
      </c>
      <c r="T128" s="13" t="s">
        <v>86</v>
      </c>
      <c r="U128" s="13" t="s">
        <v>86</v>
      </c>
      <c r="V128" s="13"/>
      <c r="W128" s="13" t="s">
        <v>86</v>
      </c>
      <c r="X128" s="13"/>
      <c r="Y128" s="13" t="s">
        <v>86</v>
      </c>
      <c r="Z128" s="13" t="s">
        <v>86</v>
      </c>
      <c r="AA128" s="46" t="s">
        <v>1176</v>
      </c>
    </row>
    <row r="129" spans="1:27" hidden="1" x14ac:dyDescent="0.2">
      <c r="A129" s="17">
        <v>43824</v>
      </c>
      <c r="B129" s="39" t="s">
        <v>34</v>
      </c>
      <c r="C129" s="37"/>
      <c r="D129" s="13" t="s">
        <v>86</v>
      </c>
      <c r="E129" s="13" t="s">
        <v>86</v>
      </c>
      <c r="F129" s="13" t="s">
        <v>86</v>
      </c>
      <c r="G129" s="13" t="s">
        <v>86</v>
      </c>
      <c r="H129" s="13" t="s">
        <v>432</v>
      </c>
      <c r="I129" s="13" t="s">
        <v>432</v>
      </c>
      <c r="J129" s="13"/>
      <c r="K129" s="13" t="s">
        <v>86</v>
      </c>
      <c r="L129" s="13" t="s">
        <v>86</v>
      </c>
      <c r="M129" s="13" t="s">
        <v>86</v>
      </c>
      <c r="N129" s="13" t="s">
        <v>86</v>
      </c>
      <c r="O129" s="13" t="s">
        <v>86</v>
      </c>
      <c r="P129" s="13" t="s">
        <v>86</v>
      </c>
      <c r="Q129" s="13" t="s">
        <v>86</v>
      </c>
      <c r="R129" s="13" t="s">
        <v>432</v>
      </c>
      <c r="S129" s="13" t="s">
        <v>432</v>
      </c>
      <c r="T129" s="13" t="s">
        <v>86</v>
      </c>
      <c r="U129" s="13" t="s">
        <v>86</v>
      </c>
      <c r="V129" s="13"/>
      <c r="W129" s="13"/>
      <c r="X129" s="13"/>
      <c r="Y129" s="13" t="s">
        <v>432</v>
      </c>
      <c r="Z129" s="13" t="s">
        <v>432</v>
      </c>
      <c r="AA129" s="46" t="s">
        <v>432</v>
      </c>
    </row>
    <row r="130" spans="1:27" hidden="1" x14ac:dyDescent="0.2">
      <c r="A130" s="17">
        <v>43824</v>
      </c>
      <c r="B130" s="11" t="s">
        <v>29</v>
      </c>
      <c r="C130" s="37"/>
      <c r="D130" s="13" t="s">
        <v>86</v>
      </c>
      <c r="E130" s="13" t="s">
        <v>86</v>
      </c>
      <c r="F130" s="13" t="s">
        <v>86</v>
      </c>
      <c r="G130" s="13" t="s">
        <v>86</v>
      </c>
      <c r="H130" s="13" t="s">
        <v>86</v>
      </c>
      <c r="I130" s="13" t="s">
        <v>86</v>
      </c>
      <c r="J130" s="13" t="s">
        <v>86</v>
      </c>
      <c r="K130" s="13" t="s">
        <v>86</v>
      </c>
      <c r="L130" s="13" t="s">
        <v>86</v>
      </c>
      <c r="M130" s="13" t="s">
        <v>86</v>
      </c>
      <c r="N130" s="13" t="s">
        <v>86</v>
      </c>
      <c r="O130" s="13" t="s">
        <v>86</v>
      </c>
      <c r="P130" s="13" t="s">
        <v>86</v>
      </c>
      <c r="Q130" s="13" t="s">
        <v>86</v>
      </c>
      <c r="R130" s="13" t="s">
        <v>86</v>
      </c>
      <c r="S130" s="13" t="s">
        <v>86</v>
      </c>
      <c r="T130" s="13" t="s">
        <v>86</v>
      </c>
      <c r="U130" s="13" t="s">
        <v>86</v>
      </c>
      <c r="V130" s="13"/>
      <c r="W130" s="13"/>
      <c r="X130" s="13"/>
      <c r="Y130" s="13"/>
      <c r="Z130" s="13" t="s">
        <v>432</v>
      </c>
      <c r="AA130" s="46" t="s">
        <v>457</v>
      </c>
    </row>
    <row r="131" spans="1:27" hidden="1" x14ac:dyDescent="0.2">
      <c r="A131" s="17">
        <v>43824</v>
      </c>
      <c r="B131" s="11" t="s">
        <v>27</v>
      </c>
      <c r="C131" s="37"/>
      <c r="D131" s="13" t="s">
        <v>86</v>
      </c>
      <c r="E131" s="13" t="s">
        <v>86</v>
      </c>
      <c r="F131" s="13" t="s">
        <v>86</v>
      </c>
      <c r="G131" s="13" t="s">
        <v>86</v>
      </c>
      <c r="H131" s="13" t="s">
        <v>432</v>
      </c>
      <c r="I131" s="13" t="s">
        <v>432</v>
      </c>
      <c r="J131" s="13"/>
      <c r="K131" s="13" t="s">
        <v>86</v>
      </c>
      <c r="L131" s="13" t="s">
        <v>86</v>
      </c>
      <c r="M131" s="13" t="s">
        <v>86</v>
      </c>
      <c r="N131" s="13" t="s">
        <v>86</v>
      </c>
      <c r="O131" s="13" t="s">
        <v>86</v>
      </c>
      <c r="P131" s="13" t="s">
        <v>86</v>
      </c>
      <c r="Q131" s="13" t="s">
        <v>86</v>
      </c>
      <c r="R131" s="13" t="s">
        <v>432</v>
      </c>
      <c r="S131" s="13" t="s">
        <v>432</v>
      </c>
      <c r="T131" s="13" t="s">
        <v>86</v>
      </c>
      <c r="U131" s="13" t="s">
        <v>86</v>
      </c>
      <c r="V131" s="13"/>
      <c r="W131" s="13"/>
      <c r="X131" s="13"/>
      <c r="Y131" s="13" t="s">
        <v>432</v>
      </c>
      <c r="Z131" s="13" t="s">
        <v>432</v>
      </c>
      <c r="AA131" s="46"/>
    </row>
    <row r="132" spans="1:27" hidden="1" x14ac:dyDescent="0.2">
      <c r="A132" s="17">
        <v>43825</v>
      </c>
      <c r="B132" s="11" t="s">
        <v>947</v>
      </c>
      <c r="C132" s="37"/>
      <c r="D132" s="13" t="s">
        <v>86</v>
      </c>
      <c r="E132" s="13" t="s">
        <v>86</v>
      </c>
      <c r="F132" s="13" t="s">
        <v>86</v>
      </c>
      <c r="G132" s="13" t="s">
        <v>86</v>
      </c>
      <c r="H132" s="13" t="s">
        <v>432</v>
      </c>
      <c r="I132" s="13" t="s">
        <v>432</v>
      </c>
      <c r="J132" s="13"/>
      <c r="K132" s="13" t="s">
        <v>86</v>
      </c>
      <c r="L132" s="13" t="s">
        <v>86</v>
      </c>
      <c r="M132" s="13" t="s">
        <v>1054</v>
      </c>
      <c r="N132" s="13" t="s">
        <v>86</v>
      </c>
      <c r="O132" s="13" t="s">
        <v>1051</v>
      </c>
      <c r="P132" s="13" t="s">
        <v>86</v>
      </c>
      <c r="Q132" s="13" t="s">
        <v>86</v>
      </c>
      <c r="R132" s="13" t="s">
        <v>432</v>
      </c>
      <c r="S132" s="13" t="s">
        <v>432</v>
      </c>
      <c r="T132" s="13" t="s">
        <v>86</v>
      </c>
      <c r="U132" s="13" t="s">
        <v>86</v>
      </c>
      <c r="V132" s="13"/>
      <c r="W132" s="13"/>
      <c r="X132" s="13"/>
      <c r="Y132" s="13"/>
      <c r="Z132" s="13"/>
      <c r="AA132" s="46" t="s">
        <v>1052</v>
      </c>
    </row>
    <row r="133" spans="1:27" hidden="1" x14ac:dyDescent="0.2">
      <c r="A133" s="17">
        <v>43828</v>
      </c>
      <c r="B133" s="11" t="s">
        <v>35</v>
      </c>
      <c r="C133" s="37"/>
      <c r="D133" s="13" t="s">
        <v>86</v>
      </c>
      <c r="E133" s="13" t="s">
        <v>86</v>
      </c>
      <c r="F133" s="13" t="s">
        <v>86</v>
      </c>
      <c r="G133" s="13" t="s">
        <v>86</v>
      </c>
      <c r="H133" s="13" t="s">
        <v>432</v>
      </c>
      <c r="I133" s="13" t="s">
        <v>432</v>
      </c>
      <c r="J133" s="13" t="s">
        <v>86</v>
      </c>
      <c r="K133" s="13" t="s">
        <v>86</v>
      </c>
      <c r="L133" s="13" t="s">
        <v>86</v>
      </c>
      <c r="M133" s="13" t="s">
        <v>86</v>
      </c>
      <c r="N133" s="13" t="s">
        <v>86</v>
      </c>
      <c r="O133" s="13" t="s">
        <v>86</v>
      </c>
      <c r="P133" s="13" t="s">
        <v>86</v>
      </c>
      <c r="Q133" s="13" t="s">
        <v>86</v>
      </c>
      <c r="R133" s="13" t="s">
        <v>432</v>
      </c>
      <c r="S133" s="13" t="s">
        <v>432</v>
      </c>
      <c r="T133" s="13" t="s">
        <v>86</v>
      </c>
      <c r="U133" s="13" t="s">
        <v>86</v>
      </c>
      <c r="V133" s="13"/>
      <c r="W133" s="13" t="s">
        <v>86</v>
      </c>
      <c r="X133" s="13" t="s">
        <v>432</v>
      </c>
      <c r="Y133" s="13" t="s">
        <v>86</v>
      </c>
      <c r="Z133" s="13" t="s">
        <v>86</v>
      </c>
      <c r="AA133" s="46" t="s">
        <v>1177</v>
      </c>
    </row>
    <row r="134" spans="1:27" hidden="1" x14ac:dyDescent="0.2">
      <c r="A134" s="17">
        <v>43828</v>
      </c>
      <c r="B134" s="39" t="s">
        <v>34</v>
      </c>
      <c r="C134" s="37"/>
      <c r="D134" s="13" t="s">
        <v>86</v>
      </c>
      <c r="E134" s="13" t="s">
        <v>86</v>
      </c>
      <c r="F134" s="13" t="s">
        <v>86</v>
      </c>
      <c r="G134" s="13" t="s">
        <v>86</v>
      </c>
      <c r="H134" s="13" t="s">
        <v>432</v>
      </c>
      <c r="I134" s="13" t="s">
        <v>432</v>
      </c>
      <c r="J134" s="13" t="s">
        <v>86</v>
      </c>
      <c r="K134" s="13" t="s">
        <v>86</v>
      </c>
      <c r="L134" s="13" t="s">
        <v>86</v>
      </c>
      <c r="M134" s="13" t="s">
        <v>86</v>
      </c>
      <c r="N134" s="13" t="s">
        <v>86</v>
      </c>
      <c r="O134" s="13" t="s">
        <v>86</v>
      </c>
      <c r="P134" s="13" t="s">
        <v>86</v>
      </c>
      <c r="Q134" s="13" t="s">
        <v>86</v>
      </c>
      <c r="R134" s="13" t="s">
        <v>432</v>
      </c>
      <c r="S134" s="13" t="s">
        <v>432</v>
      </c>
      <c r="T134" s="13" t="s">
        <v>86</v>
      </c>
      <c r="U134" s="13" t="s">
        <v>86</v>
      </c>
      <c r="V134" s="13"/>
      <c r="W134" s="13" t="s">
        <v>86</v>
      </c>
      <c r="X134" s="13" t="s">
        <v>432</v>
      </c>
      <c r="Y134" s="13" t="s">
        <v>432</v>
      </c>
      <c r="Z134" s="13" t="s">
        <v>432</v>
      </c>
      <c r="AA134" s="46" t="s">
        <v>432</v>
      </c>
    </row>
    <row r="135" spans="1:27" hidden="1" x14ac:dyDescent="0.2">
      <c r="A135" s="17">
        <v>43828</v>
      </c>
      <c r="B135" s="11" t="s">
        <v>31</v>
      </c>
      <c r="C135" s="37"/>
      <c r="D135" s="13" t="s">
        <v>920</v>
      </c>
      <c r="E135" s="13" t="s">
        <v>920</v>
      </c>
      <c r="F135" s="13" t="s">
        <v>86</v>
      </c>
      <c r="G135" s="13" t="s">
        <v>86</v>
      </c>
      <c r="H135" s="13" t="s">
        <v>432</v>
      </c>
      <c r="I135" s="13" t="s">
        <v>432</v>
      </c>
      <c r="J135" s="13" t="s">
        <v>86</v>
      </c>
      <c r="K135" s="13" t="s">
        <v>86</v>
      </c>
      <c r="L135" s="13" t="s">
        <v>86</v>
      </c>
      <c r="M135" s="13" t="s">
        <v>86</v>
      </c>
      <c r="N135" s="13" t="s">
        <v>86</v>
      </c>
      <c r="O135" s="13" t="s">
        <v>86</v>
      </c>
      <c r="P135" s="13" t="s">
        <v>86</v>
      </c>
      <c r="Q135" s="13" t="s">
        <v>86</v>
      </c>
      <c r="R135" s="13" t="s">
        <v>432</v>
      </c>
      <c r="S135" s="13" t="s">
        <v>432</v>
      </c>
      <c r="T135" s="13" t="s">
        <v>86</v>
      </c>
      <c r="U135" s="13" t="s">
        <v>86</v>
      </c>
      <c r="V135" s="13"/>
      <c r="W135" s="13" t="s">
        <v>86</v>
      </c>
      <c r="X135" s="13" t="s">
        <v>432</v>
      </c>
      <c r="Y135" s="13"/>
      <c r="Z135" s="13"/>
      <c r="AA135" s="46" t="s">
        <v>1176</v>
      </c>
    </row>
    <row r="136" spans="1:27" hidden="1" x14ac:dyDescent="0.2">
      <c r="A136" s="16">
        <v>43831</v>
      </c>
      <c r="B136" s="10" t="s">
        <v>1025</v>
      </c>
      <c r="C136" s="36"/>
      <c r="D136" s="13" t="s">
        <v>86</v>
      </c>
      <c r="E136" s="12" t="s">
        <v>86</v>
      </c>
      <c r="F136" s="12" t="s">
        <v>86</v>
      </c>
      <c r="G136" s="13" t="s">
        <v>432</v>
      </c>
      <c r="H136" s="13" t="s">
        <v>432</v>
      </c>
      <c r="I136" s="13" t="s">
        <v>432</v>
      </c>
      <c r="J136" s="13" t="s">
        <v>432</v>
      </c>
      <c r="K136" s="13" t="s">
        <v>432</v>
      </c>
      <c r="L136" s="13" t="s">
        <v>432</v>
      </c>
      <c r="M136" s="13" t="s">
        <v>432</v>
      </c>
      <c r="N136" s="13" t="s">
        <v>432</v>
      </c>
      <c r="O136" s="13" t="s">
        <v>432</v>
      </c>
      <c r="P136" s="13" t="s">
        <v>432</v>
      </c>
      <c r="Q136" s="13" t="s">
        <v>432</v>
      </c>
      <c r="R136" s="13" t="s">
        <v>432</v>
      </c>
      <c r="S136" s="13" t="s">
        <v>432</v>
      </c>
      <c r="T136" s="13" t="s">
        <v>432</v>
      </c>
      <c r="U136" s="13" t="s">
        <v>432</v>
      </c>
      <c r="V136" s="13" t="s">
        <v>432</v>
      </c>
      <c r="W136" s="13" t="s">
        <v>432</v>
      </c>
      <c r="X136" s="13" t="s">
        <v>432</v>
      </c>
      <c r="Y136" s="13" t="s">
        <v>432</v>
      </c>
      <c r="Z136" s="13" t="s">
        <v>432</v>
      </c>
      <c r="AA136" s="13" t="s">
        <v>432</v>
      </c>
    </row>
    <row r="137" spans="1:27" hidden="1" x14ac:dyDescent="0.2">
      <c r="A137" s="16">
        <v>43831</v>
      </c>
      <c r="B137" s="10" t="s">
        <v>50</v>
      </c>
      <c r="C137" s="36"/>
      <c r="D137" s="13" t="s">
        <v>86</v>
      </c>
      <c r="E137" s="12" t="s">
        <v>86</v>
      </c>
      <c r="F137" s="12" t="s">
        <v>86</v>
      </c>
      <c r="G137" s="13" t="s">
        <v>432</v>
      </c>
      <c r="H137" s="13" t="s">
        <v>432</v>
      </c>
      <c r="I137" s="13" t="s">
        <v>432</v>
      </c>
      <c r="J137" s="13" t="s">
        <v>432</v>
      </c>
      <c r="K137" s="13" t="s">
        <v>432</v>
      </c>
      <c r="L137" s="13" t="s">
        <v>432</v>
      </c>
      <c r="M137" s="13" t="s">
        <v>432</v>
      </c>
      <c r="N137" s="13" t="s">
        <v>432</v>
      </c>
      <c r="O137" s="13" t="s">
        <v>432</v>
      </c>
      <c r="P137" s="13" t="s">
        <v>432</v>
      </c>
      <c r="Q137" s="13" t="s">
        <v>432</v>
      </c>
      <c r="R137" s="13" t="s">
        <v>432</v>
      </c>
      <c r="S137" s="13" t="s">
        <v>432</v>
      </c>
      <c r="T137" s="13" t="s">
        <v>432</v>
      </c>
      <c r="U137" s="13" t="s">
        <v>432</v>
      </c>
      <c r="V137" s="13" t="s">
        <v>432</v>
      </c>
      <c r="W137" s="13" t="s">
        <v>432</v>
      </c>
      <c r="X137" s="13" t="s">
        <v>432</v>
      </c>
      <c r="Y137" s="13" t="s">
        <v>432</v>
      </c>
      <c r="Z137" s="13" t="s">
        <v>432</v>
      </c>
      <c r="AA137" s="13" t="s">
        <v>432</v>
      </c>
    </row>
    <row r="138" spans="1:27" hidden="1" x14ac:dyDescent="0.2">
      <c r="A138" s="16">
        <v>43831</v>
      </c>
      <c r="B138" s="10" t="s">
        <v>53</v>
      </c>
      <c r="C138" s="36"/>
      <c r="D138" s="13" t="s">
        <v>86</v>
      </c>
      <c r="E138" s="12" t="s">
        <v>86</v>
      </c>
      <c r="F138" s="12" t="s">
        <v>86</v>
      </c>
      <c r="G138" s="13" t="s">
        <v>432</v>
      </c>
      <c r="H138" s="13" t="s">
        <v>432</v>
      </c>
      <c r="I138" s="13" t="s">
        <v>432</v>
      </c>
      <c r="J138" s="13" t="s">
        <v>432</v>
      </c>
      <c r="K138" s="13" t="s">
        <v>432</v>
      </c>
      <c r="L138" s="13" t="s">
        <v>432</v>
      </c>
      <c r="M138" s="13" t="s">
        <v>432</v>
      </c>
      <c r="N138" s="13" t="s">
        <v>432</v>
      </c>
      <c r="O138" s="13" t="s">
        <v>432</v>
      </c>
      <c r="P138" s="13" t="s">
        <v>432</v>
      </c>
      <c r="Q138" s="13" t="s">
        <v>432</v>
      </c>
      <c r="R138" s="13" t="s">
        <v>432</v>
      </c>
      <c r="S138" s="13" t="s">
        <v>432</v>
      </c>
      <c r="T138" s="13" t="s">
        <v>432</v>
      </c>
      <c r="U138" s="13" t="s">
        <v>432</v>
      </c>
      <c r="V138" s="13" t="s">
        <v>432</v>
      </c>
      <c r="W138" s="13" t="s">
        <v>432</v>
      </c>
      <c r="X138" s="13" t="s">
        <v>432</v>
      </c>
      <c r="Y138" s="13" t="s">
        <v>432</v>
      </c>
      <c r="Z138" s="13" t="s">
        <v>432</v>
      </c>
      <c r="AA138" s="13" t="s">
        <v>432</v>
      </c>
    </row>
    <row r="139" spans="1:27" hidden="1" x14ac:dyDescent="0.2">
      <c r="A139" s="16">
        <v>43835</v>
      </c>
      <c r="B139" s="10" t="s">
        <v>53</v>
      </c>
      <c r="C139" s="36"/>
      <c r="D139" s="13" t="s">
        <v>1105</v>
      </c>
      <c r="E139" s="12" t="s">
        <v>1105</v>
      </c>
      <c r="F139" s="12" t="s">
        <v>86</v>
      </c>
      <c r="G139" s="13" t="s">
        <v>86</v>
      </c>
      <c r="H139" s="13" t="s">
        <v>432</v>
      </c>
      <c r="I139" s="13" t="s">
        <v>432</v>
      </c>
      <c r="J139" s="13"/>
      <c r="K139" s="13" t="s">
        <v>86</v>
      </c>
      <c r="L139" s="13" t="s">
        <v>86</v>
      </c>
      <c r="M139" s="13" t="s">
        <v>86</v>
      </c>
      <c r="N139" s="13" t="s">
        <v>86</v>
      </c>
      <c r="O139" s="13"/>
      <c r="P139" s="13"/>
      <c r="Q139" s="13"/>
      <c r="R139" s="13" t="s">
        <v>432</v>
      </c>
      <c r="S139" s="13" t="s">
        <v>432</v>
      </c>
      <c r="T139" s="13" t="s">
        <v>86</v>
      </c>
      <c r="U139" s="13"/>
      <c r="V139" s="13"/>
      <c r="W139" s="13"/>
      <c r="X139" s="13"/>
      <c r="Y139" s="13"/>
      <c r="Z139" s="12"/>
      <c r="AA139" s="48"/>
    </row>
    <row r="140" spans="1:27" hidden="1" x14ac:dyDescent="0.2">
      <c r="A140" s="16">
        <v>43831</v>
      </c>
      <c r="B140" s="10" t="s">
        <v>57</v>
      </c>
      <c r="C140" s="36"/>
      <c r="D140" s="13" t="s">
        <v>1105</v>
      </c>
      <c r="E140" s="12" t="s">
        <v>1105</v>
      </c>
      <c r="F140" s="12" t="s">
        <v>86</v>
      </c>
      <c r="G140" s="13" t="s">
        <v>432</v>
      </c>
      <c r="H140" s="12" t="s">
        <v>432</v>
      </c>
      <c r="I140" s="12" t="s">
        <v>432</v>
      </c>
      <c r="J140" s="13" t="s">
        <v>432</v>
      </c>
      <c r="K140" s="13" t="s">
        <v>432</v>
      </c>
      <c r="L140" s="13" t="s">
        <v>432</v>
      </c>
      <c r="M140" s="13" t="s">
        <v>432</v>
      </c>
      <c r="N140" s="13" t="s">
        <v>432</v>
      </c>
      <c r="O140" s="13" t="s">
        <v>432</v>
      </c>
      <c r="P140" s="13" t="s">
        <v>432</v>
      </c>
      <c r="Q140" s="13" t="s">
        <v>432</v>
      </c>
      <c r="R140" s="12" t="s">
        <v>432</v>
      </c>
      <c r="S140" s="12" t="s">
        <v>432</v>
      </c>
      <c r="T140" s="13" t="s">
        <v>432</v>
      </c>
      <c r="U140" s="13" t="s">
        <v>432</v>
      </c>
      <c r="V140" s="13" t="s">
        <v>432</v>
      </c>
      <c r="W140" s="13" t="s">
        <v>432</v>
      </c>
      <c r="X140" s="13" t="s">
        <v>432</v>
      </c>
      <c r="Y140" s="13" t="s">
        <v>432</v>
      </c>
      <c r="Z140" s="12" t="s">
        <v>432</v>
      </c>
      <c r="AA140" s="48" t="s">
        <v>432</v>
      </c>
    </row>
    <row r="141" spans="1:27" x14ac:dyDescent="0.2">
      <c r="A141" s="16">
        <v>43835</v>
      </c>
      <c r="B141" s="10" t="s">
        <v>50</v>
      </c>
      <c r="C141" s="36" t="s">
        <v>107</v>
      </c>
      <c r="D141" s="13" t="s">
        <v>86</v>
      </c>
      <c r="E141" s="12" t="s">
        <v>86</v>
      </c>
      <c r="F141" s="12" t="s">
        <v>86</v>
      </c>
      <c r="G141" s="12" t="s">
        <v>86</v>
      </c>
      <c r="H141" s="13" t="s">
        <v>432</v>
      </c>
      <c r="I141" s="13" t="s">
        <v>432</v>
      </c>
      <c r="J141" s="12"/>
      <c r="K141" s="12" t="s">
        <v>86</v>
      </c>
      <c r="L141" s="12" t="s">
        <v>86</v>
      </c>
      <c r="M141" s="12" t="s">
        <v>86</v>
      </c>
      <c r="N141" s="12" t="s">
        <v>86</v>
      </c>
      <c r="O141" s="12" t="s">
        <v>86</v>
      </c>
      <c r="P141" s="12" t="s">
        <v>86</v>
      </c>
      <c r="Q141" s="12" t="s">
        <v>86</v>
      </c>
      <c r="R141" s="13" t="s">
        <v>432</v>
      </c>
      <c r="S141" s="13" t="s">
        <v>432</v>
      </c>
      <c r="T141" s="12" t="s">
        <v>86</v>
      </c>
      <c r="U141" s="12"/>
      <c r="V141" s="12"/>
      <c r="W141" s="12"/>
      <c r="X141" s="12"/>
      <c r="Y141" s="12"/>
      <c r="Z141" s="12"/>
      <c r="AA141" s="48"/>
    </row>
    <row r="142" spans="1:27" x14ac:dyDescent="0.2">
      <c r="A142" s="16">
        <v>43835</v>
      </c>
      <c r="B142" s="10" t="s">
        <v>50</v>
      </c>
      <c r="C142" s="36"/>
      <c r="D142" s="13" t="s">
        <v>86</v>
      </c>
      <c r="E142" s="12" t="s">
        <v>86</v>
      </c>
      <c r="F142" s="12" t="s">
        <v>86</v>
      </c>
      <c r="G142" s="12" t="s">
        <v>86</v>
      </c>
      <c r="H142" s="13" t="s">
        <v>432</v>
      </c>
      <c r="I142" s="13" t="s">
        <v>432</v>
      </c>
      <c r="J142" s="12"/>
      <c r="K142" s="12"/>
      <c r="L142" s="12"/>
      <c r="M142" s="12"/>
      <c r="N142" s="12"/>
      <c r="O142" s="12"/>
      <c r="P142" s="12"/>
      <c r="Q142" s="12"/>
      <c r="R142" s="13" t="s">
        <v>432</v>
      </c>
      <c r="S142" s="13" t="s">
        <v>432</v>
      </c>
      <c r="T142" s="12"/>
      <c r="U142" s="12"/>
      <c r="V142" s="12"/>
      <c r="W142" s="12"/>
      <c r="X142" s="12"/>
      <c r="Y142" s="12"/>
      <c r="Z142" s="12"/>
      <c r="AA142" s="48"/>
    </row>
    <row r="143" spans="1:27" hidden="1" x14ac:dyDescent="0.2">
      <c r="A143" s="16">
        <v>43835</v>
      </c>
      <c r="B143" s="10" t="s">
        <v>56</v>
      </c>
      <c r="C143" s="36"/>
      <c r="D143" s="13" t="s">
        <v>1105</v>
      </c>
      <c r="E143" s="12" t="s">
        <v>1105</v>
      </c>
      <c r="F143" s="12" t="s">
        <v>86</v>
      </c>
      <c r="G143" s="12" t="s">
        <v>86</v>
      </c>
      <c r="H143" s="13" t="s">
        <v>86</v>
      </c>
      <c r="I143" s="13"/>
      <c r="J143" s="12"/>
      <c r="K143" s="12"/>
      <c r="L143" s="12"/>
      <c r="M143" s="12"/>
      <c r="N143" s="12"/>
      <c r="O143" s="12"/>
      <c r="P143" s="12"/>
      <c r="Q143" s="12"/>
      <c r="R143" s="13"/>
      <c r="S143" s="13"/>
      <c r="T143" s="12"/>
      <c r="U143" s="12"/>
      <c r="V143" s="12"/>
      <c r="W143" s="12"/>
      <c r="X143" s="12"/>
      <c r="Y143" s="12"/>
      <c r="Z143" s="12" t="s">
        <v>432</v>
      </c>
      <c r="AA143" s="48" t="s">
        <v>457</v>
      </c>
    </row>
    <row r="144" spans="1:27" hidden="1" x14ac:dyDescent="0.2">
      <c r="A144" s="16">
        <v>43838</v>
      </c>
      <c r="B144" s="10" t="s">
        <v>53</v>
      </c>
      <c r="C144" s="36"/>
      <c r="D144" s="13" t="s">
        <v>1105</v>
      </c>
      <c r="E144" s="12" t="s">
        <v>556</v>
      </c>
      <c r="F144" s="12" t="s">
        <v>432</v>
      </c>
      <c r="G144" s="12" t="s">
        <v>432</v>
      </c>
      <c r="H144" s="13" t="s">
        <v>432</v>
      </c>
      <c r="I144" s="13" t="s">
        <v>432</v>
      </c>
      <c r="J144" s="12" t="s">
        <v>432</v>
      </c>
      <c r="K144" s="12" t="s">
        <v>432</v>
      </c>
      <c r="L144" s="12" t="s">
        <v>432</v>
      </c>
      <c r="M144" s="12" t="s">
        <v>432</v>
      </c>
      <c r="N144" s="12" t="s">
        <v>432</v>
      </c>
      <c r="O144" s="12" t="s">
        <v>432</v>
      </c>
      <c r="P144" s="12" t="s">
        <v>432</v>
      </c>
      <c r="Q144" s="12" t="s">
        <v>432</v>
      </c>
      <c r="R144" s="13" t="s">
        <v>432</v>
      </c>
      <c r="S144" s="13" t="s">
        <v>432</v>
      </c>
      <c r="T144" s="12" t="s">
        <v>432</v>
      </c>
      <c r="U144" s="12" t="s">
        <v>432</v>
      </c>
      <c r="V144" s="12" t="s">
        <v>432</v>
      </c>
      <c r="W144" s="12" t="s">
        <v>432</v>
      </c>
      <c r="X144" s="12" t="s">
        <v>432</v>
      </c>
      <c r="Y144" s="12" t="s">
        <v>432</v>
      </c>
      <c r="Z144" s="12" t="s">
        <v>432</v>
      </c>
      <c r="AA144" s="58" t="s">
        <v>432</v>
      </c>
    </row>
    <row r="145" spans="1:27" hidden="1" x14ac:dyDescent="0.2">
      <c r="A145" s="16">
        <v>43842</v>
      </c>
      <c r="B145" s="10" t="s">
        <v>53</v>
      </c>
      <c r="C145" s="36"/>
      <c r="D145" s="13" t="s">
        <v>86</v>
      </c>
      <c r="E145" s="12" t="s">
        <v>1191</v>
      </c>
      <c r="F145" s="12"/>
      <c r="G145" s="12"/>
      <c r="H145" s="13" t="s">
        <v>432</v>
      </c>
      <c r="I145" s="13" t="s">
        <v>432</v>
      </c>
      <c r="J145" s="12"/>
      <c r="K145" s="12"/>
      <c r="L145" s="12"/>
      <c r="M145" s="12"/>
      <c r="N145" s="12"/>
      <c r="O145" s="12"/>
      <c r="P145" s="12"/>
      <c r="Q145" s="12"/>
      <c r="R145" s="13" t="s">
        <v>432</v>
      </c>
      <c r="S145" s="13" t="s">
        <v>432</v>
      </c>
      <c r="T145" s="12"/>
      <c r="U145" s="12"/>
      <c r="V145" s="12"/>
      <c r="W145" s="12"/>
      <c r="X145" s="12"/>
      <c r="Y145" s="12"/>
      <c r="Z145" s="12"/>
      <c r="AA145" s="48"/>
    </row>
    <row r="146" spans="1:27" hidden="1" x14ac:dyDescent="0.2">
      <c r="A146" s="16">
        <v>43838</v>
      </c>
      <c r="B146" s="10" t="s">
        <v>50</v>
      </c>
      <c r="C146" s="36"/>
      <c r="D146" s="13" t="s">
        <v>86</v>
      </c>
      <c r="E146" s="12" t="s">
        <v>86</v>
      </c>
      <c r="F146" s="12" t="s">
        <v>86</v>
      </c>
      <c r="G146" s="12"/>
      <c r="H146" s="13" t="s">
        <v>432</v>
      </c>
      <c r="I146" s="13" t="s">
        <v>432</v>
      </c>
      <c r="J146" s="12"/>
      <c r="K146" s="12"/>
      <c r="L146" s="12"/>
      <c r="M146" s="12"/>
      <c r="N146" s="12"/>
      <c r="O146" s="12"/>
      <c r="P146" s="12"/>
      <c r="Q146" s="12"/>
      <c r="R146" s="13" t="s">
        <v>432</v>
      </c>
      <c r="S146" s="13" t="s">
        <v>432</v>
      </c>
      <c r="T146" s="12"/>
      <c r="U146" s="12"/>
      <c r="V146" s="12"/>
      <c r="W146" s="12"/>
      <c r="X146" s="12"/>
      <c r="Y146" s="12"/>
      <c r="Z146" s="12"/>
      <c r="AA146" s="48"/>
    </row>
    <row r="147" spans="1:27" hidden="1" x14ac:dyDescent="0.2">
      <c r="A147" s="16">
        <v>43838</v>
      </c>
      <c r="B147" s="10" t="s">
        <v>50</v>
      </c>
      <c r="C147" s="36" t="s">
        <v>107</v>
      </c>
      <c r="D147" s="13" t="s">
        <v>86</v>
      </c>
      <c r="E147" s="12" t="s">
        <v>86</v>
      </c>
      <c r="F147" s="12"/>
      <c r="G147" s="12"/>
      <c r="H147" s="13" t="s">
        <v>432</v>
      </c>
      <c r="I147" s="13" t="s">
        <v>432</v>
      </c>
      <c r="J147" s="12"/>
      <c r="K147" s="12"/>
      <c r="L147" s="12"/>
      <c r="M147" s="12"/>
      <c r="N147" s="12"/>
      <c r="O147" s="12"/>
      <c r="P147" s="12"/>
      <c r="Q147" s="12"/>
      <c r="R147" s="13" t="s">
        <v>432</v>
      </c>
      <c r="S147" s="13" t="s">
        <v>432</v>
      </c>
      <c r="T147" s="12"/>
      <c r="U147" s="12"/>
      <c r="V147" s="12"/>
      <c r="W147" s="12"/>
      <c r="X147" s="12"/>
      <c r="Y147" s="12"/>
      <c r="Z147" s="12"/>
      <c r="AA147" s="48"/>
    </row>
    <row r="148" spans="1:27" hidden="1" x14ac:dyDescent="0.2">
      <c r="A148" s="17">
        <v>43838</v>
      </c>
      <c r="B148" s="11" t="s">
        <v>56</v>
      </c>
      <c r="C148" s="37"/>
      <c r="D148" s="13" t="s">
        <v>1105</v>
      </c>
      <c r="E148" s="12" t="s">
        <v>1105</v>
      </c>
      <c r="F148" s="13" t="s">
        <v>86</v>
      </c>
      <c r="G148" s="13"/>
      <c r="H148" s="13"/>
      <c r="I148" s="13"/>
      <c r="J148" s="13"/>
      <c r="K148" s="13"/>
      <c r="L148" s="13"/>
      <c r="M148" s="13"/>
      <c r="N148" s="13"/>
      <c r="O148" s="13"/>
      <c r="P148" s="13"/>
      <c r="Q148" s="13"/>
      <c r="R148" s="13"/>
      <c r="S148" s="13"/>
      <c r="T148" s="13"/>
      <c r="U148" s="13"/>
      <c r="V148" s="13"/>
      <c r="W148" s="13"/>
      <c r="X148" s="13"/>
      <c r="Y148" s="13"/>
      <c r="Z148" s="13" t="s">
        <v>432</v>
      </c>
      <c r="AA148" s="46" t="s">
        <v>457</v>
      </c>
    </row>
    <row r="149" spans="1:27" hidden="1" x14ac:dyDescent="0.2">
      <c r="A149" s="16">
        <v>43831</v>
      </c>
      <c r="B149" s="10" t="s">
        <v>46</v>
      </c>
      <c r="C149" s="36"/>
      <c r="D149" s="12" t="s">
        <v>1105</v>
      </c>
      <c r="E149" s="12" t="s">
        <v>1105</v>
      </c>
      <c r="F149" s="12" t="s">
        <v>86</v>
      </c>
      <c r="G149" s="12" t="s">
        <v>432</v>
      </c>
      <c r="H149" s="12" t="s">
        <v>432</v>
      </c>
      <c r="I149" s="12" t="s">
        <v>432</v>
      </c>
      <c r="J149" s="12" t="s">
        <v>432</v>
      </c>
      <c r="K149" s="12" t="s">
        <v>432</v>
      </c>
      <c r="L149" s="12" t="s">
        <v>432</v>
      </c>
      <c r="M149" s="12" t="s">
        <v>432</v>
      </c>
      <c r="N149" s="12" t="s">
        <v>432</v>
      </c>
      <c r="O149" s="12" t="s">
        <v>432</v>
      </c>
      <c r="P149" s="12" t="s">
        <v>432</v>
      </c>
      <c r="Q149" s="12" t="s">
        <v>432</v>
      </c>
      <c r="R149" s="12" t="s">
        <v>432</v>
      </c>
      <c r="S149" s="12" t="s">
        <v>432</v>
      </c>
      <c r="T149" s="12" t="s">
        <v>432</v>
      </c>
      <c r="U149" s="12" t="s">
        <v>432</v>
      </c>
      <c r="V149" s="12" t="s">
        <v>432</v>
      </c>
      <c r="W149" s="12" t="s">
        <v>432</v>
      </c>
      <c r="X149" s="12" t="s">
        <v>432</v>
      </c>
      <c r="Y149" s="12" t="s">
        <v>432</v>
      </c>
      <c r="Z149" s="12" t="s">
        <v>432</v>
      </c>
      <c r="AA149" s="45" t="s">
        <v>432</v>
      </c>
    </row>
    <row r="150" spans="1:27" hidden="1" x14ac:dyDescent="0.2">
      <c r="A150" s="16">
        <v>43835</v>
      </c>
      <c r="B150" s="10" t="s">
        <v>46</v>
      </c>
      <c r="C150" s="36"/>
      <c r="D150" s="12" t="s">
        <v>1105</v>
      </c>
      <c r="E150" s="12" t="s">
        <v>1191</v>
      </c>
      <c r="F150" s="12"/>
      <c r="G150" s="12"/>
      <c r="H150" s="12" t="s">
        <v>432</v>
      </c>
      <c r="I150" s="12" t="s">
        <v>432</v>
      </c>
      <c r="J150" s="12"/>
      <c r="K150" s="12"/>
      <c r="L150" s="12"/>
      <c r="M150" s="12"/>
      <c r="N150" s="12"/>
      <c r="O150" s="12"/>
      <c r="P150" s="12"/>
      <c r="Q150" s="12"/>
      <c r="R150" s="12" t="s">
        <v>432</v>
      </c>
      <c r="S150" s="12" t="s">
        <v>432</v>
      </c>
      <c r="T150" s="12"/>
      <c r="U150" s="12"/>
      <c r="V150" s="12"/>
      <c r="W150" s="12"/>
      <c r="X150" s="12"/>
      <c r="Y150" s="12" t="s">
        <v>432</v>
      </c>
      <c r="Z150" s="12" t="s">
        <v>432</v>
      </c>
      <c r="AA150" s="48" t="s">
        <v>432</v>
      </c>
    </row>
    <row r="151" spans="1:27" hidden="1" x14ac:dyDescent="0.2">
      <c r="A151" s="16">
        <v>43842</v>
      </c>
      <c r="B151" s="10" t="s">
        <v>50</v>
      </c>
      <c r="C151" s="36"/>
      <c r="D151" s="12" t="s">
        <v>86</v>
      </c>
      <c r="E151" s="12" t="s">
        <v>86</v>
      </c>
      <c r="F151" s="12" t="s">
        <v>86</v>
      </c>
      <c r="G151" s="12"/>
      <c r="H151" s="12" t="s">
        <v>432</v>
      </c>
      <c r="I151" s="12" t="s">
        <v>432</v>
      </c>
      <c r="J151" s="12"/>
      <c r="K151" s="12"/>
      <c r="L151" s="12"/>
      <c r="M151" s="12"/>
      <c r="N151" s="12"/>
      <c r="O151" s="12"/>
      <c r="P151" s="12"/>
      <c r="Q151" s="12"/>
      <c r="R151" s="12" t="s">
        <v>432</v>
      </c>
      <c r="S151" s="12" t="s">
        <v>432</v>
      </c>
      <c r="T151" s="12"/>
      <c r="U151" s="12"/>
      <c r="V151" s="12"/>
      <c r="W151" s="12"/>
      <c r="X151" s="12"/>
      <c r="Y151" s="12"/>
      <c r="Z151" s="13"/>
      <c r="AA151" s="46"/>
    </row>
    <row r="152" spans="1:27" hidden="1" x14ac:dyDescent="0.2">
      <c r="A152" s="16">
        <v>43838</v>
      </c>
      <c r="B152" s="10" t="s">
        <v>46</v>
      </c>
      <c r="C152" s="36"/>
      <c r="D152" s="12" t="s">
        <v>1105</v>
      </c>
      <c r="E152" s="12" t="s">
        <v>1191</v>
      </c>
      <c r="F152" s="12"/>
      <c r="G152" s="12"/>
      <c r="H152" s="12" t="s">
        <v>432</v>
      </c>
      <c r="I152" s="12" t="s">
        <v>432</v>
      </c>
      <c r="J152" s="12"/>
      <c r="K152" s="12"/>
      <c r="L152" s="12"/>
      <c r="M152" s="12"/>
      <c r="N152" s="12"/>
      <c r="O152" s="12"/>
      <c r="P152" s="12"/>
      <c r="Q152" s="12"/>
      <c r="R152" s="12" t="s">
        <v>432</v>
      </c>
      <c r="S152" s="12" t="s">
        <v>432</v>
      </c>
      <c r="T152" s="12"/>
      <c r="U152" s="12"/>
      <c r="V152" s="12"/>
      <c r="W152" s="12"/>
      <c r="X152" s="12"/>
      <c r="Y152" s="12" t="s">
        <v>432</v>
      </c>
      <c r="Z152" s="12" t="s">
        <v>432</v>
      </c>
      <c r="AA152" s="48" t="s">
        <v>432</v>
      </c>
    </row>
    <row r="153" spans="1:27" hidden="1" x14ac:dyDescent="0.2">
      <c r="A153" s="16">
        <v>43842</v>
      </c>
      <c r="B153" s="10" t="s">
        <v>54</v>
      </c>
      <c r="C153" s="36"/>
      <c r="D153" s="12" t="s">
        <v>86</v>
      </c>
      <c r="E153" s="12" t="s">
        <v>86</v>
      </c>
      <c r="F153" s="12" t="s">
        <v>86</v>
      </c>
      <c r="G153" s="12" t="s">
        <v>432</v>
      </c>
      <c r="H153" s="12" t="s">
        <v>1106</v>
      </c>
      <c r="I153" s="12" t="s">
        <v>432</v>
      </c>
      <c r="J153" s="12" t="s">
        <v>432</v>
      </c>
      <c r="K153" s="12" t="s">
        <v>432</v>
      </c>
      <c r="L153" s="12" t="s">
        <v>432</v>
      </c>
      <c r="M153" s="12" t="s">
        <v>432</v>
      </c>
      <c r="N153" s="12" t="s">
        <v>432</v>
      </c>
      <c r="O153" s="12" t="s">
        <v>432</v>
      </c>
      <c r="P153" s="12" t="s">
        <v>432</v>
      </c>
      <c r="Q153" s="12" t="s">
        <v>432</v>
      </c>
      <c r="R153" s="12" t="s">
        <v>432</v>
      </c>
      <c r="S153" s="12" t="s">
        <v>432</v>
      </c>
      <c r="T153" s="12" t="s">
        <v>432</v>
      </c>
      <c r="U153" s="12" t="s">
        <v>432</v>
      </c>
      <c r="V153" s="12" t="s">
        <v>432</v>
      </c>
      <c r="W153" s="12" t="s">
        <v>432</v>
      </c>
      <c r="X153" s="12" t="s">
        <v>432</v>
      </c>
      <c r="Y153" s="13" t="s">
        <v>432</v>
      </c>
      <c r="Z153" s="13" t="s">
        <v>432</v>
      </c>
      <c r="AA153" s="46" t="s">
        <v>432</v>
      </c>
    </row>
    <row r="154" spans="1:27" hidden="1" x14ac:dyDescent="0.2">
      <c r="A154" s="16">
        <v>43842</v>
      </c>
      <c r="B154" s="10" t="s">
        <v>51</v>
      </c>
      <c r="C154" s="36"/>
      <c r="D154" s="12" t="s">
        <v>86</v>
      </c>
      <c r="E154" s="12" t="s">
        <v>86</v>
      </c>
      <c r="F154" s="12" t="s">
        <v>86</v>
      </c>
      <c r="G154" s="12"/>
      <c r="H154" s="12"/>
      <c r="I154" s="12"/>
      <c r="J154" s="12"/>
      <c r="K154" s="12"/>
      <c r="L154" s="12"/>
      <c r="M154" s="12"/>
      <c r="N154" s="12"/>
      <c r="O154" s="12"/>
      <c r="P154" s="12"/>
      <c r="Q154" s="12"/>
      <c r="R154" s="12"/>
      <c r="S154" s="12"/>
      <c r="T154" s="12"/>
      <c r="U154" s="12"/>
      <c r="V154" s="12"/>
      <c r="W154" s="12"/>
      <c r="X154" s="12"/>
      <c r="Y154" s="12"/>
      <c r="Z154" s="13"/>
      <c r="AA154" s="46"/>
    </row>
    <row r="155" spans="1:27" hidden="1" x14ac:dyDescent="0.2">
      <c r="A155" s="16">
        <v>43842</v>
      </c>
      <c r="B155" s="10" t="s">
        <v>46</v>
      </c>
      <c r="C155" s="36"/>
      <c r="D155" s="12" t="s">
        <v>1105</v>
      </c>
      <c r="E155" s="12" t="s">
        <v>1191</v>
      </c>
      <c r="F155" s="12"/>
      <c r="G155" s="12"/>
      <c r="H155" s="12" t="s">
        <v>432</v>
      </c>
      <c r="I155" s="12" t="s">
        <v>432</v>
      </c>
      <c r="J155" s="12"/>
      <c r="K155" s="12"/>
      <c r="L155" s="12"/>
      <c r="M155" s="12"/>
      <c r="N155" s="12"/>
      <c r="O155" s="12"/>
      <c r="P155" s="12"/>
      <c r="Q155" s="12"/>
      <c r="R155" s="12" t="s">
        <v>432</v>
      </c>
      <c r="S155" s="12" t="s">
        <v>432</v>
      </c>
      <c r="T155" s="12"/>
      <c r="U155" s="12"/>
      <c r="V155" s="12"/>
      <c r="W155" s="12"/>
      <c r="X155" s="12"/>
      <c r="Y155" s="12" t="s">
        <v>432</v>
      </c>
      <c r="Z155" s="12" t="s">
        <v>432</v>
      </c>
      <c r="AA155" s="48" t="s">
        <v>432</v>
      </c>
    </row>
    <row r="156" spans="1:27" hidden="1" x14ac:dyDescent="0.2">
      <c r="A156" s="16">
        <v>43845</v>
      </c>
      <c r="B156" s="10" t="s">
        <v>50</v>
      </c>
      <c r="C156" s="36"/>
      <c r="D156" s="12" t="s">
        <v>86</v>
      </c>
      <c r="E156" s="12" t="s">
        <v>86</v>
      </c>
      <c r="F156" s="12" t="s">
        <v>86</v>
      </c>
      <c r="G156" s="12"/>
      <c r="H156" s="12" t="s">
        <v>432</v>
      </c>
      <c r="I156" s="12" t="s">
        <v>432</v>
      </c>
      <c r="J156" s="12"/>
      <c r="K156" s="12"/>
      <c r="L156" s="12"/>
      <c r="M156" s="12"/>
      <c r="N156" s="12"/>
      <c r="O156" s="12"/>
      <c r="P156" s="12"/>
      <c r="Q156" s="12"/>
      <c r="R156" s="12" t="s">
        <v>432</v>
      </c>
      <c r="S156" s="12" t="s">
        <v>432</v>
      </c>
      <c r="T156" s="12"/>
      <c r="U156" s="12"/>
      <c r="V156" s="12"/>
      <c r="W156" s="12"/>
      <c r="X156" s="12"/>
      <c r="Y156" s="13"/>
      <c r="Z156" s="13"/>
      <c r="AA156" s="46"/>
    </row>
    <row r="157" spans="1:27" hidden="1" x14ac:dyDescent="0.2">
      <c r="A157" s="16">
        <v>43845</v>
      </c>
      <c r="B157" s="10" t="s">
        <v>50</v>
      </c>
      <c r="C157" s="36" t="s">
        <v>107</v>
      </c>
      <c r="D157" s="12" t="s">
        <v>1105</v>
      </c>
      <c r="E157" s="12" t="s">
        <v>1105</v>
      </c>
      <c r="F157" s="12" t="s">
        <v>86</v>
      </c>
      <c r="G157" s="12"/>
      <c r="H157" s="12" t="s">
        <v>432</v>
      </c>
      <c r="I157" s="12" t="s">
        <v>432</v>
      </c>
      <c r="J157" s="12"/>
      <c r="K157" s="12"/>
      <c r="L157" s="12"/>
      <c r="M157" s="12"/>
      <c r="N157" s="12"/>
      <c r="O157" s="12"/>
      <c r="P157" s="12"/>
      <c r="Q157" s="12"/>
      <c r="R157" s="12" t="s">
        <v>432</v>
      </c>
      <c r="S157" s="12" t="s">
        <v>432</v>
      </c>
      <c r="T157" s="12"/>
      <c r="U157" s="12"/>
      <c r="V157" s="12"/>
      <c r="W157" s="12"/>
      <c r="X157" s="12"/>
      <c r="Y157" s="13"/>
      <c r="Z157" s="13"/>
      <c r="AA157" s="46"/>
    </row>
    <row r="158" spans="1:27" hidden="1" x14ac:dyDescent="0.2">
      <c r="A158" s="16">
        <v>43845</v>
      </c>
      <c r="B158" s="10" t="s">
        <v>46</v>
      </c>
      <c r="C158" s="36"/>
      <c r="D158" s="12" t="s">
        <v>1105</v>
      </c>
      <c r="E158" s="12" t="s">
        <v>1191</v>
      </c>
      <c r="F158" s="12"/>
      <c r="G158" s="12"/>
      <c r="H158" s="12" t="s">
        <v>432</v>
      </c>
      <c r="I158" s="12" t="s">
        <v>432</v>
      </c>
      <c r="J158" s="12"/>
      <c r="K158" s="12"/>
      <c r="L158" s="12"/>
      <c r="M158" s="12"/>
      <c r="N158" s="12"/>
      <c r="O158" s="12"/>
      <c r="P158" s="12"/>
      <c r="Q158" s="12"/>
      <c r="R158" s="12" t="s">
        <v>432</v>
      </c>
      <c r="S158" s="12" t="s">
        <v>432</v>
      </c>
      <c r="T158" s="12"/>
      <c r="U158" s="12"/>
      <c r="V158" s="12"/>
      <c r="W158" s="12"/>
      <c r="X158" s="12"/>
      <c r="Y158" s="12" t="s">
        <v>432</v>
      </c>
      <c r="Z158" s="12" t="s">
        <v>432</v>
      </c>
      <c r="AA158" s="48" t="s">
        <v>432</v>
      </c>
    </row>
    <row r="159" spans="1:27" hidden="1" x14ac:dyDescent="0.2">
      <c r="A159" s="16">
        <v>43849</v>
      </c>
      <c r="B159" s="10" t="s">
        <v>50</v>
      </c>
      <c r="C159" s="36"/>
      <c r="D159" s="12" t="s">
        <v>86</v>
      </c>
      <c r="E159" s="12" t="s">
        <v>86</v>
      </c>
      <c r="F159" s="12" t="s">
        <v>86</v>
      </c>
      <c r="G159" s="12"/>
      <c r="H159" s="12" t="s">
        <v>432</v>
      </c>
      <c r="I159" s="12" t="s">
        <v>432</v>
      </c>
      <c r="J159" s="12"/>
      <c r="K159" s="12"/>
      <c r="L159" s="12"/>
      <c r="M159" s="12"/>
      <c r="N159" s="12"/>
      <c r="O159" s="12"/>
      <c r="P159" s="12"/>
      <c r="Q159" s="12"/>
      <c r="R159" s="12" t="s">
        <v>432</v>
      </c>
      <c r="S159" s="12" t="s">
        <v>432</v>
      </c>
      <c r="T159" s="12"/>
      <c r="U159" s="12"/>
      <c r="V159" s="12"/>
      <c r="W159" s="12"/>
      <c r="X159" s="12"/>
      <c r="Y159" s="13"/>
      <c r="Z159" s="13"/>
      <c r="AA159" s="46"/>
    </row>
    <row r="160" spans="1:27" hidden="1" x14ac:dyDescent="0.2">
      <c r="A160" s="17">
        <v>43849</v>
      </c>
      <c r="B160" s="11" t="s">
        <v>46</v>
      </c>
      <c r="C160" s="37"/>
      <c r="D160" s="13" t="s">
        <v>1105</v>
      </c>
      <c r="E160" s="13" t="s">
        <v>1105</v>
      </c>
      <c r="F160" s="13"/>
      <c r="G160" s="13"/>
      <c r="H160" s="12" t="s">
        <v>432</v>
      </c>
      <c r="I160" s="12" t="s">
        <v>432</v>
      </c>
      <c r="J160" s="13"/>
      <c r="K160" s="13"/>
      <c r="L160" s="13"/>
      <c r="M160" s="13"/>
      <c r="N160" s="13"/>
      <c r="O160" s="13"/>
      <c r="P160" s="13"/>
      <c r="Q160" s="13"/>
      <c r="R160" s="12" t="s">
        <v>432</v>
      </c>
      <c r="S160" s="12" t="s">
        <v>432</v>
      </c>
      <c r="T160" s="13"/>
      <c r="U160" s="13"/>
      <c r="V160" s="13"/>
      <c r="W160" s="13"/>
      <c r="X160" s="13"/>
      <c r="Y160" s="13" t="s">
        <v>432</v>
      </c>
      <c r="Z160" s="13" t="s">
        <v>432</v>
      </c>
      <c r="AA160" s="46" t="s">
        <v>432</v>
      </c>
    </row>
    <row r="161" spans="1:27" hidden="1" x14ac:dyDescent="0.2">
      <c r="A161" s="17">
        <v>43835</v>
      </c>
      <c r="B161" s="11" t="s">
        <v>57</v>
      </c>
      <c r="C161" s="37"/>
      <c r="D161" s="13" t="s">
        <v>86</v>
      </c>
      <c r="E161" s="13" t="s">
        <v>86</v>
      </c>
      <c r="F161" s="13" t="s">
        <v>86</v>
      </c>
      <c r="G161" s="13" t="s">
        <v>86</v>
      </c>
      <c r="H161" s="13" t="s">
        <v>432</v>
      </c>
      <c r="I161" s="13" t="s">
        <v>432</v>
      </c>
      <c r="J161" s="13"/>
      <c r="K161" s="13"/>
      <c r="L161" s="13"/>
      <c r="M161" s="13"/>
      <c r="N161" s="13"/>
      <c r="O161" s="13"/>
      <c r="P161" s="13"/>
      <c r="Q161" s="13"/>
      <c r="R161" s="13" t="s">
        <v>432</v>
      </c>
      <c r="S161" s="13" t="s">
        <v>432</v>
      </c>
      <c r="T161" s="13"/>
      <c r="U161" s="13"/>
      <c r="V161" s="13"/>
      <c r="W161" s="13"/>
      <c r="X161" s="13"/>
      <c r="Y161" s="13"/>
      <c r="Z161" s="13"/>
      <c r="AA161" s="48" t="s">
        <v>1119</v>
      </c>
    </row>
    <row r="162" spans="1:27" hidden="1" x14ac:dyDescent="0.2">
      <c r="A162" s="16">
        <v>43838</v>
      </c>
      <c r="B162" s="10" t="s">
        <v>27</v>
      </c>
      <c r="C162" s="36"/>
      <c r="D162" s="12" t="s">
        <v>86</v>
      </c>
      <c r="E162" s="12" t="s">
        <v>86</v>
      </c>
      <c r="F162" s="12" t="s">
        <v>86</v>
      </c>
      <c r="G162" s="12"/>
      <c r="H162" s="12"/>
      <c r="I162" s="12"/>
      <c r="J162" s="12"/>
      <c r="K162" s="12"/>
      <c r="L162" s="12"/>
      <c r="M162" s="12"/>
      <c r="N162" s="12"/>
      <c r="O162" s="12"/>
      <c r="P162" s="12"/>
      <c r="Q162" s="12"/>
      <c r="R162" s="12"/>
      <c r="S162" s="12"/>
      <c r="T162" s="12"/>
      <c r="U162" s="12"/>
      <c r="V162" s="12"/>
      <c r="W162" s="12"/>
      <c r="X162" s="12"/>
      <c r="Y162" s="12" t="s">
        <v>432</v>
      </c>
      <c r="Z162" s="12" t="s">
        <v>432</v>
      </c>
      <c r="AA162" s="48"/>
    </row>
    <row r="163" spans="1:27" hidden="1" x14ac:dyDescent="0.2">
      <c r="A163" s="16">
        <v>43842</v>
      </c>
      <c r="B163" s="10" t="s">
        <v>27</v>
      </c>
      <c r="C163" s="36"/>
      <c r="D163" s="12" t="s">
        <v>86</v>
      </c>
      <c r="E163" s="12" t="s">
        <v>86</v>
      </c>
      <c r="F163" s="12" t="s">
        <v>86</v>
      </c>
      <c r="G163" s="12"/>
      <c r="H163" s="12" t="s">
        <v>432</v>
      </c>
      <c r="I163" s="12" t="s">
        <v>432</v>
      </c>
      <c r="J163" s="12"/>
      <c r="K163" s="12"/>
      <c r="L163" s="12"/>
      <c r="M163" s="12"/>
      <c r="N163" s="12"/>
      <c r="O163" s="12"/>
      <c r="P163" s="12"/>
      <c r="Q163" s="12"/>
      <c r="R163" s="12" t="s">
        <v>432</v>
      </c>
      <c r="S163" s="12" t="s">
        <v>432</v>
      </c>
      <c r="T163" s="12"/>
      <c r="U163" s="12"/>
      <c r="V163" s="12"/>
      <c r="W163" s="12"/>
      <c r="X163" s="12"/>
      <c r="Y163" s="12" t="s">
        <v>432</v>
      </c>
      <c r="Z163" s="12" t="s">
        <v>432</v>
      </c>
      <c r="AA163" s="48"/>
    </row>
    <row r="164" spans="1:27" hidden="1" x14ac:dyDescent="0.2">
      <c r="A164" s="17">
        <v>43845</v>
      </c>
      <c r="B164" s="11" t="s">
        <v>27</v>
      </c>
      <c r="C164" s="37"/>
      <c r="D164" s="13" t="s">
        <v>86</v>
      </c>
      <c r="E164" s="13" t="s">
        <v>86</v>
      </c>
      <c r="F164" s="13" t="s">
        <v>86</v>
      </c>
      <c r="G164" s="13"/>
      <c r="H164" s="13"/>
      <c r="I164" s="13"/>
      <c r="J164" s="13"/>
      <c r="K164" s="13"/>
      <c r="L164" s="13"/>
      <c r="M164" s="13"/>
      <c r="N164" s="13"/>
      <c r="O164" s="13"/>
      <c r="P164" s="13"/>
      <c r="Q164" s="13"/>
      <c r="R164" s="13"/>
      <c r="S164" s="13"/>
      <c r="T164" s="13"/>
      <c r="U164" s="13"/>
      <c r="V164" s="13"/>
      <c r="W164" s="13"/>
      <c r="X164" s="13"/>
      <c r="Y164" s="13" t="s">
        <v>432</v>
      </c>
      <c r="Z164" s="13" t="s">
        <v>432</v>
      </c>
      <c r="AA164" s="46"/>
    </row>
    <row r="165" spans="1:27" hidden="1" x14ac:dyDescent="0.2">
      <c r="A165" s="17">
        <v>43845</v>
      </c>
      <c r="B165" s="11" t="s">
        <v>1025</v>
      </c>
      <c r="C165" s="37"/>
      <c r="D165" s="13" t="s">
        <v>86</v>
      </c>
      <c r="E165" s="13" t="s">
        <v>86</v>
      </c>
      <c r="F165" s="13" t="s">
        <v>86</v>
      </c>
      <c r="G165" s="13"/>
      <c r="H165" s="13" t="s">
        <v>432</v>
      </c>
      <c r="I165" s="13" t="s">
        <v>432</v>
      </c>
      <c r="J165" s="13"/>
      <c r="K165" s="13"/>
      <c r="L165" s="13"/>
      <c r="M165" s="13"/>
      <c r="N165" s="13"/>
      <c r="O165" s="13"/>
      <c r="P165" s="13"/>
      <c r="Q165" s="13"/>
      <c r="R165" s="13" t="s">
        <v>432</v>
      </c>
      <c r="S165" s="13" t="s">
        <v>432</v>
      </c>
      <c r="T165" s="13"/>
      <c r="U165" s="13"/>
      <c r="V165" s="13"/>
      <c r="W165" s="13"/>
      <c r="X165" s="13"/>
      <c r="Y165" s="13"/>
      <c r="Z165" s="13"/>
      <c r="AA165" s="46"/>
    </row>
    <row r="166" spans="1:27" hidden="1" x14ac:dyDescent="0.2">
      <c r="A166" s="17">
        <v>43845</v>
      </c>
      <c r="B166" s="11" t="s">
        <v>54</v>
      </c>
      <c r="C166" s="37"/>
      <c r="D166" s="13" t="s">
        <v>86</v>
      </c>
      <c r="E166" s="13" t="s">
        <v>86</v>
      </c>
      <c r="F166" s="13"/>
      <c r="G166" s="13"/>
      <c r="H166" s="13" t="s">
        <v>432</v>
      </c>
      <c r="I166" s="13" t="s">
        <v>432</v>
      </c>
      <c r="J166" s="13"/>
      <c r="K166" s="13"/>
      <c r="L166" s="13"/>
      <c r="M166" s="13"/>
      <c r="N166" s="13"/>
      <c r="O166" s="13"/>
      <c r="P166" s="13"/>
      <c r="Q166" s="13"/>
      <c r="R166" s="13" t="s">
        <v>432</v>
      </c>
      <c r="S166" s="13" t="s">
        <v>432</v>
      </c>
      <c r="T166" s="13"/>
      <c r="U166" s="13"/>
      <c r="V166" s="13"/>
      <c r="W166" s="13"/>
      <c r="X166" s="13"/>
      <c r="Y166" s="13"/>
      <c r="Z166" s="13"/>
      <c r="AA166" s="46"/>
    </row>
    <row r="167" spans="1:27" hidden="1" x14ac:dyDescent="0.2">
      <c r="A167" s="16">
        <v>43845</v>
      </c>
      <c r="B167" s="10" t="s">
        <v>56</v>
      </c>
      <c r="C167" s="36"/>
      <c r="D167" s="12" t="s">
        <v>86</v>
      </c>
      <c r="E167" s="12" t="s">
        <v>86</v>
      </c>
      <c r="F167" s="12"/>
      <c r="G167" s="12"/>
      <c r="H167" s="12"/>
      <c r="I167" s="12"/>
      <c r="J167" s="12"/>
      <c r="K167" s="12"/>
      <c r="L167" s="12"/>
      <c r="M167" s="12"/>
      <c r="N167" s="12"/>
      <c r="O167" s="12"/>
      <c r="P167" s="12"/>
      <c r="Q167" s="12"/>
      <c r="R167" s="12"/>
      <c r="S167" s="12"/>
      <c r="T167" s="12"/>
      <c r="U167" s="12"/>
      <c r="V167" s="12"/>
      <c r="W167" s="12"/>
      <c r="X167" s="12"/>
      <c r="Y167" s="12"/>
      <c r="Z167" s="12" t="s">
        <v>432</v>
      </c>
      <c r="AA167" s="48" t="s">
        <v>457</v>
      </c>
    </row>
    <row r="168" spans="1:27" hidden="1" x14ac:dyDescent="0.2">
      <c r="A168" s="17">
        <v>43849</v>
      </c>
      <c r="B168" s="11" t="s">
        <v>56</v>
      </c>
      <c r="C168" s="37"/>
      <c r="D168" s="13" t="s">
        <v>86</v>
      </c>
      <c r="E168" s="13" t="s">
        <v>86</v>
      </c>
      <c r="F168" s="13"/>
      <c r="G168" s="13"/>
      <c r="H168" s="13"/>
      <c r="I168" s="13"/>
      <c r="J168" s="13"/>
      <c r="K168" s="13"/>
      <c r="L168" s="13"/>
      <c r="M168" s="13"/>
      <c r="N168" s="13"/>
      <c r="O168" s="13"/>
      <c r="P168" s="13"/>
      <c r="Q168" s="13"/>
      <c r="R168" s="13"/>
      <c r="S168" s="13"/>
      <c r="T168" s="13"/>
      <c r="U168" s="13"/>
      <c r="V168" s="13"/>
      <c r="W168" s="13"/>
      <c r="X168" s="13"/>
      <c r="Y168" s="13"/>
      <c r="Z168" s="13" t="s">
        <v>432</v>
      </c>
      <c r="AA168" s="48" t="s">
        <v>457</v>
      </c>
    </row>
    <row r="169" spans="1:27" hidden="1" x14ac:dyDescent="0.2">
      <c r="A169" s="17">
        <v>43838</v>
      </c>
      <c r="B169" s="11" t="s">
        <v>57</v>
      </c>
      <c r="C169" s="37"/>
      <c r="D169" s="13" t="s">
        <v>86</v>
      </c>
      <c r="E169" s="13" t="s">
        <v>86</v>
      </c>
      <c r="F169" s="13" t="s">
        <v>86</v>
      </c>
      <c r="G169" s="13"/>
      <c r="H169" s="13" t="s">
        <v>432</v>
      </c>
      <c r="I169" s="13" t="s">
        <v>432</v>
      </c>
      <c r="J169" s="13"/>
      <c r="K169" s="13"/>
      <c r="L169" s="13"/>
      <c r="M169" s="13"/>
      <c r="N169" s="13"/>
      <c r="O169" s="13"/>
      <c r="P169" s="13"/>
      <c r="Q169" s="13"/>
      <c r="R169" s="13" t="s">
        <v>432</v>
      </c>
      <c r="S169" s="13" t="s">
        <v>432</v>
      </c>
      <c r="T169" s="13"/>
      <c r="U169" s="13"/>
      <c r="V169" s="13"/>
      <c r="W169" s="13"/>
      <c r="X169" s="13"/>
      <c r="Y169" s="13"/>
      <c r="Z169" s="13"/>
      <c r="AA169" s="48" t="s">
        <v>1119</v>
      </c>
    </row>
  </sheetData>
  <phoneticPr fontId="1" type="noConversion"/>
  <conditionalFormatting sqref="D2:AA169">
    <cfRule type="cellIs" dxfId="48" priority="160" stopIfTrue="1" operator="equal">
      <formula>"╳"</formula>
    </cfRule>
    <cfRule type="cellIs" dxfId="47" priority="161" stopIfTrue="1" operator="equal">
      <formula>"OK"</formula>
    </cfRule>
  </conditionalFormatting>
  <dataValidations count="1">
    <dataValidation type="list" allowBlank="1" showInputMessage="1" sqref="D2:AA169" xr:uid="{1C3FF9B7-B119-4265-AF2E-7D39D32698C5}">
      <formula1>"OK,╳"</formula1>
    </dataValidation>
  </dataValidations>
  <pageMargins left="0.70866141732283472" right="0.70866141732283472" top="0.74803149606299213" bottom="0.74803149606299213" header="0" footer="0"/>
  <pageSetup paperSize="9" scale="98" orientation="landscape"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31A96-470D-4B86-B534-9960CD36F436}">
  <sheetPr codeName="Sheet6"/>
  <dimension ref="A1:O35"/>
  <sheetViews>
    <sheetView workbookViewId="0">
      <pane ySplit="3" topLeftCell="A4" activePane="bottomLeft" state="frozen"/>
      <selection pane="bottomLeft" activeCell="K35" sqref="K35"/>
    </sheetView>
  </sheetViews>
  <sheetFormatPr defaultRowHeight="14.25" x14ac:dyDescent="0.2"/>
  <cols>
    <col min="1" max="1" width="10" bestFit="1" customWidth="1"/>
    <col min="2" max="2" width="10.375" bestFit="1" customWidth="1"/>
    <col min="3" max="3" width="13.625" bestFit="1" customWidth="1"/>
    <col min="4" max="5" width="11.875" bestFit="1" customWidth="1"/>
    <col min="6" max="6" width="13.375" bestFit="1" customWidth="1"/>
    <col min="7" max="7" width="10.5" bestFit="1" customWidth="1"/>
    <col min="8" max="8" width="10.625" bestFit="1" customWidth="1"/>
    <col min="9" max="9" width="15.375" bestFit="1" customWidth="1"/>
    <col min="10" max="10" width="10.625" bestFit="1" customWidth="1"/>
    <col min="11" max="11" width="18.875" style="4" bestFit="1" customWidth="1"/>
    <col min="12" max="12" width="16.25" bestFit="1" customWidth="1"/>
    <col min="13" max="13" width="16" bestFit="1" customWidth="1"/>
    <col min="14" max="14" width="16.25" bestFit="1" customWidth="1"/>
    <col min="15" max="15" width="23" bestFit="1" customWidth="1"/>
    <col min="16" max="16" width="25.25" bestFit="1" customWidth="1"/>
  </cols>
  <sheetData>
    <row r="1" spans="1:15" ht="18" customHeight="1" x14ac:dyDescent="0.2">
      <c r="A1" t="s">
        <v>121</v>
      </c>
      <c r="B1" t="s">
        <v>128</v>
      </c>
      <c r="C1" t="s">
        <v>129</v>
      </c>
      <c r="D1" t="s">
        <v>112</v>
      </c>
      <c r="E1" t="s">
        <v>113</v>
      </c>
      <c r="F1" t="s">
        <v>114</v>
      </c>
      <c r="G1" t="s">
        <v>134</v>
      </c>
      <c r="H1" t="s">
        <v>133</v>
      </c>
      <c r="I1" t="s">
        <v>135</v>
      </c>
      <c r="J1" t="s">
        <v>707</v>
      </c>
      <c r="K1" t="s">
        <v>240</v>
      </c>
      <c r="L1" t="s">
        <v>241</v>
      </c>
      <c r="M1" t="s">
        <v>340</v>
      </c>
      <c r="N1" t="s">
        <v>341</v>
      </c>
      <c r="O1" t="s">
        <v>715</v>
      </c>
    </row>
    <row r="2" spans="1:15" ht="18" customHeight="1" x14ac:dyDescent="0.2">
      <c r="A2" s="18" t="s">
        <v>122</v>
      </c>
      <c r="B2" s="19" t="s">
        <v>127</v>
      </c>
      <c r="C2" s="19" t="s">
        <v>125</v>
      </c>
      <c r="D2" s="18" t="s">
        <v>15</v>
      </c>
      <c r="E2" s="18" t="s">
        <v>17</v>
      </c>
      <c r="F2" s="18" t="s">
        <v>18</v>
      </c>
      <c r="G2" s="18">
        <v>20</v>
      </c>
      <c r="H2" s="18">
        <v>430</v>
      </c>
      <c r="I2" s="18"/>
      <c r="J2" s="18"/>
      <c r="K2" s="18"/>
      <c r="L2" s="18"/>
      <c r="M2" s="18"/>
      <c r="N2" s="18"/>
      <c r="O2" s="18"/>
    </row>
    <row r="3" spans="1:15" ht="18" customHeight="1" x14ac:dyDescent="0.2">
      <c r="A3" s="25" t="s">
        <v>122</v>
      </c>
      <c r="B3" s="26" t="s">
        <v>125</v>
      </c>
      <c r="C3" s="26" t="s">
        <v>126</v>
      </c>
      <c r="D3" s="27" t="s">
        <v>16</v>
      </c>
      <c r="E3" s="27" t="s">
        <v>17</v>
      </c>
      <c r="F3" s="27" t="s">
        <v>770</v>
      </c>
      <c r="G3" s="27">
        <v>20</v>
      </c>
      <c r="H3" s="27">
        <v>500</v>
      </c>
      <c r="I3" s="27"/>
      <c r="J3" s="27"/>
      <c r="K3" s="27"/>
      <c r="L3" s="27"/>
      <c r="M3" s="18"/>
      <c r="N3" s="18"/>
      <c r="O3" s="18"/>
    </row>
    <row r="4" spans="1:15" ht="18" hidden="1" customHeight="1" x14ac:dyDescent="0.2">
      <c r="A4" s="18" t="s">
        <v>107</v>
      </c>
      <c r="B4" s="19" t="s">
        <v>126</v>
      </c>
      <c r="C4" s="19" t="s">
        <v>31</v>
      </c>
      <c r="D4" s="18" t="s">
        <v>130</v>
      </c>
      <c r="E4" s="18" t="s">
        <v>131</v>
      </c>
      <c r="F4" s="18" t="s">
        <v>770</v>
      </c>
      <c r="G4" s="18">
        <v>20</v>
      </c>
      <c r="H4" s="18">
        <v>500</v>
      </c>
      <c r="I4" s="18" t="s">
        <v>710</v>
      </c>
      <c r="J4" s="18">
        <v>100</v>
      </c>
      <c r="K4" s="18" t="s">
        <v>389</v>
      </c>
      <c r="L4" s="18" t="s">
        <v>391</v>
      </c>
      <c r="M4" s="29" t="s">
        <v>339</v>
      </c>
      <c r="N4" s="29" t="s">
        <v>283</v>
      </c>
      <c r="O4" s="18" t="s">
        <v>714</v>
      </c>
    </row>
    <row r="5" spans="1:15" ht="18" hidden="1" customHeight="1" x14ac:dyDescent="0.2">
      <c r="A5" s="18" t="s">
        <v>107</v>
      </c>
      <c r="B5" s="19" t="s">
        <v>126</v>
      </c>
      <c r="C5" s="19" t="s">
        <v>36</v>
      </c>
      <c r="D5" s="18" t="s">
        <v>19</v>
      </c>
      <c r="E5" s="18" t="s">
        <v>20</v>
      </c>
      <c r="F5" s="18" t="s">
        <v>769</v>
      </c>
      <c r="G5" s="18">
        <v>20</v>
      </c>
      <c r="H5" s="18">
        <v>500</v>
      </c>
      <c r="I5" s="40" t="s">
        <v>243</v>
      </c>
      <c r="J5" s="18">
        <v>100</v>
      </c>
      <c r="K5" s="18" t="s">
        <v>389</v>
      </c>
      <c r="L5" s="18" t="s">
        <v>392</v>
      </c>
      <c r="M5" s="5" t="s">
        <v>342</v>
      </c>
      <c r="N5" s="5" t="s">
        <v>284</v>
      </c>
      <c r="O5" s="18"/>
    </row>
    <row r="6" spans="1:15" ht="18" customHeight="1" x14ac:dyDescent="0.2">
      <c r="A6" s="18" t="s">
        <v>152</v>
      </c>
      <c r="B6" s="19" t="s">
        <v>153</v>
      </c>
      <c r="C6" s="19" t="s">
        <v>330</v>
      </c>
      <c r="D6" s="18" t="s">
        <v>154</v>
      </c>
      <c r="E6" s="18" t="s">
        <v>155</v>
      </c>
      <c r="F6" s="18" t="s">
        <v>839</v>
      </c>
      <c r="G6" s="18">
        <v>20</v>
      </c>
      <c r="H6" s="18">
        <v>500</v>
      </c>
      <c r="I6" s="18" t="s">
        <v>710</v>
      </c>
      <c r="J6" s="18">
        <v>100</v>
      </c>
      <c r="K6" s="18" t="s">
        <v>389</v>
      </c>
      <c r="L6" s="18" t="s">
        <v>393</v>
      </c>
      <c r="M6" s="5"/>
      <c r="N6" s="30" t="s">
        <v>713</v>
      </c>
      <c r="O6" s="18" t="s">
        <v>729</v>
      </c>
    </row>
    <row r="7" spans="1:15" ht="18" hidden="1" customHeight="1" x14ac:dyDescent="0.2">
      <c r="A7" s="18" t="s">
        <v>107</v>
      </c>
      <c r="B7" s="19" t="s">
        <v>126</v>
      </c>
      <c r="C7" s="19" t="s">
        <v>33</v>
      </c>
      <c r="D7" s="18" t="s">
        <v>130</v>
      </c>
      <c r="E7" s="18" t="s">
        <v>131</v>
      </c>
      <c r="F7" s="18" t="s">
        <v>769</v>
      </c>
      <c r="G7" s="18">
        <v>20</v>
      </c>
      <c r="H7" s="18">
        <v>500</v>
      </c>
      <c r="I7" s="18" t="s">
        <v>217</v>
      </c>
      <c r="J7" s="18">
        <v>100</v>
      </c>
      <c r="K7" s="18" t="s">
        <v>389</v>
      </c>
      <c r="L7" s="18" t="s">
        <v>394</v>
      </c>
      <c r="M7" s="18" t="s">
        <v>347</v>
      </c>
      <c r="N7" s="18" t="s">
        <v>348</v>
      </c>
      <c r="O7" s="18"/>
    </row>
    <row r="8" spans="1:15" ht="18" hidden="1" customHeight="1" x14ac:dyDescent="0.2">
      <c r="A8" s="18" t="s">
        <v>107</v>
      </c>
      <c r="B8" s="19" t="s">
        <v>126</v>
      </c>
      <c r="C8" s="19" t="s">
        <v>234</v>
      </c>
      <c r="D8" s="18" t="s">
        <v>132</v>
      </c>
      <c r="E8" s="18" t="s">
        <v>131</v>
      </c>
      <c r="F8" s="18" t="s">
        <v>769</v>
      </c>
      <c r="G8" s="18">
        <v>20</v>
      </c>
      <c r="H8" s="18">
        <v>500</v>
      </c>
      <c r="I8" s="18" t="s">
        <v>217</v>
      </c>
      <c r="J8" s="18"/>
      <c r="K8" s="18" t="s">
        <v>602</v>
      </c>
      <c r="L8" s="18" t="s">
        <v>239</v>
      </c>
      <c r="M8" s="18" t="s">
        <v>345</v>
      </c>
      <c r="N8" s="18" t="s">
        <v>346</v>
      </c>
      <c r="O8" s="42"/>
    </row>
    <row r="9" spans="1:15" ht="18" hidden="1" customHeight="1" x14ac:dyDescent="0.2">
      <c r="A9" s="18" t="s">
        <v>107</v>
      </c>
      <c r="B9" s="19" t="s">
        <v>126</v>
      </c>
      <c r="C9" s="19" t="s">
        <v>44</v>
      </c>
      <c r="D9" s="18" t="s">
        <v>154</v>
      </c>
      <c r="E9" s="18" t="s">
        <v>155</v>
      </c>
      <c r="F9" s="18" t="s">
        <v>769</v>
      </c>
      <c r="G9" s="18">
        <v>20</v>
      </c>
      <c r="H9" s="18">
        <v>500</v>
      </c>
      <c r="I9" s="18" t="s">
        <v>217</v>
      </c>
      <c r="J9" s="18">
        <v>100</v>
      </c>
      <c r="K9" s="18" t="s">
        <v>389</v>
      </c>
      <c r="L9" s="18" t="s">
        <v>239</v>
      </c>
      <c r="M9" s="18" t="s">
        <v>343</v>
      </c>
      <c r="N9" s="18" t="s">
        <v>344</v>
      </c>
      <c r="O9" s="18"/>
    </row>
    <row r="10" spans="1:15" ht="18" hidden="1" customHeight="1" x14ac:dyDescent="0.2">
      <c r="A10" s="18" t="s">
        <v>107</v>
      </c>
      <c r="B10" s="19" t="s">
        <v>126</v>
      </c>
      <c r="C10" s="19" t="s">
        <v>431</v>
      </c>
      <c r="D10" s="18" t="s">
        <v>130</v>
      </c>
      <c r="E10" s="18" t="s">
        <v>20</v>
      </c>
      <c r="F10" s="18" t="s">
        <v>769</v>
      </c>
      <c r="G10" s="18">
        <v>20</v>
      </c>
      <c r="H10" s="18">
        <v>500</v>
      </c>
      <c r="I10" s="18" t="s">
        <v>217</v>
      </c>
      <c r="J10" s="18">
        <v>100</v>
      </c>
      <c r="K10" s="18" t="s">
        <v>389</v>
      </c>
      <c r="L10" s="18" t="s">
        <v>433</v>
      </c>
      <c r="M10" s="18"/>
      <c r="N10" s="18" t="s">
        <v>434</v>
      </c>
      <c r="O10" s="18"/>
    </row>
    <row r="11" spans="1:15" ht="18" hidden="1" customHeight="1" x14ac:dyDescent="0.2">
      <c r="A11" s="18" t="s">
        <v>4</v>
      </c>
      <c r="B11" s="19" t="s">
        <v>126</v>
      </c>
      <c r="C11" s="19" t="s">
        <v>30</v>
      </c>
      <c r="D11" s="18" t="s">
        <v>255</v>
      </c>
      <c r="E11" s="18" t="s">
        <v>256</v>
      </c>
      <c r="F11" s="43" t="s">
        <v>1055</v>
      </c>
      <c r="G11" s="18">
        <v>20</v>
      </c>
      <c r="H11" s="18">
        <v>500</v>
      </c>
      <c r="I11" s="18" t="s">
        <v>217</v>
      </c>
      <c r="J11" s="18">
        <v>100</v>
      </c>
      <c r="K11" s="18" t="s">
        <v>390</v>
      </c>
      <c r="L11" s="18" t="s">
        <v>239</v>
      </c>
      <c r="M11" s="18" t="s">
        <v>349</v>
      </c>
      <c r="N11" s="18"/>
      <c r="O11" s="18" t="s">
        <v>734</v>
      </c>
    </row>
    <row r="12" spans="1:15" ht="18" hidden="1" customHeight="1" x14ac:dyDescent="0.2">
      <c r="A12" s="18" t="s">
        <v>4</v>
      </c>
      <c r="B12" s="19" t="s">
        <v>126</v>
      </c>
      <c r="C12" s="19" t="s">
        <v>235</v>
      </c>
      <c r="D12" s="18"/>
      <c r="E12" s="18"/>
      <c r="F12" s="18"/>
      <c r="G12" s="18">
        <v>20</v>
      </c>
      <c r="H12" s="18"/>
      <c r="I12" s="18"/>
      <c r="J12" s="18"/>
      <c r="K12" s="18" t="s">
        <v>242</v>
      </c>
      <c r="L12" s="18"/>
      <c r="M12" s="18"/>
      <c r="N12" s="18"/>
      <c r="O12" s="18"/>
    </row>
    <row r="13" spans="1:15" ht="18" hidden="1" customHeight="1" x14ac:dyDescent="0.2">
      <c r="A13" s="18" t="s">
        <v>4</v>
      </c>
      <c r="B13" s="19" t="s">
        <v>126</v>
      </c>
      <c r="C13" s="19" t="s">
        <v>35</v>
      </c>
      <c r="D13" s="18" t="s">
        <v>156</v>
      </c>
      <c r="E13" s="18" t="s">
        <v>157</v>
      </c>
      <c r="F13" s="43" t="s">
        <v>1055</v>
      </c>
      <c r="G13" s="18">
        <v>20</v>
      </c>
      <c r="H13" s="18">
        <v>500</v>
      </c>
      <c r="I13" s="18" t="s">
        <v>711</v>
      </c>
      <c r="J13" s="18"/>
      <c r="K13" s="18" t="s">
        <v>390</v>
      </c>
      <c r="L13" s="18" t="s">
        <v>393</v>
      </c>
      <c r="M13" s="18" t="s">
        <v>350</v>
      </c>
      <c r="N13" s="18" t="s">
        <v>435</v>
      </c>
      <c r="O13" s="18" t="s">
        <v>716</v>
      </c>
    </row>
    <row r="14" spans="1:15" ht="18" hidden="1" customHeight="1" x14ac:dyDescent="0.2">
      <c r="A14" s="18" t="s">
        <v>4</v>
      </c>
      <c r="B14" s="19" t="s">
        <v>126</v>
      </c>
      <c r="C14" s="19" t="s">
        <v>34</v>
      </c>
      <c r="D14" s="43" t="s">
        <v>466</v>
      </c>
      <c r="E14" s="43" t="s">
        <v>466</v>
      </c>
      <c r="F14" s="43" t="s">
        <v>1055</v>
      </c>
      <c r="G14" s="43" t="s">
        <v>718</v>
      </c>
      <c r="H14" s="43" t="s">
        <v>466</v>
      </c>
      <c r="I14" s="43" t="s">
        <v>466</v>
      </c>
      <c r="J14" s="43" t="s">
        <v>466</v>
      </c>
      <c r="K14" s="18" t="s">
        <v>242</v>
      </c>
      <c r="L14" s="18"/>
      <c r="M14" s="18" t="s">
        <v>351</v>
      </c>
      <c r="N14" s="18"/>
      <c r="O14" s="18" t="s">
        <v>717</v>
      </c>
    </row>
    <row r="15" spans="1:15" ht="18" hidden="1" customHeight="1" x14ac:dyDescent="0.2">
      <c r="A15" s="18" t="s">
        <v>4</v>
      </c>
      <c r="B15" s="19" t="s">
        <v>126</v>
      </c>
      <c r="C15" s="19" t="s">
        <v>236</v>
      </c>
      <c r="D15" s="18"/>
      <c r="E15" s="18"/>
      <c r="F15" s="18"/>
      <c r="G15" s="18">
        <v>20</v>
      </c>
      <c r="H15" s="18"/>
      <c r="I15" s="18"/>
      <c r="J15" s="18"/>
      <c r="K15" s="18" t="s">
        <v>390</v>
      </c>
      <c r="L15" s="18"/>
      <c r="M15" s="18"/>
      <c r="N15" s="18"/>
      <c r="O15" s="18"/>
    </row>
    <row r="16" spans="1:15" ht="18" hidden="1" customHeight="1" x14ac:dyDescent="0.2">
      <c r="A16" s="18" t="s">
        <v>6</v>
      </c>
      <c r="B16" s="19" t="s">
        <v>126</v>
      </c>
      <c r="C16" s="19" t="s">
        <v>609</v>
      </c>
      <c r="D16" s="18" t="s">
        <v>19</v>
      </c>
      <c r="E16" s="18" t="s">
        <v>20</v>
      </c>
      <c r="F16" s="18" t="s">
        <v>769</v>
      </c>
      <c r="G16" s="18">
        <v>20</v>
      </c>
      <c r="H16" s="18">
        <v>500</v>
      </c>
      <c r="I16" s="18" t="s">
        <v>217</v>
      </c>
      <c r="J16" s="18">
        <v>100</v>
      </c>
      <c r="K16" s="18" t="s">
        <v>389</v>
      </c>
      <c r="L16" s="18"/>
      <c r="M16" s="18"/>
      <c r="N16" s="18"/>
      <c r="O16" s="18"/>
    </row>
    <row r="17" spans="1:15" ht="18" hidden="1" customHeight="1" x14ac:dyDescent="0.2">
      <c r="A17" s="18" t="s">
        <v>6</v>
      </c>
      <c r="B17" s="19" t="s">
        <v>126</v>
      </c>
      <c r="C17" s="19" t="s">
        <v>27</v>
      </c>
      <c r="D17" s="43" t="s">
        <v>466</v>
      </c>
      <c r="E17" s="43" t="s">
        <v>466</v>
      </c>
      <c r="F17" s="43" t="s">
        <v>466</v>
      </c>
      <c r="G17" s="43" t="s">
        <v>466</v>
      </c>
      <c r="H17" s="43" t="s">
        <v>466</v>
      </c>
      <c r="I17" s="43" t="s">
        <v>466</v>
      </c>
      <c r="J17" s="43" t="s">
        <v>466</v>
      </c>
      <c r="K17" s="18" t="s">
        <v>242</v>
      </c>
      <c r="L17" s="18"/>
      <c r="M17" s="18" t="s">
        <v>501</v>
      </c>
      <c r="N17" s="18"/>
      <c r="O17" s="18"/>
    </row>
    <row r="18" spans="1:15" ht="18" hidden="1" customHeight="1" x14ac:dyDescent="0.2">
      <c r="A18" s="18" t="s">
        <v>124</v>
      </c>
      <c r="B18" s="19" t="s">
        <v>126</v>
      </c>
      <c r="C18" s="19" t="s">
        <v>29</v>
      </c>
      <c r="D18" s="18" t="s">
        <v>19</v>
      </c>
      <c r="E18" s="18" t="s">
        <v>20</v>
      </c>
      <c r="F18" s="18" t="s">
        <v>769</v>
      </c>
      <c r="G18" s="18">
        <v>20</v>
      </c>
      <c r="H18" s="18">
        <v>500</v>
      </c>
      <c r="I18" s="18" t="s">
        <v>282</v>
      </c>
      <c r="J18" s="18">
        <v>200</v>
      </c>
      <c r="K18" s="18" t="s">
        <v>399</v>
      </c>
      <c r="L18" s="18" t="s">
        <v>395</v>
      </c>
      <c r="M18" s="18" t="s">
        <v>505</v>
      </c>
      <c r="N18" s="18"/>
      <c r="O18" s="18"/>
    </row>
    <row r="19" spans="1:15" ht="18" hidden="1" customHeight="1" x14ac:dyDescent="0.2">
      <c r="A19" s="18" t="s">
        <v>6</v>
      </c>
      <c r="B19" s="19" t="s">
        <v>126</v>
      </c>
      <c r="C19" s="19" t="s">
        <v>500</v>
      </c>
      <c r="D19" s="18" t="s">
        <v>19</v>
      </c>
      <c r="E19" s="18" t="s">
        <v>20</v>
      </c>
      <c r="F19" s="18" t="s">
        <v>769</v>
      </c>
      <c r="G19" s="18">
        <v>20</v>
      </c>
      <c r="H19" s="18">
        <v>500</v>
      </c>
      <c r="I19" s="18" t="s">
        <v>217</v>
      </c>
      <c r="J19" s="18">
        <v>100</v>
      </c>
      <c r="K19" s="18" t="s">
        <v>389</v>
      </c>
      <c r="L19" s="18"/>
      <c r="M19" s="18" t="s">
        <v>502</v>
      </c>
      <c r="N19" s="18"/>
      <c r="O19" s="18"/>
    </row>
    <row r="20" spans="1:15" ht="18" customHeight="1" x14ac:dyDescent="0.2"/>
    <row r="21" spans="1:15" x14ac:dyDescent="0.2">
      <c r="A21" t="s">
        <v>477</v>
      </c>
    </row>
    <row r="34" spans="1:8" x14ac:dyDescent="0.2">
      <c r="A34" s="32" t="s">
        <v>123</v>
      </c>
      <c r="B34" s="33" t="s">
        <v>127</v>
      </c>
      <c r="C34" s="33" t="s">
        <v>125</v>
      </c>
      <c r="D34" s="32" t="s">
        <v>116</v>
      </c>
      <c r="E34" s="32" t="s">
        <v>117</v>
      </c>
      <c r="F34" s="32" t="s">
        <v>118</v>
      </c>
      <c r="H34" s="32">
        <v>425</v>
      </c>
    </row>
    <row r="35" spans="1:8" x14ac:dyDescent="0.2">
      <c r="A35" s="34" t="s">
        <v>123</v>
      </c>
      <c r="B35" s="35" t="s">
        <v>125</v>
      </c>
      <c r="C35" s="35" t="s">
        <v>126</v>
      </c>
      <c r="D35" s="34" t="s">
        <v>119</v>
      </c>
      <c r="E35" s="34" t="s">
        <v>120</v>
      </c>
      <c r="F35" s="34" t="s">
        <v>115</v>
      </c>
      <c r="H35" s="34">
        <v>500</v>
      </c>
    </row>
  </sheetData>
  <phoneticPr fontId="1" type="noConversion"/>
  <pageMargins left="0.7" right="0.7" top="0.75" bottom="0.75" header="0.3" footer="0.3"/>
  <pageSetup paperSize="9"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船期表</vt:lpstr>
      <vt:lpstr>预订</vt:lpstr>
      <vt:lpstr>统计</vt:lpstr>
      <vt:lpstr>流水</vt:lpstr>
      <vt:lpstr>费用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yjc</dc:creator>
  <cp:lastModifiedBy>咚咚呛</cp:lastModifiedBy>
  <cp:lastPrinted>2019-09-25T14:25:42Z</cp:lastPrinted>
  <dcterms:created xsi:type="dcterms:W3CDTF">2015-06-05T18:17:20Z</dcterms:created>
  <dcterms:modified xsi:type="dcterms:W3CDTF">2020-01-02T05:34:46Z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Liushui2Yuding_1" visible="true" label="Liushui2Yuding" imageMso="OutlinePromoteToHeading" onAction="Liushui2Yuding"/>
        <mso:button idQ="doc:Yuding2Liushui_1" visible="true" label="Yuding2Liushui" imageMso="OutlineDemoteToBodyText" onAction="Yuding2Liushui"/>
      </mso:documentControls>
    </mso:qat>
  </mso:ribbon>
</mso:customUI>
</file>