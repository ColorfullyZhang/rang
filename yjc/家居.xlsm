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437D3179-4FD2-4951-A3EE-6DD00A101C86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definedNames>
    <definedName name="切片器_CN">#N/A</definedName>
    <definedName name="切片器_ETD">#N/A</definedName>
  </definedNames>
  <calcPr calcId="181029"/>
  <pivotCaches>
    <pivotCache cacheId="23" r:id="rId6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4" i="9" l="1"/>
  <c r="E164" i="9"/>
  <c r="I164" i="9"/>
  <c r="D162" i="9"/>
  <c r="E162" i="9"/>
  <c r="I162" i="9"/>
  <c r="D160" i="9"/>
  <c r="E160" i="9"/>
  <c r="I160" i="9"/>
  <c r="D158" i="9"/>
  <c r="E158" i="9"/>
  <c r="I158" i="9"/>
  <c r="D147" i="9" l="1"/>
  <c r="E147" i="9"/>
  <c r="D157" i="9" l="1"/>
  <c r="E157" i="9"/>
  <c r="I157" i="9"/>
  <c r="D134" i="9" l="1"/>
  <c r="E134" i="9"/>
  <c r="I134" i="9"/>
  <c r="D155" i="9"/>
  <c r="E155" i="9"/>
  <c r="I155" i="9"/>
  <c r="D165" i="9"/>
  <c r="E165" i="9"/>
  <c r="I165" i="9"/>
  <c r="D153" i="9" l="1"/>
  <c r="E153" i="9"/>
  <c r="I153" i="9"/>
  <c r="D161" i="9"/>
  <c r="E161" i="9"/>
  <c r="I161" i="9"/>
  <c r="D151" i="9" l="1"/>
  <c r="E151" i="9"/>
  <c r="I151" i="9"/>
  <c r="D144" i="9" l="1"/>
  <c r="E144" i="9"/>
  <c r="I144" i="9"/>
  <c r="D154" i="9" l="1"/>
  <c r="E154" i="9"/>
  <c r="I154" i="9"/>
  <c r="D136" i="9" l="1"/>
  <c r="E136" i="9"/>
  <c r="I136" i="9"/>
  <c r="D143" i="9" l="1"/>
  <c r="E143" i="9"/>
  <c r="I143" i="9"/>
  <c r="D139" i="9" l="1"/>
  <c r="E139" i="9"/>
  <c r="I139" i="9"/>
  <c r="D163" i="9" l="1"/>
  <c r="E163" i="9"/>
  <c r="I163" i="9"/>
  <c r="D135" i="9"/>
  <c r="E135" i="9"/>
  <c r="I135" i="9"/>
  <c r="D159" i="9"/>
  <c r="E159" i="9"/>
  <c r="I159" i="9"/>
  <c r="D156" i="9"/>
  <c r="E156" i="9"/>
  <c r="I156" i="9"/>
  <c r="D132" i="9" l="1"/>
  <c r="E132" i="9"/>
  <c r="I132" i="9"/>
  <c r="D146" i="9" l="1"/>
  <c r="E146" i="9"/>
  <c r="I146" i="9"/>
  <c r="D142" i="9"/>
  <c r="E142" i="9"/>
  <c r="I142" i="9"/>
  <c r="D133" i="9"/>
  <c r="E133" i="9"/>
  <c r="I133" i="9"/>
  <c r="D125" i="9" l="1"/>
  <c r="D129" i="9"/>
  <c r="D130" i="9"/>
  <c r="D131" i="9"/>
  <c r="D141" i="9"/>
  <c r="D138" i="9"/>
  <c r="D140" i="9"/>
  <c r="D149" i="9"/>
  <c r="D150" i="9"/>
  <c r="E125" i="9"/>
  <c r="E129" i="9"/>
  <c r="E130" i="9"/>
  <c r="E131" i="9"/>
  <c r="E141" i="9"/>
  <c r="E138" i="9"/>
  <c r="E140" i="9"/>
  <c r="E149" i="9"/>
  <c r="E150" i="9"/>
  <c r="I125" i="9"/>
  <c r="I129" i="9"/>
  <c r="I130" i="9"/>
  <c r="I131" i="9"/>
  <c r="I141" i="9"/>
  <c r="I138" i="9"/>
  <c r="I140" i="9"/>
  <c r="I149" i="9"/>
  <c r="I150" i="9"/>
  <c r="D124" i="9"/>
  <c r="E124" i="9"/>
  <c r="I124" i="9"/>
  <c r="D121" i="9" l="1"/>
  <c r="E121" i="9"/>
  <c r="I121" i="9"/>
  <c r="D148" i="9" l="1"/>
  <c r="E148" i="9"/>
  <c r="I148" i="9"/>
  <c r="D137" i="9"/>
  <c r="E137" i="9"/>
  <c r="I137" i="9"/>
  <c r="D128" i="9" l="1"/>
  <c r="E128" i="9"/>
  <c r="I128" i="9"/>
  <c r="D106" i="9" l="1"/>
  <c r="E106" i="9"/>
  <c r="I106" i="9"/>
  <c r="D110" i="9" l="1"/>
  <c r="E110" i="9"/>
  <c r="I110" i="9"/>
  <c r="D120" i="9" l="1"/>
  <c r="E120" i="9"/>
  <c r="I120" i="9"/>
  <c r="D119" i="9"/>
  <c r="E119" i="9"/>
  <c r="I119" i="9"/>
  <c r="D112" i="9"/>
  <c r="D113" i="9"/>
  <c r="D118" i="9"/>
  <c r="E112" i="9"/>
  <c r="E113" i="9"/>
  <c r="E118" i="9"/>
  <c r="I112" i="9"/>
  <c r="I113" i="9"/>
  <c r="I118" i="9"/>
  <c r="D152" i="9" l="1"/>
  <c r="E152" i="9"/>
  <c r="I152" i="9"/>
  <c r="D145" i="9"/>
  <c r="E145" i="9"/>
  <c r="I145" i="9"/>
  <c r="D127" i="9"/>
  <c r="E127" i="9"/>
  <c r="I127" i="9"/>
  <c r="D123" i="9" l="1"/>
  <c r="E123" i="9"/>
  <c r="I123" i="9"/>
  <c r="D115" i="9" l="1"/>
  <c r="E115" i="9"/>
  <c r="I115" i="9"/>
  <c r="D122" i="9" l="1"/>
  <c r="E122" i="9"/>
  <c r="I122" i="9"/>
  <c r="D102" i="9" l="1"/>
  <c r="D103" i="9"/>
  <c r="D104" i="9"/>
  <c r="E102" i="9"/>
  <c r="E103" i="9"/>
  <c r="E104" i="9"/>
  <c r="I102" i="9"/>
  <c r="I103" i="9"/>
  <c r="I104" i="9"/>
  <c r="D105" i="9" l="1"/>
  <c r="E105" i="9"/>
  <c r="I105" i="9"/>
  <c r="D114" i="9"/>
  <c r="E114" i="9"/>
  <c r="I114" i="9"/>
  <c r="D109" i="9" l="1"/>
  <c r="E109" i="9"/>
  <c r="I109" i="9"/>
  <c r="D99" i="9"/>
  <c r="E99" i="9"/>
  <c r="I99" i="9"/>
  <c r="D90" i="9" l="1"/>
  <c r="E90" i="9"/>
  <c r="I90" i="9"/>
  <c r="D108" i="9" l="1"/>
  <c r="E108" i="9"/>
  <c r="I108" i="9"/>
  <c r="I117" i="9" l="1"/>
  <c r="I116" i="9"/>
  <c r="D117" i="9"/>
  <c r="E117" i="9"/>
  <c r="D116" i="9"/>
  <c r="E116" i="9"/>
  <c r="D95" i="9" l="1"/>
  <c r="E95" i="9"/>
  <c r="I95" i="9"/>
  <c r="D96" i="9" l="1"/>
  <c r="E96" i="9"/>
  <c r="I96" i="9"/>
  <c r="D126" i="9"/>
  <c r="E126" i="9"/>
  <c r="I126" i="9"/>
  <c r="D92" i="9" l="1"/>
  <c r="E92" i="9"/>
  <c r="I92" i="9"/>
  <c r="D86" i="9"/>
  <c r="E86" i="9"/>
  <c r="I86" i="9"/>
  <c r="D85" i="9"/>
  <c r="E85" i="9"/>
  <c r="I85" i="9"/>
  <c r="D88" i="9" l="1"/>
  <c r="E88" i="9"/>
  <c r="I88" i="9"/>
  <c r="D72" i="9" l="1"/>
  <c r="E72" i="9"/>
  <c r="I72" i="9"/>
  <c r="D82" i="9" l="1"/>
  <c r="E82" i="9"/>
  <c r="I82" i="9"/>
  <c r="D80" i="9" l="1"/>
  <c r="E80" i="9"/>
  <c r="I80" i="9"/>
  <c r="D70" i="9" l="1"/>
  <c r="E70" i="9"/>
  <c r="I70" i="9"/>
  <c r="D107" i="9"/>
  <c r="E107" i="9"/>
  <c r="I107" i="9"/>
  <c r="D98" i="9"/>
  <c r="E98" i="9"/>
  <c r="I98" i="9"/>
  <c r="D89" i="9"/>
  <c r="E89" i="9"/>
  <c r="I89" i="9"/>
  <c r="D94" i="9" l="1"/>
  <c r="E94" i="9"/>
  <c r="I94" i="9"/>
  <c r="D93" i="9"/>
  <c r="E93" i="9"/>
  <c r="I93" i="9"/>
  <c r="D84" i="9"/>
  <c r="E84" i="9"/>
  <c r="I84" i="9"/>
  <c r="D83" i="9"/>
  <c r="E83" i="9"/>
  <c r="I83" i="9"/>
  <c r="D77" i="9"/>
  <c r="E77" i="9"/>
  <c r="I77" i="9"/>
  <c r="D78" i="9"/>
  <c r="E78" i="9"/>
  <c r="I78" i="9"/>
  <c r="D76" i="9"/>
  <c r="E76" i="9"/>
  <c r="I76" i="9"/>
  <c r="D101" i="9" l="1"/>
  <c r="E101" i="9"/>
  <c r="I101" i="9"/>
  <c r="D111" i="9" l="1"/>
  <c r="E111" i="9"/>
  <c r="I111" i="9"/>
  <c r="D100" i="9" l="1"/>
  <c r="E100" i="9"/>
  <c r="I100" i="9"/>
  <c r="I87" i="9" l="1"/>
  <c r="I91" i="9"/>
  <c r="I68" i="9"/>
  <c r="I74" i="9"/>
  <c r="I97" i="9"/>
  <c r="I81" i="9"/>
  <c r="I3" i="9"/>
  <c r="I2" i="9"/>
  <c r="I11" i="9"/>
  <c r="I4" i="9"/>
  <c r="I5" i="9"/>
  <c r="I6" i="9"/>
  <c r="I7" i="9"/>
  <c r="I8" i="9"/>
  <c r="I9" i="9"/>
  <c r="I10" i="9"/>
  <c r="I13" i="9"/>
  <c r="I12" i="9"/>
  <c r="I14" i="9"/>
  <c r="I15" i="9"/>
  <c r="I16" i="9"/>
  <c r="I23" i="9"/>
  <c r="I18" i="9"/>
  <c r="I21" i="9"/>
  <c r="I22" i="9"/>
  <c r="I25" i="9"/>
  <c r="I20" i="9"/>
  <c r="I19" i="9"/>
  <c r="I17" i="9"/>
  <c r="I36" i="9"/>
  <c r="I26" i="9"/>
  <c r="I30" i="9"/>
  <c r="I27" i="9"/>
  <c r="I28" i="9"/>
  <c r="I29" i="9"/>
  <c r="I31" i="9"/>
  <c r="I33" i="9"/>
  <c r="I34" i="9"/>
  <c r="I40" i="9"/>
  <c r="I41" i="9"/>
  <c r="I32" i="9"/>
  <c r="I35" i="9"/>
  <c r="I37" i="9"/>
  <c r="I24" i="9"/>
  <c r="I38" i="9"/>
  <c r="I46" i="9"/>
  <c r="I44" i="9"/>
  <c r="I45" i="9"/>
  <c r="I43" i="9"/>
  <c r="I42" i="9"/>
  <c r="I39" i="9"/>
  <c r="I47" i="9"/>
  <c r="I48" i="9"/>
  <c r="I50" i="9"/>
  <c r="I49" i="9"/>
  <c r="I51" i="9"/>
  <c r="I52" i="9"/>
  <c r="I53" i="9"/>
  <c r="I60" i="9"/>
  <c r="I54" i="9"/>
  <c r="I55" i="9"/>
  <c r="I59" i="9"/>
  <c r="I61" i="9"/>
  <c r="I62" i="9"/>
  <c r="I58" i="9"/>
  <c r="I57" i="9"/>
  <c r="I56" i="9"/>
  <c r="I65" i="9"/>
  <c r="I64" i="9"/>
  <c r="I66" i="9"/>
  <c r="I63" i="9"/>
  <c r="I67" i="9"/>
  <c r="I69" i="9"/>
  <c r="I73" i="9"/>
  <c r="I71" i="9"/>
  <c r="I79" i="9"/>
  <c r="I75" i="9"/>
  <c r="D97" i="9" l="1"/>
  <c r="E97" i="9"/>
  <c r="D74" i="9" l="1"/>
  <c r="E74" i="9"/>
  <c r="D68" i="9" l="1"/>
  <c r="E68" i="9"/>
  <c r="D81" i="9" l="1"/>
  <c r="E81" i="9"/>
  <c r="D66" i="9" l="1"/>
  <c r="E66" i="9"/>
  <c r="D73" i="9" l="1"/>
  <c r="E73" i="9"/>
  <c r="D49" i="9" l="1"/>
  <c r="E49" i="9"/>
  <c r="D63" i="9" l="1"/>
  <c r="E63" i="9"/>
  <c r="D75" i="9" l="1"/>
  <c r="E75" i="9"/>
  <c r="D67" i="9"/>
  <c r="E67" i="9"/>
  <c r="D54" i="9" l="1"/>
  <c r="E54" i="9"/>
  <c r="D87" i="9" l="1"/>
  <c r="E87" i="9"/>
  <c r="D69" i="9" l="1"/>
  <c r="E69" i="9"/>
  <c r="D79" i="9" l="1"/>
  <c r="E79" i="9"/>
  <c r="D91" i="9"/>
  <c r="E91" i="9"/>
  <c r="D71" i="9" l="1"/>
  <c r="E71" i="9"/>
  <c r="D56" i="9" l="1"/>
  <c r="E56" i="9"/>
  <c r="D58" i="9" l="1"/>
  <c r="E58" i="9"/>
  <c r="D50" i="9"/>
  <c r="E50" i="9"/>
  <c r="D61" i="9" l="1"/>
  <c r="E61" i="9"/>
  <c r="D62" i="9" l="1"/>
  <c r="E62" i="9"/>
  <c r="D65" i="9" l="1"/>
  <c r="E65" i="9"/>
  <c r="D47" i="9" l="1"/>
  <c r="E47" i="9"/>
  <c r="D32" i="9" l="1"/>
  <c r="E32" i="9"/>
  <c r="D55" i="9" l="1"/>
  <c r="E55" i="9"/>
  <c r="D43" i="9" l="1"/>
  <c r="E43" i="9"/>
  <c r="D39" i="9" l="1"/>
  <c r="E39" i="9"/>
  <c r="D40" i="9" l="1"/>
  <c r="E40" i="9"/>
  <c r="D60" i="9" l="1"/>
  <c r="E60" i="9"/>
  <c r="D53" i="9"/>
  <c r="E53" i="9"/>
  <c r="D52" i="9"/>
  <c r="E52" i="9"/>
  <c r="D57" i="9" l="1"/>
  <c r="E57" i="9"/>
  <c r="D42" i="9" l="1"/>
  <c r="E42" i="9"/>
  <c r="D64" i="9" l="1"/>
  <c r="E64" i="9"/>
  <c r="D48" i="9"/>
  <c r="E48" i="9"/>
  <c r="D45" i="9" l="1"/>
  <c r="E45" i="9"/>
  <c r="D51" i="9"/>
  <c r="E51" i="9"/>
  <c r="D59" i="9"/>
  <c r="E59" i="9"/>
  <c r="D46" i="9" l="1"/>
  <c r="E46" i="9"/>
  <c r="D24" i="9"/>
  <c r="E24" i="9"/>
  <c r="D20" i="9" l="1"/>
  <c r="E20" i="9"/>
  <c r="D4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41" i="9" l="1"/>
  <c r="D30" i="9"/>
  <c r="E30" i="9"/>
  <c r="D44" i="9" l="1"/>
  <c r="E44" i="9"/>
  <c r="D38" i="9" l="1"/>
  <c r="E38" i="9"/>
  <c r="D37" i="9"/>
  <c r="E37" i="9"/>
  <c r="D36" i="9"/>
  <c r="E36" i="9"/>
  <c r="D25" i="9" l="1"/>
  <c r="E25" i="9"/>
  <c r="D5" i="9" l="1"/>
  <c r="E5" i="9"/>
  <c r="D6" i="9" l="1"/>
  <c r="E6" i="9"/>
  <c r="D33" i="9" l="1"/>
  <c r="E33" i="9"/>
  <c r="D10" i="9" l="1"/>
  <c r="E10" i="9"/>
  <c r="D34" i="9" l="1"/>
  <c r="E34" i="9"/>
  <c r="D31" i="9"/>
  <c r="E31" i="9"/>
  <c r="D35" i="9"/>
  <c r="E35" i="9"/>
  <c r="D4" i="9"/>
  <c r="D19" i="9"/>
  <c r="D11" i="9"/>
  <c r="D21" i="9"/>
  <c r="D3" i="9"/>
  <c r="D13" i="9"/>
  <c r="D14" i="9"/>
  <c r="D27" i="9"/>
  <c r="D2" i="9"/>
  <c r="D7" i="9"/>
  <c r="D8" i="9"/>
  <c r="D9" i="9"/>
  <c r="D15" i="9"/>
  <c r="D17" i="9"/>
  <c r="D16" i="9"/>
  <c r="D12" i="9"/>
  <c r="D18" i="9"/>
  <c r="D22" i="9"/>
  <c r="D23" i="9"/>
  <c r="D28" i="9"/>
  <c r="D29" i="9"/>
  <c r="D26" i="9"/>
  <c r="E26" i="9"/>
  <c r="E28" i="9"/>
  <c r="E29" i="9"/>
  <c r="E23" i="9"/>
  <c r="E22" i="9"/>
  <c r="E18" i="9"/>
  <c r="E12" i="9"/>
  <c r="E15" i="9"/>
  <c r="E17" i="9"/>
  <c r="E16" i="9"/>
  <c r="E7" i="9"/>
  <c r="E8" i="9"/>
  <c r="E9" i="9"/>
  <c r="E4" i="9"/>
  <c r="E19" i="9"/>
  <c r="E11" i="9"/>
  <c r="E21" i="9"/>
  <c r="E3" i="9"/>
  <c r="E13" i="9"/>
  <c r="E14" i="9"/>
  <c r="E27" i="9"/>
  <c r="E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H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<sst xmlns="http://schemas.openxmlformats.org/spreadsheetml/2006/main" count="4129" uniqueCount="870">
  <si>
    <t>ETD</t>
  </si>
  <si>
    <t>YJCSHAN1915772</t>
  </si>
  <si>
    <t>YJCSHAN1915768</t>
  </si>
  <si>
    <t>YJCSHAN1915769</t>
  </si>
  <si>
    <t>HANSSEM</t>
  </si>
  <si>
    <t>YJCSHAN1915697</t>
  </si>
  <si>
    <t>SSEM</t>
  </si>
  <si>
    <t>HB190601</t>
  </si>
  <si>
    <t>LOUISUN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</si>
  <si>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</si>
  <si>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</si>
  <si>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</si>
  <si>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</si>
  <si>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</si>
  <si>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</si>
  <si>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</si>
  <si>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</si>
  <si>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</si>
  <si>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</si>
  <si>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</si>
  <si>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</si>
  <si>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</si>
  <si>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</si>
  <si>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</si>
  <si>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</si>
  <si>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</si>
  <si>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</si>
  <si>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</si>
  <si>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</si>
  <si>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</si>
  <si>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</si>
  <si>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</si>
  <si>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</si>
  <si>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</si>
  <si>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</si>
  <si>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</si>
  <si>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</si>
  <si>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</si>
  <si>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</si>
  <si>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</si>
  <si>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</si>
  <si>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</si>
  <si>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</si>
  <si>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(多项)</t>
  </si>
  <si>
    <t>月</t>
  </si>
  <si>
    <t>非相</t>
  </si>
  <si>
    <t>非相</t>
    <phoneticPr fontId="2" type="noConversion"/>
  </si>
  <si>
    <t>PHILOSOPHY</t>
  </si>
  <si>
    <t>万盛</t>
  </si>
  <si>
    <t>WANSHENG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</si>
  <si>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</si>
  <si>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</si>
  <si>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</si>
  <si>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</si>
  <si>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</si>
  <si>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</si>
  <si>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</si>
  <si>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</si>
  <si>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</si>
  <si>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</si>
  <si>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</si>
  <si>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</si>
  <si>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</si>
  <si>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</si>
  <si>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</si>
  <si>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</si>
  <si>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</si>
  <si>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</si>
  <si>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</si>
  <si>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</si>
  <si>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</si>
  <si>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</si>
  <si>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</si>
  <si>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</si>
  <si>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</si>
  <si>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</si>
  <si>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</si>
  <si>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</si>
  <si>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</si>
  <si>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</si>
  <si>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</si>
  <si>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</si>
  <si>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</si>
  <si>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</si>
  <si>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</si>
  <si>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</si>
  <si>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</si>
  <si>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</si>
  <si>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</si>
  <si>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</si>
  <si>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</si>
  <si>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</si>
  <si>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</si>
  <si>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</si>
  <si>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PCLU1794PE4400</t>
  </si>
  <si>
    <t>PCLU1795PE4402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</si>
  <si>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</si>
  <si>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</si>
  <si>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</si>
  <si>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</si>
  <si>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</si>
  <si>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</si>
  <si>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</si>
  <si>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</si>
  <si>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</si>
  <si>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</si>
  <si>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</si>
  <si>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</si>
  <si>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</si>
  <si>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</si>
  <si>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</si>
  <si>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</si>
  <si>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</si>
  <si>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</si>
  <si>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</si>
  <si>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</si>
  <si>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</si>
  <si>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</si>
  <si>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</si>
  <si>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</si>
  <si>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</si>
  <si>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</si>
  <si>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</si>
  <si>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</si>
  <si>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</si>
  <si>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</si>
  <si>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</si>
  <si>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</si>
  <si>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</si>
  <si>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</si>
  <si>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</si>
  <si>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</si>
  <si>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</si>
  <si>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</si>
  <si>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</si>
  <si>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</si>
  <si>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</si>
  <si>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</si>
  <si>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</si>
  <si>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</si>
  <si>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</si>
  <si>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</si>
  <si>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</si>
  <si>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</si>
  <si>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</si>
  <si>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</si>
  <si>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</si>
  <si>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</si>
  <si>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</si>
  <si>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</si>
  <si>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</si>
  <si>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</si>
  <si>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</si>
  <si>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</si>
  <si>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</si>
  <si>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</si>
  <si>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</si>
  <si>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</si>
  <si>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</si>
  <si>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</si>
  <si>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</si>
  <si>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</si>
  <si>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</si>
  <si>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</si>
  <si>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</si>
  <si>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</si>
  <si>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</si>
  <si>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</si>
  <si>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</si>
  <si>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</si>
  <si>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</si>
  <si>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</si>
  <si>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</si>
  <si>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</si>
  <si>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</si>
  <si>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</si>
  <si>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</si>
  <si>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</si>
  <si>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</si>
  <si>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</si>
  <si>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</si>
  <si>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</si>
  <si>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</si>
  <si>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</si>
  <si>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</si>
  <si>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</si>
  <si>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</si>
  <si>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</si>
  <si>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</si>
  <si>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</si>
  <si>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</si>
  <si>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</si>
  <si>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</si>
  <si>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</si>
  <si>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</si>
  <si>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</si>
  <si>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HBL</t>
    <phoneticPr fontId="2" type="noConversion"/>
  </si>
  <si>
    <t>YJCSHAN1916157</t>
  </si>
  <si>
    <t>YJCSHAN1916158</t>
  </si>
  <si>
    <t>YJCSHAN1916228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</si>
  <si>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</si>
  <si>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</si>
  <si>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</si>
  <si>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</si>
  <si>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</si>
  <si>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</si>
  <si>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</si>
  <si>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</si>
  <si>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</si>
  <si>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</si>
  <si>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</si>
  <si>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</si>
  <si>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</si>
  <si>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</si>
  <si>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</si>
  <si>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</si>
  <si>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PO1908020044</t>
    <phoneticPr fontId="2" type="noConversion"/>
  </si>
  <si>
    <t>拼4309</t>
    <phoneticPr fontId="2" type="noConversion"/>
  </si>
  <si>
    <t>PCLU1795PE4308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</si>
  <si>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</si>
  <si>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</si>
  <si>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</si>
  <si>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</si>
  <si>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</si>
  <si>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</si>
  <si>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</si>
  <si>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</si>
  <si>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</si>
  <si>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</si>
  <si>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</si>
  <si>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</si>
  <si>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</si>
  <si>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</si>
  <si>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</si>
  <si>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</si>
  <si>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</si>
  <si>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</si>
  <si>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</si>
  <si>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</si>
  <si>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</si>
  <si>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</si>
  <si>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</si>
  <si>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</si>
  <si>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</si>
  <si>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</si>
  <si>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</si>
  <si>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</si>
  <si>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</si>
  <si>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</si>
  <si>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</si>
  <si>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</si>
  <si>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</si>
  <si>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</si>
  <si>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</si>
  <si>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</si>
  <si>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</si>
  <si>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</si>
  <si>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</si>
  <si>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</si>
  <si>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</si>
  <si>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</si>
  <si>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</si>
  <si>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</si>
  <si>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</si>
  <si>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</si>
  <si>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</si>
  <si>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</si>
  <si>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</si>
  <si>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000/340</t>
    <phoneticPr fontId="2" type="noConversion"/>
  </si>
  <si>
    <t>000/1162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</si>
  <si>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</si>
  <si>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</si>
  <si>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</si>
  <si>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</si>
  <si>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</si>
  <si>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</si>
  <si>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</si>
  <si>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</si>
  <si>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</si>
  <si>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</si>
  <si>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</si>
  <si>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</si>
  <si>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</si>
  <si>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</si>
  <si>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</si>
  <si>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</si>
  <si>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</si>
  <si>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</si>
  <si>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</si>
  <si>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</si>
  <si>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</si>
  <si>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</si>
  <si>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</si>
  <si>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</si>
  <si>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</si>
  <si>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</si>
  <si>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</si>
  <si>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</si>
  <si>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</si>
  <si>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</si>
  <si>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</si>
  <si>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</si>
  <si>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</si>
  <si>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</si>
  <si>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</si>
  <si>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</si>
  <si>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</si>
  <si>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</si>
  <si>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</si>
  <si>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</si>
  <si>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</si>
  <si>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</si>
  <si>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</si>
  <si>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</si>
  <si>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</si>
  <si>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</si>
  <si>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</si>
  <si>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</si>
  <si>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</si>
  <si>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</si>
  <si>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</si>
  <si>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</si>
  <si>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</si>
  <si>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</si>
  <si>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</si>
  <si>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</si>
  <si>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</si>
  <si>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</si>
  <si>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</si>
  <si>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shcsm191012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</si>
  <si>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</si>
  <si>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</si>
  <si>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</si>
  <si>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</si>
  <si>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</si>
  <si>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</si>
  <si>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</si>
  <si>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</si>
  <si>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</si>
  <si>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</si>
  <si>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</si>
  <si>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</si>
  <si>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</si>
  <si>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</si>
  <si>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</si>
  <si>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</si>
  <si>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</si>
  <si>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</si>
  <si>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</si>
  <si>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</si>
  <si>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</si>
  <si>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</si>
  <si>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</si>
  <si>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</si>
  <si>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</si>
  <si>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</si>
  <si>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</si>
  <si>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</si>
  <si>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</si>
  <si>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</si>
  <si>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</si>
  <si>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</si>
  <si>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</si>
  <si>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</si>
  <si>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</si>
  <si>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</si>
  <si>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</si>
  <si>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</si>
  <si>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</si>
  <si>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</si>
  <si>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</si>
  <si>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</si>
  <si>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</si>
  <si>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</si>
  <si>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</si>
  <si>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</si>
  <si>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</si>
  <si>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</si>
  <si>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</si>
  <si>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</si>
  <si>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</si>
  <si>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</si>
  <si>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</si>
  <si>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</si>
  <si>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</si>
  <si>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</si>
  <si>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</si>
  <si>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</si>
  <si>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</si>
  <si>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</si>
  <si>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</si>
  <si>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</si>
  <si>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</si>
  <si>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</si>
  <si>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</si>
  <si>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</si>
  <si>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</si>
  <si>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</si>
  <si>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</si>
  <si>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</si>
  <si>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</si>
  <si>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</si>
  <si>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</si>
  <si>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</si>
  <si>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</si>
  <si>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</si>
  <si>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</si>
  <si>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</si>
  <si>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</si>
  <si>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</si>
  <si>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</si>
  <si>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</si>
  <si>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</si>
  <si>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</si>
  <si>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</si>
  <si>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</si>
  <si>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</si>
  <si>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</si>
  <si>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</si>
  <si>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</si>
  <si>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</si>
  <si>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</si>
  <si>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</si>
  <si>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</si>
  <si>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</si>
  <si>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</si>
  <si>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</si>
  <si>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</si>
  <si>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</si>
  <si>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</si>
  <si>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</si>
  <si>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</si>
  <si>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</si>
  <si>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</si>
  <si>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</si>
  <si>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</si>
  <si>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</si>
  <si>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</si>
  <si>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</si>
  <si>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</si>
  <si>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</si>
  <si>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</si>
  <si>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</si>
  <si>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</si>
  <si>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</si>
  <si>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</si>
  <si>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</si>
  <si>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</si>
  <si>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</si>
  <si>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</si>
  <si>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</si>
  <si>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</si>
  <si>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</si>
  <si>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</si>
  <si>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</si>
  <si>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</si>
  <si>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</si>
  <si>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</si>
  <si>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</si>
  <si>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</si>
  <si>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</si>
  <si>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</si>
  <si>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</si>
  <si>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</si>
  <si>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</si>
  <si>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</si>
  <si>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</si>
  <si>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</si>
  <si>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</si>
  <si>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</si>
  <si>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</si>
  <si>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</si>
  <si>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</si>
  <si>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</si>
  <si>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</si>
  <si>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</si>
  <si>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</si>
  <si>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</si>
  <si>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</si>
  <si>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</si>
  <si>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</si>
  <si>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</si>
  <si>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</si>
  <si>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</si>
  <si>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</si>
  <si>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</si>
  <si>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</si>
  <si>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</si>
  <si>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</si>
  <si>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</si>
  <si>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</si>
  <si>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</si>
  <si>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</si>
  <si>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</si>
  <si>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</si>
  <si>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</si>
  <si>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</si>
  <si>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</si>
  <si>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</si>
  <si>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</si>
  <si>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</si>
  <si>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</si>
  <si>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</si>
  <si>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</si>
  <si>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</si>
  <si>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</si>
  <si>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</si>
  <si>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</si>
  <si>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</si>
  <si>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</si>
  <si>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</si>
  <si>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</si>
  <si>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</si>
  <si>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</si>
  <si>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</si>
  <si>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</si>
  <si>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</si>
  <si>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</si>
  <si>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</si>
  <si>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</si>
  <si>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</si>
  <si>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</si>
  <si>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</si>
  <si>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</si>
  <si>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</si>
  <si>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</si>
  <si>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</si>
  <si>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</si>
  <si>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</si>
  <si>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</si>
  <si>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</si>
  <si>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</si>
  <si>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</si>
  <si>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</si>
  <si>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</si>
  <si>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</si>
  <si>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</si>
  <si>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</si>
  <si>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</si>
  <si>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</si>
  <si>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</si>
  <si>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</si>
  <si>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</si>
  <si>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</si>
  <si>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</si>
  <si>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</si>
  <si>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</si>
  <si>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</si>
  <si>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</si>
  <si>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</si>
  <si>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</si>
  <si>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</si>
  <si>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</si>
  <si>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</si>
  <si>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</si>
  <si>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</si>
  <si>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</si>
  <si>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</si>
  <si>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</si>
  <si>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</si>
  <si>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</si>
  <si>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</si>
  <si>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</si>
  <si>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</si>
  <si>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</si>
  <si>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</si>
  <si>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</si>
  <si>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</si>
  <si>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</si>
  <si>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</si>
  <si>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</si>
  <si>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</si>
  <si>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</si>
  <si>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</si>
  <si>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</si>
  <si>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</si>
  <si>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</si>
  <si>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</si>
  <si>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</si>
  <si>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</si>
  <si>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</si>
  <si>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</si>
  <si>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</si>
  <si>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</si>
  <si>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</si>
  <si>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</si>
  <si>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</si>
  <si>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</si>
  <si>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</si>
  <si>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</si>
  <si>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</si>
  <si>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</si>
  <si>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</si>
  <si>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</si>
  <si>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</si>
  <si>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</si>
  <si>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</si>
  <si>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</si>
  <si>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</si>
  <si>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</si>
  <si>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</si>
  <si>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</si>
  <si>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</si>
  <si>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</si>
  <si>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</si>
  <si>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</si>
  <si>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</si>
  <si>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</si>
  <si>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</si>
  <si>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</si>
  <si>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</si>
  <si>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</si>
  <si>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</si>
  <si>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</si>
  <si>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</si>
  <si>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</si>
  <si>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华宝</t>
    <phoneticPr fontId="2" type="noConversion"/>
  </si>
  <si>
    <t>PCLU1801PE4303</t>
    <phoneticPr fontId="2" type="noConversion"/>
  </si>
  <si>
    <t>YJCSHAN1919121</t>
  </si>
  <si>
    <t>华宝</t>
    <phoneticPr fontId="2" type="noConversion"/>
  </si>
  <si>
    <t>华宝 - EFFEX</t>
  </si>
  <si>
    <t>拼4310</t>
    <phoneticPr fontId="2" type="noConversion"/>
  </si>
  <si>
    <t>shcsm191107</t>
    <phoneticPr fontId="2" type="noConversion"/>
  </si>
  <si>
    <t>拼 4310 4311</t>
    <phoneticPr fontId="2" type="noConversion"/>
  </si>
  <si>
    <t>PCLU1947HN4305</t>
    <phoneticPr fontId="2" type="noConversion"/>
  </si>
  <si>
    <t>PCLU1802PE4304</t>
    <phoneticPr fontId="2" type="noConversion"/>
  </si>
  <si>
    <t>YJCSHAN1919139</t>
  </si>
  <si>
    <t>YJCSHAN1919141</t>
  </si>
  <si>
    <t>拼4305 4306</t>
    <phoneticPr fontId="2" type="noConversion"/>
  </si>
  <si>
    <t>219JJ52-10000-37</t>
  </si>
  <si>
    <t>代收/月结</t>
    <phoneticPr fontId="2" type="noConversion"/>
  </si>
  <si>
    <t>shcsm191114</t>
    <phoneticPr fontId="2" type="noConversion"/>
  </si>
  <si>
    <t>拼 4312</t>
    <phoneticPr fontId="2" type="noConversion"/>
  </si>
  <si>
    <t>PCLU1948HN4303</t>
    <phoneticPr fontId="2" type="noConversion"/>
  </si>
  <si>
    <t>YJCSHAN1919286</t>
  </si>
  <si>
    <t>PCLU1947HN4306</t>
    <phoneticPr fontId="2" type="noConversion"/>
  </si>
  <si>
    <t>YJCSHAN1919287</t>
  </si>
  <si>
    <t>YJCSHAN1918735</t>
    <phoneticPr fontId="2" type="noConversion"/>
  </si>
  <si>
    <t>立鑫</t>
    <phoneticPr fontId="2" type="noConversion"/>
  </si>
  <si>
    <t>HSO 1811-25E-175</t>
  </si>
  <si>
    <t>HSO 1811-25E-176</t>
  </si>
  <si>
    <t>YJCSHAN1918469</t>
    <phoneticPr fontId="2" type="noConversion"/>
  </si>
  <si>
    <t>PCLU1947HN4307</t>
    <phoneticPr fontId="2" type="noConversion"/>
  </si>
  <si>
    <t>PCLU1947HN4308</t>
    <phoneticPr fontId="2" type="noConversion"/>
  </si>
  <si>
    <t>PCLU1947HN4309</t>
    <phoneticPr fontId="2" type="noConversion"/>
  </si>
  <si>
    <t>YJCSHAN1919333</t>
  </si>
  <si>
    <t>YJCSHAN1919334</t>
  </si>
  <si>
    <t>3提1919372 1919373</t>
    <phoneticPr fontId="2" type="noConversion"/>
  </si>
  <si>
    <t>PCLU1948HN4304</t>
    <phoneticPr fontId="2" type="noConversion"/>
  </si>
  <si>
    <t>PCLU1948HN4305</t>
    <phoneticPr fontId="2" type="noConversion"/>
  </si>
  <si>
    <t>YJCSHAN1919403</t>
  </si>
  <si>
    <t>YJCSHAN1919404</t>
  </si>
  <si>
    <t>拼4310 4311</t>
    <phoneticPr fontId="2" type="noConversion"/>
  </si>
  <si>
    <t>219JJ52-10000-25</t>
  </si>
  <si>
    <t>219JJ52-10000-34-38</t>
  </si>
  <si>
    <t>219JJ52-10000-35B</t>
  </si>
  <si>
    <t>12月8日</t>
  </si>
  <si>
    <t>12月15日</t>
  </si>
  <si>
    <t>219JJ52-10000-44-45</t>
  </si>
  <si>
    <t>12月18日</t>
  </si>
  <si>
    <t>HSO 1811-25E-177</t>
  </si>
  <si>
    <t>HSO 1811-25E-178</t>
  </si>
  <si>
    <t>HSO 1811-25E-179</t>
  </si>
  <si>
    <t>HSO 1811-25E-180</t>
  </si>
  <si>
    <t>HSO 1811-25E-181</t>
  </si>
  <si>
    <t>PCLU1802PE4307</t>
    <phoneticPr fontId="2" type="noConversion"/>
  </si>
  <si>
    <t>PCLU1802PE4308</t>
    <phoneticPr fontId="2" type="noConversion"/>
  </si>
  <si>
    <t>PCLU1948HN4306</t>
    <phoneticPr fontId="2" type="noConversion"/>
  </si>
  <si>
    <t>PCLU1948HN4307</t>
    <phoneticPr fontId="2" type="noConversion"/>
  </si>
  <si>
    <t>PCLU1948HN4308</t>
    <phoneticPr fontId="2" type="noConversion"/>
  </si>
  <si>
    <t>YJCSHAN1919539</t>
  </si>
  <si>
    <t>YJCSHAN1919542</t>
  </si>
  <si>
    <t>YJCSHAN1919543</t>
  </si>
  <si>
    <t>5&gt;&gt;3</t>
    <phoneticPr fontId="2" type="noConversion"/>
  </si>
  <si>
    <t>PO1910010051
PO1910010053
PO1910010055</t>
    <phoneticPr fontId="2" type="noConversion"/>
  </si>
  <si>
    <t>PO1910010057
PO1910010059</t>
    <phoneticPr fontId="2" type="noConversion"/>
  </si>
  <si>
    <t>PCLU1802PE4309</t>
    <phoneticPr fontId="2" type="noConversion"/>
  </si>
  <si>
    <t>YJCSHAN1919546</t>
  </si>
  <si>
    <t>11-2  ORDER</t>
  </si>
  <si>
    <t>PCLU1947HN4311</t>
    <phoneticPr fontId="2" type="noConversion"/>
  </si>
  <si>
    <t>YJCSHAN1919573</t>
  </si>
  <si>
    <t>1803E</t>
  </si>
  <si>
    <t>1949E</t>
  </si>
  <si>
    <t>1804E</t>
  </si>
  <si>
    <t>1950E</t>
  </si>
  <si>
    <t>1805E</t>
  </si>
  <si>
    <t>1951E</t>
  </si>
  <si>
    <t>1806E</t>
  </si>
  <si>
    <t>1952E</t>
  </si>
  <si>
    <t>PEGASUS TERA 1803E</t>
    <phoneticPr fontId="2" type="noConversion"/>
  </si>
  <si>
    <t>CHATTANOOGA 1949E</t>
    <phoneticPr fontId="2" type="noConversion"/>
  </si>
  <si>
    <t>PEGASUS TERA 1804E</t>
    <phoneticPr fontId="2" type="noConversion"/>
  </si>
  <si>
    <t>CHATTANOOGA 1950E</t>
    <phoneticPr fontId="2" type="noConversion"/>
  </si>
  <si>
    <t>PEGASUS TERA 1805E</t>
    <phoneticPr fontId="2" type="noConversion"/>
  </si>
  <si>
    <t>CHATTANOOGA 1951E</t>
    <phoneticPr fontId="2" type="noConversion"/>
  </si>
  <si>
    <t>PEGASUS TERA 1806E</t>
    <phoneticPr fontId="2" type="noConversion"/>
  </si>
  <si>
    <t>CHATTANOOGA 1952E</t>
    <phoneticPr fontId="2" type="noConversion"/>
  </si>
  <si>
    <t>PCLU1803PE430</t>
    <phoneticPr fontId="2" type="noConversion"/>
  </si>
  <si>
    <t>PCLU1949HN430</t>
    <phoneticPr fontId="2" type="noConversion"/>
  </si>
  <si>
    <t>PCLU1804PE430</t>
    <phoneticPr fontId="2" type="noConversion"/>
  </si>
  <si>
    <t>PCLU1950HN430</t>
    <phoneticPr fontId="2" type="noConversion"/>
  </si>
  <si>
    <t>PCLU1805PE430</t>
    <phoneticPr fontId="2" type="noConversion"/>
  </si>
  <si>
    <t>PCLU1806PE430</t>
    <phoneticPr fontId="2" type="noConversion"/>
  </si>
  <si>
    <t>PCLU1951HN430</t>
    <phoneticPr fontId="2" type="noConversion"/>
  </si>
  <si>
    <t>PCLU1952HN430</t>
    <phoneticPr fontId="2" type="noConversion"/>
  </si>
  <si>
    <t>PCLU1803PE4301</t>
    <phoneticPr fontId="2" type="noConversion"/>
  </si>
  <si>
    <t>拼4302</t>
    <phoneticPr fontId="2" type="noConversion"/>
  </si>
  <si>
    <t>PCLU1803PE4303</t>
    <phoneticPr fontId="2" type="noConversion"/>
  </si>
  <si>
    <t>PCLU1949HN4301</t>
    <phoneticPr fontId="2" type="noConversion"/>
  </si>
  <si>
    <t>PCLU1950HN4301</t>
    <phoneticPr fontId="2" type="noConversion"/>
  </si>
  <si>
    <t>PCLU1805PE4301</t>
    <phoneticPr fontId="2" type="noConversion"/>
  </si>
  <si>
    <t>YJCSHAN1919583</t>
  </si>
  <si>
    <t>YJCSHAN1919584</t>
  </si>
  <si>
    <t>YJCSHAN1919585</t>
  </si>
  <si>
    <t>YJCSHAN1919586</t>
  </si>
  <si>
    <t>YJCSHAN1919587</t>
  </si>
  <si>
    <t>拼4302 2提1919589</t>
    <phoneticPr fontId="2" type="noConversion"/>
  </si>
  <si>
    <t>219CABO-HS055</t>
  </si>
  <si>
    <t>PCLU1949HN4303</t>
    <phoneticPr fontId="2" type="noConversion"/>
  </si>
  <si>
    <t>PCLU1804PE4301</t>
    <phoneticPr fontId="2" type="noConversion"/>
  </si>
  <si>
    <t>219CABO-HS053/058/062</t>
  </si>
  <si>
    <t>PCLU1950HN4303</t>
    <phoneticPr fontId="2" type="noConversion"/>
  </si>
  <si>
    <t>12月11日</t>
  </si>
  <si>
    <t>PEGASUS TERA</t>
    <phoneticPr fontId="2" type="noConversion"/>
  </si>
  <si>
    <t>王燕华PEGASUS TERA</t>
    <phoneticPr fontId="2" type="noConversion"/>
  </si>
  <si>
    <t>CHATTANOOGA</t>
    <phoneticPr fontId="2" type="noConversion"/>
  </si>
  <si>
    <t>叶静CHATTANOOGA</t>
    <phoneticPr fontId="2" type="noConversion"/>
  </si>
  <si>
    <t>YJCSHAN1919332</t>
    <phoneticPr fontId="2" type="noConversion"/>
  </si>
  <si>
    <t>更改封号发两次舱单</t>
    <phoneticPr fontId="2" type="noConversion"/>
  </si>
  <si>
    <t>shcsm191122</t>
    <phoneticPr fontId="2" type="noConversion"/>
  </si>
  <si>
    <t>PCLU1948HN4309</t>
    <phoneticPr fontId="2" type="noConversion"/>
  </si>
  <si>
    <t>YJCSHAN1919742</t>
  </si>
  <si>
    <t>YJCSHAN1919743</t>
  </si>
  <si>
    <t>YJCSHAN1919744</t>
  </si>
  <si>
    <t>YJCSHAN1919745</t>
  </si>
  <si>
    <t>HSO 1811-25E-182</t>
  </si>
  <si>
    <t>HSO 1811-25E-183</t>
    <phoneticPr fontId="2" type="noConversion"/>
  </si>
  <si>
    <t>HSO 1811-25E-184</t>
  </si>
  <si>
    <t>HSO 1811-25E-185</t>
  </si>
  <si>
    <t>HSO 1811-25E-186</t>
    <phoneticPr fontId="2" type="noConversion"/>
  </si>
  <si>
    <t>HSO 1811-25E-187</t>
  </si>
  <si>
    <t>HSO 1811-25E-188</t>
  </si>
  <si>
    <t>HSO 1811-25E-189</t>
    <phoneticPr fontId="2" type="noConversion"/>
  </si>
  <si>
    <t>HSO 1811-25E-190</t>
  </si>
  <si>
    <t>HSO 1811-25E-191</t>
  </si>
  <si>
    <t>PCLU1803PE4304</t>
    <phoneticPr fontId="2" type="noConversion"/>
  </si>
  <si>
    <t>PCLU1803PE4305</t>
    <phoneticPr fontId="2" type="noConversion"/>
  </si>
  <si>
    <t>PCLU1949HN4304</t>
    <phoneticPr fontId="2" type="noConversion"/>
  </si>
  <si>
    <t>PCLU1949HN4305</t>
    <phoneticPr fontId="2" type="noConversion"/>
  </si>
  <si>
    <t>PCLU1949HN4306</t>
    <phoneticPr fontId="2" type="noConversion"/>
  </si>
  <si>
    <t>PCLU1804PE4302</t>
    <phoneticPr fontId="2" type="noConversion"/>
  </si>
  <si>
    <t>PCLU1804PE4303</t>
    <phoneticPr fontId="2" type="noConversion"/>
  </si>
  <si>
    <t>PCLU1804PE4304</t>
    <phoneticPr fontId="2" type="noConversion"/>
  </si>
  <si>
    <t>PCLU1950HN4304</t>
    <phoneticPr fontId="2" type="noConversion"/>
  </si>
  <si>
    <t>PCLU1950HN4305</t>
    <phoneticPr fontId="2" type="noConversion"/>
  </si>
  <si>
    <t>HDC(BL)</t>
    <phoneticPr fontId="2" type="noConversion"/>
  </si>
  <si>
    <t>YJCSHAN1919777</t>
  </si>
  <si>
    <t>YJCSHAN1919778</t>
  </si>
  <si>
    <t>YJCSHAN1919781</t>
  </si>
  <si>
    <t>YJCSHAN1919782</t>
  </si>
  <si>
    <t>YJCSHAN1919783</t>
  </si>
  <si>
    <t>YJCSHAN1919784</t>
  </si>
  <si>
    <t>YJCSHAN1919785</t>
  </si>
  <si>
    <t>YJCSHAN1919786</t>
  </si>
  <si>
    <t>正本</t>
    <phoneticPr fontId="2" type="noConversion"/>
  </si>
  <si>
    <t>正本要求</t>
    <phoneticPr fontId="2" type="noConversion"/>
  </si>
  <si>
    <t>YJCSHAN1919538</t>
    <phoneticPr fontId="2" type="noConversion"/>
  </si>
  <si>
    <t>汪伟萍，蒋小娟</t>
    <phoneticPr fontId="2" type="noConversion"/>
  </si>
  <si>
    <t>YJCSHAN1919791</t>
  </si>
  <si>
    <t>模板</t>
    <phoneticPr fontId="2" type="noConversion"/>
  </si>
  <si>
    <t>YJCSHAN1919792</t>
  </si>
  <si>
    <t>YJCSHAN1919793</t>
  </si>
  <si>
    <t>-</t>
    <phoneticPr fontId="2" type="noConversion"/>
  </si>
  <si>
    <t>PO1909100008</t>
  </si>
  <si>
    <t>PO1909270104
PO1909270105
PO1909270106
PO1909270107
PO1909270108</t>
    <phoneticPr fontId="2" type="noConversion"/>
  </si>
  <si>
    <t>219CABO-HS054/067</t>
  </si>
  <si>
    <t>219CABO-HS060/063</t>
  </si>
  <si>
    <t>PO.LF030</t>
  </si>
  <si>
    <t>PO.LF031</t>
  </si>
  <si>
    <t>12月22日</t>
  </si>
  <si>
    <t>核
数据</t>
    <phoneticPr fontId="2" type="noConversion"/>
  </si>
  <si>
    <t>PCLU1949HN4307</t>
    <phoneticPr fontId="2" type="noConversion"/>
  </si>
  <si>
    <t>PCLU1949HN4308</t>
    <phoneticPr fontId="2" type="noConversion"/>
  </si>
  <si>
    <t>PCLU1804PE4305</t>
    <phoneticPr fontId="2" type="noConversion"/>
  </si>
  <si>
    <t>PCLU1804PE4306</t>
    <phoneticPr fontId="2" type="noConversion"/>
  </si>
  <si>
    <t>PCLU1950HN4306</t>
    <phoneticPr fontId="2" type="noConversion"/>
  </si>
  <si>
    <t>PCLU1951HN4301</t>
    <phoneticPr fontId="2" type="noConversion"/>
  </si>
  <si>
    <t>YJCSHAN1919891</t>
  </si>
  <si>
    <t>YJCSHAN1919892</t>
  </si>
  <si>
    <t>YJCSHAN1919894</t>
  </si>
  <si>
    <t>YJCSHAN1919895</t>
  </si>
  <si>
    <t>YJCSHAN1919896</t>
  </si>
  <si>
    <t>YJCSHAN1919897</t>
  </si>
  <si>
    <t>YJCSHAN1919898</t>
  </si>
  <si>
    <t>PCLU1805PE4303</t>
    <phoneticPr fontId="2" type="noConversion"/>
  </si>
  <si>
    <t>4302不能用</t>
    <phoneticPr fontId="2" type="noConversion"/>
  </si>
  <si>
    <t>YJCSHAN1919901</t>
  </si>
  <si>
    <t>YJCSHAN1919902</t>
  </si>
  <si>
    <t>PO1910010029
PO1910010030
PO1910010035</t>
    <phoneticPr fontId="2" type="noConversion"/>
  </si>
  <si>
    <t>PCLU1804PE4307</t>
    <phoneticPr fontId="2" type="noConversion"/>
  </si>
  <si>
    <t>YJCSHAN1919920</t>
  </si>
  <si>
    <t>OK</t>
    <phoneticPr fontId="2" type="noConversion"/>
  </si>
  <si>
    <t>11月结了再放</t>
    <phoneticPr fontId="2" type="noConversion"/>
  </si>
  <si>
    <t>拼4312</t>
    <phoneticPr fontId="2" type="noConversion"/>
  </si>
  <si>
    <t>CANCEL</t>
    <phoneticPr fontId="2" type="noConversion"/>
  </si>
  <si>
    <t>PO1909270109
PO1909270110</t>
    <phoneticPr fontId="2" type="noConversion"/>
  </si>
  <si>
    <t>shcsm191129</t>
    <phoneticPr fontId="2" type="noConversion"/>
  </si>
  <si>
    <t>YJCSHAN1919920-1</t>
    <phoneticPr fontId="2" type="noConversion"/>
  </si>
  <si>
    <t>PCLU1804PE4308</t>
    <phoneticPr fontId="2" type="noConversion"/>
  </si>
  <si>
    <t>PCLU1804PE4309</t>
    <phoneticPr fontId="2" type="noConversion"/>
  </si>
  <si>
    <t>YJCSHAN1920269</t>
  </si>
  <si>
    <t>219JJ52-10000-39</t>
  </si>
  <si>
    <t>YJCSHAN1920288</t>
  </si>
  <si>
    <t>PCLU1804PE4310</t>
    <phoneticPr fontId="2" type="noConversion"/>
  </si>
  <si>
    <t>YJCSHAN1920291</t>
  </si>
  <si>
    <t>PO1910070018</t>
    <phoneticPr fontId="2" type="noConversion"/>
  </si>
  <si>
    <t>PO1910010023
PO1910010024</t>
    <phoneticPr fontId="2" type="noConversion"/>
  </si>
  <si>
    <t>等通知电放</t>
    <phoneticPr fontId="2" type="noConversion"/>
  </si>
  <si>
    <t>PCLU1805PE4304</t>
    <phoneticPr fontId="2" type="noConversion"/>
  </si>
  <si>
    <t>振华改</t>
    <phoneticPr fontId="2" type="noConversion"/>
  </si>
  <si>
    <t>YJCSHAN1919540</t>
    <phoneticPr fontId="2" type="noConversion"/>
  </si>
  <si>
    <t>PCLU1950HN4307</t>
    <phoneticPr fontId="2" type="noConversion"/>
  </si>
  <si>
    <t>拼4308</t>
    <phoneticPr fontId="2" type="noConversion"/>
  </si>
  <si>
    <t>AHL2364A</t>
    <phoneticPr fontId="2" type="noConversion"/>
  </si>
  <si>
    <t>YJCSHAN1920358</t>
  </si>
  <si>
    <t>PO1909270111
PO1909270112
PO1909270113</t>
    <phoneticPr fontId="2" type="noConversion"/>
  </si>
  <si>
    <t>顾家</t>
    <phoneticPr fontId="2" type="noConversion"/>
  </si>
  <si>
    <t>12/11 &gt;&gt; 12/18</t>
    <phoneticPr fontId="2" type="noConversion"/>
  </si>
  <si>
    <t>YJCSHAN1920269-1</t>
    <phoneticPr fontId="2" type="noConversion"/>
  </si>
  <si>
    <t>12月29日</t>
  </si>
  <si>
    <t>PCLU1805PE4305</t>
    <phoneticPr fontId="2" type="noConversion"/>
  </si>
  <si>
    <t>PCLU1952HN4301</t>
    <phoneticPr fontId="2" type="noConversion"/>
  </si>
  <si>
    <t>YJCSHAN1920379</t>
  </si>
  <si>
    <t>YJCSHAN1919776</t>
    <phoneticPr fontId="2" type="noConversion"/>
  </si>
  <si>
    <t>420/840</t>
  </si>
  <si>
    <t>420/840</t>
    <phoneticPr fontId="2" type="noConversion"/>
  </si>
  <si>
    <t>$60/120【KY】</t>
    <phoneticPr fontId="2" type="noConversion"/>
  </si>
  <si>
    <t>12/29 &gt;&gt; 1/8</t>
    <phoneticPr fontId="2" type="noConversion"/>
  </si>
  <si>
    <t>YJCSHAN1920379-1</t>
    <phoneticPr fontId="2" type="noConversion"/>
  </si>
  <si>
    <t>PO1910010052
PO1910010056</t>
    <phoneticPr fontId="2" type="noConversion"/>
  </si>
  <si>
    <t>12-1  ORDER</t>
  </si>
  <si>
    <t>PCLU1949HN4309</t>
    <phoneticPr fontId="2" type="noConversion"/>
  </si>
  <si>
    <t>YJCSHAN1920465</t>
  </si>
  <si>
    <t>PCLU1805PE4306</t>
    <phoneticPr fontId="2" type="noConversion"/>
  </si>
  <si>
    <t>(4307ANC占用)</t>
    <phoneticPr fontId="2" type="noConversion"/>
  </si>
  <si>
    <t>12/8 &gt;&gt; 12/11</t>
    <phoneticPr fontId="2" type="noConversion"/>
  </si>
  <si>
    <t>219CABO-HS055/HS059/061</t>
    <phoneticPr fontId="2" type="noConversion"/>
  </si>
  <si>
    <t>KY已确认</t>
    <phoneticPr fontId="2" type="noConversion"/>
  </si>
  <si>
    <t>2提1919742</t>
    <phoneticPr fontId="2" type="noConversion"/>
  </si>
  <si>
    <t>YJCSHAN1920518</t>
  </si>
  <si>
    <t>UE-SSEMGLOBAL-203</t>
  </si>
  <si>
    <t>PCLU1805PE4308</t>
    <phoneticPr fontId="2" type="noConversion"/>
  </si>
  <si>
    <t>YJCSHAN1920537</t>
  </si>
  <si>
    <t>PCLU1950HN4309</t>
    <phoneticPr fontId="2" type="noConversion"/>
  </si>
  <si>
    <t>1912050002</t>
    <phoneticPr fontId="2" type="noConversion"/>
  </si>
  <si>
    <t>YJCSHAN1919779</t>
    <phoneticPr fontId="2" type="noConversion"/>
  </si>
  <si>
    <t>219JJ52-10000-40-53</t>
  </si>
  <si>
    <t>219JJ52-10000-44-48</t>
  </si>
  <si>
    <t>219JJ52-10000-49B</t>
  </si>
  <si>
    <t>219JJ52-10000-62-63</t>
  </si>
  <si>
    <t>PCLU1806PE4301</t>
    <phoneticPr fontId="2" type="noConversion"/>
  </si>
  <si>
    <t>PCLU1951HN4302</t>
    <phoneticPr fontId="2" type="noConversion"/>
  </si>
  <si>
    <t>PCLU1952HN4302</t>
    <phoneticPr fontId="2" type="noConversion"/>
  </si>
  <si>
    <t>YJCSHAN1920635</t>
  </si>
  <si>
    <t>YJCSHAN1920636</t>
  </si>
  <si>
    <t>1报2提1920637</t>
    <phoneticPr fontId="2" type="noConversion"/>
  </si>
  <si>
    <t>YJCSHAN1920639</t>
  </si>
  <si>
    <t>1报2提1920640</t>
    <phoneticPr fontId="2" type="noConversion"/>
  </si>
  <si>
    <t>YJCSHAN1920641</t>
  </si>
  <si>
    <t>12月25日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</si>
</sst>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7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1" fontId="0" fillId="0" borderId="0" xfId="0" applyNumberFormat="1"/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11" fillId="0" borderId="0" xfId="0" applyFont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5" xfId="0" applyFont="1" applyBorder="1"/>
    <xf numFmtId="0" fontId="5" fillId="0" borderId="0" xfId="3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/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2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92D05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161925</xdr:colOff>
      <xdr:row>138</xdr:row>
      <xdr:rowOff>0</xdr:rowOff>
    </xdr:from>
    <xdr:to>
      <xdr:col>20</xdr:col>
      <xdr:colOff>619125</xdr:colOff>
      <xdr:row>180</xdr:row>
      <xdr:rowOff>76200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CN">
              <a:extLst>
                <a:ext uri="{FF2B5EF4-FFF2-40B4-BE49-F238E27FC236}">
                  <a16:creationId xmlns:a16="http://schemas.microsoft.com/office/drawing/2014/main" id="{51B57B4D-2437-48C8-B408-BFDC404496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706600" y="1051943"/>
              <a:ext cx="1828800" cy="300570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438150</xdr:colOff>
      <xdr:row>138</xdr:row>
      <xdr:rowOff>0</xdr:rowOff>
    </xdr:from>
    <xdr:to>
      <xdr:col>18</xdr:col>
      <xdr:colOff>95250</xdr:colOff>
      <xdr:row>180</xdr:row>
      <xdr:rowOff>95249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" name="ETD">
              <a:extLst>
                <a:ext uri="{FF2B5EF4-FFF2-40B4-BE49-F238E27FC236}">
                  <a16:creationId xmlns:a16="http://schemas.microsoft.com/office/drawing/2014/main" id="{1F722D9E-9482-4EBC-93B7-81AE4505E1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T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811125" y="1047750"/>
              <a:ext cx="1828800" cy="30289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此形状表示表切片器。此版本的 Excel 中不支持表切片器。
如果形状是在较早版本的 Excel 中修改的，或者工作簿是使用 Excel 2007 或更早版本保存的，则不能使用切片器。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48</xdr:row>
      <xdr:rowOff>9525</xdr:rowOff>
    </xdr:from>
    <xdr:to>
      <xdr:col>16</xdr:col>
      <xdr:colOff>238125</xdr:colOff>
      <xdr:row>68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5200649" y="8696325"/>
          <a:ext cx="4419601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Please kindly refer to the attached files.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HBL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MBL DRAFT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DEBIT NOTE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BK LIST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     ◆ TERMINAL SITE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delay notice of this shipment, thank you.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807.600883796295" createdVersion="6" refreshedVersion="6" minRefreshableVersion="3" recordCount="164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10-02T00:00:00" maxDate="2020-01-09T00:00:00" count="28"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  <d v="2019-12-08T00:00:00"/>
        <d v="2019-12-11T00:00:00"/>
        <d v="2019-12-15T00:00:00"/>
        <d v="2019-12-18T00:00:00"/>
        <d v="2019-12-22T00:00:00"/>
        <d v="2019-12-25T00:00:00"/>
        <d v="2019-12-29T00:00:00"/>
        <d v="2020-01-01T00:00:00"/>
        <d v="2020-01-08T00:00:00"/>
      </sharedItems>
      <fieldGroup par="13" base="0">
        <rangePr groupBy="days" startDate="2019-10-02T00:00:00" endDate="2020-01-09T00:00:00"/>
        <groupItems count="368">
          <s v="&lt;2019-10-2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0-1-9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华宝 - EFFEX"/>
        <s v="华达利 - CASAMIA"/>
        <s v="顾家 - HANSSEM"/>
        <s v="万盛 - HANSSEM"/>
        <s v="永艺 - SSEM"/>
        <s v="洲际 - CASAMIA"/>
        <s v="卡帛 - HANSSEM"/>
        <s v="雅家居 - CASAMIA"/>
        <s v="顾家 - CASAMIA"/>
        <s v="富和 - SSEM"/>
        <s v="伟誉 - CASAMIA"/>
        <s v="森川 - CASAMIA"/>
        <s v="CASAMIA - 瑞显" u="1"/>
        <s v="HANSSEM - 顾家" u="1"/>
        <s v="瑞显 - CASAMIA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非相 - CASAMIA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1"/>
    </cacheField>
    <cacheField name="40'" numFmtId="1">
      <sharedItems containsString="0" containsBlank="1" containsNumber="1" containsInteger="1" minValue="0" maxValue="7"/>
    </cacheField>
    <cacheField name="TEU" numFmtId="1">
      <sharedItems containsString="0" containsBlank="1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10-02T00:00:00" endDate="2020-01-09T00:00:00"/>
        <groupItems count="14">
          <s v="&lt;2019-10-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0-1-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4">
  <r>
    <x v="0"/>
    <s v="EFFEX"/>
    <s v="华宝"/>
    <x v="0"/>
    <s v="HUABAO"/>
    <s v="HB190601"/>
    <n v="4"/>
    <m/>
    <n v="4"/>
    <s v="YJCSHAN1915697"/>
    <s v="PCLU1794PE4400"/>
    <m/>
    <s v="OK"/>
  </r>
  <r>
    <x v="0"/>
    <s v="CASAMIA"/>
    <s v="华达利"/>
    <x v="1"/>
    <s v="HTL"/>
    <s v="PO1908140032_x000a_PO1908140033_x000a_PO1908140035"/>
    <m/>
    <n v="3"/>
    <n v="6"/>
    <s v="YJCSHAN1915774"/>
    <s v="PCLU1794PE4404"/>
    <s v="原4，套用1个到1009"/>
    <s v="OK"/>
  </r>
  <r>
    <x v="1"/>
    <s v="HANSSEM"/>
    <s v="顾家"/>
    <x v="2"/>
    <s v="KUKA"/>
    <s v="219JJ52-10000-10"/>
    <m/>
    <n v="1"/>
    <n v="2"/>
    <s v="YJCSHAN1915771"/>
    <s v="PCLU1940HN4300"/>
    <m/>
    <s v="OK"/>
  </r>
  <r>
    <x v="1"/>
    <s v="HANSSEM"/>
    <s v="顾家"/>
    <x v="2"/>
    <s v="KUKA"/>
    <s v="219JJ52-10000-15"/>
    <m/>
    <n v="1"/>
    <n v="2"/>
    <s v="YJCSHAN1916226"/>
    <s v="PCLU1940HN4310"/>
    <m/>
    <s v="OK"/>
  </r>
  <r>
    <x v="1"/>
    <s v="HANSSEM"/>
    <s v="顾家"/>
    <x v="2"/>
    <s v="KUKA"/>
    <s v="219JJ52-10000-13"/>
    <m/>
    <n v="1"/>
    <n v="2"/>
    <s v="YJCSHAN1916227"/>
    <s v="PCLU1940HN4312"/>
    <m/>
    <s v="OK"/>
  </r>
  <r>
    <x v="1"/>
    <s v="HANSSEM"/>
    <s v="万盛"/>
    <x v="3"/>
    <s v="WANSHENG"/>
    <s v="HSO 1811-25E-147"/>
    <m/>
    <n v="3"/>
    <n v="6"/>
    <s v="YJCSHAN1916055"/>
    <s v="PCLU1940HN4304"/>
    <m/>
    <s v="OK"/>
  </r>
  <r>
    <x v="1"/>
    <s v="HANSSEM"/>
    <s v="万盛"/>
    <x v="3"/>
    <s v="WANSHENG"/>
    <s v="HSO 1811-25E-148"/>
    <m/>
    <n v="1"/>
    <n v="2"/>
    <s v="YJCSHAN1916057"/>
    <s v="PCLU1940HN4306"/>
    <m/>
    <s v="OK"/>
  </r>
  <r>
    <x v="1"/>
    <s v="HANSSEM"/>
    <s v="万盛"/>
    <x v="3"/>
    <s v="WANSHENG"/>
    <s v="HSO 1811-25E-149"/>
    <m/>
    <n v="1"/>
    <n v="2"/>
    <s v="YJCSHAN1916058"/>
    <s v="PCLU1940HN4308"/>
    <m/>
    <s v="OK"/>
  </r>
  <r>
    <x v="1"/>
    <s v="SSEM"/>
    <s v="永艺"/>
    <x v="4"/>
    <s v="UE"/>
    <s v="10-1 ORDER"/>
    <m/>
    <n v="6"/>
    <n v="12"/>
    <s v="YJCSHAN1916225"/>
    <s v="PCLU1940HN4400"/>
    <s v="3HBL 并1916398/4401 1916400/4402"/>
    <s v="OK"/>
  </r>
  <r>
    <x v="1"/>
    <s v="CASAMIA"/>
    <s v="洲际"/>
    <x v="5"/>
    <s v="ZHOUJI"/>
    <s v="AHL2285"/>
    <m/>
    <n v="1"/>
    <n v="2"/>
    <s v="YJCSHAN1915776"/>
    <s v="PCLU1940HN4302"/>
    <m/>
    <s v="OK"/>
  </r>
  <r>
    <x v="2"/>
    <s v="HANSSEM"/>
    <s v="顾家"/>
    <x v="2"/>
    <s v="KUKA"/>
    <s v="219JJ52-10000-14"/>
    <m/>
    <n v="1"/>
    <n v="2"/>
    <s v="YJCSHAN1916027"/>
    <s v="PCLU1795PE4302"/>
    <m/>
    <s v="OK"/>
  </r>
  <r>
    <x v="2"/>
    <s v="CASAMIA"/>
    <s v="华达利"/>
    <x v="1"/>
    <s v="HTL"/>
    <s v="PO1908020006_x000a_PO1908140034"/>
    <m/>
    <n v="2"/>
    <n v="4"/>
    <s v="YJCSHAN1915775"/>
    <s v="PCLU1795PE4400"/>
    <s v="出2份提单 A"/>
    <s v="OK"/>
  </r>
  <r>
    <x v="2"/>
    <s v="HANSSEM"/>
    <s v="卡帛"/>
    <x v="6"/>
    <s v="CABO"/>
    <s v="219CABO-HS037/HS038"/>
    <m/>
    <n v="2"/>
    <n v="4"/>
    <s v="YJCSHAN1915768"/>
    <s v="PCLU1795PE4300"/>
    <s v="出2份提单 A"/>
    <s v="OK"/>
  </r>
  <r>
    <x v="2"/>
    <s v="HANSSEM"/>
    <s v="万盛"/>
    <x v="3"/>
    <s v="WANSHENG"/>
    <s v="HSO 1811-25E-150"/>
    <m/>
    <n v="1"/>
    <n v="2"/>
    <s v="YJCSHAN1916059"/>
    <s v="PCLU1795PE4304"/>
    <m/>
    <s v="OK"/>
  </r>
  <r>
    <x v="2"/>
    <s v="HANSSEM"/>
    <s v="万盛"/>
    <x v="3"/>
    <s v="WANSHENG"/>
    <s v="HSO 1811-25E-151"/>
    <n v="1"/>
    <m/>
    <n v="1"/>
    <s v="YJCSHAN1916060"/>
    <s v="PCLU1795PE4306"/>
    <s v="出2份提单"/>
    <s v="OK"/>
  </r>
  <r>
    <x v="2"/>
    <s v="HANSSEM"/>
    <s v="万盛"/>
    <x v="3"/>
    <s v="WANSHENG"/>
    <s v="HSO 1811-25E-156"/>
    <m/>
    <n v="1"/>
    <n v="2"/>
    <s v="YJCSHAN1916137"/>
    <s v="PCLU1795PE4308"/>
    <s v="拼4309"/>
    <s v="OK"/>
  </r>
  <r>
    <x v="2"/>
    <s v="SSEM"/>
    <s v="永艺"/>
    <x v="4"/>
    <s v="UE"/>
    <s v="8-3 ORDER "/>
    <m/>
    <n v="1"/>
    <n v="2"/>
    <s v="YJCSHAN1915928"/>
    <s v="PCLU1795PE4402"/>
    <s v="拼4403"/>
    <s v="OK"/>
  </r>
  <r>
    <x v="3"/>
    <s v="HANSSEM"/>
    <s v="顾家"/>
    <x v="2"/>
    <s v="KUKA"/>
    <s v="219JJ52-10000-12-16"/>
    <m/>
    <n v="2"/>
    <n v="4"/>
    <s v="YJCSHAN1915772"/>
    <s v="PCLU1941HN4308"/>
    <s v="拼4310 4312"/>
    <s v="OK"/>
  </r>
  <r>
    <x v="3"/>
    <s v="EFFEX"/>
    <s v="华宝"/>
    <x v="0"/>
    <s v="HUABAO"/>
    <s v="HB190601"/>
    <n v="3"/>
    <m/>
    <n v="3"/>
    <s v="YJCSHAN1916447"/>
    <s v="PCLU1941HN4316"/>
    <s v="10-02三个没上船改配"/>
    <s v="OK"/>
  </r>
  <r>
    <x v="3"/>
    <s v="CASAMIA"/>
    <s v="华达利"/>
    <x v="1"/>
    <s v="HTL"/>
    <s v="PO1908020018_x000a_PO1908020028"/>
    <m/>
    <n v="2"/>
    <n v="4"/>
    <s v="YJCSHAN1915773"/>
    <s v="PCLU1941HN4314"/>
    <s v="1002查验没上船，改配13号"/>
    <s v="OK"/>
  </r>
  <r>
    <x v="3"/>
    <s v="CASAMIA"/>
    <s v="华达利"/>
    <x v="1"/>
    <s v="HTL"/>
    <s v="PO1909100009_x000a_PO1908020012_x000a_PO1908020019_x000a_PO1908020029"/>
    <m/>
    <n v="4"/>
    <n v="8"/>
    <s v="YJCSHAN1916054"/>
    <s v="PCLU1941HN4400"/>
    <s v="出3提单A B"/>
    <s v="OK"/>
  </r>
  <r>
    <x v="3"/>
    <s v="HANSSEM"/>
    <s v="万盛"/>
    <x v="3"/>
    <s v="WANSHENG"/>
    <s v="HSO 1811-25E-152"/>
    <m/>
    <n v="1"/>
    <n v="2"/>
    <s v="YJCSHAN1916061"/>
    <s v="PCLU1941HN4300"/>
    <s v="拼4301 少一票舱单费1027 1917759代收"/>
    <s v="OK"/>
  </r>
  <r>
    <x v="3"/>
    <s v="HANSSEM"/>
    <s v="万盛"/>
    <x v="3"/>
    <s v="WANSHENG"/>
    <s v="HSO 1811-25E-152"/>
    <m/>
    <n v="1"/>
    <n v="2"/>
    <s v="YJCSHAN1916470"/>
    <s v="PCLU1941HN4303"/>
    <s v="拼4305"/>
    <s v="OK"/>
  </r>
  <r>
    <x v="3"/>
    <s v="CASAMIA"/>
    <s v="雅家居"/>
    <x v="7"/>
    <s v="YAJIAJU"/>
    <s v="shcsm190927"/>
    <m/>
    <n v="2"/>
    <n v="4"/>
    <s v="YJCSHAN1916287"/>
    <s v="PCLU1941HN4306"/>
    <s v="舱单费在20号那票里收"/>
    <s v="OK"/>
  </r>
  <r>
    <x v="4"/>
    <s v="CASAMIA"/>
    <s v="顾家"/>
    <x v="8"/>
    <s v="KUKA"/>
    <s v="PO1908020039_x000a_PO1908020041_x000a_PO1908020042_x000a_PO1908020043"/>
    <m/>
    <n v="4"/>
    <n v="8"/>
    <s v="YJCSHAN1916157"/>
    <s v="PCLU1796PE4400"/>
    <m/>
    <s v="OK"/>
  </r>
  <r>
    <x v="4"/>
    <s v="HANSSEM"/>
    <s v="卡帛"/>
    <x v="6"/>
    <s v="CABO"/>
    <s v="219CABO-HS040/HS041/HS042"/>
    <m/>
    <n v="0"/>
    <n v="0"/>
    <s v="YJCSHAN1915769"/>
    <s v="PCLU1796PE4302"/>
    <s v="改到20"/>
    <s v="OK"/>
  </r>
  <r>
    <x v="4"/>
    <s v="HANSSEM"/>
    <s v="万盛"/>
    <x v="3"/>
    <s v="WANSHENG"/>
    <s v="HSO 1811-25E-154"/>
    <m/>
    <n v="0"/>
    <n v="0"/>
    <s v="YJCSHAN1916063"/>
    <s v="PCLU1796PE4306"/>
    <s v="1个改到20号"/>
    <s v="OK"/>
  </r>
  <r>
    <x v="4"/>
    <s v="HANSSEM"/>
    <s v="万盛"/>
    <x v="3"/>
    <s v="WANSHENG"/>
    <s v="HSO 1811-25E-155"/>
    <m/>
    <n v="0"/>
    <n v="0"/>
    <s v="YJCSHAN1916064"/>
    <s v="PCLU1796PE4308"/>
    <s v="1个改到20号"/>
    <s v="OK"/>
  </r>
  <r>
    <x v="4"/>
    <s v="CASAMIA"/>
    <s v="洲际"/>
    <x v="5"/>
    <s v="ZHOUJI"/>
    <s v="AHL2332"/>
    <m/>
    <n v="1"/>
    <n v="2"/>
    <s v="YJCSHAN1916390"/>
    <s v="PCLU1796PE4402"/>
    <s v="拼4403"/>
    <s v="OK"/>
  </r>
  <r>
    <x v="5"/>
    <s v="CASAMIA"/>
    <s v="顾家"/>
    <x v="8"/>
    <s v="KUKA"/>
    <s v="PO1908020044"/>
    <m/>
    <n v="1"/>
    <n v="2"/>
    <s v="YJCSHAN1916158"/>
    <s v="PCLU1942HN4400"/>
    <m/>
    <s v="OK"/>
  </r>
  <r>
    <x v="5"/>
    <s v="EFFEX"/>
    <s v="华宝"/>
    <x v="0"/>
    <s v="HUABAO"/>
    <s v="HB190601"/>
    <n v="0"/>
    <m/>
    <n v="0"/>
    <s v="YJCSHAN1917123"/>
    <s v="KMTCSHAE473303."/>
    <s v="KMTC CHATTANOOGA 1942E 漏装至1027"/>
    <s v="OK"/>
  </r>
  <r>
    <x v="5"/>
    <s v="CASAMIA"/>
    <s v="华达利"/>
    <x v="1"/>
    <s v="HTL"/>
    <s v="PO1909230012"/>
    <m/>
    <n v="1"/>
    <n v="2"/>
    <s v="YJCSHAN1916228"/>
    <s v="KMTCSHAE441748"/>
    <s v="KMTC KMTC SHENZHEN 1910N BUSAN"/>
    <s v="OK"/>
  </r>
  <r>
    <x v="5"/>
    <s v="CASAMIA"/>
    <s v="华达利"/>
    <x v="1"/>
    <s v="HTL"/>
    <s v="PO1909100004_x000a_PO1909100013_x000a_PO1908020007_x000a_PO1908020013"/>
    <m/>
    <n v="4"/>
    <n v="8"/>
    <s v="YJCSHAN1916156"/>
    <s v="PCLU1942HN4402"/>
    <s v="2提单 1917205"/>
    <s v="OK"/>
  </r>
  <r>
    <x v="5"/>
    <s v="HANSSEM"/>
    <s v="卡帛"/>
    <x v="6"/>
    <s v="CABO"/>
    <s v="219CABO-HS039/HS040/HS041/ HS042/HS043/HS047/HS048"/>
    <m/>
    <n v="7"/>
    <n v="14"/>
    <s v="YJCSHAN1915927"/>
    <s v="PCLU1942HN4300"/>
    <s v="1报3提 1917333 1917334"/>
    <s v="OK"/>
  </r>
  <r>
    <x v="5"/>
    <s v="HANSSEM"/>
    <s v="万盛"/>
    <x v="3"/>
    <s v="WANSHENG"/>
    <s v="HSO 1811-25E-156"/>
    <m/>
    <n v="2"/>
    <n v="4"/>
    <s v="YJCSHAN1916288"/>
    <s v="PCLU1942HN4302"/>
    <m/>
    <s v="OK"/>
  </r>
  <r>
    <x v="5"/>
    <s v="HANSSEM"/>
    <s v="万盛"/>
    <x v="3"/>
    <s v="WANSHENG"/>
    <s v="HSO 1811-25E-157"/>
    <m/>
    <n v="2"/>
    <n v="4"/>
    <s v="YJCSHAN1916289"/>
    <s v="PCLU1942HN4304"/>
    <m/>
    <s v="OK"/>
  </r>
  <r>
    <x v="5"/>
    <s v="HANSSEM"/>
    <s v="万盛"/>
    <x v="3"/>
    <s v="WANSHENG"/>
    <s v="HSO 1811-25E-158"/>
    <m/>
    <n v="0"/>
    <n v="0"/>
    <s v="YJCSHAN1916290"/>
    <s v="PCLU1942HN4306"/>
    <s v="进港后退关，改27号，费用见文件"/>
    <s v="OK"/>
  </r>
  <r>
    <x v="5"/>
    <s v="HANSSEM"/>
    <s v="万盛"/>
    <x v="3"/>
    <s v="WANSHENG"/>
    <s v="HSO 1811-25E-154"/>
    <m/>
    <n v="2"/>
    <n v="4"/>
    <s v="YJCSHAN1916980"/>
    <s v="PCLU1942HN4308"/>
    <m/>
    <s v="OK"/>
  </r>
  <r>
    <x v="5"/>
    <s v="CASAMIA"/>
    <s v="雅家居"/>
    <x v="7"/>
    <s v="YAJIAJU"/>
    <s v="shcsm191012"/>
    <m/>
    <n v="2"/>
    <n v="4"/>
    <s v="YJCSHAN1916986"/>
    <s v="PCLU1942HN4312"/>
    <s v="加上13号一票舱单费"/>
    <s v="OK"/>
  </r>
  <r>
    <x v="5"/>
    <s v="CASAMIA"/>
    <s v="洲际"/>
    <x v="5"/>
    <s v="ZHOUJI"/>
    <s v="AHL2333"/>
    <m/>
    <n v="1"/>
    <n v="2"/>
    <s v="YJCSHAN1916391"/>
    <s v="PCLU1942HN4406"/>
    <s v="拼4407"/>
    <s v="OK"/>
  </r>
  <r>
    <x v="6"/>
    <s v="HANSSEM"/>
    <s v="顾家"/>
    <x v="2"/>
    <s v="KUKA"/>
    <s v="219JJ52-10000-17"/>
    <m/>
    <n v="1"/>
    <n v="2"/>
    <s v="YJCSHAN1916999"/>
    <s v="PCLU1797PE4410"/>
    <s v="2提 1917394"/>
    <s v="OK"/>
  </r>
  <r>
    <x v="6"/>
    <s v="EFFEX"/>
    <s v="华宝"/>
    <x v="0"/>
    <s v="HUABAO"/>
    <s v="HB190601"/>
    <n v="7"/>
    <m/>
    <n v="7"/>
    <s v="YJCSHAN1916979"/>
    <s v="PCLU1797PE4408"/>
    <s v="拼4409"/>
    <s v="OK"/>
  </r>
  <r>
    <x v="6"/>
    <s v="CASAMIA"/>
    <s v="华达利"/>
    <x v="1"/>
    <s v="HTL"/>
    <s v="PO1909100010_x000a_PO1908020020_x000a_PO1908020030"/>
    <m/>
    <n v="3"/>
    <n v="6"/>
    <s v="YJCSHAN1916372"/>
    <s v="PCLU1797PE4400"/>
    <s v="2提 1917389"/>
    <s v="OK"/>
  </r>
  <r>
    <x v="6"/>
    <s v="CASAMIA"/>
    <s v="华达利"/>
    <x v="1"/>
    <s v="HTL"/>
    <s v="PO1909230013_x000a_PO1909230014"/>
    <m/>
    <n v="2"/>
    <n v="4"/>
    <s v="YJCSHAN1916612"/>
    <s v="PCLU1797PE4402"/>
    <m/>
    <s v="OK"/>
  </r>
  <r>
    <x v="6"/>
    <s v="HANSSEM"/>
    <s v="万盛"/>
    <x v="3"/>
    <s v="WANSHENG"/>
    <s v="HSO 1811-25E-159"/>
    <m/>
    <n v="2"/>
    <n v="4"/>
    <s v="YJCSHAN1916614"/>
    <s v="PCLU1797PE4406"/>
    <m/>
    <s v="OK"/>
  </r>
  <r>
    <x v="6"/>
    <s v="SSEM"/>
    <s v="永艺"/>
    <x v="4"/>
    <s v="UE"/>
    <s v="10-2  ORDER"/>
    <m/>
    <n v="2"/>
    <n v="4"/>
    <s v="YJCSHAN1917125"/>
    <s v="PCLU1797PE4412"/>
    <m/>
    <s v="OK"/>
  </r>
  <r>
    <x v="7"/>
    <s v="HANSSEM"/>
    <s v="顾家"/>
    <x v="2"/>
    <s v="KUKA"/>
    <s v="219JJ52-10000-20"/>
    <m/>
    <n v="2"/>
    <n v="4"/>
    <s v="YJCSHAN1916616"/>
    <s v="PCLU1943HN4302"/>
    <m/>
    <s v="OK"/>
  </r>
  <r>
    <x v="7"/>
    <s v="EFFEX"/>
    <s v="华宝"/>
    <x v="0"/>
    <s v="HUABAO"/>
    <s v="HB190601"/>
    <n v="3"/>
    <m/>
    <n v="3"/>
    <s v="YJCSHAN1917123"/>
    <s v="KMTCSHAE473303"/>
    <s v="1020漏装  SUNNY CALLA 1943N"/>
    <s v="OK"/>
  </r>
  <r>
    <x v="7"/>
    <s v="EFFEX"/>
    <s v="华宝"/>
    <x v="0"/>
    <s v="HUABAO"/>
    <s v="HB190601"/>
    <n v="10"/>
    <m/>
    <n v="10"/>
    <s v="YJCSHAN1917392"/>
    <s v="PCLU1943HN4310"/>
    <s v="拼4311 4313"/>
    <s v="OK"/>
  </r>
  <r>
    <x v="7"/>
    <s v="CASAMIA"/>
    <s v="华达利"/>
    <x v="1"/>
    <s v="HTL"/>
    <s v="PO1908020021_x000a_PO1908020031"/>
    <m/>
    <n v="2"/>
    <n v="4"/>
    <s v="YJCSHAN1916615"/>
    <s v="PCLU1943HN4300"/>
    <m/>
    <s v="OK"/>
  </r>
  <r>
    <x v="7"/>
    <s v="HANSSEM"/>
    <s v="万盛"/>
    <x v="3"/>
    <s v="WANSHENG"/>
    <s v="HSO 1811-25E-160"/>
    <m/>
    <n v="2"/>
    <n v="4"/>
    <s v="YJCSHAN1916981"/>
    <s v="PCLU1943HN4304"/>
    <m/>
    <s v="OK"/>
  </r>
  <r>
    <x v="7"/>
    <s v="HANSSEM"/>
    <s v="万盛"/>
    <x v="3"/>
    <s v="WANSHENG"/>
    <s v="HSO 1811-25E-161"/>
    <m/>
    <n v="1"/>
    <n v="2"/>
    <s v="YJCSHAN1916983"/>
    <s v="PCLU1943HN4306"/>
    <m/>
    <s v="OK"/>
  </r>
  <r>
    <x v="7"/>
    <s v="HANSSEM"/>
    <s v="万盛"/>
    <x v="3"/>
    <s v="WANSHENG"/>
    <s v="HSO 1811-25E-158"/>
    <m/>
    <n v="1"/>
    <n v="2"/>
    <s v="YJCSHAN1917759"/>
    <s v="PCLU1943HN4316"/>
    <s v="1020退关改1027 查验改封号 代收1113 1916061一票舱单费"/>
    <s v="OK"/>
  </r>
  <r>
    <x v="7"/>
    <s v="SSEM"/>
    <s v="永艺"/>
    <x v="4"/>
    <s v="UE"/>
    <s v="10-2  ORDER"/>
    <m/>
    <n v="0"/>
    <n v="0"/>
    <s v="YJCSHAN1916290"/>
    <s v="PCLU1943HN4308"/>
    <s v="27改23"/>
    <s v="OK"/>
  </r>
  <r>
    <x v="7"/>
    <s v="SSEM"/>
    <s v="永艺"/>
    <x v="4"/>
    <s v="UE"/>
    <s v="10-3  ORDER"/>
    <m/>
    <n v="4"/>
    <n v="8"/>
    <s v="YJCSHAN1917663"/>
    <s v="PCLU1943HN4312"/>
    <s v="拼1917782/4314 1917781/4315 3提"/>
    <s v="OK"/>
  </r>
  <r>
    <x v="8"/>
    <s v="HANSSEM"/>
    <s v="顾家"/>
    <x v="2"/>
    <s v="KUKA"/>
    <s v="219JJ52-10000-18"/>
    <m/>
    <n v="1"/>
    <n v="2"/>
    <s v="YJCSHAN1916977"/>
    <s v="PCLU1798PE4302"/>
    <m/>
    <s v="OK"/>
  </r>
  <r>
    <x v="8"/>
    <s v="EFFEX"/>
    <s v="华宝"/>
    <x v="0"/>
    <s v="HUABAO"/>
    <s v="HB190601"/>
    <n v="8"/>
    <m/>
    <n v="8"/>
    <s v="YJCSHAN1917393"/>
    <s v="PCLU1798PE4310"/>
    <s v="拼4311"/>
    <s v="OK"/>
  </r>
  <r>
    <x v="8"/>
    <s v="CASAMIA"/>
    <s v="华达利"/>
    <x v="1"/>
    <s v="HTL"/>
    <s v="PO1909230015_x000a_PO1909230016_x000a_PO1909230017"/>
    <m/>
    <n v="3"/>
    <n v="6"/>
    <s v="YJCSHAN1916617"/>
    <s v="PCLU1798PE4300"/>
    <s v="拼4301 4303"/>
    <s v="OK"/>
  </r>
  <r>
    <x v="8"/>
    <s v="HANSSEM"/>
    <s v="万盛"/>
    <x v="3"/>
    <s v="WANSHENG"/>
    <s v="HSO 1811-25E-162"/>
    <m/>
    <n v="1"/>
    <n v="2"/>
    <s v="YJCSHAN1916984"/>
    <s v="PCLU1798PE4304"/>
    <m/>
    <s v="OK"/>
  </r>
  <r>
    <x v="8"/>
    <s v="CASAMIA"/>
    <s v="雅家居"/>
    <x v="7"/>
    <s v="YAJIAJU"/>
    <s v="shcsm191018"/>
    <m/>
    <n v="2"/>
    <n v="4"/>
    <s v="YJCSHAN1917391"/>
    <s v="PCLU1798PE4308"/>
    <m/>
    <s v="OK"/>
  </r>
  <r>
    <x v="8"/>
    <s v="CASAMIA"/>
    <s v="洲际"/>
    <x v="5"/>
    <s v="ZHOUJI"/>
    <s v="AHL2286"/>
    <m/>
    <n v="1"/>
    <n v="2"/>
    <s v="YJCSHAN1917277"/>
    <s v="PCLU1798PE4306"/>
    <m/>
    <s v="OK"/>
  </r>
  <r>
    <x v="9"/>
    <s v="SSEM"/>
    <s v="富和"/>
    <x v="9"/>
    <s v="FUHE"/>
    <s v="PO.LF029"/>
    <m/>
    <n v="1"/>
    <n v="2"/>
    <s v="YJCSHAN1917907"/>
    <s v="PCLU1944HN4306"/>
    <m/>
    <s v="OK"/>
  </r>
  <r>
    <x v="9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9"/>
    <s v="CASAMIA"/>
    <s v="华达利"/>
    <x v="1"/>
    <s v="HTL"/>
    <s v="PO1909100005_x000a_PO1909100011"/>
    <m/>
    <n v="2"/>
    <n v="4"/>
    <s v="YJCSHAN1917708"/>
    <s v="PCLU1944HN4302"/>
    <s v="拼4303 4309 两提1918221"/>
    <s v="OK"/>
  </r>
  <r>
    <x v="9"/>
    <s v="HANSSEM"/>
    <s v="万盛"/>
    <x v="3"/>
    <s v="WANSHENG"/>
    <s v="HSO 1811-25E-164"/>
    <m/>
    <n v="1"/>
    <n v="2"/>
    <s v="YJCSHAN1917906"/>
    <s v="PCLU1944HN4308"/>
    <m/>
    <s v="OK"/>
  </r>
  <r>
    <x v="10"/>
    <s v="HANSSEM"/>
    <s v="顾家"/>
    <x v="2"/>
    <s v="KUKA"/>
    <s v="219JJ52-10000-29"/>
    <m/>
    <n v="1"/>
    <n v="2"/>
    <s v="YJCSHAN1917763"/>
    <s v="PCLU1799PE4304"/>
    <s v="拼4305"/>
    <s v="OK"/>
  </r>
  <r>
    <x v="10"/>
    <s v="HANSSEM"/>
    <s v="万盛"/>
    <x v="3"/>
    <s v="WANSHENG"/>
    <s v="HSO 1811-25E-165"/>
    <m/>
    <n v="2"/>
    <n v="4"/>
    <s v="YJCSHAN1918144"/>
    <s v="PCLU1799PE4301"/>
    <m/>
    <s v="OK"/>
  </r>
  <r>
    <x v="10"/>
    <s v="SSEM"/>
    <s v="永艺"/>
    <x v="4"/>
    <s v="UE"/>
    <s v="UE-SSEMGLOBAL-201"/>
    <n v="1"/>
    <m/>
    <n v="1"/>
    <s v="YJCSHAN1917714"/>
    <s v="PCLU1799PE4302"/>
    <s v="拼4303"/>
    <s v="OK"/>
  </r>
  <r>
    <x v="11"/>
    <s v="HANSSEM"/>
    <s v="顾家"/>
    <x v="2"/>
    <s v="KUKA"/>
    <s v="219JJ52-10000-23B"/>
    <m/>
    <n v="3"/>
    <n v="6"/>
    <s v="YJCSHAN1918456"/>
    <s v="PCLU1945HN4303"/>
    <m/>
    <s v="OK"/>
  </r>
  <r>
    <x v="11"/>
    <s v="HANSSEM"/>
    <s v="卡帛"/>
    <x v="6"/>
    <s v="CABO"/>
    <s v="219CABO-HS049"/>
    <m/>
    <n v="1"/>
    <n v="2"/>
    <s v="YJCSHAN1917711"/>
    <s v="PCLU1945HN4302"/>
    <m/>
    <s v="OK"/>
  </r>
  <r>
    <x v="11"/>
    <s v="HANSSEM"/>
    <s v="万盛"/>
    <x v="3"/>
    <s v="WANSHENG"/>
    <s v="HSO 1811-25E-174"/>
    <m/>
    <n v="1"/>
    <n v="2"/>
    <s v="YJCSHAN1918591"/>
    <s v="PCLU1945HN4305"/>
    <m/>
    <s v="OK"/>
  </r>
  <r>
    <x v="11"/>
    <s v="CASAMIA"/>
    <s v="伟誉"/>
    <x v="10"/>
    <s v="WEIYU"/>
    <s v="AHL2330"/>
    <m/>
    <n v="1"/>
    <n v="2"/>
    <s v="YJCSHAN1917713"/>
    <s v="PCLU1945HN4304"/>
    <s v="1117改1110"/>
    <s v="OK"/>
  </r>
  <r>
    <x v="11"/>
    <s v="CASAMIA"/>
    <s v="雅家居"/>
    <x v="7"/>
    <s v="YAJIAJU"/>
    <s v="shcsm191029"/>
    <m/>
    <n v="2"/>
    <n v="4"/>
    <s v="YJCSHAN1918145"/>
    <s v="PCLU1945HN4301"/>
    <m/>
    <s v="OK"/>
  </r>
  <r>
    <x v="12"/>
    <s v="HANSSEM"/>
    <s v="顾家"/>
    <x v="2"/>
    <s v="KUKA"/>
    <s v="219JJ52-10000-33B"/>
    <m/>
    <n v="2"/>
    <n v="4"/>
    <s v="YJCSHAN1917764"/>
    <s v="PCLU1800PE4304"/>
    <s v="拼4305 两提1918460"/>
    <s v="OK"/>
  </r>
  <r>
    <x v="12"/>
    <s v="HANSSEM"/>
    <s v="万盛"/>
    <x v="3"/>
    <s v="WANSHENG"/>
    <s v="HSO 1811-25E-168"/>
    <m/>
    <n v="1"/>
    <n v="2"/>
    <s v="YJCSHAN1918462"/>
    <s v="PCLU1800PE4301"/>
    <s v="拼4306"/>
    <s v="OK"/>
  </r>
  <r>
    <x v="12"/>
    <s v="HANSSEM"/>
    <s v="万盛"/>
    <x v="3"/>
    <s v="WANSHENG"/>
    <s v="HSO 1811-25E-166"/>
    <m/>
    <n v="1"/>
    <n v="2"/>
    <s v="YJCSHAN1918465"/>
    <s v="PCLU1800PE4307"/>
    <m/>
    <s v="OK"/>
  </r>
  <r>
    <x v="12"/>
    <s v="HANSSEM"/>
    <s v="万盛"/>
    <x v="3"/>
    <s v="WANSHENG"/>
    <s v="HSO 1811-25E-167"/>
    <m/>
    <n v="0"/>
    <n v="0"/>
    <s v="YJCSHAN1918464"/>
    <s v="PCLU1800PE4308"/>
    <s v="取消"/>
    <s v="OK"/>
  </r>
  <r>
    <x v="12"/>
    <s v="CASAMIA"/>
    <s v="伟誉"/>
    <x v="10"/>
    <s v="WEIYU"/>
    <m/>
    <m/>
    <n v="0"/>
    <n v="0"/>
    <m/>
    <s v="PCLU1800PE4302"/>
    <s v="1113改1117"/>
    <s v="OK"/>
  </r>
  <r>
    <x v="13"/>
    <s v="HANSSEM"/>
    <s v="顾家"/>
    <x v="2"/>
    <s v="KUKA"/>
    <s v="219JJ52-10000-28"/>
    <m/>
    <n v="1"/>
    <n v="2"/>
    <s v="YJCSHAN1918530"/>
    <s v="PCLU1946HN4301"/>
    <m/>
    <s v="OK"/>
  </r>
  <r>
    <x v="13"/>
    <s v="CASAMIA"/>
    <s v="华达利"/>
    <x v="1"/>
    <s v="HTL"/>
    <s v="PO1909100006_x000a_PO1909100012"/>
    <m/>
    <n v="2"/>
    <n v="4"/>
    <s v="YJCSHAN1917908"/>
    <s v="PCLU1946HN4304"/>
    <m/>
    <s v="OK"/>
  </r>
  <r>
    <x v="13"/>
    <s v="CASAMIA"/>
    <s v="森川"/>
    <x v="11"/>
    <s v="SENCHUAN"/>
    <s v="PO190070016(I191005)_x000a_PO1910070017(I191006)"/>
    <m/>
    <n v="0"/>
    <n v="0"/>
    <s v="YJCSHAN1918538"/>
    <s v="PCLU1946HN4303"/>
    <s v="宁波做"/>
    <s v="OK"/>
  </r>
  <r>
    <x v="13"/>
    <s v="HANSSEM"/>
    <s v="万盛"/>
    <x v="3"/>
    <s v="WANSHENG"/>
    <s v="HSO 1811-25E-169"/>
    <m/>
    <n v="2"/>
    <n v="4"/>
    <s v="YJCSHAN1918466"/>
    <s v="PCLU1946HN4305"/>
    <m/>
    <s v="OK"/>
  </r>
  <r>
    <x v="13"/>
    <s v="HANSSEM"/>
    <s v="万盛"/>
    <x v="3"/>
    <s v="WANSHENG"/>
    <s v="HSO 1811-25E-170"/>
    <m/>
    <n v="1"/>
    <n v="2"/>
    <s v="YJCSHAN1918468"/>
    <s v="PCLU1946HN4306"/>
    <m/>
    <s v="OK"/>
  </r>
  <r>
    <x v="13"/>
    <s v="HANSSEM"/>
    <s v="万盛"/>
    <x v="3"/>
    <s v="WANSHENG"/>
    <m/>
    <m/>
    <n v="1"/>
    <n v="2"/>
    <s v="YJCSHAN1918734"/>
    <s v="PCLU1946HN4308"/>
    <s v="拼4310"/>
    <s v="OK"/>
  </r>
  <r>
    <x v="13"/>
    <s v="HANSSEM"/>
    <s v="万盛"/>
    <x v="3"/>
    <s v="WANSHENG"/>
    <m/>
    <m/>
    <n v="1"/>
    <n v="2"/>
    <s v="YJCSHAN1918735"/>
    <s v="PCLU1946HN4309"/>
    <m/>
    <s v="OK"/>
  </r>
  <r>
    <x v="13"/>
    <s v="CASAMIA"/>
    <s v="伟誉"/>
    <x v="10"/>
    <s v="WEIYU"/>
    <s v="AHL2330"/>
    <m/>
    <n v="0"/>
    <n v="0"/>
    <s v="YJCSHAN1917713."/>
    <s v="PCLU1946HN4302"/>
    <s v="1113改1117 1117改1110"/>
    <s v="OK"/>
  </r>
  <r>
    <x v="13"/>
    <s v="CASAMIA"/>
    <s v="雅家居"/>
    <x v="7"/>
    <s v="YAJIAJU"/>
    <s v="shcsm191107"/>
    <m/>
    <n v="1"/>
    <n v="2"/>
    <s v="YJCSHAN1918678"/>
    <s v="PCLU1946HN4307"/>
    <m/>
    <s v="OK"/>
  </r>
  <r>
    <x v="14"/>
    <s v="HANSSEM"/>
    <s v="顾家"/>
    <x v="2"/>
    <s v="KUKA"/>
    <s v="219JJ52-10000-26"/>
    <m/>
    <n v="1"/>
    <n v="2"/>
    <s v="YJCSHAN1918457"/>
    <s v="PCLU1801PE4306"/>
    <m/>
    <s v="OK"/>
  </r>
  <r>
    <x v="14"/>
    <s v="EFFEX"/>
    <s v="华宝"/>
    <x v="0"/>
    <s v="HUABAO"/>
    <s v="HB190601"/>
    <n v="10"/>
    <m/>
    <n v="10"/>
    <s v="YJCSHAN1919121"/>
    <s v="PCLU1801PE4303"/>
    <s v="拼 4310 4311"/>
    <s v="OK"/>
  </r>
  <r>
    <x v="14"/>
    <s v="HANSSEM"/>
    <s v="卡帛"/>
    <x v="6"/>
    <s v="CABO"/>
    <s v="219CABO-HS050/HS052/HS057"/>
    <m/>
    <n v="3"/>
    <n v="6"/>
    <s v="YJCSHAN1917712"/>
    <s v="PCLU1801PE4302"/>
    <s v="3提1919372 1919373"/>
    <s v="OK"/>
  </r>
  <r>
    <x v="14"/>
    <s v="HANSSEM"/>
    <s v="万盛"/>
    <x v="3"/>
    <s v="WANSHENG"/>
    <m/>
    <m/>
    <n v="1"/>
    <n v="2"/>
    <s v="YJCSHAN1918736"/>
    <s v="PCLU1801PE4301"/>
    <m/>
    <s v="OK"/>
  </r>
  <r>
    <x v="14"/>
    <s v="HANSSEM"/>
    <s v="万盛"/>
    <x v="3"/>
    <s v="WANSHENG"/>
    <s v="HSO 1811-25E-171"/>
    <m/>
    <n v="2"/>
    <n v="4"/>
    <s v="YJCSHAN1918469"/>
    <s v="PCLU1801PE4304"/>
    <m/>
    <s v="OK"/>
  </r>
  <r>
    <x v="14"/>
    <s v="HANSSEM"/>
    <s v="万盛"/>
    <x v="3"/>
    <s v="WANSHENG"/>
    <s v="HSO 1811-25E-172"/>
    <m/>
    <n v="1"/>
    <n v="2"/>
    <s v="YJCSHAN1918470"/>
    <s v="PCLU1801PE4305"/>
    <s v="拼 4312"/>
    <s v="OK"/>
  </r>
  <r>
    <x v="14"/>
    <s v="SSEM"/>
    <s v="永艺"/>
    <x v="4"/>
    <s v="UE"/>
    <s v="11-1  ORDER"/>
    <m/>
    <n v="2"/>
    <n v="4"/>
    <s v="YJCSHAN1918898"/>
    <s v="PCLU1801PE4309"/>
    <m/>
    <s v="OK"/>
  </r>
  <r>
    <x v="14"/>
    <s v="CASAMIA"/>
    <s v="洲际"/>
    <x v="5"/>
    <s v="ZHOUJI"/>
    <s v="AHL2342A"/>
    <m/>
    <n v="1"/>
    <n v="2"/>
    <s v="YJCSHAN1918840"/>
    <s v="PCLU1801PE4307"/>
    <s v="拼 4308"/>
    <s v="OK"/>
  </r>
  <r>
    <x v="15"/>
    <s v="CASAMIA"/>
    <s v="顾家"/>
    <x v="8"/>
    <s v="KUKA"/>
    <s v="PO1909090031_x000a_PO1909090032"/>
    <m/>
    <n v="0"/>
    <n v="0"/>
    <s v="YJCSHAN1918167"/>
    <s v="PCLU1947HN4301"/>
    <s v="改到27日"/>
    <s v="OK"/>
  </r>
  <r>
    <x v="15"/>
    <s v="HANSSEM"/>
    <s v="顾家"/>
    <x v="2"/>
    <s v="KUKA"/>
    <s v="219JJ52-10000-36-31"/>
    <m/>
    <n v="2"/>
    <n v="4"/>
    <s v="YJCSHAN1918458"/>
    <s v="PCLU1947HN4304"/>
    <s v="更改封号发两次舱单"/>
    <s v="OK"/>
  </r>
  <r>
    <x v="15"/>
    <s v="EFFEX"/>
    <s v="华宝"/>
    <x v="0"/>
    <s v="HUABAO"/>
    <s v="HB190601"/>
    <n v="1"/>
    <m/>
    <n v="1"/>
    <s v="YJCSHAN1919139"/>
    <s v="PCLU1947HN4305"/>
    <m/>
    <s v="OK"/>
  </r>
  <r>
    <x v="15"/>
    <s v="CASAMIA"/>
    <s v="华达利"/>
    <x v="1"/>
    <s v="HTL"/>
    <s v="PO1910010051_x000a_PO1910010053_x000a_PO1910010055"/>
    <m/>
    <n v="3"/>
    <n v="6"/>
    <s v="YJCSHAN1918250"/>
    <s v="PCLU1947HN4302"/>
    <s v="5&gt;&gt;3"/>
    <s v="OK"/>
  </r>
  <r>
    <x v="15"/>
    <s v="HANSSEM"/>
    <s v="卡帛"/>
    <x v="6"/>
    <s v="CABO"/>
    <s v="219CABO-HS051"/>
    <m/>
    <n v="1"/>
    <n v="2"/>
    <s v="YJCSHAN1918461"/>
    <s v="PCLU1947HN4303"/>
    <m/>
    <s v="OK"/>
  </r>
  <r>
    <x v="15"/>
    <s v="HANSSEM"/>
    <s v="万盛"/>
    <x v="3"/>
    <s v="WANSHENG"/>
    <s v="HSO 1811-25E-174"/>
    <m/>
    <n v="2"/>
    <n v="4"/>
    <s v="YJCSHAN1919332"/>
    <s v="PCLU1947HN4307"/>
    <m/>
    <s v="OK"/>
  </r>
  <r>
    <x v="15"/>
    <s v="HANSSEM"/>
    <s v="万盛"/>
    <x v="3"/>
    <s v="WANSHENG"/>
    <s v="HSO 1811-25E-175"/>
    <m/>
    <n v="1"/>
    <n v="2"/>
    <s v="YJCSHAN1919333"/>
    <s v="PCLU1947HN4308"/>
    <s v="拼4310"/>
    <s v="OK"/>
  </r>
  <r>
    <x v="15"/>
    <s v="HANSSEM"/>
    <s v="万盛"/>
    <x v="3"/>
    <s v="WANSHENG"/>
    <s v="HSO 1811-25E-176"/>
    <m/>
    <n v="1"/>
    <n v="2"/>
    <s v="YJCSHAN1919334"/>
    <s v="PCLU1947HN4309"/>
    <m/>
    <s v="OK"/>
  </r>
  <r>
    <x v="15"/>
    <s v="CASAMIA"/>
    <s v="雅家居"/>
    <x v="7"/>
    <s v="YAJIAJU"/>
    <s v="shcsm191114"/>
    <m/>
    <n v="1"/>
    <n v="2"/>
    <s v="YJCSHAN1919287"/>
    <s v="PCLU1947HN4306"/>
    <m/>
    <s v="OK"/>
  </r>
  <r>
    <x v="15"/>
    <s v="SSEM"/>
    <s v="永艺"/>
    <x v="4"/>
    <s v="UE"/>
    <s v="11-2  ORDER"/>
    <m/>
    <n v="1"/>
    <n v="2"/>
    <s v="YJCSHAN1919573"/>
    <s v="PCLU1947HN4311"/>
    <m/>
    <s v="OK"/>
  </r>
  <r>
    <x v="16"/>
    <s v="HANSSEM"/>
    <s v="顾家"/>
    <x v="2"/>
    <s v="KUKA"/>
    <s v="219JJ52-10000-27"/>
    <m/>
    <n v="2"/>
    <n v="4"/>
    <s v="YJCSHAN1918459"/>
    <s v="PCLU1802PE4302"/>
    <m/>
    <s v="OK"/>
  </r>
  <r>
    <x v="16"/>
    <s v="CASAMIA"/>
    <s v="顾家"/>
    <x v="8"/>
    <s v="KUKA"/>
    <s v="PO1909090031_x000a_PO1909090032"/>
    <m/>
    <n v="2"/>
    <n v="4"/>
    <s v="YJCSHAN1918167-1"/>
    <s v="PCLU1802PE4303"/>
    <m/>
    <s v="OK"/>
  </r>
  <r>
    <x v="16"/>
    <s v="EFFEX"/>
    <s v="华宝"/>
    <x v="0"/>
    <s v="HUABAO"/>
    <s v="HB190601"/>
    <n v="11"/>
    <m/>
    <n v="11"/>
    <s v="YJCSHAN1919141"/>
    <s v="PCLU1802PE4304"/>
    <s v="拼4305 4306"/>
    <s v="OK"/>
  </r>
  <r>
    <x v="16"/>
    <s v="CASAMIA"/>
    <s v="华达利"/>
    <x v="1"/>
    <s v="HTL"/>
    <s v="PO1910010057_x000a_PO1910010059"/>
    <m/>
    <n v="2"/>
    <n v="4"/>
    <s v="YJCSHAN1919546"/>
    <s v="PCLU1802PE4309"/>
    <m/>
    <s v="OK"/>
  </r>
  <r>
    <x v="16"/>
    <s v="HANSSEM"/>
    <s v="卡帛"/>
    <x v="6"/>
    <s v="CABO"/>
    <s v="219CABO-HS056"/>
    <m/>
    <n v="1"/>
    <n v="2"/>
    <s v="YJCSHAN1918297"/>
    <s v="PCLU1802PE4301"/>
    <m/>
    <s v="OK"/>
  </r>
  <r>
    <x v="16"/>
    <s v="HANSSEM"/>
    <s v="万盛"/>
    <x v="3"/>
    <s v="WANSHENG"/>
    <s v="HSO 1811-25E-177"/>
    <m/>
    <n v="3"/>
    <n v="6"/>
    <s v="YJCSHAN1919538"/>
    <s v="PCLU1802PE4307"/>
    <m/>
    <s v="OK"/>
  </r>
  <r>
    <x v="16"/>
    <s v="HANSSEM"/>
    <s v="万盛"/>
    <x v="3"/>
    <s v="WANSHENG"/>
    <s v="HSO 1811-25E-178"/>
    <m/>
    <n v="1"/>
    <n v="2"/>
    <s v="YJCSHAN1919539"/>
    <s v="PCLU1802PE4308"/>
    <m/>
    <s v="OK"/>
  </r>
  <r>
    <x v="17"/>
    <s v="HANSSEM"/>
    <s v="顾家"/>
    <x v="2"/>
    <s v="KUKA"/>
    <s v="219JJ52-10000-37"/>
    <m/>
    <n v="2"/>
    <n v="4"/>
    <s v="YJCSHAN1919286"/>
    <s v="PCLU1948HN4303"/>
    <m/>
    <s v="OK"/>
  </r>
  <r>
    <x v="17"/>
    <s v="EFFEX"/>
    <s v="华宝"/>
    <x v="0"/>
    <s v="HUABAO"/>
    <s v="HB190601"/>
    <n v="10"/>
    <m/>
    <n v="10"/>
    <s v="YJCSHAN1919404"/>
    <s v="PCLU1948HN4305"/>
    <s v="拼4310 4311"/>
    <s v="OK"/>
  </r>
  <r>
    <x v="17"/>
    <s v="CASAMIA"/>
    <s v="华达利"/>
    <x v="1"/>
    <s v="HTL"/>
    <s v="PO1910010056_x000a_PO1910010058_x000a_PO1910010060"/>
    <m/>
    <n v="0"/>
    <n v="0"/>
    <s v="YJCSHAN1919022"/>
    <s v="PCLU1948HN4301"/>
    <s v="CANCEL"/>
    <s v="OK"/>
  </r>
  <r>
    <x v="17"/>
    <s v="CASAMIA"/>
    <s v="华达利"/>
    <x v="1"/>
    <s v="HTL"/>
    <s v="PO1909100008_x000a_PO1910010052_x000a_PO1910010054"/>
    <m/>
    <n v="0"/>
    <n v="0"/>
    <s v="YJCSHAN1919023"/>
    <s v="PCLU1948HN4302"/>
    <s v="CANCEL"/>
    <s v="OK"/>
  </r>
  <r>
    <x v="17"/>
    <s v="HANSSEM"/>
    <s v="万盛"/>
    <x v="3"/>
    <s v="WANSHENG"/>
    <s v="HSO 1811-25E-179"/>
    <m/>
    <n v="2"/>
    <n v="4"/>
    <s v="YJCSHAN1919540"/>
    <s v="PCLU1948HN4306"/>
    <m/>
    <s v="OK"/>
  </r>
  <r>
    <x v="17"/>
    <s v="HANSSEM"/>
    <s v="万盛"/>
    <x v="3"/>
    <s v="WANSHENG"/>
    <s v="HSO 1811-25E-180"/>
    <m/>
    <n v="1"/>
    <n v="2"/>
    <s v="YJCSHAN1919542"/>
    <s v="PCLU1948HN4307"/>
    <s v="拼4312"/>
    <s v="OK"/>
  </r>
  <r>
    <x v="17"/>
    <s v="HANSSEM"/>
    <s v="万盛"/>
    <x v="3"/>
    <s v="WANSHENG"/>
    <s v="HSO 1811-25E-181"/>
    <m/>
    <n v="1"/>
    <n v="2"/>
    <s v="YJCSHAN1919543"/>
    <s v="PCLU1948HN4308"/>
    <m/>
    <s v="OK"/>
  </r>
  <r>
    <x v="17"/>
    <s v="CASAMIA"/>
    <s v="雅家居"/>
    <x v="7"/>
    <s v="YAJIAJU"/>
    <s v="shcsm191122"/>
    <m/>
    <n v="2"/>
    <n v="4"/>
    <s v="YJCSHAN1919745"/>
    <s v="PCLU1948HN4309"/>
    <m/>
    <s v="OK"/>
  </r>
  <r>
    <x v="17"/>
    <s v="SSEM"/>
    <s v="永艺"/>
    <x v="4"/>
    <s v="UE"/>
    <m/>
    <m/>
    <n v="1"/>
    <n v="2"/>
    <s v="YJCSHAN1919403"/>
    <s v="PCLU1948HN4304"/>
    <m/>
    <s v="OK"/>
  </r>
  <r>
    <x v="18"/>
    <s v="HANSSEM"/>
    <s v="顾家"/>
    <x v="2"/>
    <s v="KUKA"/>
    <s v="219JJ52-10000-25"/>
    <m/>
    <n v="1"/>
    <n v="2"/>
    <s v="YJCSHAN1919583"/>
    <s v="PCLU1803PE4303"/>
    <m/>
    <s v="OK"/>
  </r>
  <r>
    <x v="18"/>
    <s v="HANSSEM"/>
    <s v="万盛"/>
    <x v="3"/>
    <s v="WANSHENG"/>
    <s v="HSO 1811-25E-182"/>
    <m/>
    <n v="3"/>
    <n v="6"/>
    <s v="YJCSHAN1919776"/>
    <s v="PCLU1803PE4304"/>
    <m/>
    <s v="OK"/>
  </r>
  <r>
    <x v="18"/>
    <s v="HANSSEM"/>
    <s v="万盛"/>
    <x v="3"/>
    <s v="WANSHENG"/>
    <s v="HSO 1811-25E-183"/>
    <m/>
    <n v="1"/>
    <n v="2"/>
    <s v="YJCSHAN1919777"/>
    <s v="PCLU1803PE4305"/>
    <m/>
    <s v="OK"/>
  </r>
  <r>
    <x v="18"/>
    <s v="CASAMIA"/>
    <s v="洲际"/>
    <x v="5"/>
    <s v="ZHOUJI"/>
    <s v="AHL2343A"/>
    <m/>
    <n v="1"/>
    <n v="2"/>
    <s v="YJCSHAN1919587"/>
    <s v="PCLU1803PE4301"/>
    <s v="拼4302"/>
    <s v="OK"/>
  </r>
  <r>
    <x v="19"/>
    <s v="HANSSEM"/>
    <s v="顾家"/>
    <x v="2"/>
    <s v="KUKA"/>
    <s v="219JJ52-10000-34-38"/>
    <m/>
    <n v="2"/>
    <n v="4"/>
    <s v="YJCSHAN1919584"/>
    <s v="PCLU1949HN4301"/>
    <s v="拼4302"/>
    <s v="OK"/>
  </r>
  <r>
    <x v="19"/>
    <s v="HANSSEM"/>
    <s v="卡帛"/>
    <x v="6"/>
    <s v="CABO"/>
    <s v="219CABO-HS055"/>
    <m/>
    <n v="0"/>
    <n v="0"/>
    <s v="YJCSHAN1919742"/>
    <s v="PCLU1949HN4303"/>
    <s v="12/8 &gt;&gt; 12/11"/>
    <s v="OK"/>
  </r>
  <r>
    <x v="19"/>
    <s v="HANSSEM"/>
    <s v="万盛"/>
    <x v="3"/>
    <s v="WANSHENG"/>
    <s v="HSO 1811-25E-184"/>
    <m/>
    <n v="2"/>
    <n v="4"/>
    <s v="YJCSHAN1919778"/>
    <s v="PCLU1949HN4304"/>
    <m/>
    <s v="OK"/>
  </r>
  <r>
    <x v="19"/>
    <s v="HANSSEM"/>
    <s v="万盛"/>
    <x v="3"/>
    <s v="WANSHENG"/>
    <s v="HSO 1811-25E-185"/>
    <m/>
    <n v="2"/>
    <n v="4"/>
    <s v="YJCSHAN1919779"/>
    <s v="PCLU1949HN4305"/>
    <m/>
    <s v="OK"/>
  </r>
  <r>
    <x v="19"/>
    <s v="HANSSEM"/>
    <s v="万盛"/>
    <x v="3"/>
    <s v="WANSHENG"/>
    <s v="HSO 1811-25E-186"/>
    <m/>
    <n v="2"/>
    <n v="4"/>
    <s v="YJCSHAN1919781"/>
    <s v="PCLU1949HN4306"/>
    <m/>
    <s v="OK"/>
  </r>
  <r>
    <x v="19"/>
    <s v="CASAMIA"/>
    <s v="顾家"/>
    <x v="8"/>
    <s v="KUKA"/>
    <s v="PO1909270104_x000a_PO1909270105_x000a_PO1909270106_x000a_PO1909270107_x000a_PO1909270108"/>
    <m/>
    <n v="5"/>
    <n v="10"/>
    <s v="YJCSHAN1919892"/>
    <s v="PCLU1949HN4307"/>
    <m/>
    <s v="OK"/>
  </r>
  <r>
    <x v="19"/>
    <s v="CASAMIA"/>
    <s v="华达利"/>
    <x v="1"/>
    <s v="HTL"/>
    <s v="PO1909100008"/>
    <m/>
    <n v="1"/>
    <n v="2"/>
    <s v="YJCSHAN1919894"/>
    <s v="PCLU1949HN4308"/>
    <m/>
    <s v="OK"/>
  </r>
  <r>
    <x v="19"/>
    <s v="SSEM"/>
    <s v="永艺"/>
    <x v="4"/>
    <s v="UE"/>
    <s v="12-1  ORDER"/>
    <m/>
    <n v="3"/>
    <n v="6"/>
    <s v="YJCSHAN1920465"/>
    <s v="PCLU1949HN4309"/>
    <m/>
    <s v="OK"/>
  </r>
  <r>
    <x v="20"/>
    <s v="SSEM"/>
    <s v="富和"/>
    <x v="9"/>
    <s v="FUHE"/>
    <s v="PO.LF030"/>
    <m/>
    <n v="0"/>
    <n v="0"/>
    <s v="YJCSHAN1919902"/>
    <s v="PCLU1804PE4305"/>
    <m/>
    <s v="OK"/>
  </r>
  <r>
    <x v="20"/>
    <s v="CASAMIA"/>
    <s v="顾家"/>
    <x v="8"/>
    <s v="KUKA"/>
    <s v="PO1909270109_x000a_PO1909270110"/>
    <m/>
    <n v="0"/>
    <n v="0"/>
    <s v="YJCSHAN1920269"/>
    <s v="PCLU1804PE4309"/>
    <s v="12/11 &gt;&gt; 12/18"/>
    <s v="OK"/>
  </r>
  <r>
    <x v="20"/>
    <s v="HANSSEM"/>
    <s v="顾家"/>
    <x v="2"/>
    <s v="KUKA"/>
    <s v="219JJ52-10000-39"/>
    <m/>
    <n v="1"/>
    <n v="2"/>
    <s v="YJCSHAN1920288"/>
    <s v="PCLU1804PE4310"/>
    <m/>
    <s v="OK"/>
  </r>
  <r>
    <x v="20"/>
    <s v="CASAMIA"/>
    <s v="华达利"/>
    <x v="1"/>
    <s v="HTL"/>
    <s v="PO1910070018"/>
    <m/>
    <n v="1"/>
    <n v="2"/>
    <s v="YJCSHAN1919895"/>
    <s v="PCLU1804PE4306"/>
    <m/>
    <s v="OK"/>
  </r>
  <r>
    <x v="20"/>
    <s v="CASAMIA"/>
    <s v="华达利"/>
    <x v="1"/>
    <s v="HTL"/>
    <m/>
    <m/>
    <n v="0"/>
    <n v="0"/>
    <s v="YJCSHAN1919920"/>
    <s v="PCLU1804PE4307"/>
    <m/>
    <s v="OK"/>
  </r>
  <r>
    <x v="20"/>
    <s v="HANSSEM"/>
    <s v="卡帛"/>
    <x v="6"/>
    <s v="CABO"/>
    <s v="219CABO-HS055/HS059/061"/>
    <m/>
    <n v="3"/>
    <n v="6"/>
    <s v="YJCSHAN1919743"/>
    <s v="PCLU1804PE4301"/>
    <s v="2提1919742"/>
    <s v="OK"/>
  </r>
  <r>
    <x v="20"/>
    <s v="HANSSEM"/>
    <s v="万盛"/>
    <x v="3"/>
    <s v="WANSHENG"/>
    <s v="HSO 1811-25E-187"/>
    <m/>
    <n v="0"/>
    <n v="0"/>
    <s v="YJCSHAN1919782"/>
    <s v="PCLU1804PE4302"/>
    <m/>
    <s v="OK"/>
  </r>
  <r>
    <x v="20"/>
    <s v="HANSSEM"/>
    <s v="万盛"/>
    <x v="3"/>
    <s v="WANSHENG"/>
    <s v="HSO 1811-25E-188"/>
    <m/>
    <n v="2"/>
    <n v="4"/>
    <s v="YJCSHAN1919783"/>
    <s v="PCLU1804PE4303"/>
    <m/>
    <s v="OK"/>
  </r>
  <r>
    <x v="20"/>
    <s v="HANSSEM"/>
    <s v="万盛"/>
    <x v="3"/>
    <s v="WANSHENG"/>
    <s v="HSO 1811-25E-189"/>
    <m/>
    <n v="2"/>
    <n v="4"/>
    <s v="YJCSHAN1919784"/>
    <s v="PCLU1804PE4304"/>
    <m/>
    <s v="OK"/>
  </r>
  <r>
    <x v="20"/>
    <s v="CASAMIA"/>
    <s v="雅家居"/>
    <x v="7"/>
    <s v="YAJIAJU"/>
    <s v="shcsm191129"/>
    <m/>
    <n v="2"/>
    <n v="4"/>
    <s v="YJCSHAN1920291"/>
    <s v="PCLU1804PE4308"/>
    <m/>
    <s v="OK"/>
  </r>
  <r>
    <x v="21"/>
    <s v="HANSSEM"/>
    <s v="顾家"/>
    <x v="2"/>
    <s v="KUKA"/>
    <s v="219JJ52-10000-35B"/>
    <m/>
    <n v="4"/>
    <n v="8"/>
    <s v="YJCSHAN1919585"/>
    <s v="PCLU1950HN4301"/>
    <s v="拼4302 2提1919589"/>
    <s v="OK"/>
  </r>
  <r>
    <x v="21"/>
    <s v="CASAMIA"/>
    <s v="华达利"/>
    <x v="1"/>
    <s v="HTL"/>
    <s v="PO1910010023_x000a_PO1910010024"/>
    <m/>
    <n v="2"/>
    <n v="4"/>
    <s v="YJCSHAN1919896"/>
    <s v="PCLU1950HN4306"/>
    <s v="振华改"/>
    <s v="OK"/>
  </r>
  <r>
    <x v="21"/>
    <s v="CASAMIA"/>
    <s v="华达利"/>
    <x v="1"/>
    <s v="HTL"/>
    <s v="1912050002"/>
    <n v="1"/>
    <m/>
    <m/>
    <s v="YJCSHAN1920635"/>
    <s v="PCLU1950HN4309"/>
    <m/>
    <s v="OK"/>
  </r>
  <r>
    <x v="21"/>
    <s v="HANSSEM"/>
    <s v="卡帛"/>
    <x v="6"/>
    <s v="CABO"/>
    <s v="219CABO-HS053/058/062"/>
    <m/>
    <n v="3"/>
    <n v="6"/>
    <s v="YJCSHAN1919744"/>
    <s v="PCLU1950HN4303"/>
    <m/>
    <s v="OK"/>
  </r>
  <r>
    <x v="21"/>
    <s v="HANSSEM"/>
    <s v="万盛"/>
    <x v="3"/>
    <s v="WANSHENG"/>
    <s v="HSO 1811-25E-190"/>
    <m/>
    <n v="2"/>
    <n v="4"/>
    <s v="YJCSHAN1919785"/>
    <s v="PCLU1950HN4304"/>
    <m/>
    <s v="OK"/>
  </r>
  <r>
    <x v="21"/>
    <s v="HANSSEM"/>
    <s v="万盛"/>
    <x v="3"/>
    <s v="WANSHENG"/>
    <s v="HSO 1811-25E-191"/>
    <m/>
    <n v="2"/>
    <n v="4"/>
    <s v="YJCSHAN1919786"/>
    <s v="PCLU1950HN4305"/>
    <m/>
    <s v="OK"/>
  </r>
  <r>
    <x v="21"/>
    <s v="CASAMIA"/>
    <s v="洲际"/>
    <x v="5"/>
    <s v="ZHOUJI"/>
    <s v="AHL2364A"/>
    <m/>
    <n v="1"/>
    <n v="2"/>
    <s v="YJCSHAN1920358"/>
    <s v="PCLU1950HN4307"/>
    <s v="拼4308"/>
    <s v="OK"/>
  </r>
  <r>
    <x v="22"/>
    <s v="HANSSEM"/>
    <s v="顾家"/>
    <x v="2"/>
    <s v="KUKA"/>
    <s v="219JJ52-10000-44-45"/>
    <m/>
    <n v="2"/>
    <n v="4"/>
    <s v="YJCSHAN1919586"/>
    <s v="PCLU1805PE4301"/>
    <m/>
    <s v="OK"/>
  </r>
  <r>
    <x v="22"/>
    <s v="CASAMIA"/>
    <s v="顾家"/>
    <x v="8"/>
    <s v="KUKA"/>
    <s v="PO1909270109_x000a_PO1909270110"/>
    <m/>
    <n v="2"/>
    <n v="4"/>
    <s v="YJCSHAN1920269-1"/>
    <s v="PCLU1805PE4305"/>
    <m/>
    <s v="OK"/>
  </r>
  <r>
    <x v="22"/>
    <s v="CASAMIA"/>
    <s v="华达利"/>
    <x v="1"/>
    <s v="HTL"/>
    <s v="PO1910010029_x000a_PO1910010030_x000a_PO1910010035"/>
    <m/>
    <n v="3"/>
    <n v="6"/>
    <s v="YJCSHAN1919920-1"/>
    <s v="PCLU1805PE4304"/>
    <m/>
    <s v="OK"/>
  </r>
  <r>
    <x v="22"/>
    <s v="CASAMIA"/>
    <s v="华达利"/>
    <x v="1"/>
    <s v="HTL"/>
    <s v="PO1910010052_x000a_PO1910010056"/>
    <m/>
    <n v="2"/>
    <n v="4"/>
    <s v="YJCSHAN1920518"/>
    <s v="PCLU1805PE4306"/>
    <s v="(4307ANC占用)"/>
    <s v="OK"/>
  </r>
  <r>
    <x v="22"/>
    <s v="HANSSEM"/>
    <s v="卡帛"/>
    <x v="6"/>
    <s v="CABO"/>
    <s v="219CABO-HS054/067"/>
    <m/>
    <n v="2"/>
    <n v="4"/>
    <s v="YJCSHAN1919898"/>
    <s v="PCLU1805PE4303"/>
    <s v="4302不能用"/>
    <s v="OK"/>
  </r>
  <r>
    <x v="22"/>
    <s v="SSEM"/>
    <s v="永艺"/>
    <x v="4"/>
    <s v="UE"/>
    <s v="UE-SSEMGLOBAL-203"/>
    <m/>
    <n v="1"/>
    <n v="2"/>
    <s v="YJCSHAN1920537"/>
    <s v="PCLU1805PE4308"/>
    <m/>
    <s v="OK"/>
  </r>
  <r>
    <x v="23"/>
    <s v="HANSSEM"/>
    <s v="顾家"/>
    <x v="2"/>
    <s v="KUKA"/>
    <s v="219JJ52-10000-40-53"/>
    <m/>
    <n v="2"/>
    <n v="4"/>
    <s v="YJCSHAN1920636"/>
    <s v="PCLU1951HN4302"/>
    <s v="1报2提1920637"/>
    <s v="OK"/>
  </r>
  <r>
    <x v="23"/>
    <s v="HANSSEM"/>
    <s v="卡帛"/>
    <x v="6"/>
    <s v="CABO"/>
    <s v="219CABO-HS060/063"/>
    <m/>
    <n v="2"/>
    <n v="4"/>
    <s v="YJCSHAN1919901"/>
    <s v="PCLU1951HN4301"/>
    <m/>
    <s v="OK"/>
  </r>
  <r>
    <x v="24"/>
    <s v="HANSSEM"/>
    <s v="顾家"/>
    <x v="2"/>
    <s v="KUKA"/>
    <s v="219JJ52-10000-44-48"/>
    <m/>
    <n v="2"/>
    <n v="4"/>
    <s v="YJCSHAN1920639"/>
    <s v="PCLU1806PE4301"/>
    <s v="1报2提1920640"/>
    <s v="OK"/>
  </r>
  <r>
    <x v="25"/>
    <s v="CASAMIA"/>
    <s v="顾家"/>
    <x v="8"/>
    <s v="KUKA"/>
    <s v="PO1909270111_x000a_PO1909270112_x000a_PO1909270113"/>
    <m/>
    <n v="0"/>
    <n v="0"/>
    <s v="YJCSHAN1920379"/>
    <s v="PCLU1952HN4301"/>
    <s v="12/29 &gt;&gt; 1/8"/>
    <s v="OK"/>
  </r>
  <r>
    <x v="25"/>
    <s v="HANSSEM"/>
    <s v="顾家"/>
    <x v="2"/>
    <s v="KUKA"/>
    <s v="219JJ52-10000-49B"/>
    <m/>
    <n v="3"/>
    <n v="6"/>
    <s v="YJCSHAN1920641"/>
    <s v="PCLU1952HN4302"/>
    <m/>
    <s v="OK"/>
  </r>
  <r>
    <x v="26"/>
    <s v="SSEM"/>
    <s v="富和"/>
    <x v="9"/>
    <s v="FUHE"/>
    <s v="PO.LF031"/>
    <m/>
    <n v="1"/>
    <n v="2"/>
    <m/>
    <m/>
    <m/>
    <m/>
  </r>
  <r>
    <x v="26"/>
    <s v="HANSSEM"/>
    <s v="顾家"/>
    <x v="2"/>
    <s v="KUKA"/>
    <s v="219JJ52-10000-62-63"/>
    <m/>
    <n v="2"/>
    <n v="4"/>
    <m/>
    <m/>
    <m/>
    <m/>
  </r>
  <r>
    <x v="27"/>
    <s v="CASAMIA"/>
    <s v="顾家"/>
    <x v="8"/>
    <s v="KUKA"/>
    <s v="PO1909270111_x000a_PO1909270112_x000a_PO1909270113"/>
    <m/>
    <n v="3"/>
    <n v="6"/>
    <s v="YJCSHAN1920379-1"/>
    <m/>
    <s v="KY已确认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23" applyNumberFormats="0" applyBorderFormats="0" applyFontFormats="0" applyPatternFormats="0" applyAlignmentFormats="0" applyWidthHeightFormats="1" dataCaption="值" updatedVersion="6" minRefreshableVersion="3" showDrill="0" useAutoFormatting="1" rowGrandTotals="0" colGrandTotals="0" itemPrintTitles="1" createdVersion="6" indent="0" showHeaders="0" outline="1" outlineData="1" multipleFieldFilters="0">
  <location ref="A3:D98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5"/>
        <item m="1" x="12"/>
        <item m="1" x="18"/>
        <item m="1" x="24"/>
        <item m="1" x="13"/>
        <item m="1" x="30"/>
        <item m="1" x="27"/>
        <item m="1" x="29"/>
        <item m="1" x="28"/>
        <item m="1" x="33"/>
        <item m="1" x="21"/>
        <item m="1" x="31"/>
        <item m="1" x="32"/>
        <item m="1" x="19"/>
        <item m="1" x="14"/>
        <item m="1" x="26"/>
        <item x="2"/>
        <item x="3"/>
        <item x="5"/>
        <item m="1" x="17"/>
        <item x="1"/>
        <item x="6"/>
        <item m="1" x="23"/>
        <item m="1" x="22"/>
        <item x="7"/>
        <item x="4"/>
        <item m="1" x="25"/>
        <item x="8"/>
        <item m="1" x="16"/>
        <item x="0"/>
        <item m="1" x="20"/>
        <item x="10"/>
        <item x="9"/>
        <item x="11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sd="0" x="13"/>
        <item t="default"/>
      </items>
    </pivotField>
  </pivotFields>
  <rowFields count="2">
    <field x="0"/>
    <field x="3"/>
  </rowFields>
  <rowItems count="95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 r="1">
      <x v="29"/>
    </i>
    <i>
      <x v="328"/>
    </i>
    <i r="1">
      <x v="16"/>
    </i>
    <i r="1">
      <x v="17"/>
    </i>
    <i r="1">
      <x v="20"/>
    </i>
    <i r="1">
      <x v="21"/>
    </i>
    <i r="1">
      <x v="24"/>
    </i>
    <i r="1">
      <x v="25"/>
    </i>
    <i r="1">
      <x v="27"/>
    </i>
    <i r="1">
      <x v="29"/>
    </i>
    <i>
      <x v="331"/>
    </i>
    <i r="1">
      <x v="16"/>
    </i>
    <i r="1">
      <x v="17"/>
    </i>
    <i r="1">
      <x v="20"/>
    </i>
    <i r="1">
      <x v="21"/>
    </i>
    <i r="1">
      <x v="27"/>
    </i>
    <i r="1">
      <x v="29"/>
    </i>
    <i>
      <x v="335"/>
    </i>
    <i r="1">
      <x v="16"/>
    </i>
    <i r="1">
      <x v="17"/>
    </i>
    <i r="1">
      <x v="20"/>
    </i>
    <i r="1">
      <x v="24"/>
    </i>
    <i r="1">
      <x v="25"/>
    </i>
    <i r="1">
      <x v="29"/>
    </i>
    <i>
      <x v="338"/>
    </i>
    <i r="1">
      <x v="16"/>
    </i>
    <i r="1">
      <x v="17"/>
    </i>
    <i r="1">
      <x v="18"/>
    </i>
    <i>
      <x v="342"/>
    </i>
    <i r="1">
      <x v="16"/>
    </i>
    <i r="1">
      <x v="17"/>
    </i>
    <i r="1">
      <x v="20"/>
    </i>
    <i r="1">
      <x v="21"/>
    </i>
    <i r="1">
      <x v="25"/>
    </i>
    <i r="1">
      <x v="27"/>
    </i>
    <i>
      <x v="345"/>
    </i>
    <i r="1">
      <x v="16"/>
    </i>
    <i r="1">
      <x v="17"/>
    </i>
    <i r="1">
      <x v="20"/>
    </i>
    <i r="1">
      <x v="21"/>
    </i>
    <i r="1">
      <x v="24"/>
    </i>
    <i r="1">
      <x v="27"/>
    </i>
    <i r="1">
      <x v="32"/>
    </i>
    <i>
      <x v="349"/>
    </i>
    <i r="1">
      <x v="16"/>
    </i>
    <i r="1">
      <x v="17"/>
    </i>
    <i r="1">
      <x v="18"/>
    </i>
    <i r="1">
      <x v="20"/>
    </i>
    <i r="1">
      <x v="21"/>
    </i>
    <i>
      <x v="352"/>
    </i>
    <i r="1">
      <x v="16"/>
    </i>
    <i r="1">
      <x v="20"/>
    </i>
    <i r="1">
      <x v="21"/>
    </i>
    <i r="1">
      <x v="25"/>
    </i>
    <i r="1">
      <x v="27"/>
    </i>
    <i>
      <x v="356"/>
    </i>
    <i r="1">
      <x v="16"/>
    </i>
    <i r="1">
      <x v="21"/>
    </i>
    <i>
      <x v="359"/>
    </i>
    <i r="1">
      <x v="16"/>
    </i>
    <i>
      <x v="363"/>
    </i>
    <i r="1">
      <x v="16"/>
    </i>
    <i r="1">
      <x v="27"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0">
      <pivotArea type="all" dataOnly="0" outline="0" fieldPosition="0"/>
    </format>
    <format dxfId="69">
      <pivotArea outline="0" collapsedLevelsAreSubtotals="1" fieldPosition="0"/>
    </format>
    <format dxfId="68">
      <pivotArea field="0" type="button" dataOnly="0" labelOnly="1" outline="0" axis="axisRow" fieldPosition="0"/>
    </format>
    <format dxfId="67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6">
      <pivotArea dataOnly="0" labelOnly="1" grandRow="1" outline="0" fieldPosition="0"/>
    </format>
    <format dxfId="65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2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1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59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8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7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5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4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3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2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CN" xr10:uid="{88A8CA38-E251-450C-A0A1-9CD226093DBE}" sourceName="CN">
  <extLst>
    <x:ext xmlns:x15="http://schemas.microsoft.com/office/spreadsheetml/2010/11/main" uri="{2F2917AC-EB37-4324-AD4E-5DD8C200BD13}">
      <x15:tableSlicerCache tableId="4" column="3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切片器_ETD" xr10:uid="{63631101-E3D5-498D-90A6-C5CEA43D133E}" sourceName="ETD">
  <extLst>
    <x:ext xmlns:x15="http://schemas.microsoft.com/office/spreadsheetml/2010/11/main" uri="{2F2917AC-EB37-4324-AD4E-5DD8C200BD13}">
      <x15:tableSlicerCache tableId="4" column="5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N" xr10:uid="{6121971F-4ED6-4065-84BB-6A6CF5F2BFFE}" cache="切片器_CN" caption="客户" rowHeight="209550"/>
  <slicer name="ETD" xr10:uid="{CCB9EED1-8258-4C41-9501-F8345A48B26B}" cache="切片器_ETD" caption="ETD" startItem="15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18" totalsRowShown="0" headerRowDxfId="91" dataDxfId="90">
  <autoFilter ref="A1:E18" xr:uid="{820BD5A2-AD66-4D9B-AC3E-64CBF0B4B21A}"/>
  <tableColumns count="5">
    <tableColumn id="1" xr3:uid="{D075319D-DCE2-4203-B078-3F588EAB591A}" name="ETD" dataDxfId="89"/>
    <tableColumn id="2" xr3:uid="{C82A9C09-C14B-443E-912A-E603A3D04F39}" name="船名" dataDxfId="88"/>
    <tableColumn id="3" xr3:uid="{A7532413-2A72-4632-B601-DE7731C72187}" name="航次" dataDxfId="87"/>
    <tableColumn id="4" xr3:uid="{481AEBDD-33EF-4909-9917-F48E051CEF76}" name="船名航次" dataDxfId="86"/>
    <tableColumn id="5" xr3:uid="{ECFD88C0-E7A6-4868-8EB0-EE443E07D335}" name="列1" dataDxfId="85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65" totalsRowShown="0">
  <autoFilter ref="A1:M165" xr:uid="{27122EDD-454A-4B5B-BA80-E5D57F9762C1}">
    <filterColumn colId="0">
      <filters>
        <dateGroupItem year="2019" month="12" day="11" dateTimeGrouping="day"/>
      </filters>
    </filterColumn>
    <filterColumn colId="7">
      <filters>
        <filter val="1"/>
        <filter val="2"/>
        <filter val="3"/>
      </filters>
    </filterColumn>
  </autoFilter>
  <sortState ref="A137:M144">
    <sortCondition ref="K137"/>
  </sortState>
  <tableColumns count="13">
    <tableColumn id="5" xr3:uid="{D5A41DDC-7E3C-4252-B958-4FFBB6F0B188}" name="ETD" dataDxfId="83"/>
    <tableColumn id="1" xr3:uid="{E0A23808-EA69-463C-842B-C0CB379DD66A}" name="CNEE" dataDxfId="82"/>
    <tableColumn id="3" xr3:uid="{8852D5F7-2872-4FFE-AF69-A4095F3F311A}" name="CN"/>
    <tableColumn id="6" xr3:uid="{9FDEA0A4-FFA6-4738-AFE3-9127A65192BA}" name="显示名称" dataDxfId="81">
      <calculatedColumnFormula>Table135[[#This Row],[CN]]&amp;" - "&amp;Table135[[#This Row],[CNEE]]</calculatedColumnFormula>
    </tableColumn>
    <tableColumn id="2" xr3:uid="{D99B457A-5E43-4826-89CE-4DF7C66631D0}" name="EN" dataDxfId="80">
      <calculatedColumnFormula>VLOOKUP(Table135[[#This Row],[CN]],表5[],2,FALSE)</calculatedColumnFormula>
    </tableColumn>
    <tableColumn id="4" xr3:uid="{3AE3033B-B2DD-4FF9-845B-D12C06A80CBC}" name="PO" dataDxfId="79"/>
    <tableColumn id="14" xr3:uid="{D9AF6816-6FE9-42B6-90DE-3B1C3A49928E}" name="20'" dataDxfId="78"/>
    <tableColumn id="15" xr3:uid="{64ABF70C-DC54-4BAF-B684-7A0D11798790}" name="40'" dataDxfId="77"/>
    <tableColumn id="7" xr3:uid="{BE98B6FD-F003-4FCB-A09B-5B40F0BECB41}" name="TEU" dataDxfId="76">
      <calculatedColumnFormula>Table135[[#This Row],[20'']]+Table135[[#This Row],[40'']]*2</calculatedColumnFormula>
    </tableColumn>
    <tableColumn id="10" xr3:uid="{D1DAA04E-3900-49B6-9D5B-7360FA9CB116}" name="HBL" dataDxfId="75"/>
    <tableColumn id="9" xr3:uid="{A389ED21-5E02-4B63-AFC5-F1294CD613FF}" name="MBL" dataDxfId="74"/>
    <tableColumn id="11" xr3:uid="{D31A235D-4A91-49D5-8512-BC3C138F03B6}" name="备注" dataDxfId="73"/>
    <tableColumn id="8" xr3:uid="{7410B7FF-4059-4669-8915-AFABD73C023C}" name="五步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118" totalsRowShown="0" headerRowDxfId="46" headerRowBorderDxfId="45" tableBorderDxfId="44" totalsRowBorderDxfId="43">
  <autoFilter ref="A1:AA118" xr:uid="{4848E19E-9770-4EF2-957E-4883102A42C0}">
    <filterColumn colId="0">
      <filters>
        <dateGroupItem year="2019" month="12" day="8" dateTimeGrouping="day"/>
      </filters>
    </filterColumn>
  </autoFilter>
  <tableColumns count="27">
    <tableColumn id="33" xr3:uid="{FFB772AD-7961-4AF0-A343-8EF68408E581}" name="ETD" dataDxfId="42"/>
    <tableColumn id="1" xr3:uid="{DD461CCA-4517-4E98-906F-3EAB828CBAE8}" name="SHPR" dataDxfId="41"/>
    <tableColumn id="2" xr3:uid="{610BC8AA-6CF7-4530-BB23-3900696A452B}" name="说明" dataDxfId="40"/>
    <tableColumn id="3" xr3:uid="{C7FBFEAF-3B24-4430-99EE-472866BBB78F}" name="托书_x000a_是否_x000a_超限" dataDxfId="39"/>
    <tableColumn id="7" xr3:uid="{FD9BB9C6-4925-4292-B40A-B2442609822A}" name="五步_x000a_订舱" dataDxfId="38"/>
    <tableColumn id="35" xr3:uid="{1565FDB9-F8CC-4261-88DA-1E0A7AC44F2E}" name="KY_x000a_确认" dataDxfId="37"/>
    <tableColumn id="40" xr3:uid="{79E22D25-B265-4532-9D0C-7BFB902D8675}" name="振华_x000a_审核" dataDxfId="36"/>
    <tableColumn id="37" xr3:uid="{97C717B8-DB44-45AF-8B81-151042B1443A}" name="振华_x000a_加拼_x000a_提交" dataDxfId="35"/>
    <tableColumn id="36" xr3:uid="{8FADEA53-7B52-4F14-83A5-45513FB6EAC2}" name="振华_x000a_拼核" dataDxfId="34"/>
    <tableColumn id="12" xr3:uid="{5A515F49-F89E-4286-B9BD-B318AD2640C1}" name="录_x000a_费用" dataDxfId="33"/>
    <tableColumn id="41" xr3:uid="{380DE760-4572-4325-AE84-0D63150ABC01}" name="收_x000a_资料" dataDxfId="32"/>
    <tableColumn id="13" xr3:uid="{F0049236-1AFC-45B4-9CBB-742944BBE002}" name="YJC_x000a_截单" dataDxfId="31"/>
    <tableColumn id="14" xr3:uid="{D4C67CBE-6558-404F-A8D0-D234A01EA7BF}" name="发HBL_x000a_和INV" dataDxfId="30"/>
    <tableColumn id="15" xr3:uid="{4EA6E925-BC45-44FB-88BE-7E356E832C8E}" name="振华_x000a_录入" dataDxfId="29"/>
    <tableColumn id="16" xr3:uid="{39031770-24D7-4251-83C2-6D9C51435B2F}" name="HBL_x000a_INV_x000a_确认" dataDxfId="28"/>
    <tableColumn id="17" xr3:uid="{C46F7B56-BA33-46DE-819A-3F42D0C61863}" name="发_x000a_舱单" dataDxfId="27"/>
    <tableColumn id="18" xr3:uid="{2409B3B5-68AD-4B2C-8998-95F0DE45831C}" name="确认_x000a_舱单" dataDxfId="26"/>
    <tableColumn id="19" xr3:uid="{E8D84A53-92DE-4877-89A2-36EB1150C2A3}" name="并单" dataDxfId="25"/>
    <tableColumn id="20" xr3:uid="{BA4F5147-A73A-4C12-9D4C-0455962CF9E2}" name="审核" dataDxfId="24"/>
    <tableColumn id="21" xr3:uid="{F8063949-AB34-494B-8DFC-100B64C6369C}" name="VGM" dataDxfId="23"/>
    <tableColumn id="24" xr3:uid="{44CF02AB-D86C-4783-97CD-2E2313B8D659}" name="邮件_x000a_KY" dataDxfId="22"/>
    <tableColumn id="22" xr3:uid="{C1B5B7BF-1648-4A5C-9FF0-68A5372723DA}" name="统计_x000a_费用" dataDxfId="21"/>
    <tableColumn id="31" xr3:uid="{2F64CBB1-11D9-441C-B553-FF0F047C7793}" name="APP" dataDxfId="20"/>
    <tableColumn id="4" xr3:uid="{DC2E76CA-DBE1-4844-9A05-100ACD927588}" name="核_x000a_数据" dataDxfId="19"/>
    <tableColumn id="25" xr3:uid="{3D6AC291-A8CB-4072-8908-6B43D3EBF9A9}" name="发票" dataDxfId="18"/>
    <tableColumn id="26" xr3:uid="{72487BE9-2C92-4AAB-B75E-4F1A59FE63BA}" name="水单" dataDxfId="17"/>
    <tableColumn id="30" xr3:uid="{99DFA36B-3339-4FCF-B717-02D841DCF024}" name="放单" dataDxfId="16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O19" totalsRowShown="0" dataDxfId="15">
  <autoFilter ref="A1:O19" xr:uid="{9E57F62D-E58D-4F53-BDCE-5B776E06BFC6}"/>
  <tableColumns count="15">
    <tableColumn id="11" xr3:uid="{5A945112-5F14-41C3-9DE6-7BED351F4092}" name="项目" dataDxfId="14"/>
    <tableColumn id="1" xr3:uid="{C141BEBA-C970-48C1-94D8-B413103D61C8}" name="借方(收)" dataDxfId="13"/>
    <tableColumn id="10" xr3:uid="{BDB2D4D6-4147-4B01-989B-036CBD1C4E8B}" name="贷方(支)" dataDxfId="12"/>
    <tableColumn id="2" xr3:uid="{3CDA95A5-2AD7-4924-8416-52603DB1618A}" name="BKG(CTN)" dataDxfId="11"/>
    <tableColumn id="3" xr3:uid="{4F83CA88-21A0-46EA-85B9-1FBEC95B1F92}" name="THC(CTN)" dataDxfId="10"/>
    <tableColumn id="5" xr3:uid="{4DB1A085-A827-4E33-A8AC-76804C2E30CA}" name="LSS(CTN)" dataDxfId="9"/>
    <tableColumn id="6" xr3:uid="{866E9090-FC2D-4403-9131-0A9C6FF9DB62}" name="MFF(BL)" dataDxfId="8"/>
    <tableColumn id="4" xr3:uid="{C9F7C4B1-4B79-4833-A3C8-3239519938C4}" name="DOC(BL)" dataDxfId="7"/>
    <tableColumn id="7" xr3:uid="{606F8EED-FBB9-472E-9955-C9AEBD7FA87E}" name="OSF(BL)" dataDxfId="6"/>
    <tableColumn id="8" xr3:uid="{66E23A14-4831-49C7-A0F8-629E1A3052D5}" name="HDC(BL)" dataDxfId="5"/>
    <tableColumn id="12" xr3:uid="{3235F29D-9E23-4C4A-AE7F-ED0E02F0408B}" name="结算方式" dataDxfId="4"/>
    <tableColumn id="9" xr3:uid="{F190C844-170C-4A1F-B9BD-58D0C0CE4E5F}" name="开票" dataDxfId="3"/>
    <tableColumn id="13" xr3:uid="{15CF985D-BB5B-4853-9A1C-7342FDC01AFC}" name="QQ WX" dataDxfId="2"/>
    <tableColumn id="14" xr3:uid="{F13E91D4-6E7A-4AE3-97F6-2C730DB3B0FB}" name="邮件" dataDxfId="1"/>
    <tableColumn id="15" xr3:uid="{1B02FF44-B465-4786-8C9E-B6AB9E2F9D9A}" name="模板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18"/>
  <sheetViews>
    <sheetView workbookViewId="0">
      <selection activeCell="B12" sqref="B12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</cols>
  <sheetData>
    <row r="1" spans="1:5" x14ac:dyDescent="0.2">
      <c r="A1" s="12" t="s">
        <v>23</v>
      </c>
      <c r="B1" s="12" t="s">
        <v>24</v>
      </c>
      <c r="C1" s="12" t="s">
        <v>25</v>
      </c>
      <c r="D1" s="12" t="s">
        <v>26</v>
      </c>
      <c r="E1" s="12" t="s">
        <v>430</v>
      </c>
    </row>
    <row r="2" spans="1:5" x14ac:dyDescent="0.2">
      <c r="A2" s="13">
        <v>43772</v>
      </c>
      <c r="B2" s="12" t="s">
        <v>21</v>
      </c>
      <c r="C2" s="12" t="s">
        <v>385</v>
      </c>
      <c r="D2" s="38" t="s">
        <v>393</v>
      </c>
      <c r="E2" s="12" t="s">
        <v>431</v>
      </c>
    </row>
    <row r="3" spans="1:5" x14ac:dyDescent="0.2">
      <c r="A3" s="13">
        <v>43775</v>
      </c>
      <c r="B3" s="12" t="s">
        <v>22</v>
      </c>
      <c r="C3" s="12" t="s">
        <v>386</v>
      </c>
      <c r="D3" s="38" t="s">
        <v>394</v>
      </c>
      <c r="E3" s="12" t="s">
        <v>432</v>
      </c>
    </row>
    <row r="4" spans="1:5" x14ac:dyDescent="0.2">
      <c r="A4" s="13">
        <v>43779</v>
      </c>
      <c r="B4" s="12" t="s">
        <v>21</v>
      </c>
      <c r="C4" s="12" t="s">
        <v>387</v>
      </c>
      <c r="D4" s="38" t="s">
        <v>395</v>
      </c>
      <c r="E4" s="12" t="s">
        <v>433</v>
      </c>
    </row>
    <row r="5" spans="1:5" x14ac:dyDescent="0.2">
      <c r="A5" s="13">
        <v>43782</v>
      </c>
      <c r="B5" s="12" t="s">
        <v>22</v>
      </c>
      <c r="C5" s="12" t="s">
        <v>388</v>
      </c>
      <c r="D5" s="38" t="s">
        <v>396</v>
      </c>
      <c r="E5" s="12" t="s">
        <v>434</v>
      </c>
    </row>
    <row r="6" spans="1:5" x14ac:dyDescent="0.2">
      <c r="A6" s="13">
        <v>43786</v>
      </c>
      <c r="B6" s="12" t="s">
        <v>21</v>
      </c>
      <c r="C6" s="12" t="s">
        <v>389</v>
      </c>
      <c r="D6" s="38" t="s">
        <v>397</v>
      </c>
      <c r="E6" s="12" t="s">
        <v>435</v>
      </c>
    </row>
    <row r="7" spans="1:5" x14ac:dyDescent="0.2">
      <c r="A7" s="13">
        <v>43789</v>
      </c>
      <c r="B7" s="12" t="s">
        <v>22</v>
      </c>
      <c r="C7" s="12" t="s">
        <v>390</v>
      </c>
      <c r="D7" s="38" t="s">
        <v>398</v>
      </c>
      <c r="E7" s="12" t="s">
        <v>436</v>
      </c>
    </row>
    <row r="8" spans="1:5" x14ac:dyDescent="0.2">
      <c r="A8" s="13">
        <v>43793</v>
      </c>
      <c r="B8" s="12" t="s">
        <v>21</v>
      </c>
      <c r="C8" s="12" t="s">
        <v>391</v>
      </c>
      <c r="D8" s="38" t="s">
        <v>399</v>
      </c>
      <c r="E8" s="12" t="s">
        <v>437</v>
      </c>
    </row>
    <row r="9" spans="1:5" x14ac:dyDescent="0.2">
      <c r="A9" s="13">
        <v>43796</v>
      </c>
      <c r="B9" s="12" t="s">
        <v>723</v>
      </c>
      <c r="C9" s="12" t="s">
        <v>392</v>
      </c>
      <c r="D9" s="38" t="s">
        <v>400</v>
      </c>
      <c r="E9" s="12" t="s">
        <v>438</v>
      </c>
    </row>
    <row r="10" spans="1:5" x14ac:dyDescent="0.2">
      <c r="A10" s="13">
        <v>43800</v>
      </c>
      <c r="B10" s="12" t="s">
        <v>21</v>
      </c>
      <c r="C10" s="12" t="s">
        <v>603</v>
      </c>
      <c r="D10" s="38" t="s">
        <v>604</v>
      </c>
      <c r="E10" s="12" t="s">
        <v>605</v>
      </c>
    </row>
    <row r="11" spans="1:5" x14ac:dyDescent="0.2">
      <c r="A11" s="13">
        <v>43803</v>
      </c>
      <c r="B11" s="12" t="s">
        <v>22</v>
      </c>
      <c r="C11" s="12" t="s">
        <v>681</v>
      </c>
      <c r="D11" s="38" t="s">
        <v>689</v>
      </c>
      <c r="E11" s="12" t="s">
        <v>697</v>
      </c>
    </row>
    <row r="12" spans="1:5" x14ac:dyDescent="0.2">
      <c r="A12" s="13">
        <v>43807</v>
      </c>
      <c r="B12" s="12" t="s">
        <v>21</v>
      </c>
      <c r="C12" s="12" t="s">
        <v>682</v>
      </c>
      <c r="D12" s="38" t="s">
        <v>690</v>
      </c>
      <c r="E12" s="12" t="s">
        <v>698</v>
      </c>
    </row>
    <row r="13" spans="1:5" x14ac:dyDescent="0.2">
      <c r="A13" s="13">
        <v>43810</v>
      </c>
      <c r="B13" s="12" t="s">
        <v>22</v>
      </c>
      <c r="C13" s="12" t="s">
        <v>683</v>
      </c>
      <c r="D13" s="38" t="s">
        <v>691</v>
      </c>
      <c r="E13" s="12" t="s">
        <v>699</v>
      </c>
    </row>
    <row r="14" spans="1:5" x14ac:dyDescent="0.2">
      <c r="A14" s="13">
        <v>43814</v>
      </c>
      <c r="B14" s="12" t="s">
        <v>21</v>
      </c>
      <c r="C14" s="12" t="s">
        <v>684</v>
      </c>
      <c r="D14" s="38" t="s">
        <v>692</v>
      </c>
      <c r="E14" s="12" t="s">
        <v>700</v>
      </c>
    </row>
    <row r="15" spans="1:5" x14ac:dyDescent="0.2">
      <c r="A15" s="13">
        <v>43817</v>
      </c>
      <c r="B15" s="12" t="s">
        <v>22</v>
      </c>
      <c r="C15" s="12" t="s">
        <v>685</v>
      </c>
      <c r="D15" s="38" t="s">
        <v>693</v>
      </c>
      <c r="E15" s="12" t="s">
        <v>701</v>
      </c>
    </row>
    <row r="16" spans="1:5" x14ac:dyDescent="0.2">
      <c r="A16" s="13">
        <v>43821</v>
      </c>
      <c r="B16" s="12" t="s">
        <v>21</v>
      </c>
      <c r="C16" s="12" t="s">
        <v>686</v>
      </c>
      <c r="D16" s="38" t="s">
        <v>694</v>
      </c>
      <c r="E16" s="12" t="s">
        <v>703</v>
      </c>
    </row>
    <row r="17" spans="1:5" x14ac:dyDescent="0.2">
      <c r="A17" s="13">
        <v>43824</v>
      </c>
      <c r="B17" s="12" t="s">
        <v>22</v>
      </c>
      <c r="C17" s="12" t="s">
        <v>687</v>
      </c>
      <c r="D17" s="38" t="s">
        <v>695</v>
      </c>
      <c r="E17" s="12" t="s">
        <v>702</v>
      </c>
    </row>
    <row r="18" spans="1:5" x14ac:dyDescent="0.2">
      <c r="A18" s="13">
        <v>43828</v>
      </c>
      <c r="B18" s="12" t="s">
        <v>725</v>
      </c>
      <c r="C18" s="12" t="s">
        <v>688</v>
      </c>
      <c r="D18" s="38" t="s">
        <v>696</v>
      </c>
      <c r="E18" s="12" t="s">
        <v>704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65"/>
  <sheetViews>
    <sheetView tabSelected="1" zoomScaleNormal="100" workbookViewId="0">
      <selection activeCell="L174" sqref="L174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20.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42</v>
      </c>
      <c r="C1" t="s">
        <v>41</v>
      </c>
      <c r="D1" t="s">
        <v>40</v>
      </c>
      <c r="E1" t="s">
        <v>39</v>
      </c>
      <c r="F1" t="s">
        <v>38</v>
      </c>
      <c r="G1" t="s">
        <v>13</v>
      </c>
      <c r="H1" t="s">
        <v>14</v>
      </c>
      <c r="I1" t="s">
        <v>37</v>
      </c>
      <c r="J1" t="s">
        <v>196</v>
      </c>
      <c r="K1" t="s">
        <v>93</v>
      </c>
      <c r="L1" t="s">
        <v>212</v>
      </c>
      <c r="M1" t="s">
        <v>483</v>
      </c>
      <c r="Q1" t="s">
        <v>41</v>
      </c>
      <c r="R1" t="s">
        <v>39</v>
      </c>
    </row>
    <row r="2" spans="1:18" hidden="1" x14ac:dyDescent="0.2">
      <c r="A2" s="1">
        <v>43740</v>
      </c>
      <c r="B2" s="4" t="s">
        <v>318</v>
      </c>
      <c r="C2" t="s">
        <v>29</v>
      </c>
      <c r="D2" t="str">
        <f>Table135[[#This Row],[CN]]&amp;" - "&amp;Table135[[#This Row],[CNEE]]</f>
        <v>华宝 - EFFEX</v>
      </c>
      <c r="E2" t="str">
        <f>VLOOKUP(Table135[[#This Row],[CN]],表5[],2,FALSE)</f>
        <v>HUABAO</v>
      </c>
      <c r="F2" s="3" t="s">
        <v>7</v>
      </c>
      <c r="G2" s="7">
        <v>4</v>
      </c>
      <c r="H2" s="7"/>
      <c r="I2" s="7">
        <f>Table135[[#This Row],[20'']]+Table135[[#This Row],[40'']]*2</f>
        <v>4</v>
      </c>
      <c r="J2" s="7" t="s">
        <v>5</v>
      </c>
      <c r="K2" s="7" t="s">
        <v>94</v>
      </c>
      <c r="L2" s="7"/>
      <c r="M2" s="7" t="s">
        <v>91</v>
      </c>
      <c r="Q2" t="s">
        <v>50</v>
      </c>
      <c r="R2" t="s">
        <v>8</v>
      </c>
    </row>
    <row r="3" spans="1:18" ht="42.75" hidden="1" x14ac:dyDescent="0.2">
      <c r="A3" s="1">
        <v>43740</v>
      </c>
      <c r="B3" t="s">
        <v>12</v>
      </c>
      <c r="C3" t="s">
        <v>31</v>
      </c>
      <c r="D3" t="str">
        <f>Table135[[#This Row],[CN]]&amp;" - "&amp;Table135[[#This Row],[CNEE]]</f>
        <v>华达利 - CASAMIA</v>
      </c>
      <c r="E3" t="str">
        <f>VLOOKUP(Table135[[#This Row],[CN]],表5[],2,FALSE)</f>
        <v>HTL</v>
      </c>
      <c r="F3" s="3" t="s">
        <v>222</v>
      </c>
      <c r="G3" s="7"/>
      <c r="H3" s="7">
        <v>3</v>
      </c>
      <c r="I3" s="7">
        <f>Table135[[#This Row],[20'']]+Table135[[#This Row],[40'']]*2</f>
        <v>6</v>
      </c>
      <c r="J3" s="7" t="s">
        <v>224</v>
      </c>
      <c r="K3" s="7" t="s">
        <v>225</v>
      </c>
      <c r="L3" s="30" t="s">
        <v>227</v>
      </c>
      <c r="M3" s="7" t="s">
        <v>90</v>
      </c>
      <c r="Q3" t="s">
        <v>51</v>
      </c>
      <c r="R3" t="s">
        <v>61</v>
      </c>
    </row>
    <row r="4" spans="1:18" hidden="1" x14ac:dyDescent="0.2">
      <c r="A4" s="1">
        <v>43744</v>
      </c>
      <c r="B4" t="s">
        <v>4</v>
      </c>
      <c r="C4" t="s">
        <v>35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149</v>
      </c>
      <c r="G4" s="7"/>
      <c r="H4" s="7">
        <v>1</v>
      </c>
      <c r="I4" s="7">
        <f>Table135[[#This Row],[20'']]+Table135[[#This Row],[40'']]*2</f>
        <v>2</v>
      </c>
      <c r="J4" s="7" t="s">
        <v>238</v>
      </c>
      <c r="K4" s="7" t="s">
        <v>239</v>
      </c>
      <c r="L4" s="7"/>
      <c r="M4" s="7" t="s">
        <v>91</v>
      </c>
      <c r="Q4" t="s">
        <v>52</v>
      </c>
      <c r="R4" t="s">
        <v>62</v>
      </c>
    </row>
    <row r="5" spans="1:18" hidden="1" x14ac:dyDescent="0.2">
      <c r="A5" s="1">
        <v>43744</v>
      </c>
      <c r="B5" s="4" t="s">
        <v>146</v>
      </c>
      <c r="C5" t="s">
        <v>147</v>
      </c>
      <c r="D5" s="2" t="str">
        <f>Table135[[#This Row],[CN]]&amp;" - "&amp;Table135[[#This Row],[CNEE]]</f>
        <v>顾家 - HANSSEM</v>
      </c>
      <c r="E5" s="10" t="str">
        <f>VLOOKUP(Table135[[#This Row],[CN]],表5[],2,FALSE)</f>
        <v>KUKA</v>
      </c>
      <c r="F5" s="3" t="s">
        <v>148</v>
      </c>
      <c r="G5" s="7"/>
      <c r="H5" s="7">
        <v>1</v>
      </c>
      <c r="I5" s="7">
        <f>Table135[[#This Row],[20'']]+Table135[[#This Row],[40'']]*2</f>
        <v>2</v>
      </c>
      <c r="J5" s="7" t="s">
        <v>240</v>
      </c>
      <c r="K5" s="7" t="s">
        <v>153</v>
      </c>
      <c r="L5" s="7"/>
      <c r="M5" s="7" t="s">
        <v>90</v>
      </c>
      <c r="Q5" t="s">
        <v>48</v>
      </c>
      <c r="R5" t="s">
        <v>49</v>
      </c>
    </row>
    <row r="6" spans="1:18" hidden="1" x14ac:dyDescent="0.2">
      <c r="A6" s="1">
        <v>43744</v>
      </c>
      <c r="B6" s="4" t="s">
        <v>146</v>
      </c>
      <c r="C6" t="s">
        <v>147</v>
      </c>
      <c r="D6" s="2" t="str">
        <f>Table135[[#This Row],[CN]]&amp;" - "&amp;Table135[[#This Row],[CNEE]]</f>
        <v>顾家 - HANSSEM</v>
      </c>
      <c r="E6" s="10" t="str">
        <f>VLOOKUP(Table135[[#This Row],[CN]],表5[],2,FALSE)</f>
        <v>KUKA</v>
      </c>
      <c r="F6" s="3" t="s">
        <v>186</v>
      </c>
      <c r="G6" s="7"/>
      <c r="H6" s="7">
        <v>1</v>
      </c>
      <c r="I6" s="7">
        <f>Table135[[#This Row],[20'']]+Table135[[#This Row],[40'']]*2</f>
        <v>2</v>
      </c>
      <c r="J6" s="7" t="s">
        <v>241</v>
      </c>
      <c r="K6" s="7" t="s">
        <v>242</v>
      </c>
      <c r="L6" s="7"/>
      <c r="M6" s="7" t="s">
        <v>90</v>
      </c>
      <c r="Q6" t="s">
        <v>53</v>
      </c>
      <c r="R6" t="s">
        <v>63</v>
      </c>
    </row>
    <row r="7" spans="1:18" hidden="1" x14ac:dyDescent="0.2">
      <c r="A7" s="1">
        <v>43744</v>
      </c>
      <c r="B7" s="4" t="s">
        <v>4</v>
      </c>
      <c r="C7" t="s">
        <v>34</v>
      </c>
      <c r="D7" s="2" t="str">
        <f>Table135[[#This Row],[CN]]&amp;" - "&amp;Table135[[#This Row],[CNEE]]</f>
        <v>万盛 - HANSSEM</v>
      </c>
      <c r="E7" s="10" t="str">
        <f>VLOOKUP(Table135[[#This Row],[CN]],表5[],2,FALSE)</f>
        <v>WANSHENG</v>
      </c>
      <c r="F7" s="3" t="s">
        <v>70</v>
      </c>
      <c r="G7" s="7"/>
      <c r="H7" s="7">
        <v>3</v>
      </c>
      <c r="I7" s="7">
        <f>Table135[[#This Row],[20'']]+Table135[[#This Row],[40'']]*2</f>
        <v>6</v>
      </c>
      <c r="J7" s="7" t="s">
        <v>200</v>
      </c>
      <c r="K7" s="7" t="s">
        <v>96</v>
      </c>
      <c r="L7" s="7"/>
      <c r="M7" s="7" t="s">
        <v>91</v>
      </c>
      <c r="Q7" t="s">
        <v>54</v>
      </c>
      <c r="R7" t="s">
        <v>4</v>
      </c>
    </row>
    <row r="8" spans="1:18" hidden="1" x14ac:dyDescent="0.2">
      <c r="A8" s="1">
        <v>43744</v>
      </c>
      <c r="B8" s="4" t="s">
        <v>4</v>
      </c>
      <c r="C8" t="s">
        <v>34</v>
      </c>
      <c r="D8" s="2" t="str">
        <f>Table135[[#This Row],[CN]]&amp;" - "&amp;Table135[[#This Row],[CNEE]]</f>
        <v>万盛 - HANSSEM</v>
      </c>
      <c r="E8" s="10" t="str">
        <f>VLOOKUP(Table135[[#This Row],[CN]],表5[],2,FALSE)</f>
        <v>WANSHENG</v>
      </c>
      <c r="F8" s="3" t="s">
        <v>71</v>
      </c>
      <c r="G8" s="7"/>
      <c r="H8" s="7">
        <v>1</v>
      </c>
      <c r="I8" s="7">
        <f>Table135[[#This Row],[20'']]+Table135[[#This Row],[40'']]*2</f>
        <v>2</v>
      </c>
      <c r="J8" s="7" t="s">
        <v>201</v>
      </c>
      <c r="K8" s="7" t="s">
        <v>97</v>
      </c>
      <c r="L8" s="7"/>
      <c r="M8" s="7" t="s">
        <v>91</v>
      </c>
      <c r="Q8" t="s">
        <v>55</v>
      </c>
      <c r="R8" t="s">
        <v>64</v>
      </c>
    </row>
    <row r="9" spans="1:18" hidden="1" x14ac:dyDescent="0.2">
      <c r="A9" s="1">
        <v>43744</v>
      </c>
      <c r="B9" s="4" t="s">
        <v>4</v>
      </c>
      <c r="C9" t="s">
        <v>34</v>
      </c>
      <c r="D9" s="2" t="str">
        <f>Table135[[#This Row],[CN]]&amp;" - "&amp;Table135[[#This Row],[CNEE]]</f>
        <v>万盛 - HANSSEM</v>
      </c>
      <c r="E9" s="10" t="str">
        <f>VLOOKUP(Table135[[#This Row],[CN]],表5[],2,FALSE)</f>
        <v>WANSHENG</v>
      </c>
      <c r="F9" s="3" t="s">
        <v>72</v>
      </c>
      <c r="G9" s="7"/>
      <c r="H9" s="7">
        <v>1</v>
      </c>
      <c r="I9" s="7">
        <f>Table135[[#This Row],[20'']]+Table135[[#This Row],[40'']]*2</f>
        <v>2</v>
      </c>
      <c r="J9" s="7" t="s">
        <v>202</v>
      </c>
      <c r="K9" s="7" t="s">
        <v>98</v>
      </c>
      <c r="L9" s="7"/>
      <c r="M9" s="7" t="s">
        <v>91</v>
      </c>
      <c r="Q9" t="s">
        <v>56</v>
      </c>
      <c r="R9" t="s">
        <v>65</v>
      </c>
    </row>
    <row r="10" spans="1:18" hidden="1" x14ac:dyDescent="0.2">
      <c r="A10" s="1">
        <v>43744</v>
      </c>
      <c r="B10" s="4" t="s">
        <v>143</v>
      </c>
      <c r="C10" t="s">
        <v>27</v>
      </c>
      <c r="D10" s="2" t="str">
        <f>Table135[[#This Row],[CN]]&amp;" - "&amp;Table135[[#This Row],[CNEE]]</f>
        <v>永艺 - SSEM</v>
      </c>
      <c r="E10" s="10" t="str">
        <f>VLOOKUP(Table135[[#This Row],[CN]],表5[],2,FALSE)</f>
        <v>UE</v>
      </c>
      <c r="F10" s="3" t="s">
        <v>214</v>
      </c>
      <c r="G10" s="7"/>
      <c r="H10" s="7">
        <v>6</v>
      </c>
      <c r="I10" s="7">
        <f>Table135[[#This Row],[20'']]+Table135[[#This Row],[40'']]*2</f>
        <v>12</v>
      </c>
      <c r="J10" s="7" t="s">
        <v>210</v>
      </c>
      <c r="K10" s="7" t="s">
        <v>150</v>
      </c>
      <c r="L10" s="7" t="s">
        <v>294</v>
      </c>
      <c r="M10" s="7" t="s">
        <v>90</v>
      </c>
      <c r="Q10" t="s">
        <v>57</v>
      </c>
      <c r="R10" t="s">
        <v>66</v>
      </c>
    </row>
    <row r="11" spans="1:18" hidden="1" x14ac:dyDescent="0.2">
      <c r="A11" s="1">
        <v>43744</v>
      </c>
      <c r="B11" t="s">
        <v>12</v>
      </c>
      <c r="C11" t="s">
        <v>33</v>
      </c>
      <c r="D11" t="str">
        <f>Table135[[#This Row],[CN]]&amp;" - "&amp;Table135[[#This Row],[CNEE]]</f>
        <v>洲际 - CASAMIA</v>
      </c>
      <c r="E11" t="str">
        <f>VLOOKUP(Table135[[#This Row],[CN]],表5[],2,FALSE)</f>
        <v>ZHOUJI</v>
      </c>
      <c r="F11" s="14" t="s">
        <v>411</v>
      </c>
      <c r="G11" s="7"/>
      <c r="H11" s="7">
        <v>1</v>
      </c>
      <c r="I11" s="7">
        <f>Table135[[#This Row],[20'']]+Table135[[#This Row],[40'']]*2</f>
        <v>2</v>
      </c>
      <c r="J11" s="7" t="s">
        <v>9</v>
      </c>
      <c r="K11" s="7" t="s">
        <v>10</v>
      </c>
      <c r="L11" s="7"/>
      <c r="M11" s="7" t="s">
        <v>91</v>
      </c>
      <c r="Q11" t="s">
        <v>58</v>
      </c>
      <c r="R11" t="s">
        <v>67</v>
      </c>
    </row>
    <row r="12" spans="1:18" hidden="1" x14ac:dyDescent="0.2">
      <c r="A12" s="1">
        <v>43747</v>
      </c>
      <c r="B12" s="4" t="s">
        <v>4</v>
      </c>
      <c r="C12" t="s">
        <v>35</v>
      </c>
      <c r="D12" s="2" t="str">
        <f>Table135[[#This Row],[CN]]&amp;" - "&amp;Table135[[#This Row],[CNEE]]</f>
        <v>顾家 - HANSSEM</v>
      </c>
      <c r="E12" s="10" t="str">
        <f>VLOOKUP(Table135[[#This Row],[CN]],表5[],2,FALSE)</f>
        <v>KUKA</v>
      </c>
      <c r="F12" s="3" t="s">
        <v>76</v>
      </c>
      <c r="G12" s="7"/>
      <c r="H12" s="7">
        <v>1</v>
      </c>
      <c r="I12" s="7">
        <f>Table135[[#This Row],[20'']]+Table135[[#This Row],[40'']]*2</f>
        <v>2</v>
      </c>
      <c r="J12" s="7" t="s">
        <v>206</v>
      </c>
      <c r="K12" s="7" t="s">
        <v>100</v>
      </c>
      <c r="L12" s="7"/>
      <c r="M12" s="7" t="s">
        <v>91</v>
      </c>
      <c r="Q12" t="s">
        <v>59</v>
      </c>
      <c r="R12" t="s">
        <v>68</v>
      </c>
    </row>
    <row r="13" spans="1:18" ht="28.5" hidden="1" x14ac:dyDescent="0.2">
      <c r="A13" s="1">
        <v>43747</v>
      </c>
      <c r="B13" t="s">
        <v>12</v>
      </c>
      <c r="C13" t="s">
        <v>31</v>
      </c>
      <c r="D13" t="str">
        <f>Table135[[#This Row],[CN]]&amp;" - "&amp;Table135[[#This Row],[CNEE]]</f>
        <v>华达利 - CASAMIA</v>
      </c>
      <c r="E13" t="str">
        <f>VLOOKUP(Table135[[#This Row],[CN]],表5[],2,FALSE)</f>
        <v>HTL</v>
      </c>
      <c r="F13" s="3" t="s">
        <v>221</v>
      </c>
      <c r="G13" s="7"/>
      <c r="H13" s="7">
        <v>2</v>
      </c>
      <c r="I13" s="7">
        <f>Table135[[#This Row],[20'']]+Table135[[#This Row],[40'']]*2</f>
        <v>4</v>
      </c>
      <c r="J13" s="7" t="s">
        <v>251</v>
      </c>
      <c r="K13" s="7" t="s">
        <v>11</v>
      </c>
      <c r="L13" s="7" t="s">
        <v>312</v>
      </c>
      <c r="M13" s="7" t="s">
        <v>90</v>
      </c>
      <c r="Q13" t="s">
        <v>60</v>
      </c>
      <c r="R13" t="s">
        <v>69</v>
      </c>
    </row>
    <row r="14" spans="1:18" hidden="1" x14ac:dyDescent="0.2">
      <c r="A14" s="1">
        <v>43747</v>
      </c>
      <c r="B14" t="s">
        <v>4</v>
      </c>
      <c r="C14" t="s">
        <v>30</v>
      </c>
      <c r="D14" t="str">
        <f>Table135[[#This Row],[CN]]&amp;" - "&amp;Table135[[#This Row],[CNEE]]</f>
        <v>卡帛 - HANSSEM</v>
      </c>
      <c r="E14" t="str">
        <f>VLOOKUP(Table135[[#This Row],[CN]],表5[],2,FALSE)</f>
        <v>CABO</v>
      </c>
      <c r="F14" s="3" t="s">
        <v>258</v>
      </c>
      <c r="G14" s="7"/>
      <c r="H14" s="7">
        <v>2</v>
      </c>
      <c r="I14" s="7">
        <f>Table135[[#This Row],[20'']]+Table135[[#This Row],[40'']]*2</f>
        <v>4</v>
      </c>
      <c r="J14" s="7" t="s">
        <v>2</v>
      </c>
      <c r="K14" s="7" t="s">
        <v>99</v>
      </c>
      <c r="L14" s="7" t="s">
        <v>312</v>
      </c>
      <c r="M14" s="7" t="s">
        <v>91</v>
      </c>
      <c r="Q14" t="s">
        <v>45</v>
      </c>
      <c r="R14" t="s">
        <v>47</v>
      </c>
    </row>
    <row r="15" spans="1:18" hidden="1" x14ac:dyDescent="0.2">
      <c r="A15" s="1">
        <v>43747</v>
      </c>
      <c r="B15" s="4" t="s">
        <v>4</v>
      </c>
      <c r="C15" t="s">
        <v>34</v>
      </c>
      <c r="D15" s="2" t="str">
        <f>Table135[[#This Row],[CN]]&amp;" - "&amp;Table135[[#This Row],[CNEE]]</f>
        <v>万盛 - HANSSEM</v>
      </c>
      <c r="E15" s="10" t="str">
        <f>VLOOKUP(Table135[[#This Row],[CN]],表5[],2,FALSE)</f>
        <v>WANSHENG</v>
      </c>
      <c r="F15" s="3" t="s">
        <v>73</v>
      </c>
      <c r="G15" s="7"/>
      <c r="H15" s="7">
        <v>1</v>
      </c>
      <c r="I15" s="7">
        <f>Table135[[#This Row],[20'']]+Table135[[#This Row],[40'']]*2</f>
        <v>2</v>
      </c>
      <c r="J15" s="7" t="s">
        <v>203</v>
      </c>
      <c r="K15" s="7" t="s">
        <v>101</v>
      </c>
      <c r="L15" s="7"/>
      <c r="M15" s="7" t="s">
        <v>91</v>
      </c>
      <c r="Q15" t="s">
        <v>421</v>
      </c>
      <c r="R15" t="s">
        <v>422</v>
      </c>
    </row>
    <row r="16" spans="1:18" hidden="1" x14ac:dyDescent="0.2">
      <c r="A16" s="1">
        <v>43747</v>
      </c>
      <c r="B16" s="4" t="s">
        <v>4</v>
      </c>
      <c r="C16" t="s">
        <v>34</v>
      </c>
      <c r="D16" s="2" t="str">
        <f>Table135[[#This Row],[CN]]&amp;" - "&amp;Table135[[#This Row],[CNEE]]</f>
        <v>万盛 - HANSSEM</v>
      </c>
      <c r="E16" s="10" t="str">
        <f>VLOOKUP(Table135[[#This Row],[CN]],表5[],2,FALSE)</f>
        <v>WANSHENG</v>
      </c>
      <c r="F16" s="3" t="s">
        <v>75</v>
      </c>
      <c r="G16" s="7">
        <v>1</v>
      </c>
      <c r="H16" s="7"/>
      <c r="I16" s="7">
        <f>Table135[[#This Row],[20'']]+Table135[[#This Row],[40'']]*2</f>
        <v>1</v>
      </c>
      <c r="J16" s="7" t="s">
        <v>205</v>
      </c>
      <c r="K16" s="7" t="s">
        <v>102</v>
      </c>
      <c r="L16" s="7" t="s">
        <v>257</v>
      </c>
      <c r="M16" s="7" t="s">
        <v>90</v>
      </c>
      <c r="Q16" t="s">
        <v>511</v>
      </c>
      <c r="R16" t="s">
        <v>512</v>
      </c>
    </row>
    <row r="17" spans="1:18" hidden="1" x14ac:dyDescent="0.2">
      <c r="A17" s="1">
        <v>43747</v>
      </c>
      <c r="B17" s="4" t="s">
        <v>4</v>
      </c>
      <c r="C17" t="s">
        <v>34</v>
      </c>
      <c r="D17" s="2" t="str">
        <f>Table135[[#This Row],[CN]]&amp;" - "&amp;Table135[[#This Row],[CNEE]]</f>
        <v>万盛 - HANSSEM</v>
      </c>
      <c r="E17" s="10" t="str">
        <f>VLOOKUP(Table135[[#This Row],[CN]],表5[],2,FALSE)</f>
        <v>WANSHENG</v>
      </c>
      <c r="F17" s="3" t="s">
        <v>74</v>
      </c>
      <c r="G17" s="7"/>
      <c r="H17" s="7">
        <v>1</v>
      </c>
      <c r="I17" s="7">
        <f>Table135[[#This Row],[20'']]+Table135[[#This Row],[40'']]*2</f>
        <v>2</v>
      </c>
      <c r="J17" s="7" t="s">
        <v>204</v>
      </c>
      <c r="K17" s="7" t="s">
        <v>218</v>
      </c>
      <c r="L17" s="7" t="s">
        <v>217</v>
      </c>
      <c r="M17" s="7" t="s">
        <v>91</v>
      </c>
      <c r="Q17" t="s">
        <v>522</v>
      </c>
      <c r="R17" t="s">
        <v>526</v>
      </c>
    </row>
    <row r="18" spans="1:18" hidden="1" x14ac:dyDescent="0.2">
      <c r="A18" s="1">
        <v>43747</v>
      </c>
      <c r="B18" s="4" t="s">
        <v>77</v>
      </c>
      <c r="C18" t="s">
        <v>27</v>
      </c>
      <c r="D18" s="2" t="str">
        <f>Table135[[#This Row],[CN]]&amp;" - "&amp;Table135[[#This Row],[CNEE]]</f>
        <v>永艺 - SSEM</v>
      </c>
      <c r="E18" s="10" t="str">
        <f>VLOOKUP(Table135[[#This Row],[CN]],表5[],2,FALSE)</f>
        <v>UE</v>
      </c>
      <c r="F18" s="3" t="s">
        <v>215</v>
      </c>
      <c r="G18" s="7"/>
      <c r="H18" s="7">
        <v>1</v>
      </c>
      <c r="I18" s="7">
        <f>Table135[[#This Row],[20'']]+Table135[[#This Row],[40'']]*2</f>
        <v>2</v>
      </c>
      <c r="J18" s="7" t="s">
        <v>211</v>
      </c>
      <c r="K18" s="7" t="s">
        <v>95</v>
      </c>
      <c r="L18" s="7" t="s">
        <v>213</v>
      </c>
      <c r="M18" s="7" t="s">
        <v>91</v>
      </c>
      <c r="Q18" t="s">
        <v>566</v>
      </c>
      <c r="R18" t="s">
        <v>567</v>
      </c>
    </row>
    <row r="19" spans="1:18" hidden="1" x14ac:dyDescent="0.2">
      <c r="A19" s="1">
        <v>43751</v>
      </c>
      <c r="B19" t="s">
        <v>4</v>
      </c>
      <c r="C19" t="s">
        <v>35</v>
      </c>
      <c r="D19" t="str">
        <f>Table135[[#This Row],[CN]]&amp;" - "&amp;Table135[[#This Row],[CNEE]]</f>
        <v>顾家 - HANSSEM</v>
      </c>
      <c r="E19" t="str">
        <f>VLOOKUP(Table135[[#This Row],[CN]],表5[],2,FALSE)</f>
        <v>KUKA</v>
      </c>
      <c r="F19" s="3" t="s">
        <v>226</v>
      </c>
      <c r="G19" s="7"/>
      <c r="H19" s="7">
        <v>2</v>
      </c>
      <c r="I19" s="7">
        <f>Table135[[#This Row],[20'']]+Table135[[#This Row],[40'']]*2</f>
        <v>4</v>
      </c>
      <c r="J19" s="7" t="s">
        <v>1</v>
      </c>
      <c r="K19" s="7" t="s">
        <v>187</v>
      </c>
      <c r="L19" s="7" t="s">
        <v>311</v>
      </c>
      <c r="M19" s="7" t="s">
        <v>90</v>
      </c>
    </row>
    <row r="20" spans="1:18" hidden="1" x14ac:dyDescent="0.2">
      <c r="A20" s="1">
        <v>43751</v>
      </c>
      <c r="B20" s="4" t="s">
        <v>318</v>
      </c>
      <c r="C20" t="s">
        <v>29</v>
      </c>
      <c r="D20" s="2" t="str">
        <f>Table135[[#This Row],[CN]]&amp;" - "&amp;Table135[[#This Row],[CNEE]]</f>
        <v>华宝 - EFFEX</v>
      </c>
      <c r="E20" s="10" t="str">
        <f>VLOOKUP(Table135[[#This Row],[CN]],表5[],2,FALSE)</f>
        <v>HUABAO</v>
      </c>
      <c r="F20" s="3" t="s">
        <v>7</v>
      </c>
      <c r="G20" s="7">
        <v>3</v>
      </c>
      <c r="H20" s="7"/>
      <c r="I20" s="7">
        <f>Table135[[#This Row],[20'']]+Table135[[#This Row],[40'']]*2</f>
        <v>3</v>
      </c>
      <c r="J20" s="7" t="s">
        <v>262</v>
      </c>
      <c r="K20" s="7" t="s">
        <v>261</v>
      </c>
      <c r="L20" s="7" t="s">
        <v>259</v>
      </c>
      <c r="M20" s="7" t="s">
        <v>90</v>
      </c>
    </row>
    <row r="21" spans="1:18" ht="28.5" hidden="1" x14ac:dyDescent="0.2">
      <c r="A21" s="1">
        <v>43751</v>
      </c>
      <c r="B21" t="s">
        <v>12</v>
      </c>
      <c r="C21" t="s">
        <v>31</v>
      </c>
      <c r="D21" t="str">
        <f>Table135[[#This Row],[CN]]&amp;" - "&amp;Table135[[#This Row],[CNEE]]</f>
        <v>华达利 - CASAMIA</v>
      </c>
      <c r="E21" t="str">
        <f>VLOOKUP(Table135[[#This Row],[CN]],表5[],2,FALSE)</f>
        <v>HTL</v>
      </c>
      <c r="F21" s="3" t="s">
        <v>250</v>
      </c>
      <c r="G21" s="7"/>
      <c r="H21" s="7">
        <v>2</v>
      </c>
      <c r="I21" s="7">
        <f>Table135[[#This Row],[20'']]+Table135[[#This Row],[40'']]*2</f>
        <v>4</v>
      </c>
      <c r="J21" s="7" t="s">
        <v>223</v>
      </c>
      <c r="K21" s="7" t="s">
        <v>260</v>
      </c>
      <c r="L21" s="7" t="s">
        <v>491</v>
      </c>
      <c r="M21" s="7" t="s">
        <v>90</v>
      </c>
    </row>
    <row r="22" spans="1:18" ht="57" hidden="1" x14ac:dyDescent="0.2">
      <c r="A22" s="1">
        <v>43751</v>
      </c>
      <c r="B22" s="4" t="s">
        <v>12</v>
      </c>
      <c r="C22" t="s">
        <v>31</v>
      </c>
      <c r="D22" s="2" t="str">
        <f>Table135[[#This Row],[CN]]&amp;" - "&amp;Table135[[#This Row],[CNEE]]</f>
        <v>华达利 - CASAMIA</v>
      </c>
      <c r="E22" s="10" t="str">
        <f>VLOOKUP(Table135[[#This Row],[CN]],表5[],2,FALSE)</f>
        <v>HTL</v>
      </c>
      <c r="F22" s="3" t="s">
        <v>220</v>
      </c>
      <c r="G22" s="7"/>
      <c r="H22" s="7">
        <v>4</v>
      </c>
      <c r="I22" s="7">
        <f>Table135[[#This Row],[20'']]+Table135[[#This Row],[40'']]*2</f>
        <v>8</v>
      </c>
      <c r="J22" s="7" t="s">
        <v>291</v>
      </c>
      <c r="K22" s="7" t="s">
        <v>293</v>
      </c>
      <c r="L22" s="7" t="s">
        <v>292</v>
      </c>
      <c r="M22" s="7" t="s">
        <v>90</v>
      </c>
    </row>
    <row r="23" spans="1:18" hidden="1" x14ac:dyDescent="0.2">
      <c r="A23" s="1">
        <v>43751</v>
      </c>
      <c r="B23" s="4" t="s">
        <v>32</v>
      </c>
      <c r="C23" t="s">
        <v>34</v>
      </c>
      <c r="D23" s="2" t="str">
        <f>Table135[[#This Row],[CN]]&amp;" - "&amp;Table135[[#This Row],[CNEE]]</f>
        <v>万盛 - HANSSEM</v>
      </c>
      <c r="E23" s="10" t="str">
        <f>VLOOKUP(Table135[[#This Row],[CN]],表5[],2,FALSE)</f>
        <v>WANSHENG</v>
      </c>
      <c r="F23" s="3" t="s">
        <v>78</v>
      </c>
      <c r="G23" s="7"/>
      <c r="H23" s="7">
        <v>1</v>
      </c>
      <c r="I23" s="7">
        <f>Table135[[#This Row],[20'']]+Table135[[#This Row],[40'']]*2</f>
        <v>2</v>
      </c>
      <c r="J23" s="7" t="s">
        <v>494</v>
      </c>
      <c r="K23" s="7" t="s">
        <v>103</v>
      </c>
      <c r="L23" s="7" t="s">
        <v>493</v>
      </c>
      <c r="M23" s="7" t="s">
        <v>90</v>
      </c>
    </row>
    <row r="24" spans="1:18" hidden="1" x14ac:dyDescent="0.2">
      <c r="A24" s="1">
        <v>43751</v>
      </c>
      <c r="B24" s="4" t="s">
        <v>32</v>
      </c>
      <c r="C24" t="s">
        <v>34</v>
      </c>
      <c r="D24" s="2" t="str">
        <f>Table135[[#This Row],[CN]]&amp;" - "&amp;Table135[[#This Row],[CNEE]]</f>
        <v>万盛 - HANSSEM</v>
      </c>
      <c r="E24" s="10" t="str">
        <f>VLOOKUP(Table135[[#This Row],[CN]],表5[],2,FALSE)</f>
        <v>WANSHENG</v>
      </c>
      <c r="F24" s="3" t="s">
        <v>78</v>
      </c>
      <c r="G24" s="7"/>
      <c r="H24" s="7">
        <v>1</v>
      </c>
      <c r="I24" s="7">
        <f>Table135[[#This Row],[20'']]+Table135[[#This Row],[40'']]*2</f>
        <v>2</v>
      </c>
      <c r="J24" s="7" t="s">
        <v>265</v>
      </c>
      <c r="K24" s="7" t="s">
        <v>263</v>
      </c>
      <c r="L24" s="7" t="s">
        <v>264</v>
      </c>
      <c r="M24" s="7" t="s">
        <v>90</v>
      </c>
    </row>
    <row r="25" spans="1:18" hidden="1" x14ac:dyDescent="0.2">
      <c r="A25" s="1">
        <v>43751</v>
      </c>
      <c r="B25" s="4" t="s">
        <v>12</v>
      </c>
      <c r="C25" t="s">
        <v>28</v>
      </c>
      <c r="D25" s="2" t="str">
        <f>Table135[[#This Row],[CN]]&amp;" - "&amp;Table135[[#This Row],[CNEE]]</f>
        <v>雅家居 - CASAMIA</v>
      </c>
      <c r="E25" s="10" t="str">
        <f>VLOOKUP(Table135[[#This Row],[CN]],表5[],2,FALSE)</f>
        <v>YAJIAJU</v>
      </c>
      <c r="F25" s="3" t="s">
        <v>157</v>
      </c>
      <c r="G25" s="7"/>
      <c r="H25" s="7">
        <v>2</v>
      </c>
      <c r="I25" s="7">
        <f>Table135[[#This Row],[20'']]+Table135[[#This Row],[40'']]*2</f>
        <v>4</v>
      </c>
      <c r="J25" s="7" t="s">
        <v>492</v>
      </c>
      <c r="K25" s="7" t="s">
        <v>184</v>
      </c>
      <c r="L25" s="7" t="s">
        <v>341</v>
      </c>
      <c r="M25" s="7" t="s">
        <v>90</v>
      </c>
    </row>
    <row r="26" spans="1:18" ht="57" hidden="1" x14ac:dyDescent="0.2">
      <c r="A26" s="1">
        <v>43754</v>
      </c>
      <c r="B26" s="4" t="s">
        <v>12</v>
      </c>
      <c r="C26" t="s">
        <v>35</v>
      </c>
      <c r="D26" s="2" t="str">
        <f>Table135[[#This Row],[CN]]&amp;" - "&amp;Table135[[#This Row],[CNEE]]</f>
        <v>顾家 - CASAMIA</v>
      </c>
      <c r="E26" s="10" t="str">
        <f>VLOOKUP(Table135[[#This Row],[CN]],表5[],2,FALSE)</f>
        <v>KUKA</v>
      </c>
      <c r="F26" s="3" t="s">
        <v>89</v>
      </c>
      <c r="G26" s="7"/>
      <c r="H26" s="7">
        <v>4</v>
      </c>
      <c r="I26" s="7">
        <f>Table135[[#This Row],[20'']]+Table135[[#This Row],[40'']]*2</f>
        <v>8</v>
      </c>
      <c r="J26" s="7" t="s">
        <v>197</v>
      </c>
      <c r="K26" s="7" t="s">
        <v>107</v>
      </c>
      <c r="L26" s="7"/>
      <c r="M26" s="7" t="s">
        <v>90</v>
      </c>
    </row>
    <row r="27" spans="1:18" hidden="1" x14ac:dyDescent="0.2">
      <c r="A27" s="1">
        <v>43754</v>
      </c>
      <c r="B27" t="s">
        <v>4</v>
      </c>
      <c r="C27" t="s">
        <v>30</v>
      </c>
      <c r="D27" t="str">
        <f>Table135[[#This Row],[CN]]&amp;" - "&amp;Table135[[#This Row],[CNEE]]</f>
        <v>卡帛 - HANSSEM</v>
      </c>
      <c r="E27" t="str">
        <f>VLOOKUP(Table135[[#This Row],[CN]],表5[],2,FALSE)</f>
        <v>CABO</v>
      </c>
      <c r="F27" s="3" t="s">
        <v>313</v>
      </c>
      <c r="G27" s="7"/>
      <c r="H27" s="7">
        <v>0</v>
      </c>
      <c r="I27" s="7">
        <f>Table135[[#This Row],[20'']]+Table135[[#This Row],[40'']]*2</f>
        <v>0</v>
      </c>
      <c r="J27" s="7" t="s">
        <v>3</v>
      </c>
      <c r="K27" s="7" t="s">
        <v>104</v>
      </c>
      <c r="L27" s="7" t="s">
        <v>316</v>
      </c>
      <c r="M27" s="7" t="s">
        <v>91</v>
      </c>
    </row>
    <row r="28" spans="1:18" hidden="1" x14ac:dyDescent="0.2">
      <c r="A28" s="1">
        <v>43754</v>
      </c>
      <c r="B28" t="s">
        <v>4</v>
      </c>
      <c r="C28" t="s">
        <v>34</v>
      </c>
      <c r="D28" s="2" t="str">
        <f>Table135[[#This Row],[CN]]&amp;" - "&amp;Table135[[#This Row],[CNEE]]</f>
        <v>万盛 - HANSSEM</v>
      </c>
      <c r="E28" s="10" t="str">
        <f>VLOOKUP(Table135[[#This Row],[CN]],表5[],2,FALSE)</f>
        <v>WANSHENG</v>
      </c>
      <c r="F28" s="3" t="s">
        <v>79</v>
      </c>
      <c r="G28" s="7"/>
      <c r="H28" s="7">
        <v>0</v>
      </c>
      <c r="I28" s="7">
        <f>Table135[[#This Row],[20'']]+Table135[[#This Row],[40'']]*2</f>
        <v>0</v>
      </c>
      <c r="J28" s="7" t="s">
        <v>207</v>
      </c>
      <c r="K28" s="7" t="s">
        <v>105</v>
      </c>
      <c r="L28" s="7" t="s">
        <v>315</v>
      </c>
      <c r="M28" s="7" t="s">
        <v>91</v>
      </c>
    </row>
    <row r="29" spans="1:18" hidden="1" x14ac:dyDescent="0.2">
      <c r="A29" s="1">
        <v>43754</v>
      </c>
      <c r="B29" t="s">
        <v>4</v>
      </c>
      <c r="C29" t="s">
        <v>34</v>
      </c>
      <c r="D29" s="2" t="str">
        <f>Table135[[#This Row],[CN]]&amp;" - "&amp;Table135[[#This Row],[CNEE]]</f>
        <v>万盛 - HANSSEM</v>
      </c>
      <c r="E29" s="10" t="str">
        <f>VLOOKUP(Table135[[#This Row],[CN]],表5[],2,FALSE)</f>
        <v>WANSHENG</v>
      </c>
      <c r="F29" s="3" t="s">
        <v>80</v>
      </c>
      <c r="G29" s="7"/>
      <c r="H29" s="7">
        <v>0</v>
      </c>
      <c r="I29" s="7">
        <f>Table135[[#This Row],[20'']]+Table135[[#This Row],[40'']]*2</f>
        <v>0</v>
      </c>
      <c r="J29" s="7" t="s">
        <v>208</v>
      </c>
      <c r="K29" s="7" t="s">
        <v>106</v>
      </c>
      <c r="L29" s="7" t="s">
        <v>315</v>
      </c>
      <c r="M29" s="7" t="s">
        <v>91</v>
      </c>
    </row>
    <row r="30" spans="1:18" hidden="1" x14ac:dyDescent="0.2">
      <c r="A30" s="1">
        <v>43754</v>
      </c>
      <c r="B30" s="4" t="s">
        <v>12</v>
      </c>
      <c r="C30" t="s">
        <v>33</v>
      </c>
      <c r="D30" s="2" t="str">
        <f>Table135[[#This Row],[CN]]&amp;" - "&amp;Table135[[#This Row],[CNEE]]</f>
        <v>洲际 - CASAMIA</v>
      </c>
      <c r="E30" s="10" t="str">
        <f>VLOOKUP(Table135[[#This Row],[CN]],表5[],2,FALSE)</f>
        <v>ZHOUJI</v>
      </c>
      <c r="F30" s="3" t="s">
        <v>231</v>
      </c>
      <c r="G30" s="7"/>
      <c r="H30" s="7">
        <v>1</v>
      </c>
      <c r="I30" s="7">
        <f>Table135[[#This Row],[20'']]+Table135[[#This Row],[40'']]*2</f>
        <v>2</v>
      </c>
      <c r="J30" s="7" t="s">
        <v>236</v>
      </c>
      <c r="K30" s="7" t="s">
        <v>234</v>
      </c>
      <c r="L30" s="7" t="s">
        <v>270</v>
      </c>
      <c r="M30" s="7" t="s">
        <v>90</v>
      </c>
    </row>
    <row r="31" spans="1:18" hidden="1" x14ac:dyDescent="0.2">
      <c r="A31" s="1">
        <v>43758</v>
      </c>
      <c r="B31" s="4" t="s">
        <v>12</v>
      </c>
      <c r="C31" t="s">
        <v>35</v>
      </c>
      <c r="D31" s="2" t="str">
        <f>Table135[[#This Row],[CN]]&amp;" - "&amp;Table135[[#This Row],[CNEE]]</f>
        <v>顾家 - CASAMIA</v>
      </c>
      <c r="E31" s="10" t="str">
        <f>VLOOKUP(Table135[[#This Row],[CN]],表5[],2,FALSE)</f>
        <v>KUKA</v>
      </c>
      <c r="F31" s="3" t="s">
        <v>216</v>
      </c>
      <c r="G31" s="7"/>
      <c r="H31" s="7">
        <v>1</v>
      </c>
      <c r="I31" s="7">
        <f>Table135[[#This Row],[20'']]+Table135[[#This Row],[40'']]*2</f>
        <v>2</v>
      </c>
      <c r="J31" s="7" t="s">
        <v>198</v>
      </c>
      <c r="K31" s="7" t="s">
        <v>108</v>
      </c>
      <c r="L31" s="7"/>
      <c r="M31" s="7" t="s">
        <v>90</v>
      </c>
    </row>
    <row r="32" spans="1:18" hidden="1" x14ac:dyDescent="0.2">
      <c r="A32" s="1">
        <v>43758</v>
      </c>
      <c r="B32" s="4" t="s">
        <v>318</v>
      </c>
      <c r="C32" t="s">
        <v>29</v>
      </c>
      <c r="D32" s="2" t="str">
        <f>Table135[[#This Row],[CN]]&amp;" - "&amp;Table135[[#This Row],[CNEE]]</f>
        <v>华宝 - EFFEX</v>
      </c>
      <c r="E32" s="10" t="str">
        <f>VLOOKUP(Table135[[#This Row],[CN]],表5[],2,FALSE)</f>
        <v>HUABAO</v>
      </c>
      <c r="F32" s="3" t="s">
        <v>7</v>
      </c>
      <c r="G32" s="7">
        <v>0</v>
      </c>
      <c r="H32" s="7"/>
      <c r="I32" s="7">
        <f>Table135[[#This Row],[20'']]+Table135[[#This Row],[40'']]*2</f>
        <v>0</v>
      </c>
      <c r="J32" s="7" t="s">
        <v>336</v>
      </c>
      <c r="K32" s="7" t="s">
        <v>471</v>
      </c>
      <c r="L32" s="7" t="s">
        <v>469</v>
      </c>
      <c r="M32" s="7" t="s">
        <v>90</v>
      </c>
    </row>
    <row r="33" spans="1:13" hidden="1" x14ac:dyDescent="0.2">
      <c r="A33" s="1">
        <v>43758</v>
      </c>
      <c r="B33" s="4" t="s">
        <v>12</v>
      </c>
      <c r="C33" t="s">
        <v>31</v>
      </c>
      <c r="D33" s="2" t="str">
        <f>Table135[[#This Row],[CN]]&amp;" - "&amp;Table135[[#This Row],[CNEE]]</f>
        <v>华达利 - CASAMIA</v>
      </c>
      <c r="E33" s="10" t="str">
        <f>VLOOKUP(Table135[[#This Row],[CN]],表5[],2,FALSE)</f>
        <v>HTL</v>
      </c>
      <c r="F33" s="3" t="s">
        <v>267</v>
      </c>
      <c r="G33" s="7"/>
      <c r="H33" s="7">
        <v>1</v>
      </c>
      <c r="I33" s="7">
        <f>Table135[[#This Row],[20'']]+Table135[[#This Row],[40'']]*2</f>
        <v>2</v>
      </c>
      <c r="J33" s="7" t="s">
        <v>199</v>
      </c>
      <c r="K33" s="7" t="s">
        <v>372</v>
      </c>
      <c r="L33" s="7" t="s">
        <v>373</v>
      </c>
      <c r="M33" s="7" t="s">
        <v>90</v>
      </c>
    </row>
    <row r="34" spans="1:13" ht="57" hidden="1" x14ac:dyDescent="0.2">
      <c r="A34" s="1">
        <v>43758</v>
      </c>
      <c r="B34" s="4" t="s">
        <v>12</v>
      </c>
      <c r="C34" t="s">
        <v>31</v>
      </c>
      <c r="D34" s="2" t="str">
        <f>Table135[[#This Row],[CN]]&amp;" - "&amp;Table135[[#This Row],[CNEE]]</f>
        <v>华达利 - CASAMIA</v>
      </c>
      <c r="E34" s="10" t="str">
        <f>VLOOKUP(Table135[[#This Row],[CN]],表5[],2,FALSE)</f>
        <v>HTL</v>
      </c>
      <c r="F34" s="3" t="s">
        <v>92</v>
      </c>
      <c r="G34" s="7"/>
      <c r="H34" s="7">
        <v>4</v>
      </c>
      <c r="I34" s="7">
        <f>Table135[[#This Row],[20'']]+Table135[[#This Row],[40'']]*2</f>
        <v>8</v>
      </c>
      <c r="J34" s="7" t="s">
        <v>347</v>
      </c>
      <c r="K34" s="7" t="s">
        <v>109</v>
      </c>
      <c r="L34" s="7" t="s">
        <v>348</v>
      </c>
      <c r="M34" s="7" t="s">
        <v>90</v>
      </c>
    </row>
    <row r="35" spans="1:13" ht="28.5" hidden="1" x14ac:dyDescent="0.2">
      <c r="A35" s="1">
        <v>43758</v>
      </c>
      <c r="B35" s="4" t="s">
        <v>32</v>
      </c>
      <c r="C35" t="s">
        <v>30</v>
      </c>
      <c r="D35" s="2" t="str">
        <f>Table135[[#This Row],[CN]]&amp;" - "&amp;Table135[[#This Row],[CNEE]]</f>
        <v>卡帛 - HANSSEM</v>
      </c>
      <c r="E35" s="10" t="str">
        <f>VLOOKUP(Table135[[#This Row],[CN]],表5[],2,FALSE)</f>
        <v>CABO</v>
      </c>
      <c r="F35" s="3" t="s">
        <v>314</v>
      </c>
      <c r="G35" s="7"/>
      <c r="H35" s="7">
        <v>7</v>
      </c>
      <c r="I35" s="7">
        <f>Table135[[#This Row],[20'']]+Table135[[#This Row],[40'']]*2</f>
        <v>14</v>
      </c>
      <c r="J35" s="7" t="s">
        <v>209</v>
      </c>
      <c r="K35" s="7" t="s">
        <v>317</v>
      </c>
      <c r="L35" s="7" t="s">
        <v>374</v>
      </c>
      <c r="M35" s="7" t="s">
        <v>90</v>
      </c>
    </row>
    <row r="36" spans="1:13" hidden="1" x14ac:dyDescent="0.2">
      <c r="A36" s="1">
        <v>43758</v>
      </c>
      <c r="B36" s="4" t="s">
        <v>158</v>
      </c>
      <c r="C36" t="s">
        <v>34</v>
      </c>
      <c r="D36" s="2" t="str">
        <f>Table135[[#This Row],[CN]]&amp;" - "&amp;Table135[[#This Row],[CNEE]]</f>
        <v>万盛 - HANSSEM</v>
      </c>
      <c r="E36" s="10" t="str">
        <f>VLOOKUP(Table135[[#This Row],[CN]],表5[],2,FALSE)</f>
        <v>WANSHENG</v>
      </c>
      <c r="F36" s="3" t="s">
        <v>191</v>
      </c>
      <c r="G36" s="7"/>
      <c r="H36" s="7">
        <v>2</v>
      </c>
      <c r="I36" s="7">
        <f>Table135[[#This Row],[20'']]+Table135[[#This Row],[40'']]*2</f>
        <v>4</v>
      </c>
      <c r="J36" s="7" t="s">
        <v>349</v>
      </c>
      <c r="K36" s="7" t="s">
        <v>188</v>
      </c>
      <c r="L36" s="7"/>
      <c r="M36" s="7" t="s">
        <v>90</v>
      </c>
    </row>
    <row r="37" spans="1:13" hidden="1" x14ac:dyDescent="0.2">
      <c r="A37" s="1">
        <v>43758</v>
      </c>
      <c r="B37" s="4" t="s">
        <v>158</v>
      </c>
      <c r="C37" t="s">
        <v>34</v>
      </c>
      <c r="D37" s="2" t="str">
        <f>Table135[[#This Row],[CN]]&amp;" - "&amp;Table135[[#This Row],[CNEE]]</f>
        <v>万盛 - HANSSEM</v>
      </c>
      <c r="E37" s="10" t="str">
        <f>VLOOKUP(Table135[[#This Row],[CN]],表5[],2,FALSE)</f>
        <v>WANSHENG</v>
      </c>
      <c r="F37" s="3" t="s">
        <v>192</v>
      </c>
      <c r="G37" s="7"/>
      <c r="H37" s="7">
        <v>2</v>
      </c>
      <c r="I37" s="7">
        <f>Table135[[#This Row],[20'']]+Table135[[#This Row],[40'']]*2</f>
        <v>4</v>
      </c>
      <c r="J37" s="7" t="s">
        <v>350</v>
      </c>
      <c r="K37" s="7" t="s">
        <v>189</v>
      </c>
      <c r="L37" s="7"/>
      <c r="M37" s="7" t="s">
        <v>90</v>
      </c>
    </row>
    <row r="38" spans="1:13" hidden="1" x14ac:dyDescent="0.2">
      <c r="A38" s="1">
        <v>43758</v>
      </c>
      <c r="B38" s="4" t="s">
        <v>158</v>
      </c>
      <c r="C38" t="s">
        <v>34</v>
      </c>
      <c r="D38" s="2" t="str">
        <f>Table135[[#This Row],[CN]]&amp;" - "&amp;Table135[[#This Row],[CNEE]]</f>
        <v>万盛 - HANSSEM</v>
      </c>
      <c r="E38" s="10" t="str">
        <f>VLOOKUP(Table135[[#This Row],[CN]],表5[],2,FALSE)</f>
        <v>WANSHENG</v>
      </c>
      <c r="F38" s="3" t="s">
        <v>193</v>
      </c>
      <c r="G38" s="7"/>
      <c r="H38" s="7">
        <v>0</v>
      </c>
      <c r="I38" s="7">
        <f>Table135[[#This Row],[20'']]+Table135[[#This Row],[40'']]*2</f>
        <v>0</v>
      </c>
      <c r="J38" s="7" t="s">
        <v>351</v>
      </c>
      <c r="K38" s="7" t="s">
        <v>190</v>
      </c>
      <c r="L38" s="7" t="s">
        <v>457</v>
      </c>
      <c r="M38" s="7" t="s">
        <v>90</v>
      </c>
    </row>
    <row r="39" spans="1:13" hidden="1" x14ac:dyDescent="0.2">
      <c r="A39" s="1">
        <v>43758</v>
      </c>
      <c r="B39" s="4" t="s">
        <v>32</v>
      </c>
      <c r="C39" t="s">
        <v>34</v>
      </c>
      <c r="D39" s="2" t="str">
        <f>Table135[[#This Row],[CN]]&amp;" - "&amp;Table135[[#This Row],[CNEE]]</f>
        <v>万盛 - HANSSEM</v>
      </c>
      <c r="E39" s="10" t="str">
        <f>VLOOKUP(Table135[[#This Row],[CN]],表5[],2,FALSE)</f>
        <v>WANSHENG</v>
      </c>
      <c r="F39" s="3" t="s">
        <v>79</v>
      </c>
      <c r="G39" s="7"/>
      <c r="H39" s="7">
        <v>2</v>
      </c>
      <c r="I39" s="7">
        <f>Table135[[#This Row],[20'']]+Table135[[#This Row],[40'']]*2</f>
        <v>4</v>
      </c>
      <c r="J39" s="7" t="s">
        <v>352</v>
      </c>
      <c r="K39" s="7" t="s">
        <v>319</v>
      </c>
      <c r="L39" s="7"/>
      <c r="M39" s="7" t="s">
        <v>328</v>
      </c>
    </row>
    <row r="40" spans="1:13" hidden="1" x14ac:dyDescent="0.2">
      <c r="A40" s="1">
        <v>43758</v>
      </c>
      <c r="B40" s="4" t="s">
        <v>12</v>
      </c>
      <c r="C40" t="s">
        <v>28</v>
      </c>
      <c r="D40" s="2" t="str">
        <f>Table135[[#This Row],[CN]]&amp;" - "&amp;Table135[[#This Row],[CNEE]]</f>
        <v>雅家居 - CASAMIA</v>
      </c>
      <c r="E40" s="10" t="str">
        <f>VLOOKUP(Table135[[#This Row],[CN]],表5[],2,FALSE)</f>
        <v>YAJIAJU</v>
      </c>
      <c r="F40" s="3" t="s">
        <v>329</v>
      </c>
      <c r="G40" s="7"/>
      <c r="H40" s="7">
        <v>2</v>
      </c>
      <c r="I40" s="7">
        <f>Table135[[#This Row],[20'']]+Table135[[#This Row],[40'']]*2</f>
        <v>4</v>
      </c>
      <c r="J40" s="7" t="s">
        <v>495</v>
      </c>
      <c r="K40" s="7" t="s">
        <v>327</v>
      </c>
      <c r="L40" s="7" t="s">
        <v>340</v>
      </c>
      <c r="M40" s="7" t="s">
        <v>90</v>
      </c>
    </row>
    <row r="41" spans="1:13" hidden="1" x14ac:dyDescent="0.2">
      <c r="A41" s="1">
        <v>43758</v>
      </c>
      <c r="B41" s="4" t="s">
        <v>12</v>
      </c>
      <c r="C41" t="s">
        <v>33</v>
      </c>
      <c r="D41" s="2" t="str">
        <f>Table135[[#This Row],[CN]]&amp;" - "&amp;Table135[[#This Row],[CNEE]]</f>
        <v>洲际 - CASAMIA</v>
      </c>
      <c r="E41" s="10" t="str">
        <f>VLOOKUP(Table135[[#This Row],[CN]],表5[],2,FALSE)</f>
        <v>ZHOUJI</v>
      </c>
      <c r="F41" s="3" t="s">
        <v>232</v>
      </c>
      <c r="G41" s="7"/>
      <c r="H41" s="7">
        <v>1</v>
      </c>
      <c r="I41" s="7">
        <f>Table135[[#This Row],[20'']]+Table135[[#This Row],[40'']]*2</f>
        <v>2</v>
      </c>
      <c r="J41" s="7" t="s">
        <v>237</v>
      </c>
      <c r="K41" s="7" t="s">
        <v>235</v>
      </c>
      <c r="L41" s="7" t="s">
        <v>271</v>
      </c>
      <c r="M41" s="7" t="s">
        <v>90</v>
      </c>
    </row>
    <row r="42" spans="1:13" hidden="1" x14ac:dyDescent="0.2">
      <c r="A42" s="1">
        <v>43761</v>
      </c>
      <c r="B42" s="4" t="s">
        <v>32</v>
      </c>
      <c r="C42" t="s">
        <v>35</v>
      </c>
      <c r="D42" s="2" t="str">
        <f>Table135[[#This Row],[CN]]&amp;" - "&amp;Table135[[#This Row],[CNEE]]</f>
        <v>顾家 - HANSSEM</v>
      </c>
      <c r="E42" s="10" t="str">
        <f>VLOOKUP(Table135[[#This Row],[CN]],表5[],2,FALSE)</f>
        <v>KUKA</v>
      </c>
      <c r="F42" s="3" t="s">
        <v>278</v>
      </c>
      <c r="G42" s="7"/>
      <c r="H42" s="7">
        <v>1</v>
      </c>
      <c r="I42" s="7">
        <f>Table135[[#This Row],[20'']]+Table135[[#This Row],[40'']]*2</f>
        <v>2</v>
      </c>
      <c r="J42" s="7" t="s">
        <v>333</v>
      </c>
      <c r="K42" s="7" t="s">
        <v>332</v>
      </c>
      <c r="L42" s="7" t="s">
        <v>401</v>
      </c>
      <c r="M42" s="7" t="s">
        <v>90</v>
      </c>
    </row>
    <row r="43" spans="1:13" hidden="1" x14ac:dyDescent="0.2">
      <c r="A43" s="1">
        <v>43761</v>
      </c>
      <c r="B43" s="4" t="s">
        <v>318</v>
      </c>
      <c r="C43" t="s">
        <v>29</v>
      </c>
      <c r="D43" s="2" t="str">
        <f>Table135[[#This Row],[CN]]&amp;" - "&amp;Table135[[#This Row],[CNEE]]</f>
        <v>华宝 - EFFEX</v>
      </c>
      <c r="E43" s="10" t="str">
        <f>VLOOKUP(Table135[[#This Row],[CN]],表5[],2,FALSE)</f>
        <v>HUABAO</v>
      </c>
      <c r="F43" s="3" t="s">
        <v>7</v>
      </c>
      <c r="G43" s="7">
        <v>7</v>
      </c>
      <c r="H43" s="7"/>
      <c r="I43" s="7">
        <f>Table135[[#This Row],[20'']]+Table135[[#This Row],[40'']]*2</f>
        <v>7</v>
      </c>
      <c r="J43" s="7" t="s">
        <v>323</v>
      </c>
      <c r="K43" s="7" t="s">
        <v>320</v>
      </c>
      <c r="L43" s="7" t="s">
        <v>410</v>
      </c>
      <c r="M43" s="7" t="s">
        <v>90</v>
      </c>
    </row>
    <row r="44" spans="1:13" ht="42.75" hidden="1" x14ac:dyDescent="0.2">
      <c r="A44" s="1">
        <v>43761</v>
      </c>
      <c r="B44" t="s">
        <v>12</v>
      </c>
      <c r="C44" t="s">
        <v>31</v>
      </c>
      <c r="D44" s="2" t="str">
        <f>Table135[[#This Row],[CN]]&amp;" - "&amp;Table135[[#This Row],[CNEE]]</f>
        <v>华达利 - CASAMIA</v>
      </c>
      <c r="E44" s="10" t="str">
        <f>VLOOKUP(Table135[[#This Row],[CN]],表5[],2,FALSE)</f>
        <v>HTL</v>
      </c>
      <c r="F44" s="3" t="s">
        <v>295</v>
      </c>
      <c r="G44" s="7"/>
      <c r="H44" s="7">
        <v>3</v>
      </c>
      <c r="I44" s="7">
        <f>Table135[[#This Row],[20'']]+Table135[[#This Row],[40'']]*2</f>
        <v>6</v>
      </c>
      <c r="J44" s="7" t="s">
        <v>229</v>
      </c>
      <c r="K44" s="7" t="s">
        <v>228</v>
      </c>
      <c r="L44" s="7" t="s">
        <v>402</v>
      </c>
      <c r="M44" s="7" t="s">
        <v>90</v>
      </c>
    </row>
    <row r="45" spans="1:13" ht="28.5" hidden="1" x14ac:dyDescent="0.2">
      <c r="A45" s="1">
        <v>43761</v>
      </c>
      <c r="B45" s="4" t="s">
        <v>12</v>
      </c>
      <c r="C45" t="s">
        <v>31</v>
      </c>
      <c r="D45" s="2" t="str">
        <f>Table135[[#This Row],[CN]]&amp;" - "&amp;Table135[[#This Row],[CNEE]]</f>
        <v>华达利 - CASAMIA</v>
      </c>
      <c r="E45" s="10" t="str">
        <f>VLOOKUP(Table135[[#This Row],[CN]],表5[],2,FALSE)</f>
        <v>HTL</v>
      </c>
      <c r="F45" s="3" t="s">
        <v>274</v>
      </c>
      <c r="G45" s="7"/>
      <c r="H45" s="7">
        <v>2</v>
      </c>
      <c r="I45" s="7">
        <f>Table135[[#This Row],[20'']]+Table135[[#This Row],[40'']]*2</f>
        <v>4</v>
      </c>
      <c r="J45" s="7" t="s">
        <v>285</v>
      </c>
      <c r="K45" s="7" t="s">
        <v>279</v>
      </c>
      <c r="L45" s="7"/>
      <c r="M45" s="7" t="s">
        <v>90</v>
      </c>
    </row>
    <row r="46" spans="1:13" hidden="1" x14ac:dyDescent="0.2">
      <c r="A46" s="1">
        <v>43761</v>
      </c>
      <c r="B46" s="4" t="s">
        <v>4</v>
      </c>
      <c r="C46" t="s">
        <v>34</v>
      </c>
      <c r="D46" s="2" t="str">
        <f>Table135[[#This Row],[CN]]&amp;" - "&amp;Table135[[#This Row],[CNEE]]</f>
        <v>万盛 - HANSSEM</v>
      </c>
      <c r="E46" s="10" t="str">
        <f>VLOOKUP(Table135[[#This Row],[CN]],表5[],2,FALSE)</f>
        <v>WANSHENG</v>
      </c>
      <c r="F46" s="3" t="s">
        <v>266</v>
      </c>
      <c r="G46" s="7"/>
      <c r="H46" s="7">
        <v>2</v>
      </c>
      <c r="I46" s="7">
        <f>Table135[[#This Row],[20'']]+Table135[[#This Row],[40'']]*2</f>
        <v>4</v>
      </c>
      <c r="J46" s="7" t="s">
        <v>287</v>
      </c>
      <c r="K46" s="7" t="s">
        <v>280</v>
      </c>
      <c r="L46" s="7"/>
      <c r="M46" s="7" t="s">
        <v>90</v>
      </c>
    </row>
    <row r="47" spans="1:13" hidden="1" x14ac:dyDescent="0.2">
      <c r="A47" s="1">
        <v>43761</v>
      </c>
      <c r="B47" s="4" t="s">
        <v>77</v>
      </c>
      <c r="C47" t="s">
        <v>27</v>
      </c>
      <c r="D47" s="2" t="str">
        <f>Table135[[#This Row],[CN]]&amp;" - "&amp;Table135[[#This Row],[CNEE]]</f>
        <v>永艺 - SSEM</v>
      </c>
      <c r="E47" s="10" t="str">
        <f>VLOOKUP(Table135[[#This Row],[CN]],表5[],2,FALSE)</f>
        <v>UE</v>
      </c>
      <c r="F47" s="3" t="s">
        <v>334</v>
      </c>
      <c r="G47" s="7"/>
      <c r="H47" s="7">
        <v>2</v>
      </c>
      <c r="I47" s="7">
        <f>Table135[[#This Row],[20'']]+Table135[[#This Row],[40'']]*2</f>
        <v>4</v>
      </c>
      <c r="J47" s="7" t="s">
        <v>338</v>
      </c>
      <c r="K47" s="7" t="s">
        <v>343</v>
      </c>
      <c r="L47" s="7"/>
      <c r="M47" s="7" t="s">
        <v>90</v>
      </c>
    </row>
    <row r="48" spans="1:13" hidden="1" x14ac:dyDescent="0.2">
      <c r="A48" s="1">
        <v>43765</v>
      </c>
      <c r="B48" s="4" t="s">
        <v>32</v>
      </c>
      <c r="C48" t="s">
        <v>275</v>
      </c>
      <c r="D48" s="2" t="str">
        <f>Table135[[#This Row],[CN]]&amp;" - "&amp;Table135[[#This Row],[CNEE]]</f>
        <v>顾家 - HANSSEM</v>
      </c>
      <c r="E48" s="10" t="str">
        <f>VLOOKUP(Table135[[#This Row],[CN]],表5[],2,FALSE)</f>
        <v>KUKA</v>
      </c>
      <c r="F48" s="3" t="s">
        <v>307</v>
      </c>
      <c r="G48" s="7"/>
      <c r="H48" s="7">
        <v>2</v>
      </c>
      <c r="I48" s="7">
        <f>Table135[[#This Row],[20'']]+Table135[[#This Row],[40'']]*2</f>
        <v>4</v>
      </c>
      <c r="J48" s="7" t="s">
        <v>331</v>
      </c>
      <c r="K48" s="7" t="s">
        <v>282</v>
      </c>
      <c r="L48" s="7"/>
      <c r="M48" s="7" t="s">
        <v>90</v>
      </c>
    </row>
    <row r="49" spans="1:13" hidden="1" x14ac:dyDescent="0.2">
      <c r="A49" s="1">
        <v>43765</v>
      </c>
      <c r="B49" s="4" t="s">
        <v>318</v>
      </c>
      <c r="C49" t="s">
        <v>29</v>
      </c>
      <c r="D49" s="2" t="str">
        <f>Table135[[#This Row],[CN]]&amp;" - "&amp;Table135[[#This Row],[CNEE]]</f>
        <v>华宝 - EFFEX</v>
      </c>
      <c r="E49" s="10" t="str">
        <f>VLOOKUP(Table135[[#This Row],[CN]],表5[],2,FALSE)</f>
        <v>HUABAO</v>
      </c>
      <c r="F49" s="3" t="s">
        <v>7</v>
      </c>
      <c r="G49" s="7">
        <v>3</v>
      </c>
      <c r="H49" s="7"/>
      <c r="I49" s="7">
        <f>Table135[[#This Row],[20'']]+Table135[[#This Row],[40'']]*2</f>
        <v>3</v>
      </c>
      <c r="J49" s="7" t="s">
        <v>336</v>
      </c>
      <c r="K49" s="7" t="s">
        <v>482</v>
      </c>
      <c r="L49" s="7" t="s">
        <v>470</v>
      </c>
      <c r="M49" s="7" t="s">
        <v>90</v>
      </c>
    </row>
    <row r="50" spans="1:13" hidden="1" x14ac:dyDescent="0.2">
      <c r="A50" s="1">
        <v>43765</v>
      </c>
      <c r="B50" s="4" t="s">
        <v>318</v>
      </c>
      <c r="C50" t="s">
        <v>29</v>
      </c>
      <c r="D50" s="2" t="str">
        <f>Table135[[#This Row],[CN]]&amp;" - "&amp;Table135[[#This Row],[CNEE]]</f>
        <v>华宝 - EFFEX</v>
      </c>
      <c r="E50" s="10" t="str">
        <f>VLOOKUP(Table135[[#This Row],[CN]],表5[],2,FALSE)</f>
        <v>HUABAO</v>
      </c>
      <c r="F50" s="3" t="s">
        <v>7</v>
      </c>
      <c r="G50" s="7">
        <v>10</v>
      </c>
      <c r="H50" s="7"/>
      <c r="I50" s="7">
        <f>Table135[[#This Row],[20'']]+Table135[[#This Row],[40'']]*2</f>
        <v>10</v>
      </c>
      <c r="J50" s="7" t="s">
        <v>382</v>
      </c>
      <c r="K50" s="7" t="s">
        <v>375</v>
      </c>
      <c r="L50" s="7" t="s">
        <v>376</v>
      </c>
      <c r="M50" s="7" t="s">
        <v>90</v>
      </c>
    </row>
    <row r="51" spans="1:13" ht="28.5" hidden="1" x14ac:dyDescent="0.2">
      <c r="A51" s="1">
        <v>43765</v>
      </c>
      <c r="B51" s="4" t="s">
        <v>12</v>
      </c>
      <c r="C51" t="s">
        <v>31</v>
      </c>
      <c r="D51" s="2" t="str">
        <f>Table135[[#This Row],[CN]]&amp;" - "&amp;Table135[[#This Row],[CNEE]]</f>
        <v>华达利 - CASAMIA</v>
      </c>
      <c r="E51" s="10" t="str">
        <f>VLOOKUP(Table135[[#This Row],[CN]],表5[],2,FALSE)</f>
        <v>HTL</v>
      </c>
      <c r="F51" s="3" t="s">
        <v>273</v>
      </c>
      <c r="G51" s="7"/>
      <c r="H51" s="7">
        <v>2</v>
      </c>
      <c r="I51" s="7">
        <f>Table135[[#This Row],[20'']]+Table135[[#This Row],[40'']]*2</f>
        <v>4</v>
      </c>
      <c r="J51" s="7" t="s">
        <v>289</v>
      </c>
      <c r="K51" s="7" t="s">
        <v>281</v>
      </c>
      <c r="L51" s="7"/>
      <c r="M51" s="7" t="s">
        <v>90</v>
      </c>
    </row>
    <row r="52" spans="1:13" hidden="1" x14ac:dyDescent="0.2">
      <c r="A52" s="1">
        <v>43765</v>
      </c>
      <c r="B52" s="4" t="s">
        <v>32</v>
      </c>
      <c r="C52" t="s">
        <v>34</v>
      </c>
      <c r="D52" s="2" t="str">
        <f>Table135[[#This Row],[CN]]&amp;" - "&amp;Table135[[#This Row],[CNEE]]</f>
        <v>万盛 - HANSSEM</v>
      </c>
      <c r="E52" s="10" t="str">
        <f>VLOOKUP(Table135[[#This Row],[CN]],表5[],2,FALSE)</f>
        <v>WANSHENG</v>
      </c>
      <c r="F52" s="3" t="s">
        <v>300</v>
      </c>
      <c r="G52" s="7"/>
      <c r="H52" s="7">
        <v>2</v>
      </c>
      <c r="I52" s="7">
        <f>Table135[[#This Row],[20'']]+Table135[[#This Row],[40'']]*2</f>
        <v>4</v>
      </c>
      <c r="J52" s="7" t="s">
        <v>324</v>
      </c>
      <c r="K52" s="7" t="s">
        <v>303</v>
      </c>
      <c r="L52" s="7"/>
      <c r="M52" s="7" t="s">
        <v>90</v>
      </c>
    </row>
    <row r="53" spans="1:13" hidden="1" x14ac:dyDescent="0.2">
      <c r="A53" s="1">
        <v>43765</v>
      </c>
      <c r="B53" s="4" t="s">
        <v>32</v>
      </c>
      <c r="C53" t="s">
        <v>34</v>
      </c>
      <c r="D53" s="2" t="str">
        <f>Table135[[#This Row],[CN]]&amp;" - "&amp;Table135[[#This Row],[CNEE]]</f>
        <v>万盛 - HANSSEM</v>
      </c>
      <c r="E53" s="10" t="str">
        <f>VLOOKUP(Table135[[#This Row],[CN]],表5[],2,FALSE)</f>
        <v>WANSHENG</v>
      </c>
      <c r="F53" s="3" t="s">
        <v>301</v>
      </c>
      <c r="G53" s="7"/>
      <c r="H53" s="7">
        <v>1</v>
      </c>
      <c r="I53" s="7">
        <f>Table135[[#This Row],[20'']]+Table135[[#This Row],[40'']]*2</f>
        <v>2</v>
      </c>
      <c r="J53" s="7" t="s">
        <v>325</v>
      </c>
      <c r="K53" s="7" t="s">
        <v>304</v>
      </c>
      <c r="L53" s="7"/>
      <c r="M53" s="7" t="s">
        <v>90</v>
      </c>
    </row>
    <row r="54" spans="1:13" hidden="1" x14ac:dyDescent="0.2">
      <c r="A54" s="1">
        <v>43765</v>
      </c>
      <c r="B54" s="4" t="s">
        <v>32</v>
      </c>
      <c r="C54" t="s">
        <v>34</v>
      </c>
      <c r="D54" s="2" t="str">
        <f>Table135[[#This Row],[CN]]&amp;" - "&amp;Table135[[#This Row],[CNEE]]</f>
        <v>万盛 - HANSSEM</v>
      </c>
      <c r="E54" s="10" t="str">
        <f>VLOOKUP(Table135[[#This Row],[CN]],表5[],2,FALSE)</f>
        <v>WANSHENG</v>
      </c>
      <c r="F54" s="3" t="s">
        <v>193</v>
      </c>
      <c r="G54" s="7"/>
      <c r="H54" s="7">
        <v>1</v>
      </c>
      <c r="I54" s="7">
        <f>Table135[[#This Row],[20'']]+Table135[[#This Row],[40'']]*2</f>
        <v>2</v>
      </c>
      <c r="J54" s="7" t="s">
        <v>463</v>
      </c>
      <c r="K54" s="7" t="s">
        <v>459</v>
      </c>
      <c r="L54" s="7" t="s">
        <v>496</v>
      </c>
      <c r="M54" s="7" t="s">
        <v>90</v>
      </c>
    </row>
    <row r="55" spans="1:13" hidden="1" x14ac:dyDescent="0.2">
      <c r="A55" s="1">
        <v>43765</v>
      </c>
      <c r="B55" s="4" t="s">
        <v>77</v>
      </c>
      <c r="C55" t="s">
        <v>27</v>
      </c>
      <c r="D55" s="2" t="str">
        <f>Table135[[#This Row],[CN]]&amp;" - "&amp;Table135[[#This Row],[CNEE]]</f>
        <v>永艺 - SSEM</v>
      </c>
      <c r="E55" s="10" t="str">
        <f>VLOOKUP(Table135[[#This Row],[CN]],表5[],2,FALSE)</f>
        <v>UE</v>
      </c>
      <c r="F55" s="3" t="s">
        <v>334</v>
      </c>
      <c r="G55" s="7"/>
      <c r="H55" s="7">
        <v>0</v>
      </c>
      <c r="I55" s="7">
        <f>Table135[[#This Row],[20'']]+Table135[[#This Row],[40'']]*2</f>
        <v>0</v>
      </c>
      <c r="J55" s="7" t="s">
        <v>351</v>
      </c>
      <c r="K55" s="7" t="s">
        <v>335</v>
      </c>
      <c r="L55" s="7" t="s">
        <v>342</v>
      </c>
      <c r="M55" s="7" t="s">
        <v>90</v>
      </c>
    </row>
    <row r="56" spans="1:13" hidden="1" x14ac:dyDescent="0.2">
      <c r="A56" s="1">
        <v>43765</v>
      </c>
      <c r="B56" s="4" t="s">
        <v>77</v>
      </c>
      <c r="C56" t="s">
        <v>27</v>
      </c>
      <c r="D56" s="2" t="str">
        <f>Table135[[#This Row],[CN]]&amp;" - "&amp;Table135[[#This Row],[CNEE]]</f>
        <v>永艺 - SSEM</v>
      </c>
      <c r="E56" s="10" t="str">
        <f>VLOOKUP(Table135[[#This Row],[CN]],表5[],2,FALSE)</f>
        <v>UE</v>
      </c>
      <c r="F56" s="3" t="s">
        <v>412</v>
      </c>
      <c r="G56" s="7"/>
      <c r="H56" s="7">
        <v>4</v>
      </c>
      <c r="I56" s="7">
        <f>Table135[[#This Row],[20'']]+Table135[[#This Row],[40'']]*2</f>
        <v>8</v>
      </c>
      <c r="J56" s="7" t="s">
        <v>426</v>
      </c>
      <c r="K56" s="7" t="s">
        <v>425</v>
      </c>
      <c r="L56" s="7" t="s">
        <v>472</v>
      </c>
      <c r="M56" s="7" t="s">
        <v>90</v>
      </c>
    </row>
    <row r="57" spans="1:13" hidden="1" x14ac:dyDescent="0.2">
      <c r="A57" s="1">
        <v>43768</v>
      </c>
      <c r="B57" s="4" t="s">
        <v>32</v>
      </c>
      <c r="C57" t="s">
        <v>35</v>
      </c>
      <c r="D57" s="2" t="str">
        <f>Table135[[#This Row],[CN]]&amp;" - "&amp;Table135[[#This Row],[CNEE]]</f>
        <v>顾家 - HANSSEM</v>
      </c>
      <c r="E57" s="10" t="str">
        <f>VLOOKUP(Table135[[#This Row],[CN]],表5[],2,FALSE)</f>
        <v>KUKA</v>
      </c>
      <c r="F57" s="3" t="s">
        <v>308</v>
      </c>
      <c r="G57" s="7"/>
      <c r="H57" s="7">
        <v>1</v>
      </c>
      <c r="I57" s="7">
        <f>Table135[[#This Row],[20'']]+Table135[[#This Row],[40'']]*2</f>
        <v>2</v>
      </c>
      <c r="J57" s="7" t="s">
        <v>321</v>
      </c>
      <c r="K57" s="7" t="s">
        <v>305</v>
      </c>
      <c r="L57" s="7"/>
      <c r="M57" s="7" t="s">
        <v>90</v>
      </c>
    </row>
    <row r="58" spans="1:13" hidden="1" x14ac:dyDescent="0.2">
      <c r="A58" s="1">
        <v>43768</v>
      </c>
      <c r="B58" s="4" t="s">
        <v>318</v>
      </c>
      <c r="C58" t="s">
        <v>29</v>
      </c>
      <c r="D58" s="2" t="str">
        <f>Table135[[#This Row],[CN]]&amp;" - "&amp;Table135[[#This Row],[CNEE]]</f>
        <v>华宝 - EFFEX</v>
      </c>
      <c r="E58" s="10" t="str">
        <f>VLOOKUP(Table135[[#This Row],[CN]],表5[],2,FALSE)</f>
        <v>HUABAO</v>
      </c>
      <c r="F58" s="3" t="s">
        <v>7</v>
      </c>
      <c r="G58" s="7">
        <v>8</v>
      </c>
      <c r="H58" s="7"/>
      <c r="I58" s="7">
        <f>Table135[[#This Row],[20'']]+Table135[[#This Row],[40'']]*2</f>
        <v>8</v>
      </c>
      <c r="J58" s="7" t="s">
        <v>383</v>
      </c>
      <c r="K58" s="7" t="s">
        <v>378</v>
      </c>
      <c r="L58" s="7" t="s">
        <v>379</v>
      </c>
      <c r="M58" s="7" t="s">
        <v>90</v>
      </c>
    </row>
    <row r="59" spans="1:13" ht="42.75" hidden="1" x14ac:dyDescent="0.2">
      <c r="A59" s="1">
        <v>43768</v>
      </c>
      <c r="B59" s="4" t="s">
        <v>12</v>
      </c>
      <c r="C59" t="s">
        <v>31</v>
      </c>
      <c r="D59" s="2" t="str">
        <f>Table135[[#This Row],[CN]]&amp;" - "&amp;Table135[[#This Row],[CNEE]]</f>
        <v>华达利 - CASAMIA</v>
      </c>
      <c r="E59" s="10" t="str">
        <f>VLOOKUP(Table135[[#This Row],[CN]],表5[],2,FALSE)</f>
        <v>HTL</v>
      </c>
      <c r="F59" s="3" t="s">
        <v>272</v>
      </c>
      <c r="G59" s="7"/>
      <c r="H59" s="7">
        <v>3</v>
      </c>
      <c r="I59" s="7">
        <f>Table135[[#This Row],[20'']]+Table135[[#This Row],[40'']]*2</f>
        <v>6</v>
      </c>
      <c r="J59" s="7" t="s">
        <v>290</v>
      </c>
      <c r="K59" s="7" t="s">
        <v>283</v>
      </c>
      <c r="L59" s="7" t="s">
        <v>427</v>
      </c>
      <c r="M59" s="7" t="s">
        <v>90</v>
      </c>
    </row>
    <row r="60" spans="1:13" hidden="1" x14ac:dyDescent="0.2">
      <c r="A60" s="1">
        <v>43768</v>
      </c>
      <c r="B60" s="4" t="s">
        <v>32</v>
      </c>
      <c r="C60" t="s">
        <v>34</v>
      </c>
      <c r="D60" s="2" t="str">
        <f>Table135[[#This Row],[CN]]&amp;" - "&amp;Table135[[#This Row],[CNEE]]</f>
        <v>万盛 - HANSSEM</v>
      </c>
      <c r="E60" s="10" t="str">
        <f>VLOOKUP(Table135[[#This Row],[CN]],表5[],2,FALSE)</f>
        <v>WANSHENG</v>
      </c>
      <c r="F60" s="3" t="s">
        <v>299</v>
      </c>
      <c r="G60" s="7"/>
      <c r="H60" s="7">
        <v>1</v>
      </c>
      <c r="I60" s="7">
        <f>Table135[[#This Row],[20'']]+Table135[[#This Row],[40'']]*2</f>
        <v>2</v>
      </c>
      <c r="J60" s="7" t="s">
        <v>326</v>
      </c>
      <c r="K60" s="7" t="s">
        <v>306</v>
      </c>
      <c r="L60" s="7"/>
      <c r="M60" s="7" t="s">
        <v>90</v>
      </c>
    </row>
    <row r="61" spans="1:13" hidden="1" x14ac:dyDescent="0.2">
      <c r="A61" s="1">
        <v>43768</v>
      </c>
      <c r="B61" s="4" t="s">
        <v>12</v>
      </c>
      <c r="C61" t="s">
        <v>28</v>
      </c>
      <c r="D61" s="2" t="str">
        <f>Table135[[#This Row],[CN]]&amp;" - "&amp;Table135[[#This Row],[CNEE]]</f>
        <v>雅家居 - CASAMIA</v>
      </c>
      <c r="E61" s="10" t="str">
        <f>VLOOKUP(Table135[[#This Row],[CN]],表5[],2,FALSE)</f>
        <v>YAJIAJU</v>
      </c>
      <c r="F61" s="3" t="s">
        <v>381</v>
      </c>
      <c r="G61" s="7"/>
      <c r="H61" s="7">
        <v>2</v>
      </c>
      <c r="I61" s="7">
        <f>Table135[[#This Row],[20'']]+Table135[[#This Row],[40'']]*2</f>
        <v>4</v>
      </c>
      <c r="J61" s="7" t="s">
        <v>380</v>
      </c>
      <c r="K61" s="7" t="s">
        <v>377</v>
      </c>
      <c r="L61" s="7"/>
      <c r="M61" s="7" t="s">
        <v>90</v>
      </c>
    </row>
    <row r="62" spans="1:13" hidden="1" x14ac:dyDescent="0.2">
      <c r="A62" s="1">
        <v>43768</v>
      </c>
      <c r="B62" s="4" t="s">
        <v>12</v>
      </c>
      <c r="C62" t="s">
        <v>33</v>
      </c>
      <c r="D62" s="2" t="str">
        <f>Table135[[#This Row],[CN]]&amp;" - "&amp;Table135[[#This Row],[CNEE]]</f>
        <v>洲际 - CASAMIA</v>
      </c>
      <c r="E62" s="10" t="str">
        <f>VLOOKUP(Table135[[#This Row],[CN]],表5[],2,FALSE)</f>
        <v>ZHOUJI</v>
      </c>
      <c r="F62" s="35" t="s">
        <v>371</v>
      </c>
      <c r="G62" s="7"/>
      <c r="H62" s="7">
        <v>1</v>
      </c>
      <c r="I62" s="7">
        <f>Table135[[#This Row],[20'']]+Table135[[#This Row],[40'']]*2</f>
        <v>2</v>
      </c>
      <c r="J62" s="7" t="s">
        <v>370</v>
      </c>
      <c r="K62" s="7" t="s">
        <v>369</v>
      </c>
      <c r="L62" s="7"/>
      <c r="M62" s="7" t="s">
        <v>90</v>
      </c>
    </row>
    <row r="63" spans="1:13" hidden="1" x14ac:dyDescent="0.2">
      <c r="A63" s="1">
        <v>43772</v>
      </c>
      <c r="B63" s="4" t="s">
        <v>77</v>
      </c>
      <c r="C63" t="s">
        <v>525</v>
      </c>
      <c r="D63" s="2" t="str">
        <f>Table135[[#This Row],[CN]]&amp;" - "&amp;Table135[[#This Row],[CNEE]]</f>
        <v>富和 - SSEM</v>
      </c>
      <c r="E63" s="10" t="str">
        <f>VLOOKUP(Table135[[#This Row],[CN]],表5[],2,FALSE)</f>
        <v>FUHE</v>
      </c>
      <c r="F63" s="3" t="s">
        <v>487</v>
      </c>
      <c r="G63" s="7"/>
      <c r="H63" s="7">
        <v>1</v>
      </c>
      <c r="I63" s="7">
        <f>Table135[[#This Row],[20'']]+Table135[[#This Row],[40'']]*2</f>
        <v>2</v>
      </c>
      <c r="J63" s="7" t="s">
        <v>488</v>
      </c>
      <c r="K63" s="7" t="s">
        <v>478</v>
      </c>
      <c r="L63" s="7"/>
      <c r="M63" s="7" t="s">
        <v>90</v>
      </c>
    </row>
    <row r="64" spans="1:13" hidden="1" x14ac:dyDescent="0.2">
      <c r="A64" s="1">
        <v>43772</v>
      </c>
      <c r="B64" s="4" t="s">
        <v>32</v>
      </c>
      <c r="C64" t="s">
        <v>275</v>
      </c>
      <c r="D64" s="2" t="str">
        <f>Table135[[#This Row],[CN]]&amp;" - "&amp;Table135[[#This Row],[CNEE]]</f>
        <v>顾家 - HANSSEM</v>
      </c>
      <c r="E64" s="10" t="str">
        <f>VLOOKUP(Table135[[#This Row],[CN]],表5[],2,FALSE)</f>
        <v>KUKA</v>
      </c>
      <c r="F64" s="3" t="s">
        <v>276</v>
      </c>
      <c r="G64" s="7"/>
      <c r="H64" s="7">
        <v>2</v>
      </c>
      <c r="I64" s="7">
        <f>Table135[[#This Row],[20'']]+Table135[[#This Row],[40'']]*2</f>
        <v>4</v>
      </c>
      <c r="J64" s="7" t="s">
        <v>322</v>
      </c>
      <c r="K64" s="7" t="s">
        <v>440</v>
      </c>
      <c r="L64" s="47" t="s">
        <v>500</v>
      </c>
      <c r="M64" s="7" t="s">
        <v>90</v>
      </c>
    </row>
    <row r="65" spans="1:13" ht="28.5" hidden="1" x14ac:dyDescent="0.2">
      <c r="A65" s="1">
        <v>43772</v>
      </c>
      <c r="B65" s="4" t="s">
        <v>12</v>
      </c>
      <c r="C65" t="s">
        <v>345</v>
      </c>
      <c r="D65" s="2" t="str">
        <f>Table135[[#This Row],[CN]]&amp;" - "&amp;Table135[[#This Row],[CNEE]]</f>
        <v>华达利 - CASAMIA</v>
      </c>
      <c r="E65" s="10" t="str">
        <f>VLOOKUP(Table135[[#This Row],[CN]],表5[],2,FALSE)</f>
        <v>HTL</v>
      </c>
      <c r="F65" s="3" t="s">
        <v>346</v>
      </c>
      <c r="G65" s="7"/>
      <c r="H65" s="7">
        <v>2</v>
      </c>
      <c r="I65" s="7">
        <f>Table135[[#This Row],[20'']]+Table135[[#This Row],[40'']]*2</f>
        <v>4</v>
      </c>
      <c r="J65" s="7" t="s">
        <v>445</v>
      </c>
      <c r="K65" s="7" t="s">
        <v>439</v>
      </c>
      <c r="L65" s="47" t="s">
        <v>513</v>
      </c>
      <c r="M65" s="7" t="s">
        <v>90</v>
      </c>
    </row>
    <row r="66" spans="1:13" hidden="1" x14ac:dyDescent="0.2">
      <c r="A66" s="1">
        <v>43772</v>
      </c>
      <c r="B66" s="4" t="s">
        <v>475</v>
      </c>
      <c r="C66" t="s">
        <v>34</v>
      </c>
      <c r="D66" s="2" t="str">
        <f>Table135[[#This Row],[CN]]&amp;" - "&amp;Table135[[#This Row],[CNEE]]</f>
        <v>万盛 - HANSSEM</v>
      </c>
      <c r="E66" s="10" t="str">
        <f>VLOOKUP(Table135[[#This Row],[CN]],表5[],2,FALSE)</f>
        <v>WANSHENG</v>
      </c>
      <c r="F66" s="3" t="s">
        <v>485</v>
      </c>
      <c r="G66" s="7"/>
      <c r="H66" s="7">
        <v>1</v>
      </c>
      <c r="I66" s="7">
        <f>Table135[[#This Row],[20'']]+Table135[[#This Row],[40'']]*2</f>
        <v>2</v>
      </c>
      <c r="J66" s="7" t="s">
        <v>499</v>
      </c>
      <c r="K66" s="7" t="s">
        <v>479</v>
      </c>
      <c r="L66" s="7"/>
      <c r="M66" s="7" t="s">
        <v>90</v>
      </c>
    </row>
    <row r="67" spans="1:13" hidden="1" x14ac:dyDescent="0.2">
      <c r="A67" s="1">
        <v>43775</v>
      </c>
      <c r="B67" s="4" t="s">
        <v>32</v>
      </c>
      <c r="C67" t="s">
        <v>35</v>
      </c>
      <c r="D67" s="2" t="str">
        <f>Table135[[#This Row],[CN]]&amp;" - "&amp;Table135[[#This Row],[CNEE]]</f>
        <v>顾家 - HANSSEM</v>
      </c>
      <c r="E67" s="10" t="str">
        <f>VLOOKUP(Table135[[#This Row],[CN]],表5[],2,FALSE)</f>
        <v>KUKA</v>
      </c>
      <c r="F67" s="3" t="s">
        <v>462</v>
      </c>
      <c r="G67" s="7"/>
      <c r="H67" s="7">
        <v>1</v>
      </c>
      <c r="I67" s="7">
        <f>Table135[[#This Row],[20'']]+Table135[[#This Row],[40'']]*2</f>
        <v>2</v>
      </c>
      <c r="J67" s="7" t="s">
        <v>467</v>
      </c>
      <c r="K67" s="7" t="s">
        <v>464</v>
      </c>
      <c r="L67" s="7" t="s">
        <v>465</v>
      </c>
      <c r="M67" s="7" t="s">
        <v>90</v>
      </c>
    </row>
    <row r="68" spans="1:13" hidden="1" x14ac:dyDescent="0.2">
      <c r="A68" s="1">
        <v>43775</v>
      </c>
      <c r="B68" s="4" t="s">
        <v>32</v>
      </c>
      <c r="C68" t="s">
        <v>34</v>
      </c>
      <c r="D68" s="2" t="str">
        <f>Table135[[#This Row],[CN]]&amp;" - "&amp;Table135[[#This Row],[CNEE]]</f>
        <v>万盛 - HANSSEM</v>
      </c>
      <c r="E68" s="10" t="str">
        <f>VLOOKUP(Table135[[#This Row],[CN]],表5[],2,FALSE)</f>
        <v>WANSHENG</v>
      </c>
      <c r="F68" s="3" t="s">
        <v>501</v>
      </c>
      <c r="G68" s="7"/>
      <c r="H68" s="7">
        <v>2</v>
      </c>
      <c r="I68" s="7">
        <f>Table135[[#This Row],[20'']]+Table135[[#This Row],[40'']]*2</f>
        <v>4</v>
      </c>
      <c r="J68" s="7" t="s">
        <v>504</v>
      </c>
      <c r="K68" s="7" t="s">
        <v>502</v>
      </c>
      <c r="L68" s="7"/>
      <c r="M68" s="7" t="s">
        <v>90</v>
      </c>
    </row>
    <row r="69" spans="1:13" hidden="1" x14ac:dyDescent="0.2">
      <c r="A69" s="1">
        <v>43775</v>
      </c>
      <c r="B69" s="4" t="s">
        <v>77</v>
      </c>
      <c r="C69" t="s">
        <v>27</v>
      </c>
      <c r="D69" s="2" t="str">
        <f>Table135[[#This Row],[CN]]&amp;" - "&amp;Table135[[#This Row],[CNEE]]</f>
        <v>永艺 - SSEM</v>
      </c>
      <c r="E69" s="10" t="str">
        <f>VLOOKUP(Table135[[#This Row],[CN]],表5[],2,FALSE)</f>
        <v>UE</v>
      </c>
      <c r="F69" s="3" t="s">
        <v>428</v>
      </c>
      <c r="G69" s="7">
        <v>1</v>
      </c>
      <c r="H69" s="7"/>
      <c r="I69" s="7">
        <f>Table135[[#This Row],[20'']]+Table135[[#This Row],[40'']]*2</f>
        <v>1</v>
      </c>
      <c r="J69" s="7" t="s">
        <v>449</v>
      </c>
      <c r="K69" s="7" t="s">
        <v>441</v>
      </c>
      <c r="L69" s="7" t="s">
        <v>516</v>
      </c>
      <c r="M69" s="7" t="s">
        <v>90</v>
      </c>
    </row>
    <row r="70" spans="1:13" hidden="1" x14ac:dyDescent="0.2">
      <c r="A70" s="1">
        <v>43779</v>
      </c>
      <c r="B70" s="4" t="s">
        <v>32</v>
      </c>
      <c r="C70" t="s">
        <v>35</v>
      </c>
      <c r="D70" s="2" t="str">
        <f>Table135[[#This Row],[CN]]&amp;" - "&amp;Table135[[#This Row],[CNEE]]</f>
        <v>顾家 - HANSSEM</v>
      </c>
      <c r="E70" s="10" t="str">
        <f>VLOOKUP(Table135[[#This Row],[CN]],表5[],2,FALSE)</f>
        <v>KUKA</v>
      </c>
      <c r="F70" s="3" t="s">
        <v>539</v>
      </c>
      <c r="G70" s="7"/>
      <c r="H70" s="7">
        <v>3</v>
      </c>
      <c r="I70" s="7">
        <f>Table135[[#This Row],[20'']]+Table135[[#This Row],[40'']]*2</f>
        <v>6</v>
      </c>
      <c r="J70" s="7" t="s">
        <v>552</v>
      </c>
      <c r="K70" s="7" t="s">
        <v>541</v>
      </c>
      <c r="L70" s="7"/>
      <c r="M70" s="7" t="s">
        <v>90</v>
      </c>
    </row>
    <row r="71" spans="1:13" hidden="1" x14ac:dyDescent="0.2">
      <c r="A71" s="1">
        <v>43779</v>
      </c>
      <c r="B71" s="4" t="s">
        <v>415</v>
      </c>
      <c r="C71" t="s">
        <v>416</v>
      </c>
      <c r="D71" s="2" t="str">
        <f>Table135[[#This Row],[CN]]&amp;" - "&amp;Table135[[#This Row],[CNEE]]</f>
        <v>卡帛 - HANSSEM</v>
      </c>
      <c r="E71" s="10" t="str">
        <f>VLOOKUP(Table135[[#This Row],[CN]],表5[],2,FALSE)</f>
        <v>CABO</v>
      </c>
      <c r="F71" s="3" t="s">
        <v>414</v>
      </c>
      <c r="G71" s="7"/>
      <c r="H71" s="7">
        <v>1</v>
      </c>
      <c r="I71" s="7">
        <f>Table135[[#This Row],[20'']]+Table135[[#This Row],[40'']]*2</f>
        <v>2</v>
      </c>
      <c r="J71" s="7" t="s">
        <v>446</v>
      </c>
      <c r="K71" s="7" t="s">
        <v>442</v>
      </c>
      <c r="L71" s="7"/>
      <c r="M71" s="7" t="s">
        <v>90</v>
      </c>
    </row>
    <row r="72" spans="1:13" hidden="1" x14ac:dyDescent="0.2">
      <c r="A72" s="1">
        <v>43779</v>
      </c>
      <c r="B72" s="4" t="s">
        <v>573</v>
      </c>
      <c r="C72" t="s">
        <v>574</v>
      </c>
      <c r="D72" s="2" t="str">
        <f>Table135[[#This Row],[CN]]&amp;" - "&amp;Table135[[#This Row],[CNEE]]</f>
        <v>万盛 - HANSSEM</v>
      </c>
      <c r="E72" s="10" t="str">
        <f>VLOOKUP(Table135[[#This Row],[CN]],表5[],2,FALSE)</f>
        <v>WANSHENG</v>
      </c>
      <c r="F72" s="3" t="s">
        <v>575</v>
      </c>
      <c r="G72" s="7"/>
      <c r="H72" s="7">
        <v>1</v>
      </c>
      <c r="I72" s="7">
        <f>Table135[[#This Row],[20'']]+Table135[[#This Row],[40'']]*2</f>
        <v>2</v>
      </c>
      <c r="J72" s="7" t="s">
        <v>577</v>
      </c>
      <c r="K72" s="7" t="s">
        <v>576</v>
      </c>
      <c r="L72" s="7"/>
      <c r="M72" s="7" t="s">
        <v>90</v>
      </c>
    </row>
    <row r="73" spans="1:13" hidden="1" x14ac:dyDescent="0.2">
      <c r="A73" s="1">
        <v>43779</v>
      </c>
      <c r="B73" s="4" t="s">
        <v>12</v>
      </c>
      <c r="C73" t="s">
        <v>421</v>
      </c>
      <c r="D73" s="2" t="str">
        <f>Table135[[#This Row],[CN]]&amp;" - "&amp;Table135[[#This Row],[CNEE]]</f>
        <v>伟誉 - CASAMIA</v>
      </c>
      <c r="E73" s="10" t="str">
        <f>VLOOKUP(Table135[[#This Row],[CN]],表5[],2,FALSE)</f>
        <v>WEIYU</v>
      </c>
      <c r="F73" s="3" t="s">
        <v>461</v>
      </c>
      <c r="G73" s="7"/>
      <c r="H73" s="7">
        <v>1</v>
      </c>
      <c r="I73" s="7">
        <f>Table135[[#This Row],[20'']]+Table135[[#This Row],[40'']]*2</f>
        <v>2</v>
      </c>
      <c r="J73" s="7" t="s">
        <v>448</v>
      </c>
      <c r="K73" s="7" t="s">
        <v>480</v>
      </c>
      <c r="L73" s="7" t="s">
        <v>474</v>
      </c>
      <c r="M73" s="7" t="s">
        <v>90</v>
      </c>
    </row>
    <row r="74" spans="1:13" hidden="1" x14ac:dyDescent="0.2">
      <c r="A74" s="1">
        <v>43779</v>
      </c>
      <c r="B74" s="4" t="s">
        <v>498</v>
      </c>
      <c r="C74" t="s">
        <v>28</v>
      </c>
      <c r="D74" s="2" t="str">
        <f>Table135[[#This Row],[CN]]&amp;" - "&amp;Table135[[#This Row],[CNEE]]</f>
        <v>雅家居 - CASAMIA</v>
      </c>
      <c r="E74" s="10" t="str">
        <f>VLOOKUP(Table135[[#This Row],[CN]],表5[],2,FALSE)</f>
        <v>YAJIAJU</v>
      </c>
      <c r="F74" s="3" t="s">
        <v>506</v>
      </c>
      <c r="G74" s="7"/>
      <c r="H74" s="7">
        <v>2</v>
      </c>
      <c r="I74" s="7">
        <f>Table135[[#This Row],[20'']]+Table135[[#This Row],[40'']]*2</f>
        <v>4</v>
      </c>
      <c r="J74" s="7" t="s">
        <v>505</v>
      </c>
      <c r="K74" s="7" t="s">
        <v>503</v>
      </c>
      <c r="L74" s="7"/>
      <c r="M74" s="7" t="s">
        <v>90</v>
      </c>
    </row>
    <row r="75" spans="1:13" hidden="1" x14ac:dyDescent="0.2">
      <c r="A75" s="1">
        <v>43782</v>
      </c>
      <c r="B75" s="4" t="s">
        <v>32</v>
      </c>
      <c r="C75" t="s">
        <v>35</v>
      </c>
      <c r="D75" s="2" t="str">
        <f>Table135[[#This Row],[CN]]&amp;" - "&amp;Table135[[#This Row],[CNEE]]</f>
        <v>顾家 - HANSSEM</v>
      </c>
      <c r="E75" s="10" t="str">
        <f>VLOOKUP(Table135[[#This Row],[CN]],表5[],2,FALSE)</f>
        <v>KUKA</v>
      </c>
      <c r="F75" s="3" t="s">
        <v>536</v>
      </c>
      <c r="G75" s="7"/>
      <c r="H75" s="7">
        <v>2</v>
      </c>
      <c r="I75" s="7">
        <f>Table135[[#This Row],[20'']]+Table135[[#This Row],[40'']]*2</f>
        <v>4</v>
      </c>
      <c r="J75" s="7" t="s">
        <v>468</v>
      </c>
      <c r="K75" s="7" t="s">
        <v>466</v>
      </c>
      <c r="L75" s="7" t="s">
        <v>556</v>
      </c>
      <c r="M75" s="7" t="s">
        <v>90</v>
      </c>
    </row>
    <row r="76" spans="1:13" hidden="1" x14ac:dyDescent="0.2">
      <c r="A76" s="1">
        <v>43782</v>
      </c>
      <c r="B76" s="4" t="s">
        <v>32</v>
      </c>
      <c r="C76" t="s">
        <v>34</v>
      </c>
      <c r="D76" s="2" t="str">
        <f>Table135[[#This Row],[CN]]&amp;" - "&amp;Table135[[#This Row],[CNEE]]</f>
        <v>万盛 - HANSSEM</v>
      </c>
      <c r="E76" s="10" t="str">
        <f>VLOOKUP(Table135[[#This Row],[CN]],表5[],2,FALSE)</f>
        <v>WANSHENG</v>
      </c>
      <c r="F76" s="3" t="s">
        <v>529</v>
      </c>
      <c r="G76" s="7"/>
      <c r="H76" s="7">
        <v>1</v>
      </c>
      <c r="I76" s="7">
        <f>Table135[[#This Row],[20'']]+Table135[[#This Row],[40'']]*2</f>
        <v>2</v>
      </c>
      <c r="J76" s="7" t="s">
        <v>595</v>
      </c>
      <c r="K76" s="7" t="s">
        <v>596</v>
      </c>
      <c r="L76" s="7" t="s">
        <v>597</v>
      </c>
      <c r="M76" s="7" t="s">
        <v>90</v>
      </c>
    </row>
    <row r="77" spans="1:13" hidden="1" x14ac:dyDescent="0.2">
      <c r="A77" s="1">
        <v>43782</v>
      </c>
      <c r="B77" s="4" t="s">
        <v>32</v>
      </c>
      <c r="C77" t="s">
        <v>34</v>
      </c>
      <c r="D77" s="2" t="str">
        <f>Table135[[#This Row],[CN]]&amp;" - "&amp;Table135[[#This Row],[CNEE]]</f>
        <v>万盛 - HANSSEM</v>
      </c>
      <c r="E77" s="10" t="str">
        <f>VLOOKUP(Table135[[#This Row],[CN]],表5[],2,FALSE)</f>
        <v>WANSHENG</v>
      </c>
      <c r="F77" s="3" t="s">
        <v>534</v>
      </c>
      <c r="G77" s="7"/>
      <c r="H77" s="7">
        <v>1</v>
      </c>
      <c r="I77" s="7">
        <f>Table135[[#This Row],[20'']]+Table135[[#This Row],[40'']]*2</f>
        <v>2</v>
      </c>
      <c r="J77" s="7" t="s">
        <v>559</v>
      </c>
      <c r="K77" s="7" t="s">
        <v>543</v>
      </c>
      <c r="L77" s="7"/>
      <c r="M77" s="7" t="s">
        <v>90</v>
      </c>
    </row>
    <row r="78" spans="1:13" hidden="1" x14ac:dyDescent="0.2">
      <c r="A78" s="1">
        <v>43782</v>
      </c>
      <c r="B78" s="4" t="s">
        <v>32</v>
      </c>
      <c r="C78" t="s">
        <v>34</v>
      </c>
      <c r="D78" s="2" t="str">
        <f>Table135[[#This Row],[CN]]&amp;" - "&amp;Table135[[#This Row],[CNEE]]</f>
        <v>万盛 - HANSSEM</v>
      </c>
      <c r="E78" s="10" t="str">
        <f>VLOOKUP(Table135[[#This Row],[CN]],表5[],2,FALSE)</f>
        <v>WANSHENG</v>
      </c>
      <c r="F78" s="3" t="s">
        <v>532</v>
      </c>
      <c r="G78" s="7"/>
      <c r="H78" s="7">
        <v>0</v>
      </c>
      <c r="I78" s="7">
        <f>Table135[[#This Row],[20'']]+Table135[[#This Row],[40'']]*2</f>
        <v>0</v>
      </c>
      <c r="J78" s="7" t="s">
        <v>558</v>
      </c>
      <c r="K78" s="7" t="s">
        <v>542</v>
      </c>
      <c r="L78" s="7" t="s">
        <v>580</v>
      </c>
      <c r="M78" s="7" t="s">
        <v>90</v>
      </c>
    </row>
    <row r="79" spans="1:13" hidden="1" x14ac:dyDescent="0.2">
      <c r="A79" s="1">
        <v>43782</v>
      </c>
      <c r="B79" s="4" t="s">
        <v>420</v>
      </c>
      <c r="C79" t="s">
        <v>421</v>
      </c>
      <c r="D79" s="2" t="str">
        <f>Table135[[#This Row],[CN]]&amp;" - "&amp;Table135[[#This Row],[CNEE]]</f>
        <v>伟誉 - CASAMIA</v>
      </c>
      <c r="E79" s="10" t="str">
        <f>VLOOKUP(Table135[[#This Row],[CN]],表5[],2,FALSE)</f>
        <v>WEIYU</v>
      </c>
      <c r="F79" s="3"/>
      <c r="G79" s="7"/>
      <c r="H79" s="7">
        <v>0</v>
      </c>
      <c r="I79" s="7">
        <f>Table135[[#This Row],[20'']]+Table135[[#This Row],[40'']]*2</f>
        <v>0</v>
      </c>
      <c r="J79" s="7"/>
      <c r="K79" s="7" t="s">
        <v>443</v>
      </c>
      <c r="L79" s="7" t="s">
        <v>455</v>
      </c>
      <c r="M79" s="7" t="s">
        <v>90</v>
      </c>
    </row>
    <row r="80" spans="1:13" hidden="1" x14ac:dyDescent="0.2">
      <c r="A80" s="1">
        <v>43786</v>
      </c>
      <c r="B80" s="4" t="s">
        <v>32</v>
      </c>
      <c r="C80" t="s">
        <v>35</v>
      </c>
      <c r="D80" s="2" t="str">
        <f>Table135[[#This Row],[CN]]&amp;" - "&amp;Table135[[#This Row],[CNEE]]</f>
        <v>顾家 - HANSSEM</v>
      </c>
      <c r="E80" s="10" t="str">
        <f>VLOOKUP(Table135[[#This Row],[CN]],表5[],2,FALSE)</f>
        <v>KUKA</v>
      </c>
      <c r="F80" s="3" t="s">
        <v>586</v>
      </c>
      <c r="G80" s="7"/>
      <c r="H80" s="7">
        <v>1</v>
      </c>
      <c r="I80" s="7">
        <f>Table135[[#This Row],[20'']]+Table135[[#This Row],[40'']]*2</f>
        <v>2</v>
      </c>
      <c r="J80" s="7" t="s">
        <v>564</v>
      </c>
      <c r="K80" s="7" t="s">
        <v>565</v>
      </c>
      <c r="L80" s="7"/>
      <c r="M80" s="7" t="s">
        <v>90</v>
      </c>
    </row>
    <row r="81" spans="1:13" ht="28.5" hidden="1" x14ac:dyDescent="0.2">
      <c r="A81" s="1">
        <v>43786</v>
      </c>
      <c r="B81" s="4" t="s">
        <v>12</v>
      </c>
      <c r="C81" t="s">
        <v>31</v>
      </c>
      <c r="D81" s="2" t="str">
        <f>Table135[[#This Row],[CN]]&amp;" - "&amp;Table135[[#This Row],[CNEE]]</f>
        <v>华达利 - CASAMIA</v>
      </c>
      <c r="E81" s="10" t="str">
        <f>VLOOKUP(Table135[[#This Row],[CN]],表5[],2,FALSE)</f>
        <v>HTL</v>
      </c>
      <c r="F81" s="3" t="s">
        <v>476</v>
      </c>
      <c r="G81" s="7"/>
      <c r="H81" s="7">
        <v>2</v>
      </c>
      <c r="I81" s="7">
        <f>Table135[[#This Row],[20'']]+Table135[[#This Row],[40'']]*2</f>
        <v>4</v>
      </c>
      <c r="J81" s="7" t="s">
        <v>489</v>
      </c>
      <c r="K81" s="7" t="s">
        <v>481</v>
      </c>
      <c r="L81" s="7"/>
      <c r="M81" s="7" t="s">
        <v>90</v>
      </c>
    </row>
    <row r="82" spans="1:13" ht="28.5" hidden="1" x14ac:dyDescent="0.2">
      <c r="A82" s="1">
        <v>43786</v>
      </c>
      <c r="B82" s="4" t="s">
        <v>12</v>
      </c>
      <c r="C82" t="s">
        <v>566</v>
      </c>
      <c r="D82" s="2" t="str">
        <f>Table135[[#This Row],[CN]]&amp;" - "&amp;Table135[[#This Row],[CNEE]]</f>
        <v>森川 - CASAMIA</v>
      </c>
      <c r="E82" s="10" t="str">
        <f>VLOOKUP(Table135[[#This Row],[CN]],表5[],2,FALSE)</f>
        <v>SENCHUAN</v>
      </c>
      <c r="F82" s="3" t="s">
        <v>568</v>
      </c>
      <c r="G82" s="7"/>
      <c r="H82" s="7">
        <v>0</v>
      </c>
      <c r="I82" s="7">
        <f>Table135[[#This Row],[20'']]+Table135[[#This Row],[40'']]*2</f>
        <v>0</v>
      </c>
      <c r="J82" s="7" t="s">
        <v>570</v>
      </c>
      <c r="K82" s="7" t="s">
        <v>569</v>
      </c>
      <c r="L82" s="7" t="s">
        <v>571</v>
      </c>
      <c r="M82" s="7" t="s">
        <v>90</v>
      </c>
    </row>
    <row r="83" spans="1:13" hidden="1" x14ac:dyDescent="0.2">
      <c r="A83" s="1">
        <v>43786</v>
      </c>
      <c r="B83" s="4" t="s">
        <v>32</v>
      </c>
      <c r="C83" t="s">
        <v>34</v>
      </c>
      <c r="D83" s="2" t="str">
        <f>Table135[[#This Row],[CN]]&amp;" - "&amp;Table135[[#This Row],[CNEE]]</f>
        <v>万盛 - HANSSEM</v>
      </c>
      <c r="E83" s="10" t="str">
        <f>VLOOKUP(Table135[[#This Row],[CN]],表5[],2,FALSE)</f>
        <v>WANSHENG</v>
      </c>
      <c r="F83" s="3" t="s">
        <v>533</v>
      </c>
      <c r="G83" s="7"/>
      <c r="H83" s="7">
        <v>2</v>
      </c>
      <c r="I83" s="7">
        <f>Table135[[#This Row],[20'']]+Table135[[#This Row],[40'']]*2</f>
        <v>4</v>
      </c>
      <c r="J83" s="7" t="s">
        <v>560</v>
      </c>
      <c r="K83" s="7" t="s">
        <v>544</v>
      </c>
      <c r="L83" s="7"/>
      <c r="M83" s="7" t="s">
        <v>90</v>
      </c>
    </row>
    <row r="84" spans="1:13" hidden="1" x14ac:dyDescent="0.2">
      <c r="A84" s="1">
        <v>43786</v>
      </c>
      <c r="B84" s="4" t="s">
        <v>32</v>
      </c>
      <c r="C84" t="s">
        <v>34</v>
      </c>
      <c r="D84" s="2" t="str">
        <f>Table135[[#This Row],[CN]]&amp;" - "&amp;Table135[[#This Row],[CNEE]]</f>
        <v>万盛 - HANSSEM</v>
      </c>
      <c r="E84" s="10" t="str">
        <f>VLOOKUP(Table135[[#This Row],[CN]],表5[],2,FALSE)</f>
        <v>WANSHENG</v>
      </c>
      <c r="F84" s="3" t="s">
        <v>530</v>
      </c>
      <c r="G84" s="7"/>
      <c r="H84" s="7">
        <v>1</v>
      </c>
      <c r="I84" s="7">
        <f>Table135[[#This Row],[20'']]+Table135[[#This Row],[40'']]*2</f>
        <v>2</v>
      </c>
      <c r="J84" s="7" t="s">
        <v>561</v>
      </c>
      <c r="K84" s="7" t="s">
        <v>545</v>
      </c>
      <c r="L84" s="7"/>
      <c r="M84" s="7" t="s">
        <v>90</v>
      </c>
    </row>
    <row r="85" spans="1:13" hidden="1" x14ac:dyDescent="0.2">
      <c r="A85" s="1">
        <v>43786</v>
      </c>
      <c r="B85" s="4" t="s">
        <v>32</v>
      </c>
      <c r="C85" t="s">
        <v>34</v>
      </c>
      <c r="D85" s="2" t="str">
        <f>Table135[[#This Row],[CN]]&amp;" - "&amp;Table135[[#This Row],[CNEE]]</f>
        <v>万盛 - HANSSEM</v>
      </c>
      <c r="E85" s="10" t="str">
        <f>VLOOKUP(Table135[[#This Row],[CN]],表5[],2,FALSE)</f>
        <v>WANSHENG</v>
      </c>
      <c r="F85" s="3"/>
      <c r="G85" s="7"/>
      <c r="H85" s="7">
        <v>1</v>
      </c>
      <c r="I85" s="7">
        <f>Table135[[#This Row],[20'']]+Table135[[#This Row],[40'']]*2</f>
        <v>2</v>
      </c>
      <c r="J85" s="7" t="s">
        <v>583</v>
      </c>
      <c r="K85" s="7" t="s">
        <v>581</v>
      </c>
      <c r="L85" s="7" t="s">
        <v>621</v>
      </c>
      <c r="M85" s="7" t="s">
        <v>90</v>
      </c>
    </row>
    <row r="86" spans="1:13" hidden="1" x14ac:dyDescent="0.2">
      <c r="A86" s="1">
        <v>43786</v>
      </c>
      <c r="B86" s="4" t="s">
        <v>32</v>
      </c>
      <c r="C86" t="s">
        <v>34</v>
      </c>
      <c r="D86" s="2" t="str">
        <f>Table135[[#This Row],[CN]]&amp;" - "&amp;Table135[[#This Row],[CNEE]]</f>
        <v>万盛 - HANSSEM</v>
      </c>
      <c r="E86" s="10" t="str">
        <f>VLOOKUP(Table135[[#This Row],[CN]],表5[],2,FALSE)</f>
        <v>WANSHENG</v>
      </c>
      <c r="F86" s="3"/>
      <c r="G86" s="7"/>
      <c r="H86" s="7">
        <v>1</v>
      </c>
      <c r="I86" s="7">
        <f>Table135[[#This Row],[20'']]+Table135[[#This Row],[40'']]*2</f>
        <v>2</v>
      </c>
      <c r="J86" s="7" t="s">
        <v>637</v>
      </c>
      <c r="K86" s="7" t="s">
        <v>582</v>
      </c>
      <c r="L86" s="7"/>
      <c r="M86" s="7" t="s">
        <v>90</v>
      </c>
    </row>
    <row r="87" spans="1:13" hidden="1" x14ac:dyDescent="0.2">
      <c r="A87" s="1">
        <v>43786</v>
      </c>
      <c r="B87" s="4" t="s">
        <v>12</v>
      </c>
      <c r="C87" t="s">
        <v>421</v>
      </c>
      <c r="D87" s="2" t="str">
        <f>Table135[[#This Row],[CN]]&amp;" - "&amp;Table135[[#This Row],[CNEE]]</f>
        <v>伟誉 - CASAMIA</v>
      </c>
      <c r="E87" s="10" t="str">
        <f>VLOOKUP(Table135[[#This Row],[CN]],表5[],2,FALSE)</f>
        <v>WEIYU</v>
      </c>
      <c r="F87" s="3" t="s">
        <v>461</v>
      </c>
      <c r="G87" s="7"/>
      <c r="H87" s="7">
        <v>0</v>
      </c>
      <c r="I87" s="7">
        <f>Table135[[#This Row],[20'']]+Table135[[#This Row],[40'']]*2</f>
        <v>0</v>
      </c>
      <c r="J87" s="7" t="s">
        <v>490</v>
      </c>
      <c r="K87" s="7" t="s">
        <v>460</v>
      </c>
      <c r="L87" s="7" t="s">
        <v>473</v>
      </c>
      <c r="M87" s="7" t="s">
        <v>90</v>
      </c>
    </row>
    <row r="88" spans="1:13" hidden="1" x14ac:dyDescent="0.2">
      <c r="A88" s="1">
        <v>43786</v>
      </c>
      <c r="B88" s="4" t="s">
        <v>12</v>
      </c>
      <c r="C88" t="s">
        <v>28</v>
      </c>
      <c r="D88" s="2" t="str">
        <f>Table135[[#This Row],[CN]]&amp;" - "&amp;Table135[[#This Row],[CNEE]]</f>
        <v>雅家居 - CASAMIA</v>
      </c>
      <c r="E88" s="10" t="str">
        <f>VLOOKUP(Table135[[#This Row],[CN]],表5[],2,FALSE)</f>
        <v>YAJIAJU</v>
      </c>
      <c r="F88" s="3" t="s">
        <v>622</v>
      </c>
      <c r="G88" s="7"/>
      <c r="H88" s="7">
        <v>1</v>
      </c>
      <c r="I88" s="7">
        <f>Table135[[#This Row],[20'']]+Table135[[#This Row],[40'']]*2</f>
        <v>2</v>
      </c>
      <c r="J88" s="7" t="s">
        <v>579</v>
      </c>
      <c r="K88" s="7" t="s">
        <v>578</v>
      </c>
      <c r="L88" s="7"/>
      <c r="M88" s="7" t="s">
        <v>90</v>
      </c>
    </row>
    <row r="89" spans="1:13" hidden="1" x14ac:dyDescent="0.2">
      <c r="A89" s="1">
        <v>43789</v>
      </c>
      <c r="B89" s="4" t="s">
        <v>32</v>
      </c>
      <c r="C89" t="s">
        <v>35</v>
      </c>
      <c r="D89" s="2" t="str">
        <f>Table135[[#This Row],[CN]]&amp;" - "&amp;Table135[[#This Row],[CNEE]]</f>
        <v>顾家 - HANSSEM</v>
      </c>
      <c r="E89" s="10" t="str">
        <f>VLOOKUP(Table135[[#This Row],[CN]],表5[],2,FALSE)</f>
        <v>KUKA</v>
      </c>
      <c r="F89" s="3" t="s">
        <v>563</v>
      </c>
      <c r="G89" s="7"/>
      <c r="H89" s="7">
        <v>1</v>
      </c>
      <c r="I89" s="7">
        <f>Table135[[#This Row],[20'']]+Table135[[#This Row],[40'']]*2</f>
        <v>2</v>
      </c>
      <c r="J89" s="7" t="s">
        <v>553</v>
      </c>
      <c r="K89" s="7" t="s">
        <v>548</v>
      </c>
      <c r="L89" s="7"/>
      <c r="M89" s="7" t="s">
        <v>90</v>
      </c>
    </row>
    <row r="90" spans="1:13" hidden="1" x14ac:dyDescent="0.2">
      <c r="A90" s="1">
        <v>43789</v>
      </c>
      <c r="B90" s="4" t="s">
        <v>318</v>
      </c>
      <c r="C90" t="s">
        <v>616</v>
      </c>
      <c r="D90" s="2" t="str">
        <f>Table135[[#This Row],[CN]]&amp;" - "&amp;Table135[[#This Row],[CNEE]]</f>
        <v>华宝 - EFFEX</v>
      </c>
      <c r="E90" s="10" t="str">
        <f>VLOOKUP(Table135[[#This Row],[CN]],表5[],2,FALSE)</f>
        <v>HUABAO</v>
      </c>
      <c r="F90" s="3" t="s">
        <v>7</v>
      </c>
      <c r="G90" s="7">
        <v>10</v>
      </c>
      <c r="H90" s="7"/>
      <c r="I90" s="7">
        <f>Table135[[#This Row],[20'']]+Table135[[#This Row],[40'']]*2</f>
        <v>10</v>
      </c>
      <c r="J90" s="7" t="s">
        <v>618</v>
      </c>
      <c r="K90" s="7" t="s">
        <v>617</v>
      </c>
      <c r="L90" s="7" t="s">
        <v>623</v>
      </c>
      <c r="M90" s="7" t="s">
        <v>90</v>
      </c>
    </row>
    <row r="91" spans="1:13" hidden="1" x14ac:dyDescent="0.2">
      <c r="A91" s="1">
        <v>43789</v>
      </c>
      <c r="B91" s="4" t="s">
        <v>32</v>
      </c>
      <c r="C91" t="s">
        <v>30</v>
      </c>
      <c r="D91" s="2" t="str">
        <f>Table135[[#This Row],[CN]]&amp;" - "&amp;Table135[[#This Row],[CNEE]]</f>
        <v>卡帛 - HANSSEM</v>
      </c>
      <c r="E91" s="10" t="str">
        <f>VLOOKUP(Table135[[#This Row],[CN]],表5[],2,FALSE)</f>
        <v>CABO</v>
      </c>
      <c r="F91" s="3" t="s">
        <v>418</v>
      </c>
      <c r="G91" s="7"/>
      <c r="H91" s="7">
        <v>3</v>
      </c>
      <c r="I91" s="7">
        <f>Table135[[#This Row],[20'']]+Table135[[#This Row],[40'']]*2</f>
        <v>6</v>
      </c>
      <c r="J91" s="7" t="s">
        <v>447</v>
      </c>
      <c r="K91" s="7" t="s">
        <v>444</v>
      </c>
      <c r="L91" s="7" t="s">
        <v>647</v>
      </c>
      <c r="M91" s="7" t="s">
        <v>90</v>
      </c>
    </row>
    <row r="92" spans="1:13" hidden="1" x14ac:dyDescent="0.2">
      <c r="A92" s="1">
        <v>43789</v>
      </c>
      <c r="B92" s="4" t="s">
        <v>32</v>
      </c>
      <c r="C92" t="s">
        <v>34</v>
      </c>
      <c r="D92" s="2" t="str">
        <f>Table135[[#This Row],[CN]]&amp;" - "&amp;Table135[[#This Row],[CNEE]]</f>
        <v>万盛 - HANSSEM</v>
      </c>
      <c r="E92" s="10" t="str">
        <f>VLOOKUP(Table135[[#This Row],[CN]],表5[],2,FALSE)</f>
        <v>WANSHENG</v>
      </c>
      <c r="F92" s="3"/>
      <c r="G92" s="7"/>
      <c r="H92" s="7">
        <v>1</v>
      </c>
      <c r="I92" s="7">
        <f>Table135[[#This Row],[20'']]+Table135[[#This Row],[40'']]*2</f>
        <v>2</v>
      </c>
      <c r="J92" s="7" t="s">
        <v>584</v>
      </c>
      <c r="K92" s="7" t="s">
        <v>585</v>
      </c>
      <c r="L92" s="7"/>
      <c r="M92" s="7" t="s">
        <v>90</v>
      </c>
    </row>
    <row r="93" spans="1:13" hidden="1" x14ac:dyDescent="0.2">
      <c r="A93" s="1">
        <v>43789</v>
      </c>
      <c r="B93" s="4" t="s">
        <v>32</v>
      </c>
      <c r="C93" t="s">
        <v>34</v>
      </c>
      <c r="D93" s="2" t="str">
        <f>Table135[[#This Row],[CN]]&amp;" - "&amp;Table135[[#This Row],[CNEE]]</f>
        <v>万盛 - HANSSEM</v>
      </c>
      <c r="E93" s="10" t="str">
        <f>VLOOKUP(Table135[[#This Row],[CN]],表5[],2,FALSE)</f>
        <v>WANSHENG</v>
      </c>
      <c r="F93" s="3" t="s">
        <v>531</v>
      </c>
      <c r="G93" s="7"/>
      <c r="H93" s="7">
        <v>2</v>
      </c>
      <c r="I93" s="7">
        <f>Table135[[#This Row],[20'']]+Table135[[#This Row],[40'']]*2</f>
        <v>4</v>
      </c>
      <c r="J93" s="7" t="s">
        <v>641</v>
      </c>
      <c r="K93" s="7" t="s">
        <v>546</v>
      </c>
      <c r="L93" s="7"/>
      <c r="M93" s="7" t="s">
        <v>90</v>
      </c>
    </row>
    <row r="94" spans="1:13" hidden="1" x14ac:dyDescent="0.2">
      <c r="A94" s="1">
        <v>43789</v>
      </c>
      <c r="B94" s="4" t="s">
        <v>32</v>
      </c>
      <c r="C94" t="s">
        <v>34</v>
      </c>
      <c r="D94" s="2" t="str">
        <f>Table135[[#This Row],[CN]]&amp;" - "&amp;Table135[[#This Row],[CNEE]]</f>
        <v>万盛 - HANSSEM</v>
      </c>
      <c r="E94" s="10" t="str">
        <f>VLOOKUP(Table135[[#This Row],[CN]],表5[],2,FALSE)</f>
        <v>WANSHENG</v>
      </c>
      <c r="F94" s="3" t="s">
        <v>535</v>
      </c>
      <c r="G94" s="7"/>
      <c r="H94" s="7">
        <v>1</v>
      </c>
      <c r="I94" s="7">
        <f>Table135[[#This Row],[20'']]+Table135[[#This Row],[40'']]*2</f>
        <v>2</v>
      </c>
      <c r="J94" s="7" t="s">
        <v>562</v>
      </c>
      <c r="K94" s="7" t="s">
        <v>547</v>
      </c>
      <c r="L94" s="7" t="s">
        <v>632</v>
      </c>
      <c r="M94" s="7" t="s">
        <v>90</v>
      </c>
    </row>
    <row r="95" spans="1:13" hidden="1" x14ac:dyDescent="0.2">
      <c r="A95" s="1">
        <v>43789</v>
      </c>
      <c r="B95" s="4" t="s">
        <v>593</v>
      </c>
      <c r="C95" t="s">
        <v>27</v>
      </c>
      <c r="D95" s="2" t="str">
        <f>Table135[[#This Row],[CN]]&amp;" - "&amp;Table135[[#This Row],[CNEE]]</f>
        <v>永艺 - SSEM</v>
      </c>
      <c r="E95" s="10" t="str">
        <f>VLOOKUP(Table135[[#This Row],[CN]],表5[],2,FALSE)</f>
        <v>UE</v>
      </c>
      <c r="F95" s="3" t="s">
        <v>594</v>
      </c>
      <c r="G95" s="7"/>
      <c r="H95" s="7">
        <v>2</v>
      </c>
      <c r="I95" s="7">
        <f>Table135[[#This Row],[20'']]+Table135[[#This Row],[40'']]*2</f>
        <v>4</v>
      </c>
      <c r="J95" s="7" t="s">
        <v>599</v>
      </c>
      <c r="K95" s="7" t="s">
        <v>598</v>
      </c>
      <c r="L95" s="7"/>
      <c r="M95" s="7" t="s">
        <v>90</v>
      </c>
    </row>
    <row r="96" spans="1:13" hidden="1" x14ac:dyDescent="0.2">
      <c r="A96" s="1">
        <v>43789</v>
      </c>
      <c r="B96" s="4" t="s">
        <v>12</v>
      </c>
      <c r="C96" t="s">
        <v>33</v>
      </c>
      <c r="D96" s="2" t="str">
        <f>Table135[[#This Row],[CN]]&amp;" - "&amp;Table135[[#This Row],[CNEE]]</f>
        <v>洲际 - CASAMIA</v>
      </c>
      <c r="E96" s="10" t="str">
        <f>VLOOKUP(Table135[[#This Row],[CN]],表5[],2,FALSE)</f>
        <v>ZHOUJI</v>
      </c>
      <c r="F96" s="3" t="s">
        <v>589</v>
      </c>
      <c r="G96" s="7"/>
      <c r="H96" s="7">
        <v>1</v>
      </c>
      <c r="I96" s="7">
        <f>Table135[[#This Row],[20'']]+Table135[[#This Row],[40'']]*2</f>
        <v>2</v>
      </c>
      <c r="J96" s="7" t="s">
        <v>591</v>
      </c>
      <c r="K96" s="7" t="s">
        <v>590</v>
      </c>
      <c r="L96" s="7" t="s">
        <v>592</v>
      </c>
      <c r="M96" s="7" t="s">
        <v>90</v>
      </c>
    </row>
    <row r="97" spans="1:13" ht="28.5" hidden="1" x14ac:dyDescent="0.2">
      <c r="A97" s="1">
        <v>43793</v>
      </c>
      <c r="B97" s="4" t="s">
        <v>12</v>
      </c>
      <c r="C97" t="s">
        <v>35</v>
      </c>
      <c r="D97" s="2" t="str">
        <f>Table135[[#This Row],[CN]]&amp;" - "&amp;Table135[[#This Row],[CNEE]]</f>
        <v>顾家 - CASAMIA</v>
      </c>
      <c r="E97" s="10" t="str">
        <f>VLOOKUP(Table135[[#This Row],[CN]],表5[],2,FALSE)</f>
        <v>KUKA</v>
      </c>
      <c r="F97" s="3" t="s">
        <v>507</v>
      </c>
      <c r="G97" s="7"/>
      <c r="H97" s="7">
        <v>0</v>
      </c>
      <c r="I97" s="7">
        <f>Table135[[#This Row],[20'']]+Table135[[#This Row],[40'']]*2</f>
        <v>0</v>
      </c>
      <c r="J97" s="7" t="s">
        <v>614</v>
      </c>
      <c r="K97" s="7" t="s">
        <v>508</v>
      </c>
      <c r="L97" s="7" t="s">
        <v>612</v>
      </c>
      <c r="M97" s="7" t="s">
        <v>90</v>
      </c>
    </row>
    <row r="98" spans="1:13" hidden="1" x14ac:dyDescent="0.2">
      <c r="A98" s="1">
        <v>43793</v>
      </c>
      <c r="B98" s="4" t="s">
        <v>32</v>
      </c>
      <c r="C98" t="s">
        <v>35</v>
      </c>
      <c r="D98" s="2" t="str">
        <f>Table135[[#This Row],[CN]]&amp;" - "&amp;Table135[[#This Row],[CNEE]]</f>
        <v>顾家 - HANSSEM</v>
      </c>
      <c r="E98" s="10" t="str">
        <f>VLOOKUP(Table135[[#This Row],[CN]],表5[],2,FALSE)</f>
        <v>KUKA</v>
      </c>
      <c r="F98" s="3" t="s">
        <v>537</v>
      </c>
      <c r="G98" s="7"/>
      <c r="H98" s="7">
        <v>2</v>
      </c>
      <c r="I98" s="7">
        <f>Table135[[#This Row],[20'']]+Table135[[#This Row],[40'']]*2</f>
        <v>4</v>
      </c>
      <c r="J98" s="7" t="s">
        <v>554</v>
      </c>
      <c r="K98" s="7" t="s">
        <v>550</v>
      </c>
      <c r="L98" s="7" t="s">
        <v>728</v>
      </c>
      <c r="M98" s="7" t="s">
        <v>90</v>
      </c>
    </row>
    <row r="99" spans="1:13" hidden="1" x14ac:dyDescent="0.2">
      <c r="A99" s="1">
        <v>43793</v>
      </c>
      <c r="B99" s="4" t="s">
        <v>318</v>
      </c>
      <c r="C99" t="s">
        <v>29</v>
      </c>
      <c r="D99" s="2" t="str">
        <f>Table135[[#This Row],[CN]]&amp;" - "&amp;Table135[[#This Row],[CNEE]]</f>
        <v>华宝 - EFFEX</v>
      </c>
      <c r="E99" s="10" t="str">
        <f>VLOOKUP(Table135[[#This Row],[CN]],表5[],2,FALSE)</f>
        <v>HUABAO</v>
      </c>
      <c r="F99" s="3" t="s">
        <v>7</v>
      </c>
      <c r="G99" s="7">
        <v>1</v>
      </c>
      <c r="H99" s="7"/>
      <c r="I99" s="7">
        <f>Table135[[#This Row],[20'']]+Table135[[#This Row],[40'']]*2</f>
        <v>1</v>
      </c>
      <c r="J99" s="7" t="s">
        <v>626</v>
      </c>
      <c r="K99" s="7" t="s">
        <v>624</v>
      </c>
      <c r="L99" s="7"/>
      <c r="M99" s="7" t="s">
        <v>90</v>
      </c>
    </row>
    <row r="100" spans="1:13" ht="42.75" hidden="1" x14ac:dyDescent="0.2">
      <c r="A100" s="1">
        <v>43793</v>
      </c>
      <c r="B100" s="4" t="s">
        <v>12</v>
      </c>
      <c r="C100" t="s">
        <v>31</v>
      </c>
      <c r="D100" s="2" t="str">
        <f>Table135[[#This Row],[CN]]&amp;" - "&amp;Table135[[#This Row],[CNEE]]</f>
        <v>华达利 - CASAMIA</v>
      </c>
      <c r="E100" s="10" t="str">
        <f>VLOOKUP(Table135[[#This Row],[CN]],表5[],2,FALSE)</f>
        <v>HTL</v>
      </c>
      <c r="F100" s="3" t="s">
        <v>674</v>
      </c>
      <c r="G100" s="7"/>
      <c r="H100" s="7">
        <v>3</v>
      </c>
      <c r="I100" s="7">
        <f>Table135[[#This Row],[20'']]+Table135[[#This Row],[40'']]*2</f>
        <v>6</v>
      </c>
      <c r="J100" s="7" t="s">
        <v>515</v>
      </c>
      <c r="K100" s="7" t="s">
        <v>514</v>
      </c>
      <c r="L100" s="7" t="s">
        <v>673</v>
      </c>
      <c r="M100" s="7" t="s">
        <v>90</v>
      </c>
    </row>
    <row r="101" spans="1:13" hidden="1" x14ac:dyDescent="0.2">
      <c r="A101" s="1">
        <v>43793</v>
      </c>
      <c r="B101" s="4" t="s">
        <v>32</v>
      </c>
      <c r="C101" t="s">
        <v>30</v>
      </c>
      <c r="D101" s="2" t="str">
        <f>Table135[[#This Row],[CN]]&amp;" - "&amp;Table135[[#This Row],[CNEE]]</f>
        <v>卡帛 - HANSSEM</v>
      </c>
      <c r="E101" s="10" t="str">
        <f>VLOOKUP(Table135[[#This Row],[CN]],表5[],2,FALSE)</f>
        <v>CABO</v>
      </c>
      <c r="F101" s="3" t="s">
        <v>540</v>
      </c>
      <c r="G101" s="7"/>
      <c r="H101" s="7">
        <v>1</v>
      </c>
      <c r="I101" s="7">
        <f>Table135[[#This Row],[20'']]+Table135[[#This Row],[40'']]*2</f>
        <v>2</v>
      </c>
      <c r="J101" s="7" t="s">
        <v>557</v>
      </c>
      <c r="K101" s="7" t="s">
        <v>549</v>
      </c>
      <c r="L101" s="7"/>
      <c r="M101" s="7" t="s">
        <v>90</v>
      </c>
    </row>
    <row r="102" spans="1:13" hidden="1" x14ac:dyDescent="0.2">
      <c r="A102" s="1">
        <v>43793</v>
      </c>
      <c r="B102" s="4" t="s">
        <v>32</v>
      </c>
      <c r="C102" t="s">
        <v>34</v>
      </c>
      <c r="D102" s="2" t="str">
        <f>Table135[[#This Row],[CN]]&amp;" - "&amp;Table135[[#This Row],[CNEE]]</f>
        <v>万盛 - HANSSEM</v>
      </c>
      <c r="E102" s="10" t="str">
        <f>VLOOKUP(Table135[[#This Row],[CN]],表5[],2,FALSE)</f>
        <v>WANSHENG</v>
      </c>
      <c r="F102" s="3" t="s">
        <v>575</v>
      </c>
      <c r="G102" s="7"/>
      <c r="H102" s="7">
        <v>2</v>
      </c>
      <c r="I102" s="7">
        <f>Table135[[#This Row],[20'']]+Table135[[#This Row],[40'']]*2</f>
        <v>4</v>
      </c>
      <c r="J102" s="7" t="s">
        <v>727</v>
      </c>
      <c r="K102" s="7" t="s">
        <v>642</v>
      </c>
      <c r="L102" s="7"/>
      <c r="M102" s="7" t="s">
        <v>90</v>
      </c>
    </row>
    <row r="103" spans="1:13" hidden="1" x14ac:dyDescent="0.2">
      <c r="A103" s="1">
        <v>43793</v>
      </c>
      <c r="B103" s="4" t="s">
        <v>32</v>
      </c>
      <c r="C103" t="s">
        <v>34</v>
      </c>
      <c r="D103" s="2" t="str">
        <f>Table135[[#This Row],[CN]]&amp;" - "&amp;Table135[[#This Row],[CNEE]]</f>
        <v>万盛 - HANSSEM</v>
      </c>
      <c r="E103" s="10" t="str">
        <f>VLOOKUP(Table135[[#This Row],[CN]],表5[],2,FALSE)</f>
        <v>WANSHENG</v>
      </c>
      <c r="F103" s="3" t="s">
        <v>639</v>
      </c>
      <c r="G103" s="7"/>
      <c r="H103" s="7">
        <v>1</v>
      </c>
      <c r="I103" s="7">
        <f>Table135[[#This Row],[20'']]+Table135[[#This Row],[40'']]*2</f>
        <v>2</v>
      </c>
      <c r="J103" s="7" t="s">
        <v>645</v>
      </c>
      <c r="K103" s="7" t="s">
        <v>643</v>
      </c>
      <c r="L103" s="7" t="s">
        <v>621</v>
      </c>
      <c r="M103" s="7" t="s">
        <v>90</v>
      </c>
    </row>
    <row r="104" spans="1:13" hidden="1" x14ac:dyDescent="0.2">
      <c r="A104" s="1">
        <v>43793</v>
      </c>
      <c r="B104" s="4" t="s">
        <v>32</v>
      </c>
      <c r="C104" t="s">
        <v>34</v>
      </c>
      <c r="D104" s="2" t="str">
        <f>Table135[[#This Row],[CN]]&amp;" - "&amp;Table135[[#This Row],[CNEE]]</f>
        <v>万盛 - HANSSEM</v>
      </c>
      <c r="E104" s="10" t="str">
        <f>VLOOKUP(Table135[[#This Row],[CN]],表5[],2,FALSE)</f>
        <v>WANSHENG</v>
      </c>
      <c r="F104" s="3" t="s">
        <v>640</v>
      </c>
      <c r="G104" s="7"/>
      <c r="H104" s="7">
        <v>1</v>
      </c>
      <c r="I104" s="7">
        <f>Table135[[#This Row],[20'']]+Table135[[#This Row],[40'']]*2</f>
        <v>2</v>
      </c>
      <c r="J104" s="7" t="s">
        <v>646</v>
      </c>
      <c r="K104" s="7" t="s">
        <v>644</v>
      </c>
      <c r="L104" s="7"/>
      <c r="M104" s="7" t="s">
        <v>90</v>
      </c>
    </row>
    <row r="105" spans="1:13" hidden="1" x14ac:dyDescent="0.2">
      <c r="A105" s="1">
        <v>43793</v>
      </c>
      <c r="B105" s="4" t="s">
        <v>12</v>
      </c>
      <c r="C105" t="s">
        <v>28</v>
      </c>
      <c r="D105" s="2" t="str">
        <f>Table135[[#This Row],[CN]]&amp;" - "&amp;Table135[[#This Row],[CNEE]]</f>
        <v>雅家居 - CASAMIA</v>
      </c>
      <c r="E105" s="10" t="str">
        <f>VLOOKUP(Table135[[#This Row],[CN]],表5[],2,FALSE)</f>
        <v>YAJIAJU</v>
      </c>
      <c r="F105" s="3" t="s">
        <v>631</v>
      </c>
      <c r="G105" s="7"/>
      <c r="H105" s="7">
        <v>1</v>
      </c>
      <c r="I105" s="7">
        <f>Table135[[#This Row],[20'']]+Table135[[#This Row],[40'']]*2</f>
        <v>2</v>
      </c>
      <c r="J105" s="7" t="s">
        <v>636</v>
      </c>
      <c r="K105" s="7" t="s">
        <v>635</v>
      </c>
      <c r="L105" s="7"/>
      <c r="M105" s="7" t="s">
        <v>90</v>
      </c>
    </row>
    <row r="106" spans="1:13" hidden="1" x14ac:dyDescent="0.2">
      <c r="A106" s="1">
        <v>43793</v>
      </c>
      <c r="B106" s="4" t="s">
        <v>77</v>
      </c>
      <c r="C106" t="s">
        <v>27</v>
      </c>
      <c r="D106" s="2" t="str">
        <f>Table135[[#This Row],[CN]]&amp;" - "&amp;Table135[[#This Row],[CNEE]]</f>
        <v>永艺 - SSEM</v>
      </c>
      <c r="E106" s="10" t="str">
        <f>VLOOKUP(Table135[[#This Row],[CN]],表5[],2,FALSE)</f>
        <v>UE</v>
      </c>
      <c r="F106" t="s">
        <v>678</v>
      </c>
      <c r="G106" s="7"/>
      <c r="H106" s="7">
        <v>1</v>
      </c>
      <c r="I106" s="7">
        <f>Table135[[#This Row],[20'']]+Table135[[#This Row],[40'']]*2</f>
        <v>2</v>
      </c>
      <c r="J106" s="7" t="s">
        <v>680</v>
      </c>
      <c r="K106" s="7" t="s">
        <v>679</v>
      </c>
      <c r="L106" s="7"/>
      <c r="M106" s="7" t="s">
        <v>90</v>
      </c>
    </row>
    <row r="107" spans="1:13" hidden="1" x14ac:dyDescent="0.2">
      <c r="A107" s="1">
        <v>43796</v>
      </c>
      <c r="B107" s="4" t="s">
        <v>32</v>
      </c>
      <c r="C107" t="s">
        <v>35</v>
      </c>
      <c r="D107" s="2" t="str">
        <f>Table135[[#This Row],[CN]]&amp;" - "&amp;Table135[[#This Row],[CNEE]]</f>
        <v>顾家 - HANSSEM</v>
      </c>
      <c r="E107" s="10" t="str">
        <f>VLOOKUP(Table135[[#This Row],[CN]],表5[],2,FALSE)</f>
        <v>KUKA</v>
      </c>
      <c r="F107" s="3" t="s">
        <v>538</v>
      </c>
      <c r="G107" s="7"/>
      <c r="H107" s="7">
        <v>2</v>
      </c>
      <c r="I107" s="7">
        <f>Table135[[#This Row],[20'']]+Table135[[#This Row],[40'']]*2</f>
        <v>4</v>
      </c>
      <c r="J107" s="7" t="s">
        <v>555</v>
      </c>
      <c r="K107" s="7" t="s">
        <v>551</v>
      </c>
      <c r="L107" s="7"/>
      <c r="M107" s="7" t="s">
        <v>90</v>
      </c>
    </row>
    <row r="108" spans="1:13" ht="28.5" hidden="1" x14ac:dyDescent="0.2">
      <c r="A108" s="1">
        <v>43796</v>
      </c>
      <c r="B108" s="4" t="s">
        <v>12</v>
      </c>
      <c r="C108" t="s">
        <v>35</v>
      </c>
      <c r="D108" s="2" t="str">
        <f>Table135[[#This Row],[CN]]&amp;" - "&amp;Table135[[#This Row],[CNEE]]</f>
        <v>顾家 - CASAMIA</v>
      </c>
      <c r="E108" s="10" t="str">
        <f>VLOOKUP(Table135[[#This Row],[CN]],表5[],2,FALSE)</f>
        <v>KUKA</v>
      </c>
      <c r="F108" s="3" t="s">
        <v>507</v>
      </c>
      <c r="G108" s="7"/>
      <c r="H108" s="7">
        <v>2</v>
      </c>
      <c r="I108" s="7">
        <f>Table135[[#This Row],[20'']]+Table135[[#This Row],[40'']]*2</f>
        <v>4</v>
      </c>
      <c r="J108" s="7" t="s">
        <v>613</v>
      </c>
      <c r="K108" s="7" t="s">
        <v>615</v>
      </c>
      <c r="L108" s="7"/>
      <c r="M108" s="7" t="s">
        <v>90</v>
      </c>
    </row>
    <row r="109" spans="1:13" hidden="1" x14ac:dyDescent="0.2">
      <c r="A109" s="1">
        <v>43796</v>
      </c>
      <c r="B109" s="4" t="s">
        <v>318</v>
      </c>
      <c r="C109" t="s">
        <v>29</v>
      </c>
      <c r="D109" s="2" t="str">
        <f>Table135[[#This Row],[CN]]&amp;" - "&amp;Table135[[#This Row],[CNEE]]</f>
        <v>华宝 - EFFEX</v>
      </c>
      <c r="E109" s="10" t="str">
        <f>VLOOKUP(Table135[[#This Row],[CN]],表5[],2,FALSE)</f>
        <v>HUABAO</v>
      </c>
      <c r="F109" s="3" t="s">
        <v>7</v>
      </c>
      <c r="G109" s="7">
        <v>11</v>
      </c>
      <c r="H109" s="7"/>
      <c r="I109" s="7">
        <f>Table135[[#This Row],[20'']]+Table135[[#This Row],[40'']]*2</f>
        <v>11</v>
      </c>
      <c r="J109" s="7" t="s">
        <v>627</v>
      </c>
      <c r="K109" s="7" t="s">
        <v>625</v>
      </c>
      <c r="L109" s="7" t="s">
        <v>628</v>
      </c>
      <c r="M109" s="7" t="s">
        <v>90</v>
      </c>
    </row>
    <row r="110" spans="1:13" ht="28.5" hidden="1" x14ac:dyDescent="0.2">
      <c r="A110" s="1">
        <v>43796</v>
      </c>
      <c r="B110" s="4" t="s">
        <v>12</v>
      </c>
      <c r="C110" t="s">
        <v>31</v>
      </c>
      <c r="D110" s="2" t="str">
        <f>Table135[[#This Row],[CN]]&amp;" - "&amp;Table135[[#This Row],[CNEE]]</f>
        <v>华达利 - CASAMIA</v>
      </c>
      <c r="E110" s="10" t="str">
        <f>VLOOKUP(Table135[[#This Row],[CN]],表5[],2,FALSE)</f>
        <v>HTL</v>
      </c>
      <c r="F110" s="3" t="s">
        <v>675</v>
      </c>
      <c r="G110" s="7"/>
      <c r="H110" s="7">
        <v>2</v>
      </c>
      <c r="I110" s="7">
        <f>Table135[[#This Row],[20'']]+Table135[[#This Row],[40'']]*2</f>
        <v>4</v>
      </c>
      <c r="J110" s="7" t="s">
        <v>677</v>
      </c>
      <c r="K110" s="7" t="s">
        <v>676</v>
      </c>
      <c r="L110" s="7"/>
      <c r="M110" s="7" t="s">
        <v>90</v>
      </c>
    </row>
    <row r="111" spans="1:13" hidden="1" x14ac:dyDescent="0.2">
      <c r="A111" s="1">
        <v>43796</v>
      </c>
      <c r="B111" s="4" t="s">
        <v>517</v>
      </c>
      <c r="C111" t="s">
        <v>30</v>
      </c>
      <c r="D111" s="2" t="str">
        <f>Table135[[#This Row],[CN]]&amp;" - "&amp;Table135[[#This Row],[CNEE]]</f>
        <v>卡帛 - HANSSEM</v>
      </c>
      <c r="E111" s="10" t="str">
        <f>VLOOKUP(Table135[[#This Row],[CN]],表5[],2,FALSE)</f>
        <v>CABO</v>
      </c>
      <c r="F111" s="3" t="s">
        <v>518</v>
      </c>
      <c r="G111" s="7"/>
      <c r="H111" s="7">
        <v>1</v>
      </c>
      <c r="I111" s="7">
        <f>Table135[[#This Row],[20'']]+Table135[[#This Row],[40'']]*2</f>
        <v>2</v>
      </c>
      <c r="J111" s="7" t="s">
        <v>520</v>
      </c>
      <c r="K111" s="7" t="s">
        <v>519</v>
      </c>
      <c r="L111" s="7"/>
      <c r="M111" s="7" t="s">
        <v>90</v>
      </c>
    </row>
    <row r="112" spans="1:13" hidden="1" x14ac:dyDescent="0.2">
      <c r="A112" s="1">
        <v>43796</v>
      </c>
      <c r="B112" s="4" t="s">
        <v>32</v>
      </c>
      <c r="C112" t="s">
        <v>34</v>
      </c>
      <c r="D112" s="2" t="str">
        <f>Table135[[#This Row],[CN]]&amp;" - "&amp;Table135[[#This Row],[CNEE]]</f>
        <v>万盛 - HANSSEM</v>
      </c>
      <c r="E112" s="10" t="str">
        <f>VLOOKUP(Table135[[#This Row],[CN]],表5[],2,FALSE)</f>
        <v>WANSHENG</v>
      </c>
      <c r="F112" s="3" t="s">
        <v>660</v>
      </c>
      <c r="G112" s="7"/>
      <c r="H112" s="7">
        <v>3</v>
      </c>
      <c r="I112" s="7">
        <f>Table135[[#This Row],[20'']]+Table135[[#This Row],[40'']]*2</f>
        <v>6</v>
      </c>
      <c r="J112" s="7" t="s">
        <v>766</v>
      </c>
      <c r="K112" s="7" t="s">
        <v>665</v>
      </c>
      <c r="L112" s="7"/>
      <c r="M112" s="7" t="s">
        <v>90</v>
      </c>
    </row>
    <row r="113" spans="1:13" hidden="1" x14ac:dyDescent="0.2">
      <c r="A113" s="1">
        <v>43796</v>
      </c>
      <c r="B113" s="4" t="s">
        <v>32</v>
      </c>
      <c r="C113" t="s">
        <v>34</v>
      </c>
      <c r="D113" s="2" t="str">
        <f>Table135[[#This Row],[CN]]&amp;" - "&amp;Table135[[#This Row],[CNEE]]</f>
        <v>万盛 - HANSSEM</v>
      </c>
      <c r="E113" s="10" t="str">
        <f>VLOOKUP(Table135[[#This Row],[CN]],表5[],2,FALSE)</f>
        <v>WANSHENG</v>
      </c>
      <c r="F113" s="3" t="s">
        <v>661</v>
      </c>
      <c r="G113" s="7"/>
      <c r="H113" s="7">
        <v>1</v>
      </c>
      <c r="I113" s="7">
        <f>Table135[[#This Row],[20'']]+Table135[[#This Row],[40'']]*2</f>
        <v>2</v>
      </c>
      <c r="J113" s="7" t="s">
        <v>670</v>
      </c>
      <c r="K113" s="7" t="s">
        <v>666</v>
      </c>
      <c r="L113" s="7"/>
      <c r="M113" s="7" t="s">
        <v>90</v>
      </c>
    </row>
    <row r="114" spans="1:13" hidden="1" x14ac:dyDescent="0.2">
      <c r="A114" s="1">
        <v>43800</v>
      </c>
      <c r="B114" s="4" t="s">
        <v>32</v>
      </c>
      <c r="C114" t="s">
        <v>35</v>
      </c>
      <c r="D114" s="2" t="str">
        <f>Table135[[#This Row],[CN]]&amp;" - "&amp;Table135[[#This Row],[CNEE]]</f>
        <v>顾家 - HANSSEM</v>
      </c>
      <c r="E114" s="10" t="str">
        <f>VLOOKUP(Table135[[#This Row],[CN]],表5[],2,FALSE)</f>
        <v>KUKA</v>
      </c>
      <c r="F114" s="3" t="s">
        <v>629</v>
      </c>
      <c r="G114" s="7"/>
      <c r="H114" s="7">
        <v>2</v>
      </c>
      <c r="I114" s="7">
        <f>Table135[[#This Row],[20'']]+Table135[[#This Row],[40'']]*2</f>
        <v>4</v>
      </c>
      <c r="J114" s="56" t="s">
        <v>634</v>
      </c>
      <c r="K114" s="7" t="s">
        <v>633</v>
      </c>
      <c r="L114" s="7"/>
      <c r="M114" s="7" t="s">
        <v>90</v>
      </c>
    </row>
    <row r="115" spans="1:13" hidden="1" x14ac:dyDescent="0.2">
      <c r="A115" s="1">
        <v>43800</v>
      </c>
      <c r="B115" s="4" t="s">
        <v>318</v>
      </c>
      <c r="C115" t="s">
        <v>29</v>
      </c>
      <c r="D115" s="2" t="str">
        <f>Table135[[#This Row],[CN]]&amp;" - "&amp;Table135[[#This Row],[CNEE]]</f>
        <v>华宝 - EFFEX</v>
      </c>
      <c r="E115" s="10" t="str">
        <f>VLOOKUP(Table135[[#This Row],[CN]],表5[],2,FALSE)</f>
        <v>HUABAO</v>
      </c>
      <c r="F115" s="3" t="s">
        <v>7</v>
      </c>
      <c r="G115" s="7">
        <v>10</v>
      </c>
      <c r="H115" s="7"/>
      <c r="I115" s="7">
        <f>Table135[[#This Row],[20'']]+Table135[[#This Row],[40'']]*2</f>
        <v>10</v>
      </c>
      <c r="J115" s="56" t="s">
        <v>651</v>
      </c>
      <c r="K115" s="7" t="s">
        <v>649</v>
      </c>
      <c r="L115" s="7" t="s">
        <v>652</v>
      </c>
      <c r="M115" s="7" t="s">
        <v>90</v>
      </c>
    </row>
    <row r="116" spans="1:13" ht="42.75" hidden="1" x14ac:dyDescent="0.2">
      <c r="A116" s="1">
        <v>43800</v>
      </c>
      <c r="B116" s="4" t="s">
        <v>12</v>
      </c>
      <c r="C116" t="s">
        <v>31</v>
      </c>
      <c r="D116" s="2" t="str">
        <f>Table135[[#This Row],[CN]]&amp;" - "&amp;Table135[[#This Row],[CNEE]]</f>
        <v>华达利 - CASAMIA</v>
      </c>
      <c r="E116" s="10" t="str">
        <f>VLOOKUP(Table135[[#This Row],[CN]],表5[],2,FALSE)</f>
        <v>HTL</v>
      </c>
      <c r="F116" s="3" t="s">
        <v>601</v>
      </c>
      <c r="G116" s="7"/>
      <c r="H116" s="7">
        <v>0</v>
      </c>
      <c r="I116" s="7">
        <f>Table135[[#This Row],[20'']]+Table135[[#This Row],[40'']]*2</f>
        <v>0</v>
      </c>
      <c r="J116" s="7" t="s">
        <v>608</v>
      </c>
      <c r="K116" s="7" t="s">
        <v>606</v>
      </c>
      <c r="L116" s="7" t="s">
        <v>804</v>
      </c>
      <c r="M116" s="7" t="s">
        <v>90</v>
      </c>
    </row>
    <row r="117" spans="1:13" ht="42.75" hidden="1" x14ac:dyDescent="0.2">
      <c r="A117" s="1">
        <v>43800</v>
      </c>
      <c r="B117" s="4" t="s">
        <v>12</v>
      </c>
      <c r="C117" t="s">
        <v>31</v>
      </c>
      <c r="D117" s="2" t="str">
        <f>Table135[[#This Row],[CN]]&amp;" - "&amp;Table135[[#This Row],[CNEE]]</f>
        <v>华达利 - CASAMIA</v>
      </c>
      <c r="E117" s="10" t="str">
        <f>VLOOKUP(Table135[[#This Row],[CN]],表5[],2,FALSE)</f>
        <v>HTL</v>
      </c>
      <c r="F117" s="3" t="s">
        <v>602</v>
      </c>
      <c r="G117" s="7"/>
      <c r="H117" s="7">
        <v>0</v>
      </c>
      <c r="I117" s="7">
        <f>Table135[[#This Row],[20'']]+Table135[[#This Row],[40'']]*2</f>
        <v>0</v>
      </c>
      <c r="J117" s="7" t="s">
        <v>609</v>
      </c>
      <c r="K117" s="7" t="s">
        <v>607</v>
      </c>
      <c r="L117" s="7" t="s">
        <v>804</v>
      </c>
      <c r="M117" s="7" t="s">
        <v>90</v>
      </c>
    </row>
    <row r="118" spans="1:13" hidden="1" x14ac:dyDescent="0.2">
      <c r="A118" s="1">
        <v>43800</v>
      </c>
      <c r="B118" s="4" t="s">
        <v>32</v>
      </c>
      <c r="C118" t="s">
        <v>34</v>
      </c>
      <c r="D118" s="2" t="str">
        <f>Table135[[#This Row],[CN]]&amp;" - "&amp;Table135[[#This Row],[CNEE]]</f>
        <v>万盛 - HANSSEM</v>
      </c>
      <c r="E118" s="10" t="str">
        <f>VLOOKUP(Table135[[#This Row],[CN]],表5[],2,FALSE)</f>
        <v>WANSHENG</v>
      </c>
      <c r="F118" s="3" t="s">
        <v>662</v>
      </c>
      <c r="G118" s="7"/>
      <c r="H118" s="7">
        <v>2</v>
      </c>
      <c r="I118" s="7">
        <f>Table135[[#This Row],[20'']]+Table135[[#This Row],[40'']]*2</f>
        <v>4</v>
      </c>
      <c r="J118" s="56" t="s">
        <v>820</v>
      </c>
      <c r="K118" s="7" t="s">
        <v>667</v>
      </c>
      <c r="L118" s="7"/>
      <c r="M118" s="7" t="s">
        <v>90</v>
      </c>
    </row>
    <row r="119" spans="1:13" hidden="1" x14ac:dyDescent="0.2">
      <c r="A119" s="1">
        <v>43800</v>
      </c>
      <c r="B119" s="4" t="s">
        <v>32</v>
      </c>
      <c r="C119" t="s">
        <v>34</v>
      </c>
      <c r="D119" s="2" t="str">
        <f>Table135[[#This Row],[CN]]&amp;" - "&amp;Table135[[#This Row],[CNEE]]</f>
        <v>万盛 - HANSSEM</v>
      </c>
      <c r="E119" s="10" t="str">
        <f>VLOOKUP(Table135[[#This Row],[CN]],表5[],2,FALSE)</f>
        <v>WANSHENG</v>
      </c>
      <c r="F119" s="3" t="s">
        <v>663</v>
      </c>
      <c r="G119" s="7"/>
      <c r="H119" s="7">
        <v>1</v>
      </c>
      <c r="I119" s="7">
        <f>Table135[[#This Row],[20'']]+Table135[[#This Row],[40'']]*2</f>
        <v>2</v>
      </c>
      <c r="J119" s="56" t="s">
        <v>671</v>
      </c>
      <c r="K119" s="7" t="s">
        <v>668</v>
      </c>
      <c r="L119" s="7" t="s">
        <v>803</v>
      </c>
      <c r="M119" s="7" t="s">
        <v>90</v>
      </c>
    </row>
    <row r="120" spans="1:13" hidden="1" x14ac:dyDescent="0.2">
      <c r="A120" s="1">
        <v>43800</v>
      </c>
      <c r="B120" s="4" t="s">
        <v>32</v>
      </c>
      <c r="C120" t="s">
        <v>34</v>
      </c>
      <c r="D120" s="2" t="str">
        <f>Table135[[#This Row],[CN]]&amp;" - "&amp;Table135[[#This Row],[CNEE]]</f>
        <v>万盛 - HANSSEM</v>
      </c>
      <c r="E120" s="10" t="str">
        <f>VLOOKUP(Table135[[#This Row],[CN]],表5[],2,FALSE)</f>
        <v>WANSHENG</v>
      </c>
      <c r="F120" s="3" t="s">
        <v>664</v>
      </c>
      <c r="G120" s="7"/>
      <c r="H120" s="7">
        <v>1</v>
      </c>
      <c r="I120" s="7">
        <f>Table135[[#This Row],[20'']]+Table135[[#This Row],[40'']]*2</f>
        <v>2</v>
      </c>
      <c r="J120" s="56" t="s">
        <v>672</v>
      </c>
      <c r="K120" s="7" t="s">
        <v>669</v>
      </c>
      <c r="L120" s="7"/>
      <c r="M120" s="7" t="s">
        <v>90</v>
      </c>
    </row>
    <row r="121" spans="1:13" hidden="1" x14ac:dyDescent="0.2">
      <c r="A121" s="1">
        <v>43800</v>
      </c>
      <c r="B121" s="4" t="s">
        <v>12</v>
      </c>
      <c r="C121" t="s">
        <v>28</v>
      </c>
      <c r="D121" s="2" t="str">
        <f>Table135[[#This Row],[CN]]&amp;" - "&amp;Table135[[#This Row],[CNEE]]</f>
        <v>雅家居 - CASAMIA</v>
      </c>
      <c r="E121" s="10" t="str">
        <f>VLOOKUP(Table135[[#This Row],[CN]],表5[],2,FALSE)</f>
        <v>YAJIAJU</v>
      </c>
      <c r="F121" s="3" t="s">
        <v>729</v>
      </c>
      <c r="G121" s="7"/>
      <c r="H121" s="7">
        <v>2</v>
      </c>
      <c r="I121" s="7">
        <f>Table135[[#This Row],[20'']]+Table135[[#This Row],[40'']]*2</f>
        <v>4</v>
      </c>
      <c r="J121" s="56" t="s">
        <v>734</v>
      </c>
      <c r="K121" s="7" t="s">
        <v>730</v>
      </c>
      <c r="L121" s="7"/>
      <c r="M121" s="7" t="s">
        <v>90</v>
      </c>
    </row>
    <row r="122" spans="1:13" hidden="1" x14ac:dyDescent="0.2">
      <c r="A122" s="1">
        <v>43800</v>
      </c>
      <c r="B122" s="4" t="s">
        <v>77</v>
      </c>
      <c r="C122" t="s">
        <v>27</v>
      </c>
      <c r="D122" s="2" t="str">
        <f>Table135[[#This Row],[CN]]&amp;" - "&amp;Table135[[#This Row],[CNEE]]</f>
        <v>永艺 - SSEM</v>
      </c>
      <c r="E122" s="10" t="str">
        <f>VLOOKUP(Table135[[#This Row],[CN]],表5[],2,FALSE)</f>
        <v>UE</v>
      </c>
      <c r="F122" s="3"/>
      <c r="G122" s="7"/>
      <c r="H122" s="7">
        <v>1</v>
      </c>
      <c r="I122" s="7">
        <f>Table135[[#This Row],[20'']]+Table135[[#This Row],[40'']]*2</f>
        <v>2</v>
      </c>
      <c r="J122" s="56" t="s">
        <v>650</v>
      </c>
      <c r="K122" s="7" t="s">
        <v>648</v>
      </c>
      <c r="L122" s="7"/>
      <c r="M122" s="7" t="s">
        <v>90</v>
      </c>
    </row>
    <row r="123" spans="1:13" hidden="1" x14ac:dyDescent="0.2">
      <c r="A123" s="1">
        <v>43803</v>
      </c>
      <c r="B123" s="4" t="s">
        <v>32</v>
      </c>
      <c r="C123" t="s">
        <v>35</v>
      </c>
      <c r="D123" s="2" t="str">
        <f>Table135[[#This Row],[CN]]&amp;" - "&amp;Table135[[#This Row],[CNEE]]</f>
        <v>顾家 - HANSSEM</v>
      </c>
      <c r="E123" s="10" t="str">
        <f>VLOOKUP(Table135[[#This Row],[CN]],表5[],2,FALSE)</f>
        <v>KUKA</v>
      </c>
      <c r="F123" s="3" t="s">
        <v>653</v>
      </c>
      <c r="G123" s="7"/>
      <c r="H123" s="7">
        <v>1</v>
      </c>
      <c r="I123" s="7">
        <f>Table135[[#This Row],[20'']]+Table135[[#This Row],[40'']]*2</f>
        <v>2</v>
      </c>
      <c r="J123" s="56" t="s">
        <v>711</v>
      </c>
      <c r="K123" s="7" t="s">
        <v>707</v>
      </c>
      <c r="L123" s="7"/>
      <c r="M123" s="7" t="s">
        <v>90</v>
      </c>
    </row>
    <row r="124" spans="1:13" hidden="1" x14ac:dyDescent="0.2">
      <c r="A124" s="1">
        <v>43803</v>
      </c>
      <c r="B124" s="4" t="s">
        <v>32</v>
      </c>
      <c r="C124" t="s">
        <v>34</v>
      </c>
      <c r="D124" s="2" t="str">
        <f>Table135[[#This Row],[CN]]&amp;" - "&amp;Table135[[#This Row],[CNEE]]</f>
        <v>万盛 - HANSSEM</v>
      </c>
      <c r="E124" s="10" t="str">
        <f>VLOOKUP(Table135[[#This Row],[CN]],表5[],2,FALSE)</f>
        <v>WANSHENG</v>
      </c>
      <c r="F124" s="3" t="s">
        <v>735</v>
      </c>
      <c r="G124" s="7"/>
      <c r="H124" s="7">
        <v>3</v>
      </c>
      <c r="I124" s="7">
        <f>Table135[[#This Row],[20'']]+Table135[[#This Row],[40'']]*2</f>
        <v>6</v>
      </c>
      <c r="J124" s="56" t="s">
        <v>833</v>
      </c>
      <c r="K124" s="7" t="s">
        <v>745</v>
      </c>
      <c r="L124" s="7"/>
      <c r="M124" s="7" t="s">
        <v>90</v>
      </c>
    </row>
    <row r="125" spans="1:13" hidden="1" x14ac:dyDescent="0.2">
      <c r="A125" s="1">
        <v>43803</v>
      </c>
      <c r="B125" s="4" t="s">
        <v>32</v>
      </c>
      <c r="C125" t="s">
        <v>34</v>
      </c>
      <c r="D125" s="2" t="str">
        <f>Table135[[#This Row],[CN]]&amp;" - "&amp;Table135[[#This Row],[CNEE]]</f>
        <v>万盛 - HANSSEM</v>
      </c>
      <c r="E125" s="10" t="str">
        <f>VLOOKUP(Table135[[#This Row],[CN]],表5[],2,FALSE)</f>
        <v>WANSHENG</v>
      </c>
      <c r="F125" s="3" t="s">
        <v>736</v>
      </c>
      <c r="G125" s="7"/>
      <c r="H125" s="7">
        <v>1</v>
      </c>
      <c r="I125" s="7">
        <f>Table135[[#This Row],[20'']]+Table135[[#This Row],[40'']]*2</f>
        <v>2</v>
      </c>
      <c r="J125" s="56" t="s">
        <v>756</v>
      </c>
      <c r="K125" s="7" t="s">
        <v>746</v>
      </c>
      <c r="L125" s="7"/>
      <c r="M125" s="7" t="s">
        <v>90</v>
      </c>
    </row>
    <row r="126" spans="1:13" hidden="1" x14ac:dyDescent="0.2">
      <c r="A126" s="1">
        <v>43803</v>
      </c>
      <c r="B126" s="4" t="s">
        <v>12</v>
      </c>
      <c r="C126" t="s">
        <v>33</v>
      </c>
      <c r="D126" s="2" t="str">
        <f>Table135[[#This Row],[CN]]&amp;" - "&amp;Table135[[#This Row],[CNEE]]</f>
        <v>洲际 - CASAMIA</v>
      </c>
      <c r="E126" s="10" t="str">
        <f>VLOOKUP(Table135[[#This Row],[CN]],表5[],2,FALSE)</f>
        <v>ZHOUJI</v>
      </c>
      <c r="F126" s="3" t="s">
        <v>588</v>
      </c>
      <c r="G126" s="7"/>
      <c r="H126" s="7">
        <v>1</v>
      </c>
      <c r="I126" s="7">
        <f>Table135[[#This Row],[20'']]+Table135[[#This Row],[40'']]*2</f>
        <v>2</v>
      </c>
      <c r="J126" s="56" t="s">
        <v>715</v>
      </c>
      <c r="K126" s="7" t="s">
        <v>705</v>
      </c>
      <c r="L126" s="7" t="s">
        <v>706</v>
      </c>
      <c r="M126" s="7" t="s">
        <v>90</v>
      </c>
    </row>
    <row r="127" spans="1:13" hidden="1" x14ac:dyDescent="0.2">
      <c r="A127" s="1">
        <v>43807</v>
      </c>
      <c r="B127" s="4" t="s">
        <v>32</v>
      </c>
      <c r="C127" t="s">
        <v>35</v>
      </c>
      <c r="D127" s="2" t="str">
        <f>Table135[[#This Row],[CN]]&amp;" - "&amp;Table135[[#This Row],[CNEE]]</f>
        <v>顾家 - HANSSEM</v>
      </c>
      <c r="E127" s="10" t="str">
        <f>VLOOKUP(Table135[[#This Row],[CN]],表5[],2,FALSE)</f>
        <v>KUKA</v>
      </c>
      <c r="F127" s="3" t="s">
        <v>654</v>
      </c>
      <c r="G127" s="7"/>
      <c r="H127" s="7">
        <v>2</v>
      </c>
      <c r="I127" s="7">
        <f>Table135[[#This Row],[20'']]+Table135[[#This Row],[40'']]*2</f>
        <v>4</v>
      </c>
      <c r="J127" s="56" t="s">
        <v>712</v>
      </c>
      <c r="K127" s="7" t="s">
        <v>708</v>
      </c>
      <c r="L127" s="7" t="s">
        <v>706</v>
      </c>
      <c r="M127" s="7" t="s">
        <v>90</v>
      </c>
    </row>
    <row r="128" spans="1:13" hidden="1" x14ac:dyDescent="0.2">
      <c r="A128" s="1">
        <v>43807</v>
      </c>
      <c r="B128" s="4" t="s">
        <v>32</v>
      </c>
      <c r="C128" t="s">
        <v>30</v>
      </c>
      <c r="D128" s="2" t="str">
        <f>Table135[[#This Row],[CN]]&amp;" - "&amp;Table135[[#This Row],[CNEE]]</f>
        <v>卡帛 - HANSSEM</v>
      </c>
      <c r="E128" s="10" t="str">
        <f>VLOOKUP(Table135[[#This Row],[CN]],表5[],2,FALSE)</f>
        <v>CABO</v>
      </c>
      <c r="F128" s="3" t="s">
        <v>717</v>
      </c>
      <c r="G128" s="7"/>
      <c r="H128" s="7">
        <v>0</v>
      </c>
      <c r="I128" s="7">
        <f>Table135[[#This Row],[20'']]+Table135[[#This Row],[40'']]*2</f>
        <v>0</v>
      </c>
      <c r="J128" s="56" t="s">
        <v>731</v>
      </c>
      <c r="K128" s="7" t="s">
        <v>718</v>
      </c>
      <c r="L128" s="7" t="s">
        <v>845</v>
      </c>
      <c r="M128" s="7" t="s">
        <v>90</v>
      </c>
    </row>
    <row r="129" spans="1:15" hidden="1" x14ac:dyDescent="0.2">
      <c r="A129" s="1">
        <v>43807</v>
      </c>
      <c r="B129" s="4" t="s">
        <v>32</v>
      </c>
      <c r="C129" t="s">
        <v>34</v>
      </c>
      <c r="D129" s="2" t="str">
        <f>Table135[[#This Row],[CN]]&amp;" - "&amp;Table135[[#This Row],[CNEE]]</f>
        <v>万盛 - HANSSEM</v>
      </c>
      <c r="E129" s="10" t="str">
        <f>VLOOKUP(Table135[[#This Row],[CN]],表5[],2,FALSE)</f>
        <v>WANSHENG</v>
      </c>
      <c r="F129" s="3" t="s">
        <v>737</v>
      </c>
      <c r="G129" s="7"/>
      <c r="H129" s="7">
        <v>2</v>
      </c>
      <c r="I129" s="7">
        <f>Table135[[#This Row],[20'']]+Table135[[#This Row],[40'']]*2</f>
        <v>4</v>
      </c>
      <c r="J129" s="56" t="s">
        <v>757</v>
      </c>
      <c r="K129" s="7" t="s">
        <v>747</v>
      </c>
      <c r="L129" s="7"/>
      <c r="M129" s="7" t="s">
        <v>90</v>
      </c>
    </row>
    <row r="130" spans="1:15" hidden="1" x14ac:dyDescent="0.2">
      <c r="A130" s="1">
        <v>43807</v>
      </c>
      <c r="B130" s="4" t="s">
        <v>32</v>
      </c>
      <c r="C130" t="s">
        <v>34</v>
      </c>
      <c r="D130" s="2" t="str">
        <f>Table135[[#This Row],[CN]]&amp;" - "&amp;Table135[[#This Row],[CNEE]]</f>
        <v>万盛 - HANSSEM</v>
      </c>
      <c r="E130" s="10" t="str">
        <f>VLOOKUP(Table135[[#This Row],[CN]],表5[],2,FALSE)</f>
        <v>WANSHENG</v>
      </c>
      <c r="F130" s="3" t="s">
        <v>738</v>
      </c>
      <c r="G130" s="7"/>
      <c r="H130" s="7">
        <v>2</v>
      </c>
      <c r="I130" s="7">
        <f>Table135[[#This Row],[20'']]+Table135[[#This Row],[40'']]*2</f>
        <v>4</v>
      </c>
      <c r="J130" s="56" t="s">
        <v>855</v>
      </c>
      <c r="K130" s="7" t="s">
        <v>748</v>
      </c>
      <c r="L130" s="7"/>
      <c r="M130" s="7" t="s">
        <v>90</v>
      </c>
    </row>
    <row r="131" spans="1:15" hidden="1" x14ac:dyDescent="0.2">
      <c r="A131" s="1">
        <v>43807</v>
      </c>
      <c r="B131" s="4" t="s">
        <v>32</v>
      </c>
      <c r="C131" t="s">
        <v>34</v>
      </c>
      <c r="D131" s="2" t="str">
        <f>Table135[[#This Row],[CN]]&amp;" - "&amp;Table135[[#This Row],[CNEE]]</f>
        <v>万盛 - HANSSEM</v>
      </c>
      <c r="E131" s="10" t="str">
        <f>VLOOKUP(Table135[[#This Row],[CN]],表5[],2,FALSE)</f>
        <v>WANSHENG</v>
      </c>
      <c r="F131" s="3" t="s">
        <v>739</v>
      </c>
      <c r="G131" s="7"/>
      <c r="H131" s="7">
        <v>2</v>
      </c>
      <c r="I131" s="7">
        <f>Table135[[#This Row],[20'']]+Table135[[#This Row],[40'']]*2</f>
        <v>4</v>
      </c>
      <c r="J131" s="56" t="s">
        <v>758</v>
      </c>
      <c r="K131" s="7" t="s">
        <v>749</v>
      </c>
      <c r="L131" s="7"/>
      <c r="M131" s="7" t="s">
        <v>90</v>
      </c>
    </row>
    <row r="132" spans="1:15" ht="71.25" hidden="1" x14ac:dyDescent="0.2">
      <c r="A132" s="1">
        <v>43807</v>
      </c>
      <c r="B132" s="4" t="s">
        <v>12</v>
      </c>
      <c r="C132" t="s">
        <v>35</v>
      </c>
      <c r="D132" s="2" t="str">
        <f>Table135[[#This Row],[CN]]&amp;" - "&amp;Table135[[#This Row],[CNEE]]</f>
        <v>顾家 - CASAMIA</v>
      </c>
      <c r="E132" s="10" t="str">
        <f>VLOOKUP(Table135[[#This Row],[CN]],表5[],2,FALSE)</f>
        <v>KUKA</v>
      </c>
      <c r="F132" s="3" t="s">
        <v>774</v>
      </c>
      <c r="G132" s="7"/>
      <c r="H132" s="7">
        <v>5</v>
      </c>
      <c r="I132" s="7">
        <f>Table135[[#This Row],[20'']]+Table135[[#This Row],[40'']]*2</f>
        <v>10</v>
      </c>
      <c r="J132" s="56" t="s">
        <v>788</v>
      </c>
      <c r="K132" s="7" t="s">
        <v>781</v>
      </c>
      <c r="L132" s="7"/>
      <c r="M132" s="7" t="s">
        <v>90</v>
      </c>
    </row>
    <row r="133" spans="1:15" hidden="1" x14ac:dyDescent="0.2">
      <c r="A133" s="1">
        <v>43807</v>
      </c>
      <c r="B133" t="s">
        <v>12</v>
      </c>
      <c r="C133" t="s">
        <v>31</v>
      </c>
      <c r="D133" s="2" t="str">
        <f>Table135[[#This Row],[CN]]&amp;" - "&amp;Table135[[#This Row],[CNEE]]</f>
        <v>华达利 - CASAMIA</v>
      </c>
      <c r="E133" s="10" t="str">
        <f>VLOOKUP(Table135[[#This Row],[CN]],表5[],2,FALSE)</f>
        <v>HTL</v>
      </c>
      <c r="F133" s="3" t="s">
        <v>773</v>
      </c>
      <c r="G133" s="7"/>
      <c r="H133" s="7">
        <v>1</v>
      </c>
      <c r="I133" s="7">
        <f>Table135[[#This Row],[20'']]+Table135[[#This Row],[40'']]*2</f>
        <v>2</v>
      </c>
      <c r="J133" s="56" t="s">
        <v>789</v>
      </c>
      <c r="K133" s="7" t="s">
        <v>782</v>
      </c>
      <c r="L133" s="7"/>
      <c r="M133" s="7" t="s">
        <v>90</v>
      </c>
    </row>
    <row r="134" spans="1:15" hidden="1" x14ac:dyDescent="0.2">
      <c r="A134" s="1">
        <v>43807</v>
      </c>
      <c r="B134" s="4" t="s">
        <v>77</v>
      </c>
      <c r="C134" t="s">
        <v>27</v>
      </c>
      <c r="D134" s="2" t="str">
        <f>Table135[[#This Row],[CN]]&amp;" - "&amp;Table135[[#This Row],[CNEE]]</f>
        <v>永艺 - SSEM</v>
      </c>
      <c r="E134" s="10" t="str">
        <f>VLOOKUP(Table135[[#This Row],[CN]],表5[],2,FALSE)</f>
        <v>UE</v>
      </c>
      <c r="F134" s="3" t="s">
        <v>840</v>
      </c>
      <c r="G134" s="7"/>
      <c r="H134" s="7">
        <v>3</v>
      </c>
      <c r="I134" s="7">
        <f>Table135[[#This Row],[20'']]+Table135[[#This Row],[40'']]*2</f>
        <v>6</v>
      </c>
      <c r="J134" s="7" t="s">
        <v>842</v>
      </c>
      <c r="K134" s="7" t="s">
        <v>841</v>
      </c>
      <c r="L134" s="7"/>
      <c r="M134" s="7" t="s">
        <v>90</v>
      </c>
    </row>
    <row r="135" spans="1:15" hidden="1" x14ac:dyDescent="0.2">
      <c r="A135" s="1">
        <v>43810</v>
      </c>
      <c r="B135" s="4" t="s">
        <v>77</v>
      </c>
      <c r="C135" t="s">
        <v>522</v>
      </c>
      <c r="D135" s="2" t="str">
        <f>Table135[[#This Row],[CN]]&amp;" - "&amp;Table135[[#This Row],[CNEE]]</f>
        <v>富和 - SSEM</v>
      </c>
      <c r="E135" s="10" t="str">
        <f>VLOOKUP(Table135[[#This Row],[CN]],表5[],2,FALSE)</f>
        <v>FUHE</v>
      </c>
      <c r="F135" s="3" t="s">
        <v>777</v>
      </c>
      <c r="G135" s="7"/>
      <c r="H135" s="7">
        <v>0</v>
      </c>
      <c r="I135" s="7">
        <f>Table135[[#This Row],[20'']]+Table135[[#This Row],[40'']]*2</f>
        <v>0</v>
      </c>
      <c r="J135" s="56" t="s">
        <v>797</v>
      </c>
      <c r="K135" s="7" t="s">
        <v>783</v>
      </c>
      <c r="L135" s="7"/>
      <c r="M135" s="7" t="s">
        <v>90</v>
      </c>
    </row>
    <row r="136" spans="1:15" ht="28.5" hidden="1" x14ac:dyDescent="0.2">
      <c r="A136" s="1">
        <v>43810</v>
      </c>
      <c r="B136" s="4" t="s">
        <v>12</v>
      </c>
      <c r="C136" t="s">
        <v>35</v>
      </c>
      <c r="D136" s="2" t="str">
        <f>Table135[[#This Row],[CN]]&amp;" - "&amp;Table135[[#This Row],[CNEE]]</f>
        <v>顾家 - CASAMIA</v>
      </c>
      <c r="E136" s="10" t="str">
        <f>VLOOKUP(Table135[[#This Row],[CN]],表5[],2,FALSE)</f>
        <v>KUKA</v>
      </c>
      <c r="F136" s="3" t="s">
        <v>805</v>
      </c>
      <c r="G136" s="7"/>
      <c r="H136" s="7">
        <v>0</v>
      </c>
      <c r="I136" s="7">
        <f>Table135[[#This Row],[20'']]+Table135[[#This Row],[40'']]*2</f>
        <v>0</v>
      </c>
      <c r="J136" s="7" t="s">
        <v>810</v>
      </c>
      <c r="K136" s="7" t="s">
        <v>809</v>
      </c>
      <c r="L136" s="7" t="s">
        <v>827</v>
      </c>
      <c r="M136" s="7" t="s">
        <v>90</v>
      </c>
    </row>
    <row r="137" spans="1:15" x14ac:dyDescent="0.2">
      <c r="A137" s="1">
        <v>43810</v>
      </c>
      <c r="B137" s="4" t="s">
        <v>32</v>
      </c>
      <c r="C137" t="s">
        <v>30</v>
      </c>
      <c r="D137" s="2" t="str">
        <f>Table135[[#This Row],[CN]]&amp;" - "&amp;Table135[[#This Row],[CNEE]]</f>
        <v>卡帛 - HANSSEM</v>
      </c>
      <c r="E137" s="10" t="str">
        <f>VLOOKUP(Table135[[#This Row],[CN]],表5[],2,FALSE)</f>
        <v>CABO</v>
      </c>
      <c r="F137" s="3" t="s">
        <v>846</v>
      </c>
      <c r="G137" s="7"/>
      <c r="H137" s="7">
        <v>3</v>
      </c>
      <c r="I137" s="7">
        <f>Table135[[#This Row],[20'']]+Table135[[#This Row],[40'']]*2</f>
        <v>6</v>
      </c>
      <c r="J137" s="56" t="s">
        <v>732</v>
      </c>
      <c r="K137" s="7" t="s">
        <v>719</v>
      </c>
      <c r="L137" s="7" t="s">
        <v>848</v>
      </c>
      <c r="M137" s="7" t="s">
        <v>90</v>
      </c>
    </row>
    <row r="138" spans="1:15" x14ac:dyDescent="0.2">
      <c r="A138" s="1">
        <v>43810</v>
      </c>
      <c r="B138" s="4" t="s">
        <v>32</v>
      </c>
      <c r="C138" t="s">
        <v>34</v>
      </c>
      <c r="D138" s="2" t="str">
        <f>Table135[[#This Row],[CN]]&amp;" - "&amp;Table135[[#This Row],[CNEE]]</f>
        <v>万盛 - HANSSEM</v>
      </c>
      <c r="E138" s="10" t="str">
        <f>VLOOKUP(Table135[[#This Row],[CN]],表5[],2,FALSE)</f>
        <v>WANSHENG</v>
      </c>
      <c r="F138" s="3" t="s">
        <v>741</v>
      </c>
      <c r="G138" s="7"/>
      <c r="H138" s="7">
        <v>2</v>
      </c>
      <c r="I138" s="7">
        <f>Table135[[#This Row],[20'']]+Table135[[#This Row],[40'']]*2</f>
        <v>4</v>
      </c>
      <c r="J138" s="56" t="s">
        <v>760</v>
      </c>
      <c r="K138" s="7" t="s">
        <v>751</v>
      </c>
      <c r="L138" s="7"/>
      <c r="M138" s="7" t="s">
        <v>90</v>
      </c>
    </row>
    <row r="139" spans="1:15" hidden="1" x14ac:dyDescent="0.2">
      <c r="A139" s="1">
        <v>43810</v>
      </c>
      <c r="B139" t="s">
        <v>12</v>
      </c>
      <c r="C139" t="s">
        <v>31</v>
      </c>
      <c r="D139" s="2" t="str">
        <f>Table135[[#This Row],[CN]]&amp;" - "&amp;Table135[[#This Row],[CNEE]]</f>
        <v>华达利 - CASAMIA</v>
      </c>
      <c r="E139" s="10" t="str">
        <f>VLOOKUP(Table135[[#This Row],[CN]],表5[],2,FALSE)</f>
        <v>HTL</v>
      </c>
      <c r="F139" s="3"/>
      <c r="G139" s="7"/>
      <c r="H139" s="7">
        <v>0</v>
      </c>
      <c r="I139" s="7">
        <f>Table135[[#This Row],[20'']]+Table135[[#This Row],[40'']]*2</f>
        <v>0</v>
      </c>
      <c r="J139" s="56" t="s">
        <v>800</v>
      </c>
      <c r="K139" s="7" t="s">
        <v>799</v>
      </c>
      <c r="L139" s="7"/>
      <c r="M139" s="7" t="s">
        <v>90</v>
      </c>
    </row>
    <row r="140" spans="1:15" x14ac:dyDescent="0.2">
      <c r="A140" s="1">
        <v>43810</v>
      </c>
      <c r="B140" s="4" t="s">
        <v>32</v>
      </c>
      <c r="C140" t="s">
        <v>34</v>
      </c>
      <c r="D140" s="2" t="str">
        <f>Table135[[#This Row],[CN]]&amp;" - "&amp;Table135[[#This Row],[CNEE]]</f>
        <v>万盛 - HANSSEM</v>
      </c>
      <c r="E140" s="10" t="str">
        <f>VLOOKUP(Table135[[#This Row],[CN]],表5[],2,FALSE)</f>
        <v>WANSHENG</v>
      </c>
      <c r="F140" s="3" t="s">
        <v>742</v>
      </c>
      <c r="G140" s="7"/>
      <c r="H140" s="7">
        <v>2</v>
      </c>
      <c r="I140" s="7">
        <f>Table135[[#This Row],[20'']]+Table135[[#This Row],[40'']]*2</f>
        <v>4</v>
      </c>
      <c r="J140" s="56" t="s">
        <v>761</v>
      </c>
      <c r="K140" s="7" t="s">
        <v>752</v>
      </c>
      <c r="L140" s="7"/>
      <c r="M140" s="7" t="s">
        <v>90</v>
      </c>
    </row>
    <row r="141" spans="1:15" hidden="1" x14ac:dyDescent="0.2">
      <c r="A141" s="1">
        <v>43810</v>
      </c>
      <c r="B141" s="4" t="s">
        <v>32</v>
      </c>
      <c r="C141" t="s">
        <v>34</v>
      </c>
      <c r="D141" s="2" t="str">
        <f>Table135[[#This Row],[CN]]&amp;" - "&amp;Table135[[#This Row],[CNEE]]</f>
        <v>万盛 - HANSSEM</v>
      </c>
      <c r="E141" s="10" t="str">
        <f>VLOOKUP(Table135[[#This Row],[CN]],表5[],2,FALSE)</f>
        <v>WANSHENG</v>
      </c>
      <c r="F141" s="3" t="s">
        <v>740</v>
      </c>
      <c r="G141" s="7"/>
      <c r="H141" s="7">
        <v>0</v>
      </c>
      <c r="I141" s="7">
        <f>Table135[[#This Row],[20'']]+Table135[[#This Row],[40'']]*2</f>
        <v>0</v>
      </c>
      <c r="J141" s="56" t="s">
        <v>759</v>
      </c>
      <c r="K141" s="7" t="s">
        <v>750</v>
      </c>
      <c r="L141" s="7"/>
      <c r="M141" s="7" t="s">
        <v>90</v>
      </c>
    </row>
    <row r="142" spans="1:15" x14ac:dyDescent="0.2">
      <c r="A142" s="1">
        <v>43810</v>
      </c>
      <c r="B142" t="s">
        <v>12</v>
      </c>
      <c r="C142" t="s">
        <v>31</v>
      </c>
      <c r="D142" s="2" t="str">
        <f>Table135[[#This Row],[CN]]&amp;" - "&amp;Table135[[#This Row],[CNEE]]</f>
        <v>华达利 - CASAMIA</v>
      </c>
      <c r="E142" s="10" t="str">
        <f>VLOOKUP(Table135[[#This Row],[CN]],表5[],2,FALSE)</f>
        <v>HTL</v>
      </c>
      <c r="F142" s="3" t="s">
        <v>815</v>
      </c>
      <c r="G142" s="7"/>
      <c r="H142" s="7">
        <v>1</v>
      </c>
      <c r="I142" s="7">
        <f>Table135[[#This Row],[20'']]+Table135[[#This Row],[40'']]*2</f>
        <v>2</v>
      </c>
      <c r="J142" s="56" t="s">
        <v>790</v>
      </c>
      <c r="K142" s="7" t="s">
        <v>784</v>
      </c>
      <c r="L142" s="7"/>
      <c r="M142" s="7" t="s">
        <v>90</v>
      </c>
    </row>
    <row r="143" spans="1:15" x14ac:dyDescent="0.2">
      <c r="A143" s="1">
        <v>43810</v>
      </c>
      <c r="B143" s="4" t="s">
        <v>12</v>
      </c>
      <c r="C143" t="s">
        <v>28</v>
      </c>
      <c r="D143" s="2" t="str">
        <f>Table135[[#This Row],[CN]]&amp;" - "&amp;Table135[[#This Row],[CNEE]]</f>
        <v>雅家居 - CASAMIA</v>
      </c>
      <c r="E143" s="10" t="str">
        <f>VLOOKUP(Table135[[#This Row],[CN]],表5[],2,FALSE)</f>
        <v>YAJIAJU</v>
      </c>
      <c r="F143" s="3" t="s">
        <v>806</v>
      </c>
      <c r="G143" s="7"/>
      <c r="H143" s="7">
        <v>2</v>
      </c>
      <c r="I143" s="7">
        <f>Table135[[#This Row],[20'']]+Table135[[#This Row],[40'']]*2</f>
        <v>4</v>
      </c>
      <c r="J143" s="7" t="s">
        <v>814</v>
      </c>
      <c r="K143" s="7" t="s">
        <v>808</v>
      </c>
      <c r="L143" s="7"/>
      <c r="M143" s="7" t="s">
        <v>90</v>
      </c>
    </row>
    <row r="144" spans="1:15" x14ac:dyDescent="0.2">
      <c r="A144" s="1">
        <v>43810</v>
      </c>
      <c r="B144" s="4" t="s">
        <v>32</v>
      </c>
      <c r="C144" t="s">
        <v>35</v>
      </c>
      <c r="D144" s="2" t="str">
        <f>Table135[[#This Row],[CN]]&amp;" - "&amp;Table135[[#This Row],[CNEE]]</f>
        <v>顾家 - HANSSEM</v>
      </c>
      <c r="E144" s="10" t="str">
        <f>VLOOKUP(Table135[[#This Row],[CN]],表5[],2,FALSE)</f>
        <v>KUKA</v>
      </c>
      <c r="F144" s="3" t="s">
        <v>811</v>
      </c>
      <c r="G144" s="7"/>
      <c r="H144" s="7">
        <v>1</v>
      </c>
      <c r="I144" s="7">
        <f>Table135[[#This Row],[20'']]+Table135[[#This Row],[40'']]*2</f>
        <v>2</v>
      </c>
      <c r="J144" s="7" t="s">
        <v>812</v>
      </c>
      <c r="K144" s="7" t="s">
        <v>813</v>
      </c>
      <c r="L144" s="7"/>
      <c r="M144" s="7" t="s">
        <v>90</v>
      </c>
      <c r="O144" s="2"/>
    </row>
    <row r="145" spans="1:13" hidden="1" x14ac:dyDescent="0.2">
      <c r="A145" s="1">
        <v>43814</v>
      </c>
      <c r="B145" s="4" t="s">
        <v>32</v>
      </c>
      <c r="C145" t="s">
        <v>35</v>
      </c>
      <c r="D145" s="2" t="str">
        <f>Table135[[#This Row],[CN]]&amp;" - "&amp;Table135[[#This Row],[CNEE]]</f>
        <v>顾家 - HANSSEM</v>
      </c>
      <c r="E145" s="10" t="str">
        <f>VLOOKUP(Table135[[#This Row],[CN]],表5[],2,FALSE)</f>
        <v>KUKA</v>
      </c>
      <c r="F145" s="3" t="s">
        <v>655</v>
      </c>
      <c r="G145" s="7"/>
      <c r="H145" s="7">
        <v>4</v>
      </c>
      <c r="I145" s="7">
        <f>Table135[[#This Row],[20'']]+Table135[[#This Row],[40'']]*2</f>
        <v>8</v>
      </c>
      <c r="J145" s="56" t="s">
        <v>713</v>
      </c>
      <c r="K145" s="7" t="s">
        <v>709</v>
      </c>
      <c r="L145" s="7" t="s">
        <v>716</v>
      </c>
      <c r="M145" s="7" t="s">
        <v>90</v>
      </c>
    </row>
    <row r="146" spans="1:13" ht="28.5" hidden="1" x14ac:dyDescent="0.2">
      <c r="A146" s="1">
        <v>43814</v>
      </c>
      <c r="B146" t="s">
        <v>12</v>
      </c>
      <c r="C146" t="s">
        <v>31</v>
      </c>
      <c r="D146" s="2" t="str">
        <f>Table135[[#This Row],[CN]]&amp;" - "&amp;Table135[[#This Row],[CNEE]]</f>
        <v>华达利 - CASAMIA</v>
      </c>
      <c r="E146" s="10" t="str">
        <f>VLOOKUP(Table135[[#This Row],[CN]],表5[],2,FALSE)</f>
        <v>HTL</v>
      </c>
      <c r="F146" s="3" t="s">
        <v>816</v>
      </c>
      <c r="G146" s="7"/>
      <c r="H146" s="7">
        <v>2</v>
      </c>
      <c r="I146" s="7">
        <f>Table135[[#This Row],[20'']]+Table135[[#This Row],[40'']]*2</f>
        <v>4</v>
      </c>
      <c r="J146" s="56" t="s">
        <v>791</v>
      </c>
      <c r="K146" s="7" t="s">
        <v>785</v>
      </c>
      <c r="L146" s="7" t="s">
        <v>819</v>
      </c>
      <c r="M146" s="7" t="s">
        <v>90</v>
      </c>
    </row>
    <row r="147" spans="1:13" hidden="1" x14ac:dyDescent="0.2">
      <c r="A147" s="1">
        <v>43814</v>
      </c>
      <c r="B147" s="4" t="s">
        <v>12</v>
      </c>
      <c r="C147" t="s">
        <v>31</v>
      </c>
      <c r="D147" s="2" t="str">
        <f>Table135[[#This Row],[CN]]&amp;" - "&amp;Table135[[#This Row],[CNEE]]</f>
        <v>华达利 - CASAMIA</v>
      </c>
      <c r="E147" s="10" t="str">
        <f>VLOOKUP(Table135[[#This Row],[CN]],表5[],2,FALSE)</f>
        <v>HTL</v>
      </c>
      <c r="F147" s="14" t="s">
        <v>854</v>
      </c>
      <c r="G147" s="7">
        <v>1</v>
      </c>
      <c r="H147" s="7"/>
      <c r="I147" s="7"/>
      <c r="J147" s="7" t="s">
        <v>863</v>
      </c>
      <c r="K147" s="7" t="s">
        <v>853</v>
      </c>
      <c r="L147" s="7"/>
      <c r="M147" s="7" t="s">
        <v>90</v>
      </c>
    </row>
    <row r="148" spans="1:13" hidden="1" x14ac:dyDescent="0.2">
      <c r="A148" s="1">
        <v>43814</v>
      </c>
      <c r="B148" s="4" t="s">
        <v>32</v>
      </c>
      <c r="C148" t="s">
        <v>30</v>
      </c>
      <c r="D148" s="2" t="str">
        <f>Table135[[#This Row],[CN]]&amp;" - "&amp;Table135[[#This Row],[CNEE]]</f>
        <v>卡帛 - HANSSEM</v>
      </c>
      <c r="E148" s="10" t="str">
        <f>VLOOKUP(Table135[[#This Row],[CN]],表5[],2,FALSE)</f>
        <v>CABO</v>
      </c>
      <c r="F148" s="3" t="s">
        <v>720</v>
      </c>
      <c r="G148" s="7"/>
      <c r="H148" s="7">
        <v>3</v>
      </c>
      <c r="I148" s="7">
        <f>Table135[[#This Row],[20'']]+Table135[[#This Row],[40'']]*2</f>
        <v>6</v>
      </c>
      <c r="J148" s="56" t="s">
        <v>733</v>
      </c>
      <c r="K148" s="7" t="s">
        <v>721</v>
      </c>
      <c r="L148" s="7"/>
      <c r="M148" s="7" t="s">
        <v>90</v>
      </c>
    </row>
    <row r="149" spans="1:13" hidden="1" x14ac:dyDescent="0.2">
      <c r="A149" s="1">
        <v>43814</v>
      </c>
      <c r="B149" s="4" t="s">
        <v>32</v>
      </c>
      <c r="C149" t="s">
        <v>34</v>
      </c>
      <c r="D149" s="2" t="str">
        <f>Table135[[#This Row],[CN]]&amp;" - "&amp;Table135[[#This Row],[CNEE]]</f>
        <v>万盛 - HANSSEM</v>
      </c>
      <c r="E149" s="10" t="str">
        <f>VLOOKUP(Table135[[#This Row],[CN]],表5[],2,FALSE)</f>
        <v>WANSHENG</v>
      </c>
      <c r="F149" s="3" t="s">
        <v>743</v>
      </c>
      <c r="G149" s="7"/>
      <c r="H149" s="7">
        <v>2</v>
      </c>
      <c r="I149" s="7">
        <f>Table135[[#This Row],[20'']]+Table135[[#This Row],[40'']]*2</f>
        <v>4</v>
      </c>
      <c r="J149" s="56" t="s">
        <v>762</v>
      </c>
      <c r="K149" s="7" t="s">
        <v>753</v>
      </c>
      <c r="L149" s="7"/>
      <c r="M149" s="7" t="s">
        <v>90</v>
      </c>
    </row>
    <row r="150" spans="1:13" hidden="1" x14ac:dyDescent="0.2">
      <c r="A150" s="1">
        <v>43814</v>
      </c>
      <c r="B150" s="4" t="s">
        <v>32</v>
      </c>
      <c r="C150" t="s">
        <v>34</v>
      </c>
      <c r="D150" s="2" t="str">
        <f>Table135[[#This Row],[CN]]&amp;" - "&amp;Table135[[#This Row],[CNEE]]</f>
        <v>万盛 - HANSSEM</v>
      </c>
      <c r="E150" s="10" t="str">
        <f>VLOOKUP(Table135[[#This Row],[CN]],表5[],2,FALSE)</f>
        <v>WANSHENG</v>
      </c>
      <c r="F150" s="3" t="s">
        <v>744</v>
      </c>
      <c r="G150" s="7"/>
      <c r="H150" s="7">
        <v>2</v>
      </c>
      <c r="I150" s="7">
        <f>Table135[[#This Row],[20'']]+Table135[[#This Row],[40'']]*2</f>
        <v>4</v>
      </c>
      <c r="J150" s="56" t="s">
        <v>763</v>
      </c>
      <c r="K150" s="7" t="s">
        <v>754</v>
      </c>
      <c r="L150" s="7"/>
      <c r="M150" s="7" t="s">
        <v>90</v>
      </c>
    </row>
    <row r="151" spans="1:13" hidden="1" x14ac:dyDescent="0.2">
      <c r="A151" s="1">
        <v>43814</v>
      </c>
      <c r="B151" s="4" t="s">
        <v>12</v>
      </c>
      <c r="C151" t="s">
        <v>33</v>
      </c>
      <c r="D151" s="2" t="str">
        <f>Table135[[#This Row],[CN]]&amp;" - "&amp;Table135[[#This Row],[CNEE]]</f>
        <v>洲际 - CASAMIA</v>
      </c>
      <c r="E151" s="10" t="str">
        <f>VLOOKUP(Table135[[#This Row],[CN]],表5[],2,FALSE)</f>
        <v>ZHOUJI</v>
      </c>
      <c r="F151" s="3" t="s">
        <v>823</v>
      </c>
      <c r="G151" s="7"/>
      <c r="H151" s="7">
        <v>1</v>
      </c>
      <c r="I151" s="7">
        <f>Table135[[#This Row],[20'']]+Table135[[#This Row],[40'']]*2</f>
        <v>2</v>
      </c>
      <c r="J151" s="7" t="s">
        <v>824</v>
      </c>
      <c r="K151" s="7" t="s">
        <v>821</v>
      </c>
      <c r="L151" s="7" t="s">
        <v>822</v>
      </c>
      <c r="M151" s="7" t="s">
        <v>90</v>
      </c>
    </row>
    <row r="152" spans="1:13" hidden="1" x14ac:dyDescent="0.2">
      <c r="A152" s="1">
        <v>43817</v>
      </c>
      <c r="B152" s="4" t="s">
        <v>32</v>
      </c>
      <c r="C152" t="s">
        <v>35</v>
      </c>
      <c r="D152" s="2" t="str">
        <f>Table135[[#This Row],[CN]]&amp;" - "&amp;Table135[[#This Row],[CNEE]]</f>
        <v>顾家 - HANSSEM</v>
      </c>
      <c r="E152" s="10" t="str">
        <f>VLOOKUP(Table135[[#This Row],[CN]],表5[],2,FALSE)</f>
        <v>KUKA</v>
      </c>
      <c r="F152" s="3" t="s">
        <v>658</v>
      </c>
      <c r="G152" s="7"/>
      <c r="H152" s="7">
        <v>2</v>
      </c>
      <c r="I152" s="7">
        <f>Table135[[#This Row],[20'']]+Table135[[#This Row],[40'']]*2</f>
        <v>4</v>
      </c>
      <c r="J152" s="56" t="s">
        <v>714</v>
      </c>
      <c r="K152" s="7" t="s">
        <v>710</v>
      </c>
      <c r="L152" s="7"/>
      <c r="M152" s="7" t="s">
        <v>90</v>
      </c>
    </row>
    <row r="153" spans="1:13" ht="28.5" hidden="1" x14ac:dyDescent="0.2">
      <c r="A153" s="1">
        <v>43817</v>
      </c>
      <c r="B153" s="4" t="s">
        <v>12</v>
      </c>
      <c r="C153" t="s">
        <v>35</v>
      </c>
      <c r="D153" s="2" t="str">
        <f>Table135[[#This Row],[CN]]&amp;" - "&amp;Table135[[#This Row],[CNEE]]</f>
        <v>顾家 - CASAMIA</v>
      </c>
      <c r="E153" s="10" t="str">
        <f>VLOOKUP(Table135[[#This Row],[CN]],表5[],2,FALSE)</f>
        <v>KUKA</v>
      </c>
      <c r="F153" s="3" t="s">
        <v>805</v>
      </c>
      <c r="G153" s="7"/>
      <c r="H153" s="7">
        <v>2</v>
      </c>
      <c r="I153" s="7">
        <f>Table135[[#This Row],[20'']]+Table135[[#This Row],[40'']]*2</f>
        <v>4</v>
      </c>
      <c r="J153" s="7" t="s">
        <v>828</v>
      </c>
      <c r="K153" s="7" t="s">
        <v>830</v>
      </c>
      <c r="L153" s="7"/>
      <c r="M153" s="7" t="s">
        <v>90</v>
      </c>
    </row>
    <row r="154" spans="1:13" ht="42.75" hidden="1" x14ac:dyDescent="0.2">
      <c r="A154" s="1">
        <v>43817</v>
      </c>
      <c r="B154" t="s">
        <v>12</v>
      </c>
      <c r="C154" t="s">
        <v>31</v>
      </c>
      <c r="D154" s="2" t="str">
        <f>Table135[[#This Row],[CN]]&amp;" - "&amp;Table135[[#This Row],[CNEE]]</f>
        <v>华达利 - CASAMIA</v>
      </c>
      <c r="E154" s="10" t="str">
        <f>VLOOKUP(Table135[[#This Row],[CN]],表5[],2,FALSE)</f>
        <v>HTL</v>
      </c>
      <c r="F154" s="3" t="s">
        <v>798</v>
      </c>
      <c r="G154" s="7"/>
      <c r="H154" s="7">
        <v>3</v>
      </c>
      <c r="I154" s="7">
        <f>Table135[[#This Row],[20'']]+Table135[[#This Row],[40'']]*2</f>
        <v>6</v>
      </c>
      <c r="J154" s="56" t="s">
        <v>807</v>
      </c>
      <c r="K154" s="7" t="s">
        <v>818</v>
      </c>
      <c r="L154" s="7"/>
      <c r="M154" s="7" t="s">
        <v>90</v>
      </c>
    </row>
    <row r="155" spans="1:13" ht="28.5" hidden="1" x14ac:dyDescent="0.2">
      <c r="A155" s="1">
        <v>43817</v>
      </c>
      <c r="B155" s="4" t="s">
        <v>12</v>
      </c>
      <c r="C155" t="s">
        <v>31</v>
      </c>
      <c r="D155" s="2" t="str">
        <f>Table135[[#This Row],[CN]]&amp;" - "&amp;Table135[[#This Row],[CNEE]]</f>
        <v>华达利 - CASAMIA</v>
      </c>
      <c r="E155" s="10" t="str">
        <f>VLOOKUP(Table135[[#This Row],[CN]],表5[],2,FALSE)</f>
        <v>HTL</v>
      </c>
      <c r="F155" s="3" t="s">
        <v>839</v>
      </c>
      <c r="G155" s="7"/>
      <c r="H155" s="7">
        <v>2</v>
      </c>
      <c r="I155" s="7">
        <f>Table135[[#This Row],[20'']]+Table135[[#This Row],[40'']]*2</f>
        <v>4</v>
      </c>
      <c r="J155" s="7" t="s">
        <v>849</v>
      </c>
      <c r="K155" s="7" t="s">
        <v>843</v>
      </c>
      <c r="L155" s="7" t="s">
        <v>844</v>
      </c>
      <c r="M155" s="7" t="s">
        <v>90</v>
      </c>
    </row>
    <row r="156" spans="1:13" hidden="1" x14ac:dyDescent="0.2">
      <c r="A156" s="1">
        <v>43817</v>
      </c>
      <c r="B156" s="4" t="s">
        <v>32</v>
      </c>
      <c r="C156" t="s">
        <v>30</v>
      </c>
      <c r="D156" s="2" t="str">
        <f>Table135[[#This Row],[CN]]&amp;" - "&amp;Table135[[#This Row],[CNEE]]</f>
        <v>卡帛 - HANSSEM</v>
      </c>
      <c r="E156" s="10" t="str">
        <f>VLOOKUP(Table135[[#This Row],[CN]],表5[],2,FALSE)</f>
        <v>CABO</v>
      </c>
      <c r="F156" s="3" t="s">
        <v>775</v>
      </c>
      <c r="G156" s="7"/>
      <c r="H156" s="7">
        <v>2</v>
      </c>
      <c r="I156" s="7">
        <f>Table135[[#This Row],[20'']]+Table135[[#This Row],[40'']]*2</f>
        <v>4</v>
      </c>
      <c r="J156" s="56" t="s">
        <v>793</v>
      </c>
      <c r="K156" s="7" t="s">
        <v>794</v>
      </c>
      <c r="L156" s="7" t="s">
        <v>795</v>
      </c>
      <c r="M156" s="7" t="s">
        <v>90</v>
      </c>
    </row>
    <row r="157" spans="1:13" hidden="1" x14ac:dyDescent="0.2">
      <c r="A157" s="1">
        <v>43817</v>
      </c>
      <c r="B157" s="4" t="s">
        <v>77</v>
      </c>
      <c r="C157" t="s">
        <v>27</v>
      </c>
      <c r="D157" s="2" t="str">
        <f>Table135[[#This Row],[CN]]&amp;" - "&amp;Table135[[#This Row],[CNEE]]</f>
        <v>永艺 - SSEM</v>
      </c>
      <c r="E157" s="10" t="str">
        <f>VLOOKUP(Table135[[#This Row],[CN]],表5[],2,FALSE)</f>
        <v>UE</v>
      </c>
      <c r="F157" s="3" t="s">
        <v>850</v>
      </c>
      <c r="G157" s="7"/>
      <c r="H157" s="7">
        <v>1</v>
      </c>
      <c r="I157" s="7">
        <f>Table135[[#This Row],[20'']]+Table135[[#This Row],[40'']]*2</f>
        <v>2</v>
      </c>
      <c r="J157" s="7" t="s">
        <v>852</v>
      </c>
      <c r="K157" s="7" t="s">
        <v>851</v>
      </c>
      <c r="L157" s="7"/>
      <c r="M157" s="7" t="s">
        <v>90</v>
      </c>
    </row>
    <row r="158" spans="1:13" hidden="1" x14ac:dyDescent="0.2">
      <c r="A158" s="1">
        <v>43821</v>
      </c>
      <c r="B158" s="4" t="s">
        <v>32</v>
      </c>
      <c r="C158" t="s">
        <v>35</v>
      </c>
      <c r="D158" s="2" t="str">
        <f>Table135[[#This Row],[CN]]&amp;" - "&amp;Table135[[#This Row],[CNEE]]</f>
        <v>顾家 - HANSSEM</v>
      </c>
      <c r="E158" s="10" t="str">
        <f>VLOOKUP(Table135[[#This Row],[CN]],表5[],2,FALSE)</f>
        <v>KUKA</v>
      </c>
      <c r="F158" s="3" t="s">
        <v>856</v>
      </c>
      <c r="G158" s="7"/>
      <c r="H158" s="7">
        <v>2</v>
      </c>
      <c r="I158" s="7">
        <f>Table135[[#This Row],[20'']]+Table135[[#This Row],[40'']]*2</f>
        <v>4</v>
      </c>
      <c r="J158" s="7" t="s">
        <v>864</v>
      </c>
      <c r="K158" s="7" t="s">
        <v>861</v>
      </c>
      <c r="L158" s="7" t="s">
        <v>865</v>
      </c>
      <c r="M158" s="7" t="s">
        <v>90</v>
      </c>
    </row>
    <row r="159" spans="1:13" hidden="1" x14ac:dyDescent="0.2">
      <c r="A159" s="1">
        <v>43821</v>
      </c>
      <c r="B159" s="4" t="s">
        <v>32</v>
      </c>
      <c r="C159" t="s">
        <v>30</v>
      </c>
      <c r="D159" s="2" t="str">
        <f>Table135[[#This Row],[CN]]&amp;" - "&amp;Table135[[#This Row],[CNEE]]</f>
        <v>卡帛 - HANSSEM</v>
      </c>
      <c r="E159" s="10" t="str">
        <f>VLOOKUP(Table135[[#This Row],[CN]],表5[],2,FALSE)</f>
        <v>CABO</v>
      </c>
      <c r="F159" s="3" t="s">
        <v>776</v>
      </c>
      <c r="G159" s="7"/>
      <c r="H159" s="7">
        <v>2</v>
      </c>
      <c r="I159" s="7">
        <f>Table135[[#This Row],[20'']]+Table135[[#This Row],[40'']]*2</f>
        <v>4</v>
      </c>
      <c r="J159" s="56" t="s">
        <v>796</v>
      </c>
      <c r="K159" s="7" t="s">
        <v>786</v>
      </c>
      <c r="L159" s="7"/>
      <c r="M159" s="7" t="s">
        <v>90</v>
      </c>
    </row>
    <row r="160" spans="1:13" hidden="1" x14ac:dyDescent="0.2">
      <c r="A160" s="1">
        <v>43824</v>
      </c>
      <c r="B160" s="4" t="s">
        <v>32</v>
      </c>
      <c r="C160" t="s">
        <v>35</v>
      </c>
      <c r="D160" s="2" t="str">
        <f>Table135[[#This Row],[CN]]&amp;" - "&amp;Table135[[#This Row],[CNEE]]</f>
        <v>顾家 - HANSSEM</v>
      </c>
      <c r="E160" s="10" t="str">
        <f>VLOOKUP(Table135[[#This Row],[CN]],表5[],2,FALSE)</f>
        <v>KUKA</v>
      </c>
      <c r="F160" s="3" t="s">
        <v>857</v>
      </c>
      <c r="G160" s="7"/>
      <c r="H160" s="7">
        <v>2</v>
      </c>
      <c r="I160" s="7">
        <f>Table135[[#This Row],[20'']]+Table135[[#This Row],[40'']]*2</f>
        <v>4</v>
      </c>
      <c r="J160" s="7" t="s">
        <v>866</v>
      </c>
      <c r="K160" s="7" t="s">
        <v>860</v>
      </c>
      <c r="L160" s="7" t="s">
        <v>867</v>
      </c>
      <c r="M160" s="7" t="s">
        <v>90</v>
      </c>
    </row>
    <row r="161" spans="1:13" ht="42.75" hidden="1" x14ac:dyDescent="0.2">
      <c r="A161" s="1">
        <v>43828</v>
      </c>
      <c r="B161" s="4" t="s">
        <v>12</v>
      </c>
      <c r="C161" t="s">
        <v>826</v>
      </c>
      <c r="D161" s="2" t="str">
        <f>Table135[[#This Row],[CN]]&amp;" - "&amp;Table135[[#This Row],[CNEE]]</f>
        <v>顾家 - CASAMIA</v>
      </c>
      <c r="E161" s="10" t="str">
        <f>VLOOKUP(Table135[[#This Row],[CN]],表5[],2,FALSE)</f>
        <v>KUKA</v>
      </c>
      <c r="F161" s="3" t="s">
        <v>825</v>
      </c>
      <c r="G161" s="7"/>
      <c r="H161" s="7">
        <v>0</v>
      </c>
      <c r="I161" s="7">
        <f>Table135[[#This Row],[20'']]+Table135[[#This Row],[40'']]*2</f>
        <v>0</v>
      </c>
      <c r="J161" s="7" t="s">
        <v>832</v>
      </c>
      <c r="K161" s="7" t="s">
        <v>831</v>
      </c>
      <c r="L161" s="7" t="s">
        <v>837</v>
      </c>
      <c r="M161" s="7" t="s">
        <v>90</v>
      </c>
    </row>
    <row r="162" spans="1:13" hidden="1" x14ac:dyDescent="0.2">
      <c r="A162" s="1">
        <v>43828</v>
      </c>
      <c r="B162" s="4" t="s">
        <v>32</v>
      </c>
      <c r="C162" t="s">
        <v>35</v>
      </c>
      <c r="D162" s="2" t="str">
        <f>Table135[[#This Row],[CN]]&amp;" - "&amp;Table135[[#This Row],[CNEE]]</f>
        <v>顾家 - HANSSEM</v>
      </c>
      <c r="E162" s="10" t="str">
        <f>VLOOKUP(Table135[[#This Row],[CN]],表5[],2,FALSE)</f>
        <v>KUKA</v>
      </c>
      <c r="F162" s="3" t="s">
        <v>858</v>
      </c>
      <c r="G162" s="7"/>
      <c r="H162" s="7">
        <v>3</v>
      </c>
      <c r="I162" s="7">
        <f>Table135[[#This Row],[20'']]+Table135[[#This Row],[40'']]*2</f>
        <v>6</v>
      </c>
      <c r="J162" s="7" t="s">
        <v>868</v>
      </c>
      <c r="K162" s="7" t="s">
        <v>862</v>
      </c>
      <c r="L162" s="7"/>
      <c r="M162" s="7" t="s">
        <v>90</v>
      </c>
    </row>
    <row r="163" spans="1:13" hidden="1" x14ac:dyDescent="0.2">
      <c r="A163" s="1">
        <v>43831</v>
      </c>
      <c r="B163" s="4" t="s">
        <v>77</v>
      </c>
      <c r="C163" t="s">
        <v>522</v>
      </c>
      <c r="D163" s="2" t="str">
        <f>Table135[[#This Row],[CN]]&amp;" - "&amp;Table135[[#This Row],[CNEE]]</f>
        <v>富和 - SSEM</v>
      </c>
      <c r="E163" s="10" t="str">
        <f>VLOOKUP(Table135[[#This Row],[CN]],表5[],2,FALSE)</f>
        <v>FUHE</v>
      </c>
      <c r="F163" s="3" t="s">
        <v>778</v>
      </c>
      <c r="G163" s="7"/>
      <c r="H163" s="7">
        <v>1</v>
      </c>
      <c r="I163" s="7">
        <f>Table135[[#This Row],[20'']]+Table135[[#This Row],[40'']]*2</f>
        <v>2</v>
      </c>
      <c r="J163" s="7"/>
      <c r="K163" s="7"/>
      <c r="L163" s="7"/>
      <c r="M163" s="7"/>
    </row>
    <row r="164" spans="1:13" hidden="1" x14ac:dyDescent="0.2">
      <c r="A164" s="1">
        <v>43831</v>
      </c>
      <c r="B164" s="4" t="s">
        <v>32</v>
      </c>
      <c r="C164" t="s">
        <v>35</v>
      </c>
      <c r="D164" s="2" t="str">
        <f>Table135[[#This Row],[CN]]&amp;" - "&amp;Table135[[#This Row],[CNEE]]</f>
        <v>顾家 - HANSSEM</v>
      </c>
      <c r="E164" s="10" t="str">
        <f>VLOOKUP(Table135[[#This Row],[CN]],表5[],2,FALSE)</f>
        <v>KUKA</v>
      </c>
      <c r="F164" s="3" t="s">
        <v>859</v>
      </c>
      <c r="G164" s="7"/>
      <c r="H164" s="7">
        <v>2</v>
      </c>
      <c r="I164" s="7">
        <f>Table135[[#This Row],[20'']]+Table135[[#This Row],[40'']]*2</f>
        <v>4</v>
      </c>
      <c r="J164" s="7"/>
      <c r="K164" s="7"/>
      <c r="L164" s="7"/>
      <c r="M164" s="7"/>
    </row>
    <row r="165" spans="1:13" ht="42.75" hidden="1" x14ac:dyDescent="0.2">
      <c r="A165" s="1">
        <v>43838</v>
      </c>
      <c r="B165" s="4" t="s">
        <v>12</v>
      </c>
      <c r="C165" t="s">
        <v>35</v>
      </c>
      <c r="D165" s="2" t="str">
        <f>Table135[[#This Row],[CN]]&amp;" - "&amp;Table135[[#This Row],[CNEE]]</f>
        <v>顾家 - CASAMIA</v>
      </c>
      <c r="E165" s="10" t="str">
        <f>VLOOKUP(Table135[[#This Row],[CN]],表5[],2,FALSE)</f>
        <v>KUKA</v>
      </c>
      <c r="F165" s="3" t="s">
        <v>825</v>
      </c>
      <c r="G165" s="7"/>
      <c r="H165" s="7">
        <v>3</v>
      </c>
      <c r="I165" s="7">
        <f>Table135[[#This Row],[20'']]+Table135[[#This Row],[40'']]*2</f>
        <v>6</v>
      </c>
      <c r="J165" s="7" t="s">
        <v>838</v>
      </c>
      <c r="K165" s="7"/>
      <c r="L165" s="7" t="s">
        <v>847</v>
      </c>
      <c r="M165" s="7"/>
    </row>
  </sheetData>
  <sortState ref="R8:S37">
    <sortCondition ref="R8:R37"/>
    <sortCondition ref="S8:S37"/>
  </sortState>
  <phoneticPr fontId="2" type="noConversion"/>
  <conditionalFormatting sqref="K2:K165">
    <cfRule type="duplicateValues" dxfId="84" priority="166"/>
  </conditionalFormatting>
  <dataValidations count="1">
    <dataValidation type="list" allowBlank="1" showInputMessage="1" showErrorMessage="1" sqref="M2:M165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W98"/>
  <sheetViews>
    <sheetView workbookViewId="0">
      <pane ySplit="3" topLeftCell="A43" activePane="bottomLeft" state="frozen"/>
      <selection pane="bottomLeft" activeCell="E74" sqref="E7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23" x14ac:dyDescent="0.2">
      <c r="A1" s="9" t="s">
        <v>44</v>
      </c>
      <c r="B1" s="6" t="s">
        <v>43</v>
      </c>
      <c r="G1" t="s">
        <v>245</v>
      </c>
      <c r="H1" t="s">
        <v>244</v>
      </c>
      <c r="I1" t="s">
        <v>144</v>
      </c>
      <c r="J1" s="31">
        <v>43782</v>
      </c>
      <c r="K1" s="31">
        <f>J2+3</f>
        <v>43789</v>
      </c>
      <c r="L1" s="31">
        <f t="shared" ref="L1:O1" si="0">K2+3</f>
        <v>43796</v>
      </c>
      <c r="M1" s="31">
        <f t="shared" si="0"/>
        <v>43803</v>
      </c>
      <c r="N1" s="31">
        <f t="shared" si="0"/>
        <v>43810</v>
      </c>
      <c r="O1" s="31">
        <f t="shared" si="0"/>
        <v>43817</v>
      </c>
      <c r="Q1" t="s">
        <v>367</v>
      </c>
    </row>
    <row r="2" spans="1:23" x14ac:dyDescent="0.2">
      <c r="G2" t="s">
        <v>246</v>
      </c>
      <c r="H2" t="s">
        <v>243</v>
      </c>
      <c r="I2" t="s">
        <v>145</v>
      </c>
      <c r="J2" s="31">
        <f>J1+4</f>
        <v>43786</v>
      </c>
      <c r="K2" s="31">
        <f>K1+4</f>
        <v>43793</v>
      </c>
      <c r="L2" s="31">
        <f t="shared" ref="L2:O2" si="1">L1+4</f>
        <v>43800</v>
      </c>
      <c r="M2" s="31">
        <f t="shared" si="1"/>
        <v>43807</v>
      </c>
      <c r="N2" s="31">
        <f t="shared" si="1"/>
        <v>43814</v>
      </c>
      <c r="O2" s="31">
        <f t="shared" si="1"/>
        <v>43821</v>
      </c>
      <c r="Q2" t="s">
        <v>366</v>
      </c>
      <c r="W2" t="s">
        <v>724</v>
      </c>
    </row>
    <row r="3" spans="1:23" x14ac:dyDescent="0.2">
      <c r="A3" s="6"/>
      <c r="B3" s="6" t="s">
        <v>116</v>
      </c>
      <c r="C3" s="6" t="s">
        <v>117</v>
      </c>
      <c r="D3" s="6" t="s">
        <v>118</v>
      </c>
      <c r="W3" t="s">
        <v>726</v>
      </c>
    </row>
    <row r="4" spans="1:23" x14ac:dyDescent="0.2">
      <c r="A4" s="29" t="s">
        <v>277</v>
      </c>
      <c r="B4" s="11"/>
      <c r="C4" s="11">
        <v>6</v>
      </c>
      <c r="D4" s="11">
        <v>12</v>
      </c>
    </row>
    <row r="5" spans="1:23" x14ac:dyDescent="0.2">
      <c r="A5" s="8" t="s">
        <v>82</v>
      </c>
      <c r="B5" s="11"/>
      <c r="C5" s="11">
        <v>2</v>
      </c>
      <c r="D5" s="11">
        <v>4</v>
      </c>
    </row>
    <row r="6" spans="1:23" x14ac:dyDescent="0.2">
      <c r="A6" s="8" t="s">
        <v>81</v>
      </c>
      <c r="B6" s="11"/>
      <c r="C6" s="11">
        <v>1</v>
      </c>
      <c r="D6" s="11">
        <v>2</v>
      </c>
    </row>
    <row r="7" spans="1:23" x14ac:dyDescent="0.2">
      <c r="A7" s="8" t="s">
        <v>85</v>
      </c>
      <c r="B7" s="11"/>
      <c r="C7" s="11">
        <v>2</v>
      </c>
      <c r="D7" s="11">
        <v>4</v>
      </c>
    </row>
    <row r="8" spans="1:23" x14ac:dyDescent="0.2">
      <c r="A8" s="8" t="s">
        <v>527</v>
      </c>
      <c r="B8" s="11"/>
      <c r="C8" s="11">
        <v>1</v>
      </c>
      <c r="D8" s="11">
        <v>2</v>
      </c>
    </row>
    <row r="9" spans="1:23" x14ac:dyDescent="0.2">
      <c r="A9" s="29" t="s">
        <v>429</v>
      </c>
      <c r="B9" s="11">
        <v>1</v>
      </c>
      <c r="C9" s="11">
        <v>3</v>
      </c>
      <c r="D9" s="11">
        <v>7</v>
      </c>
    </row>
    <row r="10" spans="1:23" x14ac:dyDescent="0.2">
      <c r="A10" s="8" t="s">
        <v>82</v>
      </c>
      <c r="B10" s="11"/>
      <c r="C10" s="11">
        <v>1</v>
      </c>
      <c r="D10" s="11">
        <v>2</v>
      </c>
    </row>
    <row r="11" spans="1:23" x14ac:dyDescent="0.2">
      <c r="A11" s="8" t="s">
        <v>81</v>
      </c>
      <c r="B11" s="11"/>
      <c r="C11" s="11">
        <v>2</v>
      </c>
      <c r="D11" s="11">
        <v>4</v>
      </c>
    </row>
    <row r="12" spans="1:23" x14ac:dyDescent="0.2">
      <c r="A12" s="8" t="s">
        <v>84</v>
      </c>
      <c r="B12" s="11">
        <v>1</v>
      </c>
      <c r="C12" s="11"/>
      <c r="D12" s="11">
        <v>1</v>
      </c>
    </row>
    <row r="13" spans="1:23" x14ac:dyDescent="0.2">
      <c r="A13" s="29" t="s">
        <v>417</v>
      </c>
      <c r="B13" s="11"/>
      <c r="C13" s="11">
        <v>8</v>
      </c>
      <c r="D13" s="11">
        <v>16</v>
      </c>
    </row>
    <row r="14" spans="1:23" x14ac:dyDescent="0.2">
      <c r="A14" s="8" t="s">
        <v>82</v>
      </c>
      <c r="B14" s="11"/>
      <c r="C14" s="11">
        <v>3</v>
      </c>
      <c r="D14" s="11">
        <v>6</v>
      </c>
    </row>
    <row r="15" spans="1:23" x14ac:dyDescent="0.2">
      <c r="A15" s="8" t="s">
        <v>81</v>
      </c>
      <c r="B15" s="11"/>
      <c r="C15" s="11">
        <v>1</v>
      </c>
      <c r="D15" s="11">
        <v>2</v>
      </c>
    </row>
    <row r="16" spans="1:23" x14ac:dyDescent="0.2">
      <c r="A16" s="8" t="s">
        <v>83</v>
      </c>
      <c r="B16" s="11"/>
      <c r="C16" s="11">
        <v>1</v>
      </c>
      <c r="D16" s="11">
        <v>2</v>
      </c>
    </row>
    <row r="17" spans="1:4" x14ac:dyDescent="0.2">
      <c r="A17" s="8" t="s">
        <v>86</v>
      </c>
      <c r="B17" s="11"/>
      <c r="C17" s="11">
        <v>2</v>
      </c>
      <c r="D17" s="11">
        <v>4</v>
      </c>
    </row>
    <row r="18" spans="1:4" x14ac:dyDescent="0.2">
      <c r="A18" s="8" t="s">
        <v>424</v>
      </c>
      <c r="B18" s="11"/>
      <c r="C18" s="11">
        <v>1</v>
      </c>
      <c r="D18" s="11">
        <v>2</v>
      </c>
    </row>
    <row r="19" spans="1:4" x14ac:dyDescent="0.2">
      <c r="A19" s="29" t="s">
        <v>423</v>
      </c>
      <c r="B19" s="11"/>
      <c r="C19" s="11">
        <v>4</v>
      </c>
      <c r="D19" s="11">
        <v>8</v>
      </c>
    </row>
    <row r="20" spans="1:4" x14ac:dyDescent="0.2">
      <c r="A20" s="8" t="s">
        <v>82</v>
      </c>
      <c r="B20" s="11"/>
      <c r="C20" s="11">
        <v>2</v>
      </c>
      <c r="D20" s="11">
        <v>4</v>
      </c>
    </row>
    <row r="21" spans="1:4" x14ac:dyDescent="0.2">
      <c r="A21" s="8" t="s">
        <v>81</v>
      </c>
      <c r="B21" s="11"/>
      <c r="C21" s="11">
        <v>2</v>
      </c>
      <c r="D21" s="11">
        <v>4</v>
      </c>
    </row>
    <row r="22" spans="1:4" x14ac:dyDescent="0.2">
      <c r="A22" s="8" t="s">
        <v>424</v>
      </c>
      <c r="B22" s="11"/>
      <c r="C22" s="11">
        <v>0</v>
      </c>
      <c r="D22" s="11">
        <v>0</v>
      </c>
    </row>
    <row r="23" spans="1:4" x14ac:dyDescent="0.2">
      <c r="A23" s="29" t="s">
        <v>456</v>
      </c>
      <c r="B23" s="11"/>
      <c r="C23" s="11">
        <v>9</v>
      </c>
      <c r="D23" s="11">
        <v>18</v>
      </c>
    </row>
    <row r="24" spans="1:4" x14ac:dyDescent="0.2">
      <c r="A24" s="8" t="s">
        <v>82</v>
      </c>
      <c r="B24" s="11"/>
      <c r="C24" s="11">
        <v>1</v>
      </c>
      <c r="D24" s="11">
        <v>2</v>
      </c>
    </row>
    <row r="25" spans="1:4" x14ac:dyDescent="0.2">
      <c r="A25" s="8" t="s">
        <v>81</v>
      </c>
      <c r="B25" s="11"/>
      <c r="C25" s="11">
        <v>5</v>
      </c>
      <c r="D25" s="11">
        <v>10</v>
      </c>
    </row>
    <row r="26" spans="1:4" x14ac:dyDescent="0.2">
      <c r="A26" s="8" t="s">
        <v>85</v>
      </c>
      <c r="B26" s="11"/>
      <c r="C26" s="11">
        <v>2</v>
      </c>
      <c r="D26" s="11">
        <v>4</v>
      </c>
    </row>
    <row r="27" spans="1:4" x14ac:dyDescent="0.2">
      <c r="A27" s="8" t="s">
        <v>86</v>
      </c>
      <c r="B27" s="11"/>
      <c r="C27" s="11">
        <v>1</v>
      </c>
      <c r="D27" s="11">
        <v>2</v>
      </c>
    </row>
    <row r="28" spans="1:4" x14ac:dyDescent="0.2">
      <c r="A28" s="8" t="s">
        <v>424</v>
      </c>
      <c r="B28" s="11"/>
      <c r="C28" s="11">
        <v>0</v>
      </c>
      <c r="D28" s="11">
        <v>0</v>
      </c>
    </row>
    <row r="29" spans="1:4" x14ac:dyDescent="0.2">
      <c r="A29" s="8" t="s">
        <v>572</v>
      </c>
      <c r="B29" s="11"/>
      <c r="C29" s="11">
        <v>0</v>
      </c>
      <c r="D29" s="11">
        <v>0</v>
      </c>
    </row>
    <row r="30" spans="1:4" x14ac:dyDescent="0.2">
      <c r="A30" s="29" t="s">
        <v>419</v>
      </c>
      <c r="B30" s="11">
        <v>10</v>
      </c>
      <c r="C30" s="11">
        <v>11</v>
      </c>
      <c r="D30" s="11">
        <v>32</v>
      </c>
    </row>
    <row r="31" spans="1:4" x14ac:dyDescent="0.2">
      <c r="A31" s="8" t="s">
        <v>82</v>
      </c>
      <c r="B31" s="11"/>
      <c r="C31" s="11">
        <v>1</v>
      </c>
      <c r="D31" s="11">
        <v>2</v>
      </c>
    </row>
    <row r="32" spans="1:4" x14ac:dyDescent="0.2">
      <c r="A32" s="8" t="s">
        <v>81</v>
      </c>
      <c r="B32" s="11"/>
      <c r="C32" s="11">
        <v>4</v>
      </c>
      <c r="D32" s="11">
        <v>8</v>
      </c>
    </row>
    <row r="33" spans="1:10" x14ac:dyDescent="0.2">
      <c r="A33" s="8" t="s">
        <v>87</v>
      </c>
      <c r="B33" s="11"/>
      <c r="C33" s="11">
        <v>1</v>
      </c>
      <c r="D33" s="11">
        <v>2</v>
      </c>
    </row>
    <row r="34" spans="1:10" x14ac:dyDescent="0.2">
      <c r="A34" s="8" t="s">
        <v>83</v>
      </c>
      <c r="B34" s="11"/>
      <c r="C34" s="11">
        <v>3</v>
      </c>
      <c r="D34" s="11">
        <v>6</v>
      </c>
    </row>
    <row r="35" spans="1:10" x14ac:dyDescent="0.2">
      <c r="A35" s="8" t="s">
        <v>84</v>
      </c>
      <c r="B35" s="11"/>
      <c r="C35" s="11">
        <v>2</v>
      </c>
      <c r="D35" s="11">
        <v>4</v>
      </c>
    </row>
    <row r="36" spans="1:10" x14ac:dyDescent="0.2">
      <c r="A36" s="8" t="s">
        <v>620</v>
      </c>
      <c r="B36" s="11">
        <v>10</v>
      </c>
      <c r="C36" s="11"/>
      <c r="D36" s="11">
        <v>10</v>
      </c>
    </row>
    <row r="37" spans="1:10" x14ac:dyDescent="0.2">
      <c r="A37" s="29" t="s">
        <v>510</v>
      </c>
      <c r="B37" s="11">
        <v>1</v>
      </c>
      <c r="C37" s="11">
        <v>12</v>
      </c>
      <c r="D37" s="11">
        <v>25</v>
      </c>
    </row>
    <row r="38" spans="1:10" x14ac:dyDescent="0.2">
      <c r="A38" s="8" t="s">
        <v>82</v>
      </c>
      <c r="B38" s="11"/>
      <c r="C38" s="11">
        <v>2</v>
      </c>
      <c r="D38" s="11">
        <v>4</v>
      </c>
    </row>
    <row r="39" spans="1:10" x14ac:dyDescent="0.2">
      <c r="A39" s="8" t="s">
        <v>81</v>
      </c>
      <c r="B39" s="11"/>
      <c r="C39" s="11">
        <v>4</v>
      </c>
      <c r="D39" s="11">
        <v>8</v>
      </c>
    </row>
    <row r="40" spans="1:10" x14ac:dyDescent="0.2">
      <c r="A40" s="8" t="s">
        <v>85</v>
      </c>
      <c r="B40" s="11"/>
      <c r="C40" s="11">
        <v>3</v>
      </c>
      <c r="D40" s="11">
        <v>6</v>
      </c>
    </row>
    <row r="41" spans="1:10" x14ac:dyDescent="0.2">
      <c r="A41" s="8" t="s">
        <v>83</v>
      </c>
      <c r="B41" s="11"/>
      <c r="C41" s="11">
        <v>1</v>
      </c>
      <c r="D41" s="11">
        <v>2</v>
      </c>
    </row>
    <row r="42" spans="1:10" x14ac:dyDescent="0.2">
      <c r="A42" s="8" t="s">
        <v>86</v>
      </c>
      <c r="B42" s="11"/>
      <c r="C42" s="11">
        <v>1</v>
      </c>
      <c r="D42" s="11">
        <v>2</v>
      </c>
    </row>
    <row r="43" spans="1:10" x14ac:dyDescent="0.2">
      <c r="A43" s="8" t="s">
        <v>84</v>
      </c>
      <c r="B43" s="11"/>
      <c r="C43" s="11">
        <v>1</v>
      </c>
      <c r="D43" s="11">
        <v>2</v>
      </c>
    </row>
    <row r="44" spans="1:10" x14ac:dyDescent="0.2">
      <c r="A44" s="8" t="s">
        <v>88</v>
      </c>
      <c r="B44" s="11"/>
      <c r="C44" s="11">
        <v>0</v>
      </c>
      <c r="D44" s="11">
        <v>0</v>
      </c>
    </row>
    <row r="45" spans="1:10" x14ac:dyDescent="0.2">
      <c r="A45" s="8" t="s">
        <v>620</v>
      </c>
      <c r="B45" s="11">
        <v>1</v>
      </c>
      <c r="C45" s="11"/>
      <c r="D45" s="11">
        <v>1</v>
      </c>
    </row>
    <row r="46" spans="1:10" x14ac:dyDescent="0.2">
      <c r="A46" s="29" t="s">
        <v>521</v>
      </c>
      <c r="B46" s="11">
        <v>11</v>
      </c>
      <c r="C46" s="11">
        <v>11</v>
      </c>
      <c r="D46" s="11">
        <v>33</v>
      </c>
    </row>
    <row r="47" spans="1:10" x14ac:dyDescent="0.2">
      <c r="A47" s="8" t="s">
        <v>82</v>
      </c>
      <c r="B47" s="11"/>
      <c r="C47" s="11">
        <v>2</v>
      </c>
      <c r="D47" s="11">
        <v>4</v>
      </c>
    </row>
    <row r="48" spans="1:10" x14ac:dyDescent="0.2">
      <c r="A48" s="8" t="s">
        <v>81</v>
      </c>
      <c r="B48" s="11"/>
      <c r="C48" s="11">
        <v>4</v>
      </c>
      <c r="D48" s="11">
        <v>8</v>
      </c>
      <c r="J48" s="25"/>
    </row>
    <row r="49" spans="1:10" x14ac:dyDescent="0.2">
      <c r="A49" s="8" t="s">
        <v>85</v>
      </c>
      <c r="B49" s="11"/>
      <c r="C49" s="11">
        <v>2</v>
      </c>
      <c r="D49" s="11">
        <v>4</v>
      </c>
      <c r="J49" s="25"/>
    </row>
    <row r="50" spans="1:10" x14ac:dyDescent="0.2">
      <c r="A50" s="8" t="s">
        <v>83</v>
      </c>
      <c r="B50" s="11"/>
      <c r="C50" s="11">
        <v>1</v>
      </c>
      <c r="D50" s="11">
        <v>2</v>
      </c>
      <c r="J50" s="25"/>
    </row>
    <row r="51" spans="1:10" x14ac:dyDescent="0.2">
      <c r="A51" s="8" t="s">
        <v>88</v>
      </c>
      <c r="B51" s="11"/>
      <c r="C51" s="11">
        <v>2</v>
      </c>
      <c r="D51" s="11">
        <v>4</v>
      </c>
      <c r="J51" s="25"/>
    </row>
    <row r="52" spans="1:10" x14ac:dyDescent="0.2">
      <c r="A52" s="8" t="s">
        <v>620</v>
      </c>
      <c r="B52" s="11">
        <v>11</v>
      </c>
      <c r="C52" s="11"/>
      <c r="D52" s="11">
        <v>11</v>
      </c>
      <c r="J52" s="25"/>
    </row>
    <row r="53" spans="1:10" x14ac:dyDescent="0.2">
      <c r="A53" s="29" t="s">
        <v>610</v>
      </c>
      <c r="B53" s="11">
        <v>10</v>
      </c>
      <c r="C53" s="11">
        <v>9</v>
      </c>
      <c r="D53" s="11">
        <v>28</v>
      </c>
      <c r="J53" s="25"/>
    </row>
    <row r="54" spans="1:10" x14ac:dyDescent="0.2">
      <c r="A54" s="8" t="s">
        <v>82</v>
      </c>
      <c r="B54" s="11"/>
      <c r="C54" s="11">
        <v>2</v>
      </c>
      <c r="D54" s="11">
        <v>4</v>
      </c>
    </row>
    <row r="55" spans="1:10" x14ac:dyDescent="0.2">
      <c r="A55" s="8" t="s">
        <v>81</v>
      </c>
      <c r="B55" s="11"/>
      <c r="C55" s="11">
        <v>4</v>
      </c>
      <c r="D55" s="11">
        <v>8</v>
      </c>
    </row>
    <row r="56" spans="1:10" x14ac:dyDescent="0.2">
      <c r="A56" s="8" t="s">
        <v>85</v>
      </c>
      <c r="B56" s="11"/>
      <c r="C56" s="11">
        <v>0</v>
      </c>
      <c r="D56" s="11">
        <v>0</v>
      </c>
    </row>
    <row r="57" spans="1:10" x14ac:dyDescent="0.2">
      <c r="A57" s="8" t="s">
        <v>86</v>
      </c>
      <c r="B57" s="11"/>
      <c r="C57" s="11">
        <v>2</v>
      </c>
      <c r="D57" s="11">
        <v>4</v>
      </c>
    </row>
    <row r="58" spans="1:10" x14ac:dyDescent="0.2">
      <c r="A58" s="8" t="s">
        <v>84</v>
      </c>
      <c r="B58" s="11"/>
      <c r="C58" s="11">
        <v>1</v>
      </c>
      <c r="D58" s="11">
        <v>2</v>
      </c>
    </row>
    <row r="59" spans="1:10" x14ac:dyDescent="0.2">
      <c r="A59" s="8" t="s">
        <v>620</v>
      </c>
      <c r="B59" s="11">
        <v>10</v>
      </c>
      <c r="C59" s="11"/>
      <c r="D59" s="11">
        <v>10</v>
      </c>
    </row>
    <row r="60" spans="1:10" x14ac:dyDescent="0.2">
      <c r="A60" s="29" t="s">
        <v>600</v>
      </c>
      <c r="B60" s="11"/>
      <c r="C60" s="11">
        <v>6</v>
      </c>
      <c r="D60" s="11">
        <v>12</v>
      </c>
    </row>
    <row r="61" spans="1:10" x14ac:dyDescent="0.2">
      <c r="A61" s="8" t="s">
        <v>82</v>
      </c>
      <c r="B61" s="11"/>
      <c r="C61" s="11">
        <v>1</v>
      </c>
      <c r="D61" s="11">
        <v>2</v>
      </c>
    </row>
    <row r="62" spans="1:10" x14ac:dyDescent="0.2">
      <c r="A62" s="8" t="s">
        <v>81</v>
      </c>
      <c r="B62" s="11"/>
      <c r="C62" s="11">
        <v>4</v>
      </c>
      <c r="D62" s="11">
        <v>8</v>
      </c>
    </row>
    <row r="63" spans="1:10" x14ac:dyDescent="0.2">
      <c r="A63" s="8" t="s">
        <v>87</v>
      </c>
      <c r="B63" s="11"/>
      <c r="C63" s="11">
        <v>1</v>
      </c>
      <c r="D63" s="11">
        <v>2</v>
      </c>
    </row>
    <row r="64" spans="1:10" x14ac:dyDescent="0.2">
      <c r="A64" s="29" t="s">
        <v>656</v>
      </c>
      <c r="B64" s="11"/>
      <c r="C64" s="11">
        <v>17</v>
      </c>
      <c r="D64" s="11">
        <v>34</v>
      </c>
    </row>
    <row r="65" spans="1:4" x14ac:dyDescent="0.2">
      <c r="A65" s="8" t="s">
        <v>82</v>
      </c>
      <c r="B65" s="11"/>
      <c r="C65" s="11">
        <v>2</v>
      </c>
      <c r="D65" s="11">
        <v>4</v>
      </c>
    </row>
    <row r="66" spans="1:4" x14ac:dyDescent="0.2">
      <c r="A66" s="8" t="s">
        <v>81</v>
      </c>
      <c r="B66" s="11"/>
      <c r="C66" s="11">
        <v>6</v>
      </c>
      <c r="D66" s="11">
        <v>12</v>
      </c>
    </row>
    <row r="67" spans="1:4" x14ac:dyDescent="0.2">
      <c r="A67" s="8" t="s">
        <v>85</v>
      </c>
      <c r="B67" s="11"/>
      <c r="C67" s="11">
        <v>1</v>
      </c>
      <c r="D67" s="11">
        <v>2</v>
      </c>
    </row>
    <row r="68" spans="1:4" x14ac:dyDescent="0.2">
      <c r="A68" s="8" t="s">
        <v>83</v>
      </c>
      <c r="B68" s="11"/>
      <c r="C68" s="11">
        <v>0</v>
      </c>
      <c r="D68" s="11">
        <v>0</v>
      </c>
    </row>
    <row r="69" spans="1:4" x14ac:dyDescent="0.2">
      <c r="A69" s="8" t="s">
        <v>84</v>
      </c>
      <c r="B69" s="11"/>
      <c r="C69" s="11">
        <v>3</v>
      </c>
      <c r="D69" s="11">
        <v>6</v>
      </c>
    </row>
    <row r="70" spans="1:4" x14ac:dyDescent="0.2">
      <c r="A70" s="8" t="s">
        <v>88</v>
      </c>
      <c r="B70" s="11"/>
      <c r="C70" s="11">
        <v>5</v>
      </c>
      <c r="D70" s="11">
        <v>10</v>
      </c>
    </row>
    <row r="71" spans="1:4" x14ac:dyDescent="0.2">
      <c r="A71" s="29" t="s">
        <v>722</v>
      </c>
      <c r="B71" s="11"/>
      <c r="C71" s="11">
        <v>11</v>
      </c>
      <c r="D71" s="11">
        <v>22</v>
      </c>
    </row>
    <row r="72" spans="1:4" x14ac:dyDescent="0.2">
      <c r="A72" s="8" t="s">
        <v>82</v>
      </c>
      <c r="B72" s="11"/>
      <c r="C72" s="11">
        <v>1</v>
      </c>
      <c r="D72" s="11">
        <v>2</v>
      </c>
    </row>
    <row r="73" spans="1:4" x14ac:dyDescent="0.2">
      <c r="A73" s="8" t="s">
        <v>81</v>
      </c>
      <c r="B73" s="11"/>
      <c r="C73" s="11">
        <v>4</v>
      </c>
      <c r="D73" s="11">
        <v>8</v>
      </c>
    </row>
    <row r="74" spans="1:4" x14ac:dyDescent="0.2">
      <c r="A74" s="8" t="s">
        <v>85</v>
      </c>
      <c r="B74" s="11"/>
      <c r="C74" s="11">
        <v>1</v>
      </c>
      <c r="D74" s="11">
        <v>2</v>
      </c>
    </row>
    <row r="75" spans="1:4" x14ac:dyDescent="0.2">
      <c r="A75" s="8" t="s">
        <v>83</v>
      </c>
      <c r="B75" s="11"/>
      <c r="C75" s="11">
        <v>3</v>
      </c>
      <c r="D75" s="11">
        <v>6</v>
      </c>
    </row>
    <row r="76" spans="1:4" x14ac:dyDescent="0.2">
      <c r="A76" s="8" t="s">
        <v>86</v>
      </c>
      <c r="B76" s="11"/>
      <c r="C76" s="11">
        <v>2</v>
      </c>
      <c r="D76" s="11">
        <v>4</v>
      </c>
    </row>
    <row r="77" spans="1:4" x14ac:dyDescent="0.2">
      <c r="A77" s="8" t="s">
        <v>88</v>
      </c>
      <c r="B77" s="11"/>
      <c r="C77" s="11">
        <v>0</v>
      </c>
      <c r="D77" s="11">
        <v>0</v>
      </c>
    </row>
    <row r="78" spans="1:4" x14ac:dyDescent="0.2">
      <c r="A78" s="8" t="s">
        <v>527</v>
      </c>
      <c r="B78" s="11"/>
      <c r="C78" s="11">
        <v>0</v>
      </c>
      <c r="D78" s="11">
        <v>0</v>
      </c>
    </row>
    <row r="79" spans="1:4" x14ac:dyDescent="0.2">
      <c r="A79" s="29" t="s">
        <v>657</v>
      </c>
      <c r="B79" s="11">
        <v>1</v>
      </c>
      <c r="C79" s="11">
        <v>14</v>
      </c>
      <c r="D79" s="11">
        <v>28</v>
      </c>
    </row>
    <row r="80" spans="1:4" x14ac:dyDescent="0.2">
      <c r="A80" s="8" t="s">
        <v>82</v>
      </c>
      <c r="B80" s="11"/>
      <c r="C80" s="11">
        <v>4</v>
      </c>
      <c r="D80" s="11">
        <v>8</v>
      </c>
    </row>
    <row r="81" spans="1:4" x14ac:dyDescent="0.2">
      <c r="A81" s="8" t="s">
        <v>81</v>
      </c>
      <c r="B81" s="11"/>
      <c r="C81" s="11">
        <v>4</v>
      </c>
      <c r="D81" s="11">
        <v>8</v>
      </c>
    </row>
    <row r="82" spans="1:4" x14ac:dyDescent="0.2">
      <c r="A82" s="8" t="s">
        <v>87</v>
      </c>
      <c r="B82" s="11"/>
      <c r="C82" s="11">
        <v>1</v>
      </c>
      <c r="D82" s="11">
        <v>2</v>
      </c>
    </row>
    <row r="83" spans="1:4" x14ac:dyDescent="0.2">
      <c r="A83" s="8" t="s">
        <v>85</v>
      </c>
      <c r="B83" s="11">
        <v>1</v>
      </c>
      <c r="C83" s="11">
        <v>2</v>
      </c>
      <c r="D83" s="11">
        <v>4</v>
      </c>
    </row>
    <row r="84" spans="1:4" x14ac:dyDescent="0.2">
      <c r="A84" s="8" t="s">
        <v>83</v>
      </c>
      <c r="B84" s="11"/>
      <c r="C84" s="11">
        <v>3</v>
      </c>
      <c r="D84" s="11">
        <v>6</v>
      </c>
    </row>
    <row r="85" spans="1:4" x14ac:dyDescent="0.2">
      <c r="A85" s="29" t="s">
        <v>659</v>
      </c>
      <c r="B85" s="11"/>
      <c r="C85" s="11">
        <v>12</v>
      </c>
      <c r="D85" s="11">
        <v>24</v>
      </c>
    </row>
    <row r="86" spans="1:4" x14ac:dyDescent="0.2">
      <c r="A86" s="8" t="s">
        <v>82</v>
      </c>
      <c r="B86" s="11"/>
      <c r="C86" s="11">
        <v>2</v>
      </c>
      <c r="D86" s="11">
        <v>4</v>
      </c>
    </row>
    <row r="87" spans="1:4" x14ac:dyDescent="0.2">
      <c r="A87" s="8" t="s">
        <v>85</v>
      </c>
      <c r="B87" s="11"/>
      <c r="C87" s="11">
        <v>5</v>
      </c>
      <c r="D87" s="11">
        <v>10</v>
      </c>
    </row>
    <row r="88" spans="1:4" x14ac:dyDescent="0.2">
      <c r="A88" s="8" t="s">
        <v>83</v>
      </c>
      <c r="B88" s="11"/>
      <c r="C88" s="11">
        <v>2</v>
      </c>
      <c r="D88" s="11">
        <v>4</v>
      </c>
    </row>
    <row r="89" spans="1:4" x14ac:dyDescent="0.2">
      <c r="A89" s="8" t="s">
        <v>84</v>
      </c>
      <c r="B89" s="11"/>
      <c r="C89" s="11">
        <v>1</v>
      </c>
      <c r="D89" s="11">
        <v>2</v>
      </c>
    </row>
    <row r="90" spans="1:4" x14ac:dyDescent="0.2">
      <c r="A90" s="8" t="s">
        <v>88</v>
      </c>
      <c r="B90" s="11"/>
      <c r="C90" s="11">
        <v>2</v>
      </c>
      <c r="D90" s="11">
        <v>4</v>
      </c>
    </row>
    <row r="91" spans="1:4" x14ac:dyDescent="0.2">
      <c r="A91" s="29" t="s">
        <v>779</v>
      </c>
      <c r="B91" s="11"/>
      <c r="C91" s="11">
        <v>4</v>
      </c>
      <c r="D91" s="11">
        <v>8</v>
      </c>
    </row>
    <row r="92" spans="1:4" x14ac:dyDescent="0.2">
      <c r="A92" s="8" t="s">
        <v>82</v>
      </c>
      <c r="B92" s="11"/>
      <c r="C92" s="11">
        <v>2</v>
      </c>
      <c r="D92" s="11">
        <v>4</v>
      </c>
    </row>
    <row r="93" spans="1:4" x14ac:dyDescent="0.2">
      <c r="A93" s="8" t="s">
        <v>83</v>
      </c>
      <c r="B93" s="11"/>
      <c r="C93" s="11">
        <v>2</v>
      </c>
      <c r="D93" s="11">
        <v>4</v>
      </c>
    </row>
    <row r="94" spans="1:4" x14ac:dyDescent="0.2">
      <c r="A94" s="29" t="s">
        <v>869</v>
      </c>
      <c r="B94" s="11"/>
      <c r="C94" s="11">
        <v>2</v>
      </c>
      <c r="D94" s="11">
        <v>4</v>
      </c>
    </row>
    <row r="95" spans="1:4" x14ac:dyDescent="0.2">
      <c r="A95" s="8" t="s">
        <v>82</v>
      </c>
      <c r="B95" s="11"/>
      <c r="C95" s="11">
        <v>2</v>
      </c>
      <c r="D95" s="11">
        <v>4</v>
      </c>
    </row>
    <row r="96" spans="1:4" x14ac:dyDescent="0.2">
      <c r="A96" s="29" t="s">
        <v>829</v>
      </c>
      <c r="B96" s="11"/>
      <c r="C96" s="11">
        <v>3</v>
      </c>
      <c r="D96" s="11">
        <v>6</v>
      </c>
    </row>
    <row r="97" spans="1:4" x14ac:dyDescent="0.2">
      <c r="A97" s="8" t="s">
        <v>82</v>
      </c>
      <c r="B97" s="11"/>
      <c r="C97" s="11">
        <v>3</v>
      </c>
      <c r="D97" s="11">
        <v>6</v>
      </c>
    </row>
    <row r="98" spans="1:4" x14ac:dyDescent="0.2">
      <c r="A98" s="8" t="s">
        <v>88</v>
      </c>
      <c r="B98" s="11"/>
      <c r="C98" s="11">
        <v>0</v>
      </c>
      <c r="D98" s="11">
        <v>0</v>
      </c>
    </row>
  </sheetData>
  <phoneticPr fontId="2" type="noConversion"/>
  <conditionalFormatting sqref="J1:O2">
    <cfRule type="expression" dxfId="71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118"/>
  <sheetViews>
    <sheetView showGridLines="0" zoomScaleNormal="100" workbookViewId="0">
      <pane xSplit="2" ySplit="1" topLeftCell="J2" activePane="bottomRight" state="frozen"/>
      <selection pane="topRight" activeCell="D1" sqref="D1"/>
      <selection pane="bottomLeft" activeCell="A2" sqref="A2"/>
      <selection pane="bottomRight" activeCell="O130" sqref="O130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4" width="7" customWidth="1"/>
    <col min="25" max="26" width="7.25" bestFit="1" customWidth="1"/>
  </cols>
  <sheetData>
    <row r="1" spans="1:27" ht="42.75" x14ac:dyDescent="0.2">
      <c r="A1" s="27" t="s">
        <v>23</v>
      </c>
      <c r="B1" s="28" t="s">
        <v>115</v>
      </c>
      <c r="C1" s="27" t="s">
        <v>110</v>
      </c>
      <c r="D1" s="19" t="s">
        <v>114</v>
      </c>
      <c r="E1" s="19" t="s">
        <v>284</v>
      </c>
      <c r="F1" s="19" t="s">
        <v>155</v>
      </c>
      <c r="G1" s="19" t="s">
        <v>166</v>
      </c>
      <c r="H1" s="19" t="s">
        <v>183</v>
      </c>
      <c r="I1" s="19" t="s">
        <v>167</v>
      </c>
      <c r="J1" s="19" t="s">
        <v>165</v>
      </c>
      <c r="K1" s="19" t="s">
        <v>168</v>
      </c>
      <c r="L1" s="19" t="s">
        <v>169</v>
      </c>
      <c r="M1" s="19" t="s">
        <v>181</v>
      </c>
      <c r="N1" s="19" t="s">
        <v>170</v>
      </c>
      <c r="O1" s="19" t="s">
        <v>180</v>
      </c>
      <c r="P1" s="19" t="s">
        <v>171</v>
      </c>
      <c r="Q1" s="19" t="s">
        <v>182</v>
      </c>
      <c r="R1" s="19" t="s">
        <v>172</v>
      </c>
      <c r="S1" s="19" t="s">
        <v>173</v>
      </c>
      <c r="T1" s="19" t="s">
        <v>174</v>
      </c>
      <c r="U1" s="19" t="s">
        <v>175</v>
      </c>
      <c r="V1" s="19" t="s">
        <v>176</v>
      </c>
      <c r="W1" s="19" t="s">
        <v>177</v>
      </c>
      <c r="X1" s="19" t="s">
        <v>780</v>
      </c>
      <c r="Y1" s="19" t="s">
        <v>178</v>
      </c>
      <c r="Z1" s="19" t="s">
        <v>179</v>
      </c>
      <c r="AA1" s="20" t="s">
        <v>156</v>
      </c>
    </row>
    <row r="2" spans="1:27" hidden="1" x14ac:dyDescent="0.2">
      <c r="A2" s="21">
        <v>43744</v>
      </c>
      <c r="B2" s="15" t="s">
        <v>154</v>
      </c>
      <c r="C2" s="45"/>
      <c r="D2" s="17" t="s">
        <v>152</v>
      </c>
      <c r="E2" s="17" t="s">
        <v>152</v>
      </c>
      <c r="F2" s="17" t="s">
        <v>91</v>
      </c>
      <c r="G2" s="17" t="s">
        <v>91</v>
      </c>
      <c r="H2" s="17" t="s">
        <v>113</v>
      </c>
      <c r="I2" s="17" t="s">
        <v>113</v>
      </c>
      <c r="J2" s="17" t="s">
        <v>91</v>
      </c>
      <c r="K2" s="17" t="s">
        <v>91</v>
      </c>
      <c r="L2" s="17" t="s">
        <v>91</v>
      </c>
      <c r="M2" s="17" t="s">
        <v>91</v>
      </c>
      <c r="N2" s="17" t="s">
        <v>91</v>
      </c>
      <c r="O2" s="17" t="s">
        <v>91</v>
      </c>
      <c r="P2" s="17" t="s">
        <v>91</v>
      </c>
      <c r="Q2" s="17" t="s">
        <v>91</v>
      </c>
      <c r="R2" s="17" t="s">
        <v>113</v>
      </c>
      <c r="S2" s="17" t="s">
        <v>113</v>
      </c>
      <c r="T2" s="17" t="s">
        <v>91</v>
      </c>
      <c r="U2" s="17" t="s">
        <v>91</v>
      </c>
      <c r="V2" s="17" t="s">
        <v>91</v>
      </c>
      <c r="W2" s="17" t="s">
        <v>91</v>
      </c>
      <c r="X2" s="17" t="s">
        <v>801</v>
      </c>
      <c r="Y2" s="17" t="s">
        <v>91</v>
      </c>
      <c r="Z2" s="17" t="s">
        <v>91</v>
      </c>
      <c r="AA2" s="43" t="s">
        <v>91</v>
      </c>
    </row>
    <row r="3" spans="1:27" hidden="1" x14ac:dyDescent="0.2">
      <c r="A3" s="21">
        <v>43744</v>
      </c>
      <c r="B3" s="15" t="s">
        <v>48</v>
      </c>
      <c r="C3" s="45"/>
      <c r="D3" s="17" t="s">
        <v>91</v>
      </c>
      <c r="E3" s="17" t="s">
        <v>91</v>
      </c>
      <c r="F3" s="17" t="s">
        <v>91</v>
      </c>
      <c r="G3" s="17" t="s">
        <v>91</v>
      </c>
      <c r="H3" s="17" t="s">
        <v>113</v>
      </c>
      <c r="I3" s="17" t="s">
        <v>113</v>
      </c>
      <c r="J3" s="17" t="s">
        <v>91</v>
      </c>
      <c r="K3" s="17" t="s">
        <v>91</v>
      </c>
      <c r="L3" s="17" t="s">
        <v>91</v>
      </c>
      <c r="M3" s="17" t="s">
        <v>91</v>
      </c>
      <c r="N3" s="17" t="s">
        <v>91</v>
      </c>
      <c r="O3" s="17" t="s">
        <v>91</v>
      </c>
      <c r="P3" s="17" t="s">
        <v>91</v>
      </c>
      <c r="Q3" s="17" t="s">
        <v>91</v>
      </c>
      <c r="R3" s="17" t="s">
        <v>113</v>
      </c>
      <c r="S3" s="17" t="s">
        <v>113</v>
      </c>
      <c r="T3" s="17" t="s">
        <v>91</v>
      </c>
      <c r="U3" s="17" t="s">
        <v>91</v>
      </c>
      <c r="V3" s="17" t="s">
        <v>91</v>
      </c>
      <c r="W3" s="17" t="s">
        <v>91</v>
      </c>
      <c r="X3" s="17" t="s">
        <v>801</v>
      </c>
      <c r="Y3" s="17" t="s">
        <v>113</v>
      </c>
      <c r="Z3" s="17" t="s">
        <v>113</v>
      </c>
      <c r="AA3" s="43" t="s">
        <v>91</v>
      </c>
    </row>
    <row r="4" spans="1:27" hidden="1" x14ac:dyDescent="0.2">
      <c r="A4" s="21">
        <v>43744</v>
      </c>
      <c r="B4" s="15" t="s">
        <v>151</v>
      </c>
      <c r="C4" s="45"/>
      <c r="D4" s="17" t="s">
        <v>152</v>
      </c>
      <c r="E4" s="17" t="s">
        <v>91</v>
      </c>
      <c r="F4" s="17" t="s">
        <v>91</v>
      </c>
      <c r="G4" s="17" t="s">
        <v>91</v>
      </c>
      <c r="H4" s="17" t="s">
        <v>113</v>
      </c>
      <c r="I4" s="17" t="s">
        <v>113</v>
      </c>
      <c r="J4" s="17" t="s">
        <v>91</v>
      </c>
      <c r="K4" s="17" t="s">
        <v>91</v>
      </c>
      <c r="L4" s="17" t="s">
        <v>91</v>
      </c>
      <c r="M4" s="17" t="s">
        <v>91</v>
      </c>
      <c r="N4" s="17" t="s">
        <v>91</v>
      </c>
      <c r="O4" s="17" t="s">
        <v>91</v>
      </c>
      <c r="P4" s="17" t="s">
        <v>91</v>
      </c>
      <c r="Q4" s="17" t="s">
        <v>91</v>
      </c>
      <c r="R4" s="17" t="s">
        <v>113</v>
      </c>
      <c r="S4" s="17" t="s">
        <v>113</v>
      </c>
      <c r="T4" s="17" t="s">
        <v>91</v>
      </c>
      <c r="U4" s="17" t="s">
        <v>91</v>
      </c>
      <c r="V4" s="17" t="s">
        <v>91</v>
      </c>
      <c r="W4" s="17" t="s">
        <v>91</v>
      </c>
      <c r="X4" s="17" t="s">
        <v>801</v>
      </c>
      <c r="Y4" s="17" t="s">
        <v>113</v>
      </c>
      <c r="Z4" s="17" t="s">
        <v>113</v>
      </c>
      <c r="AA4" s="43" t="s">
        <v>91</v>
      </c>
    </row>
    <row r="5" spans="1:27" hidden="1" x14ac:dyDescent="0.2">
      <c r="A5" s="21">
        <v>43744</v>
      </c>
      <c r="B5" s="15" t="s">
        <v>53</v>
      </c>
      <c r="C5" s="45"/>
      <c r="D5" s="17" t="s">
        <v>91</v>
      </c>
      <c r="E5" s="17" t="s">
        <v>91</v>
      </c>
      <c r="F5" s="17" t="s">
        <v>91</v>
      </c>
      <c r="G5" s="17" t="s">
        <v>91</v>
      </c>
      <c r="H5" s="17" t="s">
        <v>113</v>
      </c>
      <c r="I5" s="17" t="s">
        <v>113</v>
      </c>
      <c r="J5" s="17" t="s">
        <v>91</v>
      </c>
      <c r="K5" s="17" t="s">
        <v>91</v>
      </c>
      <c r="L5" s="17" t="s">
        <v>91</v>
      </c>
      <c r="M5" s="17" t="s">
        <v>91</v>
      </c>
      <c r="N5" s="17" t="s">
        <v>91</v>
      </c>
      <c r="O5" s="17" t="s">
        <v>91</v>
      </c>
      <c r="P5" s="17" t="s">
        <v>91</v>
      </c>
      <c r="Q5" s="17" t="s">
        <v>91</v>
      </c>
      <c r="R5" s="17" t="s">
        <v>113</v>
      </c>
      <c r="S5" s="17" t="s">
        <v>113</v>
      </c>
      <c r="T5" s="17" t="s">
        <v>91</v>
      </c>
      <c r="U5" s="17" t="s">
        <v>91</v>
      </c>
      <c r="V5" s="17" t="s">
        <v>91</v>
      </c>
      <c r="W5" s="17" t="s">
        <v>91</v>
      </c>
      <c r="X5" s="17" t="s">
        <v>801</v>
      </c>
      <c r="Y5" s="17" t="s">
        <v>91</v>
      </c>
      <c r="Z5" s="17" t="s">
        <v>91</v>
      </c>
      <c r="AA5" s="43" t="s">
        <v>91</v>
      </c>
    </row>
    <row r="6" spans="1:27" hidden="1" x14ac:dyDescent="0.2">
      <c r="A6" s="21">
        <v>43747</v>
      </c>
      <c r="B6" s="15" t="s">
        <v>52</v>
      </c>
      <c r="C6" s="45"/>
      <c r="D6" s="17" t="s">
        <v>91</v>
      </c>
      <c r="E6" s="17" t="s">
        <v>91</v>
      </c>
      <c r="F6" s="17" t="s">
        <v>91</v>
      </c>
      <c r="G6" s="17" t="s">
        <v>91</v>
      </c>
      <c r="H6" s="17" t="s">
        <v>113</v>
      </c>
      <c r="I6" s="17" t="s">
        <v>113</v>
      </c>
      <c r="J6" s="17" t="s">
        <v>91</v>
      </c>
      <c r="K6" s="17" t="s">
        <v>91</v>
      </c>
      <c r="L6" s="17" t="s">
        <v>91</v>
      </c>
      <c r="M6" s="17" t="s">
        <v>91</v>
      </c>
      <c r="N6" s="17" t="s">
        <v>91</v>
      </c>
      <c r="O6" s="17" t="s">
        <v>91</v>
      </c>
      <c r="P6" s="17" t="s">
        <v>91</v>
      </c>
      <c r="Q6" s="17" t="s">
        <v>91</v>
      </c>
      <c r="R6" s="17" t="s">
        <v>113</v>
      </c>
      <c r="S6" s="17" t="s">
        <v>113</v>
      </c>
      <c r="T6" s="17" t="s">
        <v>91</v>
      </c>
      <c r="U6" s="17" t="s">
        <v>91</v>
      </c>
      <c r="V6" s="17" t="s">
        <v>91</v>
      </c>
      <c r="W6" s="17" t="s">
        <v>91</v>
      </c>
      <c r="X6" s="17" t="s">
        <v>801</v>
      </c>
      <c r="Y6" s="17" t="s">
        <v>91</v>
      </c>
      <c r="Z6" s="17" t="s">
        <v>91</v>
      </c>
      <c r="AA6" s="43" t="s">
        <v>91</v>
      </c>
    </row>
    <row r="7" spans="1:27" hidden="1" x14ac:dyDescent="0.2">
      <c r="A7" s="21">
        <v>43747</v>
      </c>
      <c r="B7" s="15" t="s">
        <v>55</v>
      </c>
      <c r="C7" s="45"/>
      <c r="D7" s="17" t="s">
        <v>91</v>
      </c>
      <c r="E7" s="17" t="s">
        <v>91</v>
      </c>
      <c r="F7" s="17" t="s">
        <v>91</v>
      </c>
      <c r="G7" s="17" t="s">
        <v>91</v>
      </c>
      <c r="H7" s="17" t="s">
        <v>113</v>
      </c>
      <c r="I7" s="17" t="s">
        <v>113</v>
      </c>
      <c r="J7" s="17" t="s">
        <v>91</v>
      </c>
      <c r="K7" s="17" t="s">
        <v>91</v>
      </c>
      <c r="L7" s="17" t="s">
        <v>91</v>
      </c>
      <c r="M7" s="17" t="s">
        <v>91</v>
      </c>
      <c r="N7" s="17" t="s">
        <v>91</v>
      </c>
      <c r="O7" s="17" t="s">
        <v>91</v>
      </c>
      <c r="P7" s="17" t="s">
        <v>91</v>
      </c>
      <c r="Q7" s="17" t="s">
        <v>91</v>
      </c>
      <c r="R7" s="17" t="s">
        <v>113</v>
      </c>
      <c r="S7" s="17" t="s">
        <v>113</v>
      </c>
      <c r="T7" s="17" t="s">
        <v>91</v>
      </c>
      <c r="U7" s="17" t="s">
        <v>91</v>
      </c>
      <c r="V7" s="17" t="s">
        <v>91</v>
      </c>
      <c r="W7" s="17" t="s">
        <v>91</v>
      </c>
      <c r="X7" s="17" t="s">
        <v>801</v>
      </c>
      <c r="Y7" s="17" t="s">
        <v>91</v>
      </c>
      <c r="Z7" s="17" t="s">
        <v>91</v>
      </c>
      <c r="AA7" s="43" t="s">
        <v>91</v>
      </c>
    </row>
    <row r="8" spans="1:27" hidden="1" x14ac:dyDescent="0.2">
      <c r="A8" s="21">
        <v>43747</v>
      </c>
      <c r="B8" s="15" t="s">
        <v>56</v>
      </c>
      <c r="C8" s="45"/>
      <c r="D8" s="17" t="s">
        <v>91</v>
      </c>
      <c r="E8" s="17" t="s">
        <v>91</v>
      </c>
      <c r="F8" s="17" t="s">
        <v>91</v>
      </c>
      <c r="G8" s="17" t="s">
        <v>91</v>
      </c>
      <c r="H8" s="17" t="s">
        <v>113</v>
      </c>
      <c r="I8" s="17" t="s">
        <v>113</v>
      </c>
      <c r="J8" s="17" t="s">
        <v>91</v>
      </c>
      <c r="K8" s="17" t="s">
        <v>91</v>
      </c>
      <c r="L8" s="17" t="s">
        <v>91</v>
      </c>
      <c r="M8" s="17" t="s">
        <v>91</v>
      </c>
      <c r="N8" s="17" t="s">
        <v>91</v>
      </c>
      <c r="O8" s="17" t="s">
        <v>91</v>
      </c>
      <c r="P8" s="17" t="s">
        <v>91</v>
      </c>
      <c r="Q8" s="17" t="s">
        <v>91</v>
      </c>
      <c r="R8" s="17" t="s">
        <v>113</v>
      </c>
      <c r="S8" s="17" t="s">
        <v>113</v>
      </c>
      <c r="T8" s="17" t="s">
        <v>91</v>
      </c>
      <c r="U8" s="17" t="s">
        <v>91</v>
      </c>
      <c r="V8" s="17" t="s">
        <v>91</v>
      </c>
      <c r="W8" s="17" t="s">
        <v>91</v>
      </c>
      <c r="X8" s="17" t="s">
        <v>801</v>
      </c>
      <c r="Y8" s="17" t="s">
        <v>91</v>
      </c>
      <c r="Z8" s="17" t="s">
        <v>91</v>
      </c>
      <c r="AA8" s="43" t="s">
        <v>91</v>
      </c>
    </row>
    <row r="9" spans="1:27" hidden="1" x14ac:dyDescent="0.2">
      <c r="A9" s="21">
        <v>43747</v>
      </c>
      <c r="B9" s="15" t="s">
        <v>48</v>
      </c>
      <c r="C9" s="45"/>
      <c r="D9" s="17" t="s">
        <v>91</v>
      </c>
      <c r="E9" s="17" t="s">
        <v>91</v>
      </c>
      <c r="F9" s="17" t="s">
        <v>91</v>
      </c>
      <c r="G9" s="17" t="s">
        <v>91</v>
      </c>
      <c r="H9" s="17" t="s">
        <v>91</v>
      </c>
      <c r="I9" s="17" t="s">
        <v>91</v>
      </c>
      <c r="J9" s="17" t="s">
        <v>91</v>
      </c>
      <c r="K9" s="17" t="s">
        <v>91</v>
      </c>
      <c r="L9" s="17" t="s">
        <v>91</v>
      </c>
      <c r="M9" s="17" t="s">
        <v>91</v>
      </c>
      <c r="N9" s="17" t="s">
        <v>91</v>
      </c>
      <c r="O9" s="17" t="s">
        <v>91</v>
      </c>
      <c r="P9" s="17" t="s">
        <v>91</v>
      </c>
      <c r="Q9" s="17" t="s">
        <v>91</v>
      </c>
      <c r="R9" s="17" t="s">
        <v>91</v>
      </c>
      <c r="S9" s="17" t="s">
        <v>91</v>
      </c>
      <c r="T9" s="17" t="s">
        <v>91</v>
      </c>
      <c r="U9" s="17" t="s">
        <v>91</v>
      </c>
      <c r="V9" s="17" t="s">
        <v>91</v>
      </c>
      <c r="W9" s="17" t="s">
        <v>91</v>
      </c>
      <c r="X9" s="17" t="s">
        <v>801</v>
      </c>
      <c r="Y9" s="17" t="s">
        <v>113</v>
      </c>
      <c r="Z9" s="17" t="s">
        <v>113</v>
      </c>
      <c r="AA9" s="43" t="s">
        <v>91</v>
      </c>
    </row>
    <row r="10" spans="1:27" hidden="1" x14ac:dyDescent="0.2">
      <c r="A10" s="21">
        <v>43747</v>
      </c>
      <c r="B10" s="15" t="s">
        <v>60</v>
      </c>
      <c r="C10" s="45"/>
      <c r="D10" s="17" t="s">
        <v>91</v>
      </c>
      <c r="E10" s="17" t="s">
        <v>91</v>
      </c>
      <c r="F10" s="17" t="s">
        <v>91</v>
      </c>
      <c r="G10" s="17" t="s">
        <v>91</v>
      </c>
      <c r="H10" s="17" t="s">
        <v>91</v>
      </c>
      <c r="I10" s="17" t="s">
        <v>91</v>
      </c>
      <c r="J10" s="17" t="s">
        <v>91</v>
      </c>
      <c r="K10" s="17" t="s">
        <v>91</v>
      </c>
      <c r="L10" s="17" t="s">
        <v>91</v>
      </c>
      <c r="M10" s="17" t="s">
        <v>91</v>
      </c>
      <c r="N10" s="17" t="s">
        <v>91</v>
      </c>
      <c r="O10" s="17" t="s">
        <v>91</v>
      </c>
      <c r="P10" s="17" t="s">
        <v>91</v>
      </c>
      <c r="Q10" s="17" t="s">
        <v>91</v>
      </c>
      <c r="R10" s="17" t="s">
        <v>91</v>
      </c>
      <c r="S10" s="17" t="s">
        <v>91</v>
      </c>
      <c r="T10" s="17" t="s">
        <v>91</v>
      </c>
      <c r="U10" s="17" t="s">
        <v>91</v>
      </c>
      <c r="V10" s="17" t="s">
        <v>113</v>
      </c>
      <c r="W10" s="17" t="s">
        <v>91</v>
      </c>
      <c r="X10" s="17" t="s">
        <v>801</v>
      </c>
      <c r="Y10" s="17" t="s">
        <v>113</v>
      </c>
      <c r="Z10" s="17" t="s">
        <v>113</v>
      </c>
      <c r="AA10" s="43" t="s">
        <v>91</v>
      </c>
    </row>
    <row r="11" spans="1:27" hidden="1" x14ac:dyDescent="0.2">
      <c r="A11" s="21">
        <v>43747</v>
      </c>
      <c r="B11" s="15" t="s">
        <v>339</v>
      </c>
      <c r="C11" s="45"/>
      <c r="D11" s="17" t="s">
        <v>91</v>
      </c>
      <c r="E11" s="17" t="s">
        <v>91</v>
      </c>
      <c r="F11" s="17" t="s">
        <v>91</v>
      </c>
      <c r="G11" s="17" t="s">
        <v>91</v>
      </c>
      <c r="H11" s="17" t="s">
        <v>113</v>
      </c>
      <c r="I11" s="17" t="s">
        <v>113</v>
      </c>
      <c r="J11" s="17" t="s">
        <v>91</v>
      </c>
      <c r="K11" s="17" t="s">
        <v>91</v>
      </c>
      <c r="L11" s="17" t="s">
        <v>91</v>
      </c>
      <c r="M11" s="17" t="s">
        <v>91</v>
      </c>
      <c r="N11" s="17" t="s">
        <v>91</v>
      </c>
      <c r="O11" s="17" t="s">
        <v>91</v>
      </c>
      <c r="P11" s="17" t="s">
        <v>91</v>
      </c>
      <c r="Q11" s="17" t="s">
        <v>91</v>
      </c>
      <c r="R11" s="17" t="s">
        <v>113</v>
      </c>
      <c r="S11" s="17" t="s">
        <v>113</v>
      </c>
      <c r="T11" s="17" t="s">
        <v>91</v>
      </c>
      <c r="U11" s="17" t="s">
        <v>91</v>
      </c>
      <c r="V11" s="17" t="s">
        <v>91</v>
      </c>
      <c r="W11" s="17" t="s">
        <v>91</v>
      </c>
      <c r="X11" s="17" t="s">
        <v>801</v>
      </c>
      <c r="Y11" s="17" t="s">
        <v>113</v>
      </c>
      <c r="Z11" s="17" t="s">
        <v>113</v>
      </c>
      <c r="AA11" s="43" t="s">
        <v>91</v>
      </c>
    </row>
    <row r="12" spans="1:27" hidden="1" x14ac:dyDescent="0.2">
      <c r="A12" s="21">
        <v>43751</v>
      </c>
      <c r="B12" s="15" t="s">
        <v>195</v>
      </c>
      <c r="C12" s="45"/>
      <c r="D12" s="17" t="s">
        <v>91</v>
      </c>
      <c r="E12" s="17" t="s">
        <v>91</v>
      </c>
      <c r="F12" s="17" t="s">
        <v>91</v>
      </c>
      <c r="G12" s="17" t="s">
        <v>91</v>
      </c>
      <c r="H12" s="17" t="s">
        <v>91</v>
      </c>
      <c r="I12" s="17" t="s">
        <v>91</v>
      </c>
      <c r="J12" s="17" t="s">
        <v>91</v>
      </c>
      <c r="K12" s="17" t="s">
        <v>91</v>
      </c>
      <c r="L12" s="17" t="s">
        <v>91</v>
      </c>
      <c r="M12" s="17" t="s">
        <v>91</v>
      </c>
      <c r="N12" s="17" t="s">
        <v>91</v>
      </c>
      <c r="O12" s="17" t="s">
        <v>91</v>
      </c>
      <c r="P12" s="17" t="s">
        <v>91</v>
      </c>
      <c r="Q12" s="17" t="s">
        <v>91</v>
      </c>
      <c r="R12" s="17" t="s">
        <v>91</v>
      </c>
      <c r="S12" s="17" t="s">
        <v>91</v>
      </c>
      <c r="T12" s="17" t="s">
        <v>91</v>
      </c>
      <c r="U12" s="17" t="s">
        <v>91</v>
      </c>
      <c r="V12" s="17" t="s">
        <v>91</v>
      </c>
      <c r="W12" s="17" t="s">
        <v>91</v>
      </c>
      <c r="X12" s="17" t="s">
        <v>801</v>
      </c>
      <c r="Y12" s="17" t="s">
        <v>91</v>
      </c>
      <c r="Z12" s="17" t="s">
        <v>91</v>
      </c>
      <c r="AA12" s="43" t="s">
        <v>91</v>
      </c>
    </row>
    <row r="13" spans="1:27" hidden="1" x14ac:dyDescent="0.2">
      <c r="A13" s="21">
        <v>43751</v>
      </c>
      <c r="B13" s="15" t="s">
        <v>29</v>
      </c>
      <c r="C13" s="45"/>
      <c r="D13" s="17" t="s">
        <v>91</v>
      </c>
      <c r="E13" s="17" t="s">
        <v>91</v>
      </c>
      <c r="F13" s="17" t="s">
        <v>91</v>
      </c>
      <c r="G13" s="17" t="s">
        <v>91</v>
      </c>
      <c r="H13" s="17" t="s">
        <v>113</v>
      </c>
      <c r="I13" s="17" t="s">
        <v>113</v>
      </c>
      <c r="J13" s="17" t="s">
        <v>91</v>
      </c>
      <c r="K13" s="17" t="s">
        <v>91</v>
      </c>
      <c r="L13" s="17" t="s">
        <v>91</v>
      </c>
      <c r="M13" s="17" t="s">
        <v>91</v>
      </c>
      <c r="N13" s="17" t="s">
        <v>91</v>
      </c>
      <c r="O13" s="17" t="s">
        <v>91</v>
      </c>
      <c r="P13" s="17" t="s">
        <v>91</v>
      </c>
      <c r="Q13" s="17" t="s">
        <v>91</v>
      </c>
      <c r="R13" s="17" t="s">
        <v>113</v>
      </c>
      <c r="S13" s="17" t="s">
        <v>113</v>
      </c>
      <c r="T13" s="17" t="s">
        <v>91</v>
      </c>
      <c r="U13" s="17" t="s">
        <v>91</v>
      </c>
      <c r="V13" s="17" t="s">
        <v>91</v>
      </c>
      <c r="W13" s="17" t="s">
        <v>91</v>
      </c>
      <c r="X13" s="17" t="s">
        <v>801</v>
      </c>
      <c r="Y13" s="17" t="s">
        <v>90</v>
      </c>
      <c r="Z13" s="17" t="s">
        <v>451</v>
      </c>
      <c r="AA13" s="43" t="s">
        <v>477</v>
      </c>
    </row>
    <row r="14" spans="1:27" hidden="1" x14ac:dyDescent="0.2">
      <c r="A14" s="21">
        <v>43751</v>
      </c>
      <c r="B14" s="15" t="s">
        <v>55</v>
      </c>
      <c r="C14" s="45"/>
      <c r="D14" s="17" t="s">
        <v>91</v>
      </c>
      <c r="E14" s="17" t="s">
        <v>91</v>
      </c>
      <c r="F14" s="17" t="s">
        <v>91</v>
      </c>
      <c r="G14" s="17" t="s">
        <v>91</v>
      </c>
      <c r="H14" s="17" t="s">
        <v>113</v>
      </c>
      <c r="I14" s="17" t="s">
        <v>113</v>
      </c>
      <c r="J14" s="17" t="s">
        <v>91</v>
      </c>
      <c r="K14" s="17" t="s">
        <v>91</v>
      </c>
      <c r="L14" s="17" t="s">
        <v>91</v>
      </c>
      <c r="M14" s="17" t="s">
        <v>91</v>
      </c>
      <c r="N14" s="17" t="s">
        <v>91</v>
      </c>
      <c r="O14" s="17" t="s">
        <v>91</v>
      </c>
      <c r="P14" s="17" t="s">
        <v>91</v>
      </c>
      <c r="Q14" s="17" t="s">
        <v>91</v>
      </c>
      <c r="R14" s="17" t="s">
        <v>113</v>
      </c>
      <c r="S14" s="17" t="s">
        <v>113</v>
      </c>
      <c r="T14" s="17" t="s">
        <v>91</v>
      </c>
      <c r="U14" s="17" t="s">
        <v>91</v>
      </c>
      <c r="V14" s="17" t="s">
        <v>91</v>
      </c>
      <c r="W14" s="17" t="s">
        <v>91</v>
      </c>
      <c r="X14" s="17" t="s">
        <v>801</v>
      </c>
      <c r="Y14" s="17" t="s">
        <v>91</v>
      </c>
      <c r="Z14" s="17" t="s">
        <v>91</v>
      </c>
      <c r="AA14" s="43" t="s">
        <v>91</v>
      </c>
    </row>
    <row r="15" spans="1:27" hidden="1" x14ac:dyDescent="0.2">
      <c r="A15" s="22">
        <v>43751</v>
      </c>
      <c r="B15" s="16" t="s">
        <v>48</v>
      </c>
      <c r="C15" s="46"/>
      <c r="D15" s="18" t="s">
        <v>91</v>
      </c>
      <c r="E15" s="18" t="s">
        <v>91</v>
      </c>
      <c r="F15" s="18" t="s">
        <v>91</v>
      </c>
      <c r="G15" s="17" t="s">
        <v>91</v>
      </c>
      <c r="H15" s="18" t="s">
        <v>91</v>
      </c>
      <c r="I15" s="18" t="s">
        <v>91</v>
      </c>
      <c r="J15" s="18" t="s">
        <v>91</v>
      </c>
      <c r="K15" s="17" t="s">
        <v>91</v>
      </c>
      <c r="L15" s="17" t="s">
        <v>91</v>
      </c>
      <c r="M15" s="17" t="s">
        <v>91</v>
      </c>
      <c r="N15" s="17" t="s">
        <v>91</v>
      </c>
      <c r="O15" s="17" t="s">
        <v>91</v>
      </c>
      <c r="P15" s="17" t="s">
        <v>91</v>
      </c>
      <c r="Q15" s="17" t="s">
        <v>91</v>
      </c>
      <c r="R15" s="18" t="s">
        <v>91</v>
      </c>
      <c r="S15" s="18" t="s">
        <v>91</v>
      </c>
      <c r="T15" s="17" t="s">
        <v>91</v>
      </c>
      <c r="U15" s="17" t="s">
        <v>91</v>
      </c>
      <c r="V15" s="17" t="s">
        <v>91</v>
      </c>
      <c r="W15" s="17" t="s">
        <v>91</v>
      </c>
      <c r="X15" s="17" t="s">
        <v>801</v>
      </c>
      <c r="Y15" s="17" t="s">
        <v>113</v>
      </c>
      <c r="Z15" s="17" t="s">
        <v>113</v>
      </c>
      <c r="AA15" s="43" t="s">
        <v>91</v>
      </c>
    </row>
    <row r="16" spans="1:27" hidden="1" x14ac:dyDescent="0.2">
      <c r="A16" s="22">
        <v>43751</v>
      </c>
      <c r="B16" s="16" t="s">
        <v>185</v>
      </c>
      <c r="C16" s="46"/>
      <c r="D16" s="18" t="s">
        <v>91</v>
      </c>
      <c r="E16" s="18" t="s">
        <v>91</v>
      </c>
      <c r="F16" s="18" t="s">
        <v>91</v>
      </c>
      <c r="G16" s="18" t="s">
        <v>91</v>
      </c>
      <c r="H16" s="18" t="s">
        <v>113</v>
      </c>
      <c r="I16" s="18" t="s">
        <v>113</v>
      </c>
      <c r="J16" s="18" t="s">
        <v>91</v>
      </c>
      <c r="K16" s="18" t="s">
        <v>91</v>
      </c>
      <c r="L16" s="18" t="s">
        <v>91</v>
      </c>
      <c r="M16" s="18" t="s">
        <v>91</v>
      </c>
      <c r="N16" s="18" t="s">
        <v>91</v>
      </c>
      <c r="O16" s="18" t="s">
        <v>91</v>
      </c>
      <c r="P16" s="18" t="s">
        <v>91</v>
      </c>
      <c r="Q16" s="18" t="s">
        <v>91</v>
      </c>
      <c r="R16" s="18" t="s">
        <v>113</v>
      </c>
      <c r="S16" s="18" t="s">
        <v>113</v>
      </c>
      <c r="T16" s="18" t="s">
        <v>91</v>
      </c>
      <c r="U16" s="17" t="s">
        <v>91</v>
      </c>
      <c r="V16" s="17" t="s">
        <v>91</v>
      </c>
      <c r="W16" s="17" t="s">
        <v>91</v>
      </c>
      <c r="X16" s="17" t="s">
        <v>801</v>
      </c>
      <c r="Y16" s="17" t="s">
        <v>91</v>
      </c>
      <c r="Z16" s="18" t="s">
        <v>91</v>
      </c>
      <c r="AA16" s="44" t="s">
        <v>91</v>
      </c>
    </row>
    <row r="17" spans="1:27" hidden="1" x14ac:dyDescent="0.2">
      <c r="A17" s="22">
        <v>43754</v>
      </c>
      <c r="B17" s="16" t="s">
        <v>35</v>
      </c>
      <c r="C17" s="46" t="s">
        <v>112</v>
      </c>
      <c r="D17" s="18" t="s">
        <v>91</v>
      </c>
      <c r="E17" s="18" t="s">
        <v>91</v>
      </c>
      <c r="F17" s="18" t="s">
        <v>91</v>
      </c>
      <c r="G17" s="18" t="s">
        <v>91</v>
      </c>
      <c r="H17" s="18" t="s">
        <v>113</v>
      </c>
      <c r="I17" s="18" t="s">
        <v>113</v>
      </c>
      <c r="J17" s="17" t="s">
        <v>91</v>
      </c>
      <c r="K17" s="18" t="s">
        <v>91</v>
      </c>
      <c r="L17" s="17" t="s">
        <v>91</v>
      </c>
      <c r="M17" s="17" t="s">
        <v>91</v>
      </c>
      <c r="N17" s="17" t="s">
        <v>91</v>
      </c>
      <c r="O17" s="17" t="s">
        <v>91</v>
      </c>
      <c r="P17" s="17" t="s">
        <v>91</v>
      </c>
      <c r="Q17" s="17" t="s">
        <v>91</v>
      </c>
      <c r="R17" s="18" t="s">
        <v>113</v>
      </c>
      <c r="S17" s="18" t="s">
        <v>113</v>
      </c>
      <c r="T17" s="17" t="s">
        <v>91</v>
      </c>
      <c r="U17" s="17" t="s">
        <v>91</v>
      </c>
      <c r="V17" s="18" t="s">
        <v>91</v>
      </c>
      <c r="W17" s="18" t="s">
        <v>91</v>
      </c>
      <c r="X17" s="18" t="s">
        <v>801</v>
      </c>
      <c r="Y17" s="18" t="s">
        <v>91</v>
      </c>
      <c r="Z17" s="18" t="s">
        <v>91</v>
      </c>
      <c r="AA17" s="44" t="s">
        <v>91</v>
      </c>
    </row>
    <row r="18" spans="1:27" hidden="1" x14ac:dyDescent="0.2">
      <c r="A18" s="22">
        <v>43754</v>
      </c>
      <c r="B18" s="16" t="s">
        <v>233</v>
      </c>
      <c r="C18" s="46"/>
      <c r="D18" s="18" t="s">
        <v>91</v>
      </c>
      <c r="E18" s="18" t="s">
        <v>91</v>
      </c>
      <c r="F18" s="18" t="s">
        <v>91</v>
      </c>
      <c r="G18" s="18" t="s">
        <v>91</v>
      </c>
      <c r="H18" s="18" t="s">
        <v>91</v>
      </c>
      <c r="I18" s="18" t="s">
        <v>91</v>
      </c>
      <c r="J18" s="18" t="s">
        <v>91</v>
      </c>
      <c r="K18" s="18" t="s">
        <v>91</v>
      </c>
      <c r="L18" s="18" t="s">
        <v>91</v>
      </c>
      <c r="M18" s="18" t="s">
        <v>91</v>
      </c>
      <c r="N18" s="18" t="s">
        <v>91</v>
      </c>
      <c r="O18" s="18" t="s">
        <v>91</v>
      </c>
      <c r="P18" s="18" t="s">
        <v>91</v>
      </c>
      <c r="Q18" s="18" t="s">
        <v>91</v>
      </c>
      <c r="R18" s="18" t="s">
        <v>91</v>
      </c>
      <c r="S18" s="18" t="s">
        <v>91</v>
      </c>
      <c r="T18" s="18" t="s">
        <v>91</v>
      </c>
      <c r="U18" s="18" t="s">
        <v>91</v>
      </c>
      <c r="V18" s="18" t="s">
        <v>91</v>
      </c>
      <c r="W18" s="18" t="s">
        <v>91</v>
      </c>
      <c r="X18" s="18" t="s">
        <v>801</v>
      </c>
      <c r="Y18" s="18" t="s">
        <v>91</v>
      </c>
      <c r="Z18" s="18" t="s">
        <v>90</v>
      </c>
      <c r="AA18" s="44" t="s">
        <v>90</v>
      </c>
    </row>
    <row r="19" spans="1:27" hidden="1" x14ac:dyDescent="0.2">
      <c r="A19" s="22">
        <v>43758</v>
      </c>
      <c r="B19" s="16" t="s">
        <v>52</v>
      </c>
      <c r="C19" s="46" t="s">
        <v>112</v>
      </c>
      <c r="D19" s="18" t="s">
        <v>91</v>
      </c>
      <c r="E19" s="18" t="s">
        <v>91</v>
      </c>
      <c r="F19" s="18" t="s">
        <v>91</v>
      </c>
      <c r="G19" s="18" t="s">
        <v>91</v>
      </c>
      <c r="H19" s="18" t="s">
        <v>113</v>
      </c>
      <c r="I19" s="18" t="s">
        <v>113</v>
      </c>
      <c r="J19" s="18" t="s">
        <v>91</v>
      </c>
      <c r="K19" s="18" t="s">
        <v>91</v>
      </c>
      <c r="L19" s="18" t="s">
        <v>91</v>
      </c>
      <c r="M19" s="18" t="s">
        <v>91</v>
      </c>
      <c r="N19" s="18" t="s">
        <v>91</v>
      </c>
      <c r="O19" s="18" t="s">
        <v>91</v>
      </c>
      <c r="P19" s="18" t="s">
        <v>91</v>
      </c>
      <c r="Q19" s="18" t="s">
        <v>91</v>
      </c>
      <c r="R19" s="18" t="s">
        <v>113</v>
      </c>
      <c r="S19" s="18" t="s">
        <v>113</v>
      </c>
      <c r="T19" s="18" t="s">
        <v>91</v>
      </c>
      <c r="U19" s="18" t="s">
        <v>91</v>
      </c>
      <c r="V19" s="18" t="s">
        <v>91</v>
      </c>
      <c r="W19" s="18" t="s">
        <v>91</v>
      </c>
      <c r="X19" s="18" t="s">
        <v>801</v>
      </c>
      <c r="Y19" s="17" t="s">
        <v>91</v>
      </c>
      <c r="Z19" s="17" t="s">
        <v>91</v>
      </c>
      <c r="AA19" s="44" t="s">
        <v>91</v>
      </c>
    </row>
    <row r="20" spans="1:27" hidden="1" x14ac:dyDescent="0.2">
      <c r="A20" s="21">
        <v>43758</v>
      </c>
      <c r="B20" s="15" t="s">
        <v>330</v>
      </c>
      <c r="C20" s="45" t="s">
        <v>337</v>
      </c>
      <c r="D20" s="17" t="s">
        <v>91</v>
      </c>
      <c r="E20" s="18" t="s">
        <v>91</v>
      </c>
      <c r="F20" s="18" t="s">
        <v>91</v>
      </c>
      <c r="G20" s="18" t="s">
        <v>91</v>
      </c>
      <c r="H20" s="17" t="s">
        <v>113</v>
      </c>
      <c r="I20" s="17" t="s">
        <v>113</v>
      </c>
      <c r="J20" s="18" t="s">
        <v>451</v>
      </c>
      <c r="K20" s="18" t="s">
        <v>91</v>
      </c>
      <c r="L20" s="18" t="s">
        <v>91</v>
      </c>
      <c r="M20" s="18" t="s">
        <v>451</v>
      </c>
      <c r="N20" s="18" t="s">
        <v>91</v>
      </c>
      <c r="O20" s="18" t="s">
        <v>91</v>
      </c>
      <c r="P20" s="18" t="s">
        <v>91</v>
      </c>
      <c r="Q20" s="18" t="s">
        <v>91</v>
      </c>
      <c r="R20" s="17" t="s">
        <v>113</v>
      </c>
      <c r="S20" s="17" t="s">
        <v>113</v>
      </c>
      <c r="T20" s="18" t="s">
        <v>91</v>
      </c>
      <c r="U20" s="18" t="s">
        <v>91</v>
      </c>
      <c r="V20" s="17" t="s">
        <v>451</v>
      </c>
      <c r="W20" s="18" t="s">
        <v>451</v>
      </c>
      <c r="X20" s="18" t="s">
        <v>801</v>
      </c>
      <c r="Y20" s="17" t="s">
        <v>90</v>
      </c>
      <c r="Z20" s="17" t="s">
        <v>451</v>
      </c>
      <c r="AA20" s="43" t="s">
        <v>451</v>
      </c>
    </row>
    <row r="21" spans="1:27" hidden="1" x14ac:dyDescent="0.2">
      <c r="A21" s="22">
        <v>43758</v>
      </c>
      <c r="B21" s="26" t="s">
        <v>31</v>
      </c>
      <c r="C21" s="46"/>
      <c r="D21" s="17" t="s">
        <v>91</v>
      </c>
      <c r="E21" s="17" t="s">
        <v>91</v>
      </c>
      <c r="F21" s="17" t="s">
        <v>91</v>
      </c>
      <c r="G21" s="17" t="s">
        <v>91</v>
      </c>
      <c r="H21" s="17" t="s">
        <v>113</v>
      </c>
      <c r="I21" s="17" t="s">
        <v>113</v>
      </c>
      <c r="J21" s="17" t="s">
        <v>91</v>
      </c>
      <c r="K21" s="17" t="s">
        <v>91</v>
      </c>
      <c r="L21" s="17" t="s">
        <v>91</v>
      </c>
      <c r="M21" s="17" t="s">
        <v>91</v>
      </c>
      <c r="N21" s="17" t="s">
        <v>91</v>
      </c>
      <c r="O21" s="17" t="s">
        <v>91</v>
      </c>
      <c r="P21" s="17" t="s">
        <v>91</v>
      </c>
      <c r="Q21" s="17" t="s">
        <v>91</v>
      </c>
      <c r="R21" s="17" t="s">
        <v>113</v>
      </c>
      <c r="S21" s="17" t="s">
        <v>113</v>
      </c>
      <c r="T21" s="17" t="s">
        <v>91</v>
      </c>
      <c r="U21" s="17" t="s">
        <v>91</v>
      </c>
      <c r="V21" s="17" t="s">
        <v>91</v>
      </c>
      <c r="W21" s="18" t="s">
        <v>91</v>
      </c>
      <c r="X21" s="18" t="s">
        <v>801</v>
      </c>
      <c r="Y21" s="18" t="s">
        <v>91</v>
      </c>
      <c r="Z21" s="18" t="s">
        <v>90</v>
      </c>
      <c r="AA21" s="44" t="s">
        <v>90</v>
      </c>
    </row>
    <row r="22" spans="1:27" hidden="1" x14ac:dyDescent="0.2">
      <c r="A22" s="22">
        <v>43758</v>
      </c>
      <c r="B22" s="26" t="s">
        <v>31</v>
      </c>
      <c r="C22" s="46" t="s">
        <v>368</v>
      </c>
      <c r="D22" s="17" t="s">
        <v>91</v>
      </c>
      <c r="E22" s="17" t="s">
        <v>91</v>
      </c>
      <c r="F22" s="17" t="s">
        <v>91</v>
      </c>
      <c r="G22" s="17" t="s">
        <v>91</v>
      </c>
      <c r="H22" s="18" t="s">
        <v>113</v>
      </c>
      <c r="I22" s="18" t="s">
        <v>113</v>
      </c>
      <c r="J22" s="17" t="s">
        <v>91</v>
      </c>
      <c r="K22" s="17" t="s">
        <v>91</v>
      </c>
      <c r="L22" s="17" t="s">
        <v>91</v>
      </c>
      <c r="M22" s="17" t="s">
        <v>91</v>
      </c>
      <c r="N22" s="17" t="s">
        <v>91</v>
      </c>
      <c r="O22" s="17" t="s">
        <v>91</v>
      </c>
      <c r="P22" s="17" t="s">
        <v>91</v>
      </c>
      <c r="Q22" s="17" t="s">
        <v>91</v>
      </c>
      <c r="R22" s="18" t="s">
        <v>113</v>
      </c>
      <c r="S22" s="18" t="s">
        <v>113</v>
      </c>
      <c r="T22" s="17" t="s">
        <v>91</v>
      </c>
      <c r="U22" s="17" t="s">
        <v>91</v>
      </c>
      <c r="V22" s="17" t="s">
        <v>91</v>
      </c>
      <c r="W22" s="17" t="s">
        <v>91</v>
      </c>
      <c r="X22" s="17" t="s">
        <v>801</v>
      </c>
      <c r="Y22" s="17" t="s">
        <v>91</v>
      </c>
      <c r="Z22" s="17" t="s">
        <v>90</v>
      </c>
      <c r="AA22" s="44" t="s">
        <v>90</v>
      </c>
    </row>
    <row r="23" spans="1:27" hidden="1" x14ac:dyDescent="0.2">
      <c r="A23" s="22">
        <v>43758</v>
      </c>
      <c r="B23" s="16" t="s">
        <v>56</v>
      </c>
      <c r="C23" s="46"/>
      <c r="D23" s="17" t="s">
        <v>91</v>
      </c>
      <c r="E23" s="17" t="s">
        <v>91</v>
      </c>
      <c r="F23" s="17" t="s">
        <v>91</v>
      </c>
      <c r="G23" s="17" t="s">
        <v>91</v>
      </c>
      <c r="H23" s="17" t="s">
        <v>113</v>
      </c>
      <c r="I23" s="17" t="s">
        <v>113</v>
      </c>
      <c r="J23" s="17" t="s">
        <v>91</v>
      </c>
      <c r="K23" s="17" t="s">
        <v>91</v>
      </c>
      <c r="L23" s="17" t="s">
        <v>91</v>
      </c>
      <c r="M23" s="17" t="s">
        <v>91</v>
      </c>
      <c r="N23" s="17" t="s">
        <v>91</v>
      </c>
      <c r="O23" s="17" t="s">
        <v>91</v>
      </c>
      <c r="P23" s="17" t="s">
        <v>91</v>
      </c>
      <c r="Q23" s="18" t="s">
        <v>91</v>
      </c>
      <c r="R23" s="17" t="s">
        <v>113</v>
      </c>
      <c r="S23" s="17" t="s">
        <v>113</v>
      </c>
      <c r="T23" s="17" t="s">
        <v>91</v>
      </c>
      <c r="U23" s="17" t="s">
        <v>91</v>
      </c>
      <c r="V23" s="17" t="s">
        <v>91</v>
      </c>
      <c r="W23" s="17" t="s">
        <v>91</v>
      </c>
      <c r="X23" s="17" t="s">
        <v>801</v>
      </c>
      <c r="Y23" s="17" t="s">
        <v>91</v>
      </c>
      <c r="Z23" s="17" t="s">
        <v>91</v>
      </c>
      <c r="AA23" s="43" t="s">
        <v>91</v>
      </c>
    </row>
    <row r="24" spans="1:27" hidden="1" x14ac:dyDescent="0.2">
      <c r="A24" s="22">
        <v>43758</v>
      </c>
      <c r="B24" s="16" t="s">
        <v>194</v>
      </c>
      <c r="C24" s="46"/>
      <c r="D24" s="17" t="s">
        <v>91</v>
      </c>
      <c r="E24" s="18" t="s">
        <v>91</v>
      </c>
      <c r="F24" s="17" t="s">
        <v>91</v>
      </c>
      <c r="G24" s="17" t="s">
        <v>91</v>
      </c>
      <c r="H24" s="17" t="s">
        <v>113</v>
      </c>
      <c r="I24" s="17" t="s">
        <v>113</v>
      </c>
      <c r="J24" s="18" t="s">
        <v>91</v>
      </c>
      <c r="K24" s="17" t="s">
        <v>91</v>
      </c>
      <c r="L24" s="17" t="s">
        <v>91</v>
      </c>
      <c r="M24" s="18" t="s">
        <v>91</v>
      </c>
      <c r="N24" s="17" t="s">
        <v>91</v>
      </c>
      <c r="O24" s="17" t="s">
        <v>91</v>
      </c>
      <c r="P24" s="17" t="s">
        <v>91</v>
      </c>
      <c r="Q24" s="17" t="s">
        <v>91</v>
      </c>
      <c r="R24" s="17" t="s">
        <v>113</v>
      </c>
      <c r="S24" s="17" t="s">
        <v>113</v>
      </c>
      <c r="T24" s="17" t="s">
        <v>91</v>
      </c>
      <c r="U24" s="17" t="s">
        <v>91</v>
      </c>
      <c r="V24" s="18" t="s">
        <v>113</v>
      </c>
      <c r="W24" s="18" t="s">
        <v>91</v>
      </c>
      <c r="X24" s="18" t="s">
        <v>801</v>
      </c>
      <c r="Y24" s="18" t="s">
        <v>113</v>
      </c>
      <c r="Z24" s="18" t="s">
        <v>113</v>
      </c>
      <c r="AA24" s="43" t="s">
        <v>91</v>
      </c>
    </row>
    <row r="25" spans="1:27" hidden="1" x14ac:dyDescent="0.2">
      <c r="A25" s="22">
        <v>43758</v>
      </c>
      <c r="B25" s="16" t="s">
        <v>309</v>
      </c>
      <c r="C25" s="46"/>
      <c r="D25" s="17" t="s">
        <v>310</v>
      </c>
      <c r="E25" s="18" t="s">
        <v>91</v>
      </c>
      <c r="F25" s="18" t="s">
        <v>91</v>
      </c>
      <c r="G25" s="18" t="s">
        <v>91</v>
      </c>
      <c r="H25" s="17" t="s">
        <v>113</v>
      </c>
      <c r="I25" s="17" t="s">
        <v>113</v>
      </c>
      <c r="J25" s="18" t="s">
        <v>91</v>
      </c>
      <c r="K25" s="18" t="s">
        <v>91</v>
      </c>
      <c r="L25" s="18" t="s">
        <v>91</v>
      </c>
      <c r="M25" s="18" t="s">
        <v>91</v>
      </c>
      <c r="N25" s="18" t="s">
        <v>91</v>
      </c>
      <c r="O25" s="18" t="s">
        <v>91</v>
      </c>
      <c r="P25" s="18" t="s">
        <v>91</v>
      </c>
      <c r="Q25" s="18" t="s">
        <v>91</v>
      </c>
      <c r="R25" s="17" t="s">
        <v>113</v>
      </c>
      <c r="S25" s="17" t="s">
        <v>113</v>
      </c>
      <c r="T25" s="18" t="s">
        <v>91</v>
      </c>
      <c r="U25" s="17" t="s">
        <v>91</v>
      </c>
      <c r="V25" s="18" t="s">
        <v>91</v>
      </c>
      <c r="W25" s="18" t="s">
        <v>91</v>
      </c>
      <c r="X25" s="18" t="s">
        <v>801</v>
      </c>
      <c r="Y25" s="18" t="s">
        <v>91</v>
      </c>
      <c r="Z25" s="18" t="s">
        <v>90</v>
      </c>
      <c r="AA25" s="44" t="s">
        <v>90</v>
      </c>
    </row>
    <row r="26" spans="1:27" hidden="1" x14ac:dyDescent="0.2">
      <c r="A26" s="22">
        <v>43758</v>
      </c>
      <c r="B26" s="16" t="s">
        <v>233</v>
      </c>
      <c r="C26" s="46"/>
      <c r="D26" s="17" t="s">
        <v>91</v>
      </c>
      <c r="E26" s="17" t="s">
        <v>91</v>
      </c>
      <c r="F26" s="17" t="s">
        <v>91</v>
      </c>
      <c r="G26" s="18" t="s">
        <v>91</v>
      </c>
      <c r="H26" s="17" t="s">
        <v>91</v>
      </c>
      <c r="I26" s="17" t="s">
        <v>91</v>
      </c>
      <c r="J26" s="18" t="s">
        <v>91</v>
      </c>
      <c r="K26" s="18" t="s">
        <v>91</v>
      </c>
      <c r="L26" s="18" t="s">
        <v>91</v>
      </c>
      <c r="M26" s="18" t="s">
        <v>91</v>
      </c>
      <c r="N26" s="18" t="s">
        <v>91</v>
      </c>
      <c r="O26" s="18" t="s">
        <v>91</v>
      </c>
      <c r="P26" s="18" t="s">
        <v>91</v>
      </c>
      <c r="Q26" s="18" t="s">
        <v>91</v>
      </c>
      <c r="R26" s="17" t="s">
        <v>91</v>
      </c>
      <c r="S26" s="17" t="s">
        <v>91</v>
      </c>
      <c r="T26" s="18" t="s">
        <v>91</v>
      </c>
      <c r="U26" s="18" t="s">
        <v>91</v>
      </c>
      <c r="V26" s="18" t="s">
        <v>91</v>
      </c>
      <c r="W26" s="18" t="s">
        <v>91</v>
      </c>
      <c r="X26" s="18" t="s">
        <v>801</v>
      </c>
      <c r="Y26" s="18" t="s">
        <v>91</v>
      </c>
      <c r="Z26" s="18" t="s">
        <v>90</v>
      </c>
      <c r="AA26" s="51" t="s">
        <v>587</v>
      </c>
    </row>
    <row r="27" spans="1:27" hidden="1" x14ac:dyDescent="0.2">
      <c r="A27" s="22">
        <v>43761</v>
      </c>
      <c r="B27" s="16" t="s">
        <v>286</v>
      </c>
      <c r="C27" s="46"/>
      <c r="D27" s="17" t="s">
        <v>91</v>
      </c>
      <c r="E27" s="17" t="s">
        <v>91</v>
      </c>
      <c r="F27" s="17" t="s">
        <v>91</v>
      </c>
      <c r="G27" s="17" t="s">
        <v>91</v>
      </c>
      <c r="H27" s="17" t="s">
        <v>113</v>
      </c>
      <c r="I27" s="17" t="s">
        <v>113</v>
      </c>
      <c r="J27" s="17" t="s">
        <v>91</v>
      </c>
      <c r="K27" s="17" t="s">
        <v>91</v>
      </c>
      <c r="L27" s="17" t="s">
        <v>91</v>
      </c>
      <c r="M27" s="17" t="s">
        <v>91</v>
      </c>
      <c r="N27" s="17" t="s">
        <v>91</v>
      </c>
      <c r="O27" s="17" t="s">
        <v>91</v>
      </c>
      <c r="P27" s="17" t="s">
        <v>91</v>
      </c>
      <c r="Q27" s="17" t="s">
        <v>91</v>
      </c>
      <c r="R27" s="17" t="s">
        <v>113</v>
      </c>
      <c r="S27" s="17" t="s">
        <v>113</v>
      </c>
      <c r="T27" s="17" t="s">
        <v>91</v>
      </c>
      <c r="U27" s="17" t="s">
        <v>91</v>
      </c>
      <c r="V27" s="17" t="s">
        <v>91</v>
      </c>
      <c r="W27" s="17" t="s">
        <v>91</v>
      </c>
      <c r="X27" s="17" t="s">
        <v>801</v>
      </c>
      <c r="Y27" s="17" t="s">
        <v>91</v>
      </c>
      <c r="Z27" s="17" t="s">
        <v>90</v>
      </c>
      <c r="AA27" s="44" t="s">
        <v>90</v>
      </c>
    </row>
    <row r="28" spans="1:27" hidden="1" x14ac:dyDescent="0.2">
      <c r="A28" s="22">
        <v>43761</v>
      </c>
      <c r="B28" s="16" t="s">
        <v>330</v>
      </c>
      <c r="C28" s="46"/>
      <c r="D28" s="17" t="s">
        <v>91</v>
      </c>
      <c r="E28" s="17" t="s">
        <v>91</v>
      </c>
      <c r="F28" s="18" t="s">
        <v>91</v>
      </c>
      <c r="G28" s="17" t="s">
        <v>91</v>
      </c>
      <c r="H28" s="17" t="s">
        <v>91</v>
      </c>
      <c r="I28" s="17" t="s">
        <v>91</v>
      </c>
      <c r="J28" s="17" t="s">
        <v>91</v>
      </c>
      <c r="K28" s="17" t="s">
        <v>91</v>
      </c>
      <c r="L28" s="17" t="s">
        <v>91</v>
      </c>
      <c r="M28" s="17" t="s">
        <v>91</v>
      </c>
      <c r="N28" s="17" t="s">
        <v>91</v>
      </c>
      <c r="O28" s="17" t="s">
        <v>91</v>
      </c>
      <c r="P28" s="17" t="s">
        <v>91</v>
      </c>
      <c r="Q28" s="17" t="s">
        <v>91</v>
      </c>
      <c r="R28" s="17" t="s">
        <v>91</v>
      </c>
      <c r="S28" s="17" t="s">
        <v>91</v>
      </c>
      <c r="T28" s="17" t="s">
        <v>91</v>
      </c>
      <c r="U28" s="17" t="s">
        <v>91</v>
      </c>
      <c r="V28" s="17" t="s">
        <v>91</v>
      </c>
      <c r="W28" s="17" t="s">
        <v>91</v>
      </c>
      <c r="X28" s="17" t="s">
        <v>801</v>
      </c>
      <c r="Y28" s="17" t="s">
        <v>90</v>
      </c>
      <c r="Z28" s="17" t="s">
        <v>451</v>
      </c>
      <c r="AA28" s="44" t="s">
        <v>90</v>
      </c>
    </row>
    <row r="29" spans="1:27" hidden="1" x14ac:dyDescent="0.2">
      <c r="A29" s="22">
        <v>43761</v>
      </c>
      <c r="B29" s="16" t="s">
        <v>219</v>
      </c>
      <c r="C29" s="46"/>
      <c r="D29" s="17" t="s">
        <v>91</v>
      </c>
      <c r="E29" s="17" t="s">
        <v>91</v>
      </c>
      <c r="F29" s="17" t="s">
        <v>91</v>
      </c>
      <c r="G29" s="18" t="s">
        <v>91</v>
      </c>
      <c r="H29" s="17" t="s">
        <v>113</v>
      </c>
      <c r="I29" s="17" t="s">
        <v>113</v>
      </c>
      <c r="J29" s="18" t="s">
        <v>91</v>
      </c>
      <c r="K29" s="18" t="s">
        <v>91</v>
      </c>
      <c r="L29" s="18" t="s">
        <v>91</v>
      </c>
      <c r="M29" s="18" t="s">
        <v>91</v>
      </c>
      <c r="N29" s="18" t="s">
        <v>91</v>
      </c>
      <c r="O29" s="18" t="s">
        <v>91</v>
      </c>
      <c r="P29" s="18" t="s">
        <v>91</v>
      </c>
      <c r="Q29" s="18" t="s">
        <v>91</v>
      </c>
      <c r="R29" s="17" t="s">
        <v>113</v>
      </c>
      <c r="S29" s="17" t="s">
        <v>113</v>
      </c>
      <c r="T29" s="18" t="s">
        <v>91</v>
      </c>
      <c r="U29" s="18" t="s">
        <v>91</v>
      </c>
      <c r="V29" s="18" t="s">
        <v>91</v>
      </c>
      <c r="W29" s="18" t="s">
        <v>91</v>
      </c>
      <c r="X29" s="18" t="s">
        <v>801</v>
      </c>
      <c r="Y29" s="18" t="s">
        <v>91</v>
      </c>
      <c r="Z29" s="18" t="s">
        <v>90</v>
      </c>
      <c r="AA29" s="44" t="s">
        <v>90</v>
      </c>
    </row>
    <row r="30" spans="1:27" hidden="1" x14ac:dyDescent="0.2">
      <c r="A30" s="22">
        <v>43761</v>
      </c>
      <c r="B30" s="16" t="s">
        <v>31</v>
      </c>
      <c r="C30" s="46"/>
      <c r="D30" s="17" t="s">
        <v>91</v>
      </c>
      <c r="E30" s="17" t="s">
        <v>91</v>
      </c>
      <c r="F30" s="17" t="s">
        <v>91</v>
      </c>
      <c r="G30" s="18" t="s">
        <v>91</v>
      </c>
      <c r="H30" s="17" t="s">
        <v>113</v>
      </c>
      <c r="I30" s="17" t="s">
        <v>113</v>
      </c>
      <c r="J30" s="18" t="s">
        <v>91</v>
      </c>
      <c r="K30" s="18" t="s">
        <v>91</v>
      </c>
      <c r="L30" s="18" t="s">
        <v>91</v>
      </c>
      <c r="M30" s="18" t="s">
        <v>91</v>
      </c>
      <c r="N30" s="18" t="s">
        <v>91</v>
      </c>
      <c r="O30" s="18" t="s">
        <v>91</v>
      </c>
      <c r="P30" s="18" t="s">
        <v>91</v>
      </c>
      <c r="Q30" s="18" t="s">
        <v>91</v>
      </c>
      <c r="R30" s="17" t="s">
        <v>113</v>
      </c>
      <c r="S30" s="17" t="s">
        <v>113</v>
      </c>
      <c r="T30" s="18" t="s">
        <v>91</v>
      </c>
      <c r="U30" s="18" t="s">
        <v>91</v>
      </c>
      <c r="V30" s="18" t="s">
        <v>91</v>
      </c>
      <c r="W30" s="18" t="s">
        <v>91</v>
      </c>
      <c r="X30" s="18" t="s">
        <v>801</v>
      </c>
      <c r="Y30" s="18" t="s">
        <v>91</v>
      </c>
      <c r="Z30" s="18" t="s">
        <v>90</v>
      </c>
      <c r="AA30" s="44" t="s">
        <v>90</v>
      </c>
    </row>
    <row r="31" spans="1:27" hidden="1" x14ac:dyDescent="0.2">
      <c r="A31" s="22">
        <v>43761</v>
      </c>
      <c r="B31" s="16" t="s">
        <v>288</v>
      </c>
      <c r="C31" s="46"/>
      <c r="D31" s="18" t="s">
        <v>91</v>
      </c>
      <c r="E31" s="18" t="s">
        <v>91</v>
      </c>
      <c r="F31" s="18" t="s">
        <v>91</v>
      </c>
      <c r="G31" s="17" t="s">
        <v>91</v>
      </c>
      <c r="H31" s="17" t="s">
        <v>113</v>
      </c>
      <c r="I31" s="17" t="s">
        <v>113</v>
      </c>
      <c r="J31" s="18" t="s">
        <v>91</v>
      </c>
      <c r="K31" s="18" t="s">
        <v>91</v>
      </c>
      <c r="L31" s="18" t="s">
        <v>91</v>
      </c>
      <c r="M31" s="18" t="s">
        <v>91</v>
      </c>
      <c r="N31" s="18" t="s">
        <v>91</v>
      </c>
      <c r="O31" s="18" t="s">
        <v>91</v>
      </c>
      <c r="P31" s="18" t="s">
        <v>91</v>
      </c>
      <c r="Q31" s="18" t="s">
        <v>91</v>
      </c>
      <c r="R31" s="17" t="s">
        <v>113</v>
      </c>
      <c r="S31" s="17" t="s">
        <v>113</v>
      </c>
      <c r="T31" s="18" t="s">
        <v>91</v>
      </c>
      <c r="U31" s="18" t="s">
        <v>91</v>
      </c>
      <c r="V31" s="18" t="s">
        <v>91</v>
      </c>
      <c r="W31" s="18" t="s">
        <v>91</v>
      </c>
      <c r="X31" s="18" t="s">
        <v>801</v>
      </c>
      <c r="Y31" s="18" t="s">
        <v>113</v>
      </c>
      <c r="Z31" s="18" t="s">
        <v>113</v>
      </c>
      <c r="AA31" s="44" t="s">
        <v>90</v>
      </c>
    </row>
    <row r="32" spans="1:27" hidden="1" x14ac:dyDescent="0.2">
      <c r="A32" s="22">
        <v>43761</v>
      </c>
      <c r="B32" s="16" t="s">
        <v>27</v>
      </c>
      <c r="C32" s="46"/>
      <c r="D32" s="17" t="s">
        <v>91</v>
      </c>
      <c r="E32" s="17" t="s">
        <v>91</v>
      </c>
      <c r="F32" s="17" t="s">
        <v>91</v>
      </c>
      <c r="G32" s="18" t="s">
        <v>91</v>
      </c>
      <c r="H32" s="17" t="s">
        <v>113</v>
      </c>
      <c r="I32" s="17" t="s">
        <v>113</v>
      </c>
      <c r="J32" s="18" t="s">
        <v>91</v>
      </c>
      <c r="K32" s="18" t="s">
        <v>91</v>
      </c>
      <c r="L32" s="18" t="s">
        <v>91</v>
      </c>
      <c r="M32" s="18" t="s">
        <v>91</v>
      </c>
      <c r="N32" s="18" t="s">
        <v>91</v>
      </c>
      <c r="O32" s="18" t="s">
        <v>91</v>
      </c>
      <c r="P32" s="18" t="s">
        <v>91</v>
      </c>
      <c r="Q32" s="18" t="s">
        <v>91</v>
      </c>
      <c r="R32" s="17" t="s">
        <v>113</v>
      </c>
      <c r="S32" s="17" t="s">
        <v>113</v>
      </c>
      <c r="T32" s="18" t="s">
        <v>91</v>
      </c>
      <c r="U32" s="18" t="s">
        <v>91</v>
      </c>
      <c r="V32" s="18" t="s">
        <v>91</v>
      </c>
      <c r="W32" s="18" t="s">
        <v>91</v>
      </c>
      <c r="X32" s="18" t="s">
        <v>801</v>
      </c>
      <c r="Y32" s="18" t="s">
        <v>113</v>
      </c>
      <c r="Z32" s="18" t="s">
        <v>113</v>
      </c>
      <c r="AA32" s="44" t="s">
        <v>90</v>
      </c>
    </row>
    <row r="33" spans="1:27" hidden="1" x14ac:dyDescent="0.2">
      <c r="A33" s="22">
        <v>43765</v>
      </c>
      <c r="B33" s="16" t="s">
        <v>286</v>
      </c>
      <c r="C33" s="46"/>
      <c r="D33" s="17" t="s">
        <v>91</v>
      </c>
      <c r="E33" s="18" t="s">
        <v>91</v>
      </c>
      <c r="F33" s="18" t="s">
        <v>91</v>
      </c>
      <c r="G33" s="18" t="s">
        <v>91</v>
      </c>
      <c r="H33" s="17" t="s">
        <v>113</v>
      </c>
      <c r="I33" s="17" t="s">
        <v>113</v>
      </c>
      <c r="J33" s="18" t="s">
        <v>90</v>
      </c>
      <c r="K33" s="18" t="s">
        <v>90</v>
      </c>
      <c r="L33" s="18" t="s">
        <v>90</v>
      </c>
      <c r="M33" s="18" t="s">
        <v>90</v>
      </c>
      <c r="N33" s="18" t="s">
        <v>90</v>
      </c>
      <c r="O33" s="18" t="s">
        <v>90</v>
      </c>
      <c r="P33" s="18" t="s">
        <v>90</v>
      </c>
      <c r="Q33" s="18" t="s">
        <v>90</v>
      </c>
      <c r="R33" s="17" t="s">
        <v>113</v>
      </c>
      <c r="S33" s="17" t="s">
        <v>113</v>
      </c>
      <c r="T33" s="18" t="s">
        <v>90</v>
      </c>
      <c r="U33" s="18" t="s">
        <v>90</v>
      </c>
      <c r="V33" s="18" t="s">
        <v>90</v>
      </c>
      <c r="W33" s="18" t="s">
        <v>90</v>
      </c>
      <c r="X33" s="18" t="s">
        <v>801</v>
      </c>
      <c r="Y33" s="18" t="s">
        <v>90</v>
      </c>
      <c r="Z33" s="18" t="s">
        <v>90</v>
      </c>
      <c r="AA33" s="44" t="s">
        <v>90</v>
      </c>
    </row>
    <row r="34" spans="1:27" hidden="1" x14ac:dyDescent="0.2">
      <c r="A34" s="22">
        <v>43765</v>
      </c>
      <c r="B34" s="16" t="s">
        <v>384</v>
      </c>
      <c r="C34" s="46"/>
      <c r="D34" s="18" t="s">
        <v>91</v>
      </c>
      <c r="E34" s="18" t="s">
        <v>91</v>
      </c>
      <c r="F34" s="18" t="s">
        <v>91</v>
      </c>
      <c r="G34" s="17" t="s">
        <v>91</v>
      </c>
      <c r="H34" s="17" t="s">
        <v>91</v>
      </c>
      <c r="I34" s="17" t="s">
        <v>91</v>
      </c>
      <c r="J34" s="18" t="s">
        <v>90</v>
      </c>
      <c r="K34" s="18" t="s">
        <v>90</v>
      </c>
      <c r="L34" s="18" t="s">
        <v>90</v>
      </c>
      <c r="M34" s="18" t="s">
        <v>90</v>
      </c>
      <c r="N34" s="18" t="s">
        <v>90</v>
      </c>
      <c r="O34" s="18" t="s">
        <v>90</v>
      </c>
      <c r="P34" s="18" t="s">
        <v>90</v>
      </c>
      <c r="Q34" s="18" t="s">
        <v>90</v>
      </c>
      <c r="R34" s="17" t="s">
        <v>90</v>
      </c>
      <c r="S34" s="17" t="s">
        <v>90</v>
      </c>
      <c r="T34" s="18" t="s">
        <v>90</v>
      </c>
      <c r="U34" s="18" t="s">
        <v>90</v>
      </c>
      <c r="V34" s="18" t="s">
        <v>90</v>
      </c>
      <c r="W34" s="18" t="s">
        <v>90</v>
      </c>
      <c r="X34" s="18" t="s">
        <v>801</v>
      </c>
      <c r="Y34" s="18" t="s">
        <v>90</v>
      </c>
      <c r="Z34" s="18" t="s">
        <v>451</v>
      </c>
      <c r="AA34" s="44" t="s">
        <v>90</v>
      </c>
    </row>
    <row r="35" spans="1:27" hidden="1" x14ac:dyDescent="0.2">
      <c r="A35" s="22">
        <v>43765</v>
      </c>
      <c r="B35" s="16" t="s">
        <v>29</v>
      </c>
      <c r="C35" s="46" t="s">
        <v>484</v>
      </c>
      <c r="D35" s="17" t="s">
        <v>90</v>
      </c>
      <c r="E35" s="17" t="s">
        <v>90</v>
      </c>
      <c r="F35" s="18" t="s">
        <v>90</v>
      </c>
      <c r="G35" s="18" t="s">
        <v>90</v>
      </c>
      <c r="H35" s="17" t="s">
        <v>451</v>
      </c>
      <c r="I35" s="17" t="s">
        <v>451</v>
      </c>
      <c r="J35" s="17" t="s">
        <v>90</v>
      </c>
      <c r="K35" s="18" t="s">
        <v>90</v>
      </c>
      <c r="L35" s="17" t="s">
        <v>90</v>
      </c>
      <c r="M35" s="17" t="s">
        <v>90</v>
      </c>
      <c r="N35" s="17" t="s">
        <v>90</v>
      </c>
      <c r="O35" s="17" t="s">
        <v>90</v>
      </c>
      <c r="P35" s="17" t="s">
        <v>90</v>
      </c>
      <c r="Q35" s="17" t="s">
        <v>90</v>
      </c>
      <c r="R35" s="17" t="s">
        <v>451</v>
      </c>
      <c r="S35" s="17" t="s">
        <v>451</v>
      </c>
      <c r="T35" s="17" t="s">
        <v>90</v>
      </c>
      <c r="U35" s="18" t="s">
        <v>90</v>
      </c>
      <c r="V35" s="18" t="s">
        <v>90</v>
      </c>
      <c r="W35" s="17" t="s">
        <v>90</v>
      </c>
      <c r="X35" s="18" t="s">
        <v>801</v>
      </c>
      <c r="Y35" s="18" t="s">
        <v>90</v>
      </c>
      <c r="Z35" s="18" t="s">
        <v>451</v>
      </c>
      <c r="AA35" s="44" t="s">
        <v>90</v>
      </c>
    </row>
    <row r="36" spans="1:27" hidden="1" x14ac:dyDescent="0.2">
      <c r="A36" s="22">
        <v>43765</v>
      </c>
      <c r="B36" s="16" t="s">
        <v>31</v>
      </c>
      <c r="C36" s="46"/>
      <c r="D36" s="17" t="s">
        <v>91</v>
      </c>
      <c r="E36" s="17" t="s">
        <v>91</v>
      </c>
      <c r="F36" s="18" t="s">
        <v>91</v>
      </c>
      <c r="G36" s="18" t="s">
        <v>91</v>
      </c>
      <c r="H36" s="18" t="s">
        <v>113</v>
      </c>
      <c r="I36" s="18" t="s">
        <v>113</v>
      </c>
      <c r="J36" s="18" t="s">
        <v>91</v>
      </c>
      <c r="K36" s="18" t="s">
        <v>91</v>
      </c>
      <c r="L36" s="18" t="s">
        <v>91</v>
      </c>
      <c r="M36" s="18" t="s">
        <v>91</v>
      </c>
      <c r="N36" s="18" t="s">
        <v>91</v>
      </c>
      <c r="O36" s="18" t="s">
        <v>91</v>
      </c>
      <c r="P36" s="18" t="s">
        <v>91</v>
      </c>
      <c r="Q36" s="18" t="s">
        <v>91</v>
      </c>
      <c r="R36" s="18" t="s">
        <v>113</v>
      </c>
      <c r="S36" s="18" t="s">
        <v>113</v>
      </c>
      <c r="T36" s="18" t="s">
        <v>91</v>
      </c>
      <c r="U36" s="18" t="s">
        <v>90</v>
      </c>
      <c r="V36" s="18" t="s">
        <v>90</v>
      </c>
      <c r="W36" s="18" t="s">
        <v>91</v>
      </c>
      <c r="X36" s="18" t="s">
        <v>801</v>
      </c>
      <c r="Y36" s="18" t="s">
        <v>90</v>
      </c>
      <c r="Z36" s="18" t="s">
        <v>90</v>
      </c>
      <c r="AA36" s="44" t="s">
        <v>90</v>
      </c>
    </row>
    <row r="37" spans="1:27" hidden="1" x14ac:dyDescent="0.2">
      <c r="A37" s="22">
        <v>43765</v>
      </c>
      <c r="B37" s="16" t="s">
        <v>302</v>
      </c>
      <c r="C37" s="46"/>
      <c r="D37" s="18" t="s">
        <v>91</v>
      </c>
      <c r="E37" s="18" t="s">
        <v>91</v>
      </c>
      <c r="F37" s="18" t="s">
        <v>91</v>
      </c>
      <c r="G37" s="17" t="s">
        <v>91</v>
      </c>
      <c r="H37" s="17" t="s">
        <v>113</v>
      </c>
      <c r="I37" s="17" t="s">
        <v>113</v>
      </c>
      <c r="J37" s="17" t="s">
        <v>91</v>
      </c>
      <c r="K37" s="17" t="s">
        <v>91</v>
      </c>
      <c r="L37" s="17" t="s">
        <v>91</v>
      </c>
      <c r="M37" s="17" t="s">
        <v>91</v>
      </c>
      <c r="N37" s="17" t="s">
        <v>91</v>
      </c>
      <c r="O37" s="17" t="s">
        <v>91</v>
      </c>
      <c r="P37" s="17" t="s">
        <v>91</v>
      </c>
      <c r="Q37" s="17" t="s">
        <v>91</v>
      </c>
      <c r="R37" s="17" t="s">
        <v>113</v>
      </c>
      <c r="S37" s="17" t="s">
        <v>113</v>
      </c>
      <c r="T37" s="17" t="s">
        <v>91</v>
      </c>
      <c r="U37" s="17" t="s">
        <v>90</v>
      </c>
      <c r="V37" s="17" t="s">
        <v>90</v>
      </c>
      <c r="W37" s="17" t="s">
        <v>90</v>
      </c>
      <c r="X37" s="17" t="s">
        <v>801</v>
      </c>
      <c r="Y37" s="17" t="s">
        <v>451</v>
      </c>
      <c r="Z37" s="17" t="s">
        <v>451</v>
      </c>
      <c r="AA37" s="44" t="s">
        <v>90</v>
      </c>
    </row>
    <row r="38" spans="1:27" hidden="1" x14ac:dyDescent="0.2">
      <c r="A38" s="22">
        <v>43765</v>
      </c>
      <c r="B38" s="16" t="s">
        <v>34</v>
      </c>
      <c r="C38" s="46" t="s">
        <v>458</v>
      </c>
      <c r="D38" s="17" t="s">
        <v>91</v>
      </c>
      <c r="E38" s="17" t="s">
        <v>91</v>
      </c>
      <c r="F38" s="17" t="s">
        <v>91</v>
      </c>
      <c r="G38" s="17" t="s">
        <v>91</v>
      </c>
      <c r="H38" s="17" t="s">
        <v>113</v>
      </c>
      <c r="I38" s="17" t="s">
        <v>113</v>
      </c>
      <c r="J38" s="18" t="s">
        <v>91</v>
      </c>
      <c r="K38" s="17" t="s">
        <v>91</v>
      </c>
      <c r="L38" s="17" t="s">
        <v>90</v>
      </c>
      <c r="M38" s="17" t="s">
        <v>90</v>
      </c>
      <c r="N38" s="17" t="s">
        <v>90</v>
      </c>
      <c r="O38" s="17" t="s">
        <v>90</v>
      </c>
      <c r="P38" s="17" t="s">
        <v>90</v>
      </c>
      <c r="Q38" s="17" t="s">
        <v>90</v>
      </c>
      <c r="R38" s="17" t="s">
        <v>113</v>
      </c>
      <c r="S38" s="17" t="s">
        <v>113</v>
      </c>
      <c r="T38" s="17" t="s">
        <v>90</v>
      </c>
      <c r="U38" s="18" t="s">
        <v>90</v>
      </c>
      <c r="V38" s="18" t="s">
        <v>90</v>
      </c>
      <c r="W38" s="18" t="s">
        <v>90</v>
      </c>
      <c r="X38" s="18" t="s">
        <v>801</v>
      </c>
      <c r="Y38" s="18" t="s">
        <v>451</v>
      </c>
      <c r="Z38" s="18" t="s">
        <v>451</v>
      </c>
      <c r="AA38" s="43" t="s">
        <v>90</v>
      </c>
    </row>
    <row r="39" spans="1:27" hidden="1" x14ac:dyDescent="0.2">
      <c r="A39" s="22">
        <v>43765</v>
      </c>
      <c r="B39" s="16" t="s">
        <v>27</v>
      </c>
      <c r="C39" s="46"/>
      <c r="D39" s="17" t="s">
        <v>91</v>
      </c>
      <c r="E39" s="17" t="s">
        <v>91</v>
      </c>
      <c r="F39" s="17" t="s">
        <v>91</v>
      </c>
      <c r="G39" s="18" t="s">
        <v>91</v>
      </c>
      <c r="H39" s="17" t="s">
        <v>91</v>
      </c>
      <c r="I39" s="17" t="s">
        <v>91</v>
      </c>
      <c r="J39" s="18" t="s">
        <v>90</v>
      </c>
      <c r="K39" s="18" t="s">
        <v>90</v>
      </c>
      <c r="L39" s="18" t="s">
        <v>90</v>
      </c>
      <c r="M39" s="18" t="s">
        <v>90</v>
      </c>
      <c r="N39" s="18" t="s">
        <v>90</v>
      </c>
      <c r="O39" s="18" t="s">
        <v>90</v>
      </c>
      <c r="P39" s="18" t="s">
        <v>90</v>
      </c>
      <c r="Q39" s="18" t="s">
        <v>90</v>
      </c>
      <c r="R39" s="17" t="s">
        <v>90</v>
      </c>
      <c r="S39" s="17" t="s">
        <v>90</v>
      </c>
      <c r="T39" s="18" t="s">
        <v>90</v>
      </c>
      <c r="U39" s="18" t="s">
        <v>90</v>
      </c>
      <c r="V39" s="18" t="s">
        <v>90</v>
      </c>
      <c r="W39" s="18" t="s">
        <v>90</v>
      </c>
      <c r="X39" s="18" t="s">
        <v>801</v>
      </c>
      <c r="Y39" s="18" t="s">
        <v>113</v>
      </c>
      <c r="Z39" s="18" t="s">
        <v>113</v>
      </c>
      <c r="AA39" s="44" t="s">
        <v>90</v>
      </c>
    </row>
    <row r="40" spans="1:27" hidden="1" x14ac:dyDescent="0.2">
      <c r="A40" s="22">
        <v>43768</v>
      </c>
      <c r="B40" s="16" t="s">
        <v>35</v>
      </c>
      <c r="C40" s="46"/>
      <c r="D40" s="17" t="s">
        <v>91</v>
      </c>
      <c r="E40" s="17" t="s">
        <v>91</v>
      </c>
      <c r="F40" s="17" t="s">
        <v>91</v>
      </c>
      <c r="G40" s="17" t="s">
        <v>90</v>
      </c>
      <c r="H40" s="17" t="s">
        <v>113</v>
      </c>
      <c r="I40" s="17" t="s">
        <v>113</v>
      </c>
      <c r="J40" s="17" t="s">
        <v>90</v>
      </c>
      <c r="K40" s="17" t="s">
        <v>90</v>
      </c>
      <c r="L40" s="17" t="s">
        <v>90</v>
      </c>
      <c r="M40" s="17" t="s">
        <v>90</v>
      </c>
      <c r="N40" s="17" t="s">
        <v>90</v>
      </c>
      <c r="O40" s="17" t="s">
        <v>90</v>
      </c>
      <c r="P40" s="17" t="s">
        <v>90</v>
      </c>
      <c r="Q40" s="17" t="s">
        <v>90</v>
      </c>
      <c r="R40" s="17" t="s">
        <v>113</v>
      </c>
      <c r="S40" s="17" t="s">
        <v>113</v>
      </c>
      <c r="T40" s="17" t="s">
        <v>90</v>
      </c>
      <c r="U40" s="17" t="s">
        <v>90</v>
      </c>
      <c r="V40" s="17" t="s">
        <v>90</v>
      </c>
      <c r="W40" s="17" t="s">
        <v>90</v>
      </c>
      <c r="X40" s="17" t="s">
        <v>801</v>
      </c>
      <c r="Y40" s="17" t="s">
        <v>90</v>
      </c>
      <c r="Z40" s="18" t="s">
        <v>90</v>
      </c>
      <c r="AA40" s="44" t="s">
        <v>90</v>
      </c>
    </row>
    <row r="41" spans="1:27" hidden="1" x14ac:dyDescent="0.2">
      <c r="A41" s="22">
        <v>43768</v>
      </c>
      <c r="B41" s="16" t="s">
        <v>384</v>
      </c>
      <c r="C41" s="46"/>
      <c r="D41" s="17" t="s">
        <v>91</v>
      </c>
      <c r="E41" s="17" t="s">
        <v>91</v>
      </c>
      <c r="F41" s="17" t="s">
        <v>91</v>
      </c>
      <c r="G41" s="18" t="s">
        <v>90</v>
      </c>
      <c r="H41" s="17" t="s">
        <v>90</v>
      </c>
      <c r="I41" s="17" t="s">
        <v>90</v>
      </c>
      <c r="J41" s="18" t="s">
        <v>90</v>
      </c>
      <c r="K41" s="18" t="s">
        <v>90</v>
      </c>
      <c r="L41" s="18" t="s">
        <v>90</v>
      </c>
      <c r="M41" s="18" t="s">
        <v>90</v>
      </c>
      <c r="N41" s="18" t="s">
        <v>90</v>
      </c>
      <c r="O41" s="18" t="s">
        <v>90</v>
      </c>
      <c r="P41" s="18" t="s">
        <v>90</v>
      </c>
      <c r="Q41" s="18" t="s">
        <v>90</v>
      </c>
      <c r="R41" s="17" t="s">
        <v>90</v>
      </c>
      <c r="S41" s="17" t="s">
        <v>90</v>
      </c>
      <c r="T41" s="18" t="s">
        <v>90</v>
      </c>
      <c r="U41" s="18" t="s">
        <v>90</v>
      </c>
      <c r="V41" s="18" t="s">
        <v>90</v>
      </c>
      <c r="W41" s="18" t="s">
        <v>90</v>
      </c>
      <c r="X41" s="18" t="s">
        <v>801</v>
      </c>
      <c r="Y41" s="18" t="s">
        <v>90</v>
      </c>
      <c r="Z41" s="18" t="s">
        <v>451</v>
      </c>
      <c r="AA41" s="44" t="s">
        <v>90</v>
      </c>
    </row>
    <row r="42" spans="1:27" hidden="1" x14ac:dyDescent="0.2">
      <c r="A42" s="22">
        <v>43768</v>
      </c>
      <c r="B42" s="16" t="s">
        <v>31</v>
      </c>
      <c r="C42" s="46"/>
      <c r="D42" s="17" t="s">
        <v>91</v>
      </c>
      <c r="E42" s="17" t="s">
        <v>91</v>
      </c>
      <c r="F42" s="17" t="s">
        <v>91</v>
      </c>
      <c r="G42" s="18" t="s">
        <v>90</v>
      </c>
      <c r="H42" s="18" t="s">
        <v>90</v>
      </c>
      <c r="I42" s="18" t="s">
        <v>90</v>
      </c>
      <c r="J42" s="18" t="s">
        <v>90</v>
      </c>
      <c r="K42" s="18" t="s">
        <v>90</v>
      </c>
      <c r="L42" s="18" t="s">
        <v>90</v>
      </c>
      <c r="M42" s="18" t="s">
        <v>90</v>
      </c>
      <c r="N42" s="18" t="s">
        <v>90</v>
      </c>
      <c r="O42" s="18" t="s">
        <v>90</v>
      </c>
      <c r="P42" s="18" t="s">
        <v>90</v>
      </c>
      <c r="Q42" s="18" t="s">
        <v>90</v>
      </c>
      <c r="R42" s="18" t="s">
        <v>90</v>
      </c>
      <c r="S42" s="18" t="s">
        <v>90</v>
      </c>
      <c r="T42" s="18" t="s">
        <v>90</v>
      </c>
      <c r="U42" s="18" t="s">
        <v>90</v>
      </c>
      <c r="V42" s="18" t="s">
        <v>90</v>
      </c>
      <c r="W42" s="18" t="s">
        <v>90</v>
      </c>
      <c r="X42" s="18" t="s">
        <v>801</v>
      </c>
      <c r="Y42" s="18" t="s">
        <v>90</v>
      </c>
      <c r="Z42" s="18" t="s">
        <v>90</v>
      </c>
      <c r="AA42" s="44" t="s">
        <v>90</v>
      </c>
    </row>
    <row r="43" spans="1:27" hidden="1" x14ac:dyDescent="0.2">
      <c r="A43" s="22">
        <v>43768</v>
      </c>
      <c r="B43" s="16" t="s">
        <v>302</v>
      </c>
      <c r="C43" s="46"/>
      <c r="D43" s="18" t="s">
        <v>91</v>
      </c>
      <c r="E43" s="18" t="s">
        <v>91</v>
      </c>
      <c r="F43" s="18" t="s">
        <v>91</v>
      </c>
      <c r="G43" s="18" t="s">
        <v>90</v>
      </c>
      <c r="H43" s="18" t="s">
        <v>113</v>
      </c>
      <c r="I43" s="18" t="s">
        <v>113</v>
      </c>
      <c r="J43" s="18" t="s">
        <v>90</v>
      </c>
      <c r="K43" s="18" t="s">
        <v>90</v>
      </c>
      <c r="L43" s="18" t="s">
        <v>90</v>
      </c>
      <c r="M43" s="18" t="s">
        <v>90</v>
      </c>
      <c r="N43" s="18" t="s">
        <v>90</v>
      </c>
      <c r="O43" s="18" t="s">
        <v>90</v>
      </c>
      <c r="P43" s="18" t="s">
        <v>90</v>
      </c>
      <c r="Q43" s="18" t="s">
        <v>90</v>
      </c>
      <c r="R43" s="18" t="s">
        <v>113</v>
      </c>
      <c r="S43" s="18" t="s">
        <v>113</v>
      </c>
      <c r="T43" s="18" t="s">
        <v>90</v>
      </c>
      <c r="U43" s="18" t="s">
        <v>90</v>
      </c>
      <c r="V43" s="18" t="s">
        <v>90</v>
      </c>
      <c r="W43" s="18" t="s">
        <v>90</v>
      </c>
      <c r="X43" s="18" t="s">
        <v>801</v>
      </c>
      <c r="Y43" s="18" t="s">
        <v>451</v>
      </c>
      <c r="Z43" s="18" t="s">
        <v>451</v>
      </c>
      <c r="AA43" s="44" t="s">
        <v>451</v>
      </c>
    </row>
    <row r="44" spans="1:27" hidden="1" x14ac:dyDescent="0.2">
      <c r="A44" s="22">
        <v>43768</v>
      </c>
      <c r="B44" s="16" t="s">
        <v>28</v>
      </c>
      <c r="C44" s="46"/>
      <c r="D44" s="17" t="s">
        <v>91</v>
      </c>
      <c r="E44" s="17" t="s">
        <v>91</v>
      </c>
      <c r="F44" s="17" t="s">
        <v>91</v>
      </c>
      <c r="G44" s="17" t="s">
        <v>90</v>
      </c>
      <c r="H44" s="17" t="s">
        <v>113</v>
      </c>
      <c r="I44" s="17" t="s">
        <v>113</v>
      </c>
      <c r="J44" s="18" t="s">
        <v>90</v>
      </c>
      <c r="K44" s="18" t="s">
        <v>90</v>
      </c>
      <c r="L44" s="18" t="s">
        <v>90</v>
      </c>
      <c r="M44" s="18" t="s">
        <v>90</v>
      </c>
      <c r="N44" s="18" t="s">
        <v>90</v>
      </c>
      <c r="O44" s="18" t="s">
        <v>90</v>
      </c>
      <c r="P44" s="18" t="s">
        <v>90</v>
      </c>
      <c r="Q44" s="18" t="s">
        <v>90</v>
      </c>
      <c r="R44" s="18" t="s">
        <v>113</v>
      </c>
      <c r="S44" s="18" t="s">
        <v>113</v>
      </c>
      <c r="T44" s="18" t="s">
        <v>90</v>
      </c>
      <c r="U44" s="18" t="s">
        <v>90</v>
      </c>
      <c r="V44" s="18" t="s">
        <v>90</v>
      </c>
      <c r="W44" s="18" t="s">
        <v>90</v>
      </c>
      <c r="X44" s="18" t="s">
        <v>801</v>
      </c>
      <c r="Y44" s="18" t="s">
        <v>90</v>
      </c>
      <c r="Z44" s="18" t="s">
        <v>90</v>
      </c>
      <c r="AA44" s="44" t="s">
        <v>90</v>
      </c>
    </row>
    <row r="45" spans="1:27" hidden="1" x14ac:dyDescent="0.2">
      <c r="A45" s="22">
        <v>43768</v>
      </c>
      <c r="B45" s="16" t="s">
        <v>33</v>
      </c>
      <c r="C45" s="46"/>
      <c r="D45" s="17" t="s">
        <v>91</v>
      </c>
      <c r="E45" s="17" t="s">
        <v>91</v>
      </c>
      <c r="F45" s="17" t="s">
        <v>91</v>
      </c>
      <c r="G45" s="17" t="s">
        <v>90</v>
      </c>
      <c r="H45" s="17" t="s">
        <v>113</v>
      </c>
      <c r="I45" s="17" t="s">
        <v>113</v>
      </c>
      <c r="J45" s="18" t="s">
        <v>90</v>
      </c>
      <c r="K45" s="18" t="s">
        <v>90</v>
      </c>
      <c r="L45" s="18" t="s">
        <v>90</v>
      </c>
      <c r="M45" s="18" t="s">
        <v>90</v>
      </c>
      <c r="N45" s="18" t="s">
        <v>90</v>
      </c>
      <c r="O45" s="18" t="s">
        <v>90</v>
      </c>
      <c r="P45" s="18" t="s">
        <v>90</v>
      </c>
      <c r="Q45" s="18" t="s">
        <v>90</v>
      </c>
      <c r="R45" s="17" t="s">
        <v>113</v>
      </c>
      <c r="S45" s="17" t="s">
        <v>113</v>
      </c>
      <c r="T45" s="18" t="s">
        <v>90</v>
      </c>
      <c r="U45" s="18" t="s">
        <v>90</v>
      </c>
      <c r="V45" s="18" t="s">
        <v>90</v>
      </c>
      <c r="W45" s="18" t="s">
        <v>90</v>
      </c>
      <c r="X45" s="18" t="s">
        <v>801</v>
      </c>
      <c r="Y45" s="18" t="s">
        <v>90</v>
      </c>
      <c r="Z45" s="18" t="s">
        <v>90</v>
      </c>
      <c r="AA45" s="44" t="s">
        <v>90</v>
      </c>
    </row>
    <row r="46" spans="1:27" hidden="1" x14ac:dyDescent="0.2">
      <c r="A46" s="22">
        <v>43772</v>
      </c>
      <c r="B46" s="16" t="s">
        <v>525</v>
      </c>
      <c r="C46" s="46"/>
      <c r="D46" s="17" t="s">
        <v>90</v>
      </c>
      <c r="E46" s="17" t="s">
        <v>90</v>
      </c>
      <c r="F46" s="17" t="s">
        <v>90</v>
      </c>
      <c r="G46" s="18" t="s">
        <v>90</v>
      </c>
      <c r="H46" s="17" t="s">
        <v>451</v>
      </c>
      <c r="I46" s="17" t="s">
        <v>451</v>
      </c>
      <c r="J46" s="18" t="s">
        <v>90</v>
      </c>
      <c r="K46" s="18" t="s">
        <v>90</v>
      </c>
      <c r="L46" s="18" t="s">
        <v>90</v>
      </c>
      <c r="M46" s="18" t="s">
        <v>90</v>
      </c>
      <c r="N46" s="18" t="s">
        <v>90</v>
      </c>
      <c r="O46" s="18" t="s">
        <v>90</v>
      </c>
      <c r="P46" s="18" t="s">
        <v>90</v>
      </c>
      <c r="Q46" s="18" t="s">
        <v>90</v>
      </c>
      <c r="R46" s="17" t="s">
        <v>451</v>
      </c>
      <c r="S46" s="17" t="s">
        <v>451</v>
      </c>
      <c r="T46" s="18" t="s">
        <v>90</v>
      </c>
      <c r="U46" s="18" t="s">
        <v>90</v>
      </c>
      <c r="V46" s="18" t="s">
        <v>90</v>
      </c>
      <c r="W46" s="18" t="s">
        <v>90</v>
      </c>
      <c r="X46" s="18" t="s">
        <v>801</v>
      </c>
      <c r="Y46" s="17" t="s">
        <v>90</v>
      </c>
      <c r="Z46" s="17" t="s">
        <v>90</v>
      </c>
      <c r="AA46" s="44" t="s">
        <v>90</v>
      </c>
    </row>
    <row r="47" spans="1:27" hidden="1" x14ac:dyDescent="0.2">
      <c r="A47" s="22">
        <v>43772</v>
      </c>
      <c r="B47" s="16" t="s">
        <v>35</v>
      </c>
      <c r="C47" s="46"/>
      <c r="D47" s="17" t="s">
        <v>91</v>
      </c>
      <c r="E47" s="17" t="s">
        <v>91</v>
      </c>
      <c r="F47" s="17" t="s">
        <v>91</v>
      </c>
      <c r="G47" s="18" t="s">
        <v>91</v>
      </c>
      <c r="H47" s="17" t="s">
        <v>451</v>
      </c>
      <c r="I47" s="17" t="s">
        <v>451</v>
      </c>
      <c r="J47" s="18" t="s">
        <v>90</v>
      </c>
      <c r="K47" s="18" t="s">
        <v>90</v>
      </c>
      <c r="L47" s="18" t="s">
        <v>90</v>
      </c>
      <c r="M47" s="18" t="s">
        <v>90</v>
      </c>
      <c r="N47" s="18" t="s">
        <v>90</v>
      </c>
      <c r="O47" s="18" t="s">
        <v>90</v>
      </c>
      <c r="P47" s="18" t="s">
        <v>90</v>
      </c>
      <c r="Q47" s="18" t="s">
        <v>90</v>
      </c>
      <c r="R47" s="17" t="s">
        <v>451</v>
      </c>
      <c r="S47" s="17" t="s">
        <v>451</v>
      </c>
      <c r="T47" s="18" t="s">
        <v>90</v>
      </c>
      <c r="U47" s="18" t="s">
        <v>90</v>
      </c>
      <c r="V47" s="18" t="s">
        <v>90</v>
      </c>
      <c r="W47" s="18" t="s">
        <v>90</v>
      </c>
      <c r="X47" s="18" t="s">
        <v>801</v>
      </c>
      <c r="Y47" s="18" t="s">
        <v>90</v>
      </c>
      <c r="Z47" s="18" t="s">
        <v>90</v>
      </c>
      <c r="AA47" s="44" t="s">
        <v>90</v>
      </c>
    </row>
    <row r="48" spans="1:27" hidden="1" x14ac:dyDescent="0.2">
      <c r="A48" s="22">
        <v>43772</v>
      </c>
      <c r="B48" s="16" t="s">
        <v>31</v>
      </c>
      <c r="C48" s="46"/>
      <c r="D48" s="18" t="s">
        <v>91</v>
      </c>
      <c r="E48" s="18" t="s">
        <v>91</v>
      </c>
      <c r="F48" s="18" t="s">
        <v>91</v>
      </c>
      <c r="G48" s="18" t="s">
        <v>91</v>
      </c>
      <c r="H48" s="17" t="s">
        <v>90</v>
      </c>
      <c r="I48" s="17" t="s">
        <v>90</v>
      </c>
      <c r="J48" s="18" t="s">
        <v>90</v>
      </c>
      <c r="K48" s="18" t="s">
        <v>90</v>
      </c>
      <c r="L48" s="18" t="s">
        <v>90</v>
      </c>
      <c r="M48" s="18" t="s">
        <v>90</v>
      </c>
      <c r="N48" s="18" t="s">
        <v>90</v>
      </c>
      <c r="O48" s="18" t="s">
        <v>90</v>
      </c>
      <c r="P48" s="18" t="s">
        <v>90</v>
      </c>
      <c r="Q48" s="18" t="s">
        <v>90</v>
      </c>
      <c r="R48" s="17" t="s">
        <v>451</v>
      </c>
      <c r="S48" s="17" t="s">
        <v>451</v>
      </c>
      <c r="T48" s="18" t="s">
        <v>90</v>
      </c>
      <c r="U48" s="18" t="s">
        <v>90</v>
      </c>
      <c r="V48" s="18" t="s">
        <v>90</v>
      </c>
      <c r="W48" s="18" t="s">
        <v>90</v>
      </c>
      <c r="X48" s="18" t="s">
        <v>801</v>
      </c>
      <c r="Y48" s="18" t="s">
        <v>90</v>
      </c>
      <c r="Z48" s="18" t="s">
        <v>90</v>
      </c>
      <c r="AA48" s="44" t="s">
        <v>90</v>
      </c>
    </row>
    <row r="49" spans="1:27" hidden="1" x14ac:dyDescent="0.2">
      <c r="A49" s="22">
        <v>43772</v>
      </c>
      <c r="B49" s="16" t="s">
        <v>34</v>
      </c>
      <c r="C49" s="46"/>
      <c r="D49" s="18" t="s">
        <v>90</v>
      </c>
      <c r="E49" s="18" t="s">
        <v>90</v>
      </c>
      <c r="F49" s="18" t="s">
        <v>90</v>
      </c>
      <c r="G49" s="18" t="s">
        <v>90</v>
      </c>
      <c r="H49" s="18" t="s">
        <v>451</v>
      </c>
      <c r="I49" s="18" t="s">
        <v>451</v>
      </c>
      <c r="J49" s="18" t="s">
        <v>90</v>
      </c>
      <c r="K49" s="18" t="s">
        <v>90</v>
      </c>
      <c r="L49" s="18" t="s">
        <v>90</v>
      </c>
      <c r="M49" s="18" t="s">
        <v>90</v>
      </c>
      <c r="N49" s="18" t="s">
        <v>90</v>
      </c>
      <c r="O49" s="18" t="s">
        <v>90</v>
      </c>
      <c r="P49" s="18" t="s">
        <v>90</v>
      </c>
      <c r="Q49" s="18" t="s">
        <v>90</v>
      </c>
      <c r="R49" s="18" t="s">
        <v>451</v>
      </c>
      <c r="S49" s="18" t="s">
        <v>451</v>
      </c>
      <c r="T49" s="18" t="s">
        <v>90</v>
      </c>
      <c r="U49" s="18" t="s">
        <v>90</v>
      </c>
      <c r="V49" s="18" t="s">
        <v>90</v>
      </c>
      <c r="W49" s="18" t="s">
        <v>90</v>
      </c>
      <c r="X49" s="18" t="s">
        <v>801</v>
      </c>
      <c r="Y49" s="18" t="s">
        <v>451</v>
      </c>
      <c r="Z49" s="18" t="s">
        <v>451</v>
      </c>
      <c r="AA49" s="44" t="s">
        <v>451</v>
      </c>
    </row>
    <row r="50" spans="1:27" hidden="1" x14ac:dyDescent="0.2">
      <c r="A50" s="22">
        <v>43775</v>
      </c>
      <c r="B50" s="16" t="s">
        <v>35</v>
      </c>
      <c r="C50" s="46"/>
      <c r="D50" s="17" t="s">
        <v>91</v>
      </c>
      <c r="E50" s="17" t="s">
        <v>91</v>
      </c>
      <c r="F50" s="17" t="s">
        <v>90</v>
      </c>
      <c r="G50" s="17" t="s">
        <v>90</v>
      </c>
      <c r="H50" s="18" t="s">
        <v>90</v>
      </c>
      <c r="I50" s="18" t="s">
        <v>90</v>
      </c>
      <c r="J50" s="18" t="s">
        <v>90</v>
      </c>
      <c r="K50" s="18" t="s">
        <v>90</v>
      </c>
      <c r="L50" s="18" t="s">
        <v>90</v>
      </c>
      <c r="M50" s="18" t="s">
        <v>90</v>
      </c>
      <c r="N50" s="18" t="s">
        <v>90</v>
      </c>
      <c r="O50" s="18" t="s">
        <v>90</v>
      </c>
      <c r="P50" s="18" t="s">
        <v>90</v>
      </c>
      <c r="Q50" s="18" t="s">
        <v>90</v>
      </c>
      <c r="R50" s="18" t="s">
        <v>90</v>
      </c>
      <c r="S50" s="18" t="s">
        <v>90</v>
      </c>
      <c r="T50" s="18" t="s">
        <v>90</v>
      </c>
      <c r="U50" s="18" t="s">
        <v>90</v>
      </c>
      <c r="V50" s="18" t="s">
        <v>90</v>
      </c>
      <c r="W50" s="18" t="s">
        <v>90</v>
      </c>
      <c r="X50" s="18" t="s">
        <v>801</v>
      </c>
      <c r="Y50" s="18" t="s">
        <v>90</v>
      </c>
      <c r="Z50" s="18" t="s">
        <v>90</v>
      </c>
      <c r="AA50" s="44" t="s">
        <v>90</v>
      </c>
    </row>
    <row r="51" spans="1:27" hidden="1" x14ac:dyDescent="0.2">
      <c r="A51" s="22">
        <v>43775</v>
      </c>
      <c r="B51" s="16" t="s">
        <v>34</v>
      </c>
      <c r="C51" s="46"/>
      <c r="D51" s="18" t="s">
        <v>90</v>
      </c>
      <c r="E51" s="18" t="s">
        <v>90</v>
      </c>
      <c r="F51" s="18" t="s">
        <v>90</v>
      </c>
      <c r="G51" s="18" t="s">
        <v>90</v>
      </c>
      <c r="H51" s="18" t="s">
        <v>451</v>
      </c>
      <c r="I51" s="18" t="s">
        <v>451</v>
      </c>
      <c r="J51" s="18" t="s">
        <v>90</v>
      </c>
      <c r="K51" s="18" t="s">
        <v>90</v>
      </c>
      <c r="L51" s="18" t="s">
        <v>90</v>
      </c>
      <c r="M51" s="18" t="s">
        <v>90</v>
      </c>
      <c r="N51" s="18" t="s">
        <v>90</v>
      </c>
      <c r="O51" s="18" t="s">
        <v>90</v>
      </c>
      <c r="P51" s="18" t="s">
        <v>90</v>
      </c>
      <c r="Q51" s="18" t="s">
        <v>90</v>
      </c>
      <c r="R51" s="18" t="s">
        <v>451</v>
      </c>
      <c r="S51" s="18" t="s">
        <v>451</v>
      </c>
      <c r="T51" s="18" t="s">
        <v>90</v>
      </c>
      <c r="U51" s="18" t="s">
        <v>90</v>
      </c>
      <c r="V51" s="18" t="s">
        <v>90</v>
      </c>
      <c r="W51" s="18" t="s">
        <v>90</v>
      </c>
      <c r="X51" s="18" t="s">
        <v>801</v>
      </c>
      <c r="Y51" s="18" t="s">
        <v>451</v>
      </c>
      <c r="Z51" s="18" t="s">
        <v>451</v>
      </c>
      <c r="AA51" s="44" t="s">
        <v>451</v>
      </c>
    </row>
    <row r="52" spans="1:27" hidden="1" x14ac:dyDescent="0.2">
      <c r="A52" s="22">
        <v>43775</v>
      </c>
      <c r="B52" s="16" t="s">
        <v>27</v>
      </c>
      <c r="C52" s="46"/>
      <c r="D52" s="18" t="s">
        <v>91</v>
      </c>
      <c r="E52" s="18" t="s">
        <v>91</v>
      </c>
      <c r="F52" s="18" t="s">
        <v>91</v>
      </c>
      <c r="G52" s="18" t="s">
        <v>90</v>
      </c>
      <c r="H52" s="18" t="s">
        <v>90</v>
      </c>
      <c r="I52" s="18" t="s">
        <v>90</v>
      </c>
      <c r="J52" s="18" t="s">
        <v>90</v>
      </c>
      <c r="K52" s="18" t="s">
        <v>90</v>
      </c>
      <c r="L52" s="18" t="s">
        <v>90</v>
      </c>
      <c r="M52" s="18" t="s">
        <v>90</v>
      </c>
      <c r="N52" s="18" t="s">
        <v>90</v>
      </c>
      <c r="O52" s="18" t="s">
        <v>90</v>
      </c>
      <c r="P52" s="18" t="s">
        <v>90</v>
      </c>
      <c r="Q52" s="18" t="s">
        <v>90</v>
      </c>
      <c r="R52" s="18" t="s">
        <v>90</v>
      </c>
      <c r="S52" s="18" t="s">
        <v>90</v>
      </c>
      <c r="T52" s="18" t="s">
        <v>90</v>
      </c>
      <c r="U52" s="18" t="s">
        <v>90</v>
      </c>
      <c r="V52" s="18" t="s">
        <v>90</v>
      </c>
      <c r="W52" s="18" t="s">
        <v>90</v>
      </c>
      <c r="X52" s="18" t="s">
        <v>801</v>
      </c>
      <c r="Y52" s="18" t="s">
        <v>113</v>
      </c>
      <c r="Z52" s="18" t="s">
        <v>113</v>
      </c>
      <c r="AA52" s="44" t="s">
        <v>90</v>
      </c>
    </row>
    <row r="53" spans="1:27" hidden="1" x14ac:dyDescent="0.2">
      <c r="A53" s="22">
        <v>43779</v>
      </c>
      <c r="B53" s="16" t="s">
        <v>35</v>
      </c>
      <c r="C53" s="46"/>
      <c r="D53" s="18" t="s">
        <v>90</v>
      </c>
      <c r="E53" s="18" t="s">
        <v>90</v>
      </c>
      <c r="F53" s="18" t="s">
        <v>90</v>
      </c>
      <c r="G53" s="18" t="s">
        <v>90</v>
      </c>
      <c r="H53" s="18" t="s">
        <v>451</v>
      </c>
      <c r="I53" s="18" t="s">
        <v>451</v>
      </c>
      <c r="J53" s="18" t="s">
        <v>90</v>
      </c>
      <c r="K53" s="18" t="s">
        <v>90</v>
      </c>
      <c r="L53" s="18" t="s">
        <v>90</v>
      </c>
      <c r="M53" s="18" t="s">
        <v>90</v>
      </c>
      <c r="N53" s="18" t="s">
        <v>90</v>
      </c>
      <c r="O53" s="18" t="s">
        <v>90</v>
      </c>
      <c r="P53" s="18" t="s">
        <v>90</v>
      </c>
      <c r="Q53" s="18" t="s">
        <v>90</v>
      </c>
      <c r="R53" s="18" t="s">
        <v>451</v>
      </c>
      <c r="S53" s="18" t="s">
        <v>451</v>
      </c>
      <c r="T53" s="18" t="s">
        <v>90</v>
      </c>
      <c r="U53" s="18" t="s">
        <v>90</v>
      </c>
      <c r="V53" s="18" t="s">
        <v>90</v>
      </c>
      <c r="W53" s="18" t="s">
        <v>90</v>
      </c>
      <c r="X53" s="18" t="s">
        <v>801</v>
      </c>
      <c r="Y53" s="18" t="s">
        <v>90</v>
      </c>
      <c r="Z53" s="18" t="s">
        <v>90</v>
      </c>
      <c r="AA53" s="44" t="s">
        <v>90</v>
      </c>
    </row>
    <row r="54" spans="1:27" hidden="1" x14ac:dyDescent="0.2">
      <c r="A54" s="22">
        <v>43779</v>
      </c>
      <c r="B54" s="16" t="s">
        <v>56</v>
      </c>
      <c r="C54" s="46"/>
      <c r="D54" s="18" t="s">
        <v>91</v>
      </c>
      <c r="E54" s="18" t="s">
        <v>91</v>
      </c>
      <c r="F54" s="18" t="s">
        <v>91</v>
      </c>
      <c r="G54" s="18" t="s">
        <v>90</v>
      </c>
      <c r="H54" s="18" t="s">
        <v>113</v>
      </c>
      <c r="I54" s="18" t="s">
        <v>113</v>
      </c>
      <c r="J54" s="18" t="s">
        <v>90</v>
      </c>
      <c r="K54" s="18" t="s">
        <v>90</v>
      </c>
      <c r="L54" s="18" t="s">
        <v>90</v>
      </c>
      <c r="M54" s="18" t="s">
        <v>90</v>
      </c>
      <c r="N54" s="18" t="s">
        <v>90</v>
      </c>
      <c r="O54" s="18" t="s">
        <v>90</v>
      </c>
      <c r="P54" s="18" t="s">
        <v>90</v>
      </c>
      <c r="Q54" s="18" t="s">
        <v>90</v>
      </c>
      <c r="R54" s="18" t="s">
        <v>113</v>
      </c>
      <c r="S54" s="18" t="s">
        <v>113</v>
      </c>
      <c r="T54" s="18" t="s">
        <v>90</v>
      </c>
      <c r="U54" s="18" t="s">
        <v>90</v>
      </c>
      <c r="V54" s="18" t="s">
        <v>90</v>
      </c>
      <c r="W54" s="18" t="s">
        <v>90</v>
      </c>
      <c r="X54" s="18" t="s">
        <v>801</v>
      </c>
      <c r="Y54" s="18" t="s">
        <v>90</v>
      </c>
      <c r="Z54" s="18" t="s">
        <v>90</v>
      </c>
      <c r="AA54" s="44" t="s">
        <v>90</v>
      </c>
    </row>
    <row r="55" spans="1:27" hidden="1" x14ac:dyDescent="0.2">
      <c r="A55" s="22">
        <v>43779</v>
      </c>
      <c r="B55" s="16" t="s">
        <v>34</v>
      </c>
      <c r="C55" s="46"/>
      <c r="D55" s="18" t="s">
        <v>90</v>
      </c>
      <c r="E55" s="18" t="s">
        <v>90</v>
      </c>
      <c r="F55" s="18" t="s">
        <v>90</v>
      </c>
      <c r="G55" s="18" t="s">
        <v>90</v>
      </c>
      <c r="H55" s="18" t="s">
        <v>451</v>
      </c>
      <c r="I55" s="18" t="s">
        <v>451</v>
      </c>
      <c r="J55" s="18" t="s">
        <v>90</v>
      </c>
      <c r="K55" s="18" t="s">
        <v>90</v>
      </c>
      <c r="L55" s="18" t="s">
        <v>90</v>
      </c>
      <c r="M55" s="18" t="s">
        <v>90</v>
      </c>
      <c r="N55" s="18" t="s">
        <v>90</v>
      </c>
      <c r="O55" s="18" t="s">
        <v>90</v>
      </c>
      <c r="P55" s="18" t="s">
        <v>90</v>
      </c>
      <c r="Q55" s="18" t="s">
        <v>90</v>
      </c>
      <c r="R55" s="18" t="s">
        <v>451</v>
      </c>
      <c r="S55" s="18" t="s">
        <v>451</v>
      </c>
      <c r="T55" s="18" t="s">
        <v>90</v>
      </c>
      <c r="U55" s="18" t="s">
        <v>90</v>
      </c>
      <c r="V55" s="18" t="s">
        <v>90</v>
      </c>
      <c r="W55" s="18" t="s">
        <v>90</v>
      </c>
      <c r="X55" s="18" t="s">
        <v>801</v>
      </c>
      <c r="Y55" s="18" t="s">
        <v>451</v>
      </c>
      <c r="Z55" s="18" t="s">
        <v>451</v>
      </c>
      <c r="AA55" s="44" t="s">
        <v>451</v>
      </c>
    </row>
    <row r="56" spans="1:27" hidden="1" x14ac:dyDescent="0.2">
      <c r="A56" s="22">
        <v>43779</v>
      </c>
      <c r="B56" s="16" t="s">
        <v>450</v>
      </c>
      <c r="C56" s="46"/>
      <c r="D56" s="18" t="s">
        <v>90</v>
      </c>
      <c r="E56" s="18" t="s">
        <v>90</v>
      </c>
      <c r="F56" s="18" t="s">
        <v>90</v>
      </c>
      <c r="G56" s="18" t="s">
        <v>90</v>
      </c>
      <c r="H56" s="18" t="s">
        <v>451</v>
      </c>
      <c r="I56" s="18" t="s">
        <v>451</v>
      </c>
      <c r="J56" s="18" t="s">
        <v>90</v>
      </c>
      <c r="K56" s="18" t="s">
        <v>90</v>
      </c>
      <c r="L56" s="18" t="s">
        <v>90</v>
      </c>
      <c r="M56" s="18" t="s">
        <v>90</v>
      </c>
      <c r="N56" s="18" t="s">
        <v>90</v>
      </c>
      <c r="O56" s="18" t="s">
        <v>90</v>
      </c>
      <c r="P56" s="18" t="s">
        <v>90</v>
      </c>
      <c r="Q56" s="18" t="s">
        <v>90</v>
      </c>
      <c r="R56" s="18" t="s">
        <v>451</v>
      </c>
      <c r="S56" s="18" t="s">
        <v>451</v>
      </c>
      <c r="T56" s="18" t="s">
        <v>90</v>
      </c>
      <c r="U56" s="18" t="s">
        <v>90</v>
      </c>
      <c r="V56" s="18" t="s">
        <v>90</v>
      </c>
      <c r="W56" s="18" t="s">
        <v>90</v>
      </c>
      <c r="X56" s="18" t="s">
        <v>801</v>
      </c>
      <c r="Y56" s="18" t="s">
        <v>90</v>
      </c>
      <c r="Z56" s="18" t="s">
        <v>90</v>
      </c>
      <c r="AA56" s="44" t="s">
        <v>90</v>
      </c>
    </row>
    <row r="57" spans="1:27" hidden="1" x14ac:dyDescent="0.2">
      <c r="A57" s="22">
        <v>43779</v>
      </c>
      <c r="B57" s="16" t="s">
        <v>28</v>
      </c>
      <c r="C57" s="46"/>
      <c r="D57" s="18" t="s">
        <v>90</v>
      </c>
      <c r="E57" s="18" t="s">
        <v>90</v>
      </c>
      <c r="F57" s="18" t="s">
        <v>90</v>
      </c>
      <c r="G57" s="18" t="s">
        <v>90</v>
      </c>
      <c r="H57" s="18" t="s">
        <v>451</v>
      </c>
      <c r="I57" s="18" t="s">
        <v>451</v>
      </c>
      <c r="J57" s="18" t="s">
        <v>90</v>
      </c>
      <c r="K57" s="18" t="s">
        <v>90</v>
      </c>
      <c r="L57" s="18" t="s">
        <v>90</v>
      </c>
      <c r="M57" s="18" t="s">
        <v>90</v>
      </c>
      <c r="N57" s="18" t="s">
        <v>90</v>
      </c>
      <c r="O57" s="18" t="s">
        <v>90</v>
      </c>
      <c r="P57" s="18" t="s">
        <v>90</v>
      </c>
      <c r="Q57" s="18" t="s">
        <v>90</v>
      </c>
      <c r="R57" s="18" t="s">
        <v>451</v>
      </c>
      <c r="S57" s="18" t="s">
        <v>451</v>
      </c>
      <c r="T57" s="18" t="s">
        <v>90</v>
      </c>
      <c r="U57" s="18" t="s">
        <v>90</v>
      </c>
      <c r="V57" s="18" t="s">
        <v>90</v>
      </c>
      <c r="W57" s="18" t="s">
        <v>90</v>
      </c>
      <c r="X57" s="18" t="s">
        <v>801</v>
      </c>
      <c r="Y57" s="18" t="s">
        <v>90</v>
      </c>
      <c r="Z57" s="18" t="s">
        <v>451</v>
      </c>
      <c r="AA57" s="44" t="s">
        <v>90</v>
      </c>
    </row>
    <row r="58" spans="1:27" hidden="1" x14ac:dyDescent="0.2">
      <c r="A58" s="22">
        <v>43782</v>
      </c>
      <c r="B58" s="16" t="s">
        <v>35</v>
      </c>
      <c r="C58" s="46"/>
      <c r="D58" s="18" t="s">
        <v>91</v>
      </c>
      <c r="E58" s="18" t="s">
        <v>91</v>
      </c>
      <c r="F58" s="18" t="s">
        <v>90</v>
      </c>
      <c r="G58" s="18" t="s">
        <v>90</v>
      </c>
      <c r="H58" s="18" t="s">
        <v>90</v>
      </c>
      <c r="I58" s="18" t="s">
        <v>90</v>
      </c>
      <c r="J58" s="18" t="s">
        <v>90</v>
      </c>
      <c r="K58" s="18" t="s">
        <v>90</v>
      </c>
      <c r="L58" s="18" t="s">
        <v>90</v>
      </c>
      <c r="M58" s="18" t="s">
        <v>90</v>
      </c>
      <c r="N58" s="18" t="s">
        <v>90</v>
      </c>
      <c r="O58" s="18" t="s">
        <v>90</v>
      </c>
      <c r="P58" s="18" t="s">
        <v>90</v>
      </c>
      <c r="Q58" s="18" t="s">
        <v>90</v>
      </c>
      <c r="R58" s="18" t="s">
        <v>90</v>
      </c>
      <c r="S58" s="18" t="s">
        <v>90</v>
      </c>
      <c r="T58" s="18" t="s">
        <v>90</v>
      </c>
      <c r="U58" s="18" t="s">
        <v>90</v>
      </c>
      <c r="V58" s="18" t="s">
        <v>90</v>
      </c>
      <c r="W58" s="18" t="s">
        <v>90</v>
      </c>
      <c r="X58" s="18" t="s">
        <v>801</v>
      </c>
      <c r="Y58" s="18" t="s">
        <v>90</v>
      </c>
      <c r="Z58" s="18" t="s">
        <v>90</v>
      </c>
      <c r="AA58" s="44" t="s">
        <v>90</v>
      </c>
    </row>
    <row r="59" spans="1:27" hidden="1" x14ac:dyDescent="0.2">
      <c r="A59" s="22">
        <v>43782</v>
      </c>
      <c r="B59" s="16" t="s">
        <v>34</v>
      </c>
      <c r="C59" s="46"/>
      <c r="D59" s="18" t="s">
        <v>90</v>
      </c>
      <c r="E59" s="18" t="s">
        <v>90</v>
      </c>
      <c r="F59" s="18" t="s">
        <v>90</v>
      </c>
      <c r="G59" s="18" t="s">
        <v>90</v>
      </c>
      <c r="H59" s="18" t="s">
        <v>90</v>
      </c>
      <c r="I59" s="18" t="s">
        <v>90</v>
      </c>
      <c r="J59" s="18" t="s">
        <v>90</v>
      </c>
      <c r="K59" s="18" t="s">
        <v>90</v>
      </c>
      <c r="L59" s="18" t="s">
        <v>90</v>
      </c>
      <c r="M59" s="18" t="s">
        <v>90</v>
      </c>
      <c r="N59" s="18" t="s">
        <v>90</v>
      </c>
      <c r="O59" s="18" t="s">
        <v>90</v>
      </c>
      <c r="P59" s="18" t="s">
        <v>90</v>
      </c>
      <c r="Q59" s="18" t="s">
        <v>90</v>
      </c>
      <c r="R59" s="18" t="s">
        <v>90</v>
      </c>
      <c r="S59" s="18" t="s">
        <v>90</v>
      </c>
      <c r="T59" s="18" t="s">
        <v>90</v>
      </c>
      <c r="U59" s="18" t="s">
        <v>90</v>
      </c>
      <c r="V59" s="18" t="s">
        <v>90</v>
      </c>
      <c r="W59" s="18" t="s">
        <v>90</v>
      </c>
      <c r="X59" s="18" t="s">
        <v>801</v>
      </c>
      <c r="Y59" s="18" t="s">
        <v>451</v>
      </c>
      <c r="Z59" s="18" t="s">
        <v>451</v>
      </c>
      <c r="AA59" s="44" t="s">
        <v>451</v>
      </c>
    </row>
    <row r="60" spans="1:27" hidden="1" x14ac:dyDescent="0.2">
      <c r="A60" s="22">
        <v>43786</v>
      </c>
      <c r="B60" s="16" t="s">
        <v>35</v>
      </c>
      <c r="C60" s="46"/>
      <c r="D60" s="18" t="s">
        <v>90</v>
      </c>
      <c r="E60" s="18" t="s">
        <v>90</v>
      </c>
      <c r="F60" s="18" t="s">
        <v>90</v>
      </c>
      <c r="G60" s="18" t="s">
        <v>90</v>
      </c>
      <c r="H60" s="18" t="s">
        <v>451</v>
      </c>
      <c r="I60" s="18" t="s">
        <v>451</v>
      </c>
      <c r="J60" s="18" t="s">
        <v>90</v>
      </c>
      <c r="K60" s="18" t="s">
        <v>90</v>
      </c>
      <c r="L60" s="18" t="s">
        <v>90</v>
      </c>
      <c r="M60" s="18" t="s">
        <v>90</v>
      </c>
      <c r="N60" s="18" t="s">
        <v>90</v>
      </c>
      <c r="O60" s="18" t="s">
        <v>90</v>
      </c>
      <c r="P60" s="18" t="s">
        <v>90</v>
      </c>
      <c r="Q60" s="18" t="s">
        <v>90</v>
      </c>
      <c r="R60" s="18" t="s">
        <v>451</v>
      </c>
      <c r="S60" s="18" t="s">
        <v>451</v>
      </c>
      <c r="T60" s="18" t="s">
        <v>90</v>
      </c>
      <c r="U60" s="18" t="s">
        <v>90</v>
      </c>
      <c r="V60" s="18" t="s">
        <v>90</v>
      </c>
      <c r="W60" s="18" t="s">
        <v>90</v>
      </c>
      <c r="X60" s="18" t="s">
        <v>801</v>
      </c>
      <c r="Y60" s="18" t="s">
        <v>90</v>
      </c>
      <c r="Z60" s="18" t="s">
        <v>90</v>
      </c>
      <c r="AA60" s="44" t="s">
        <v>90</v>
      </c>
    </row>
    <row r="61" spans="1:27" hidden="1" x14ac:dyDescent="0.2">
      <c r="A61" s="22">
        <v>43786</v>
      </c>
      <c r="B61" s="16" t="s">
        <v>31</v>
      </c>
      <c r="C61" s="46"/>
      <c r="D61" s="18" t="s">
        <v>90</v>
      </c>
      <c r="E61" s="18" t="s">
        <v>90</v>
      </c>
      <c r="F61" s="18" t="s">
        <v>90</v>
      </c>
      <c r="G61" s="18" t="s">
        <v>90</v>
      </c>
      <c r="H61" s="18" t="s">
        <v>451</v>
      </c>
      <c r="I61" s="18" t="s">
        <v>451</v>
      </c>
      <c r="J61" s="18" t="s">
        <v>90</v>
      </c>
      <c r="K61" s="18" t="s">
        <v>90</v>
      </c>
      <c r="L61" s="18" t="s">
        <v>90</v>
      </c>
      <c r="M61" s="18" t="s">
        <v>90</v>
      </c>
      <c r="N61" s="18" t="s">
        <v>90</v>
      </c>
      <c r="O61" s="18" t="s">
        <v>90</v>
      </c>
      <c r="P61" s="18" t="s">
        <v>90</v>
      </c>
      <c r="Q61" s="18" t="s">
        <v>90</v>
      </c>
      <c r="R61" s="18" t="s">
        <v>451</v>
      </c>
      <c r="S61" s="18" t="s">
        <v>451</v>
      </c>
      <c r="T61" s="18" t="s">
        <v>90</v>
      </c>
      <c r="U61" s="18" t="s">
        <v>90</v>
      </c>
      <c r="V61" s="18" t="s">
        <v>90</v>
      </c>
      <c r="W61" s="18" t="s">
        <v>90</v>
      </c>
      <c r="X61" s="18" t="s">
        <v>801</v>
      </c>
      <c r="Y61" s="18" t="s">
        <v>90</v>
      </c>
      <c r="Z61" s="18" t="s">
        <v>90</v>
      </c>
      <c r="AA61" s="44" t="s">
        <v>90</v>
      </c>
    </row>
    <row r="62" spans="1:27" hidden="1" x14ac:dyDescent="0.2">
      <c r="A62" s="22">
        <v>43786</v>
      </c>
      <c r="B62" s="16" t="s">
        <v>34</v>
      </c>
      <c r="C62" s="46"/>
      <c r="D62" s="18" t="s">
        <v>90</v>
      </c>
      <c r="E62" s="18" t="s">
        <v>90</v>
      </c>
      <c r="F62" s="18" t="s">
        <v>90</v>
      </c>
      <c r="G62" s="18" t="s">
        <v>90</v>
      </c>
      <c r="H62" s="18" t="s">
        <v>451</v>
      </c>
      <c r="I62" s="18" t="s">
        <v>451</v>
      </c>
      <c r="J62" s="18" t="s">
        <v>90</v>
      </c>
      <c r="K62" s="18" t="s">
        <v>90</v>
      </c>
      <c r="L62" s="18" t="s">
        <v>90</v>
      </c>
      <c r="M62" s="18" t="s">
        <v>90</v>
      </c>
      <c r="N62" s="18" t="s">
        <v>90</v>
      </c>
      <c r="O62" s="18" t="s">
        <v>90</v>
      </c>
      <c r="P62" s="18" t="s">
        <v>90</v>
      </c>
      <c r="Q62" s="18" t="s">
        <v>90</v>
      </c>
      <c r="R62" s="18" t="s">
        <v>451</v>
      </c>
      <c r="S62" s="18" t="s">
        <v>451</v>
      </c>
      <c r="T62" s="18" t="s">
        <v>90</v>
      </c>
      <c r="U62" s="18" t="s">
        <v>90</v>
      </c>
      <c r="V62" s="18" t="s">
        <v>90</v>
      </c>
      <c r="W62" s="18" t="s">
        <v>90</v>
      </c>
      <c r="X62" s="18" t="s">
        <v>801</v>
      </c>
      <c r="Y62" s="18" t="s">
        <v>451</v>
      </c>
      <c r="Z62" s="18" t="s">
        <v>451</v>
      </c>
      <c r="AA62" s="44" t="s">
        <v>451</v>
      </c>
    </row>
    <row r="63" spans="1:27" hidden="1" x14ac:dyDescent="0.2">
      <c r="A63" s="22">
        <v>43786</v>
      </c>
      <c r="B63" s="16" t="s">
        <v>28</v>
      </c>
      <c r="C63" s="46"/>
      <c r="D63" s="18" t="s">
        <v>90</v>
      </c>
      <c r="E63" s="18" t="s">
        <v>90</v>
      </c>
      <c r="F63" s="18" t="s">
        <v>90</v>
      </c>
      <c r="G63" s="18" t="s">
        <v>90</v>
      </c>
      <c r="H63" s="18" t="s">
        <v>451</v>
      </c>
      <c r="I63" s="18" t="s">
        <v>451</v>
      </c>
      <c r="J63" s="18" t="s">
        <v>90</v>
      </c>
      <c r="K63" s="18" t="s">
        <v>90</v>
      </c>
      <c r="L63" s="18" t="s">
        <v>90</v>
      </c>
      <c r="M63" s="18" t="s">
        <v>90</v>
      </c>
      <c r="N63" s="18" t="s">
        <v>90</v>
      </c>
      <c r="O63" s="18" t="s">
        <v>90</v>
      </c>
      <c r="P63" s="18" t="s">
        <v>90</v>
      </c>
      <c r="Q63" s="18" t="s">
        <v>90</v>
      </c>
      <c r="R63" s="18" t="s">
        <v>451</v>
      </c>
      <c r="S63" s="18" t="s">
        <v>451</v>
      </c>
      <c r="T63" s="18" t="s">
        <v>90</v>
      </c>
      <c r="U63" s="18" t="s">
        <v>90</v>
      </c>
      <c r="V63" s="18" t="s">
        <v>90</v>
      </c>
      <c r="W63" s="18" t="s">
        <v>90</v>
      </c>
      <c r="X63" s="18" t="s">
        <v>801</v>
      </c>
      <c r="Y63" s="18" t="s">
        <v>90</v>
      </c>
      <c r="Z63" s="18" t="s">
        <v>451</v>
      </c>
      <c r="AA63" s="44" t="s">
        <v>90</v>
      </c>
    </row>
    <row r="64" spans="1:27" hidden="1" x14ac:dyDescent="0.2">
      <c r="A64" s="22">
        <v>43789</v>
      </c>
      <c r="B64" s="16" t="s">
        <v>35</v>
      </c>
      <c r="C64" s="46"/>
      <c r="D64" s="18" t="s">
        <v>90</v>
      </c>
      <c r="E64" s="18" t="s">
        <v>90</v>
      </c>
      <c r="F64" s="18" t="s">
        <v>90</v>
      </c>
      <c r="G64" s="18" t="s">
        <v>90</v>
      </c>
      <c r="H64" s="18" t="s">
        <v>451</v>
      </c>
      <c r="I64" s="18" t="s">
        <v>451</v>
      </c>
      <c r="J64" s="18" t="s">
        <v>90</v>
      </c>
      <c r="K64" s="18" t="s">
        <v>90</v>
      </c>
      <c r="L64" s="18" t="s">
        <v>90</v>
      </c>
      <c r="M64" s="18" t="s">
        <v>90</v>
      </c>
      <c r="N64" s="18" t="s">
        <v>90</v>
      </c>
      <c r="O64" s="18" t="s">
        <v>90</v>
      </c>
      <c r="P64" s="18" t="s">
        <v>90</v>
      </c>
      <c r="Q64" s="18" t="s">
        <v>90</v>
      </c>
      <c r="R64" s="18" t="s">
        <v>451</v>
      </c>
      <c r="S64" s="18" t="s">
        <v>451</v>
      </c>
      <c r="T64" s="18" t="s">
        <v>90</v>
      </c>
      <c r="U64" s="18" t="s">
        <v>90</v>
      </c>
      <c r="V64" s="18" t="s">
        <v>90</v>
      </c>
      <c r="W64" s="18" t="s">
        <v>90</v>
      </c>
      <c r="X64" s="18" t="s">
        <v>801</v>
      </c>
      <c r="Y64" s="18" t="s">
        <v>90</v>
      </c>
      <c r="Z64" s="18" t="s">
        <v>90</v>
      </c>
      <c r="AA64" s="44" t="s">
        <v>90</v>
      </c>
    </row>
    <row r="65" spans="1:27" hidden="1" x14ac:dyDescent="0.2">
      <c r="A65" s="22">
        <v>43789</v>
      </c>
      <c r="B65" s="16" t="s">
        <v>619</v>
      </c>
      <c r="C65" s="46"/>
      <c r="D65" s="18" t="s">
        <v>90</v>
      </c>
      <c r="E65" s="18" t="s">
        <v>90</v>
      </c>
      <c r="F65" s="18" t="s">
        <v>90</v>
      </c>
      <c r="G65" s="18" t="s">
        <v>90</v>
      </c>
      <c r="H65" s="18" t="s">
        <v>90</v>
      </c>
      <c r="I65" s="18" t="s">
        <v>90</v>
      </c>
      <c r="J65" s="18" t="s">
        <v>90</v>
      </c>
      <c r="K65" s="18" t="s">
        <v>90</v>
      </c>
      <c r="L65" s="18" t="s">
        <v>90</v>
      </c>
      <c r="M65" s="18" t="s">
        <v>90</v>
      </c>
      <c r="N65" s="18" t="s">
        <v>90</v>
      </c>
      <c r="O65" s="18" t="s">
        <v>90</v>
      </c>
      <c r="P65" s="18" t="s">
        <v>90</v>
      </c>
      <c r="Q65" s="18" t="s">
        <v>90</v>
      </c>
      <c r="R65" s="18" t="s">
        <v>90</v>
      </c>
      <c r="S65" s="18" t="s">
        <v>90</v>
      </c>
      <c r="T65" s="18" t="s">
        <v>90</v>
      </c>
      <c r="U65" s="18" t="s">
        <v>90</v>
      </c>
      <c r="V65" s="18" t="s">
        <v>90</v>
      </c>
      <c r="W65" s="18" t="s">
        <v>90</v>
      </c>
      <c r="X65" s="18" t="s">
        <v>801</v>
      </c>
      <c r="Y65" s="18" t="s">
        <v>90</v>
      </c>
      <c r="Z65" s="18" t="s">
        <v>451</v>
      </c>
      <c r="AA65" s="44" t="s">
        <v>90</v>
      </c>
    </row>
    <row r="66" spans="1:27" hidden="1" x14ac:dyDescent="0.2">
      <c r="A66" s="22">
        <v>43789</v>
      </c>
      <c r="B66" s="16" t="s">
        <v>56</v>
      </c>
      <c r="C66" s="46"/>
      <c r="D66" s="18" t="s">
        <v>90</v>
      </c>
      <c r="E66" s="18" t="s">
        <v>90</v>
      </c>
      <c r="F66" s="18" t="s">
        <v>90</v>
      </c>
      <c r="G66" s="18" t="s">
        <v>90</v>
      </c>
      <c r="H66" s="18" t="s">
        <v>451</v>
      </c>
      <c r="I66" s="18" t="s">
        <v>451</v>
      </c>
      <c r="J66" s="18" t="s">
        <v>90</v>
      </c>
      <c r="K66" s="18" t="s">
        <v>90</v>
      </c>
      <c r="L66" s="18" t="s">
        <v>90</v>
      </c>
      <c r="M66" s="18" t="s">
        <v>90</v>
      </c>
      <c r="N66" s="18" t="s">
        <v>90</v>
      </c>
      <c r="O66" s="18" t="s">
        <v>90</v>
      </c>
      <c r="P66" s="18" t="s">
        <v>90</v>
      </c>
      <c r="Q66" s="18" t="s">
        <v>90</v>
      </c>
      <c r="R66" s="18" t="s">
        <v>451</v>
      </c>
      <c r="S66" s="18" t="s">
        <v>451</v>
      </c>
      <c r="T66" s="18" t="s">
        <v>90</v>
      </c>
      <c r="U66" s="18" t="s">
        <v>90</v>
      </c>
      <c r="V66" s="18" t="s">
        <v>90</v>
      </c>
      <c r="W66" s="18" t="s">
        <v>90</v>
      </c>
      <c r="X66" s="18" t="s">
        <v>801</v>
      </c>
      <c r="Y66" s="18" t="s">
        <v>90</v>
      </c>
      <c r="Z66" s="18" t="s">
        <v>90</v>
      </c>
      <c r="AA66" s="44" t="s">
        <v>90</v>
      </c>
    </row>
    <row r="67" spans="1:27" hidden="1" x14ac:dyDescent="0.2">
      <c r="A67" s="22">
        <v>43789</v>
      </c>
      <c r="B67" s="48" t="s">
        <v>34</v>
      </c>
      <c r="C67" s="46"/>
      <c r="D67" s="18" t="s">
        <v>90</v>
      </c>
      <c r="E67" s="18" t="s">
        <v>90</v>
      </c>
      <c r="F67" s="18" t="s">
        <v>90</v>
      </c>
      <c r="G67" s="18" t="s">
        <v>90</v>
      </c>
      <c r="H67" s="18" t="s">
        <v>90</v>
      </c>
      <c r="I67" s="18" t="s">
        <v>90</v>
      </c>
      <c r="J67" s="18" t="s">
        <v>90</v>
      </c>
      <c r="K67" s="18" t="s">
        <v>90</v>
      </c>
      <c r="L67" s="18" t="s">
        <v>90</v>
      </c>
      <c r="M67" s="18" t="s">
        <v>90</v>
      </c>
      <c r="N67" s="18" t="s">
        <v>90</v>
      </c>
      <c r="O67" s="18" t="s">
        <v>90</v>
      </c>
      <c r="P67" s="18" t="s">
        <v>90</v>
      </c>
      <c r="Q67" s="18" t="s">
        <v>90</v>
      </c>
      <c r="R67" s="18" t="s">
        <v>90</v>
      </c>
      <c r="S67" s="18" t="s">
        <v>90</v>
      </c>
      <c r="T67" s="18" t="s">
        <v>90</v>
      </c>
      <c r="U67" s="18" t="s">
        <v>90</v>
      </c>
      <c r="V67" s="18" t="s">
        <v>90</v>
      </c>
      <c r="W67" s="18" t="s">
        <v>90</v>
      </c>
      <c r="X67" s="18" t="s">
        <v>801</v>
      </c>
      <c r="Y67" s="18" t="s">
        <v>451</v>
      </c>
      <c r="Z67" s="18" t="s">
        <v>451</v>
      </c>
      <c r="AA67" s="44" t="s">
        <v>451</v>
      </c>
    </row>
    <row r="68" spans="1:27" hidden="1" x14ac:dyDescent="0.2">
      <c r="A68" s="22">
        <v>43789</v>
      </c>
      <c r="B68" s="16" t="s">
        <v>27</v>
      </c>
      <c r="C68" s="46"/>
      <c r="D68" s="18" t="s">
        <v>90</v>
      </c>
      <c r="E68" s="18" t="s">
        <v>90</v>
      </c>
      <c r="F68" s="18" t="s">
        <v>90</v>
      </c>
      <c r="G68" s="18" t="s">
        <v>90</v>
      </c>
      <c r="H68" s="18" t="s">
        <v>451</v>
      </c>
      <c r="I68" s="18" t="s">
        <v>451</v>
      </c>
      <c r="J68" s="18" t="s">
        <v>90</v>
      </c>
      <c r="K68" s="18" t="s">
        <v>90</v>
      </c>
      <c r="L68" s="18" t="s">
        <v>90</v>
      </c>
      <c r="M68" s="18" t="s">
        <v>90</v>
      </c>
      <c r="N68" s="18" t="s">
        <v>90</v>
      </c>
      <c r="O68" s="18" t="s">
        <v>90</v>
      </c>
      <c r="P68" s="18" t="s">
        <v>90</v>
      </c>
      <c r="Q68" s="18" t="s">
        <v>90</v>
      </c>
      <c r="R68" s="18" t="s">
        <v>451</v>
      </c>
      <c r="S68" s="18" t="s">
        <v>451</v>
      </c>
      <c r="T68" s="18" t="s">
        <v>90</v>
      </c>
      <c r="U68" s="18" t="s">
        <v>90</v>
      </c>
      <c r="V68" s="18" t="s">
        <v>90</v>
      </c>
      <c r="W68" s="18" t="s">
        <v>90</v>
      </c>
      <c r="X68" s="18" t="s">
        <v>801</v>
      </c>
      <c r="Y68" s="18" t="s">
        <v>451</v>
      </c>
      <c r="Z68" s="18" t="s">
        <v>451</v>
      </c>
      <c r="AA68" s="44" t="s">
        <v>90</v>
      </c>
    </row>
    <row r="69" spans="1:27" hidden="1" x14ac:dyDescent="0.2">
      <c r="A69" s="22">
        <v>43789</v>
      </c>
      <c r="B69" s="16" t="s">
        <v>33</v>
      </c>
      <c r="C69" s="46"/>
      <c r="D69" s="18" t="s">
        <v>90</v>
      </c>
      <c r="E69" s="18" t="s">
        <v>90</v>
      </c>
      <c r="F69" s="18" t="s">
        <v>90</v>
      </c>
      <c r="G69" s="18" t="s">
        <v>90</v>
      </c>
      <c r="H69" s="18" t="s">
        <v>90</v>
      </c>
      <c r="I69" s="18" t="s">
        <v>90</v>
      </c>
      <c r="J69" s="18" t="s">
        <v>90</v>
      </c>
      <c r="K69" s="18" t="s">
        <v>90</v>
      </c>
      <c r="L69" s="18" t="s">
        <v>90</v>
      </c>
      <c r="M69" s="18" t="s">
        <v>90</v>
      </c>
      <c r="N69" s="18" t="s">
        <v>90</v>
      </c>
      <c r="O69" s="18" t="s">
        <v>90</v>
      </c>
      <c r="P69" s="18" t="s">
        <v>90</v>
      </c>
      <c r="Q69" s="18" t="s">
        <v>90</v>
      </c>
      <c r="R69" s="18" t="s">
        <v>90</v>
      </c>
      <c r="S69" s="18" t="s">
        <v>90</v>
      </c>
      <c r="T69" s="18" t="s">
        <v>90</v>
      </c>
      <c r="U69" s="18" t="s">
        <v>90</v>
      </c>
      <c r="V69" s="18" t="s">
        <v>90</v>
      </c>
      <c r="W69" s="18" t="s">
        <v>90</v>
      </c>
      <c r="X69" s="18" t="s">
        <v>801</v>
      </c>
      <c r="Y69" s="18" t="s">
        <v>90</v>
      </c>
      <c r="Z69" s="18" t="s">
        <v>90</v>
      </c>
      <c r="AA69" s="51" t="s">
        <v>90</v>
      </c>
    </row>
    <row r="70" spans="1:27" hidden="1" x14ac:dyDescent="0.2">
      <c r="A70" s="22">
        <v>43793</v>
      </c>
      <c r="B70" s="16" t="s">
        <v>35</v>
      </c>
      <c r="C70" s="46" t="s">
        <v>509</v>
      </c>
      <c r="D70" s="18" t="s">
        <v>90</v>
      </c>
      <c r="E70" s="18" t="s">
        <v>90</v>
      </c>
      <c r="F70" s="18" t="s">
        <v>90</v>
      </c>
      <c r="G70" s="18" t="s">
        <v>451</v>
      </c>
      <c r="H70" s="18" t="s">
        <v>451</v>
      </c>
      <c r="I70" s="18" t="s">
        <v>451</v>
      </c>
      <c r="J70" s="18" t="s">
        <v>451</v>
      </c>
      <c r="K70" s="18" t="s">
        <v>451</v>
      </c>
      <c r="L70" s="18" t="s">
        <v>451</v>
      </c>
      <c r="M70" s="18" t="s">
        <v>451</v>
      </c>
      <c r="N70" s="18" t="s">
        <v>451</v>
      </c>
      <c r="O70" s="18" t="s">
        <v>451</v>
      </c>
      <c r="P70" s="18" t="s">
        <v>451</v>
      </c>
      <c r="Q70" s="18" t="s">
        <v>451</v>
      </c>
      <c r="R70" s="18" t="s">
        <v>451</v>
      </c>
      <c r="S70" s="18" t="s">
        <v>451</v>
      </c>
      <c r="T70" s="18" t="s">
        <v>451</v>
      </c>
      <c r="U70" s="18" t="s">
        <v>451</v>
      </c>
      <c r="V70" s="18" t="s">
        <v>451</v>
      </c>
      <c r="W70" s="18" t="s">
        <v>451</v>
      </c>
      <c r="X70" s="18" t="s">
        <v>801</v>
      </c>
      <c r="Y70" s="18" t="s">
        <v>451</v>
      </c>
      <c r="Z70" s="18" t="s">
        <v>451</v>
      </c>
      <c r="AA70" s="50" t="s">
        <v>451</v>
      </c>
    </row>
    <row r="71" spans="1:27" hidden="1" x14ac:dyDescent="0.2">
      <c r="A71" s="22">
        <v>43793</v>
      </c>
      <c r="B71" s="16" t="s">
        <v>35</v>
      </c>
      <c r="C71" s="46"/>
      <c r="D71" s="18" t="s">
        <v>90</v>
      </c>
      <c r="E71" s="18" t="s">
        <v>90</v>
      </c>
      <c r="F71" s="18" t="s">
        <v>90</v>
      </c>
      <c r="G71" s="18" t="s">
        <v>90</v>
      </c>
      <c r="H71" s="18" t="s">
        <v>451</v>
      </c>
      <c r="I71" s="18" t="s">
        <v>451</v>
      </c>
      <c r="J71" s="18" t="s">
        <v>90</v>
      </c>
      <c r="K71" s="18" t="s">
        <v>90</v>
      </c>
      <c r="L71" s="18" t="s">
        <v>90</v>
      </c>
      <c r="M71" s="18" t="s">
        <v>90</v>
      </c>
      <c r="N71" s="18" t="s">
        <v>90</v>
      </c>
      <c r="O71" s="18" t="s">
        <v>90</v>
      </c>
      <c r="P71" s="18" t="s">
        <v>90</v>
      </c>
      <c r="Q71" s="18" t="s">
        <v>90</v>
      </c>
      <c r="R71" s="18" t="s">
        <v>451</v>
      </c>
      <c r="S71" s="18" t="s">
        <v>451</v>
      </c>
      <c r="T71" s="18" t="s">
        <v>90</v>
      </c>
      <c r="U71" s="18" t="s">
        <v>90</v>
      </c>
      <c r="V71" s="18" t="s">
        <v>90</v>
      </c>
      <c r="W71" s="18" t="s">
        <v>90</v>
      </c>
      <c r="X71" s="18" t="s">
        <v>801</v>
      </c>
      <c r="Y71" s="18" t="s">
        <v>90</v>
      </c>
      <c r="Z71" s="18" t="s">
        <v>90</v>
      </c>
      <c r="AA71" s="44" t="s">
        <v>90</v>
      </c>
    </row>
    <row r="72" spans="1:27" hidden="1" x14ac:dyDescent="0.2">
      <c r="A72" s="22">
        <v>43793</v>
      </c>
      <c r="B72" s="16" t="s">
        <v>29</v>
      </c>
      <c r="C72" s="46"/>
      <c r="D72" s="18" t="s">
        <v>90</v>
      </c>
      <c r="E72" s="18" t="s">
        <v>90</v>
      </c>
      <c r="F72" s="18" t="s">
        <v>90</v>
      </c>
      <c r="G72" s="18" t="s">
        <v>90</v>
      </c>
      <c r="H72" s="18" t="s">
        <v>451</v>
      </c>
      <c r="I72" s="18" t="s">
        <v>451</v>
      </c>
      <c r="J72" s="18" t="s">
        <v>90</v>
      </c>
      <c r="K72" s="18" t="s">
        <v>90</v>
      </c>
      <c r="L72" s="18" t="s">
        <v>90</v>
      </c>
      <c r="M72" s="18" t="s">
        <v>90</v>
      </c>
      <c r="N72" s="18" t="s">
        <v>90</v>
      </c>
      <c r="O72" s="18" t="s">
        <v>90</v>
      </c>
      <c r="P72" s="18" t="s">
        <v>90</v>
      </c>
      <c r="Q72" s="18" t="s">
        <v>90</v>
      </c>
      <c r="R72" s="18" t="s">
        <v>451</v>
      </c>
      <c r="S72" s="18" t="s">
        <v>451</v>
      </c>
      <c r="T72" s="18" t="s">
        <v>90</v>
      </c>
      <c r="U72" s="18" t="s">
        <v>90</v>
      </c>
      <c r="V72" s="18" t="s">
        <v>90</v>
      </c>
      <c r="W72" s="18" t="s">
        <v>90</v>
      </c>
      <c r="X72" s="18" t="s">
        <v>801</v>
      </c>
      <c r="Y72" s="18" t="s">
        <v>90</v>
      </c>
      <c r="Z72" s="18" t="s">
        <v>451</v>
      </c>
      <c r="AA72" s="44" t="s">
        <v>90</v>
      </c>
    </row>
    <row r="73" spans="1:27" hidden="1" x14ac:dyDescent="0.2">
      <c r="A73" s="22">
        <v>43793</v>
      </c>
      <c r="B73" s="16" t="s">
        <v>31</v>
      </c>
      <c r="C73" s="46"/>
      <c r="D73" s="18" t="s">
        <v>90</v>
      </c>
      <c r="E73" s="18" t="s">
        <v>90</v>
      </c>
      <c r="F73" s="18" t="s">
        <v>90</v>
      </c>
      <c r="G73" s="18" t="s">
        <v>90</v>
      </c>
      <c r="H73" s="18" t="s">
        <v>451</v>
      </c>
      <c r="I73" s="18" t="s">
        <v>451</v>
      </c>
      <c r="J73" s="18" t="s">
        <v>90</v>
      </c>
      <c r="K73" s="18" t="s">
        <v>90</v>
      </c>
      <c r="L73" s="18" t="s">
        <v>90</v>
      </c>
      <c r="M73" s="18" t="s">
        <v>90</v>
      </c>
      <c r="N73" s="18" t="s">
        <v>90</v>
      </c>
      <c r="O73" s="18" t="s">
        <v>90</v>
      </c>
      <c r="P73" s="18" t="s">
        <v>90</v>
      </c>
      <c r="Q73" s="18" t="s">
        <v>90</v>
      </c>
      <c r="R73" s="18" t="s">
        <v>451</v>
      </c>
      <c r="S73" s="18" t="s">
        <v>451</v>
      </c>
      <c r="T73" s="18" t="s">
        <v>90</v>
      </c>
      <c r="U73" s="18" t="s">
        <v>90</v>
      </c>
      <c r="V73" s="18" t="s">
        <v>90</v>
      </c>
      <c r="W73" s="18" t="s">
        <v>90</v>
      </c>
      <c r="X73" s="18" t="s">
        <v>801</v>
      </c>
      <c r="Y73" s="18" t="s">
        <v>90</v>
      </c>
      <c r="Z73" s="18" t="s">
        <v>90</v>
      </c>
      <c r="AA73" s="44" t="s">
        <v>90</v>
      </c>
    </row>
    <row r="74" spans="1:27" hidden="1" x14ac:dyDescent="0.2">
      <c r="A74" s="22">
        <v>43793</v>
      </c>
      <c r="B74" s="16" t="s">
        <v>56</v>
      </c>
      <c r="C74" s="46"/>
      <c r="D74" s="18" t="s">
        <v>90</v>
      </c>
      <c r="E74" s="18" t="s">
        <v>90</v>
      </c>
      <c r="F74" s="18" t="s">
        <v>90</v>
      </c>
      <c r="G74" s="18" t="s">
        <v>90</v>
      </c>
      <c r="H74" s="18" t="s">
        <v>451</v>
      </c>
      <c r="I74" s="18" t="s">
        <v>451</v>
      </c>
      <c r="J74" s="18" t="s">
        <v>90</v>
      </c>
      <c r="K74" s="18" t="s">
        <v>90</v>
      </c>
      <c r="L74" s="18" t="s">
        <v>90</v>
      </c>
      <c r="M74" s="18" t="s">
        <v>90</v>
      </c>
      <c r="N74" s="18" t="s">
        <v>90</v>
      </c>
      <c r="O74" s="18" t="s">
        <v>90</v>
      </c>
      <c r="P74" s="18" t="s">
        <v>90</v>
      </c>
      <c r="Q74" s="18" t="s">
        <v>90</v>
      </c>
      <c r="R74" s="18" t="s">
        <v>451</v>
      </c>
      <c r="S74" s="18" t="s">
        <v>451</v>
      </c>
      <c r="T74" s="18" t="s">
        <v>90</v>
      </c>
      <c r="U74" s="18" t="s">
        <v>90</v>
      </c>
      <c r="V74" s="18" t="s">
        <v>90</v>
      </c>
      <c r="W74" s="18" t="s">
        <v>90</v>
      </c>
      <c r="X74" s="18" t="s">
        <v>801</v>
      </c>
      <c r="Y74" s="18" t="s">
        <v>90</v>
      </c>
      <c r="Z74" s="18" t="s">
        <v>90</v>
      </c>
      <c r="AA74" s="44" t="s">
        <v>90</v>
      </c>
    </row>
    <row r="75" spans="1:27" hidden="1" x14ac:dyDescent="0.2">
      <c r="A75" s="22">
        <v>43793</v>
      </c>
      <c r="B75" s="48" t="s">
        <v>34</v>
      </c>
      <c r="C75" s="46"/>
      <c r="D75" s="18" t="s">
        <v>90</v>
      </c>
      <c r="E75" s="18" t="s">
        <v>90</v>
      </c>
      <c r="F75" s="18" t="s">
        <v>90</v>
      </c>
      <c r="G75" s="18" t="s">
        <v>90</v>
      </c>
      <c r="H75" s="18" t="s">
        <v>90</v>
      </c>
      <c r="I75" s="18" t="s">
        <v>90</v>
      </c>
      <c r="J75" s="18" t="s">
        <v>90</v>
      </c>
      <c r="K75" s="18" t="s">
        <v>90</v>
      </c>
      <c r="L75" s="18" t="s">
        <v>90</v>
      </c>
      <c r="M75" s="18" t="s">
        <v>90</v>
      </c>
      <c r="N75" s="18" t="s">
        <v>90</v>
      </c>
      <c r="O75" s="18" t="s">
        <v>90</v>
      </c>
      <c r="P75" s="18" t="s">
        <v>90</v>
      </c>
      <c r="Q75" s="18" t="s">
        <v>90</v>
      </c>
      <c r="R75" s="18" t="s">
        <v>90</v>
      </c>
      <c r="S75" s="18" t="s">
        <v>90</v>
      </c>
      <c r="T75" s="18" t="s">
        <v>90</v>
      </c>
      <c r="U75" s="18" t="s">
        <v>90</v>
      </c>
      <c r="V75" s="18" t="s">
        <v>90</v>
      </c>
      <c r="W75" s="18" t="s">
        <v>90</v>
      </c>
      <c r="X75" s="18" t="s">
        <v>801</v>
      </c>
      <c r="Y75" s="18" t="s">
        <v>451</v>
      </c>
      <c r="Z75" s="18" t="s">
        <v>451</v>
      </c>
      <c r="AA75" s="44" t="s">
        <v>451</v>
      </c>
    </row>
    <row r="76" spans="1:27" hidden="1" x14ac:dyDescent="0.2">
      <c r="A76" s="22">
        <v>43793</v>
      </c>
      <c r="B76" s="16" t="s">
        <v>28</v>
      </c>
      <c r="C76" s="46"/>
      <c r="D76" s="18" t="s">
        <v>90</v>
      </c>
      <c r="E76" s="18" t="s">
        <v>90</v>
      </c>
      <c r="F76" s="18" t="s">
        <v>90</v>
      </c>
      <c r="G76" s="18" t="s">
        <v>90</v>
      </c>
      <c r="H76" s="18" t="s">
        <v>451</v>
      </c>
      <c r="I76" s="18" t="s">
        <v>451</v>
      </c>
      <c r="J76" s="18" t="s">
        <v>90</v>
      </c>
      <c r="K76" s="18" t="s">
        <v>90</v>
      </c>
      <c r="L76" s="18" t="s">
        <v>90</v>
      </c>
      <c r="M76" s="18" t="s">
        <v>90</v>
      </c>
      <c r="N76" s="18" t="s">
        <v>90</v>
      </c>
      <c r="O76" s="18" t="s">
        <v>90</v>
      </c>
      <c r="P76" s="18" t="s">
        <v>90</v>
      </c>
      <c r="Q76" s="18" t="s">
        <v>90</v>
      </c>
      <c r="R76" s="18" t="s">
        <v>451</v>
      </c>
      <c r="S76" s="18" t="s">
        <v>451</v>
      </c>
      <c r="T76" s="18" t="s">
        <v>90</v>
      </c>
      <c r="U76" s="18" t="s">
        <v>90</v>
      </c>
      <c r="V76" s="18" t="s">
        <v>90</v>
      </c>
      <c r="W76" s="18" t="s">
        <v>90</v>
      </c>
      <c r="X76" s="18" t="s">
        <v>801</v>
      </c>
      <c r="Y76" s="18" t="s">
        <v>90</v>
      </c>
      <c r="Z76" s="18" t="s">
        <v>451</v>
      </c>
      <c r="AA76" s="44" t="s">
        <v>90</v>
      </c>
    </row>
    <row r="77" spans="1:27" hidden="1" x14ac:dyDescent="0.2">
      <c r="A77" s="22">
        <v>43793</v>
      </c>
      <c r="B77" s="16" t="s">
        <v>27</v>
      </c>
      <c r="C77" s="46"/>
      <c r="D77" s="18" t="s">
        <v>90</v>
      </c>
      <c r="E77" s="18" t="s">
        <v>90</v>
      </c>
      <c r="F77" s="18" t="s">
        <v>90</v>
      </c>
      <c r="G77" s="18" t="s">
        <v>90</v>
      </c>
      <c r="H77" s="18" t="s">
        <v>451</v>
      </c>
      <c r="I77" s="18" t="s">
        <v>451</v>
      </c>
      <c r="J77" s="18" t="s">
        <v>90</v>
      </c>
      <c r="K77" s="18" t="s">
        <v>90</v>
      </c>
      <c r="L77" s="18" t="s">
        <v>90</v>
      </c>
      <c r="M77" s="18" t="s">
        <v>90</v>
      </c>
      <c r="N77" s="18" t="s">
        <v>90</v>
      </c>
      <c r="O77" s="18" t="s">
        <v>90</v>
      </c>
      <c r="P77" s="18" t="s">
        <v>90</v>
      </c>
      <c r="Q77" s="18" t="s">
        <v>90</v>
      </c>
      <c r="R77" s="18" t="s">
        <v>451</v>
      </c>
      <c r="S77" s="18" t="s">
        <v>451</v>
      </c>
      <c r="T77" s="18" t="s">
        <v>90</v>
      </c>
      <c r="U77" s="18" t="s">
        <v>90</v>
      </c>
      <c r="V77" s="18" t="s">
        <v>90</v>
      </c>
      <c r="W77" s="18" t="s">
        <v>90</v>
      </c>
      <c r="X77" s="18" t="s">
        <v>801</v>
      </c>
      <c r="Y77" s="18" t="s">
        <v>451</v>
      </c>
      <c r="Z77" s="18" t="s">
        <v>451</v>
      </c>
      <c r="AA77" s="44" t="s">
        <v>90</v>
      </c>
    </row>
    <row r="78" spans="1:27" hidden="1" x14ac:dyDescent="0.2">
      <c r="A78" s="22">
        <v>43796</v>
      </c>
      <c r="B78" s="16" t="s">
        <v>35</v>
      </c>
      <c r="C78" s="46"/>
      <c r="D78" s="18" t="s">
        <v>90</v>
      </c>
      <c r="E78" s="18" t="s">
        <v>90</v>
      </c>
      <c r="F78" s="18" t="s">
        <v>90</v>
      </c>
      <c r="G78" s="18" t="s">
        <v>90</v>
      </c>
      <c r="H78" s="18" t="s">
        <v>451</v>
      </c>
      <c r="I78" s="18" t="s">
        <v>451</v>
      </c>
      <c r="J78" s="18" t="s">
        <v>90</v>
      </c>
      <c r="K78" s="18" t="s">
        <v>90</v>
      </c>
      <c r="L78" s="18" t="s">
        <v>90</v>
      </c>
      <c r="M78" s="18" t="s">
        <v>90</v>
      </c>
      <c r="N78" s="18" t="s">
        <v>90</v>
      </c>
      <c r="O78" s="18" t="s">
        <v>90</v>
      </c>
      <c r="P78" s="18" t="s">
        <v>90</v>
      </c>
      <c r="Q78" s="18" t="s">
        <v>90</v>
      </c>
      <c r="R78" s="18" t="s">
        <v>451</v>
      </c>
      <c r="S78" s="18" t="s">
        <v>451</v>
      </c>
      <c r="T78" s="18" t="s">
        <v>90</v>
      </c>
      <c r="U78" s="18" t="s">
        <v>90</v>
      </c>
      <c r="V78" s="18" t="s">
        <v>90</v>
      </c>
      <c r="W78" s="18" t="s">
        <v>90</v>
      </c>
      <c r="X78" s="18" t="s">
        <v>90</v>
      </c>
      <c r="Y78" s="18" t="s">
        <v>90</v>
      </c>
      <c r="Z78" s="18" t="s">
        <v>90</v>
      </c>
      <c r="AA78" s="44" t="s">
        <v>90</v>
      </c>
    </row>
    <row r="79" spans="1:27" hidden="1" x14ac:dyDescent="0.2">
      <c r="A79" s="22">
        <v>43796</v>
      </c>
      <c r="B79" s="16" t="s">
        <v>35</v>
      </c>
      <c r="C79" s="46" t="s">
        <v>12</v>
      </c>
      <c r="D79" s="18" t="s">
        <v>90</v>
      </c>
      <c r="E79" s="18" t="s">
        <v>90</v>
      </c>
      <c r="F79" s="18" t="s">
        <v>90</v>
      </c>
      <c r="G79" s="18" t="s">
        <v>90</v>
      </c>
      <c r="H79" s="18" t="s">
        <v>451</v>
      </c>
      <c r="I79" s="18" t="s">
        <v>451</v>
      </c>
      <c r="J79" s="18" t="s">
        <v>90</v>
      </c>
      <c r="K79" s="18" t="s">
        <v>90</v>
      </c>
      <c r="L79" s="18" t="s">
        <v>90</v>
      </c>
      <c r="M79" s="18" t="s">
        <v>90</v>
      </c>
      <c r="N79" s="18" t="s">
        <v>90</v>
      </c>
      <c r="O79" s="18" t="s">
        <v>90</v>
      </c>
      <c r="P79" s="18" t="s">
        <v>90</v>
      </c>
      <c r="Q79" s="18" t="s">
        <v>90</v>
      </c>
      <c r="R79" s="18" t="s">
        <v>451</v>
      </c>
      <c r="S79" s="18" t="s">
        <v>451</v>
      </c>
      <c r="T79" s="18" t="s">
        <v>90</v>
      </c>
      <c r="U79" s="18" t="s">
        <v>90</v>
      </c>
      <c r="V79" s="18" t="s">
        <v>90</v>
      </c>
      <c r="W79" s="18" t="s">
        <v>90</v>
      </c>
      <c r="X79" s="18" t="s">
        <v>90</v>
      </c>
      <c r="Y79" s="18" t="s">
        <v>90</v>
      </c>
      <c r="Z79" s="18" t="s">
        <v>90</v>
      </c>
      <c r="AA79" s="44" t="s">
        <v>90</v>
      </c>
    </row>
    <row r="80" spans="1:27" hidden="1" x14ac:dyDescent="0.2">
      <c r="A80" s="22">
        <v>43796</v>
      </c>
      <c r="B80" s="16" t="s">
        <v>29</v>
      </c>
      <c r="C80" s="46"/>
      <c r="D80" s="18" t="s">
        <v>90</v>
      </c>
      <c r="E80" s="18" t="s">
        <v>90</v>
      </c>
      <c r="F80" s="18" t="s">
        <v>90</v>
      </c>
      <c r="G80" s="18" t="s">
        <v>90</v>
      </c>
      <c r="H80" s="18" t="s">
        <v>90</v>
      </c>
      <c r="I80" s="18" t="s">
        <v>90</v>
      </c>
      <c r="J80" s="18" t="s">
        <v>90</v>
      </c>
      <c r="K80" s="18" t="s">
        <v>90</v>
      </c>
      <c r="L80" s="18" t="s">
        <v>90</v>
      </c>
      <c r="M80" s="18" t="s">
        <v>90</v>
      </c>
      <c r="N80" s="18" t="s">
        <v>90</v>
      </c>
      <c r="O80" s="18" t="s">
        <v>90</v>
      </c>
      <c r="P80" s="18" t="s">
        <v>90</v>
      </c>
      <c r="Q80" s="18" t="s">
        <v>90</v>
      </c>
      <c r="R80" s="18" t="s">
        <v>90</v>
      </c>
      <c r="S80" s="18" t="s">
        <v>90</v>
      </c>
      <c r="T80" s="18" t="s">
        <v>90</v>
      </c>
      <c r="U80" s="18" t="s">
        <v>90</v>
      </c>
      <c r="V80" s="18" t="s">
        <v>90</v>
      </c>
      <c r="W80" s="18" t="s">
        <v>90</v>
      </c>
      <c r="X80" s="18" t="s">
        <v>90</v>
      </c>
      <c r="Y80" s="18" t="s">
        <v>90</v>
      </c>
      <c r="Z80" s="18" t="s">
        <v>451</v>
      </c>
      <c r="AA80" s="44" t="s">
        <v>90</v>
      </c>
    </row>
    <row r="81" spans="1:27" hidden="1" x14ac:dyDescent="0.2">
      <c r="A81" s="22">
        <v>43796</v>
      </c>
      <c r="B81" s="16" t="s">
        <v>56</v>
      </c>
      <c r="C81" s="46"/>
      <c r="D81" s="18" t="s">
        <v>90</v>
      </c>
      <c r="E81" s="18" t="s">
        <v>90</v>
      </c>
      <c r="F81" s="18" t="s">
        <v>90</v>
      </c>
      <c r="G81" s="18" t="s">
        <v>90</v>
      </c>
      <c r="H81" s="18" t="s">
        <v>451</v>
      </c>
      <c r="I81" s="18" t="s">
        <v>451</v>
      </c>
      <c r="J81" s="18" t="s">
        <v>90</v>
      </c>
      <c r="K81" s="18" t="s">
        <v>90</v>
      </c>
      <c r="L81" s="18" t="s">
        <v>90</v>
      </c>
      <c r="M81" s="18" t="s">
        <v>90</v>
      </c>
      <c r="N81" s="18" t="s">
        <v>90</v>
      </c>
      <c r="O81" s="18" t="s">
        <v>90</v>
      </c>
      <c r="P81" s="18" t="s">
        <v>90</v>
      </c>
      <c r="Q81" s="18" t="s">
        <v>90</v>
      </c>
      <c r="R81" s="18" t="s">
        <v>451</v>
      </c>
      <c r="S81" s="18" t="s">
        <v>451</v>
      </c>
      <c r="T81" s="18" t="s">
        <v>90</v>
      </c>
      <c r="U81" s="18" t="s">
        <v>90</v>
      </c>
      <c r="V81" s="18" t="s">
        <v>90</v>
      </c>
      <c r="W81" s="18" t="s">
        <v>90</v>
      </c>
      <c r="X81" s="18" t="s">
        <v>90</v>
      </c>
      <c r="Y81" s="18" t="s">
        <v>90</v>
      </c>
      <c r="Z81" s="18" t="s">
        <v>90</v>
      </c>
      <c r="AA81" s="44" t="s">
        <v>90</v>
      </c>
    </row>
    <row r="82" spans="1:27" hidden="1" x14ac:dyDescent="0.2">
      <c r="A82" s="22">
        <v>43796</v>
      </c>
      <c r="B82" s="48" t="s">
        <v>34</v>
      </c>
      <c r="C82" s="46"/>
      <c r="D82" s="18" t="s">
        <v>90</v>
      </c>
      <c r="E82" s="18" t="s">
        <v>90</v>
      </c>
      <c r="F82" s="18" t="s">
        <v>90</v>
      </c>
      <c r="G82" s="18" t="s">
        <v>90</v>
      </c>
      <c r="H82" s="18" t="s">
        <v>451</v>
      </c>
      <c r="I82" s="18" t="s">
        <v>451</v>
      </c>
      <c r="J82" s="18" t="s">
        <v>90</v>
      </c>
      <c r="K82" s="18" t="s">
        <v>90</v>
      </c>
      <c r="L82" s="18" t="s">
        <v>90</v>
      </c>
      <c r="M82" s="18" t="s">
        <v>90</v>
      </c>
      <c r="N82" s="18" t="s">
        <v>90</v>
      </c>
      <c r="O82" s="18" t="s">
        <v>90</v>
      </c>
      <c r="P82" s="18" t="s">
        <v>90</v>
      </c>
      <c r="Q82" s="18" t="s">
        <v>90</v>
      </c>
      <c r="R82" s="18" t="s">
        <v>451</v>
      </c>
      <c r="S82" s="18" t="s">
        <v>451</v>
      </c>
      <c r="T82" s="18" t="s">
        <v>90</v>
      </c>
      <c r="U82" s="18" t="s">
        <v>90</v>
      </c>
      <c r="V82" s="18" t="s">
        <v>90</v>
      </c>
      <c r="W82" s="18" t="s">
        <v>90</v>
      </c>
      <c r="X82" s="18" t="s">
        <v>90</v>
      </c>
      <c r="Y82" s="18" t="s">
        <v>451</v>
      </c>
      <c r="Z82" s="18" t="s">
        <v>451</v>
      </c>
      <c r="AA82" s="44" t="s">
        <v>451</v>
      </c>
    </row>
    <row r="83" spans="1:27" hidden="1" x14ac:dyDescent="0.2">
      <c r="A83" s="22">
        <v>43796</v>
      </c>
      <c r="B83" s="16" t="s">
        <v>31</v>
      </c>
      <c r="C83" s="46"/>
      <c r="D83" s="18" t="s">
        <v>90</v>
      </c>
      <c r="E83" s="18" t="s">
        <v>90</v>
      </c>
      <c r="F83" s="18" t="s">
        <v>90</v>
      </c>
      <c r="G83" s="18" t="s">
        <v>90</v>
      </c>
      <c r="H83" s="18" t="s">
        <v>451</v>
      </c>
      <c r="I83" s="18" t="s">
        <v>451</v>
      </c>
      <c r="J83" s="18" t="s">
        <v>90</v>
      </c>
      <c r="K83" s="18" t="s">
        <v>90</v>
      </c>
      <c r="L83" s="18" t="s">
        <v>90</v>
      </c>
      <c r="M83" s="18" t="s">
        <v>90</v>
      </c>
      <c r="N83" s="18" t="s">
        <v>90</v>
      </c>
      <c r="O83" s="18" t="s">
        <v>90</v>
      </c>
      <c r="P83" s="18" t="s">
        <v>90</v>
      </c>
      <c r="Q83" s="18" t="s">
        <v>90</v>
      </c>
      <c r="R83" s="18" t="s">
        <v>451</v>
      </c>
      <c r="S83" s="18" t="s">
        <v>451</v>
      </c>
      <c r="T83" s="18" t="s">
        <v>90</v>
      </c>
      <c r="U83" s="18" t="s">
        <v>90</v>
      </c>
      <c r="V83" s="18" t="s">
        <v>90</v>
      </c>
      <c r="W83" s="18" t="s">
        <v>90</v>
      </c>
      <c r="X83" s="18" t="s">
        <v>90</v>
      </c>
      <c r="Y83" s="18" t="s">
        <v>90</v>
      </c>
      <c r="Z83" s="18" t="s">
        <v>90</v>
      </c>
      <c r="AA83" s="44" t="s">
        <v>90</v>
      </c>
    </row>
    <row r="84" spans="1:27" hidden="1" x14ac:dyDescent="0.2">
      <c r="A84" s="22">
        <v>43800</v>
      </c>
      <c r="B84" s="16" t="s">
        <v>35</v>
      </c>
      <c r="C84" s="46"/>
      <c r="D84" s="18" t="s">
        <v>90</v>
      </c>
      <c r="E84" s="18" t="s">
        <v>90</v>
      </c>
      <c r="F84" s="18" t="s">
        <v>90</v>
      </c>
      <c r="G84" s="18" t="s">
        <v>90</v>
      </c>
      <c r="H84" s="18" t="s">
        <v>451</v>
      </c>
      <c r="I84" s="18" t="s">
        <v>451</v>
      </c>
      <c r="J84" s="18" t="s">
        <v>90</v>
      </c>
      <c r="K84" s="18" t="s">
        <v>90</v>
      </c>
      <c r="L84" s="18" t="s">
        <v>90</v>
      </c>
      <c r="M84" s="18" t="s">
        <v>90</v>
      </c>
      <c r="N84" s="18" t="s">
        <v>90</v>
      </c>
      <c r="O84" s="18" t="s">
        <v>90</v>
      </c>
      <c r="P84" s="18" t="s">
        <v>90</v>
      </c>
      <c r="Q84" s="18" t="s">
        <v>90</v>
      </c>
      <c r="R84" s="18" t="s">
        <v>451</v>
      </c>
      <c r="S84" s="18" t="s">
        <v>451</v>
      </c>
      <c r="T84" s="18" t="s">
        <v>90</v>
      </c>
      <c r="U84" s="18" t="s">
        <v>90</v>
      </c>
      <c r="V84" s="18" t="s">
        <v>90</v>
      </c>
      <c r="W84" s="18" t="s">
        <v>90</v>
      </c>
      <c r="X84" s="18" t="s">
        <v>90</v>
      </c>
      <c r="Y84" s="18" t="s">
        <v>90</v>
      </c>
      <c r="Z84" s="18" t="s">
        <v>90</v>
      </c>
      <c r="AA84" s="44" t="s">
        <v>90</v>
      </c>
    </row>
    <row r="85" spans="1:27" hidden="1" x14ac:dyDescent="0.2">
      <c r="A85" s="22">
        <v>43800</v>
      </c>
      <c r="B85" s="16" t="s">
        <v>29</v>
      </c>
      <c r="C85" s="46"/>
      <c r="D85" s="18" t="s">
        <v>90</v>
      </c>
      <c r="E85" s="18" t="s">
        <v>90</v>
      </c>
      <c r="F85" s="18" t="s">
        <v>90</v>
      </c>
      <c r="G85" s="18" t="s">
        <v>90</v>
      </c>
      <c r="H85" s="18" t="s">
        <v>90</v>
      </c>
      <c r="I85" s="18" t="s">
        <v>90</v>
      </c>
      <c r="J85" s="18" t="s">
        <v>90</v>
      </c>
      <c r="K85" s="18" t="s">
        <v>90</v>
      </c>
      <c r="L85" s="18" t="s">
        <v>90</v>
      </c>
      <c r="M85" s="18" t="s">
        <v>90</v>
      </c>
      <c r="N85" s="18" t="s">
        <v>90</v>
      </c>
      <c r="O85" s="18" t="s">
        <v>90</v>
      </c>
      <c r="P85" s="18" t="s">
        <v>90</v>
      </c>
      <c r="Q85" s="18" t="s">
        <v>90</v>
      </c>
      <c r="R85" s="18" t="s">
        <v>90</v>
      </c>
      <c r="S85" s="18" t="s">
        <v>90</v>
      </c>
      <c r="T85" s="18" t="s">
        <v>90</v>
      </c>
      <c r="U85" s="18" t="s">
        <v>90</v>
      </c>
      <c r="V85" s="18" t="s">
        <v>90</v>
      </c>
      <c r="W85" s="18" t="s">
        <v>90</v>
      </c>
      <c r="X85" s="18" t="s">
        <v>90</v>
      </c>
      <c r="Y85" s="18" t="s">
        <v>90</v>
      </c>
      <c r="Z85" s="18" t="s">
        <v>451</v>
      </c>
      <c r="AA85" s="44" t="s">
        <v>477</v>
      </c>
    </row>
    <row r="86" spans="1:27" hidden="1" x14ac:dyDescent="0.2">
      <c r="A86" s="22">
        <v>43800</v>
      </c>
      <c r="B86" s="16" t="s">
        <v>31</v>
      </c>
      <c r="C86" s="46"/>
      <c r="D86" s="18" t="s">
        <v>611</v>
      </c>
      <c r="E86" s="18" t="s">
        <v>611</v>
      </c>
      <c r="F86" s="18" t="s">
        <v>90</v>
      </c>
      <c r="G86" s="18" t="s">
        <v>90</v>
      </c>
      <c r="H86" s="18" t="s">
        <v>451</v>
      </c>
      <c r="I86" s="18" t="s">
        <v>451</v>
      </c>
      <c r="J86" s="18" t="s">
        <v>451</v>
      </c>
      <c r="K86" s="18" t="s">
        <v>451</v>
      </c>
      <c r="L86" s="18" t="s">
        <v>451</v>
      </c>
      <c r="M86" s="18" t="s">
        <v>451</v>
      </c>
      <c r="N86" s="18" t="s">
        <v>451</v>
      </c>
      <c r="O86" s="18" t="s">
        <v>451</v>
      </c>
      <c r="P86" s="18" t="s">
        <v>451</v>
      </c>
      <c r="Q86" s="18" t="s">
        <v>451</v>
      </c>
      <c r="R86" s="18" t="s">
        <v>451</v>
      </c>
      <c r="S86" s="18" t="s">
        <v>451</v>
      </c>
      <c r="T86" s="18" t="s">
        <v>451</v>
      </c>
      <c r="U86" s="18" t="s">
        <v>451</v>
      </c>
      <c r="V86" s="18" t="s">
        <v>451</v>
      </c>
      <c r="W86" s="18" t="s">
        <v>451</v>
      </c>
      <c r="X86" s="18" t="s">
        <v>451</v>
      </c>
      <c r="Y86" s="18" t="s">
        <v>451</v>
      </c>
      <c r="Z86" s="18" t="s">
        <v>451</v>
      </c>
      <c r="AA86" s="44" t="s">
        <v>451</v>
      </c>
    </row>
    <row r="87" spans="1:27" hidden="1" x14ac:dyDescent="0.2">
      <c r="A87" s="22">
        <v>43800</v>
      </c>
      <c r="B87" s="16" t="s">
        <v>27</v>
      </c>
      <c r="C87" s="46"/>
      <c r="D87" s="18" t="s">
        <v>90</v>
      </c>
      <c r="E87" s="18" t="s">
        <v>90</v>
      </c>
      <c r="F87" s="18" t="s">
        <v>90</v>
      </c>
      <c r="G87" s="18" t="s">
        <v>90</v>
      </c>
      <c r="H87" s="18" t="s">
        <v>451</v>
      </c>
      <c r="I87" s="18" t="s">
        <v>451</v>
      </c>
      <c r="J87" s="18" t="s">
        <v>90</v>
      </c>
      <c r="K87" s="18" t="s">
        <v>90</v>
      </c>
      <c r="L87" s="18" t="s">
        <v>90</v>
      </c>
      <c r="M87" s="18" t="s">
        <v>90</v>
      </c>
      <c r="N87" s="18" t="s">
        <v>90</v>
      </c>
      <c r="O87" s="18" t="s">
        <v>90</v>
      </c>
      <c r="P87" s="18" t="s">
        <v>90</v>
      </c>
      <c r="Q87" s="18" t="s">
        <v>90</v>
      </c>
      <c r="R87" s="18" t="s">
        <v>451</v>
      </c>
      <c r="S87" s="18" t="s">
        <v>451</v>
      </c>
      <c r="T87" s="18" t="s">
        <v>90</v>
      </c>
      <c r="U87" s="18" t="s">
        <v>90</v>
      </c>
      <c r="V87" s="18" t="s">
        <v>90</v>
      </c>
      <c r="W87" s="18" t="s">
        <v>90</v>
      </c>
      <c r="X87" s="18" t="s">
        <v>90</v>
      </c>
      <c r="Y87" s="18" t="s">
        <v>451</v>
      </c>
      <c r="Z87" s="18" t="s">
        <v>451</v>
      </c>
      <c r="AA87" s="44" t="s">
        <v>90</v>
      </c>
    </row>
    <row r="88" spans="1:27" hidden="1" x14ac:dyDescent="0.2">
      <c r="A88" s="22">
        <v>43800</v>
      </c>
      <c r="B88" s="48" t="s">
        <v>34</v>
      </c>
      <c r="C88" s="46"/>
      <c r="D88" s="18" t="s">
        <v>90</v>
      </c>
      <c r="E88" s="18" t="s">
        <v>90</v>
      </c>
      <c r="F88" s="18" t="s">
        <v>90</v>
      </c>
      <c r="G88" s="18" t="s">
        <v>90</v>
      </c>
      <c r="H88" s="18" t="s">
        <v>90</v>
      </c>
      <c r="I88" s="18" t="s">
        <v>90</v>
      </c>
      <c r="J88" s="18" t="s">
        <v>90</v>
      </c>
      <c r="K88" s="18" t="s">
        <v>90</v>
      </c>
      <c r="L88" s="18" t="s">
        <v>90</v>
      </c>
      <c r="M88" s="18" t="s">
        <v>90</v>
      </c>
      <c r="N88" s="18" t="s">
        <v>90</v>
      </c>
      <c r="O88" s="18" t="s">
        <v>90</v>
      </c>
      <c r="P88" s="18" t="s">
        <v>90</v>
      </c>
      <c r="Q88" s="18" t="s">
        <v>90</v>
      </c>
      <c r="R88" s="18" t="s">
        <v>90</v>
      </c>
      <c r="S88" s="18" t="s">
        <v>90</v>
      </c>
      <c r="T88" s="18" t="s">
        <v>90</v>
      </c>
      <c r="U88" s="18" t="s">
        <v>90</v>
      </c>
      <c r="V88" s="18" t="s">
        <v>90</v>
      </c>
      <c r="W88" s="18" t="s">
        <v>90</v>
      </c>
      <c r="X88" s="18" t="s">
        <v>90</v>
      </c>
      <c r="Y88" s="18" t="s">
        <v>451</v>
      </c>
      <c r="Z88" s="18" t="s">
        <v>451</v>
      </c>
      <c r="AA88" s="44" t="s">
        <v>451</v>
      </c>
    </row>
    <row r="89" spans="1:27" hidden="1" x14ac:dyDescent="0.2">
      <c r="A89" s="22">
        <v>43800</v>
      </c>
      <c r="B89" s="16" t="s">
        <v>28</v>
      </c>
      <c r="C89" s="46"/>
      <c r="D89" s="18" t="s">
        <v>90</v>
      </c>
      <c r="E89" s="18" t="s">
        <v>90</v>
      </c>
      <c r="F89" s="18" t="s">
        <v>90</v>
      </c>
      <c r="G89" s="18" t="s">
        <v>90</v>
      </c>
      <c r="H89" s="18" t="s">
        <v>451</v>
      </c>
      <c r="I89" s="18" t="s">
        <v>451</v>
      </c>
      <c r="J89" s="18" t="s">
        <v>90</v>
      </c>
      <c r="K89" s="18" t="s">
        <v>90</v>
      </c>
      <c r="L89" s="18" t="s">
        <v>90</v>
      </c>
      <c r="M89" s="18" t="s">
        <v>90</v>
      </c>
      <c r="N89" s="18" t="s">
        <v>90</v>
      </c>
      <c r="O89" s="18" t="s">
        <v>90</v>
      </c>
      <c r="P89" s="18" t="s">
        <v>90</v>
      </c>
      <c r="Q89" s="18" t="s">
        <v>90</v>
      </c>
      <c r="R89" s="18" t="s">
        <v>451</v>
      </c>
      <c r="S89" s="18" t="s">
        <v>451</v>
      </c>
      <c r="T89" s="18" t="s">
        <v>90</v>
      </c>
      <c r="U89" s="18" t="s">
        <v>90</v>
      </c>
      <c r="V89" s="18" t="s">
        <v>90</v>
      </c>
      <c r="W89" s="18" t="s">
        <v>90</v>
      </c>
      <c r="X89" s="18" t="s">
        <v>90</v>
      </c>
      <c r="Y89" s="18" t="s">
        <v>90</v>
      </c>
      <c r="Z89" s="18" t="s">
        <v>451</v>
      </c>
      <c r="AA89" s="44" t="s">
        <v>802</v>
      </c>
    </row>
    <row r="90" spans="1:27" hidden="1" x14ac:dyDescent="0.2">
      <c r="A90" s="22">
        <v>43803</v>
      </c>
      <c r="B90" s="16" t="s">
        <v>33</v>
      </c>
      <c r="C90" s="46"/>
      <c r="D90" s="18" t="s">
        <v>90</v>
      </c>
      <c r="E90" s="18" t="s">
        <v>90</v>
      </c>
      <c r="F90" s="18" t="s">
        <v>90</v>
      </c>
      <c r="G90" s="18" t="s">
        <v>90</v>
      </c>
      <c r="H90" s="18" t="s">
        <v>90</v>
      </c>
      <c r="I90" s="18" t="s">
        <v>90</v>
      </c>
      <c r="J90" s="18" t="s">
        <v>90</v>
      </c>
      <c r="K90" s="18" t="s">
        <v>90</v>
      </c>
      <c r="L90" s="18" t="s">
        <v>90</v>
      </c>
      <c r="M90" s="18" t="s">
        <v>90</v>
      </c>
      <c r="N90" s="18" t="s">
        <v>90</v>
      </c>
      <c r="O90" s="18" t="s">
        <v>90</v>
      </c>
      <c r="P90" s="18" t="s">
        <v>90</v>
      </c>
      <c r="Q90" s="18" t="s">
        <v>90</v>
      </c>
      <c r="R90" s="18" t="s">
        <v>90</v>
      </c>
      <c r="S90" s="18" t="s">
        <v>90</v>
      </c>
      <c r="T90" s="18" t="s">
        <v>90</v>
      </c>
      <c r="U90" s="18" t="s">
        <v>90</v>
      </c>
      <c r="V90" s="18" t="s">
        <v>90</v>
      </c>
      <c r="W90" s="18" t="s">
        <v>90</v>
      </c>
      <c r="X90" s="18" t="s">
        <v>90</v>
      </c>
      <c r="Y90" s="18" t="s">
        <v>90</v>
      </c>
      <c r="Z90" s="18" t="s">
        <v>90</v>
      </c>
      <c r="AA90" s="44" t="s">
        <v>817</v>
      </c>
    </row>
    <row r="91" spans="1:27" hidden="1" x14ac:dyDescent="0.2">
      <c r="A91" s="21">
        <v>43803</v>
      </c>
      <c r="B91" s="16" t="s">
        <v>35</v>
      </c>
      <c r="C91" s="45"/>
      <c r="D91" s="17" t="s">
        <v>90</v>
      </c>
      <c r="E91" s="17" t="s">
        <v>90</v>
      </c>
      <c r="F91" s="17" t="s">
        <v>90</v>
      </c>
      <c r="G91" s="17" t="s">
        <v>90</v>
      </c>
      <c r="H91" s="17" t="s">
        <v>451</v>
      </c>
      <c r="I91" s="17" t="s">
        <v>451</v>
      </c>
      <c r="J91" s="17" t="s">
        <v>90</v>
      </c>
      <c r="K91" s="17" t="s">
        <v>90</v>
      </c>
      <c r="L91" s="17" t="s">
        <v>90</v>
      </c>
      <c r="M91" s="17" t="s">
        <v>90</v>
      </c>
      <c r="N91" s="17" t="s">
        <v>90</v>
      </c>
      <c r="O91" s="17" t="s">
        <v>90</v>
      </c>
      <c r="P91" s="17" t="s">
        <v>90</v>
      </c>
      <c r="Q91" s="17" t="s">
        <v>90</v>
      </c>
      <c r="R91" s="17" t="s">
        <v>451</v>
      </c>
      <c r="S91" s="17" t="s">
        <v>451</v>
      </c>
      <c r="T91" s="17" t="s">
        <v>90</v>
      </c>
      <c r="U91" s="17" t="s">
        <v>90</v>
      </c>
      <c r="V91" s="17" t="s">
        <v>90</v>
      </c>
      <c r="W91" s="17" t="s">
        <v>90</v>
      </c>
      <c r="X91" s="17" t="s">
        <v>90</v>
      </c>
      <c r="Y91" s="17" t="s">
        <v>90</v>
      </c>
      <c r="Z91" s="17"/>
      <c r="AA91" s="52"/>
    </row>
    <row r="92" spans="1:27" hidden="1" x14ac:dyDescent="0.2">
      <c r="A92" s="21">
        <v>43803</v>
      </c>
      <c r="B92" s="48" t="s">
        <v>34</v>
      </c>
      <c r="C92" s="45"/>
      <c r="D92" s="17" t="s">
        <v>90</v>
      </c>
      <c r="E92" s="17" t="s">
        <v>90</v>
      </c>
      <c r="F92" s="17" t="s">
        <v>90</v>
      </c>
      <c r="G92" s="17" t="s">
        <v>90</v>
      </c>
      <c r="H92" s="17" t="s">
        <v>451</v>
      </c>
      <c r="I92" s="17" t="s">
        <v>451</v>
      </c>
      <c r="J92" s="17" t="s">
        <v>90</v>
      </c>
      <c r="K92" s="17" t="s">
        <v>90</v>
      </c>
      <c r="L92" s="17" t="s">
        <v>90</v>
      </c>
      <c r="M92" s="17" t="s">
        <v>90</v>
      </c>
      <c r="N92" s="17" t="s">
        <v>90</v>
      </c>
      <c r="O92" s="17" t="s">
        <v>90</v>
      </c>
      <c r="P92" s="17" t="s">
        <v>90</v>
      </c>
      <c r="Q92" s="17" t="s">
        <v>90</v>
      </c>
      <c r="R92" s="17" t="s">
        <v>451</v>
      </c>
      <c r="S92" s="17" t="s">
        <v>451</v>
      </c>
      <c r="T92" s="17" t="s">
        <v>90</v>
      </c>
      <c r="U92" s="17" t="s">
        <v>90</v>
      </c>
      <c r="V92" s="17" t="s">
        <v>90</v>
      </c>
      <c r="W92" s="17" t="s">
        <v>90</v>
      </c>
      <c r="X92" s="17" t="s">
        <v>90</v>
      </c>
      <c r="Y92" s="17" t="s">
        <v>451</v>
      </c>
      <c r="Z92" s="17" t="s">
        <v>451</v>
      </c>
      <c r="AA92" s="52" t="s">
        <v>451</v>
      </c>
    </row>
    <row r="93" spans="1:27" x14ac:dyDescent="0.2">
      <c r="A93" s="22">
        <v>43807</v>
      </c>
      <c r="B93" s="16" t="s">
        <v>35</v>
      </c>
      <c r="C93" s="46"/>
      <c r="D93" s="18" t="s">
        <v>90</v>
      </c>
      <c r="E93" s="18" t="s">
        <v>90</v>
      </c>
      <c r="F93" s="18" t="s">
        <v>90</v>
      </c>
      <c r="G93" s="18" t="s">
        <v>90</v>
      </c>
      <c r="H93" s="18" t="s">
        <v>90</v>
      </c>
      <c r="I93" s="18" t="s">
        <v>90</v>
      </c>
      <c r="J93" s="18" t="s">
        <v>90</v>
      </c>
      <c r="K93" s="18" t="s">
        <v>90</v>
      </c>
      <c r="L93" s="18" t="s">
        <v>90</v>
      </c>
      <c r="M93" s="18" t="s">
        <v>90</v>
      </c>
      <c r="N93" s="18" t="s">
        <v>90</v>
      </c>
      <c r="O93" s="18" t="s">
        <v>90</v>
      </c>
      <c r="P93" s="18" t="s">
        <v>90</v>
      </c>
      <c r="Q93" s="18" t="s">
        <v>90</v>
      </c>
      <c r="R93" s="18" t="s">
        <v>90</v>
      </c>
      <c r="S93" s="18" t="s">
        <v>90</v>
      </c>
      <c r="T93" s="18" t="s">
        <v>90</v>
      </c>
      <c r="U93" s="18" t="s">
        <v>90</v>
      </c>
      <c r="V93" s="18" t="s">
        <v>90</v>
      </c>
      <c r="W93" s="18" t="s">
        <v>90</v>
      </c>
      <c r="X93" s="18" t="s">
        <v>90</v>
      </c>
      <c r="Y93" s="18"/>
      <c r="Z93" s="18"/>
      <c r="AA93" s="44"/>
    </row>
    <row r="94" spans="1:27" x14ac:dyDescent="0.2">
      <c r="A94" s="22">
        <v>43807</v>
      </c>
      <c r="B94" s="16" t="s">
        <v>56</v>
      </c>
      <c r="C94" s="46"/>
      <c r="D94" s="18" t="s">
        <v>90</v>
      </c>
      <c r="E94" s="18" t="s">
        <v>90</v>
      </c>
      <c r="F94" s="18" t="s">
        <v>90</v>
      </c>
      <c r="G94" s="18" t="s">
        <v>90</v>
      </c>
      <c r="H94" s="18" t="s">
        <v>451</v>
      </c>
      <c r="I94" s="18" t="s">
        <v>451</v>
      </c>
      <c r="J94" s="18" t="s">
        <v>451</v>
      </c>
      <c r="K94" s="18" t="s">
        <v>451</v>
      </c>
      <c r="L94" s="18" t="s">
        <v>451</v>
      </c>
      <c r="M94" s="18" t="s">
        <v>451</v>
      </c>
      <c r="N94" s="18" t="s">
        <v>451</v>
      </c>
      <c r="O94" s="18" t="s">
        <v>451</v>
      </c>
      <c r="P94" s="18" t="s">
        <v>451</v>
      </c>
      <c r="Q94" s="18" t="s">
        <v>451</v>
      </c>
      <c r="R94" s="18" t="s">
        <v>451</v>
      </c>
      <c r="S94" s="18" t="s">
        <v>451</v>
      </c>
      <c r="T94" s="18" t="s">
        <v>451</v>
      </c>
      <c r="U94" s="18" t="s">
        <v>451</v>
      </c>
      <c r="V94" s="18" t="s">
        <v>451</v>
      </c>
      <c r="W94" s="18" t="s">
        <v>451</v>
      </c>
      <c r="X94" s="18" t="s">
        <v>451</v>
      </c>
      <c r="Y94" s="18" t="s">
        <v>451</v>
      </c>
      <c r="Z94" s="18" t="s">
        <v>451</v>
      </c>
      <c r="AA94" s="44" t="s">
        <v>451</v>
      </c>
    </row>
    <row r="95" spans="1:27" x14ac:dyDescent="0.2">
      <c r="A95" s="21">
        <v>43807</v>
      </c>
      <c r="B95" s="53" t="s">
        <v>34</v>
      </c>
      <c r="C95" s="45"/>
      <c r="D95" s="18" t="s">
        <v>90</v>
      </c>
      <c r="E95" s="17" t="s">
        <v>90</v>
      </c>
      <c r="F95" s="17" t="s">
        <v>90</v>
      </c>
      <c r="G95" s="17" t="s">
        <v>90</v>
      </c>
      <c r="H95" s="17" t="s">
        <v>451</v>
      </c>
      <c r="I95" s="17" t="s">
        <v>451</v>
      </c>
      <c r="J95" s="17" t="s">
        <v>90</v>
      </c>
      <c r="K95" s="17" t="s">
        <v>90</v>
      </c>
      <c r="L95" s="17" t="s">
        <v>90</v>
      </c>
      <c r="M95" s="17" t="s">
        <v>90</v>
      </c>
      <c r="N95" s="17" t="s">
        <v>90</v>
      </c>
      <c r="O95" s="17" t="s">
        <v>90</v>
      </c>
      <c r="P95" s="17" t="s">
        <v>90</v>
      </c>
      <c r="Q95" s="17" t="s">
        <v>90</v>
      </c>
      <c r="R95" s="17" t="s">
        <v>451</v>
      </c>
      <c r="S95" s="17" t="s">
        <v>451</v>
      </c>
      <c r="T95" s="17" t="s">
        <v>90</v>
      </c>
      <c r="U95" s="17" t="s">
        <v>90</v>
      </c>
      <c r="V95" s="17" t="s">
        <v>90</v>
      </c>
      <c r="W95" s="17" t="s">
        <v>90</v>
      </c>
      <c r="X95" s="17" t="s">
        <v>90</v>
      </c>
      <c r="Y95" s="17" t="s">
        <v>451</v>
      </c>
      <c r="Z95" s="17" t="s">
        <v>451</v>
      </c>
      <c r="AA95" s="52" t="s">
        <v>451</v>
      </c>
    </row>
    <row r="96" spans="1:27" x14ac:dyDescent="0.2">
      <c r="A96" s="21">
        <v>43807</v>
      </c>
      <c r="B96" s="15" t="s">
        <v>35</v>
      </c>
      <c r="C96" s="45" t="s">
        <v>12</v>
      </c>
      <c r="D96" s="18" t="s">
        <v>90</v>
      </c>
      <c r="E96" s="17" t="s">
        <v>90</v>
      </c>
      <c r="F96" s="17" t="s">
        <v>90</v>
      </c>
      <c r="G96" s="17" t="s">
        <v>90</v>
      </c>
      <c r="H96" s="17" t="s">
        <v>451</v>
      </c>
      <c r="I96" s="17" t="s">
        <v>451</v>
      </c>
      <c r="J96" s="17" t="s">
        <v>90</v>
      </c>
      <c r="K96" s="17" t="s">
        <v>90</v>
      </c>
      <c r="L96" s="17" t="s">
        <v>90</v>
      </c>
      <c r="M96" s="17" t="s">
        <v>90</v>
      </c>
      <c r="N96" s="17" t="s">
        <v>90</v>
      </c>
      <c r="O96" s="17" t="s">
        <v>90</v>
      </c>
      <c r="P96" s="17" t="s">
        <v>90</v>
      </c>
      <c r="Q96" s="17" t="s">
        <v>90</v>
      </c>
      <c r="R96" s="17" t="s">
        <v>451</v>
      </c>
      <c r="S96" s="17" t="s">
        <v>451</v>
      </c>
      <c r="T96" s="17" t="s">
        <v>90</v>
      </c>
      <c r="U96" s="17" t="s">
        <v>90</v>
      </c>
      <c r="V96" s="17" t="s">
        <v>90</v>
      </c>
      <c r="W96" s="17" t="s">
        <v>90</v>
      </c>
      <c r="X96" s="17" t="s">
        <v>90</v>
      </c>
      <c r="Y96" s="17"/>
      <c r="Z96" s="17"/>
      <c r="AA96" s="52"/>
    </row>
    <row r="97" spans="1:27" x14ac:dyDescent="0.2">
      <c r="A97" s="22">
        <v>43807</v>
      </c>
      <c r="B97" s="16" t="s">
        <v>31</v>
      </c>
      <c r="C97" s="46"/>
      <c r="D97" s="18" t="s">
        <v>90</v>
      </c>
      <c r="E97" s="18" t="s">
        <v>90</v>
      </c>
      <c r="F97" s="18" t="s">
        <v>90</v>
      </c>
      <c r="G97" s="18" t="s">
        <v>90</v>
      </c>
      <c r="H97" s="18" t="s">
        <v>451</v>
      </c>
      <c r="I97" s="18" t="s">
        <v>451</v>
      </c>
      <c r="J97" s="18" t="s">
        <v>90</v>
      </c>
      <c r="K97" s="18" t="s">
        <v>90</v>
      </c>
      <c r="L97" s="18" t="s">
        <v>90</v>
      </c>
      <c r="M97" s="18" t="s">
        <v>90</v>
      </c>
      <c r="N97" s="18" t="s">
        <v>90</v>
      </c>
      <c r="O97" s="18" t="s">
        <v>90</v>
      </c>
      <c r="P97" s="18" t="s">
        <v>90</v>
      </c>
      <c r="Q97" s="18" t="s">
        <v>90</v>
      </c>
      <c r="R97" s="18" t="s">
        <v>451</v>
      </c>
      <c r="S97" s="18" t="s">
        <v>451</v>
      </c>
      <c r="T97" s="18" t="s">
        <v>90</v>
      </c>
      <c r="U97" s="18" t="s">
        <v>90</v>
      </c>
      <c r="V97" s="18" t="s">
        <v>90</v>
      </c>
      <c r="W97" s="18" t="s">
        <v>90</v>
      </c>
      <c r="X97" s="18" t="s">
        <v>90</v>
      </c>
      <c r="Y97" s="18"/>
      <c r="Z97" s="18"/>
      <c r="AA97" s="44"/>
    </row>
    <row r="98" spans="1:27" x14ac:dyDescent="0.2">
      <c r="A98" s="21">
        <v>43807</v>
      </c>
      <c r="B98" s="15" t="s">
        <v>27</v>
      </c>
      <c r="C98" s="45"/>
      <c r="D98" s="17" t="s">
        <v>90</v>
      </c>
      <c r="E98" s="17" t="s">
        <v>90</v>
      </c>
      <c r="F98" s="17" t="s">
        <v>90</v>
      </c>
      <c r="G98" s="17" t="s">
        <v>90</v>
      </c>
      <c r="H98" s="17" t="s">
        <v>451</v>
      </c>
      <c r="I98" s="17" t="s">
        <v>451</v>
      </c>
      <c r="J98" s="17" t="s">
        <v>90</v>
      </c>
      <c r="K98" s="17" t="s">
        <v>90</v>
      </c>
      <c r="L98" s="17" t="s">
        <v>90</v>
      </c>
      <c r="M98" s="17" t="s">
        <v>90</v>
      </c>
      <c r="N98" s="17" t="s">
        <v>90</v>
      </c>
      <c r="O98" s="17" t="s">
        <v>90</v>
      </c>
      <c r="P98" s="17" t="s">
        <v>90</v>
      </c>
      <c r="Q98" s="17" t="s">
        <v>90</v>
      </c>
      <c r="R98" s="17" t="s">
        <v>451</v>
      </c>
      <c r="S98" s="17" t="s">
        <v>451</v>
      </c>
      <c r="T98" s="17" t="s">
        <v>90</v>
      </c>
      <c r="U98" s="17" t="s">
        <v>90</v>
      </c>
      <c r="V98" s="17" t="s">
        <v>90</v>
      </c>
      <c r="W98" s="17" t="s">
        <v>90</v>
      </c>
      <c r="X98" s="17" t="s">
        <v>90</v>
      </c>
      <c r="Y98" s="17" t="s">
        <v>451</v>
      </c>
      <c r="Z98" s="17" t="s">
        <v>451</v>
      </c>
      <c r="AA98" s="52"/>
    </row>
    <row r="99" spans="1:27" hidden="1" x14ac:dyDescent="0.2">
      <c r="A99" s="21">
        <v>43810</v>
      </c>
      <c r="B99" s="15" t="s">
        <v>56</v>
      </c>
      <c r="C99" s="45"/>
      <c r="D99" s="17" t="s">
        <v>90</v>
      </c>
      <c r="E99" s="17" t="s">
        <v>90</v>
      </c>
      <c r="F99" s="17" t="s">
        <v>90</v>
      </c>
      <c r="G99" s="17" t="s">
        <v>90</v>
      </c>
      <c r="H99" s="17" t="s">
        <v>451</v>
      </c>
      <c r="I99" s="17" t="s">
        <v>451</v>
      </c>
      <c r="J99" s="17"/>
      <c r="K99" s="17"/>
      <c r="L99" s="17"/>
      <c r="M99" s="17"/>
      <c r="N99" s="17"/>
      <c r="O99" s="17"/>
      <c r="P99" s="17"/>
      <c r="Q99" s="17"/>
      <c r="R99" s="17" t="s">
        <v>451</v>
      </c>
      <c r="S99" s="17" t="s">
        <v>451</v>
      </c>
      <c r="T99" s="17"/>
      <c r="U99" s="17"/>
      <c r="V99" s="17"/>
      <c r="W99" s="17"/>
      <c r="X99" s="17"/>
      <c r="Y99" s="17"/>
      <c r="Z99" s="17"/>
      <c r="AA99" s="52"/>
    </row>
    <row r="100" spans="1:27" hidden="1" x14ac:dyDescent="0.2">
      <c r="A100" s="21">
        <v>43810</v>
      </c>
      <c r="B100" s="53" t="s">
        <v>34</v>
      </c>
      <c r="C100" s="45"/>
      <c r="D100" s="17" t="s">
        <v>90</v>
      </c>
      <c r="E100" s="17" t="s">
        <v>90</v>
      </c>
      <c r="F100" s="17" t="s">
        <v>90</v>
      </c>
      <c r="G100" s="17" t="s">
        <v>90</v>
      </c>
      <c r="H100" s="17" t="s">
        <v>451</v>
      </c>
      <c r="I100" s="17" t="s">
        <v>451</v>
      </c>
      <c r="J100" s="17"/>
      <c r="K100" s="17"/>
      <c r="L100" s="17"/>
      <c r="M100" s="17"/>
      <c r="N100" s="17"/>
      <c r="O100" s="17"/>
      <c r="P100" s="17"/>
      <c r="Q100" s="17"/>
      <c r="R100" s="17" t="s">
        <v>451</v>
      </c>
      <c r="S100" s="17" t="s">
        <v>451</v>
      </c>
      <c r="T100" s="17"/>
      <c r="U100" s="17"/>
      <c r="V100" s="17"/>
      <c r="W100" s="17"/>
      <c r="X100" s="17"/>
      <c r="Y100" s="17" t="s">
        <v>451</v>
      </c>
      <c r="Z100" s="17" t="s">
        <v>451</v>
      </c>
      <c r="AA100" s="52" t="s">
        <v>451</v>
      </c>
    </row>
    <row r="101" spans="1:27" hidden="1" x14ac:dyDescent="0.2">
      <c r="A101" s="22">
        <v>43810</v>
      </c>
      <c r="B101" s="16" t="s">
        <v>31</v>
      </c>
      <c r="C101" s="46"/>
      <c r="D101" s="18" t="s">
        <v>90</v>
      </c>
      <c r="E101" s="18" t="s">
        <v>90</v>
      </c>
      <c r="F101" s="18" t="s">
        <v>90</v>
      </c>
      <c r="G101" s="18" t="s">
        <v>90</v>
      </c>
      <c r="H101" s="18" t="s">
        <v>451</v>
      </c>
      <c r="I101" s="18" t="s">
        <v>451</v>
      </c>
      <c r="J101" s="18"/>
      <c r="K101" s="18"/>
      <c r="L101" s="18"/>
      <c r="M101" s="18"/>
      <c r="N101" s="18"/>
      <c r="O101" s="18"/>
      <c r="P101" s="18"/>
      <c r="Q101" s="18"/>
      <c r="R101" s="18" t="s">
        <v>451</v>
      </c>
      <c r="S101" s="18" t="s">
        <v>451</v>
      </c>
      <c r="T101" s="18"/>
      <c r="U101" s="18"/>
      <c r="V101" s="18"/>
      <c r="W101" s="18"/>
      <c r="X101" s="18"/>
      <c r="Y101" s="18"/>
      <c r="Z101" s="18"/>
      <c r="AA101" s="44"/>
    </row>
    <row r="102" spans="1:27" hidden="1" x14ac:dyDescent="0.2">
      <c r="A102" s="22">
        <v>43810</v>
      </c>
      <c r="B102" s="16" t="s">
        <v>522</v>
      </c>
      <c r="C102" s="46"/>
      <c r="D102" s="18" t="s">
        <v>90</v>
      </c>
      <c r="E102" s="18" t="s">
        <v>90</v>
      </c>
      <c r="F102" s="18" t="s">
        <v>451</v>
      </c>
      <c r="G102" s="18" t="s">
        <v>90</v>
      </c>
      <c r="H102" s="18" t="s">
        <v>451</v>
      </c>
      <c r="I102" s="18" t="s">
        <v>451</v>
      </c>
      <c r="J102" s="18" t="s">
        <v>451</v>
      </c>
      <c r="K102" s="18" t="s">
        <v>451</v>
      </c>
      <c r="L102" s="18" t="s">
        <v>451</v>
      </c>
      <c r="M102" s="18" t="s">
        <v>451</v>
      </c>
      <c r="N102" s="18" t="s">
        <v>451</v>
      </c>
      <c r="O102" s="18" t="s">
        <v>451</v>
      </c>
      <c r="P102" s="18" t="s">
        <v>451</v>
      </c>
      <c r="Q102" s="18" t="s">
        <v>451</v>
      </c>
      <c r="R102" s="18" t="s">
        <v>451</v>
      </c>
      <c r="S102" s="18" t="s">
        <v>451</v>
      </c>
      <c r="T102" s="18" t="s">
        <v>451</v>
      </c>
      <c r="U102" s="18" t="s">
        <v>451</v>
      </c>
      <c r="V102" s="18" t="s">
        <v>451</v>
      </c>
      <c r="W102" s="18" t="s">
        <v>451</v>
      </c>
      <c r="X102" s="18" t="s">
        <v>451</v>
      </c>
      <c r="Y102" s="18" t="s">
        <v>451</v>
      </c>
      <c r="Z102" s="18" t="s">
        <v>451</v>
      </c>
      <c r="AA102" s="44" t="s">
        <v>451</v>
      </c>
    </row>
    <row r="103" spans="1:27" hidden="1" x14ac:dyDescent="0.2">
      <c r="A103" s="21">
        <v>43810</v>
      </c>
      <c r="B103" s="15" t="s">
        <v>28</v>
      </c>
      <c r="C103" s="45"/>
      <c r="D103" s="17" t="s">
        <v>90</v>
      </c>
      <c r="E103" s="17" t="s">
        <v>90</v>
      </c>
      <c r="F103" s="17" t="s">
        <v>90</v>
      </c>
      <c r="G103" s="17" t="s">
        <v>90</v>
      </c>
      <c r="H103" s="17" t="s">
        <v>90</v>
      </c>
      <c r="I103" s="17" t="s">
        <v>90</v>
      </c>
      <c r="J103" s="17"/>
      <c r="K103" s="17"/>
      <c r="L103" s="17"/>
      <c r="M103" s="17"/>
      <c r="N103" s="17"/>
      <c r="O103" s="17"/>
      <c r="P103" s="17"/>
      <c r="Q103" s="17"/>
      <c r="R103" s="17" t="s">
        <v>90</v>
      </c>
      <c r="S103" s="17" t="s">
        <v>90</v>
      </c>
      <c r="T103" s="17"/>
      <c r="U103" s="17"/>
      <c r="V103" s="17"/>
      <c r="W103" s="17"/>
      <c r="X103" s="17"/>
      <c r="Y103" s="17"/>
      <c r="Z103" s="17"/>
      <c r="AA103" s="52"/>
    </row>
    <row r="104" spans="1:27" hidden="1" x14ac:dyDescent="0.2">
      <c r="A104" s="21">
        <v>43810</v>
      </c>
      <c r="B104" s="15" t="s">
        <v>35</v>
      </c>
      <c r="C104" s="45" t="s">
        <v>12</v>
      </c>
      <c r="D104" s="17" t="s">
        <v>90</v>
      </c>
      <c r="E104" s="17" t="s">
        <v>90</v>
      </c>
      <c r="F104" s="17" t="s">
        <v>451</v>
      </c>
      <c r="G104" s="17" t="s">
        <v>90</v>
      </c>
      <c r="H104" s="17" t="s">
        <v>451</v>
      </c>
      <c r="I104" s="17" t="s">
        <v>451</v>
      </c>
      <c r="J104" s="17" t="s">
        <v>451</v>
      </c>
      <c r="K104" s="17" t="s">
        <v>451</v>
      </c>
      <c r="L104" s="17" t="s">
        <v>451</v>
      </c>
      <c r="M104" s="17" t="s">
        <v>451</v>
      </c>
      <c r="N104" s="17" t="s">
        <v>451</v>
      </c>
      <c r="O104" s="17" t="s">
        <v>451</v>
      </c>
      <c r="P104" s="17" t="s">
        <v>451</v>
      </c>
      <c r="Q104" s="17" t="s">
        <v>451</v>
      </c>
      <c r="R104" s="17" t="s">
        <v>451</v>
      </c>
      <c r="S104" s="17" t="s">
        <v>451</v>
      </c>
      <c r="T104" s="17" t="s">
        <v>451</v>
      </c>
      <c r="U104" s="17" t="s">
        <v>451</v>
      </c>
      <c r="V104" s="17" t="s">
        <v>451</v>
      </c>
      <c r="W104" s="17" t="s">
        <v>451</v>
      </c>
      <c r="X104" s="17" t="s">
        <v>451</v>
      </c>
      <c r="Y104" s="17" t="s">
        <v>451</v>
      </c>
      <c r="Z104" s="17" t="s">
        <v>451</v>
      </c>
      <c r="AA104" s="52" t="s">
        <v>451</v>
      </c>
    </row>
    <row r="105" spans="1:27" hidden="1" x14ac:dyDescent="0.2">
      <c r="A105" s="22">
        <v>43810</v>
      </c>
      <c r="B105" s="16" t="s">
        <v>35</v>
      </c>
      <c r="C105" s="46"/>
      <c r="D105" s="18" t="s">
        <v>90</v>
      </c>
      <c r="E105" s="18" t="s">
        <v>90</v>
      </c>
      <c r="F105" s="18" t="s">
        <v>90</v>
      </c>
      <c r="G105" s="18" t="s">
        <v>90</v>
      </c>
      <c r="H105" s="18" t="s">
        <v>451</v>
      </c>
      <c r="I105" s="18" t="s">
        <v>451</v>
      </c>
      <c r="J105" s="18"/>
      <c r="K105" s="18"/>
      <c r="L105" s="18"/>
      <c r="M105" s="18"/>
      <c r="N105" s="18"/>
      <c r="O105" s="18"/>
      <c r="P105" s="18"/>
      <c r="Q105" s="18"/>
      <c r="R105" s="18" t="s">
        <v>451</v>
      </c>
      <c r="S105" s="18" t="s">
        <v>451</v>
      </c>
      <c r="T105" s="18"/>
      <c r="U105" s="18"/>
      <c r="V105" s="18"/>
      <c r="W105" s="18"/>
      <c r="X105" s="18"/>
      <c r="Y105" s="18"/>
      <c r="Z105" s="18"/>
      <c r="AA105" s="44"/>
    </row>
    <row r="106" spans="1:27" hidden="1" x14ac:dyDescent="0.2">
      <c r="A106" s="22">
        <v>43814</v>
      </c>
      <c r="B106" s="16" t="s">
        <v>35</v>
      </c>
      <c r="C106" s="46"/>
      <c r="D106" s="18" t="s">
        <v>90</v>
      </c>
      <c r="E106" s="18" t="s">
        <v>90</v>
      </c>
      <c r="F106" s="18" t="s">
        <v>90</v>
      </c>
      <c r="G106" s="18" t="s">
        <v>90</v>
      </c>
      <c r="H106" s="18" t="s">
        <v>90</v>
      </c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44"/>
    </row>
    <row r="107" spans="1:27" hidden="1" x14ac:dyDescent="0.2">
      <c r="A107" s="22">
        <v>43814</v>
      </c>
      <c r="B107" s="16" t="s">
        <v>56</v>
      </c>
      <c r="C107" s="46"/>
      <c r="D107" s="18" t="s">
        <v>90</v>
      </c>
      <c r="E107" s="18" t="s">
        <v>90</v>
      </c>
      <c r="F107" s="18" t="s">
        <v>90</v>
      </c>
      <c r="G107" s="18" t="s">
        <v>90</v>
      </c>
      <c r="H107" s="18" t="s">
        <v>451</v>
      </c>
      <c r="I107" s="18" t="s">
        <v>451</v>
      </c>
      <c r="J107" s="18"/>
      <c r="K107" s="18"/>
      <c r="L107" s="18"/>
      <c r="M107" s="18"/>
      <c r="N107" s="18"/>
      <c r="O107" s="18"/>
      <c r="P107" s="18"/>
      <c r="Q107" s="18"/>
      <c r="R107" s="18" t="s">
        <v>451</v>
      </c>
      <c r="S107" s="18" t="s">
        <v>451</v>
      </c>
      <c r="T107" s="18"/>
      <c r="U107" s="18"/>
      <c r="V107" s="18"/>
      <c r="W107" s="18"/>
      <c r="X107" s="18"/>
      <c r="Y107" s="18"/>
      <c r="Z107" s="18"/>
      <c r="AA107" s="44"/>
    </row>
    <row r="108" spans="1:27" hidden="1" x14ac:dyDescent="0.2">
      <c r="A108" s="22">
        <v>43814</v>
      </c>
      <c r="B108" s="48" t="s">
        <v>34</v>
      </c>
      <c r="C108" s="46"/>
      <c r="D108" s="18" t="s">
        <v>90</v>
      </c>
      <c r="E108" s="18" t="s">
        <v>90</v>
      </c>
      <c r="F108" s="18" t="s">
        <v>90</v>
      </c>
      <c r="G108" s="18" t="s">
        <v>90</v>
      </c>
      <c r="H108" s="18" t="s">
        <v>451</v>
      </c>
      <c r="I108" s="18" t="s">
        <v>451</v>
      </c>
      <c r="J108" s="18"/>
      <c r="K108" s="18"/>
      <c r="L108" s="18"/>
      <c r="M108" s="18"/>
      <c r="N108" s="18"/>
      <c r="O108" s="18"/>
      <c r="P108" s="18"/>
      <c r="Q108" s="18"/>
      <c r="R108" s="18" t="s">
        <v>451</v>
      </c>
      <c r="S108" s="18" t="s">
        <v>451</v>
      </c>
      <c r="T108" s="18"/>
      <c r="U108" s="18"/>
      <c r="V108" s="18"/>
      <c r="W108" s="18"/>
      <c r="X108" s="18"/>
      <c r="Y108" s="18" t="s">
        <v>451</v>
      </c>
      <c r="Z108" s="18" t="s">
        <v>451</v>
      </c>
      <c r="AA108" s="44" t="s">
        <v>451</v>
      </c>
    </row>
    <row r="109" spans="1:27" hidden="1" x14ac:dyDescent="0.2">
      <c r="A109" s="22">
        <v>43814</v>
      </c>
      <c r="B109" s="16" t="s">
        <v>31</v>
      </c>
      <c r="C109" s="46"/>
      <c r="D109" s="18" t="s">
        <v>90</v>
      </c>
      <c r="E109" s="18" t="s">
        <v>90</v>
      </c>
      <c r="F109" s="18"/>
      <c r="G109" s="18"/>
      <c r="H109" s="18" t="s">
        <v>451</v>
      </c>
      <c r="I109" s="18" t="s">
        <v>451</v>
      </c>
      <c r="J109" s="18"/>
      <c r="K109" s="18"/>
      <c r="L109" s="18"/>
      <c r="M109" s="18"/>
      <c r="N109" s="18"/>
      <c r="O109" s="18"/>
      <c r="P109" s="18"/>
      <c r="Q109" s="18"/>
      <c r="R109" s="18" t="s">
        <v>451</v>
      </c>
      <c r="S109" s="18" t="s">
        <v>451</v>
      </c>
      <c r="T109" s="18"/>
      <c r="U109" s="18"/>
      <c r="V109" s="18"/>
      <c r="W109" s="18"/>
      <c r="X109" s="18"/>
      <c r="Y109" s="18"/>
      <c r="Z109" s="18"/>
      <c r="AA109" s="44"/>
    </row>
    <row r="110" spans="1:27" hidden="1" x14ac:dyDescent="0.2">
      <c r="A110" s="22">
        <v>43814</v>
      </c>
      <c r="B110" s="16" t="s">
        <v>33</v>
      </c>
      <c r="C110" s="46"/>
      <c r="D110" s="18" t="s">
        <v>90</v>
      </c>
      <c r="E110" s="18" t="s">
        <v>90</v>
      </c>
      <c r="F110" s="18" t="s">
        <v>90</v>
      </c>
      <c r="G110" s="18" t="s">
        <v>90</v>
      </c>
      <c r="H110" s="18" t="s">
        <v>90</v>
      </c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44"/>
    </row>
    <row r="111" spans="1:27" hidden="1" x14ac:dyDescent="0.2">
      <c r="A111" s="22">
        <v>43817</v>
      </c>
      <c r="B111" s="16" t="s">
        <v>35</v>
      </c>
      <c r="C111" s="46"/>
      <c r="D111" s="18" t="s">
        <v>90</v>
      </c>
      <c r="E111" s="18" t="s">
        <v>90</v>
      </c>
      <c r="F111" s="18" t="s">
        <v>90</v>
      </c>
      <c r="G111" s="18"/>
      <c r="H111" s="18" t="s">
        <v>451</v>
      </c>
      <c r="I111" s="18" t="s">
        <v>451</v>
      </c>
      <c r="J111" s="18"/>
      <c r="K111" s="18"/>
      <c r="L111" s="18"/>
      <c r="M111" s="18"/>
      <c r="N111" s="18"/>
      <c r="O111" s="18"/>
      <c r="P111" s="18"/>
      <c r="Q111" s="18"/>
      <c r="R111" s="18" t="s">
        <v>451</v>
      </c>
      <c r="S111" s="18" t="s">
        <v>451</v>
      </c>
      <c r="T111" s="18"/>
      <c r="U111" s="18"/>
      <c r="V111" s="18"/>
      <c r="W111" s="18"/>
      <c r="X111" s="18"/>
      <c r="Y111" s="18"/>
      <c r="Z111" s="18"/>
      <c r="AA111" s="44"/>
    </row>
    <row r="112" spans="1:27" hidden="1" x14ac:dyDescent="0.2">
      <c r="A112" s="22">
        <v>43817</v>
      </c>
      <c r="B112" s="16" t="s">
        <v>56</v>
      </c>
      <c r="C112" s="46"/>
      <c r="D112" s="18" t="s">
        <v>90</v>
      </c>
      <c r="E112" s="18" t="s">
        <v>90</v>
      </c>
      <c r="F112" s="18" t="s">
        <v>90</v>
      </c>
      <c r="G112" s="18"/>
      <c r="H112" s="18" t="s">
        <v>451</v>
      </c>
      <c r="I112" s="18" t="s">
        <v>451</v>
      </c>
      <c r="J112" s="18"/>
      <c r="K112" s="18"/>
      <c r="L112" s="18"/>
      <c r="M112" s="18"/>
      <c r="N112" s="18"/>
      <c r="O112" s="18"/>
      <c r="P112" s="18"/>
      <c r="Q112" s="18"/>
      <c r="R112" s="18" t="s">
        <v>451</v>
      </c>
      <c r="S112" s="18" t="s">
        <v>451</v>
      </c>
      <c r="T112" s="18"/>
      <c r="U112" s="18"/>
      <c r="V112" s="18"/>
      <c r="W112" s="18"/>
      <c r="X112" s="18"/>
      <c r="Y112" s="18"/>
      <c r="Z112" s="18"/>
      <c r="AA112" s="44"/>
    </row>
    <row r="113" spans="1:27" hidden="1" x14ac:dyDescent="0.2">
      <c r="A113" s="22">
        <v>43817</v>
      </c>
      <c r="B113" s="16" t="s">
        <v>31</v>
      </c>
      <c r="C113" s="46"/>
      <c r="D113" s="18" t="s">
        <v>90</v>
      </c>
      <c r="E113" s="18" t="s">
        <v>90</v>
      </c>
      <c r="F113" s="18" t="s">
        <v>90</v>
      </c>
      <c r="G113" s="18"/>
      <c r="H113" s="18" t="s">
        <v>451</v>
      </c>
      <c r="I113" s="18" t="s">
        <v>451</v>
      </c>
      <c r="J113" s="18"/>
      <c r="K113" s="18"/>
      <c r="L113" s="18"/>
      <c r="M113" s="18"/>
      <c r="N113" s="18"/>
      <c r="O113" s="18"/>
      <c r="P113" s="18"/>
      <c r="Q113" s="18"/>
      <c r="R113" s="18" t="s">
        <v>451</v>
      </c>
      <c r="S113" s="18" t="s">
        <v>451</v>
      </c>
      <c r="T113" s="18"/>
      <c r="U113" s="18"/>
      <c r="V113" s="18"/>
      <c r="W113" s="18"/>
      <c r="X113" s="18"/>
      <c r="Y113" s="18"/>
      <c r="Z113" s="18"/>
      <c r="AA113" s="44"/>
    </row>
    <row r="114" spans="1:27" hidden="1" x14ac:dyDescent="0.2">
      <c r="A114" s="22">
        <v>43817</v>
      </c>
      <c r="B114" s="16" t="s">
        <v>27</v>
      </c>
      <c r="C114" s="46"/>
      <c r="D114" s="18" t="s">
        <v>90</v>
      </c>
      <c r="E114" s="18" t="s">
        <v>90</v>
      </c>
      <c r="F114" s="18" t="s">
        <v>90</v>
      </c>
      <c r="G114" s="18"/>
      <c r="H114" s="18" t="s">
        <v>451</v>
      </c>
      <c r="I114" s="18" t="s">
        <v>451</v>
      </c>
      <c r="J114" s="18"/>
      <c r="K114" s="18"/>
      <c r="L114" s="18"/>
      <c r="M114" s="18"/>
      <c r="N114" s="18"/>
      <c r="O114" s="18"/>
      <c r="P114" s="18"/>
      <c r="Q114" s="18"/>
      <c r="R114" s="18" t="s">
        <v>451</v>
      </c>
      <c r="S114" s="18" t="s">
        <v>451</v>
      </c>
      <c r="T114" s="18"/>
      <c r="U114" s="18"/>
      <c r="V114" s="18"/>
      <c r="W114" s="18"/>
      <c r="X114" s="18"/>
      <c r="Y114" s="18" t="s">
        <v>451</v>
      </c>
      <c r="Z114" s="18" t="s">
        <v>451</v>
      </c>
      <c r="AA114" s="44"/>
    </row>
    <row r="115" spans="1:27" hidden="1" x14ac:dyDescent="0.2">
      <c r="A115" s="22">
        <v>43821</v>
      </c>
      <c r="B115" s="16" t="s">
        <v>56</v>
      </c>
      <c r="C115" s="46"/>
      <c r="D115" s="18" t="s">
        <v>90</v>
      </c>
      <c r="E115" s="18" t="s">
        <v>90</v>
      </c>
      <c r="F115" s="18" t="s">
        <v>90</v>
      </c>
      <c r="G115" s="18"/>
      <c r="H115" s="18" t="s">
        <v>451</v>
      </c>
      <c r="I115" s="18" t="s">
        <v>451</v>
      </c>
      <c r="J115" s="18"/>
      <c r="K115" s="18"/>
      <c r="L115" s="18"/>
      <c r="M115" s="18"/>
      <c r="N115" s="18"/>
      <c r="O115" s="18"/>
      <c r="P115" s="18"/>
      <c r="Q115" s="18"/>
      <c r="R115" s="18" t="s">
        <v>451</v>
      </c>
      <c r="S115" s="18" t="s">
        <v>451</v>
      </c>
      <c r="T115" s="18"/>
      <c r="U115" s="18"/>
      <c r="V115" s="18"/>
      <c r="W115" s="18"/>
      <c r="X115" s="18"/>
      <c r="Y115" s="18"/>
      <c r="Z115" s="18"/>
      <c r="AA115" s="44"/>
    </row>
    <row r="116" spans="1:27" hidden="1" x14ac:dyDescent="0.2">
      <c r="A116" s="22">
        <v>43821</v>
      </c>
      <c r="B116" s="16" t="s">
        <v>35</v>
      </c>
      <c r="C116" s="46"/>
      <c r="D116" s="18" t="s">
        <v>90</v>
      </c>
      <c r="E116" s="18" t="s">
        <v>90</v>
      </c>
      <c r="F116" s="18" t="s">
        <v>90</v>
      </c>
      <c r="G116" s="18"/>
      <c r="H116" s="18" t="s">
        <v>451</v>
      </c>
      <c r="I116" s="18" t="s">
        <v>451</v>
      </c>
      <c r="J116" s="18"/>
      <c r="K116" s="18"/>
      <c r="L116" s="18"/>
      <c r="M116" s="18"/>
      <c r="N116" s="18"/>
      <c r="O116" s="18"/>
      <c r="P116" s="18"/>
      <c r="Q116" s="18"/>
      <c r="R116" s="18" t="s">
        <v>451</v>
      </c>
      <c r="S116" s="18" t="s">
        <v>451</v>
      </c>
      <c r="T116" s="18"/>
      <c r="U116" s="18"/>
      <c r="V116" s="18"/>
      <c r="W116" s="18"/>
      <c r="X116" s="18"/>
      <c r="Y116" s="18"/>
      <c r="Z116" s="18"/>
      <c r="AA116" s="44"/>
    </row>
    <row r="117" spans="1:27" hidden="1" x14ac:dyDescent="0.2">
      <c r="A117" s="22">
        <v>43824</v>
      </c>
      <c r="B117" s="16" t="s">
        <v>35</v>
      </c>
      <c r="C117" s="46"/>
      <c r="D117" s="18" t="s">
        <v>90</v>
      </c>
      <c r="E117" s="18" t="s">
        <v>90</v>
      </c>
      <c r="F117" s="18" t="s">
        <v>90</v>
      </c>
      <c r="G117" s="18"/>
      <c r="H117" s="18" t="s">
        <v>451</v>
      </c>
      <c r="I117" s="18" t="s">
        <v>451</v>
      </c>
      <c r="J117" s="18"/>
      <c r="K117" s="18"/>
      <c r="L117" s="18"/>
      <c r="M117" s="18"/>
      <c r="N117" s="18"/>
      <c r="O117" s="18"/>
      <c r="P117" s="18"/>
      <c r="Q117" s="18"/>
      <c r="R117" s="18" t="s">
        <v>451</v>
      </c>
      <c r="S117" s="18" t="s">
        <v>451</v>
      </c>
      <c r="T117" s="18"/>
      <c r="U117" s="18"/>
      <c r="V117" s="18"/>
      <c r="W117" s="18"/>
      <c r="X117" s="18"/>
      <c r="Y117" s="18"/>
      <c r="Z117" s="18"/>
      <c r="AA117" s="44"/>
    </row>
    <row r="118" spans="1:27" hidden="1" x14ac:dyDescent="0.2">
      <c r="A118" s="22">
        <v>43828</v>
      </c>
      <c r="B118" s="16" t="s">
        <v>35</v>
      </c>
      <c r="C118" s="46"/>
      <c r="D118" s="18" t="s">
        <v>90</v>
      </c>
      <c r="E118" s="18" t="s">
        <v>90</v>
      </c>
      <c r="F118" s="18" t="s">
        <v>90</v>
      </c>
      <c r="G118" s="18"/>
      <c r="H118" s="18" t="s">
        <v>451</v>
      </c>
      <c r="I118" s="18" t="s">
        <v>451</v>
      </c>
      <c r="J118" s="18"/>
      <c r="K118" s="18"/>
      <c r="L118" s="18"/>
      <c r="M118" s="18"/>
      <c r="N118" s="18"/>
      <c r="O118" s="18"/>
      <c r="P118" s="18"/>
      <c r="Q118" s="18"/>
      <c r="R118" s="18" t="s">
        <v>451</v>
      </c>
      <c r="S118" s="18" t="s">
        <v>451</v>
      </c>
      <c r="T118" s="18"/>
      <c r="U118" s="18"/>
      <c r="V118" s="18"/>
      <c r="W118" s="18"/>
      <c r="X118" s="18"/>
      <c r="Y118" s="18"/>
      <c r="Z118" s="18"/>
      <c r="AA118" s="44"/>
    </row>
  </sheetData>
  <phoneticPr fontId="2" type="noConversion"/>
  <conditionalFormatting sqref="D2:AA118">
    <cfRule type="cellIs" dxfId="48" priority="160" stopIfTrue="1" operator="equal">
      <formula>"╳"</formula>
    </cfRule>
    <cfRule type="cellIs" dxfId="47" priority="161" stopIfTrue="1" operator="equal">
      <formula>"OK"</formula>
    </cfRule>
  </conditionalFormatting>
  <dataValidations count="1">
    <dataValidation type="list" allowBlank="1" showInputMessage="1" sqref="D2:AA118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F14" sqref="F14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3.625" bestFit="1" customWidth="1"/>
    <col min="4" max="5" width="11.875" bestFit="1" customWidth="1"/>
    <col min="6" max="6" width="13.375" bestFit="1" customWidth="1"/>
    <col min="7" max="7" width="10.5" bestFit="1" customWidth="1"/>
    <col min="8" max="8" width="10.625" bestFit="1" customWidth="1"/>
    <col min="9" max="9" width="15.375" bestFit="1" customWidth="1"/>
    <col min="10" max="10" width="10.625" bestFit="1" customWidth="1"/>
    <col min="11" max="11" width="18.875" style="4" bestFit="1" customWidth="1"/>
    <col min="12" max="12" width="16.25" bestFit="1" customWidth="1"/>
    <col min="13" max="13" width="16" bestFit="1" customWidth="1"/>
    <col min="14" max="14" width="16.25" bestFit="1" customWidth="1"/>
    <col min="15" max="15" width="23" bestFit="1" customWidth="1"/>
    <col min="16" max="16" width="25.25" bestFit="1" customWidth="1"/>
  </cols>
  <sheetData>
    <row r="1" spans="1:15" ht="18" customHeight="1" x14ac:dyDescent="0.2">
      <c r="A1" t="s">
        <v>128</v>
      </c>
      <c r="B1" t="s">
        <v>135</v>
      </c>
      <c r="C1" t="s">
        <v>136</v>
      </c>
      <c r="D1" t="s">
        <v>119</v>
      </c>
      <c r="E1" t="s">
        <v>120</v>
      </c>
      <c r="F1" t="s">
        <v>121</v>
      </c>
      <c r="G1" t="s">
        <v>141</v>
      </c>
      <c r="H1" t="s">
        <v>140</v>
      </c>
      <c r="I1" t="s">
        <v>142</v>
      </c>
      <c r="J1" t="s">
        <v>755</v>
      </c>
      <c r="K1" t="s">
        <v>253</v>
      </c>
      <c r="L1" t="s">
        <v>254</v>
      </c>
      <c r="M1" t="s">
        <v>354</v>
      </c>
      <c r="N1" t="s">
        <v>355</v>
      </c>
      <c r="O1" t="s">
        <v>769</v>
      </c>
    </row>
    <row r="2" spans="1:15" ht="18" customHeight="1" x14ac:dyDescent="0.2">
      <c r="A2" s="23" t="s">
        <v>129</v>
      </c>
      <c r="B2" s="24" t="s">
        <v>134</v>
      </c>
      <c r="C2" s="24" t="s">
        <v>132</v>
      </c>
      <c r="D2" s="23" t="s">
        <v>15</v>
      </c>
      <c r="E2" s="23" t="s">
        <v>17</v>
      </c>
      <c r="F2" s="23" t="s">
        <v>18</v>
      </c>
      <c r="G2" s="23">
        <v>20</v>
      </c>
      <c r="H2" s="23">
        <v>430</v>
      </c>
      <c r="I2" s="23"/>
      <c r="J2" s="23"/>
      <c r="K2" s="23"/>
      <c r="L2" s="23"/>
      <c r="M2" s="23"/>
      <c r="N2" s="23"/>
      <c r="O2" s="23"/>
    </row>
    <row r="3" spans="1:15" ht="18" customHeight="1" x14ac:dyDescent="0.2">
      <c r="A3" s="32" t="s">
        <v>129</v>
      </c>
      <c r="B3" s="33" t="s">
        <v>132</v>
      </c>
      <c r="C3" s="33" t="s">
        <v>133</v>
      </c>
      <c r="D3" s="34" t="s">
        <v>16</v>
      </c>
      <c r="E3" s="34" t="s">
        <v>17</v>
      </c>
      <c r="F3" s="34" t="s">
        <v>835</v>
      </c>
      <c r="G3" s="34">
        <v>20</v>
      </c>
      <c r="H3" s="34">
        <v>500</v>
      </c>
      <c r="I3" s="34"/>
      <c r="J3" s="34"/>
      <c r="K3" s="34"/>
      <c r="L3" s="34"/>
      <c r="M3" s="23"/>
      <c r="N3" s="23"/>
      <c r="O3" s="23"/>
    </row>
    <row r="4" spans="1:15" ht="18" customHeight="1" x14ac:dyDescent="0.2">
      <c r="A4" s="23" t="s">
        <v>111</v>
      </c>
      <c r="B4" s="24" t="s">
        <v>133</v>
      </c>
      <c r="C4" s="24" t="s">
        <v>31</v>
      </c>
      <c r="D4" s="23" t="s">
        <v>137</v>
      </c>
      <c r="E4" s="23" t="s">
        <v>138</v>
      </c>
      <c r="F4" s="23" t="s">
        <v>835</v>
      </c>
      <c r="G4" s="23">
        <v>20</v>
      </c>
      <c r="H4" s="23">
        <v>500</v>
      </c>
      <c r="I4" s="23" t="s">
        <v>764</v>
      </c>
      <c r="J4" s="23">
        <v>100</v>
      </c>
      <c r="K4" s="23" t="s">
        <v>403</v>
      </c>
      <c r="L4" s="23" t="s">
        <v>405</v>
      </c>
      <c r="M4" s="36" t="s">
        <v>353</v>
      </c>
      <c r="N4" s="36" t="s">
        <v>297</v>
      </c>
      <c r="O4" s="23" t="s">
        <v>768</v>
      </c>
    </row>
    <row r="5" spans="1:15" ht="18" customHeight="1" x14ac:dyDescent="0.2">
      <c r="A5" s="23" t="s">
        <v>111</v>
      </c>
      <c r="B5" s="24" t="s">
        <v>133</v>
      </c>
      <c r="C5" s="24" t="s">
        <v>36</v>
      </c>
      <c r="D5" s="23" t="s">
        <v>19</v>
      </c>
      <c r="E5" s="23" t="s">
        <v>20</v>
      </c>
      <c r="F5" s="23" t="s">
        <v>834</v>
      </c>
      <c r="G5" s="23">
        <v>20</v>
      </c>
      <c r="H5" s="23">
        <v>500</v>
      </c>
      <c r="I5" s="49" t="s">
        <v>256</v>
      </c>
      <c r="J5" s="23">
        <v>100</v>
      </c>
      <c r="K5" s="23" t="s">
        <v>403</v>
      </c>
      <c r="L5" s="23" t="s">
        <v>406</v>
      </c>
      <c r="M5" s="5" t="s">
        <v>356</v>
      </c>
      <c r="N5" s="5" t="s">
        <v>298</v>
      </c>
      <c r="O5" s="23"/>
    </row>
    <row r="6" spans="1:15" ht="18" customHeight="1" x14ac:dyDescent="0.2">
      <c r="A6" s="23" t="s">
        <v>159</v>
      </c>
      <c r="B6" s="24" t="s">
        <v>160</v>
      </c>
      <c r="C6" s="24" t="s">
        <v>344</v>
      </c>
      <c r="D6" s="23" t="s">
        <v>161</v>
      </c>
      <c r="E6" s="23" t="s">
        <v>162</v>
      </c>
      <c r="F6" s="23" t="s">
        <v>834</v>
      </c>
      <c r="G6" s="23">
        <v>20</v>
      </c>
      <c r="H6" s="23">
        <v>500</v>
      </c>
      <c r="I6" s="23" t="s">
        <v>764</v>
      </c>
      <c r="J6" s="23">
        <v>100</v>
      </c>
      <c r="K6" s="23" t="s">
        <v>403</v>
      </c>
      <c r="L6" s="23" t="s">
        <v>407</v>
      </c>
      <c r="M6" s="5"/>
      <c r="N6" s="37" t="s">
        <v>767</v>
      </c>
      <c r="O6" s="23" t="s">
        <v>787</v>
      </c>
    </row>
    <row r="7" spans="1:15" ht="18" customHeight="1" x14ac:dyDescent="0.2">
      <c r="A7" s="23" t="s">
        <v>111</v>
      </c>
      <c r="B7" s="24" t="s">
        <v>133</v>
      </c>
      <c r="C7" s="24" t="s">
        <v>33</v>
      </c>
      <c r="D7" s="23" t="s">
        <v>137</v>
      </c>
      <c r="E7" s="23" t="s">
        <v>138</v>
      </c>
      <c r="F7" s="23" t="s">
        <v>834</v>
      </c>
      <c r="G7" s="23">
        <v>20</v>
      </c>
      <c r="H7" s="23">
        <v>500</v>
      </c>
      <c r="I7" s="23" t="s">
        <v>230</v>
      </c>
      <c r="J7" s="23">
        <v>100</v>
      </c>
      <c r="K7" s="23" t="s">
        <v>403</v>
      </c>
      <c r="L7" s="23" t="s">
        <v>408</v>
      </c>
      <c r="M7" s="23" t="s">
        <v>361</v>
      </c>
      <c r="N7" s="23" t="s">
        <v>362</v>
      </c>
      <c r="O7" s="23"/>
    </row>
    <row r="8" spans="1:15" ht="18" customHeight="1" x14ac:dyDescent="0.2">
      <c r="A8" s="23" t="s">
        <v>111</v>
      </c>
      <c r="B8" s="24" t="s">
        <v>133</v>
      </c>
      <c r="C8" s="24" t="s">
        <v>247</v>
      </c>
      <c r="D8" s="23" t="s">
        <v>139</v>
      </c>
      <c r="E8" s="23" t="s">
        <v>138</v>
      </c>
      <c r="F8" s="23" t="s">
        <v>834</v>
      </c>
      <c r="G8" s="23">
        <v>20</v>
      </c>
      <c r="H8" s="23">
        <v>500</v>
      </c>
      <c r="I8" s="23" t="s">
        <v>230</v>
      </c>
      <c r="J8" s="23"/>
      <c r="K8" s="23" t="s">
        <v>630</v>
      </c>
      <c r="L8" s="23" t="s">
        <v>252</v>
      </c>
      <c r="M8" s="23" t="s">
        <v>359</v>
      </c>
      <c r="N8" s="23" t="s">
        <v>360</v>
      </c>
      <c r="O8" s="54"/>
    </row>
    <row r="9" spans="1:15" ht="18" customHeight="1" x14ac:dyDescent="0.2">
      <c r="A9" s="23" t="s">
        <v>111</v>
      </c>
      <c r="B9" s="24" t="s">
        <v>133</v>
      </c>
      <c r="C9" s="24" t="s">
        <v>46</v>
      </c>
      <c r="D9" s="23" t="s">
        <v>161</v>
      </c>
      <c r="E9" s="23" t="s">
        <v>162</v>
      </c>
      <c r="F9" s="23" t="s">
        <v>834</v>
      </c>
      <c r="G9" s="23">
        <v>20</v>
      </c>
      <c r="H9" s="23">
        <v>500</v>
      </c>
      <c r="I9" s="23" t="s">
        <v>230</v>
      </c>
      <c r="J9" s="23">
        <v>100</v>
      </c>
      <c r="K9" s="23" t="s">
        <v>403</v>
      </c>
      <c r="L9" s="23" t="s">
        <v>252</v>
      </c>
      <c r="M9" s="23" t="s">
        <v>357</v>
      </c>
      <c r="N9" s="23" t="s">
        <v>358</v>
      </c>
      <c r="O9" s="23"/>
    </row>
    <row r="10" spans="1:15" ht="18" customHeight="1" x14ac:dyDescent="0.2">
      <c r="A10" s="23" t="s">
        <v>111</v>
      </c>
      <c r="B10" s="24" t="s">
        <v>133</v>
      </c>
      <c r="C10" s="24" t="s">
        <v>450</v>
      </c>
      <c r="D10" s="23" t="s">
        <v>137</v>
      </c>
      <c r="E10" s="23" t="s">
        <v>20</v>
      </c>
      <c r="F10" s="23" t="s">
        <v>834</v>
      </c>
      <c r="G10" s="23">
        <v>20</v>
      </c>
      <c r="H10" s="23">
        <v>500</v>
      </c>
      <c r="I10" s="23" t="s">
        <v>230</v>
      </c>
      <c r="J10" s="23">
        <v>100</v>
      </c>
      <c r="K10" s="23" t="s">
        <v>403</v>
      </c>
      <c r="L10" s="23" t="s">
        <v>452</v>
      </c>
      <c r="M10" s="23"/>
      <c r="N10" s="23" t="s">
        <v>453</v>
      </c>
      <c r="O10" s="23"/>
    </row>
    <row r="11" spans="1:15" ht="18" customHeight="1" x14ac:dyDescent="0.2">
      <c r="A11" s="23" t="s">
        <v>4</v>
      </c>
      <c r="B11" s="24" t="s">
        <v>133</v>
      </c>
      <c r="C11" s="24" t="s">
        <v>30</v>
      </c>
      <c r="D11" s="23" t="s">
        <v>268</v>
      </c>
      <c r="E11" s="23" t="s">
        <v>269</v>
      </c>
      <c r="F11" s="55" t="s">
        <v>836</v>
      </c>
      <c r="G11" s="23">
        <v>20</v>
      </c>
      <c r="H11" s="23">
        <v>500</v>
      </c>
      <c r="I11" s="23" t="s">
        <v>230</v>
      </c>
      <c r="J11" s="23">
        <v>100</v>
      </c>
      <c r="K11" s="23" t="s">
        <v>404</v>
      </c>
      <c r="L11" s="23" t="s">
        <v>252</v>
      </c>
      <c r="M11" s="23" t="s">
        <v>363</v>
      </c>
      <c r="N11" s="23"/>
      <c r="O11" s="23" t="s">
        <v>792</v>
      </c>
    </row>
    <row r="12" spans="1:15" ht="18" customHeight="1" x14ac:dyDescent="0.2">
      <c r="A12" s="23" t="s">
        <v>4</v>
      </c>
      <c r="B12" s="24" t="s">
        <v>133</v>
      </c>
      <c r="C12" s="24" t="s">
        <v>248</v>
      </c>
      <c r="D12" s="23"/>
      <c r="E12" s="23"/>
      <c r="F12" s="23"/>
      <c r="G12" s="23">
        <v>20</v>
      </c>
      <c r="H12" s="23"/>
      <c r="I12" s="23"/>
      <c r="J12" s="23"/>
      <c r="K12" s="23" t="s">
        <v>255</v>
      </c>
      <c r="L12" s="23"/>
      <c r="M12" s="23"/>
      <c r="N12" s="23"/>
      <c r="O12" s="23"/>
    </row>
    <row r="13" spans="1:15" ht="18" customHeight="1" x14ac:dyDescent="0.2">
      <c r="A13" s="23" t="s">
        <v>4</v>
      </c>
      <c r="B13" s="24" t="s">
        <v>133</v>
      </c>
      <c r="C13" s="24" t="s">
        <v>35</v>
      </c>
      <c r="D13" s="23" t="s">
        <v>163</v>
      </c>
      <c r="E13" s="23" t="s">
        <v>164</v>
      </c>
      <c r="F13" s="55" t="s">
        <v>836</v>
      </c>
      <c r="G13" s="23">
        <v>20</v>
      </c>
      <c r="H13" s="23">
        <v>500</v>
      </c>
      <c r="I13" s="23" t="s">
        <v>765</v>
      </c>
      <c r="J13" s="23"/>
      <c r="K13" s="23" t="s">
        <v>404</v>
      </c>
      <c r="L13" s="23" t="s">
        <v>407</v>
      </c>
      <c r="M13" s="23" t="s">
        <v>364</v>
      </c>
      <c r="N13" s="23" t="s">
        <v>454</v>
      </c>
      <c r="O13" s="23" t="s">
        <v>770</v>
      </c>
    </row>
    <row r="14" spans="1:15" ht="18" customHeight="1" x14ac:dyDescent="0.2">
      <c r="A14" s="23" t="s">
        <v>4</v>
      </c>
      <c r="B14" s="24" t="s">
        <v>133</v>
      </c>
      <c r="C14" s="24" t="s">
        <v>34</v>
      </c>
      <c r="D14" s="55" t="s">
        <v>486</v>
      </c>
      <c r="E14" s="55" t="s">
        <v>486</v>
      </c>
      <c r="F14" s="55" t="s">
        <v>836</v>
      </c>
      <c r="G14" s="55" t="s">
        <v>772</v>
      </c>
      <c r="H14" s="55" t="s">
        <v>486</v>
      </c>
      <c r="I14" s="55" t="s">
        <v>486</v>
      </c>
      <c r="J14" s="55" t="s">
        <v>486</v>
      </c>
      <c r="K14" s="23" t="s">
        <v>255</v>
      </c>
      <c r="L14" s="23"/>
      <c r="M14" s="23" t="s">
        <v>365</v>
      </c>
      <c r="N14" s="23"/>
      <c r="O14" s="23" t="s">
        <v>771</v>
      </c>
    </row>
    <row r="15" spans="1:15" ht="18" customHeight="1" x14ac:dyDescent="0.2">
      <c r="A15" s="23" t="s">
        <v>4</v>
      </c>
      <c r="B15" s="24" t="s">
        <v>133</v>
      </c>
      <c r="C15" s="24" t="s">
        <v>249</v>
      </c>
      <c r="D15" s="23"/>
      <c r="E15" s="23"/>
      <c r="F15" s="23"/>
      <c r="G15" s="23">
        <v>20</v>
      </c>
      <c r="H15" s="23"/>
      <c r="I15" s="23"/>
      <c r="J15" s="23"/>
      <c r="K15" s="23" t="s">
        <v>404</v>
      </c>
      <c r="L15" s="23"/>
      <c r="M15" s="23"/>
      <c r="N15" s="23"/>
      <c r="O15" s="23"/>
    </row>
    <row r="16" spans="1:15" ht="18" customHeight="1" x14ac:dyDescent="0.2">
      <c r="A16" s="23" t="s">
        <v>6</v>
      </c>
      <c r="B16" s="24" t="s">
        <v>133</v>
      </c>
      <c r="C16" s="24" t="s">
        <v>638</v>
      </c>
      <c r="D16" s="23" t="s">
        <v>19</v>
      </c>
      <c r="E16" s="23" t="s">
        <v>20</v>
      </c>
      <c r="F16" s="23" t="s">
        <v>834</v>
      </c>
      <c r="G16" s="23">
        <v>20</v>
      </c>
      <c r="H16" s="23">
        <v>500</v>
      </c>
      <c r="I16" s="23" t="s">
        <v>230</v>
      </c>
      <c r="J16" s="23">
        <v>100</v>
      </c>
      <c r="K16" s="23" t="s">
        <v>403</v>
      </c>
      <c r="L16" s="23"/>
      <c r="M16" s="23"/>
      <c r="N16" s="23"/>
      <c r="O16" s="23"/>
    </row>
    <row r="17" spans="1:15" ht="18" customHeight="1" x14ac:dyDescent="0.2">
      <c r="A17" s="23" t="s">
        <v>6</v>
      </c>
      <c r="B17" s="24" t="s">
        <v>133</v>
      </c>
      <c r="C17" s="24" t="s">
        <v>27</v>
      </c>
      <c r="D17" s="55" t="s">
        <v>486</v>
      </c>
      <c r="E17" s="55" t="s">
        <v>486</v>
      </c>
      <c r="F17" s="55" t="s">
        <v>486</v>
      </c>
      <c r="G17" s="55" t="s">
        <v>486</v>
      </c>
      <c r="H17" s="55" t="s">
        <v>486</v>
      </c>
      <c r="I17" s="55" t="s">
        <v>486</v>
      </c>
      <c r="J17" s="55" t="s">
        <v>486</v>
      </c>
      <c r="K17" s="23" t="s">
        <v>255</v>
      </c>
      <c r="L17" s="23"/>
      <c r="M17" s="23" t="s">
        <v>523</v>
      </c>
      <c r="N17" s="23"/>
      <c r="O17" s="23"/>
    </row>
    <row r="18" spans="1:15" ht="18" customHeight="1" x14ac:dyDescent="0.2">
      <c r="A18" s="23" t="s">
        <v>131</v>
      </c>
      <c r="B18" s="24" t="s">
        <v>133</v>
      </c>
      <c r="C18" s="24" t="s">
        <v>29</v>
      </c>
      <c r="D18" s="23" t="s">
        <v>19</v>
      </c>
      <c r="E18" s="23" t="s">
        <v>20</v>
      </c>
      <c r="F18" s="23" t="s">
        <v>834</v>
      </c>
      <c r="G18" s="23">
        <v>20</v>
      </c>
      <c r="H18" s="23">
        <v>500</v>
      </c>
      <c r="I18" s="23" t="s">
        <v>296</v>
      </c>
      <c r="J18" s="23">
        <v>200</v>
      </c>
      <c r="K18" s="23" t="s">
        <v>413</v>
      </c>
      <c r="L18" s="23" t="s">
        <v>409</v>
      </c>
      <c r="M18" s="23" t="s">
        <v>528</v>
      </c>
      <c r="N18" s="23"/>
      <c r="O18" s="23"/>
    </row>
    <row r="19" spans="1:15" ht="18" customHeight="1" x14ac:dyDescent="0.2">
      <c r="A19" s="23" t="s">
        <v>6</v>
      </c>
      <c r="B19" s="24" t="s">
        <v>133</v>
      </c>
      <c r="C19" s="24" t="s">
        <v>522</v>
      </c>
      <c r="D19" s="23" t="s">
        <v>19</v>
      </c>
      <c r="E19" s="23" t="s">
        <v>20</v>
      </c>
      <c r="F19" s="23" t="s">
        <v>834</v>
      </c>
      <c r="G19" s="23">
        <v>20</v>
      </c>
      <c r="H19" s="23">
        <v>500</v>
      </c>
      <c r="I19" s="23" t="s">
        <v>230</v>
      </c>
      <c r="J19" s="23">
        <v>100</v>
      </c>
      <c r="K19" s="23" t="s">
        <v>403</v>
      </c>
      <c r="L19" s="23"/>
      <c r="M19" s="23" t="s">
        <v>524</v>
      </c>
      <c r="N19" s="23"/>
      <c r="O19" s="23"/>
    </row>
    <row r="20" spans="1:15" ht="18" customHeight="1" x14ac:dyDescent="0.2"/>
    <row r="21" spans="1:15" x14ac:dyDescent="0.2">
      <c r="A21" t="s">
        <v>497</v>
      </c>
    </row>
    <row r="34" spans="1:8" x14ac:dyDescent="0.2">
      <c r="A34" s="39" t="s">
        <v>130</v>
      </c>
      <c r="B34" s="40" t="s">
        <v>134</v>
      </c>
      <c r="C34" s="40" t="s">
        <v>132</v>
      </c>
      <c r="D34" s="39" t="s">
        <v>123</v>
      </c>
      <c r="E34" s="39" t="s">
        <v>124</v>
      </c>
      <c r="F34" s="39" t="s">
        <v>125</v>
      </c>
      <c r="H34" s="39">
        <v>425</v>
      </c>
    </row>
    <row r="35" spans="1:8" x14ac:dyDescent="0.2">
      <c r="A35" s="41" t="s">
        <v>130</v>
      </c>
      <c r="B35" s="42" t="s">
        <v>132</v>
      </c>
      <c r="C35" s="42" t="s">
        <v>133</v>
      </c>
      <c r="D35" s="41" t="s">
        <v>126</v>
      </c>
      <c r="E35" s="41" t="s">
        <v>127</v>
      </c>
      <c r="F35" s="41" t="s">
        <v>122</v>
      </c>
      <c r="H35" s="41">
        <v>500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2019-12-08T06:32:44Z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