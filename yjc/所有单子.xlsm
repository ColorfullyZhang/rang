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F18281F-F557-48F9-B8B9-62CF59FFEC9E}" xr6:coauthVersionLast="43" xr6:coauthVersionMax="43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9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602" i="6" l="1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408" i="6" l="1"/>
  <c r="H1406" i="6"/>
  <c r="H1336" i="6"/>
  <c r="H1335" i="6"/>
  <c r="H1334" i="6"/>
  <c r="H1557" i="6"/>
  <c r="H1393" i="6"/>
  <c r="H1404" i="6" l="1"/>
  <c r="H1331" i="6"/>
  <c r="H1224" i="6"/>
  <c r="H1344" i="6" l="1"/>
  <c r="H1328" i="6"/>
  <c r="H1329" i="6"/>
  <c r="H1330" i="6"/>
  <c r="H1333" i="6"/>
  <c r="H1332" i="6"/>
  <c r="H1337" i="6"/>
  <c r="H1338" i="6"/>
  <c r="H1339" i="6"/>
  <c r="H1340" i="6"/>
  <c r="H1555" i="6"/>
  <c r="H1341" i="6"/>
  <c r="H1342" i="6"/>
  <c r="H1343" i="6"/>
  <c r="H1415" i="6"/>
  <c r="H1556" i="6"/>
  <c r="H1558" i="6"/>
  <c r="H1403" i="6"/>
  <c r="H1405" i="6"/>
  <c r="H1407" i="6"/>
  <c r="H1409" i="6"/>
  <c r="H1410" i="6"/>
  <c r="H1411" i="6"/>
  <c r="H1412" i="6"/>
  <c r="H1413" i="6"/>
  <c r="H1414" i="6"/>
  <c r="H1402" i="6"/>
  <c r="H1401" i="6"/>
  <c r="H140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554" i="6"/>
  <c r="H1399" i="6" l="1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327" i="6" l="1"/>
  <c r="H1416" i="6" l="1"/>
  <c r="H1492" i="6" l="1"/>
  <c r="H1453" i="6"/>
  <c r="H1248" i="6"/>
  <c r="H496" i="6" l="1"/>
  <c r="H495" i="6"/>
  <c r="H494" i="6"/>
  <c r="H1326" i="6" l="1"/>
  <c r="H493" i="6" l="1"/>
  <c r="H1073" i="6"/>
  <c r="H1325" i="6" l="1"/>
  <c r="H1446" i="6" l="1"/>
  <c r="H1447" i="6"/>
  <c r="H1448" i="6"/>
  <c r="H1449" i="6"/>
  <c r="H1450" i="6"/>
  <c r="H1451" i="6"/>
  <c r="H1455" i="6"/>
  <c r="H1456" i="6"/>
  <c r="H1457" i="6"/>
  <c r="H1458" i="6"/>
  <c r="H1459" i="6"/>
  <c r="H1452" i="6"/>
  <c r="H1454" i="6"/>
  <c r="H1460" i="6"/>
  <c r="H1461" i="6"/>
  <c r="H1462" i="6"/>
  <c r="H1463" i="6"/>
  <c r="H1464" i="6"/>
  <c r="H1465" i="6"/>
  <c r="H1466" i="6"/>
  <c r="H1231" i="6" l="1"/>
  <c r="H1232" i="6"/>
  <c r="H1233" i="6"/>
  <c r="H1234" i="6"/>
  <c r="H1235" i="6"/>
  <c r="H1236" i="6"/>
  <c r="H1237" i="6"/>
  <c r="H1238" i="6"/>
  <c r="H1239" i="6"/>
  <c r="H1240" i="6"/>
  <c r="H1487" i="6" l="1"/>
  <c r="H1488" i="6"/>
  <c r="H1489" i="6"/>
  <c r="H1490" i="6"/>
  <c r="H1491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822" i="6" l="1"/>
  <c r="H821" i="6" l="1"/>
  <c r="H1467" i="6" l="1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241" i="6" l="1"/>
  <c r="H1242" i="6"/>
  <c r="H1243" i="6"/>
  <c r="H1244" i="6"/>
  <c r="H1245" i="6"/>
  <c r="H1246" i="6"/>
  <c r="H1250" i="6"/>
  <c r="H1251" i="6"/>
  <c r="H1252" i="6"/>
  <c r="H1253" i="6"/>
  <c r="H1254" i="6"/>
  <c r="H1247" i="6"/>
  <c r="H1249" i="6"/>
  <c r="H1255" i="6"/>
  <c r="H1256" i="6"/>
  <c r="H1257" i="6"/>
  <c r="H1258" i="6"/>
  <c r="H1259" i="6"/>
  <c r="H1260" i="6"/>
  <c r="H1261" i="6"/>
  <c r="H1345" i="6" l="1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7" i="6"/>
  <c r="H1298" i="6"/>
  <c r="H1294" i="6"/>
  <c r="H1295" i="6"/>
  <c r="H1296" i="6"/>
  <c r="H1299" i="6"/>
  <c r="H1300" i="6"/>
  <c r="H1301" i="6"/>
  <c r="H1302" i="6"/>
  <c r="H1303" i="6"/>
  <c r="H1304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5" i="6" l="1"/>
  <c r="H1306" i="6"/>
  <c r="H1307" i="6"/>
  <c r="H1308" i="6"/>
  <c r="H1309" i="6"/>
  <c r="H1310" i="6"/>
  <c r="H1311" i="6"/>
  <c r="H1312" i="6"/>
  <c r="H1313" i="6"/>
  <c r="H1314" i="6"/>
  <c r="H1315" i="6"/>
  <c r="H1318" i="6"/>
  <c r="H1319" i="6"/>
  <c r="H1316" i="6"/>
  <c r="H1317" i="6"/>
  <c r="H1320" i="6"/>
  <c r="H1321" i="6"/>
  <c r="H1322" i="6"/>
  <c r="H1323" i="6"/>
  <c r="H1324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544" i="6" l="1"/>
  <c r="H1545" i="6"/>
  <c r="H1546" i="6"/>
  <c r="H1547" i="6"/>
  <c r="H1548" i="6"/>
  <c r="H1549" i="6"/>
  <c r="H1550" i="6"/>
  <c r="H1551" i="6"/>
  <c r="H1552" i="6"/>
  <c r="H1553" i="6"/>
  <c r="H1388" i="6"/>
  <c r="H1389" i="6"/>
  <c r="H1390" i="6"/>
  <c r="H1391" i="6"/>
  <c r="H1392" i="6"/>
  <c r="H1394" i="6"/>
  <c r="H1395" i="6"/>
  <c r="H1396" i="6"/>
  <c r="H1397" i="6"/>
  <c r="H1398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<sst xmlns="http://schemas.openxmlformats.org/spreadsheetml/2006/main" count="7612" uniqueCount="1462">
  <si>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</si>
  <si>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</si>
  <si>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</si>
  <si>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</si>
  <si>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</si>
  <si>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</si>
  <si>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</si>
  <si>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</si>
  <si>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</si>
  <si>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</si>
  <si>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</si>
  <si>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</si>
  <si>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</si>
  <si>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</si>
  <si>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</si>
  <si>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</si>
  <si>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</si>
  <si>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</si>
  <si>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</si>
  <si>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</si>
  <si>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</si>
  <si>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</si>
  <si>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</si>
  <si>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</si>
  <si>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</si>
  <si>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</si>
  <si>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</si>
  <si>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</si>
  <si>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</si>
  <si>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</si>
  <si>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</si>
  <si>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</si>
  <si>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</si>
  <si>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</si>
  <si>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</si>
  <si>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</si>
  <si>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</si>
  <si>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</si>
  <si>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</si>
  <si>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</si>
  <si>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</si>
  <si>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</si>
  <si>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</si>
  <si>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</si>
  <si>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</si>
  <si>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</si>
  <si>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</si>
  <si>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</si>
  <si>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</si>
  <si>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</si>
  <si>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</si>
  <si>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</si>
  <si>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</si>
  <si>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</si>
  <si>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</si>
  <si>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</si>
  <si>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</si>
  <si>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</si>
  <si>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</si>
  <si>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</si>
  <si>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</si>
  <si>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</si>
  <si>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</si>
  <si>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</si>
  <si>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</si>
  <si>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</si>
  <si>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</si>
  <si>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</si>
  <si>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</si>
  <si>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</si>
  <si>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</si>
  <si>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</si>
  <si>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</si>
  <si>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</si>
  <si>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</si>
  <si>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</si>
  <si>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</si>
  <si>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</si>
  <si>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</si>
  <si>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</si>
  <si>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</si>
  <si>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</si>
  <si>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</si>
  <si>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</si>
  <si>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</si>
  <si>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</si>
  <si>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</si>
  <si>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</si>
  <si>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</si>
  <si>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</si>
  <si>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</si>
  <si>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</si>
  <si>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</si>
  <si>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</si>
  <si>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</si>
  <si>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</si>
  <si>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</si>
  <si>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</si>
  <si>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</si>
  <si>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</si>
  <si>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</si>
  <si>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</si>
  <si>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</si>
  <si>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</si>
  <si>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</si>
  <si>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</si>
  <si>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</si>
  <si>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</si>
  <si>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</si>
  <si>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</si>
  <si>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</si>
  <si>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</si>
  <si>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</si>
  <si>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</si>
  <si>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</si>
  <si>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</si>
  <si>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</si>
  <si>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</si>
  <si>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</si>
  <si>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</si>
  <si>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</si>
  <si>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</si>
  <si>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</si>
  <si>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</si>
  <si>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</si>
  <si>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</si>
  <si>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</si>
  <si>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</si>
  <si>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</si>
  <si>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</si>
  <si>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</si>
  <si>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</si>
  <si>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</si>
  <si>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</si>
  <si>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</si>
  <si>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</si>
  <si>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</si>
  <si>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</si>
  <si>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</si>
  <si>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</si>
  <si>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</si>
  <si>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</si>
  <si>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</si>
  <si>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</si>
  <si>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</si>
  <si>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</si>
  <si>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</si>
  <si>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</si>
  <si>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</si>
  <si>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</si>
  <si>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</si>
  <si>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</si>
  <si>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</si>
  <si>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</si>
  <si>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</si>
  <si>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</si>
  <si>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</si>
  <si>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</si>
  <si>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</si>
  <si>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</si>
  <si>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</si>
  <si>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</si>
  <si>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</si>
  <si>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</si>
  <si>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</si>
  <si>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</si>
  <si>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</si>
  <si>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</si>
  <si>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</si>
  <si>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</si>
  <si>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</si>
  <si>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</si>
  <si>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</si>
  <si>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</si>
  <si>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</si>
  <si>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</si>
  <si>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</si>
  <si>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</si>
  <si>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</si>
  <si>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</si>
  <si>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</si>
  <si>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</si>
  <si>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</si>
  <si>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</si>
  <si>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</si>
  <si>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</si>
  <si>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</si>
  <si>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</si>
  <si>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</si>
  <si>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</si>
  <si>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</si>
  <si>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</si>
  <si>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</si>
  <si>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</si>
  <si>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</si>
  <si>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</si>
  <si>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</si>
  <si>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</si>
  <si>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</si>
  <si>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</si>
  <si>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</si>
  <si>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</si>
  <si>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</si>
  <si>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</si>
  <si>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</si>
  <si>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</si>
  <si>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</si>
  <si>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</si>
  <si>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</si>
  <si>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</si>
  <si>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</si>
  <si>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</si>
  <si>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</si>
  <si>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</si>
  <si>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</si>
  <si>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</si>
  <si>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</si>
  <si>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</si>
  <si>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</si>
  <si>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</si>
  <si>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</si>
  <si>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</si>
  <si>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</si>
  <si>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</si>
  <si>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</si>
  <si>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</si>
  <si>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</si>
  <si>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</si>
  <si>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</si>
  <si>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</si>
  <si>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</si>
  <si>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</si>
  <si>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</si>
  <si>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</si>
  <si>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</si>
  <si>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</si>
  <si>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</si>
  <si>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</si>
  <si>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</si>
  <si>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</si>
  <si>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</si>
  <si>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</si>
  <si>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</si>
  <si>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</si>
  <si>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</si>
  <si>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</si>
  <si>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</si>
  <si>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</si>
  <si>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</si>
  <si>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</si>
  <si>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</si>
  <si>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</si>
  <si>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</si>
  <si>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</si>
  <si>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</si>
  <si>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</si>
  <si>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</si>
  <si>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</si>
  <si>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</si>
  <si>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</si>
  <si>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</si>
  <si>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</si>
  <si>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</si>
  <si>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</si>
  <si>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</si>
  <si>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</si>
  <si>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</si>
  <si>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</si>
  <si>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</si>
  <si>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</si>
  <si>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</si>
  <si>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</si>
  <si>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</si>
  <si>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</si>
  <si>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</si>
  <si>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</si>
  <si>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</si>
  <si>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</si>
  <si>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</si>
  <si>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</si>
  <si>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</si>
  <si>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</si>
  <si>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</si>
  <si>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</si>
  <si>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</si>
  <si>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</si>
  <si>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</si>
  <si>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</si>
  <si>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</si>
  <si>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</si>
  <si>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</si>
  <si>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</si>
  <si>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</si>
  <si>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</si>
  <si>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</si>
  <si>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</si>
  <si>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</si>
  <si>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</si>
  <si>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</si>
  <si>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</si>
  <si>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</si>
  <si>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</si>
  <si>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</si>
  <si>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</si>
  <si>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</si>
  <si>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</si>
  <si>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</si>
  <si>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</si>
  <si>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</si>
  <si>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</si>
  <si>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</si>
  <si>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</si>
  <si>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</si>
  <si>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</si>
  <si>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</si>
  <si>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</si>
  <si>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</si>
  <si>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</si>
  <si>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</si>
  <si>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</si>
  <si>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</si>
  <si>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</si>
  <si>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</si>
  <si>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</si>
  <si>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</si>
  <si>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</si>
  <si>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</si>
  <si>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</si>
  <si>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</si>
  <si>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</si>
  <si>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</si>
  <si>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</si>
  <si>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</si>
  <si>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</si>
  <si>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</si>
  <si>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</si>
  <si>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</si>
  <si>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</si>
  <si>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</si>
  <si>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</si>
  <si>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</si>
  <si>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</si>
  <si>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</si>
  <si>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</si>
  <si>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</si>
  <si>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</si>
  <si>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</si>
  <si>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</si>
  <si>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</si>
  <si>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</si>
  <si>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</si>
  <si>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</si>
  <si>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</si>
  <si>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</si>
  <si>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</si>
  <si>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</si>
  <si>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</si>
  <si>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</si>
  <si>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</si>
  <si>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</si>
  <si>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</si>
  <si>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</si>
  <si>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</si>
  <si>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</si>
  <si>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</si>
  <si>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</si>
  <si>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</si>
  <si>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</si>
  <si>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</si>
  <si>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</si>
  <si>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</si>
  <si>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</si>
  <si>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</si>
  <si>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</si>
  <si>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</si>
  <si>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</si>
  <si>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</si>
  <si>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</si>
  <si>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</si>
  <si>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</si>
  <si>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</si>
  <si>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</si>
  <si>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</si>
  <si>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</si>
  <si>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</si>
  <si>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</si>
  <si>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</si>
  <si>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</si>
  <si>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</si>
  <si>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</si>
  <si>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</si>
  <si>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</si>
  <si>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</si>
  <si>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</si>
  <si>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</si>
  <si>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</si>
  <si>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</si>
  <si>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</si>
  <si>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</si>
  <si>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</si>
  <si>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</si>
  <si>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</si>
  <si>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</si>
  <si>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</si>
  <si>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</si>
  <si>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</si>
  <si>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</si>
  <si>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</si>
  <si>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</si>
  <si>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</si>
  <si>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</si>
  <si>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</si>
  <si>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</si>
  <si>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</si>
  <si>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</si>
  <si>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</si>
  <si>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</si>
  <si>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</si>
  <si>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</si>
  <si>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</si>
  <si>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</si>
  <si>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</si>
  <si>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</si>
  <si>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</si>
  <si>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</si>
  <si>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</si>
  <si>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</si>
  <si>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</si>
  <si>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</si>
  <si>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</si>
  <si>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</si>
  <si>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</si>
  <si>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</si>
  <si>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</si>
  <si>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</si>
  <si>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</si>
  <si>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</si>
  <si>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</si>
  <si>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</si>
  <si>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</si>
  <si>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</si>
  <si>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</si>
  <si>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</si>
  <si>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</si>
  <si>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</si>
  <si>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</si>
  <si>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</si>
  <si>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</si>
  <si>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</si>
  <si>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</si>
  <si>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</si>
  <si>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</si>
  <si>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</si>
  <si>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</si>
  <si>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</si>
  <si>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</si>
  <si>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</si>
  <si>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</si>
  <si>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</si>
  <si>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</si>
  <si>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</si>
  <si>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</si>
  <si>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</si>
  <si>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</si>
  <si>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</si>
  <si>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</si>
  <si>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</si>
  <si>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</si>
  <si>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</si>
  <si>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</si>
  <si>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</si>
  <si>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</si>
  <si>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</si>
  <si>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</si>
  <si>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</si>
  <si>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</si>
  <si>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</si>
  <si>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</si>
  <si>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</si>
  <si>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</si>
  <si>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</si>
  <si>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</si>
  <si>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</si>
  <si>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</si>
  <si>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</si>
  <si>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</si>
  <si>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</si>
  <si>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</si>
  <si>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</si>
  <si>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</si>
  <si>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</si>
  <si>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</si>
  <si>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</si>
  <si>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</si>
  <si>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</si>
  <si>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</si>
  <si>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</si>
  <si>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</si>
  <si>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</si>
  <si>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</si>
  <si>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</si>
  <si>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</si>
  <si>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</si>
  <si>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</si>
  <si>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</si>
  <si>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</si>
  <si>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</si>
  <si>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</si>
  <si>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</si>
  <si>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</si>
  <si>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</si>
  <si>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</si>
  <si>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</si>
  <si>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</si>
  <si>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</si>
  <si>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</si>
  <si>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</si>
  <si>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</si>
  <si>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</si>
  <si>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</si>
  <si>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</si>
  <si>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</si>
  <si>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</si>
  <si>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</si>
  <si>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</si>
  <si>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</si>
  <si>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</si>
  <si>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</si>
  <si>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</si>
  <si>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</si>
  <si>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</si>
  <si>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</si>
  <si>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</si>
  <si>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</si>
  <si>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</si>
  <si>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</si>
  <si>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</si>
  <si>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</si>
  <si>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</si>
  <si>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</si>
  <si>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</si>
  <si>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</si>
  <si>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</si>
  <si>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</si>
  <si>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</si>
  <si>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</si>
  <si>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</si>
  <si>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</si>
  <si>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</si>
  <si>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</si>
  <si>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</si>
  <si>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</si>
  <si>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</si>
  <si>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</si>
  <si>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</si>
  <si>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</si>
  <si>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</si>
  <si>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</si>
  <si>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</si>
  <si>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</si>
  <si>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</si>
  <si>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</si>
  <si>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</si>
  <si>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</si>
  <si>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</si>
  <si>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</si>
  <si>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</si>
  <si>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</si>
  <si>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</si>
  <si>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</si>
  <si>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</si>
  <si>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</si>
  <si>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</si>
  <si>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</si>
  <si>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</si>
  <si>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</si>
  <si>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</si>
  <si>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</si>
  <si>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</si>
  <si>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</si>
  <si>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</si>
  <si>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</si>
  <si>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</si>
  <si>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</si>
  <si>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</si>
  <si>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</si>
  <si>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</si>
  <si>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</si>
  <si>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</si>
  <si>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</si>
  <si>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</si>
  <si>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</si>
  <si>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</si>
  <si>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</si>
  <si>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</si>
  <si>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</si>
  <si>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</si>
  <si>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</si>
  <si>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</si>
  <si>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</si>
  <si>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</si>
  <si>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</si>
  <si>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</si>
  <si>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</si>
  <si>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</si>
  <si>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</si>
  <si>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</si>
  <si>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</si>
  <si>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</si>
  <si>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</si>
  <si>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</si>
  <si>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</si>
  <si>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</si>
  <si>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</si>
  <si>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</si>
  <si>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</si>
  <si>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</si>
  <si>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</si>
  <si>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</si>
  <si>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</si>
  <si>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</si>
  <si>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</si>
  <si>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</si>
  <si>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</si>
  <si>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</si>
  <si>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</si>
  <si>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</si>
  <si>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</si>
  <si>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</si>
  <si>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</si>
  <si>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</si>
  <si>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</si>
  <si>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</si>
  <si>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</si>
  <si>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</si>
  <si>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</si>
  <si>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</si>
  <si>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</si>
  <si>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</si>
  <si>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</si>
  <si>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</si>
  <si>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</si>
  <si>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</si>
  <si>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</si>
  <si>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</si>
  <si>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</si>
  <si>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</si>
  <si>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</si>
  <si>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</si>
  <si>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</si>
  <si>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</si>
  <si>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</si>
  <si>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</si>
  <si>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</si>
  <si>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</si>
  <si>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</si>
  <si>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</si>
  <si>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</si>
  <si>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</si>
  <si>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</si>
  <si>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</si>
  <si>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</si>
  <si>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</si>
  <si>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</si>
  <si>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</si>
  <si>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</si>
  <si>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</si>
  <si>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</si>
  <si>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</si>
  <si>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</si>
  <si>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</si>
  <si>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</si>
  <si>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</si>
  <si>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</si>
  <si>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</si>
  <si>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</si>
  <si>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</si>
  <si>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</si>
  <si>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</si>
  <si>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</si>
  <si>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</si>
  <si>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</si>
  <si>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</si>
  <si>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</si>
  <si>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</si>
  <si>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</si>
  <si>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</si>
  <si>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</si>
  <si>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</si>
  <si>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</si>
  <si>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</si>
  <si>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</si>
  <si>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</si>
  <si>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</si>
  <si>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</si>
  <si>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</si>
  <si>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</si>
  <si>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</si>
  <si>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</si>
  <si>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</si>
  <si>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</si>
  <si>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</si>
  <si>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</si>
  <si>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</si>
  <si>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</si>
  <si>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</si>
  <si>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</si>
  <si>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</si>
  <si>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</si>
  <si>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</si>
  <si>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</si>
  <si>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</si>
  <si>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</si>
  <si>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</si>
  <si>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</si>
  <si>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</si>
  <si>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</si>
  <si>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</si>
  <si>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</si>
  <si>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</si>
  <si>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</si>
  <si>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</si>
  <si>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</si>
  <si>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</si>
  <si>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</si>
  <si>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</si>
  <si>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</si>
  <si>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</si>
  <si>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</si>
  <si>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</si>
  <si>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</si>
  <si>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</si>
  <si>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</si>
  <si>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</si>
  <si>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</si>
  <si>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</si>
  <si>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</si>
  <si>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</si>
  <si>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</si>
  <si>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</si>
  <si>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</si>
  <si>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</si>
  <si>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</si>
  <si>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</si>
  <si>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</si>
  <si>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</si>
  <si>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</si>
  <si>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</si>
  <si>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</si>
  <si>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</si>
  <si>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</si>
  <si>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</si>
  <si>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</si>
  <si>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</si>
  <si>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</si>
  <si>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</si>
  <si>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</si>
  <si>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</si>
  <si>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</si>
  <si>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</si>
  <si>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</si>
  <si>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</si>
  <si>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</si>
  <si>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</si>
  <si>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</si>
  <si>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</si>
  <si>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</si>
  <si>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</si>
  <si>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</si>
  <si>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</si>
  <si>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</si>
  <si>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</si>
  <si>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</si>
  <si>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</si>
  <si>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</si>
  <si>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</si>
  <si>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</si>
  <si>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</si>
  <si>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</si>
  <si>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</si>
  <si>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</si>
  <si>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</si>
  <si>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</si>
  <si>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</si>
  <si>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</si>
  <si>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</si>
  <si>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</si>
  <si>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</si>
  <si>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</si>
  <si>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</si>
  <si>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</si>
  <si>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</si>
  <si>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</si>
  <si>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</si>
  <si>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</si>
  <si>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</si>
  <si>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</si>
  <si>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</si>
  <si>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</si>
  <si>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</si>
  <si>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</si>
  <si>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</si>
  <si>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</si>
  <si>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</si>
  <si>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</si>
  <si>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</si>
  <si>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</si>
  <si>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</si>
  <si>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</si>
  <si>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</si>
  <si>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</si>
  <si>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</si>
  <si>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</si>
  <si>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</si>
  <si>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</si>
  <si>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</si>
  <si>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</si>
  <si>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</si>
  <si>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</si>
  <si>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</si>
  <si>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</si>
  <si>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</si>
  <si>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</si>
  <si>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</si>
  <si>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</si>
  <si>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</si>
  <si>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</si>
  <si>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</si>
  <si>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</si>
  <si>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</si>
  <si>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</si>
  <si>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</si>
  <si>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</si>
  <si>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</si>
  <si>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</si>
  <si>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</si>
  <si>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</si>
  <si>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</si>
  <si>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</si>
  <si>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</si>
  <si>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</si>
  <si>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</si>
  <si>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</si>
  <si>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</si>
  <si>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</si>
  <si>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</si>
  <si>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</si>
  <si>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</si>
  <si>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</si>
  <si>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</si>
  <si>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</si>
  <si>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</si>
  <si>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</si>
  <si>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</si>
  <si>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</si>
  <si>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</si>
  <si>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</si>
  <si>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</si>
  <si>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</si>
  <si>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</si>
  <si>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</si>
  <si>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</si>
  <si>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</si>
  <si>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</si>
  <si>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</si>
  <si>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</si>
  <si>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</si>
  <si>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</si>
  <si>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</si>
  <si>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</si>
  <si>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</si>
  <si>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</si>
  <si>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</si>
  <si>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</si>
  <si>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</si>
  <si>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</si>
  <si>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</si>
  <si>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</si>
  <si>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</si>
  <si>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</si>
  <si>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</si>
  <si>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</si>
  <si>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</si>
  <si>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</si>
  <si>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</si>
  <si>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</si>
  <si>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</si>
  <si>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</si>
  <si>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</si>
  <si>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</si>
  <si>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</si>
  <si>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</si>
  <si>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</si>
  <si>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</si>
  <si>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</si>
  <si>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</si>
  <si>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</si>
  <si>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</si>
  <si>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</si>
  <si>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</si>
  <si>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</si>
  <si>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</si>
  <si>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</si>
  <si>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</si>
  <si>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</si>
  <si>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</si>
  <si>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</si>
  <si>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</si>
  <si>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</si>
  <si>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</si>
  <si>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</si>
  <si>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</si>
  <si>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</si>
  <si>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</si>
  <si>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</si>
  <si>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</si>
  <si>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</si>
  <si>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</si>
  <si>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</si>
  <si>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</si>
  <si>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</si>
  <si>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</si>
  <si>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</si>
  <si>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</si>
  <si>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</si>
  <si>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</si>
  <si>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</si>
  <si>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</si>
  <si>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</si>
  <si>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</si>
  <si>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</si>
  <si>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</si>
  <si>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</si>
  <si>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</si>
  <si>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</si>
  <si>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</si>
  <si>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</si>
  <si>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</si>
  <si>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</si>
  <si>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</si>
  <si>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</si>
  <si>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</si>
  <si>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</si>
  <si>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</si>
  <si>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</si>
  <si>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</si>
  <si>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</si>
  <si>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</si>
  <si>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</si>
  <si>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</si>
  <si>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</si>
  <si>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</si>
  <si>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</si>
  <si>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</si>
  <si>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</si>
  <si>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</si>
  <si>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</si>
  <si>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</si>
  <si>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</si>
  <si>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</si>
  <si>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</si>
  <si>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</si>
  <si>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</si>
  <si>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</si>
  <si>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</si>
  <si>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</si>
  <si>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</si>
  <si>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</si>
  <si>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</si>
  <si>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</si>
  <si>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</si>
  <si>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</si>
  <si>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</si>
  <si>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</si>
  <si>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</si>
  <si>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</si>
  <si>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</si>
  <si>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</si>
  <si>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</si>
  <si>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</si>
  <si>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</si>
  <si>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</si>
  <si>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</si>
  <si>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</si>
  <si>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</si>
  <si>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</si>
  <si>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</si>
  <si>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</si>
  <si>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</si>
  <si>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</si>
  <si>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</si>
  <si>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</si>
  <si>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</si>
  <si>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</si>
  <si>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</si>
  <si>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</si>
  <si>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</si>
  <si>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</si>
  <si>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</si>
  <si>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</si>
  <si>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</si>
  <si>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</si>
  <si>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</si>
  <si>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</si>
  <si>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</si>
  <si>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</si>
  <si>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</si>
  <si>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</si>
  <si>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</si>
  <si>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</si>
  <si>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</si>
  <si>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</si>
  <si>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</si>
  <si>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</si>
  <si>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</si>
  <si>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</si>
  <si>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</si>
  <si>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</si>
  <si>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</si>
  <si>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</si>
  <si>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</si>
  <si>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</si>
  <si>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</si>
  <si>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</si>
  <si>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</si>
  <si>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</si>
  <si>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</si>
  <si>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</si>
  <si>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</si>
  <si>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</si>
  <si>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</si>
  <si>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</si>
  <si>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</si>
  <si>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</si>
  <si>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</si>
  <si>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</si>
  <si>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</si>
  <si>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</si>
  <si>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</si>
  <si>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</si>
  <si>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</si>
  <si>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</si>
  <si>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</si>
  <si>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</si>
  <si>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</si>
  <si>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</si>
  <si>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</si>
  <si>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</si>
  <si>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</si>
  <si>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</si>
  <si>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</si>
  <si>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</si>
  <si>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</si>
  <si>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</si>
  <si>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</si>
  <si>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</si>
  <si>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</si>
  <si>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</si>
  <si>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</si>
  <si>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</si>
  <si>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</si>
  <si>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</si>
  <si>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</si>
  <si>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</si>
  <si>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</si>
  <si>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</si>
  <si>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</si>
  <si>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</si>
  <si>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</si>
  <si>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</si>
  <si>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</si>
  <si>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</si>
  <si>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</si>
  <si>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</si>
  <si>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</si>
  <si>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</si>
  <si>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</si>
  <si>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</si>
  <si>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</si>
  <si>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</si>
  <si>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</si>
  <si>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</si>
  <si>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</si>
  <si>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</si>
  <si>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</si>
  <si>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</si>
  <si>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</si>
  <si>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</si>
  <si>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</si>
  <si>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</si>
  <si>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</si>
  <si>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</si>
  <si>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</si>
  <si>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</si>
  <si>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</si>
  <si>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</si>
  <si>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</si>
  <si>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</si>
  <si>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</si>
  <si>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</si>
  <si>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</si>
  <si>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</si>
  <si>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</si>
  <si>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</si>
  <si>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</si>
  <si>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</si>
  <si>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</si>
  <si>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</si>
  <si>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</si>
  <si>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</si>
  <si>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</si>
  <si>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</si>
  <si>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</si>
  <si>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</si>
  <si>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</si>
  <si>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</si>
  <si>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</si>
  <si>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</si>
  <si>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</si>
  <si>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</si>
  <si>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</si>
  <si>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</si>
  <si>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</si>
  <si>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</si>
  <si>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</si>
  <si>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</si>
  <si>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</si>
  <si>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</si>
  <si>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</si>
  <si>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</si>
  <si>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</si>
  <si>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</si>
  <si>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</si>
  <si>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</si>
  <si>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</si>
  <si>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</si>
  <si>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</si>
  <si>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</si>
  <si>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</si>
  <si>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</si>
  <si>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</si>
  <si>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</si>
  <si>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</si>
  <si>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</si>
  <si>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</si>
  <si>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</si>
  <si>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</si>
  <si>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</si>
  <si>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</si>
  <si>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</si>
  <si>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</si>
  <si>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</si>
  <si>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</si>
  <si>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</si>
  <si>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</si>
  <si>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</si>
  <si>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</si>
  <si>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</si>
  <si>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</si>
  <si>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</si>
  <si>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</si>
  <si>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</si>
  <si>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</si>
  <si>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</si>
  <si>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</si>
  <si>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</si>
  <si>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</si>
  <si>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</si>
  <si>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</si>
  <si>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</si>
  <si>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</si>
  <si>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</si>
  <si>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</si>
  <si>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</si>
  <si>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</si>
  <si>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</si>
  <si>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</si>
  <si>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</si>
  <si>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</si>
  <si>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</si>
  <si>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</si>
  <si>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</si>
  <si>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</si>
  <si>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</si>
  <si>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</si>
  <si>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</si>
  <si>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</si>
  <si>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</si>
  <si>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</si>
  <si>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</si>
  <si>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</si>
  <si>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</si>
  <si>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</si>
  <si>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</si>
  <si>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</si>
  <si>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</si>
  <si>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</si>
  <si>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</si>
  <si>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</si>
  <si>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</si>
  <si>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</si>
  <si>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</si>
  <si>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</si>
  <si>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</si>
  <si>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</si>
  <si>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</si>
  <si>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</si>
  <si>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</si>
  <si>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</si>
  <si>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</si>
  <si>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</si>
  <si>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</si>
  <si>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</si>
  <si>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</si>
  <si>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</si>
  <si>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</si>
  <si>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</si>
  <si>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</si>
  <si>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</si>
  <si>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</si>
  <si>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</si>
  <si>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</si>
  <si>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</si>
  <si>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</si>
  <si>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</si>
  <si>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</si>
  <si>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</si>
  <si>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</si>
  <si>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</si>
  <si>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</si>
  <si>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</si>
  <si>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</si>
  <si>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</si>
  <si>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</si>
  <si>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</si>
  <si>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</si>
  <si>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</si>
  <si>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</si>
  <si>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</si>
  <si>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</si>
  <si>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</si>
  <si>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</si>
  <si>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</si>
  <si>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</si>
  <si>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</si>
  <si>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</si>
  <si>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</si>
  <si>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</si>
  <si>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</si>
  <si>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</si>
  <si>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</si>
  <si>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</si>
  <si>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</si>
  <si>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</si>
  <si>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</si>
  <si>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</si>
  <si>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</si>
  <si>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</si>
  <si>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</si>
  <si>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</si>
  <si>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</si>
  <si>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</si>
  <si>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</si>
  <si>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</si>
  <si>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</si>
  <si>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</si>
  <si>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</si>
  <si>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</si>
  <si>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</si>
  <si>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</si>
  <si>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</si>
  <si>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</si>
  <si>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</si>
  <si>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</si>
  <si>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</si>
  <si>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</si>
  <si>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</si>
  <si>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</si>
  <si>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</si>
  <si>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</si>
  <si>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</si>
  <si>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</si>
  <si>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</si>
  <si>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</si>
  <si>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</si>
  <si>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</si>
  <si>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</si>
  <si>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</si>
  <si>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</si>
  <si>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</si>
  <si>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</si>
  <si>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</si>
  <si>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</si>
  <si>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</si>
  <si>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</si>
  <si>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</si>
  <si>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</si>
  <si>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</si>
  <si>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</si>
  <si>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</si>
  <si>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</si>
  <si>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</si>
  <si>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</si>
  <si>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</si>
  <si>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</si>
  <si>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</si>
  <si>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</si>
  <si>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</si>
  <si>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</si>
  <si>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</si>
  <si>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</si>
  <si>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</si>
  <si>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</si>
  <si>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</si>
  <si>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</si>
  <si>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</si>
  <si>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</si>
  <si>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</si>
  <si>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</si>
  <si>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</si>
  <si>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</si>
  <si>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</si>
  <si>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</si>
  <si>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</si>
  <si>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</si>
  <si>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</si>
  <si>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</si>
  <si>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</si>
  <si>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</si>
  <si>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</si>
  <si>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</si>
  <si>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</si>
  <si>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</si>
  <si>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</si>
  <si>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</si>
  <si>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</si>
  <si>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</si>
  <si>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</si>
  <si>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</si>
  <si>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</si>
  <si>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</si>
  <si>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</si>
  <si>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</si>
  <si>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</si>
  <si>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</si>
  <si>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</si>
  <si>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</si>
  <si>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</si>
  <si>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</si>
  <si>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</si>
  <si>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</si>
  <si>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</si>
  <si>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</si>
  <si>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</si>
  <si>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</si>
  <si>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</si>
  <si>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</si>
  <si>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</si>
  <si>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</si>
  <si>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</si>
  <si>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</si>
  <si>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</si>
  <si>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</si>
  <si>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</si>
  <si>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确认报关资料谁给什么时间给？有没有复量数据等？什么时间做箱？</t>
  </si>
  <si>
    <t>确认报关资料谁给什么时间给？有没有复量数据等？什么时间做箱？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</si>
  <si>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</si>
  <si>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</si>
  <si>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</si>
  <si>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</si>
  <si>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</si>
  <si>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</si>
  <si>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</si>
  <si>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</si>
  <si>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</si>
  <si>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</si>
  <si>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</si>
  <si>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计划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</si>
  <si>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</si>
  <si>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</si>
  <si>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</si>
  <si>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</si>
  <si>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</si>
  <si>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</si>
  <si>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</si>
  <si>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</si>
  <si>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</si>
  <si>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</si>
  <si>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</si>
  <si>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</si>
  <si>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</si>
  <si>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</si>
  <si>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</si>
  <si>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</si>
  <si>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</si>
  <si>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</si>
  <si>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收到车队(沈丽)装箱单和洋山提箱截图(如有)【5个】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</si>
  <si>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</si>
  <si>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</si>
  <si>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</si>
  <si>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</si>
  <si>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收到车队(沈丽)装箱单和洋山提箱截图(如有)【5个】已收到装箱单</t>
    <phoneticPr fontId="1" type="noConversion"/>
  </si>
  <si>
    <t>0×40HQ</t>
    <phoneticPr fontId="1" type="noConversion"/>
  </si>
  <si>
    <t>HLCUSHA1907HTYE7</t>
    <phoneticPr fontId="1" type="noConversion"/>
  </si>
  <si>
    <t>YJCSHAN1910925</t>
  </si>
  <si>
    <t>MSC MARIA SAVERIA 927N</t>
    <phoneticPr fontId="1" type="noConversion"/>
  </si>
  <si>
    <t>HDMUQSWB4063582</t>
  </si>
  <si>
    <t>HMM（Neo）确认放舱，网站核对信息</t>
    <phoneticPr fontId="1" type="noConversion"/>
  </si>
  <si>
    <t>YJCSHAN1910479</t>
    <phoneticPr fontId="1" type="noConversion"/>
  </si>
  <si>
    <t>1×40GP</t>
    <phoneticPr fontId="1" type="noConversion"/>
  </si>
  <si>
    <t>订舱:HMM</t>
    <phoneticPr fontId="1" type="noConversion"/>
  </si>
  <si>
    <t>起: 冠东(洋3)</t>
    <phoneticPr fontId="1" type="noConversion"/>
  </si>
  <si>
    <t>转: LONG BEACH(USLGN)</t>
    <phoneticPr fontId="1" type="noConversion"/>
  </si>
  <si>
    <t>终: DETROIT</t>
    <phoneticPr fontId="1" type="noConversion"/>
  </si>
  <si>
    <t>截:07-02</t>
    <phoneticPr fontId="1" type="noConversion"/>
  </si>
  <si>
    <t>开:06-30</t>
    <phoneticPr fontId="1" type="noConversion"/>
  </si>
  <si>
    <t>装:07-02</t>
    <phoneticPr fontId="1" type="noConversion"/>
  </si>
  <si>
    <t>2 报 0 联</t>
    <phoneticPr fontId="1" type="noConversion"/>
  </si>
  <si>
    <t>我预备单号3564，华放3578</t>
  </si>
  <si>
    <t>/578</t>
  </si>
  <si>
    <t>YJCSHAN1910878</t>
  </si>
  <si>
    <t>MSC KATRINA QL926N</t>
    <phoneticPr fontId="1" type="noConversion"/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</si>
  <si>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</si>
  <si>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</si>
  <si>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</si>
  <si>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</si>
  <si>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</si>
  <si>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</si>
  <si>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</si>
  <si>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</si>
  <si>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</si>
  <si>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</si>
  <si>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</si>
  <si>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</si>
  <si>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</si>
  <si>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</si>
  <si>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</si>
  <si>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</si>
  <si>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</si>
  <si>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</si>
  <si>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</si>
  <si>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</si>
  <si>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</si>
  <si>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HYUNDAI SPLENDOR 068E</t>
  </si>
  <si>
    <t>HYUNDAI SPLENDOR 068E</t>
    <phoneticPr fontId="1" type="noConversion"/>
  </si>
  <si>
    <t>MSC MARIA SAVERIA 927N</t>
    <phoneticPr fontId="1" type="noConversion"/>
  </si>
  <si>
    <t>LOS ANGELES()</t>
    <phoneticPr fontId="1" type="noConversion"/>
  </si>
  <si>
    <t>LONG BEACH()</t>
    <phoneticPr fontId="1" type="noConversion"/>
  </si>
  <si>
    <t>YJCSHAN1910946</t>
  </si>
  <si>
    <t>HDMUQSHM4063586</t>
  </si>
  <si>
    <t>HDMUQSHM4063588</t>
    <phoneticPr fontId="1" type="noConversion"/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</si>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</sst>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8.776252199073" createdVersion="6" refreshedVersion="6" minRefreshableVersion="3" recordCount="1643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4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8" maxValue="1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3">
  <r>
    <x v="0"/>
    <x v="0"/>
    <n v="1"/>
    <s v="TJ glovis当月额外费用汇总邮件"/>
    <x v="0"/>
    <x v="0"/>
    <s v="月底"/>
    <n v="-34"/>
  </r>
  <r>
    <x v="0"/>
    <x v="0"/>
    <n v="2"/>
    <s v="CK TJ glovis有没有驳货费"/>
    <x v="0"/>
    <x v="0"/>
    <s v="月底"/>
    <n v="-34"/>
  </r>
  <r>
    <x v="1"/>
    <x v="0"/>
    <n v="1"/>
    <s v="做费用(对账单日期4号)，放公共盘，填月账单表，发孙丹"/>
    <x v="1"/>
    <x v="0"/>
    <m/>
    <n v="-53"/>
  </r>
  <r>
    <x v="2"/>
    <x v="0"/>
    <n v="1"/>
    <s v="做费用(对账单日期4号)，放公共盘，填月账单表，发孙丹"/>
    <x v="1"/>
    <x v="0"/>
    <m/>
    <n v="-53"/>
  </r>
  <r>
    <x v="3"/>
    <x v="1"/>
    <n v="1"/>
    <s v="HMM Neo 下周订舱邮件"/>
    <x v="2"/>
    <x v="0"/>
    <s v="周一"/>
    <n v="-62"/>
  </r>
  <r>
    <x v="3"/>
    <x v="1"/>
    <n v="2"/>
    <s v="SHA GLV WORKING PROCESS"/>
    <x v="2"/>
    <x v="0"/>
    <s v="周一"/>
    <n v="-62"/>
  </r>
  <r>
    <x v="3"/>
    <x v="1"/>
    <n v="3"/>
    <s v="SHA GLV WORKING PROCESS"/>
    <x v="3"/>
    <x v="0"/>
    <s v="周三"/>
    <n v="-55"/>
  </r>
  <r>
    <x v="3"/>
    <x v="1"/>
    <n v="4"/>
    <s v="TJ glovis额外费用邮件"/>
    <x v="1"/>
    <x v="0"/>
    <s v="周五"/>
    <n v="-53"/>
  </r>
  <r>
    <x v="3"/>
    <x v="1"/>
    <n v="5"/>
    <s v="SHA GLV WORKING PROCESS"/>
    <x v="1"/>
    <x v="0"/>
    <s v="周五"/>
    <n v="-53"/>
  </r>
  <r>
    <x v="3"/>
    <x v="1"/>
    <n v="6"/>
    <s v="TJ GLV WORKING PROCESS"/>
    <x v="1"/>
    <x v="0"/>
    <s v="周五"/>
    <n v="-53"/>
  </r>
  <r>
    <x v="1"/>
    <x v="2"/>
    <n v="1"/>
    <s v="做费用(对账单日期4号)，放公共盘，填月账单表，发孙丹"/>
    <x v="1"/>
    <x v="0"/>
    <m/>
    <n v="-53"/>
  </r>
  <r>
    <x v="2"/>
    <x v="2"/>
    <n v="1"/>
    <s v="做费用(对账单日期4号)，放公共盘，填月账单表，发孙丹"/>
    <x v="1"/>
    <x v="0"/>
    <m/>
    <n v="-53"/>
  </r>
  <r>
    <x v="4"/>
    <x v="3"/>
    <n v="1"/>
    <s v="收到客户(周嘉敏)订舱预报"/>
    <x v="4"/>
    <x v="0"/>
    <s v="一般周五发隔周"/>
    <n v="-67"/>
  </r>
  <r>
    <x v="4"/>
    <x v="3"/>
    <n v="2"/>
    <s v="收到HMM(Neo)预订舱邮件通知"/>
    <x v="5"/>
    <x v="0"/>
    <s v="一般周一发下周"/>
    <n v="-65"/>
  </r>
  <r>
    <x v="4"/>
    <x v="3"/>
    <n v="3"/>
    <s v="回复HMM(Neo)预订舱邮件"/>
    <x v="5"/>
    <x v="0"/>
    <m/>
    <n v="-65"/>
  </r>
  <r>
    <x v="4"/>
    <x v="3"/>
    <n v="4"/>
    <s v="收到HMM(Neo)预订舱确认"/>
    <x v="5"/>
    <x v="0"/>
    <s v="一般马上"/>
    <n v="-65"/>
  </r>
  <r>
    <x v="4"/>
    <x v="3"/>
    <n v="5"/>
    <s v="公共盘生成提单号"/>
    <x v="5"/>
    <x v="0"/>
    <m/>
    <n v="-65"/>
  </r>
  <r>
    <x v="4"/>
    <x v="3"/>
    <n v="6"/>
    <s v="YJC系统生成单子"/>
    <x v="5"/>
    <x v="0"/>
    <m/>
    <n v="-65"/>
  </r>
  <r>
    <x v="4"/>
    <x v="3"/>
    <n v="7"/>
    <s v="发EDI"/>
    <x v="5"/>
    <x v="0"/>
    <m/>
    <n v="-65"/>
  </r>
  <r>
    <x v="4"/>
    <x v="3"/>
    <n v="8"/>
    <s v="邮件申请放单"/>
    <x v="5"/>
    <x v="0"/>
    <m/>
    <n v="-65"/>
  </r>
  <r>
    <x v="4"/>
    <x v="3"/>
    <n v="9"/>
    <s v="收到HMM(Neo) 放单确认"/>
    <x v="6"/>
    <x v="0"/>
    <s v="一般半天内"/>
    <n v="-64"/>
  </r>
  <r>
    <x v="4"/>
    <x v="3"/>
    <n v="10"/>
    <s v="HMM网站核对订舱信息"/>
    <x v="6"/>
    <x v="0"/>
    <m/>
    <n v="-64"/>
  </r>
  <r>
    <x v="4"/>
    <x v="3"/>
    <n v="11"/>
    <s v="收到客户(周嘉敏)做箱通知"/>
    <x v="7"/>
    <x v="0"/>
    <s v="一般做箱头天一早"/>
    <n v="-57"/>
  </r>
  <r>
    <x v="4"/>
    <x v="3"/>
    <n v="12"/>
    <s v="发做箱通知邮件给车队(沈丽)"/>
    <x v="7"/>
    <x v="0"/>
    <m/>
    <n v="-57"/>
  </r>
  <r>
    <x v="4"/>
    <x v="3"/>
    <n v="13"/>
    <s v="公共盘生成提单号【如需拆单】"/>
    <x v="7"/>
    <x v="0"/>
    <m/>
    <n v="-57"/>
  </r>
  <r>
    <x v="4"/>
    <x v="3"/>
    <n v="14"/>
    <s v="YJC系统生成单子【如需拆单】"/>
    <x v="7"/>
    <x v="0"/>
    <m/>
    <n v="-57"/>
  </r>
  <r>
    <x v="4"/>
    <x v="3"/>
    <n v="15"/>
    <s v="发EDI【如需拆单】"/>
    <x v="7"/>
    <x v="0"/>
    <m/>
    <n v="-57"/>
  </r>
  <r>
    <x v="4"/>
    <x v="3"/>
    <n v="16"/>
    <s v="邮件申请放单【如需拆单】"/>
    <x v="7"/>
    <x v="0"/>
    <m/>
    <n v="-57"/>
  </r>
  <r>
    <x v="4"/>
    <x v="3"/>
    <n v="17"/>
    <s v="收到HMM(Neo) 放单确认【如需拆单】"/>
    <x v="7"/>
    <x v="0"/>
    <m/>
    <n v="-57"/>
  </r>
  <r>
    <x v="4"/>
    <x v="3"/>
    <n v="18"/>
    <s v="HMM网站核对订舱信息【如需拆单】"/>
    <x v="7"/>
    <x v="0"/>
    <m/>
    <n v="-57"/>
  </r>
  <r>
    <x v="4"/>
    <x v="3"/>
    <n v="19"/>
    <s v="收到客户(周嘉敏)发来做箱数据(报关资料)"/>
    <x v="8"/>
    <x v="0"/>
    <s v="一般做箱当天一早"/>
    <n v="-56"/>
  </r>
  <r>
    <x v="4"/>
    <x v="3"/>
    <n v="20"/>
    <s v="按报关(发票)数生成提单号【如发票数超过提单数】"/>
    <x v="8"/>
    <x v="0"/>
    <m/>
    <n v="-56"/>
  </r>
  <r>
    <x v="4"/>
    <x v="3"/>
    <n v="21"/>
    <s v="做做箱数据，QQ发车队(沈丽)"/>
    <x v="8"/>
    <x v="0"/>
    <m/>
    <n v="-56"/>
  </r>
  <r>
    <x v="4"/>
    <x v="3"/>
    <n v="22"/>
    <s v="做报关资料，扫描发报关行(黄寅文)QQ"/>
    <x v="8"/>
    <x v="0"/>
    <m/>
    <n v="-56"/>
  </r>
  <r>
    <x v="4"/>
    <x v="3"/>
    <n v="23"/>
    <s v="收到车队(沈丽)装箱单"/>
    <x v="8"/>
    <x v="0"/>
    <s v="一般马上"/>
    <n v="-56"/>
  </r>
  <r>
    <x v="4"/>
    <x v="3"/>
    <n v="24"/>
    <s v="YJC系统填截单数据，发EDI，邮件HMM(He)生成提单"/>
    <x v="8"/>
    <x v="0"/>
    <s v="注意截单时间"/>
    <n v="-56"/>
  </r>
  <r>
    <x v="4"/>
    <x v="3"/>
    <n v="25"/>
    <s v="收到HMM(He)生成提单通知"/>
    <x v="8"/>
    <x v="0"/>
    <s v="一般马上"/>
    <n v="-56"/>
  </r>
  <r>
    <x v="4"/>
    <x v="3"/>
    <n v="26"/>
    <s v="HMM网站核对提单信息"/>
    <x v="8"/>
    <x v="0"/>
    <m/>
    <n v="-56"/>
  </r>
  <r>
    <x v="4"/>
    <x v="3"/>
    <n v="27"/>
    <s v="做保函给邹师傅"/>
    <x v="8"/>
    <x v="0"/>
    <m/>
    <n v="-56"/>
  </r>
  <r>
    <x v="4"/>
    <x v="3"/>
    <n v="28"/>
    <s v="发VGM和舱单"/>
    <x v="8"/>
    <x v="0"/>
    <m/>
    <n v="-56"/>
  </r>
  <r>
    <x v="4"/>
    <x v="3"/>
    <n v="29"/>
    <s v="做ISF，发国外资料"/>
    <x v="8"/>
    <x v="0"/>
    <m/>
    <n v="-56"/>
  </r>
  <r>
    <x v="4"/>
    <x v="3"/>
    <n v="30"/>
    <s v="买保险"/>
    <x v="8"/>
    <x v="0"/>
    <m/>
    <n v="-56"/>
  </r>
  <r>
    <x v="4"/>
    <x v="3"/>
    <n v="31"/>
    <s v="盯海关网站舱单"/>
    <x v="8"/>
    <x v="0"/>
    <s v="一般两小时左右"/>
    <n v="-56"/>
  </r>
  <r>
    <x v="4"/>
    <x v="3"/>
    <n v="32"/>
    <s v="核对舱单信息"/>
    <x v="8"/>
    <x v="0"/>
    <m/>
    <n v="-56"/>
  </r>
  <r>
    <x v="4"/>
    <x v="3"/>
    <n v="33"/>
    <s v="收到报关行(黄寅文)校对稿，邮件发客户(周嘉敏)确认"/>
    <x v="8"/>
    <x v="0"/>
    <s v="一般半天内"/>
    <n v="-56"/>
  </r>
  <r>
    <x v="4"/>
    <x v="3"/>
    <n v="34"/>
    <s v="收到客户(周嘉敏)确认校对稿，通知报关行(黄寅文)"/>
    <x v="8"/>
    <x v="0"/>
    <s v="一般马上"/>
    <n v="-56"/>
  </r>
  <r>
    <x v="4"/>
    <x v="3"/>
    <n v="35"/>
    <s v="通知报关行(黄寅文)报关(开港、舱单、校对)"/>
    <x v="8"/>
    <x v="0"/>
    <m/>
    <n v="-56"/>
  </r>
  <r>
    <x v="4"/>
    <x v="3"/>
    <n v="36"/>
    <s v="收到报关成功通知"/>
    <x v="8"/>
    <x v="0"/>
    <s v="一般下班前"/>
    <n v="-56"/>
  </r>
  <r>
    <x v="4"/>
    <x v="3"/>
    <n v="37"/>
    <s v="通知车队(沈丽)可进港"/>
    <x v="8"/>
    <x v="0"/>
    <m/>
    <n v="-56"/>
  </r>
  <r>
    <x v="4"/>
    <x v="3"/>
    <n v="38"/>
    <s v="盯箱子进港"/>
    <x v="3"/>
    <x v="0"/>
    <m/>
    <n v="-55"/>
  </r>
  <r>
    <x v="4"/>
    <x v="3"/>
    <n v="39"/>
    <s v="核对进港数据"/>
    <x v="3"/>
    <x v="0"/>
    <m/>
    <n v="-55"/>
  </r>
  <r>
    <x v="4"/>
    <x v="3"/>
    <n v="40"/>
    <s v="盯海放"/>
    <x v="3"/>
    <x v="0"/>
    <m/>
    <n v="-55"/>
  </r>
  <r>
    <x v="4"/>
    <x v="3"/>
    <n v="41"/>
    <s v="盯码放"/>
    <x v="9"/>
    <x v="0"/>
    <m/>
    <n v="-54"/>
  </r>
  <r>
    <x v="4"/>
    <x v="3"/>
    <n v="42"/>
    <s v="盯配载"/>
    <x v="1"/>
    <x v="0"/>
    <m/>
    <n v="-53"/>
  </r>
  <r>
    <x v="4"/>
    <x v="3"/>
    <n v="43"/>
    <s v="做费用，发账单给谢梦婕"/>
    <x v="1"/>
    <x v="0"/>
    <m/>
    <n v="-53"/>
  </r>
  <r>
    <x v="4"/>
    <x v="3"/>
    <n v="44"/>
    <s v="船开"/>
    <x v="10"/>
    <x v="0"/>
    <m/>
    <n v="-52"/>
  </r>
  <r>
    <x v="4"/>
    <x v="3"/>
    <n v="45"/>
    <s v="放单"/>
    <x v="11"/>
    <x v="0"/>
    <s v="一般开船后两三天"/>
    <n v="-50"/>
  </r>
  <r>
    <x v="3"/>
    <x v="4"/>
    <n v="1"/>
    <s v="HMM Neo 下周订舱邮件"/>
    <x v="11"/>
    <x v="0"/>
    <s v="周一"/>
    <n v="-50"/>
  </r>
  <r>
    <x v="3"/>
    <x v="4"/>
    <n v="2"/>
    <s v="SHA GLV WORKING PROCESS"/>
    <x v="11"/>
    <x v="0"/>
    <s v="周一"/>
    <n v="-50"/>
  </r>
  <r>
    <x v="3"/>
    <x v="4"/>
    <n v="3"/>
    <s v="SHA GLV WORKING PROCESS"/>
    <x v="12"/>
    <x v="0"/>
    <s v="周三"/>
    <n v="-48"/>
  </r>
  <r>
    <x v="3"/>
    <x v="4"/>
    <n v="4"/>
    <s v="TJ glovis额外费用邮件"/>
    <x v="13"/>
    <x v="0"/>
    <s v="周五"/>
    <n v="-46"/>
  </r>
  <r>
    <x v="3"/>
    <x v="4"/>
    <n v="5"/>
    <s v="SHA GLV WORKING PROCESS"/>
    <x v="13"/>
    <x v="0"/>
    <s v="周五"/>
    <n v="-46"/>
  </r>
  <r>
    <x v="3"/>
    <x v="4"/>
    <n v="6"/>
    <s v="TJ GLV WORKING PROCESS"/>
    <x v="13"/>
    <x v="0"/>
    <s v="周五"/>
    <n v="-46"/>
  </r>
  <r>
    <x v="1"/>
    <x v="5"/>
    <n v="1"/>
    <s v="收到孙丹发来订舱托书(CK也收到)"/>
    <x v="14"/>
    <x v="0"/>
    <m/>
    <n v="-63"/>
  </r>
  <r>
    <x v="1"/>
    <x v="5"/>
    <n v="2"/>
    <s v="收到CK发来预配(做箱通知)"/>
    <x v="7"/>
    <x v="0"/>
    <m/>
    <n v="-57"/>
  </r>
  <r>
    <x v="1"/>
    <x v="5"/>
    <n v="3"/>
    <s v="收到包装厂(刘倩梅)发来包装指示书和装箱计划"/>
    <x v="1"/>
    <x v="0"/>
    <s v="一般周四"/>
    <n v="-53"/>
  </r>
  <r>
    <x v="1"/>
    <x v="5"/>
    <n v="4"/>
    <s v="根据装箱计划汇总包装数据，发各工厂做报关资料"/>
    <x v="9"/>
    <x v="0"/>
    <m/>
    <n v="-54"/>
  </r>
  <r>
    <x v="1"/>
    <x v="5"/>
    <n v="5"/>
    <s v="做做箱数据，邮件群发"/>
    <x v="1"/>
    <x v="0"/>
    <m/>
    <n v="-53"/>
  </r>
  <r>
    <x v="1"/>
    <x v="5"/>
    <n v="6"/>
    <s v="收到工厂发来报关资料并完善"/>
    <x v="10"/>
    <x v="0"/>
    <s v="当天至隔天"/>
    <n v="-52"/>
  </r>
  <r>
    <x v="1"/>
    <x v="5"/>
    <n v="7"/>
    <s v="报关资料齐了，发报关行(黄寅文)"/>
    <x v="11"/>
    <x v="0"/>
    <m/>
    <n v="-50"/>
  </r>
  <r>
    <x v="1"/>
    <x v="5"/>
    <n v="8"/>
    <s v="收到车队(沈丽)装箱单和洋山提箱截图(如有)"/>
    <x v="11"/>
    <x v="0"/>
    <s v="一般KMM五、HMI日"/>
    <n v="-50"/>
  </r>
  <r>
    <x v="1"/>
    <x v="5"/>
    <n v="9"/>
    <s v="群发装箱单和洋山提箱截图(如有)【05-13 09:00】"/>
    <x v="11"/>
    <x v="0"/>
    <s v="注意截单时间"/>
    <n v="-50"/>
  </r>
  <r>
    <x v="1"/>
    <x v="5"/>
    <n v="10"/>
    <s v="通知发舱单"/>
    <x v="11"/>
    <x v="0"/>
    <m/>
    <n v="-50"/>
  </r>
  <r>
    <x v="1"/>
    <x v="5"/>
    <n v="11"/>
    <s v="收到舱单发送成功通知，核对舱单信息"/>
    <x v="15"/>
    <x v="0"/>
    <m/>
    <n v="-49"/>
  </r>
  <r>
    <x v="1"/>
    <x v="5"/>
    <n v="12"/>
    <s v="通知进港，进港(核对数据)，通知报关，报关成功"/>
    <x v="15"/>
    <x v="0"/>
    <s v="根据港区"/>
    <n v="-49"/>
  </r>
  <r>
    <x v="1"/>
    <x v="5"/>
    <n v="13"/>
    <s v="盯海放"/>
    <x v="15"/>
    <x v="0"/>
    <m/>
    <n v="-49"/>
  </r>
  <r>
    <x v="1"/>
    <x v="5"/>
    <n v="14"/>
    <s v="盯码放"/>
    <x v="15"/>
    <x v="0"/>
    <m/>
    <n v="-49"/>
  </r>
  <r>
    <x v="1"/>
    <x v="5"/>
    <n v="15"/>
    <s v="盯配载"/>
    <x v="12"/>
    <x v="0"/>
    <m/>
    <n v="-48"/>
  </r>
  <r>
    <x v="1"/>
    <x v="5"/>
    <n v="16"/>
    <s v="做费用(对账单日期4号)，放公共盘，填月账单表，发孙丹"/>
    <x v="12"/>
    <x v="0"/>
    <m/>
    <n v="-48"/>
  </r>
  <r>
    <x v="4"/>
    <x v="5"/>
    <n v="1"/>
    <s v="收到客户(周嘉敏)订舱预报"/>
    <x v="4"/>
    <x v="0"/>
    <s v="一般周五发隔周"/>
    <n v="-67"/>
  </r>
  <r>
    <x v="4"/>
    <x v="5"/>
    <n v="2"/>
    <s v="收到HMM(Neo)预订舱邮件通知"/>
    <x v="7"/>
    <x v="0"/>
    <s v="一般周一发下周"/>
    <n v="-57"/>
  </r>
  <r>
    <x v="4"/>
    <x v="5"/>
    <n v="3"/>
    <s v="回复HMM(Neo)预订舱邮件"/>
    <x v="7"/>
    <x v="0"/>
    <m/>
    <n v="-57"/>
  </r>
  <r>
    <x v="4"/>
    <x v="5"/>
    <n v="4"/>
    <s v="收到HMM(Neo)预订舱确认"/>
    <x v="7"/>
    <x v="0"/>
    <s v="一般马上"/>
    <n v="-57"/>
  </r>
  <r>
    <x v="4"/>
    <x v="5"/>
    <n v="5"/>
    <s v="公共盘生成提单号"/>
    <x v="7"/>
    <x v="0"/>
    <m/>
    <n v="-57"/>
  </r>
  <r>
    <x v="4"/>
    <x v="5"/>
    <n v="6"/>
    <s v="YJC系统生成单子"/>
    <x v="7"/>
    <x v="0"/>
    <m/>
    <n v="-57"/>
  </r>
  <r>
    <x v="4"/>
    <x v="5"/>
    <n v="7"/>
    <s v="发EDI"/>
    <x v="7"/>
    <x v="0"/>
    <m/>
    <n v="-57"/>
  </r>
  <r>
    <x v="4"/>
    <x v="5"/>
    <n v="8"/>
    <s v="邮件申请放单"/>
    <x v="8"/>
    <x v="0"/>
    <m/>
    <n v="-56"/>
  </r>
  <r>
    <x v="4"/>
    <x v="5"/>
    <n v="9"/>
    <s v="收到HMM(Neo) 放单确认"/>
    <x v="8"/>
    <x v="0"/>
    <s v="一般半天内"/>
    <n v="-56"/>
  </r>
  <r>
    <x v="4"/>
    <x v="5"/>
    <n v="10"/>
    <s v="HMM网站核对订舱信息"/>
    <x v="8"/>
    <x v="0"/>
    <m/>
    <n v="-56"/>
  </r>
  <r>
    <x v="4"/>
    <x v="5"/>
    <n v="11"/>
    <s v="收到客户（周嘉敏）取消通知邮件"/>
    <x v="9"/>
    <x v="0"/>
    <m/>
    <n v="-54"/>
  </r>
  <r>
    <x v="4"/>
    <x v="5"/>
    <n v="12"/>
    <s v="YJC系统取消"/>
    <x v="9"/>
    <x v="0"/>
    <m/>
    <n v="-54"/>
  </r>
  <r>
    <x v="4"/>
    <x v="5"/>
    <n v="13"/>
    <s v="邮件通知Neo取消"/>
    <x v="9"/>
    <x v="0"/>
    <m/>
    <n v="-54"/>
  </r>
  <r>
    <x v="4"/>
    <x v="5"/>
    <n v="14"/>
    <s v="收到HMM(Neo)确认取消"/>
    <x v="9"/>
    <x v="0"/>
    <m/>
    <n v="-54"/>
  </r>
  <r>
    <x v="2"/>
    <x v="5"/>
    <n v="1"/>
    <s v="收到孙丹发来订舱托书(CK也收到)"/>
    <x v="14"/>
    <x v="0"/>
    <m/>
    <n v="-63"/>
  </r>
  <r>
    <x v="2"/>
    <x v="5"/>
    <n v="2"/>
    <s v="收到CK发来预配(做箱通知)"/>
    <x v="8"/>
    <x v="0"/>
    <m/>
    <n v="-56"/>
  </r>
  <r>
    <x v="2"/>
    <x v="5"/>
    <n v="3"/>
    <s v="收到包装厂(刘倩梅)发来包装指示书和装箱计划"/>
    <x v="9"/>
    <x v="0"/>
    <s v="一般周四"/>
    <n v="-54"/>
  </r>
  <r>
    <x v="2"/>
    <x v="5"/>
    <n v="4"/>
    <s v="根据装箱计划汇总包装数据，发各工厂做报关资料"/>
    <x v="9"/>
    <x v="0"/>
    <m/>
    <n v="-54"/>
  </r>
  <r>
    <x v="2"/>
    <x v="5"/>
    <n v="5"/>
    <s v="做做箱数据，邮件群发"/>
    <x v="9"/>
    <x v="0"/>
    <m/>
    <n v="-54"/>
  </r>
  <r>
    <x v="2"/>
    <x v="5"/>
    <n v="6"/>
    <s v="收到工厂发来报关资料并完善"/>
    <x v="9"/>
    <x v="0"/>
    <s v="当天至隔天"/>
    <n v="-54"/>
  </r>
  <r>
    <x v="2"/>
    <x v="5"/>
    <n v="7"/>
    <s v="报关资料齐了，发报关行(黄寅文)"/>
    <x v="9"/>
    <x v="0"/>
    <m/>
    <n v="-54"/>
  </r>
  <r>
    <x v="2"/>
    <x v="5"/>
    <n v="8"/>
    <s v="收到车队(沈丽)装箱单和洋山提箱截图(如有)"/>
    <x v="1"/>
    <x v="0"/>
    <s v="一般KMM五、HMI日"/>
    <n v="-53"/>
  </r>
  <r>
    <x v="2"/>
    <x v="5"/>
    <n v="9"/>
    <s v="群发装箱单和洋山提箱截图(如有)【05-10 09:00】"/>
    <x v="1"/>
    <x v="0"/>
    <s v="注意截单时间"/>
    <n v="-53"/>
  </r>
  <r>
    <x v="2"/>
    <x v="5"/>
    <n v="10"/>
    <s v="通知发舱单"/>
    <x v="1"/>
    <x v="0"/>
    <m/>
    <n v="-53"/>
  </r>
  <r>
    <x v="2"/>
    <x v="5"/>
    <n v="11"/>
    <s v="收到舱单发送成功通知，核对舱单信息"/>
    <x v="1"/>
    <x v="0"/>
    <m/>
    <n v="-53"/>
  </r>
  <r>
    <x v="2"/>
    <x v="5"/>
    <n v="12"/>
    <s v="通知进港，进港(核对数据)，通知报关，报关成功"/>
    <x v="1"/>
    <x v="0"/>
    <s v="根据港区"/>
    <n v="-53"/>
  </r>
  <r>
    <x v="2"/>
    <x v="5"/>
    <n v="13"/>
    <s v="盯海放"/>
    <x v="1"/>
    <x v="0"/>
    <m/>
    <n v="-53"/>
  </r>
  <r>
    <x v="2"/>
    <x v="5"/>
    <n v="14"/>
    <s v="盯码放"/>
    <x v="11"/>
    <x v="0"/>
    <m/>
    <n v="-50"/>
  </r>
  <r>
    <x v="2"/>
    <x v="5"/>
    <n v="15"/>
    <s v="盯配载"/>
    <x v="15"/>
    <x v="0"/>
    <m/>
    <n v="-49"/>
  </r>
  <r>
    <x v="2"/>
    <x v="5"/>
    <n v="16"/>
    <s v="做费用(对账单日期4号)，放公共盘，填月账单表，发孙丹"/>
    <x v="12"/>
    <x v="0"/>
    <m/>
    <n v="-48"/>
  </r>
  <r>
    <x v="4"/>
    <x v="6"/>
    <n v="1"/>
    <s v="收到客户(周嘉敏)订舱预报"/>
    <x v="4"/>
    <x v="1"/>
    <s v="一般周五发隔周"/>
    <n v="-67"/>
  </r>
  <r>
    <x v="4"/>
    <x v="6"/>
    <n v="2"/>
    <s v="收到HMM(Neo)预订舱邮件通知"/>
    <x v="7"/>
    <x v="1"/>
    <s v="一般周一发下周"/>
    <n v="-57"/>
  </r>
  <r>
    <x v="4"/>
    <x v="6"/>
    <n v="3"/>
    <s v="回复HMM(Neo)预订舱邮件"/>
    <x v="7"/>
    <x v="1"/>
    <m/>
    <n v="-57"/>
  </r>
  <r>
    <x v="4"/>
    <x v="6"/>
    <n v="4"/>
    <s v="收到HMM(Neo)预订舱确认"/>
    <x v="7"/>
    <x v="1"/>
    <s v="一般马上"/>
    <n v="-57"/>
  </r>
  <r>
    <x v="4"/>
    <x v="6"/>
    <n v="5"/>
    <s v="公共盘生成提单号"/>
    <x v="7"/>
    <x v="1"/>
    <m/>
    <n v="-57"/>
  </r>
  <r>
    <x v="4"/>
    <x v="6"/>
    <n v="6"/>
    <s v="YJC系统生成单子"/>
    <x v="7"/>
    <x v="1"/>
    <m/>
    <n v="-57"/>
  </r>
  <r>
    <x v="4"/>
    <x v="6"/>
    <n v="7"/>
    <s v="发EDI"/>
    <x v="8"/>
    <x v="1"/>
    <m/>
    <n v="-56"/>
  </r>
  <r>
    <x v="4"/>
    <x v="6"/>
    <n v="8"/>
    <s v="邮件申请放单"/>
    <x v="8"/>
    <x v="1"/>
    <m/>
    <n v="-56"/>
  </r>
  <r>
    <x v="4"/>
    <x v="6"/>
    <n v="9"/>
    <s v="收到HMM(Neo) 放单确认"/>
    <x v="8"/>
    <x v="1"/>
    <s v="一般半天内"/>
    <n v="-56"/>
  </r>
  <r>
    <x v="4"/>
    <x v="6"/>
    <n v="10"/>
    <s v="HMM网站核对订舱信息"/>
    <x v="8"/>
    <x v="1"/>
    <m/>
    <n v="-56"/>
  </r>
  <r>
    <x v="4"/>
    <x v="6"/>
    <n v="11"/>
    <s v="收到客户(周嘉敏)做箱通知"/>
    <x v="11"/>
    <x v="1"/>
    <s v="一般做箱头天一早"/>
    <n v="-50"/>
  </r>
  <r>
    <x v="4"/>
    <x v="6"/>
    <n v="12"/>
    <s v="发做箱通知邮件给车队(沈丽)"/>
    <x v="11"/>
    <x v="1"/>
    <m/>
    <n v="-50"/>
  </r>
  <r>
    <x v="4"/>
    <x v="6"/>
    <n v="13"/>
    <s v="公共盘生成提单号【如需拆单】"/>
    <x v="11"/>
    <x v="1"/>
    <m/>
    <n v="-50"/>
  </r>
  <r>
    <x v="4"/>
    <x v="6"/>
    <n v="14"/>
    <s v="YJC系统生成单子【如需拆单】"/>
    <x v="11"/>
    <x v="1"/>
    <m/>
    <n v="-50"/>
  </r>
  <r>
    <x v="4"/>
    <x v="6"/>
    <n v="15"/>
    <s v="发EDI【如需拆单】"/>
    <x v="11"/>
    <x v="1"/>
    <m/>
    <n v="-50"/>
  </r>
  <r>
    <x v="4"/>
    <x v="6"/>
    <n v="16"/>
    <s v="邮件申请放单【如需拆单】"/>
    <x v="11"/>
    <x v="1"/>
    <m/>
    <n v="-50"/>
  </r>
  <r>
    <x v="4"/>
    <x v="6"/>
    <n v="17"/>
    <s v="收到HMM(Neo) 放单确认【如需拆单】"/>
    <x v="11"/>
    <x v="1"/>
    <m/>
    <n v="-50"/>
  </r>
  <r>
    <x v="4"/>
    <x v="6"/>
    <n v="18"/>
    <s v="HMM网站核对订舱信息【如需拆单】"/>
    <x v="11"/>
    <x v="1"/>
    <m/>
    <n v="-50"/>
  </r>
  <r>
    <x v="4"/>
    <x v="6"/>
    <n v="19"/>
    <s v="收到客户(周嘉敏)发来做箱数据(报关资料)"/>
    <x v="15"/>
    <x v="1"/>
    <s v="一般做箱当天一早"/>
    <n v="-49"/>
  </r>
  <r>
    <x v="4"/>
    <x v="6"/>
    <n v="20"/>
    <s v="按报关(发票)数生成提单号【如发票数超过提单数】"/>
    <x v="15"/>
    <x v="1"/>
    <m/>
    <n v="-49"/>
  </r>
  <r>
    <x v="4"/>
    <x v="6"/>
    <n v="21"/>
    <s v="做做箱数据，QQ发车队(沈丽)"/>
    <x v="15"/>
    <x v="1"/>
    <m/>
    <n v="-49"/>
  </r>
  <r>
    <x v="4"/>
    <x v="6"/>
    <n v="22"/>
    <s v="做报关资料，扫描发报关行(黄寅文)QQ"/>
    <x v="15"/>
    <x v="1"/>
    <m/>
    <n v="-49"/>
  </r>
  <r>
    <x v="4"/>
    <x v="6"/>
    <n v="23"/>
    <s v="收到车队(沈丽)装箱单"/>
    <x v="15"/>
    <x v="1"/>
    <s v="一般马上"/>
    <n v="-49"/>
  </r>
  <r>
    <x v="4"/>
    <x v="6"/>
    <n v="24"/>
    <s v="YJC系统截单，发EDI，邮件HMM(He)【5-14 12:00】"/>
    <x v="15"/>
    <x v="1"/>
    <s v="注意截单时间"/>
    <n v="-49"/>
  </r>
  <r>
    <x v="4"/>
    <x v="6"/>
    <n v="25"/>
    <s v="收到HMM(He)生成提单通知"/>
    <x v="15"/>
    <x v="1"/>
    <s v="一般马上"/>
    <n v="-49"/>
  </r>
  <r>
    <x v="4"/>
    <x v="6"/>
    <n v="26"/>
    <s v="HMM网站核对提单信息"/>
    <x v="15"/>
    <x v="1"/>
    <m/>
    <n v="-49"/>
  </r>
  <r>
    <x v="4"/>
    <x v="6"/>
    <n v="27"/>
    <s v="做保函给邹师傅"/>
    <x v="15"/>
    <x v="1"/>
    <m/>
    <n v="-49"/>
  </r>
  <r>
    <x v="4"/>
    <x v="6"/>
    <n v="28"/>
    <s v="发VGM和舱单"/>
    <x v="15"/>
    <x v="1"/>
    <m/>
    <n v="-49"/>
  </r>
  <r>
    <x v="4"/>
    <x v="6"/>
    <n v="29"/>
    <s v="做ISF，发国外资料"/>
    <x v="15"/>
    <x v="1"/>
    <m/>
    <n v="-49"/>
  </r>
  <r>
    <x v="4"/>
    <x v="6"/>
    <n v="30"/>
    <s v="买保险"/>
    <x v="15"/>
    <x v="1"/>
    <m/>
    <n v="-49"/>
  </r>
  <r>
    <x v="4"/>
    <x v="6"/>
    <n v="31"/>
    <s v="盯海关网站舱单"/>
    <x v="15"/>
    <x v="1"/>
    <s v="一般两小时左右"/>
    <n v="-49"/>
  </r>
  <r>
    <x v="4"/>
    <x v="6"/>
    <n v="32"/>
    <s v="核对舱单信息"/>
    <x v="15"/>
    <x v="1"/>
    <m/>
    <n v="-49"/>
  </r>
  <r>
    <x v="4"/>
    <x v="6"/>
    <n v="33"/>
    <s v="收到报关行(黄寅文)校对稿，邮件发客户(周嘉敏)确认"/>
    <x v="15"/>
    <x v="1"/>
    <s v="一般半天内"/>
    <n v="-49"/>
  </r>
  <r>
    <x v="4"/>
    <x v="6"/>
    <n v="34"/>
    <s v="收到客户(周嘉敏)确认校对稿，通知报关行(黄寅文)"/>
    <x v="15"/>
    <x v="1"/>
    <s v="一般马上"/>
    <n v="-49"/>
  </r>
  <r>
    <x v="4"/>
    <x v="6"/>
    <n v="35"/>
    <s v="通知报关行(黄寅文)报关(需有开港)"/>
    <x v="15"/>
    <x v="1"/>
    <m/>
    <n v="-49"/>
  </r>
  <r>
    <x v="4"/>
    <x v="6"/>
    <n v="36"/>
    <s v="收到报关成功通知"/>
    <x v="15"/>
    <x v="1"/>
    <s v="一般下班前"/>
    <n v="-49"/>
  </r>
  <r>
    <x v="4"/>
    <x v="6"/>
    <n v="37"/>
    <s v="通知车队(沈丽)可进港"/>
    <x v="15"/>
    <x v="1"/>
    <m/>
    <n v="-49"/>
  </r>
  <r>
    <x v="4"/>
    <x v="6"/>
    <n v="38"/>
    <s v="盯箱子进港"/>
    <x v="12"/>
    <x v="1"/>
    <m/>
    <n v="-48"/>
  </r>
  <r>
    <x v="4"/>
    <x v="6"/>
    <n v="39"/>
    <s v="核对进港数据"/>
    <x v="12"/>
    <x v="1"/>
    <m/>
    <n v="-48"/>
  </r>
  <r>
    <x v="4"/>
    <x v="6"/>
    <n v="40"/>
    <s v="盯海放"/>
    <x v="12"/>
    <x v="1"/>
    <m/>
    <n v="-48"/>
  </r>
  <r>
    <x v="4"/>
    <x v="6"/>
    <n v="41"/>
    <s v="盯码放"/>
    <x v="12"/>
    <x v="1"/>
    <m/>
    <n v="-48"/>
  </r>
  <r>
    <x v="4"/>
    <x v="6"/>
    <n v="42"/>
    <s v="盯配载"/>
    <x v="12"/>
    <x v="1"/>
    <m/>
    <n v="-48"/>
  </r>
  <r>
    <x v="4"/>
    <x v="6"/>
    <n v="43"/>
    <s v="船开"/>
    <x v="13"/>
    <x v="1"/>
    <m/>
    <n v="-46"/>
  </r>
  <r>
    <x v="4"/>
    <x v="6"/>
    <n v="44"/>
    <s v="做费用"/>
    <x v="13"/>
    <x v="1"/>
    <m/>
    <n v="-46"/>
  </r>
  <r>
    <x v="4"/>
    <x v="6"/>
    <n v="45"/>
    <s v="发账单"/>
    <x v="13"/>
    <x v="1"/>
    <m/>
    <n v="-46"/>
  </r>
  <r>
    <x v="4"/>
    <x v="6"/>
    <n v="46"/>
    <s v="放单"/>
    <x v="16"/>
    <x v="1"/>
    <s v="一般开船后两三天"/>
    <n v="-43"/>
  </r>
  <r>
    <x v="5"/>
    <x v="6"/>
    <n v="1"/>
    <s v="收到客户托书"/>
    <x v="8"/>
    <x v="0"/>
    <m/>
    <n v="-56"/>
  </r>
  <r>
    <x v="5"/>
    <x v="6"/>
    <n v="2"/>
    <s v="生成单号，YJC系统，发EDI，邮件Neo放舱"/>
    <x v="8"/>
    <x v="0"/>
    <m/>
    <n v="-56"/>
  </r>
  <r>
    <x v="5"/>
    <x v="6"/>
    <n v="3"/>
    <s v="收到Neo放舱确认"/>
    <x v="3"/>
    <x v="0"/>
    <m/>
    <n v="-55"/>
  </r>
  <r>
    <x v="5"/>
    <x v="6"/>
    <n v="4"/>
    <s v="发预配信息给客户（张婷）"/>
    <x v="3"/>
    <x v="0"/>
    <m/>
    <n v="-55"/>
  </r>
  <r>
    <x v="5"/>
    <x v="6"/>
    <n v="5"/>
    <s v="收到客户（张婷）报关资料"/>
    <x v="11"/>
    <x v="0"/>
    <m/>
    <n v="-50"/>
  </r>
  <r>
    <x v="5"/>
    <x v="6"/>
    <n v="6"/>
    <s v="做报关资料，发报关行（黄寅文）"/>
    <x v="11"/>
    <x v="0"/>
    <m/>
    <n v="-50"/>
  </r>
  <r>
    <x v="5"/>
    <x v="6"/>
    <n v="7"/>
    <s v="收到客户（张婷）舱单模板和VGM"/>
    <x v="11"/>
    <x v="0"/>
    <m/>
    <n v="-50"/>
  </r>
  <r>
    <x v="5"/>
    <x v="6"/>
    <n v="8"/>
    <s v="发舱单和VGM"/>
    <x v="11"/>
    <x v="0"/>
    <m/>
    <n v="-50"/>
  </r>
  <r>
    <x v="5"/>
    <x v="6"/>
    <n v="9"/>
    <s v="YJC系统改准确数据，发ESI，邮件何生成提单"/>
    <x v="11"/>
    <x v="0"/>
    <m/>
    <n v="-50"/>
  </r>
  <r>
    <x v="5"/>
    <x v="6"/>
    <n v="10"/>
    <s v="收到生成提单邮件，网站核对信息"/>
    <x v="15"/>
    <x v="0"/>
    <m/>
    <n v="-49"/>
  </r>
  <r>
    <x v="5"/>
    <x v="6"/>
    <n v="11"/>
    <s v="海关有舱单，核对舱单"/>
    <x v="11"/>
    <x v="0"/>
    <m/>
    <n v="-50"/>
  </r>
  <r>
    <x v="5"/>
    <x v="6"/>
    <n v="12"/>
    <s v="有开港，通知报关"/>
    <x v="11"/>
    <x v="0"/>
    <m/>
    <n v="-50"/>
  </r>
  <r>
    <x v="5"/>
    <x v="6"/>
    <n v="13"/>
    <s v="发提单确认（两份）"/>
    <x v="15"/>
    <x v="0"/>
    <m/>
    <n v="-49"/>
  </r>
  <r>
    <x v="5"/>
    <x v="6"/>
    <n v="14"/>
    <s v="收到报关成功通知"/>
    <x v="15"/>
    <x v="0"/>
    <m/>
    <n v="-49"/>
  </r>
  <r>
    <x v="5"/>
    <x v="6"/>
    <n v="15"/>
    <s v="通知可进港"/>
    <x v="15"/>
    <x v="0"/>
    <m/>
    <n v="-49"/>
  </r>
  <r>
    <x v="5"/>
    <x v="6"/>
    <n v="16"/>
    <s v="收到客户（张婷）提单确认"/>
    <x v="15"/>
    <x v="0"/>
    <m/>
    <n v="-49"/>
  </r>
  <r>
    <x v="5"/>
    <x v="6"/>
    <n v="17"/>
    <s v="船公司发好AMS，发来信息"/>
    <x v="15"/>
    <x v="0"/>
    <m/>
    <n v="-49"/>
  </r>
  <r>
    <x v="5"/>
    <x v="6"/>
    <n v="18"/>
    <s v="收到客户寄来电放保函，盖YJC章，交师傅送胡小姐"/>
    <x v="12"/>
    <x v="0"/>
    <m/>
    <n v="-48"/>
  </r>
  <r>
    <x v="5"/>
    <x v="6"/>
    <n v="19"/>
    <s v="船开"/>
    <x v="16"/>
    <x v="0"/>
    <m/>
    <n v="-43"/>
  </r>
  <r>
    <x v="5"/>
    <x v="6"/>
    <n v="20"/>
    <s v="等船公司费用有了，和金小姐一起确定客户费用"/>
    <x v="17"/>
    <x v="0"/>
    <m/>
    <n v="-41"/>
  </r>
  <r>
    <x v="5"/>
    <x v="6"/>
    <n v="21"/>
    <s v="收到费用确认，放单"/>
    <x v="18"/>
    <x v="0"/>
    <m/>
    <n v="-36"/>
  </r>
  <r>
    <x v="5"/>
    <x v="6"/>
    <n v="22"/>
    <s v="张婷确认账单"/>
    <x v="19"/>
    <x v="0"/>
    <m/>
    <n v="-12"/>
  </r>
  <r>
    <x v="3"/>
    <x v="7"/>
    <n v="1"/>
    <s v="收到HMM Neo 下周订舱邮件"/>
    <x v="16"/>
    <x v="0"/>
    <s v="周一"/>
    <n v="-43"/>
  </r>
  <r>
    <x v="3"/>
    <x v="7"/>
    <n v="2"/>
    <s v="根据JS mobis订舱需求回Neo邮件"/>
    <x v="16"/>
    <x v="0"/>
    <s v="周一"/>
    <n v="-43"/>
  </r>
  <r>
    <x v="3"/>
    <x v="7"/>
    <n v="3"/>
    <s v="SHA GLV WORKING PROCESS"/>
    <x v="16"/>
    <x v="0"/>
    <s v="周一"/>
    <n v="-43"/>
  </r>
  <r>
    <x v="3"/>
    <x v="7"/>
    <n v="4"/>
    <s v="SHA GLV WORKING PROCESS"/>
    <x v="17"/>
    <x v="0"/>
    <s v="周三"/>
    <n v="-41"/>
  </r>
  <r>
    <x v="3"/>
    <x v="7"/>
    <n v="5"/>
    <s v="TJ glovis额外费用邮件"/>
    <x v="20"/>
    <x v="0"/>
    <s v="周五"/>
    <n v="-39"/>
  </r>
  <r>
    <x v="3"/>
    <x v="7"/>
    <n v="6"/>
    <s v="SHA GLV WORKING PROCESS"/>
    <x v="20"/>
    <x v="0"/>
    <s v="周五"/>
    <n v="-39"/>
  </r>
  <r>
    <x v="3"/>
    <x v="7"/>
    <n v="7"/>
    <s v="TJ GLV WORKING PROCESS"/>
    <x v="20"/>
    <x v="0"/>
    <s v="周五"/>
    <n v="-39"/>
  </r>
  <r>
    <x v="1"/>
    <x v="8"/>
    <n v="1"/>
    <s v="收到客户(孙丹/王珊)发来订舱托书(CK也收到)"/>
    <x v="1"/>
    <x v="0"/>
    <m/>
    <n v="-53"/>
  </r>
  <r>
    <x v="1"/>
    <x v="8"/>
    <n v="2"/>
    <s v="YJC系统生成单子"/>
    <x v="1"/>
    <x v="0"/>
    <m/>
    <n v="-53"/>
  </r>
  <r>
    <x v="1"/>
    <x v="8"/>
    <n v="3"/>
    <s v="收到CK发来预配(做箱通知)"/>
    <x v="15"/>
    <x v="0"/>
    <m/>
    <n v="-49"/>
  </r>
  <r>
    <x v="1"/>
    <x v="8"/>
    <n v="4"/>
    <s v="收到包装厂(刘倩梅)发来包装指示书和装箱计划"/>
    <x v="21"/>
    <x v="0"/>
    <s v="一般周四"/>
    <n v="-47"/>
  </r>
  <r>
    <x v="1"/>
    <x v="8"/>
    <n v="5"/>
    <s v="根据装箱计划汇总包装数据，发各工厂做报关资料"/>
    <x v="13"/>
    <x v="0"/>
    <m/>
    <n v="-46"/>
  </r>
  <r>
    <x v="1"/>
    <x v="8"/>
    <n v="6"/>
    <s v="做做箱数据，邮件群发"/>
    <x v="13"/>
    <x v="0"/>
    <m/>
    <n v="-46"/>
  </r>
  <r>
    <x v="1"/>
    <x v="8"/>
    <n v="7"/>
    <s v="收到工厂发来报关资料并完善(做报关资料跟客户确认)"/>
    <x v="13"/>
    <x v="0"/>
    <s v="当天至隔天"/>
    <n v="-46"/>
  </r>
  <r>
    <x v="1"/>
    <x v="8"/>
    <n v="8"/>
    <s v="报关资料齐了，发报关行(黄寅文)"/>
    <x v="13"/>
    <x v="0"/>
    <m/>
    <n v="-46"/>
  </r>
  <r>
    <x v="1"/>
    <x v="8"/>
    <n v="9"/>
    <s v="收到车队(沈丽)装箱单和洋山提箱截图(如有)"/>
    <x v="16"/>
    <x v="0"/>
    <s v="一般KMM五、HMI日"/>
    <n v="-43"/>
  </r>
  <r>
    <x v="1"/>
    <x v="8"/>
    <n v="10"/>
    <s v="群发装箱单和洋山提箱截图(如有)【5-20】，通知发舱单"/>
    <x v="16"/>
    <x v="0"/>
    <s v="注意截单时间"/>
    <n v="-43"/>
  </r>
  <r>
    <x v="1"/>
    <x v="8"/>
    <n v="12"/>
    <s v="收到舱单发送成功通知，核对舱单信息"/>
    <x v="16"/>
    <x v="0"/>
    <m/>
    <n v="-43"/>
  </r>
  <r>
    <x v="1"/>
    <x v="8"/>
    <n v="13"/>
    <s v="进港(核对数据)，通知报关，报关成功"/>
    <x v="16"/>
    <x v="0"/>
    <s v="根据港区"/>
    <n v="-43"/>
  </r>
  <r>
    <x v="1"/>
    <x v="8"/>
    <n v="14"/>
    <s v="海放"/>
    <x v="16"/>
    <x v="0"/>
    <m/>
    <n v="-43"/>
  </r>
  <r>
    <x v="1"/>
    <x v="8"/>
    <n v="15"/>
    <s v="码放"/>
    <x v="17"/>
    <x v="0"/>
    <m/>
    <n v="-41"/>
  </r>
  <r>
    <x v="1"/>
    <x v="8"/>
    <n v="16"/>
    <s v="配载"/>
    <x v="22"/>
    <x v="0"/>
    <m/>
    <n v="-40"/>
  </r>
  <r>
    <x v="1"/>
    <x v="8"/>
    <n v="17"/>
    <s v="船开"/>
    <x v="20"/>
    <x v="0"/>
    <m/>
    <n v="-39"/>
  </r>
  <r>
    <x v="1"/>
    <x v="8"/>
    <n v="18"/>
    <s v="做费用(对账单日期4号)，放公共盘，填月账单表，发孙丹"/>
    <x v="18"/>
    <x v="0"/>
    <m/>
    <n v="-36"/>
  </r>
  <r>
    <x v="2"/>
    <x v="8"/>
    <n v="1"/>
    <s v="收到孙丹发来订舱托书(CK也收到)"/>
    <x v="9"/>
    <x v="0"/>
    <m/>
    <n v="-54"/>
  </r>
  <r>
    <x v="2"/>
    <x v="8"/>
    <n v="2"/>
    <s v="收到CK发来预配(做箱通知)"/>
    <x v="9"/>
    <x v="0"/>
    <m/>
    <n v="-54"/>
  </r>
  <r>
    <x v="2"/>
    <x v="8"/>
    <n v="3"/>
    <s v="YJC系统生成单子"/>
    <x v="9"/>
    <x v="0"/>
    <m/>
    <n v="-54"/>
  </r>
  <r>
    <x v="2"/>
    <x v="8"/>
    <n v="4"/>
    <s v="收到包装厂(刘倩梅)发来包装指示书和装箱计划"/>
    <x v="21"/>
    <x v="0"/>
    <s v="一般周四"/>
    <n v="-47"/>
  </r>
  <r>
    <x v="2"/>
    <x v="8"/>
    <n v="5"/>
    <s v="根据装箱计划汇总包装数据，发各工厂做报关资料"/>
    <x v="21"/>
    <x v="0"/>
    <m/>
    <n v="-47"/>
  </r>
  <r>
    <x v="2"/>
    <x v="8"/>
    <n v="6"/>
    <s v="做做箱数据，邮件群发"/>
    <x v="21"/>
    <x v="0"/>
    <m/>
    <n v="-47"/>
  </r>
  <r>
    <x v="2"/>
    <x v="8"/>
    <n v="7"/>
    <s v="收到工厂发来报关资料并完善"/>
    <x v="21"/>
    <x v="0"/>
    <s v="当天至隔天"/>
    <n v="-47"/>
  </r>
  <r>
    <x v="2"/>
    <x v="8"/>
    <n v="8"/>
    <s v="报关资料齐了，发报关行(黄寅文)"/>
    <x v="21"/>
    <x v="0"/>
    <m/>
    <n v="-47"/>
  </r>
  <r>
    <x v="2"/>
    <x v="8"/>
    <n v="9"/>
    <s v="收到车队(沈丽)装箱单和洋山提箱截图(如有)"/>
    <x v="13"/>
    <x v="0"/>
    <s v="一般KMM五、HMI日"/>
    <n v="-46"/>
  </r>
  <r>
    <x v="2"/>
    <x v="8"/>
    <n v="10"/>
    <s v="群发装箱单和洋山提箱截图(如有)【5-17 17:00】"/>
    <x v="13"/>
    <x v="0"/>
    <s v="注意截单时间"/>
    <n v="-46"/>
  </r>
  <r>
    <x v="2"/>
    <x v="8"/>
    <n v="11"/>
    <s v="通知发舱单"/>
    <x v="13"/>
    <x v="0"/>
    <m/>
    <n v="-46"/>
  </r>
  <r>
    <x v="2"/>
    <x v="8"/>
    <n v="12"/>
    <s v="通知进港，进港(核对数据)，通知报关，报关成功"/>
    <x v="13"/>
    <x v="0"/>
    <s v="根据港区"/>
    <n v="-46"/>
  </r>
  <r>
    <x v="2"/>
    <x v="8"/>
    <n v="13"/>
    <s v="盯海放"/>
    <x v="16"/>
    <x v="0"/>
    <m/>
    <n v="-43"/>
  </r>
  <r>
    <x v="2"/>
    <x v="8"/>
    <n v="14"/>
    <s v="盯码放"/>
    <x v="16"/>
    <x v="0"/>
    <m/>
    <n v="-43"/>
  </r>
  <r>
    <x v="2"/>
    <x v="8"/>
    <n v="15"/>
    <s v="盯配载"/>
    <x v="23"/>
    <x v="0"/>
    <m/>
    <n v="-42"/>
  </r>
  <r>
    <x v="2"/>
    <x v="8"/>
    <n v="16"/>
    <s v="做费用(对账单日期4号)，放公共盘，填月账单表，发孙丹"/>
    <x v="17"/>
    <x v="0"/>
    <m/>
    <n v="-41"/>
  </r>
  <r>
    <x v="6"/>
    <x v="8"/>
    <n v="1"/>
    <s v="收到胡媛媛发来订舱邮件"/>
    <x v="24"/>
    <x v="0"/>
    <m/>
    <n v="-68"/>
  </r>
  <r>
    <x v="6"/>
    <x v="8"/>
    <n v="2"/>
    <s v="发订舱托书给万恒（翁小姐）"/>
    <x v="24"/>
    <x v="0"/>
    <m/>
    <n v="-68"/>
  </r>
  <r>
    <x v="6"/>
    <x v="8"/>
    <n v="3"/>
    <s v="收到万恒（翁小姐）预配"/>
    <x v="24"/>
    <x v="0"/>
    <s v="一般三小时左右"/>
    <n v="-68"/>
  </r>
  <r>
    <x v="6"/>
    <x v="8"/>
    <n v="4"/>
    <s v="通知胡媛媛订舱成功"/>
    <x v="24"/>
    <x v="0"/>
    <m/>
    <n v="-68"/>
  </r>
  <r>
    <x v="6"/>
    <x v="8"/>
    <n v="5"/>
    <s v="发做箱通知邮件给车队(沈丽)"/>
    <x v="9"/>
    <x v="0"/>
    <m/>
    <n v="-54"/>
  </r>
  <r>
    <x v="6"/>
    <x v="8"/>
    <n v="6"/>
    <s v="收到胡媛媛发来报关资料"/>
    <x v="15"/>
    <x v="0"/>
    <s v="船开前一周？"/>
    <n v="-49"/>
  </r>
  <r>
    <x v="6"/>
    <x v="8"/>
    <n v="7"/>
    <s v="完善报关资料发报关行（黄寅文），要校对稿，做做箱数据给沈丽"/>
    <x v="15"/>
    <x v="0"/>
    <m/>
    <n v="-49"/>
  </r>
  <r>
    <x v="6"/>
    <x v="8"/>
    <n v="8"/>
    <s v="买保险，做异地付款保函，发胡媛媛确认盖章回传"/>
    <x v="15"/>
    <x v="0"/>
    <m/>
    <n v="-49"/>
  </r>
  <r>
    <x v="6"/>
    <x v="8"/>
    <n v="9"/>
    <s v="收到客户（胡媛媛）发来保函扫描件"/>
    <x v="15"/>
    <x v="0"/>
    <s v="一般马上"/>
    <n v="-49"/>
  </r>
  <r>
    <x v="6"/>
    <x v="8"/>
    <n v="10"/>
    <s v="收到黄寅文校对稿，发客户（胡媛媛）确认"/>
    <x v="12"/>
    <x v="0"/>
    <s v="一般半天内"/>
    <n v="-48"/>
  </r>
  <r>
    <x v="6"/>
    <x v="8"/>
    <n v="11"/>
    <s v="收到客户（胡媛媛）确认校对稿OK"/>
    <x v="21"/>
    <x v="0"/>
    <s v="一般马上"/>
    <n v="-47"/>
  </r>
  <r>
    <x v="6"/>
    <x v="8"/>
    <n v="12"/>
    <s v="关注开港时间，跟车队（沈丽）确认明天做箱，如有变动通知胡媛媛"/>
    <x v="21"/>
    <x v="0"/>
    <s v="截单(5-17 11:00)"/>
    <n v="-47"/>
  </r>
  <r>
    <x v="6"/>
    <x v="8"/>
    <n v="13"/>
    <s v="收到沈丽发来装箱单"/>
    <x v="13"/>
    <x v="0"/>
    <s v="截单当天"/>
    <n v="-46"/>
  </r>
  <r>
    <x v="6"/>
    <x v="8"/>
    <n v="14"/>
    <s v="完善截单资料发万恒（翁小姐），请求发舱单"/>
    <x v="13"/>
    <x v="0"/>
    <m/>
    <n v="-46"/>
  </r>
  <r>
    <x v="6"/>
    <x v="8"/>
    <n v="15"/>
    <s v="收到舱单发送通知，核对舱单，装箱单发报关行报关"/>
    <x v="13"/>
    <x v="0"/>
    <m/>
    <n v="-46"/>
  </r>
  <r>
    <x v="6"/>
    <x v="8"/>
    <n v="16"/>
    <s v="请求万恒（翁小姐）发提单样本"/>
    <x v="16"/>
    <x v="0"/>
    <m/>
    <n v="-43"/>
  </r>
  <r>
    <x v="6"/>
    <x v="8"/>
    <n v="17"/>
    <s v="收到万恒（翁小姐）发来提单样本，发胡媛媛确认"/>
    <x v="16"/>
    <x v="0"/>
    <m/>
    <n v="-43"/>
  </r>
  <r>
    <x v="6"/>
    <x v="8"/>
    <n v="18"/>
    <s v="收到胡媛媛提单确认"/>
    <x v="16"/>
    <x v="0"/>
    <m/>
    <n v="-43"/>
  </r>
  <r>
    <x v="6"/>
    <x v="8"/>
    <n v="19"/>
    <s v="收到报关成功通知，通知车队可进港 "/>
    <x v="13"/>
    <x v="0"/>
    <m/>
    <n v="-46"/>
  </r>
  <r>
    <x v="6"/>
    <x v="8"/>
    <n v="20"/>
    <s v="进港，核对数据"/>
    <x v="13"/>
    <x v="0"/>
    <m/>
    <n v="-46"/>
  </r>
  <r>
    <x v="6"/>
    <x v="8"/>
    <n v="21"/>
    <s v="海放"/>
    <x v="16"/>
    <x v="0"/>
    <m/>
    <n v="-43"/>
  </r>
  <r>
    <x v="6"/>
    <x v="8"/>
    <n v="22"/>
    <s v="码放"/>
    <x v="16"/>
    <x v="0"/>
    <m/>
    <n v="-43"/>
  </r>
  <r>
    <x v="6"/>
    <x v="8"/>
    <n v="23"/>
    <s v="配载"/>
    <x v="23"/>
    <x v="0"/>
    <m/>
    <n v="-42"/>
  </r>
  <r>
    <x v="6"/>
    <x v="8"/>
    <n v="24"/>
    <s v="开船"/>
    <x v="17"/>
    <x v="0"/>
    <m/>
    <n v="-41"/>
  </r>
  <r>
    <x v="6"/>
    <x v="8"/>
    <n v="25"/>
    <s v="做费用，发账单给谢梦婕"/>
    <x v="17"/>
    <x v="0"/>
    <m/>
    <n v="-41"/>
  </r>
  <r>
    <x v="6"/>
    <x v="8"/>
    <n v="26"/>
    <s v="收到万恒（翁小姐）提单，放提单和预录单给胡媛媛"/>
    <x v="22"/>
    <x v="0"/>
    <m/>
    <n v="-40"/>
  </r>
  <r>
    <x v="4"/>
    <x v="9"/>
    <n v="1"/>
    <s v="收到客户(周嘉敏)订舱预报"/>
    <x v="1"/>
    <x v="0"/>
    <s v="一般周五发隔周"/>
    <n v="-53"/>
  </r>
  <r>
    <x v="4"/>
    <x v="9"/>
    <n v="2"/>
    <s v="填WORKING PROCESS"/>
    <x v="1"/>
    <x v="0"/>
    <m/>
    <n v="-53"/>
  </r>
  <r>
    <x v="4"/>
    <x v="9"/>
    <n v="3"/>
    <s v="收到HMM(Neo)预订舱邮件通知"/>
    <x v="11"/>
    <x v="0"/>
    <s v="一般周一发下周"/>
    <n v="-50"/>
  </r>
  <r>
    <x v="4"/>
    <x v="9"/>
    <n v="4"/>
    <s v="回复HMM(Neo)预订舱邮件"/>
    <x v="11"/>
    <x v="0"/>
    <m/>
    <n v="-50"/>
  </r>
  <r>
    <x v="4"/>
    <x v="9"/>
    <n v="5"/>
    <s v="收到HMM(Neo)预订舱确认"/>
    <x v="15"/>
    <x v="0"/>
    <s v="一般马上"/>
    <n v="-49"/>
  </r>
  <r>
    <x v="4"/>
    <x v="9"/>
    <n v="6"/>
    <s v="公共盘生成提单号"/>
    <x v="15"/>
    <x v="0"/>
    <m/>
    <n v="-49"/>
  </r>
  <r>
    <x v="4"/>
    <x v="9"/>
    <n v="7"/>
    <s v="YJC系统生成单子"/>
    <x v="15"/>
    <x v="0"/>
    <m/>
    <n v="-49"/>
  </r>
  <r>
    <x v="4"/>
    <x v="9"/>
    <n v="8"/>
    <s v="发EDI"/>
    <x v="15"/>
    <x v="0"/>
    <m/>
    <n v="-49"/>
  </r>
  <r>
    <x v="4"/>
    <x v="9"/>
    <n v="9"/>
    <s v="邮件申请放单"/>
    <x v="15"/>
    <x v="0"/>
    <m/>
    <n v="-49"/>
  </r>
  <r>
    <x v="4"/>
    <x v="9"/>
    <n v="10"/>
    <s v="收到HMM(Neo) 放单确认"/>
    <x v="12"/>
    <x v="0"/>
    <s v="一般半天内"/>
    <n v="-48"/>
  </r>
  <r>
    <x v="4"/>
    <x v="9"/>
    <n v="11"/>
    <s v="HMM网站核对订舱信息"/>
    <x v="12"/>
    <x v="0"/>
    <m/>
    <n v="-48"/>
  </r>
  <r>
    <x v="4"/>
    <x v="9"/>
    <n v="13"/>
    <s v="收到客户(周嘉敏)做箱通知"/>
    <x v="16"/>
    <x v="0"/>
    <s v="一般做箱头天一早"/>
    <n v="-43"/>
  </r>
  <r>
    <x v="4"/>
    <x v="9"/>
    <n v="14"/>
    <s v="发做箱通知邮件给车队(沈丽)"/>
    <x v="16"/>
    <x v="0"/>
    <m/>
    <n v="-43"/>
  </r>
  <r>
    <x v="4"/>
    <x v="9"/>
    <n v="15"/>
    <s v="公共盘生成提单号【如需拆单】"/>
    <x v="16"/>
    <x v="0"/>
    <m/>
    <n v="-43"/>
  </r>
  <r>
    <x v="4"/>
    <x v="9"/>
    <n v="16"/>
    <s v="YJC系统生成单子【如需拆单】"/>
    <x v="16"/>
    <x v="0"/>
    <m/>
    <n v="-43"/>
  </r>
  <r>
    <x v="4"/>
    <x v="9"/>
    <n v="17"/>
    <s v="发EDI【如需拆单】"/>
    <x v="16"/>
    <x v="0"/>
    <m/>
    <n v="-43"/>
  </r>
  <r>
    <x v="4"/>
    <x v="9"/>
    <n v="18"/>
    <s v="邮件申请放单【如需拆单】"/>
    <x v="16"/>
    <x v="0"/>
    <m/>
    <n v="-43"/>
  </r>
  <r>
    <x v="4"/>
    <x v="9"/>
    <n v="19"/>
    <s v="收到HMM(Neo) 放单确认【如需拆单】"/>
    <x v="16"/>
    <x v="0"/>
    <m/>
    <n v="-43"/>
  </r>
  <r>
    <x v="4"/>
    <x v="9"/>
    <n v="20"/>
    <s v="HMM网站核对订舱信息【如需拆单】"/>
    <x v="16"/>
    <x v="0"/>
    <m/>
    <n v="-43"/>
  </r>
  <r>
    <x v="4"/>
    <x v="9"/>
    <n v="20.100000000000001"/>
    <s v="明天盐城能装？"/>
    <x v="13"/>
    <x v="0"/>
    <m/>
    <n v="-46"/>
  </r>
  <r>
    <x v="4"/>
    <x v="9"/>
    <n v="21"/>
    <s v="收到客户(徐贵)发来做箱数据(报关资料)"/>
    <x v="23"/>
    <x v="0"/>
    <s v="一般做箱当天一早"/>
    <n v="-42"/>
  </r>
  <r>
    <x v="4"/>
    <x v="9"/>
    <n v="22"/>
    <s v="按报关(发票)数生成提单号【如发票数超过提单数】"/>
    <x v="23"/>
    <x v="0"/>
    <m/>
    <n v="-42"/>
  </r>
  <r>
    <x v="4"/>
    <x v="9"/>
    <n v="23"/>
    <s v="做做箱数据，QQ发车队(沈丽)"/>
    <x v="23"/>
    <x v="0"/>
    <m/>
    <n v="-42"/>
  </r>
  <r>
    <x v="4"/>
    <x v="9"/>
    <n v="24"/>
    <s v="做报关资料，扫描发报关行(黄寅文)QQ"/>
    <x v="23"/>
    <x v="0"/>
    <m/>
    <n v="-42"/>
  </r>
  <r>
    <x v="4"/>
    <x v="9"/>
    <n v="25"/>
    <s v="收到车队(沈丽)装箱单"/>
    <x v="23"/>
    <x v="0"/>
    <s v="一般马上"/>
    <n v="-42"/>
  </r>
  <r>
    <x v="4"/>
    <x v="9"/>
    <n v="26"/>
    <s v="YJC系统截单，发EDI，邮件HMM(He)【5-21 周二 12:00】"/>
    <x v="23"/>
    <x v="0"/>
    <s v="注意截单时间"/>
    <n v="-42"/>
  </r>
  <r>
    <x v="4"/>
    <x v="9"/>
    <n v="27"/>
    <s v="做保函给邹师傅"/>
    <x v="23"/>
    <x v="0"/>
    <m/>
    <n v="-42"/>
  </r>
  <r>
    <x v="4"/>
    <x v="9"/>
    <n v="28"/>
    <s v="发VGM和舱单"/>
    <x v="23"/>
    <x v="0"/>
    <m/>
    <n v="-42"/>
  </r>
  <r>
    <x v="4"/>
    <x v="9"/>
    <n v="29"/>
    <s v="做ISF，发国外资料"/>
    <x v="23"/>
    <x v="0"/>
    <m/>
    <n v="-42"/>
  </r>
  <r>
    <x v="4"/>
    <x v="9"/>
    <n v="30"/>
    <s v="买保险"/>
    <x v="23"/>
    <x v="0"/>
    <m/>
    <n v="-42"/>
  </r>
  <r>
    <x v="4"/>
    <x v="9"/>
    <n v="31"/>
    <s v="填WORKING PROCESS"/>
    <x v="23"/>
    <x v="0"/>
    <m/>
    <n v="-42"/>
  </r>
  <r>
    <x v="4"/>
    <x v="9"/>
    <n v="32"/>
    <s v="收到HMM(He)生成提单通知"/>
    <x v="23"/>
    <x v="0"/>
    <s v="一般马上"/>
    <n v="-42"/>
  </r>
  <r>
    <x v="4"/>
    <x v="9"/>
    <n v="33"/>
    <s v="HMM网站核对提单信息"/>
    <x v="23"/>
    <x v="0"/>
    <m/>
    <n v="-42"/>
  </r>
  <r>
    <x v="4"/>
    <x v="9"/>
    <n v="34"/>
    <s v="盯海关网站舱单"/>
    <x v="23"/>
    <x v="0"/>
    <s v="一般两小时左右"/>
    <n v="-42"/>
  </r>
  <r>
    <x v="4"/>
    <x v="9"/>
    <n v="35"/>
    <s v="核对舱单信息"/>
    <x v="23"/>
    <x v="0"/>
    <m/>
    <n v="-42"/>
  </r>
  <r>
    <x v="4"/>
    <x v="9"/>
    <n v="36"/>
    <s v="收到报关行(黄寅文)校对稿，邮件发客户(徐贵)确认"/>
    <x v="23"/>
    <x v="0"/>
    <s v="一般半天内"/>
    <n v="-42"/>
  </r>
  <r>
    <x v="4"/>
    <x v="9"/>
    <n v="37"/>
    <s v="收到客户(徐贵)确认校对稿，通知报关行(黄寅文)"/>
    <x v="23"/>
    <x v="0"/>
    <s v="一般马上"/>
    <n v="-42"/>
  </r>
  <r>
    <x v="4"/>
    <x v="9"/>
    <n v="38"/>
    <s v="通知报关行(黄寅文)报关(开港、舱单、校对)"/>
    <x v="23"/>
    <x v="0"/>
    <m/>
    <n v="-42"/>
  </r>
  <r>
    <x v="4"/>
    <x v="9"/>
    <n v="39"/>
    <s v="收到报关成功通知"/>
    <x v="23"/>
    <x v="0"/>
    <s v="一般下班前"/>
    <n v="-42"/>
  </r>
  <r>
    <x v="4"/>
    <x v="9"/>
    <n v="40"/>
    <s v="通知车队(沈丽)可进港"/>
    <x v="23"/>
    <x v="0"/>
    <m/>
    <n v="-42"/>
  </r>
  <r>
    <x v="4"/>
    <x v="9"/>
    <n v="41"/>
    <s v="盯箱子进港"/>
    <x v="17"/>
    <x v="0"/>
    <m/>
    <n v="-41"/>
  </r>
  <r>
    <x v="4"/>
    <x v="9"/>
    <n v="42"/>
    <s v="核对进港数据"/>
    <x v="17"/>
    <x v="0"/>
    <m/>
    <n v="-41"/>
  </r>
  <r>
    <x v="4"/>
    <x v="9"/>
    <n v="43"/>
    <s v="盯海放"/>
    <x v="17"/>
    <x v="0"/>
    <m/>
    <n v="-41"/>
  </r>
  <r>
    <x v="4"/>
    <x v="9"/>
    <n v="44"/>
    <s v="盯码放"/>
    <x v="17"/>
    <x v="0"/>
    <m/>
    <n v="-41"/>
  </r>
  <r>
    <x v="4"/>
    <x v="9"/>
    <n v="45"/>
    <s v="盯配载"/>
    <x v="22"/>
    <x v="0"/>
    <m/>
    <n v="-40"/>
  </r>
  <r>
    <x v="4"/>
    <x v="9"/>
    <n v="46"/>
    <s v="做费用"/>
    <x v="18"/>
    <x v="0"/>
    <m/>
    <n v="-36"/>
  </r>
  <r>
    <x v="4"/>
    <x v="9"/>
    <n v="47"/>
    <s v="发账单"/>
    <x v="18"/>
    <x v="0"/>
    <m/>
    <n v="-36"/>
  </r>
  <r>
    <x v="4"/>
    <x v="9"/>
    <n v="48"/>
    <s v="船开"/>
    <x v="25"/>
    <x v="0"/>
    <m/>
    <n v="-38"/>
  </r>
  <r>
    <x v="4"/>
    <x v="9"/>
    <n v="49"/>
    <s v="放单"/>
    <x v="18"/>
    <x v="0"/>
    <s v="一般开船后两三天"/>
    <n v="-36"/>
  </r>
  <r>
    <x v="4"/>
    <x v="9"/>
    <n v="50"/>
    <s v="跟常靓确认修改后的保单"/>
    <x v="26"/>
    <x v="0"/>
    <m/>
    <n v="-27"/>
  </r>
  <r>
    <x v="3"/>
    <x v="10"/>
    <n v="1"/>
    <s v="收到HMM Neo 下周订舱邮件"/>
    <x v="18"/>
    <x v="0"/>
    <s v="周一"/>
    <n v="-36"/>
  </r>
  <r>
    <x v="3"/>
    <x v="10"/>
    <n v="2"/>
    <s v="根据JS mobis订舱需求回Neo邮件"/>
    <x v="18"/>
    <x v="0"/>
    <s v="周一"/>
    <n v="-36"/>
  </r>
  <r>
    <x v="3"/>
    <x v="10"/>
    <n v="3"/>
    <s v="SHA GLV WORKING PROCESS"/>
    <x v="18"/>
    <x v="0"/>
    <s v="周一"/>
    <n v="-36"/>
  </r>
  <r>
    <x v="3"/>
    <x v="10"/>
    <n v="4"/>
    <s v="SHA GLV WORKING PROCESS"/>
    <x v="0"/>
    <x v="0"/>
    <s v="周三"/>
    <n v="-34"/>
  </r>
  <r>
    <x v="3"/>
    <x v="10"/>
    <n v="5"/>
    <s v="TJ glovis额外费用邮件"/>
    <x v="27"/>
    <x v="0"/>
    <s v="周五"/>
    <n v="-32"/>
  </r>
  <r>
    <x v="3"/>
    <x v="10"/>
    <n v="6"/>
    <s v="SHA GLV WORKING PROCESS"/>
    <x v="27"/>
    <x v="0"/>
    <s v="周五"/>
    <n v="-32"/>
  </r>
  <r>
    <x v="3"/>
    <x v="10"/>
    <n v="7"/>
    <s v="TJ GLV WORKING PROCESS"/>
    <x v="27"/>
    <x v="0"/>
    <s v="周五"/>
    <n v="-32"/>
  </r>
  <r>
    <x v="4"/>
    <x v="11"/>
    <n v="1"/>
    <s v="收到客户(周嘉敏)订舱预报"/>
    <x v="1"/>
    <x v="0"/>
    <s v="一般周五发隔周"/>
    <n v="-53"/>
  </r>
  <r>
    <x v="4"/>
    <x v="11"/>
    <n v="2"/>
    <s v="填WORKING PROCESS"/>
    <x v="15"/>
    <x v="0"/>
    <m/>
    <n v="-49"/>
  </r>
  <r>
    <x v="4"/>
    <x v="11"/>
    <n v="3"/>
    <s v="收到HMM(Neo)预订舱邮件通知"/>
    <x v="15"/>
    <x v="0"/>
    <s v="一般周一发下周"/>
    <n v="-49"/>
  </r>
  <r>
    <x v="4"/>
    <x v="11"/>
    <n v="4"/>
    <s v="回复HMM(Neo)预订舱邮件"/>
    <x v="15"/>
    <x v="0"/>
    <m/>
    <n v="-49"/>
  </r>
  <r>
    <x v="4"/>
    <x v="11"/>
    <n v="5"/>
    <s v="收到HMM(Neo)预订舱确认"/>
    <x v="15"/>
    <x v="0"/>
    <s v="一般马上"/>
    <n v="-49"/>
  </r>
  <r>
    <x v="4"/>
    <x v="11"/>
    <n v="6"/>
    <s v="公共盘生成提单号"/>
    <x v="15"/>
    <x v="0"/>
    <m/>
    <n v="-49"/>
  </r>
  <r>
    <x v="4"/>
    <x v="11"/>
    <n v="7"/>
    <s v="YJC系统生成单子"/>
    <x v="15"/>
    <x v="0"/>
    <m/>
    <n v="-49"/>
  </r>
  <r>
    <x v="4"/>
    <x v="11"/>
    <n v="8"/>
    <s v="发EDI"/>
    <x v="15"/>
    <x v="0"/>
    <m/>
    <n v="-49"/>
  </r>
  <r>
    <x v="4"/>
    <x v="11"/>
    <n v="9"/>
    <s v="邮件申请放单"/>
    <x v="15"/>
    <x v="0"/>
    <m/>
    <n v="-49"/>
  </r>
  <r>
    <x v="4"/>
    <x v="11"/>
    <n v="10"/>
    <s v="收到HMM(Neo) 放单确认"/>
    <x v="12"/>
    <x v="0"/>
    <s v="一般半天内"/>
    <n v="-48"/>
  </r>
  <r>
    <x v="4"/>
    <x v="11"/>
    <n v="11"/>
    <s v="HMM网站核对订舱信息"/>
    <x v="12"/>
    <x v="0"/>
    <m/>
    <n v="-48"/>
  </r>
  <r>
    <x v="4"/>
    <x v="11"/>
    <n v="12"/>
    <s v="收到客户(徐贵)做箱通知(5-24截单)"/>
    <x v="22"/>
    <x v="0"/>
    <s v="一般做箱头天一早"/>
    <n v="-40"/>
  </r>
  <r>
    <x v="4"/>
    <x v="11"/>
    <n v="13"/>
    <s v="发做箱通知邮件给车队(沈丽)"/>
    <x v="22"/>
    <x v="0"/>
    <m/>
    <n v="-40"/>
  </r>
  <r>
    <x v="4"/>
    <x v="11"/>
    <n v="15"/>
    <s v="公共盘生成提单号【如需拆单】"/>
    <x v="22"/>
    <x v="0"/>
    <m/>
    <n v="-40"/>
  </r>
  <r>
    <x v="4"/>
    <x v="11"/>
    <n v="16"/>
    <s v="YJC系统生成单子【如需拆单】"/>
    <x v="22"/>
    <x v="0"/>
    <m/>
    <n v="-40"/>
  </r>
  <r>
    <x v="4"/>
    <x v="11"/>
    <n v="17"/>
    <s v="发EDI【如需拆单】"/>
    <x v="22"/>
    <x v="0"/>
    <m/>
    <n v="-40"/>
  </r>
  <r>
    <x v="4"/>
    <x v="11"/>
    <n v="18"/>
    <s v="邮件申请放单【如需拆单】"/>
    <x v="22"/>
    <x v="0"/>
    <m/>
    <n v="-40"/>
  </r>
  <r>
    <x v="4"/>
    <x v="11"/>
    <n v="19"/>
    <s v="收到HMM(Neo) 放单确认【如需拆单】"/>
    <x v="22"/>
    <x v="0"/>
    <m/>
    <n v="-40"/>
  </r>
  <r>
    <x v="4"/>
    <x v="11"/>
    <n v="20"/>
    <s v="HMM网站核对订舱信息【如需拆单】"/>
    <x v="22"/>
    <x v="0"/>
    <m/>
    <n v="-40"/>
  </r>
  <r>
    <x v="4"/>
    <x v="11"/>
    <n v="21"/>
    <s v="收到客户(徐贵)发来做箱数据(报关资料)"/>
    <x v="20"/>
    <x v="0"/>
    <s v="一般做箱当天一早"/>
    <n v="-39"/>
  </r>
  <r>
    <x v="4"/>
    <x v="11"/>
    <n v="22"/>
    <s v="按报关(发票)数生成提单号【如发票数超过提单数】"/>
    <x v="20"/>
    <x v="0"/>
    <m/>
    <n v="-39"/>
  </r>
  <r>
    <x v="4"/>
    <x v="11"/>
    <n v="23"/>
    <s v="做做箱数据，QQ发车队(沈丽)"/>
    <x v="20"/>
    <x v="0"/>
    <m/>
    <n v="-39"/>
  </r>
  <r>
    <x v="4"/>
    <x v="11"/>
    <n v="24"/>
    <s v="做报关资料，扫描发报关行(黄寅文)QQ"/>
    <x v="20"/>
    <x v="0"/>
    <m/>
    <n v="-39"/>
  </r>
  <r>
    <x v="4"/>
    <x v="11"/>
    <n v="25"/>
    <s v="收到车队(沈丽)装箱单"/>
    <x v="20"/>
    <x v="0"/>
    <s v="一般马上"/>
    <n v="-39"/>
  </r>
  <r>
    <x v="4"/>
    <x v="11"/>
    <n v="26"/>
    <s v="YJC系统截单，发EDI，邮件HMM(He)【5-24 12:00】"/>
    <x v="20"/>
    <x v="0"/>
    <s v="注意截单时间"/>
    <n v="-39"/>
  </r>
  <r>
    <x v="4"/>
    <x v="11"/>
    <n v="27"/>
    <s v="做保函给邹师傅"/>
    <x v="20"/>
    <x v="0"/>
    <m/>
    <n v="-39"/>
  </r>
  <r>
    <x v="4"/>
    <x v="11"/>
    <n v="28"/>
    <s v="发VGM和舱单"/>
    <x v="20"/>
    <x v="0"/>
    <m/>
    <n v="-39"/>
  </r>
  <r>
    <x v="4"/>
    <x v="11"/>
    <n v="29"/>
    <s v="做ISF，发国外资料"/>
    <x v="20"/>
    <x v="0"/>
    <m/>
    <n v="-39"/>
  </r>
  <r>
    <x v="4"/>
    <x v="11"/>
    <n v="30"/>
    <s v="买保险"/>
    <x v="20"/>
    <x v="0"/>
    <m/>
    <n v="-39"/>
  </r>
  <r>
    <x v="4"/>
    <x v="11"/>
    <n v="31"/>
    <s v="填WORKING PROCESS"/>
    <x v="20"/>
    <x v="0"/>
    <m/>
    <n v="-39"/>
  </r>
  <r>
    <x v="4"/>
    <x v="11"/>
    <n v="32"/>
    <s v="收到HMM(He)生成提单通知"/>
    <x v="20"/>
    <x v="0"/>
    <s v="一般马上"/>
    <n v="-39"/>
  </r>
  <r>
    <x v="4"/>
    <x v="11"/>
    <n v="33"/>
    <s v="HMM网站核对提单信息"/>
    <x v="20"/>
    <x v="0"/>
    <m/>
    <n v="-39"/>
  </r>
  <r>
    <x v="4"/>
    <x v="11"/>
    <n v="34"/>
    <s v="盯海关网站舱单"/>
    <x v="20"/>
    <x v="0"/>
    <s v="一般两小时左右"/>
    <n v="-39"/>
  </r>
  <r>
    <x v="4"/>
    <x v="11"/>
    <n v="35"/>
    <s v="核对舱单信息"/>
    <x v="20"/>
    <x v="0"/>
    <m/>
    <n v="-39"/>
  </r>
  <r>
    <x v="4"/>
    <x v="11"/>
    <n v="36"/>
    <s v="收到报关行(黄寅文)校对稿，邮件发客户(徐贵)确认"/>
    <x v="20"/>
    <x v="0"/>
    <s v="一般半天内"/>
    <n v="-39"/>
  </r>
  <r>
    <x v="4"/>
    <x v="11"/>
    <n v="37"/>
    <s v="收到客户(徐贵)确认校对稿"/>
    <x v="25"/>
    <x v="0"/>
    <s v="一般马上"/>
    <n v="-38"/>
  </r>
  <r>
    <x v="4"/>
    <x v="11"/>
    <n v="38"/>
    <s v="通知车队(沈丽)可进港"/>
    <x v="20"/>
    <x v="0"/>
    <m/>
    <n v="-39"/>
  </r>
  <r>
    <x v="4"/>
    <x v="11"/>
    <n v="39"/>
    <s v="盯箱子进港"/>
    <x v="25"/>
    <x v="0"/>
    <m/>
    <n v="-38"/>
  </r>
  <r>
    <x v="4"/>
    <x v="11"/>
    <n v="40"/>
    <s v="核对进港数据"/>
    <x v="25"/>
    <x v="0"/>
    <m/>
    <n v="-38"/>
  </r>
  <r>
    <x v="4"/>
    <x v="11"/>
    <n v="41"/>
    <s v="通知报关行(黄寅文)报关(开港、舱单、校对)"/>
    <x v="25"/>
    <x v="0"/>
    <m/>
    <n v="-38"/>
  </r>
  <r>
    <x v="4"/>
    <x v="11"/>
    <n v="42"/>
    <s v="收到报关成功通知"/>
    <x v="25"/>
    <x v="0"/>
    <s v="一般下班前"/>
    <n v="-38"/>
  </r>
  <r>
    <x v="4"/>
    <x v="11"/>
    <n v="43"/>
    <s v="盯海放"/>
    <x v="25"/>
    <x v="0"/>
    <m/>
    <n v="-38"/>
  </r>
  <r>
    <x v="4"/>
    <x v="11"/>
    <n v="44"/>
    <s v="盯码放"/>
    <x v="18"/>
    <x v="0"/>
    <m/>
    <n v="-36"/>
  </r>
  <r>
    <x v="4"/>
    <x v="11"/>
    <n v="45"/>
    <s v="盯配载"/>
    <x v="18"/>
    <x v="0"/>
    <m/>
    <n v="-36"/>
  </r>
  <r>
    <x v="4"/>
    <x v="11"/>
    <n v="46"/>
    <s v="船开，放单"/>
    <x v="0"/>
    <x v="0"/>
    <m/>
    <n v="-34"/>
  </r>
  <r>
    <x v="4"/>
    <x v="11"/>
    <n v="47"/>
    <s v="做费用"/>
    <x v="18"/>
    <x v="0"/>
    <m/>
    <n v="-36"/>
  </r>
  <r>
    <x v="4"/>
    <x v="11"/>
    <n v="48"/>
    <s v="发账单"/>
    <x v="18"/>
    <x v="0"/>
    <m/>
    <n v="-36"/>
  </r>
  <r>
    <x v="4"/>
    <x v="11"/>
    <n v="49"/>
    <s v="开航日期应为5-28左右，跟常靓确认要不要改"/>
    <x v="26"/>
    <x v="0"/>
    <m/>
    <n v="-27"/>
  </r>
  <r>
    <x v="5"/>
    <x v="11"/>
    <n v="1"/>
    <s v="收到客户托书"/>
    <x v="12"/>
    <x v="0"/>
    <m/>
    <n v="-48"/>
  </r>
  <r>
    <x v="5"/>
    <x v="11"/>
    <n v="2"/>
    <s v="生成单号，YJC系统，发EDI，邮件Neo放舱"/>
    <x v="12"/>
    <x v="0"/>
    <m/>
    <n v="-48"/>
  </r>
  <r>
    <x v="5"/>
    <x v="11"/>
    <n v="3"/>
    <s v="收到Neo放舱确认"/>
    <x v="21"/>
    <x v="0"/>
    <m/>
    <n v="-47"/>
  </r>
  <r>
    <x v="5"/>
    <x v="11"/>
    <n v="4"/>
    <s v="发预配信息给客户（张婷）"/>
    <x v="21"/>
    <x v="0"/>
    <m/>
    <n v="-47"/>
  </r>
  <r>
    <x v="5"/>
    <x v="11"/>
    <n v="5"/>
    <s v="收到客户（张婷）报关资料"/>
    <x v="17"/>
    <x v="0"/>
    <m/>
    <n v="-41"/>
  </r>
  <r>
    <x v="5"/>
    <x v="11"/>
    <n v="6"/>
    <s v="做报关资料，发报关行（黄寅文），要校对稿"/>
    <x v="17"/>
    <x v="0"/>
    <m/>
    <n v="-41"/>
  </r>
  <r>
    <x v="5"/>
    <x v="11"/>
    <n v="7"/>
    <s v="收到校对稿，发客户"/>
    <x v="22"/>
    <x v="0"/>
    <m/>
    <n v="-40"/>
  </r>
  <r>
    <x v="5"/>
    <x v="11"/>
    <n v="8"/>
    <s v="收到校对稿确认"/>
    <x v="22"/>
    <x v="0"/>
    <m/>
    <n v="-40"/>
  </r>
  <r>
    <x v="5"/>
    <x v="11"/>
    <n v="9"/>
    <s v="收到客户（张婷）舱单模板和VGM"/>
    <x v="20"/>
    <x v="0"/>
    <s v="今天能放箱装？"/>
    <n v="-39"/>
  </r>
  <r>
    <x v="5"/>
    <x v="11"/>
    <n v="10"/>
    <s v="发舱单和VGM"/>
    <x v="20"/>
    <x v="0"/>
    <m/>
    <n v="-39"/>
  </r>
  <r>
    <x v="5"/>
    <x v="11"/>
    <n v="11"/>
    <s v="YJC系统改准确数据，发ESI，做AMS模板并邮件何生成提单"/>
    <x v="20"/>
    <x v="0"/>
    <m/>
    <n v="-39"/>
  </r>
  <r>
    <x v="5"/>
    <x v="11"/>
    <n v="12"/>
    <s v="收到生成提单邮件，网站核对信息"/>
    <x v="20"/>
    <x v="0"/>
    <m/>
    <n v="-39"/>
  </r>
  <r>
    <x v="5"/>
    <x v="11"/>
    <n v="13"/>
    <s v="海关有舱单，核对舱单"/>
    <x v="20"/>
    <x v="0"/>
    <m/>
    <n v="-39"/>
  </r>
  <r>
    <x v="5"/>
    <x v="11"/>
    <n v="14"/>
    <s v="发提单确认（两份）"/>
    <x v="20"/>
    <x v="0"/>
    <m/>
    <n v="-39"/>
  </r>
  <r>
    <x v="5"/>
    <x v="11"/>
    <n v="15"/>
    <s v="通知可进港"/>
    <x v="20"/>
    <x v="0"/>
    <m/>
    <n v="-39"/>
  </r>
  <r>
    <x v="5"/>
    <x v="11"/>
    <n v="16"/>
    <s v="收到客户（张婷）提单确认"/>
    <x v="20"/>
    <x v="0"/>
    <m/>
    <n v="-39"/>
  </r>
  <r>
    <x v="5"/>
    <x v="11"/>
    <n v="17"/>
    <s v="收到进港通知"/>
    <x v="25"/>
    <x v="0"/>
    <m/>
    <n v="-38"/>
  </r>
  <r>
    <x v="5"/>
    <x v="11"/>
    <n v="18"/>
    <s v="核对进港数据"/>
    <x v="25"/>
    <x v="0"/>
    <m/>
    <n v="-38"/>
  </r>
  <r>
    <x v="5"/>
    <x v="11"/>
    <n v="19"/>
    <s v="通知报关"/>
    <x v="25"/>
    <x v="0"/>
    <m/>
    <n v="-38"/>
  </r>
  <r>
    <x v="5"/>
    <x v="11"/>
    <n v="20"/>
    <s v="收到报关成功通知"/>
    <x v="25"/>
    <x v="0"/>
    <m/>
    <n v="-38"/>
  </r>
  <r>
    <x v="5"/>
    <x v="11"/>
    <n v="21"/>
    <s v="海放，码放，配载"/>
    <x v="18"/>
    <x v="0"/>
    <m/>
    <n v="-36"/>
  </r>
  <r>
    <x v="5"/>
    <x v="11"/>
    <n v="22"/>
    <s v="船开"/>
    <x v="0"/>
    <x v="0"/>
    <m/>
    <n v="-34"/>
  </r>
  <r>
    <x v="5"/>
    <x v="11"/>
    <n v="23"/>
    <s v="收到Neo发来费用，录入系统，发张婷"/>
    <x v="26"/>
    <x v="0"/>
    <m/>
    <n v="-27"/>
  </r>
  <r>
    <x v="5"/>
    <x v="11"/>
    <n v="24"/>
    <s v="放单"/>
    <x v="0"/>
    <x v="0"/>
    <m/>
    <n v="-34"/>
  </r>
  <r>
    <x v="5"/>
    <x v="11"/>
    <n v="25"/>
    <s v="张婷确认账单"/>
    <x v="19"/>
    <x v="0"/>
    <m/>
    <n v="-12"/>
  </r>
  <r>
    <x v="1"/>
    <x v="12"/>
    <n v="1"/>
    <s v="收到客户(孙丹/王珊)发来订舱托书"/>
    <x v="13"/>
    <x v="0"/>
    <m/>
    <n v="-46"/>
  </r>
  <r>
    <x v="1"/>
    <x v="12"/>
    <n v="2"/>
    <s v="YJC系统生成单子"/>
    <x v="23"/>
    <x v="0"/>
    <m/>
    <n v="-42"/>
  </r>
  <r>
    <x v="1"/>
    <x v="12"/>
    <n v="3"/>
    <s v="收到CK发来预配(做箱通知，沈丽有收到？)，完善YJC系统数据"/>
    <x v="23"/>
    <x v="0"/>
    <m/>
    <n v="-42"/>
  </r>
  <r>
    <x v="1"/>
    <x v="12"/>
    <n v="4"/>
    <s v="收到包装厂(刘倩梅)发来包装指示书和装箱计划"/>
    <x v="22"/>
    <x v="0"/>
    <s v="一般周四"/>
    <n v="-40"/>
  </r>
  <r>
    <x v="1"/>
    <x v="12"/>
    <n v="5"/>
    <s v="根据装箱计划汇总包装数据，发各工厂做报关资料"/>
    <x v="22"/>
    <x v="0"/>
    <m/>
    <n v="-40"/>
  </r>
  <r>
    <x v="1"/>
    <x v="12"/>
    <n v="6"/>
    <s v="做做箱数据，邮件群发"/>
    <x v="20"/>
    <x v="0"/>
    <m/>
    <n v="-39"/>
  </r>
  <r>
    <x v="1"/>
    <x v="12"/>
    <n v="7"/>
    <s v="收到工厂发来报关资料并完善(代做报关资料跟客户确认)"/>
    <x v="20"/>
    <x v="0"/>
    <s v="当天至隔天"/>
    <n v="-39"/>
  </r>
  <r>
    <x v="1"/>
    <x v="12"/>
    <n v="8"/>
    <s v="报关资料齐了，发报关行(黄寅文)，货运模板/发票/箱单"/>
    <x v="18"/>
    <x v="0"/>
    <m/>
    <n v="-36"/>
  </r>
  <r>
    <x v="1"/>
    <x v="12"/>
    <n v="9"/>
    <s v="通知进港"/>
    <x v="28"/>
    <x v="0"/>
    <m/>
    <n v="-37"/>
  </r>
  <r>
    <x v="1"/>
    <x v="12"/>
    <n v="10"/>
    <s v="进港(核对数据)"/>
    <x v="18"/>
    <x v="0"/>
    <m/>
    <n v="-36"/>
  </r>
  <r>
    <x v="1"/>
    <x v="12"/>
    <n v="11"/>
    <s v="收到车队(沈丽)装箱单和洋山提箱截图(如有)，群发，通知发舱单"/>
    <x v="18"/>
    <x v="0"/>
    <s v="一般KMM五、HMI日"/>
    <n v="-36"/>
  </r>
  <r>
    <x v="1"/>
    <x v="12"/>
    <n v="12"/>
    <s v="收到舱单发送成功通知，核对舱单信息"/>
    <x v="18"/>
    <x v="0"/>
    <m/>
    <n v="-36"/>
  </r>
  <r>
    <x v="1"/>
    <x v="12"/>
    <n v="13"/>
    <s v="通知报关"/>
    <x v="18"/>
    <x v="0"/>
    <m/>
    <n v="-36"/>
  </r>
  <r>
    <x v="1"/>
    <x v="12"/>
    <n v="14"/>
    <s v="报关成功"/>
    <x v="18"/>
    <x v="0"/>
    <m/>
    <n v="-36"/>
  </r>
  <r>
    <x v="1"/>
    <x v="12"/>
    <n v="15"/>
    <s v="盯海放"/>
    <x v="18"/>
    <x v="0"/>
    <m/>
    <n v="-36"/>
  </r>
  <r>
    <x v="1"/>
    <x v="12"/>
    <n v="16"/>
    <s v="盯码放"/>
    <x v="29"/>
    <x v="0"/>
    <m/>
    <n v="-33"/>
  </r>
  <r>
    <x v="1"/>
    <x v="12"/>
    <n v="17"/>
    <s v="盯配载"/>
    <x v="29"/>
    <x v="0"/>
    <m/>
    <n v="-33"/>
  </r>
  <r>
    <x v="1"/>
    <x v="12"/>
    <n v="18"/>
    <s v="盯船开"/>
    <x v="30"/>
    <x v="0"/>
    <m/>
    <n v="-31"/>
  </r>
  <r>
    <x v="1"/>
    <x v="12"/>
    <n v="19"/>
    <s v="做费用(对账单日期4号)，放公共盘，填月账单表，发孙丹"/>
    <x v="30"/>
    <x v="0"/>
    <m/>
    <n v="-31"/>
  </r>
  <r>
    <x v="2"/>
    <x v="12"/>
    <n v="1"/>
    <s v="收到客户(孙丹/王珊)发来订舱托书"/>
    <x v="12"/>
    <x v="0"/>
    <m/>
    <n v="-48"/>
  </r>
  <r>
    <x v="2"/>
    <x v="12"/>
    <n v="2"/>
    <s v="YJC系统生成单子"/>
    <x v="12"/>
    <x v="0"/>
    <m/>
    <n v="-48"/>
  </r>
  <r>
    <x v="2"/>
    <x v="12"/>
    <n v="3"/>
    <s v="收到CK发来预配(做箱通知，沈丽有收到？)，完善YJC系统数据"/>
    <x v="13"/>
    <x v="0"/>
    <m/>
    <n v="-46"/>
  </r>
  <r>
    <x v="2"/>
    <x v="12"/>
    <n v="4"/>
    <s v="收到包装厂(刘倩梅)发来包装指示书和装箱计划"/>
    <x v="22"/>
    <x v="0"/>
    <s v="一般周四"/>
    <n v="-40"/>
  </r>
  <r>
    <x v="2"/>
    <x v="12"/>
    <n v="5"/>
    <s v="根据装箱计划汇总包装数据，发各工厂做报关资料"/>
    <x v="22"/>
    <x v="0"/>
    <m/>
    <n v="-40"/>
  </r>
  <r>
    <x v="2"/>
    <x v="12"/>
    <n v="6"/>
    <s v="做做箱数据，邮件群发"/>
    <x v="22"/>
    <x v="0"/>
    <m/>
    <n v="-40"/>
  </r>
  <r>
    <x v="2"/>
    <x v="12"/>
    <n v="7"/>
    <s v="收到工厂发来报关资料并完善(代做报关资料跟客户确认)"/>
    <x v="22"/>
    <x v="0"/>
    <s v="当天至隔天"/>
    <n v="-40"/>
  </r>
  <r>
    <x v="2"/>
    <x v="12"/>
    <n v="8"/>
    <s v="报关资料齐了，发报关行(黄寅文)，货运模板/发票/箱单"/>
    <x v="22"/>
    <x v="0"/>
    <m/>
    <n v="-40"/>
  </r>
  <r>
    <x v="2"/>
    <x v="12"/>
    <n v="9"/>
    <s v="收到车队(沈丽)装箱单和洋山提箱截图(如有)，群发，通知发舱单"/>
    <x v="20"/>
    <x v="0"/>
    <s v="一般KMM五、HMI日"/>
    <n v="-39"/>
  </r>
  <r>
    <x v="2"/>
    <x v="12"/>
    <n v="12"/>
    <s v="收到舱单发送成功通知，核对舱单信息"/>
    <x v="20"/>
    <x v="0"/>
    <m/>
    <n v="-39"/>
  </r>
  <r>
    <x v="2"/>
    <x v="12"/>
    <n v="13"/>
    <s v="通知报关"/>
    <x v="20"/>
    <x v="0"/>
    <s v="调整顺序"/>
    <n v="-39"/>
  </r>
  <r>
    <x v="2"/>
    <x v="12"/>
    <n v="14"/>
    <s v="报关成功"/>
    <x v="20"/>
    <x v="0"/>
    <s v="调整顺序"/>
    <n v="-39"/>
  </r>
  <r>
    <x v="2"/>
    <x v="12"/>
    <n v="15"/>
    <s v="通知进港"/>
    <x v="20"/>
    <x v="0"/>
    <s v="调整顺序"/>
    <n v="-39"/>
  </r>
  <r>
    <x v="2"/>
    <x v="12"/>
    <n v="16"/>
    <s v="进港(核对数据)"/>
    <x v="25"/>
    <x v="0"/>
    <s v="调整顺序"/>
    <n v="-38"/>
  </r>
  <r>
    <x v="2"/>
    <x v="12"/>
    <n v="17"/>
    <s v="盯海放"/>
    <x v="25"/>
    <x v="0"/>
    <m/>
    <n v="-38"/>
  </r>
  <r>
    <x v="2"/>
    <x v="12"/>
    <n v="18"/>
    <s v="盯码放"/>
    <x v="18"/>
    <x v="0"/>
    <m/>
    <n v="-36"/>
  </r>
  <r>
    <x v="2"/>
    <x v="12"/>
    <n v="19"/>
    <s v="盯配载"/>
    <x v="0"/>
    <x v="0"/>
    <m/>
    <n v="-34"/>
  </r>
  <r>
    <x v="2"/>
    <x v="12"/>
    <n v="20"/>
    <s v="盯船开"/>
    <x v="29"/>
    <x v="0"/>
    <m/>
    <n v="-33"/>
  </r>
  <r>
    <x v="2"/>
    <x v="12"/>
    <n v="21"/>
    <s v="做费用(对账单日期4号)，放公共盘，填月账单表，发孙丹"/>
    <x v="31"/>
    <x v="0"/>
    <m/>
    <n v="-35"/>
  </r>
  <r>
    <x v="6"/>
    <x v="12"/>
    <n v="1"/>
    <s v="收到胡媛媛发来订舱邮件"/>
    <x v="24"/>
    <x v="0"/>
    <m/>
    <n v="-68"/>
  </r>
  <r>
    <x v="6"/>
    <x v="12"/>
    <n v="2"/>
    <s v="发订舱托书给万恒（翁小姐）"/>
    <x v="24"/>
    <x v="0"/>
    <m/>
    <n v="-68"/>
  </r>
  <r>
    <x v="6"/>
    <x v="12"/>
    <n v="3"/>
    <s v="收到万恒（翁小姐）预配"/>
    <x v="24"/>
    <x v="0"/>
    <s v="一般三小时左右"/>
    <n v="-68"/>
  </r>
  <r>
    <x v="6"/>
    <x v="12"/>
    <n v="4"/>
    <s v="通知胡媛媛订舱成功"/>
    <x v="24"/>
    <x v="0"/>
    <m/>
    <n v="-68"/>
  </r>
  <r>
    <x v="6"/>
    <x v="12"/>
    <n v="5"/>
    <s v="发做箱通知邮件给车队(沈丽)"/>
    <x v="9"/>
    <x v="0"/>
    <m/>
    <n v="-54"/>
  </r>
  <r>
    <x v="6"/>
    <x v="12"/>
    <n v="6"/>
    <s v="收到胡媛媛发来报关资料"/>
    <x v="17"/>
    <x v="0"/>
    <s v="船开前一周？"/>
    <n v="-41"/>
  </r>
  <r>
    <x v="6"/>
    <x v="12"/>
    <n v="7"/>
    <s v="完善报关资料发报关行（黄寅文），要校对稿，做做箱数据给沈丽"/>
    <x v="17"/>
    <x v="0"/>
    <m/>
    <n v="-41"/>
  </r>
  <r>
    <x v="6"/>
    <x v="12"/>
    <n v="8"/>
    <s v="买保险，做异地付款保函，发胡媛媛确认盖章回传"/>
    <x v="17"/>
    <x v="0"/>
    <m/>
    <n v="-41"/>
  </r>
  <r>
    <x v="6"/>
    <x v="12"/>
    <n v="9"/>
    <s v="收到客户（胡媛媛）发来保函扫描件"/>
    <x v="17"/>
    <x v="0"/>
    <s v="一般马上"/>
    <n v="-41"/>
  </r>
  <r>
    <x v="6"/>
    <x v="12"/>
    <n v="10"/>
    <s v="收到黄寅文校对稿，发客户（胡媛媛）确认"/>
    <x v="22"/>
    <x v="0"/>
    <s v="一般半天内"/>
    <n v="-40"/>
  </r>
  <r>
    <x v="6"/>
    <x v="12"/>
    <n v="11"/>
    <s v="收到客户（胡媛媛）确认校对稿OK"/>
    <x v="22"/>
    <x v="0"/>
    <s v="一般马上"/>
    <n v="-40"/>
  </r>
  <r>
    <x v="6"/>
    <x v="12"/>
    <n v="12"/>
    <s v="跟车队（沈丽）确认明天做箱，如有变动通知胡媛媛"/>
    <x v="22"/>
    <x v="0"/>
    <s v="截单前一天"/>
    <n v="-40"/>
  </r>
  <r>
    <x v="6"/>
    <x v="12"/>
    <n v="13"/>
    <s v="收到沈丽发来装箱单"/>
    <x v="20"/>
    <x v="0"/>
    <s v="截单当天"/>
    <n v="-39"/>
  </r>
  <r>
    <x v="6"/>
    <x v="12"/>
    <n v="14"/>
    <s v="完善截单资料发万恒（翁小姐），请求发舱单"/>
    <x v="20"/>
    <x v="0"/>
    <m/>
    <n v="-39"/>
  </r>
  <r>
    <x v="6"/>
    <x v="12"/>
    <n v="15"/>
    <s v="收到舱单发送通知，核对舱单，装箱单发报关行报关"/>
    <x v="20"/>
    <x v="0"/>
    <m/>
    <n v="-39"/>
  </r>
  <r>
    <x v="6"/>
    <x v="12"/>
    <n v="16"/>
    <s v="请求万恒（翁小姐）发提单样本"/>
    <x v="20"/>
    <x v="0"/>
    <m/>
    <n v="-39"/>
  </r>
  <r>
    <x v="6"/>
    <x v="12"/>
    <n v="17"/>
    <s v="收到万恒（翁小姐）发来提单样本，发胡媛媛确认"/>
    <x v="20"/>
    <x v="0"/>
    <m/>
    <n v="-39"/>
  </r>
  <r>
    <x v="6"/>
    <x v="12"/>
    <n v="18"/>
    <s v="收到胡媛媛提单确认"/>
    <x v="20"/>
    <x v="0"/>
    <m/>
    <n v="-39"/>
  </r>
  <r>
    <x v="6"/>
    <x v="12"/>
    <n v="19"/>
    <s v="收到报关成功通知，通知车队可进港 "/>
    <x v="20"/>
    <x v="0"/>
    <m/>
    <n v="-39"/>
  </r>
  <r>
    <x v="6"/>
    <x v="12"/>
    <n v="20"/>
    <s v="进港，核对数据"/>
    <x v="25"/>
    <x v="0"/>
    <m/>
    <n v="-38"/>
  </r>
  <r>
    <x v="6"/>
    <x v="12"/>
    <n v="21"/>
    <s v="海放"/>
    <x v="25"/>
    <x v="0"/>
    <m/>
    <n v="-38"/>
  </r>
  <r>
    <x v="6"/>
    <x v="12"/>
    <n v="22"/>
    <s v="码放"/>
    <x v="18"/>
    <x v="0"/>
    <m/>
    <n v="-36"/>
  </r>
  <r>
    <x v="6"/>
    <x v="12"/>
    <n v="23"/>
    <s v="配载"/>
    <x v="0"/>
    <x v="0"/>
    <m/>
    <n v="-34"/>
  </r>
  <r>
    <x v="6"/>
    <x v="12"/>
    <n v="24"/>
    <s v="开船"/>
    <x v="29"/>
    <x v="0"/>
    <m/>
    <n v="-33"/>
  </r>
  <r>
    <x v="6"/>
    <x v="12"/>
    <n v="24.1"/>
    <s v="做费用，发账单给谢梦婕"/>
    <x v="0"/>
    <x v="0"/>
    <m/>
    <n v="-34"/>
  </r>
  <r>
    <x v="6"/>
    <x v="12"/>
    <n v="25"/>
    <s v="收到万恒（翁小姐）提单，放提单和预录单给胡媛媛"/>
    <x v="29"/>
    <x v="0"/>
    <m/>
    <n v="-33"/>
  </r>
  <r>
    <x v="4"/>
    <x v="13"/>
    <n v="1"/>
    <s v="收到客户(周嘉敏)订舱预报"/>
    <x v="13"/>
    <x v="0"/>
    <s v="一般周五发隔周"/>
    <n v="-46"/>
  </r>
  <r>
    <x v="4"/>
    <x v="13"/>
    <n v="2"/>
    <s v="填WORKING PROCESS"/>
    <x v="13"/>
    <x v="0"/>
    <m/>
    <n v="-46"/>
  </r>
  <r>
    <x v="4"/>
    <x v="13"/>
    <n v="3"/>
    <s v="收到HMM(Neo)预订舱邮件通知"/>
    <x v="16"/>
    <x v="0"/>
    <s v="一般周一发下周"/>
    <n v="-43"/>
  </r>
  <r>
    <x v="4"/>
    <x v="13"/>
    <n v="4"/>
    <s v="回复HMM(Neo)预订舱邮件"/>
    <x v="16"/>
    <x v="0"/>
    <m/>
    <n v="-43"/>
  </r>
  <r>
    <x v="4"/>
    <x v="13"/>
    <n v="5"/>
    <s v="收到HMM(Neo)预订舱确认"/>
    <x v="23"/>
    <x v="0"/>
    <s v="一般马上"/>
    <n v="-42"/>
  </r>
  <r>
    <x v="4"/>
    <x v="13"/>
    <n v="6"/>
    <s v="公共盘生成提单号"/>
    <x v="23"/>
    <x v="0"/>
    <m/>
    <n v="-42"/>
  </r>
  <r>
    <x v="4"/>
    <x v="13"/>
    <n v="7"/>
    <s v="YJC系统生成单子"/>
    <x v="23"/>
    <x v="0"/>
    <m/>
    <n v="-42"/>
  </r>
  <r>
    <x v="4"/>
    <x v="13"/>
    <n v="8"/>
    <s v="发EDI"/>
    <x v="23"/>
    <x v="0"/>
    <m/>
    <n v="-42"/>
  </r>
  <r>
    <x v="4"/>
    <x v="13"/>
    <n v="9"/>
    <s v="邮件申请放单"/>
    <x v="23"/>
    <x v="0"/>
    <m/>
    <n v="-42"/>
  </r>
  <r>
    <x v="4"/>
    <x v="13"/>
    <n v="10"/>
    <s v="收到HMM(Neo) 放单确认"/>
    <x v="17"/>
    <x v="0"/>
    <s v="一般半天内"/>
    <n v="-41"/>
  </r>
  <r>
    <x v="4"/>
    <x v="13"/>
    <n v="11"/>
    <s v="HMM网站核对订舱信息"/>
    <x v="17"/>
    <x v="0"/>
    <m/>
    <n v="-41"/>
  </r>
  <r>
    <x v="4"/>
    <x v="13"/>
    <n v="12"/>
    <s v="收到客户(徐贵)做箱通知"/>
    <x v="18"/>
    <x v="0"/>
    <s v="一般做箱头天一早"/>
    <n v="-36"/>
  </r>
  <r>
    <x v="4"/>
    <x v="13"/>
    <n v="13"/>
    <s v="发做箱通知邮件给车队(沈丽)"/>
    <x v="18"/>
    <x v="0"/>
    <m/>
    <n v="-36"/>
  </r>
  <r>
    <x v="4"/>
    <x v="13"/>
    <n v="14"/>
    <s v="公共盘生成提单号【如需拆单】"/>
    <x v="18"/>
    <x v="0"/>
    <m/>
    <n v="-36"/>
  </r>
  <r>
    <x v="4"/>
    <x v="13"/>
    <n v="15"/>
    <s v="YJC系统生成单子【如需拆单】"/>
    <x v="18"/>
    <x v="0"/>
    <m/>
    <n v="-36"/>
  </r>
  <r>
    <x v="4"/>
    <x v="13"/>
    <n v="16"/>
    <s v="发EDI【如需拆单】"/>
    <x v="18"/>
    <x v="0"/>
    <m/>
    <n v="-36"/>
  </r>
  <r>
    <x v="4"/>
    <x v="13"/>
    <n v="17"/>
    <s v="邮件申请放单【如需拆单】"/>
    <x v="18"/>
    <x v="0"/>
    <m/>
    <n v="-36"/>
  </r>
  <r>
    <x v="4"/>
    <x v="13"/>
    <n v="18"/>
    <s v="收到HMM(Neo) 放单确认【如需拆单】"/>
    <x v="18"/>
    <x v="0"/>
    <m/>
    <n v="-36"/>
  </r>
  <r>
    <x v="4"/>
    <x v="13"/>
    <n v="19"/>
    <s v="HMM网站核对订舱信息【如需拆单】"/>
    <x v="18"/>
    <x v="0"/>
    <m/>
    <n v="-36"/>
  </r>
  <r>
    <x v="4"/>
    <x v="13"/>
    <n v="20"/>
    <s v="收到客户(徐贵)发来做箱数据(报关资料)"/>
    <x v="31"/>
    <x v="0"/>
    <s v="一般做箱当天一早"/>
    <n v="-35"/>
  </r>
  <r>
    <x v="4"/>
    <x v="13"/>
    <n v="21"/>
    <s v="按报关(发票)数生成提单号【如发票数超过提单数】"/>
    <x v="31"/>
    <x v="0"/>
    <m/>
    <n v="-35"/>
  </r>
  <r>
    <x v="4"/>
    <x v="13"/>
    <n v="22"/>
    <s v="做做箱数据，QQ发车队(沈丽)"/>
    <x v="31"/>
    <x v="0"/>
    <m/>
    <n v="-35"/>
  </r>
  <r>
    <x v="4"/>
    <x v="13"/>
    <n v="23"/>
    <s v="做报关资料，扫描发报关行(黄寅文)QQ"/>
    <x v="31"/>
    <x v="0"/>
    <m/>
    <n v="-35"/>
  </r>
  <r>
    <x v="4"/>
    <x v="13"/>
    <n v="24"/>
    <s v="收到车队(沈丽)装箱单，转发客户（徐贵）"/>
    <x v="31"/>
    <x v="0"/>
    <s v="一般马上"/>
    <n v="-35"/>
  </r>
  <r>
    <x v="4"/>
    <x v="13"/>
    <n v="25"/>
    <s v="YJC系统截单，发EDI，邮件HMM(He)【截单时间】"/>
    <x v="31"/>
    <x v="0"/>
    <s v="注意截单时间"/>
    <n v="-35"/>
  </r>
  <r>
    <x v="4"/>
    <x v="13"/>
    <n v="26"/>
    <s v="做保函给邹师傅"/>
    <x v="31"/>
    <x v="0"/>
    <m/>
    <n v="-35"/>
  </r>
  <r>
    <x v="4"/>
    <x v="13"/>
    <n v="27"/>
    <s v="发VGM和舱单"/>
    <x v="31"/>
    <x v="0"/>
    <m/>
    <n v="-35"/>
  </r>
  <r>
    <x v="4"/>
    <x v="13"/>
    <n v="28"/>
    <s v="做ISF，发国外资料"/>
    <x v="31"/>
    <x v="0"/>
    <m/>
    <n v="-35"/>
  </r>
  <r>
    <x v="4"/>
    <x v="13"/>
    <n v="29"/>
    <s v="买保险"/>
    <x v="31"/>
    <x v="0"/>
    <m/>
    <n v="-35"/>
  </r>
  <r>
    <x v="4"/>
    <x v="13"/>
    <n v="30"/>
    <s v="填WORKING PROCESS"/>
    <x v="31"/>
    <x v="0"/>
    <m/>
    <n v="-35"/>
  </r>
  <r>
    <x v="4"/>
    <x v="13"/>
    <n v="30.1"/>
    <s v="做费用，发账单给谢梦婕"/>
    <x v="31"/>
    <x v="0"/>
    <s v="提前做账单"/>
    <n v="-35"/>
  </r>
  <r>
    <x v="4"/>
    <x v="13"/>
    <n v="31"/>
    <s v="收到HMM(He)生成提单通知"/>
    <x v="31"/>
    <x v="0"/>
    <s v="一般马上"/>
    <n v="-35"/>
  </r>
  <r>
    <x v="4"/>
    <x v="13"/>
    <n v="32"/>
    <s v="HMM网站核对提单信息"/>
    <x v="31"/>
    <x v="0"/>
    <m/>
    <n v="-35"/>
  </r>
  <r>
    <x v="4"/>
    <x v="13"/>
    <n v="33"/>
    <s v="盯海关网站舱单"/>
    <x v="31"/>
    <x v="0"/>
    <s v="一般两小时左右"/>
    <n v="-35"/>
  </r>
  <r>
    <x v="4"/>
    <x v="13"/>
    <n v="34"/>
    <s v="核对舱单信息"/>
    <x v="31"/>
    <x v="0"/>
    <m/>
    <n v="-35"/>
  </r>
  <r>
    <x v="4"/>
    <x v="13"/>
    <n v="35"/>
    <s v="收到报关行(黄寅文)校对稿，邮件发客户(徐贵)确认"/>
    <x v="31"/>
    <x v="0"/>
    <s v="一般半天内"/>
    <n v="-35"/>
  </r>
  <r>
    <x v="4"/>
    <x v="13"/>
    <n v="36"/>
    <s v="收到客户(徐贵)确认校对稿，通知报关行(黄寅文)"/>
    <x v="31"/>
    <x v="0"/>
    <s v="一般马上"/>
    <n v="-35"/>
  </r>
  <r>
    <x v="4"/>
    <x v="13"/>
    <n v="37"/>
    <s v="通知报关行(黄寅文)报关(开港、舱单、校对)"/>
    <x v="31"/>
    <x v="0"/>
    <m/>
    <n v="-35"/>
  </r>
  <r>
    <x v="4"/>
    <x v="13"/>
    <n v="38"/>
    <s v="收到报关成功通知"/>
    <x v="31"/>
    <x v="0"/>
    <s v="一般下班前"/>
    <n v="-35"/>
  </r>
  <r>
    <x v="4"/>
    <x v="13"/>
    <n v="39"/>
    <s v="通知车队(沈丽)可进港"/>
    <x v="31"/>
    <x v="0"/>
    <m/>
    <n v="-35"/>
  </r>
  <r>
    <x v="4"/>
    <x v="13"/>
    <n v="40"/>
    <s v="盯箱子进港"/>
    <x v="0"/>
    <x v="0"/>
    <m/>
    <n v="-34"/>
  </r>
  <r>
    <x v="4"/>
    <x v="13"/>
    <n v="41"/>
    <s v="核对进港数据"/>
    <x v="0"/>
    <x v="0"/>
    <m/>
    <n v="-34"/>
  </r>
  <r>
    <x v="4"/>
    <x v="13"/>
    <n v="42"/>
    <s v="盯海放"/>
    <x v="0"/>
    <x v="0"/>
    <m/>
    <n v="-34"/>
  </r>
  <r>
    <x v="4"/>
    <x v="13"/>
    <n v="43"/>
    <s v="盯码放"/>
    <x v="29"/>
    <x v="0"/>
    <m/>
    <n v="-33"/>
  </r>
  <r>
    <x v="4"/>
    <x v="13"/>
    <n v="44"/>
    <s v="盯配载"/>
    <x v="29"/>
    <x v="0"/>
    <m/>
    <n v="-33"/>
  </r>
  <r>
    <x v="4"/>
    <x v="13"/>
    <n v="46"/>
    <s v="船开"/>
    <x v="30"/>
    <x v="0"/>
    <m/>
    <n v="-31"/>
  </r>
  <r>
    <x v="4"/>
    <x v="13"/>
    <n v="47"/>
    <s v="放单"/>
    <x v="32"/>
    <x v="0"/>
    <s v="一般开船后两三天"/>
    <n v="-22"/>
  </r>
  <r>
    <x v="0"/>
    <x v="14"/>
    <n v="1"/>
    <s v="收到保险公司（常）上月对账单，对账后回复常"/>
    <x v="26"/>
    <x v="0"/>
    <s v="一般上旬"/>
    <n v="-27"/>
  </r>
  <r>
    <x v="0"/>
    <x v="14"/>
    <n v="2"/>
    <s v="CK TJ glovis有没有驳货费"/>
    <x v="33"/>
    <x v="0"/>
    <s v="月底"/>
    <n v="-7"/>
  </r>
  <r>
    <x v="0"/>
    <x v="14"/>
    <n v="3"/>
    <s v="KMM HMI 0529的费用怎么弄？"/>
    <x v="34"/>
    <x v="0"/>
    <m/>
    <n v="-5"/>
  </r>
  <r>
    <x v="0"/>
    <x v="14"/>
    <n v="4"/>
    <s v="TJ glovis当月额外费用汇总邮件以后都华华发"/>
    <x v="35"/>
    <x v="0"/>
    <s v="月底"/>
    <n v="-4"/>
  </r>
  <r>
    <x v="0"/>
    <x v="14"/>
    <n v="5"/>
    <s v="WX mobis 5/22 HLCUSHA1904HAJU8 洋提400元6月结算"/>
    <x v="34"/>
    <x v="0"/>
    <m/>
    <n v="-5"/>
  </r>
  <r>
    <x v="0"/>
    <x v="14"/>
    <n v="6"/>
    <s v="客户对账单，开票"/>
    <x v="36"/>
    <x v="0"/>
    <m/>
    <n v="-3"/>
  </r>
  <r>
    <x v="0"/>
    <x v="14"/>
    <n v="7"/>
    <s v="本月车队费用邮件发给汤爱华"/>
    <x v="35"/>
    <x v="0"/>
    <s v="月底"/>
    <n v="-4"/>
  </r>
  <r>
    <x v="0"/>
    <x v="14"/>
    <n v="8"/>
    <s v="WX mobis 6月账单APP后打印开票扫描寄"/>
    <x v="35"/>
    <x v="0"/>
    <m/>
    <n v="-4"/>
  </r>
  <r>
    <x v="0"/>
    <x v="14"/>
    <n v="9"/>
    <s v="发万盛费用（看以前邮件），等30号出了一起发"/>
    <x v="37"/>
    <x v="0"/>
    <m/>
    <n v="0"/>
  </r>
  <r>
    <x v="0"/>
    <x v="14"/>
    <n v="10"/>
    <s v="JS mobis 要盖章保函"/>
    <x v="37"/>
    <x v="2"/>
    <m/>
    <n v="0"/>
  </r>
  <r>
    <x v="0"/>
    <x v="14"/>
    <n v="11"/>
    <s v="盐城大有六月份电子档报关单"/>
    <x v="35"/>
    <x v="0"/>
    <m/>
    <n v="-4"/>
  </r>
  <r>
    <x v="3"/>
    <x v="15"/>
    <n v="1"/>
    <s v="收到HMM Neo 下周订舱邮件"/>
    <x v="38"/>
    <x v="0"/>
    <s v="周一"/>
    <n v="-29"/>
  </r>
  <r>
    <x v="3"/>
    <x v="15"/>
    <n v="2"/>
    <s v="根据JS mobis订舱需求回Neo邮件"/>
    <x v="38"/>
    <x v="0"/>
    <s v="周一"/>
    <n v="-29"/>
  </r>
  <r>
    <x v="3"/>
    <x v="15"/>
    <n v="3"/>
    <s v="SHA GLV WORKING PROCESS"/>
    <x v="38"/>
    <x v="0"/>
    <s v="周一"/>
    <n v="-29"/>
  </r>
  <r>
    <x v="3"/>
    <x v="15"/>
    <n v="4"/>
    <s v="SHA GLV WORKING PROCESS"/>
    <x v="26"/>
    <x v="0"/>
    <s v="周三"/>
    <n v="-27"/>
  </r>
  <r>
    <x v="3"/>
    <x v="15"/>
    <n v="5"/>
    <s v="TJ glovis额外费用邮件"/>
    <x v="32"/>
    <x v="0"/>
    <s v="周五"/>
    <n v="-22"/>
  </r>
  <r>
    <x v="3"/>
    <x v="15"/>
    <n v="6"/>
    <s v="WORKING PROCESS"/>
    <x v="39"/>
    <x v="0"/>
    <s v="周五"/>
    <n v="-25"/>
  </r>
  <r>
    <x v="3"/>
    <x v="15"/>
    <n v="7"/>
    <s v="万盛出运清单（下午三点，改文件名）"/>
    <x v="40"/>
    <x v="0"/>
    <s v="周五"/>
    <n v="-26"/>
  </r>
  <r>
    <x v="1"/>
    <x v="16"/>
    <n v="1"/>
    <s v="收到客户(孙丹/王珊)发来订舱托书"/>
    <x v="20"/>
    <x v="0"/>
    <m/>
    <n v="-39"/>
  </r>
  <r>
    <x v="1"/>
    <x v="16"/>
    <n v="2"/>
    <s v="收到CK发来预配(做箱通知，沈丽有收到？)，完善YJC系统数据"/>
    <x v="0"/>
    <x v="0"/>
    <m/>
    <n v="-34"/>
  </r>
  <r>
    <x v="1"/>
    <x v="16"/>
    <n v="3"/>
    <s v="YJC系统生成单子"/>
    <x v="31"/>
    <x v="0"/>
    <m/>
    <n v="-35"/>
  </r>
  <r>
    <x v="1"/>
    <x v="16"/>
    <n v="4"/>
    <s v="收到包装厂(刘倩梅)发来包装指示书和装箱计划"/>
    <x v="29"/>
    <x v="0"/>
    <s v="一般周四"/>
    <n v="-33"/>
  </r>
  <r>
    <x v="1"/>
    <x v="16"/>
    <n v="5"/>
    <s v="根据装箱计划汇总包装数据，发各工厂做报关资料"/>
    <x v="29"/>
    <x v="0"/>
    <m/>
    <n v="-33"/>
  </r>
  <r>
    <x v="1"/>
    <x v="16"/>
    <n v="6"/>
    <s v="做做箱数据，邮件群发"/>
    <x v="29"/>
    <x v="0"/>
    <m/>
    <n v="-33"/>
  </r>
  <r>
    <x v="1"/>
    <x v="16"/>
    <n v="7"/>
    <s v="收到工厂发来报关资料并完善(代做报关资料跟客户确认)"/>
    <x v="27"/>
    <x v="0"/>
    <s v="当天至隔天"/>
    <n v="-32"/>
  </r>
  <r>
    <x v="1"/>
    <x v="16"/>
    <n v="8"/>
    <s v="报关资料齐了，发报关行(黄寅文)，货运模板/发票/箱单"/>
    <x v="41"/>
    <x v="0"/>
    <m/>
    <n v="-28"/>
  </r>
  <r>
    <x v="1"/>
    <x v="16"/>
    <n v="9"/>
    <s v="确认开港时间再确认做箱时间"/>
    <x v="27"/>
    <x v="0"/>
    <s v="调整顺序"/>
    <n v="-32"/>
  </r>
  <r>
    <x v="1"/>
    <x v="16"/>
    <n v="10"/>
    <s v="收到车队(沈丽)装箱单和洋山提箱截图(如有)，群发，通知发舱单"/>
    <x v="38"/>
    <x v="0"/>
    <s v="一般KMM五、HMI日"/>
    <n v="-29"/>
  </r>
  <r>
    <x v="1"/>
    <x v="16"/>
    <n v="11"/>
    <s v="收到舱单发送成功通知，核对舱单信息"/>
    <x v="38"/>
    <x v="0"/>
    <m/>
    <n v="-29"/>
  </r>
  <r>
    <x v="1"/>
    <x v="16"/>
    <n v="12"/>
    <s v="进港(核对数据)"/>
    <x v="41"/>
    <x v="0"/>
    <s v="调整顺序"/>
    <n v="-28"/>
  </r>
  <r>
    <x v="1"/>
    <x v="16"/>
    <n v="13"/>
    <s v="通知报关"/>
    <x v="41"/>
    <x v="0"/>
    <s v="调整顺序"/>
    <n v="-28"/>
  </r>
  <r>
    <x v="1"/>
    <x v="16"/>
    <n v="14"/>
    <s v="报关成功"/>
    <x v="41"/>
    <x v="0"/>
    <s v="调整顺序"/>
    <n v="-28"/>
  </r>
  <r>
    <x v="1"/>
    <x v="16"/>
    <n v="15"/>
    <s v="盯海放"/>
    <x v="41"/>
    <x v="0"/>
    <m/>
    <n v="-28"/>
  </r>
  <r>
    <x v="1"/>
    <x v="16"/>
    <n v="16"/>
    <s v="盯码放"/>
    <x v="26"/>
    <x v="0"/>
    <m/>
    <n v="-27"/>
  </r>
  <r>
    <x v="1"/>
    <x v="16"/>
    <n v="17"/>
    <s v="盯配载"/>
    <x v="39"/>
    <x v="0"/>
    <m/>
    <n v="-25"/>
  </r>
  <r>
    <x v="1"/>
    <x v="16"/>
    <n v="18"/>
    <s v="盯船开"/>
    <x v="42"/>
    <x v="0"/>
    <m/>
    <n v="-24"/>
  </r>
  <r>
    <x v="1"/>
    <x v="16"/>
    <n v="19"/>
    <s v="做费用(对账单日期4号)，放公共盘，填月账单表，发孙丹"/>
    <x v="32"/>
    <x v="0"/>
    <m/>
    <n v="-22"/>
  </r>
  <r>
    <x v="4"/>
    <x v="16"/>
    <n v="1"/>
    <s v="收到客户(徐贵)订舱预报"/>
    <x v="18"/>
    <x v="0"/>
    <s v="一般周五发隔周"/>
    <n v="-36"/>
  </r>
  <r>
    <x v="4"/>
    <x v="16"/>
    <n v="2"/>
    <s v="填WORKING PROCESS"/>
    <x v="18"/>
    <x v="0"/>
    <m/>
    <n v="-36"/>
  </r>
  <r>
    <x v="4"/>
    <x v="16"/>
    <n v="3"/>
    <s v="收到HMM(Neo)预订舱邮件通知"/>
    <x v="18"/>
    <x v="0"/>
    <s v="一般周一发下周"/>
    <n v="-36"/>
  </r>
  <r>
    <x v="4"/>
    <x v="16"/>
    <n v="4"/>
    <s v="回复HMM(Neo)预订舱邮件"/>
    <x v="18"/>
    <x v="0"/>
    <m/>
    <n v="-36"/>
  </r>
  <r>
    <x v="4"/>
    <x v="16"/>
    <n v="5"/>
    <s v="收到HMM(Neo)预订舱确认"/>
    <x v="18"/>
    <x v="0"/>
    <s v="一般马上"/>
    <n v="-36"/>
  </r>
  <r>
    <x v="4"/>
    <x v="16"/>
    <n v="6"/>
    <s v="公共盘生成提单号"/>
    <x v="18"/>
    <x v="0"/>
    <m/>
    <n v="-36"/>
  </r>
  <r>
    <x v="4"/>
    <x v="16"/>
    <n v="7"/>
    <s v="YJC系统生成单子"/>
    <x v="18"/>
    <x v="0"/>
    <m/>
    <n v="-36"/>
  </r>
  <r>
    <x v="4"/>
    <x v="16"/>
    <n v="8"/>
    <s v="发EDI"/>
    <x v="18"/>
    <x v="0"/>
    <m/>
    <n v="-36"/>
  </r>
  <r>
    <x v="4"/>
    <x v="16"/>
    <n v="9"/>
    <s v="邮件申请放单"/>
    <x v="18"/>
    <x v="0"/>
    <m/>
    <n v="-36"/>
  </r>
  <r>
    <x v="4"/>
    <x v="16"/>
    <n v="10"/>
    <s v="收到HMM(Neo) 放单确认"/>
    <x v="31"/>
    <x v="0"/>
    <s v="一般半天内"/>
    <n v="-35"/>
  </r>
  <r>
    <x v="4"/>
    <x v="16"/>
    <n v="11"/>
    <s v="HMM网站核对订舱信息"/>
    <x v="31"/>
    <x v="0"/>
    <m/>
    <n v="-35"/>
  </r>
  <r>
    <x v="4"/>
    <x v="16"/>
    <n v="12"/>
    <s v="收到客户(徐贵)做箱通知"/>
    <x v="29"/>
    <x v="0"/>
    <s v="一般做箱头天一早"/>
    <n v="-33"/>
  </r>
  <r>
    <x v="4"/>
    <x v="16"/>
    <n v="13"/>
    <s v="发做箱通知邮件给车队(沈丽)"/>
    <x v="29"/>
    <x v="0"/>
    <m/>
    <n v="-33"/>
  </r>
  <r>
    <x v="4"/>
    <x v="16"/>
    <n v="14"/>
    <s v="公共盘生成提单号【如需拆单】"/>
    <x v="29"/>
    <x v="0"/>
    <m/>
    <n v="-33"/>
  </r>
  <r>
    <x v="4"/>
    <x v="16"/>
    <n v="15"/>
    <s v="YJC系统生成单子【如需拆单】"/>
    <x v="29"/>
    <x v="0"/>
    <m/>
    <n v="-33"/>
  </r>
  <r>
    <x v="4"/>
    <x v="16"/>
    <n v="16"/>
    <s v="发EDI【如需拆单】"/>
    <x v="29"/>
    <x v="0"/>
    <m/>
    <n v="-33"/>
  </r>
  <r>
    <x v="4"/>
    <x v="16"/>
    <n v="17"/>
    <s v="邮件申请放单【如需拆单】"/>
    <x v="29"/>
    <x v="0"/>
    <m/>
    <n v="-33"/>
  </r>
  <r>
    <x v="4"/>
    <x v="16"/>
    <n v="18"/>
    <s v="收到HMM(Neo) 放单确认【如需拆单】"/>
    <x v="29"/>
    <x v="0"/>
    <m/>
    <n v="-33"/>
  </r>
  <r>
    <x v="4"/>
    <x v="16"/>
    <n v="19"/>
    <s v="HMM网站核对订舱信息【如需拆单】"/>
    <x v="29"/>
    <x v="0"/>
    <m/>
    <n v="-33"/>
  </r>
  <r>
    <x v="4"/>
    <x v="16"/>
    <n v="20"/>
    <s v="收到客户(徐贵)发来做箱数据(报关资料)"/>
    <x v="27"/>
    <x v="0"/>
    <s v="一般做箱当天一早"/>
    <n v="-32"/>
  </r>
  <r>
    <x v="4"/>
    <x v="16"/>
    <n v="21"/>
    <s v="按报关(发票)数生成提单号【如发票数超过提单数】"/>
    <x v="27"/>
    <x v="0"/>
    <m/>
    <n v="-32"/>
  </r>
  <r>
    <x v="4"/>
    <x v="16"/>
    <n v="22"/>
    <s v="做做箱数据，QQ发车队(沈丽)"/>
    <x v="27"/>
    <x v="0"/>
    <m/>
    <n v="-32"/>
  </r>
  <r>
    <x v="4"/>
    <x v="16"/>
    <n v="23"/>
    <s v="收到车队(沈丽)装箱单，转发客户（徐贵）"/>
    <x v="27"/>
    <x v="0"/>
    <s v="一般马上"/>
    <n v="-32"/>
  </r>
  <r>
    <x v="4"/>
    <x v="16"/>
    <n v="24"/>
    <s v="YJC系统截单，发EDI，邮件HMM(He)【截单时间】"/>
    <x v="27"/>
    <x v="0"/>
    <s v="注意截单时间"/>
    <n v="-32"/>
  </r>
  <r>
    <x v="4"/>
    <x v="16"/>
    <n v="25"/>
    <s v="发VGM和舱单"/>
    <x v="27"/>
    <x v="0"/>
    <m/>
    <n v="-32"/>
  </r>
  <r>
    <x v="4"/>
    <x v="16"/>
    <n v="26"/>
    <s v="做报关资料，扫描发报关行(黄寅文)QQ"/>
    <x v="27"/>
    <x v="0"/>
    <m/>
    <n v="-32"/>
  </r>
  <r>
    <x v="4"/>
    <x v="16"/>
    <n v="27"/>
    <s v="做保函给邹师傅"/>
    <x v="27"/>
    <x v="0"/>
    <m/>
    <n v="-32"/>
  </r>
  <r>
    <x v="4"/>
    <x v="16"/>
    <n v="28"/>
    <s v="做ISF，发国外资料"/>
    <x v="27"/>
    <x v="0"/>
    <m/>
    <n v="-32"/>
  </r>
  <r>
    <x v="4"/>
    <x v="16"/>
    <n v="29"/>
    <s v="买保险"/>
    <x v="27"/>
    <x v="0"/>
    <m/>
    <n v="-32"/>
  </r>
  <r>
    <x v="4"/>
    <x v="16"/>
    <n v="30"/>
    <s v="填WORKING PROCESS"/>
    <x v="27"/>
    <x v="0"/>
    <m/>
    <n v="-32"/>
  </r>
  <r>
    <x v="4"/>
    <x v="16"/>
    <n v="31"/>
    <s v="收到HMM(He)生成提单通知"/>
    <x v="27"/>
    <x v="0"/>
    <s v="一般马上"/>
    <n v="-32"/>
  </r>
  <r>
    <x v="4"/>
    <x v="16"/>
    <n v="32"/>
    <s v="HMM网站核对提单信息"/>
    <x v="27"/>
    <x v="0"/>
    <m/>
    <n v="-32"/>
  </r>
  <r>
    <x v="4"/>
    <x v="16"/>
    <n v="33"/>
    <s v="盯海关网站舱单"/>
    <x v="27"/>
    <x v="0"/>
    <s v="一般两小时左右"/>
    <n v="-32"/>
  </r>
  <r>
    <x v="4"/>
    <x v="16"/>
    <n v="34"/>
    <s v="核对舱单信息"/>
    <x v="27"/>
    <x v="0"/>
    <m/>
    <n v="-32"/>
  </r>
  <r>
    <x v="4"/>
    <x v="16"/>
    <n v="35"/>
    <s v="收到报关行(黄寅文)校对稿，邮件发客户(徐贵)确认"/>
    <x v="27"/>
    <x v="0"/>
    <s v="一般半天内"/>
    <n v="-32"/>
  </r>
  <r>
    <x v="4"/>
    <x v="16"/>
    <n v="36"/>
    <s v="收到客户(徐贵)确认校对稿"/>
    <x v="30"/>
    <x v="0"/>
    <s v="一般马上"/>
    <n v="-31"/>
  </r>
  <r>
    <x v="4"/>
    <x v="16"/>
    <n v="37"/>
    <s v="通知车队(沈丽)可进港"/>
    <x v="27"/>
    <x v="0"/>
    <m/>
    <n v="-32"/>
  </r>
  <r>
    <x v="4"/>
    <x v="16"/>
    <n v="38"/>
    <s v="盯箱子进港"/>
    <x v="43"/>
    <x v="0"/>
    <m/>
    <n v="-30"/>
  </r>
  <r>
    <x v="4"/>
    <x v="16"/>
    <n v="39"/>
    <s v="核对进港数据"/>
    <x v="43"/>
    <x v="0"/>
    <m/>
    <n v="-30"/>
  </r>
  <r>
    <x v="4"/>
    <x v="16"/>
    <n v="40"/>
    <s v="通知报关行(黄寅文)报关(开港、舱单、校对)"/>
    <x v="43"/>
    <x v="0"/>
    <m/>
    <n v="-30"/>
  </r>
  <r>
    <x v="4"/>
    <x v="16"/>
    <n v="41"/>
    <s v="收到报关成功通知"/>
    <x v="43"/>
    <x v="0"/>
    <s v="一般下班前"/>
    <n v="-30"/>
  </r>
  <r>
    <x v="4"/>
    <x v="16"/>
    <n v="42"/>
    <s v="盯海放"/>
    <x v="43"/>
    <x v="0"/>
    <m/>
    <n v="-30"/>
  </r>
  <r>
    <x v="4"/>
    <x v="16"/>
    <n v="43"/>
    <s v="盯码放"/>
    <x v="41"/>
    <x v="0"/>
    <m/>
    <n v="-28"/>
  </r>
  <r>
    <x v="4"/>
    <x v="16"/>
    <n v="44"/>
    <s v="盯配载"/>
    <x v="26"/>
    <x v="0"/>
    <m/>
    <n v="-27"/>
  </r>
  <r>
    <x v="4"/>
    <x v="16"/>
    <n v="45"/>
    <s v="做费用(月初等汇率)，发账单给石磊"/>
    <x v="26"/>
    <x v="0"/>
    <m/>
    <n v="-27"/>
  </r>
  <r>
    <x v="4"/>
    <x v="16"/>
    <n v="46"/>
    <s v="船开"/>
    <x v="42"/>
    <x v="0"/>
    <m/>
    <n v="-24"/>
  </r>
  <r>
    <x v="4"/>
    <x v="16"/>
    <n v="47"/>
    <s v="放单"/>
    <x v="32"/>
    <x v="0"/>
    <s v="一般开船后两三天"/>
    <n v="-22"/>
  </r>
  <r>
    <x v="2"/>
    <x v="16"/>
    <n v="1"/>
    <s v="收到客户(孙丹/王珊)发来订舱托书"/>
    <x v="22"/>
    <x v="0"/>
    <m/>
    <n v="-40"/>
  </r>
  <r>
    <x v="2"/>
    <x v="16"/>
    <n v="2"/>
    <s v="收到CK发来预配(做箱通知，沈丽有收到？)，完善YJC系统数据"/>
    <x v="18"/>
    <x v="0"/>
    <m/>
    <n v="-36"/>
  </r>
  <r>
    <x v="2"/>
    <x v="16"/>
    <n v="3"/>
    <s v="YJC系统生成单子"/>
    <x v="18"/>
    <x v="0"/>
    <m/>
    <n v="-36"/>
  </r>
  <r>
    <x v="2"/>
    <x v="16"/>
    <n v="4"/>
    <s v="收到包装厂(刘倩梅)发来包装指示书和装箱计划"/>
    <x v="29"/>
    <x v="0"/>
    <s v="一般周四"/>
    <n v="-33"/>
  </r>
  <r>
    <x v="2"/>
    <x v="16"/>
    <n v="5"/>
    <s v="根据装箱计划汇总包装数据，发各工厂做报关资料"/>
    <x v="29"/>
    <x v="0"/>
    <m/>
    <n v="-33"/>
  </r>
  <r>
    <x v="2"/>
    <x v="16"/>
    <n v="6"/>
    <s v="做做箱数据，邮件群发"/>
    <x v="29"/>
    <x v="0"/>
    <m/>
    <n v="-33"/>
  </r>
  <r>
    <x v="2"/>
    <x v="16"/>
    <n v="7"/>
    <s v="收到工厂发来报关资料并完善(代做报关资料跟客户确认)"/>
    <x v="27"/>
    <x v="0"/>
    <s v="当天至隔天"/>
    <n v="-32"/>
  </r>
  <r>
    <x v="2"/>
    <x v="16"/>
    <n v="8"/>
    <s v="报关资料齐了，发报关行(黄寅文)，货运模板/发票/箱单"/>
    <x v="41"/>
    <x v="0"/>
    <m/>
    <n v="-28"/>
  </r>
  <r>
    <x v="2"/>
    <x v="16"/>
    <n v="9"/>
    <s v="收到车队(沈丽)装箱单和洋山提箱截图(如有)，群发，通知发舱单"/>
    <x v="27"/>
    <x v="0"/>
    <s v="一般KMM五、HMI日"/>
    <n v="-32"/>
  </r>
  <r>
    <x v="2"/>
    <x v="16"/>
    <n v="10"/>
    <s v="收到舱单发送成功通知，核对舱单信息"/>
    <x v="27"/>
    <x v="0"/>
    <m/>
    <n v="-32"/>
  </r>
  <r>
    <x v="2"/>
    <x v="16"/>
    <n v="11"/>
    <s v="通知报关"/>
    <x v="27"/>
    <x v="0"/>
    <s v="调整顺序"/>
    <n v="-32"/>
  </r>
  <r>
    <x v="2"/>
    <x v="16"/>
    <n v="12"/>
    <s v="报关成功"/>
    <x v="27"/>
    <x v="0"/>
    <s v="调整顺序"/>
    <n v="-32"/>
  </r>
  <r>
    <x v="2"/>
    <x v="16"/>
    <n v="13"/>
    <s v="通知进港"/>
    <x v="27"/>
    <x v="0"/>
    <s v="调整顺序"/>
    <n v="-32"/>
  </r>
  <r>
    <x v="2"/>
    <x v="16"/>
    <n v="14"/>
    <s v="进港(核对数据)"/>
    <x v="27"/>
    <x v="0"/>
    <s v="调整顺序"/>
    <n v="-32"/>
  </r>
  <r>
    <x v="2"/>
    <x v="16"/>
    <n v="15"/>
    <s v="盯海放"/>
    <x v="27"/>
    <x v="0"/>
    <m/>
    <n v="-32"/>
  </r>
  <r>
    <x v="2"/>
    <x v="16"/>
    <n v="16"/>
    <s v="盯码放"/>
    <x v="38"/>
    <x v="0"/>
    <m/>
    <n v="-29"/>
  </r>
  <r>
    <x v="2"/>
    <x v="16"/>
    <n v="17"/>
    <s v="盯配载"/>
    <x v="26"/>
    <x v="0"/>
    <m/>
    <n v="-27"/>
  </r>
  <r>
    <x v="2"/>
    <x v="16"/>
    <n v="18"/>
    <s v="盯船开"/>
    <x v="40"/>
    <x v="0"/>
    <m/>
    <n v="-26"/>
  </r>
  <r>
    <x v="2"/>
    <x v="16"/>
    <n v="19"/>
    <s v="做费用(对账单日期4号)，放公共盘，填月账单表，发孙丹"/>
    <x v="32"/>
    <x v="0"/>
    <m/>
    <n v="-22"/>
  </r>
  <r>
    <x v="4"/>
    <x v="17"/>
    <n v="1"/>
    <s v="收到客户(徐贵)订舱预报"/>
    <x v="18"/>
    <x v="0"/>
    <s v="一般周五发隔周"/>
    <n v="-36"/>
  </r>
  <r>
    <x v="4"/>
    <x v="17"/>
    <n v="2"/>
    <s v="填WORKING PROCESS"/>
    <x v="18"/>
    <x v="0"/>
    <m/>
    <n v="-36"/>
  </r>
  <r>
    <x v="4"/>
    <x v="17"/>
    <n v="3"/>
    <s v="收到HMM(Neo)预订舱邮件通知"/>
    <x v="18"/>
    <x v="0"/>
    <s v="一般周一发下周"/>
    <n v="-36"/>
  </r>
  <r>
    <x v="4"/>
    <x v="17"/>
    <n v="4"/>
    <s v="回复HMM(Neo)预订舱邮件"/>
    <x v="18"/>
    <x v="0"/>
    <m/>
    <n v="-36"/>
  </r>
  <r>
    <x v="4"/>
    <x v="17"/>
    <n v="5"/>
    <s v="收到HMM(Neo)预订舱确认"/>
    <x v="18"/>
    <x v="0"/>
    <s v="一般马上"/>
    <n v="-36"/>
  </r>
  <r>
    <x v="4"/>
    <x v="17"/>
    <n v="6"/>
    <s v="公共盘生成提单号"/>
    <x v="18"/>
    <x v="0"/>
    <m/>
    <n v="-36"/>
  </r>
  <r>
    <x v="4"/>
    <x v="17"/>
    <n v="7"/>
    <s v="YJC系统生成单子"/>
    <x v="18"/>
    <x v="0"/>
    <m/>
    <n v="-36"/>
  </r>
  <r>
    <x v="4"/>
    <x v="17"/>
    <n v="8"/>
    <s v="发EDI"/>
    <x v="18"/>
    <x v="0"/>
    <m/>
    <n v="-36"/>
  </r>
  <r>
    <x v="4"/>
    <x v="17"/>
    <n v="9"/>
    <s v="邮件申请放单"/>
    <x v="18"/>
    <x v="0"/>
    <m/>
    <n v="-36"/>
  </r>
  <r>
    <x v="4"/>
    <x v="17"/>
    <n v="10"/>
    <s v="收到HMM(Neo) 放单确认"/>
    <x v="31"/>
    <x v="0"/>
    <s v="一般半天内"/>
    <n v="-35"/>
  </r>
  <r>
    <x v="4"/>
    <x v="17"/>
    <n v="11"/>
    <s v="HMM网站核对订舱信息"/>
    <x v="31"/>
    <x v="0"/>
    <m/>
    <n v="-35"/>
  </r>
  <r>
    <x v="4"/>
    <x v="17"/>
    <n v="12"/>
    <s v="收到客户(徐贵)做箱通知"/>
    <x v="38"/>
    <x v="0"/>
    <s v="一般做箱头天一早"/>
    <n v="-29"/>
  </r>
  <r>
    <x v="4"/>
    <x v="17"/>
    <n v="13"/>
    <s v="发做箱通知邮件给车队(沈丽)"/>
    <x v="38"/>
    <x v="0"/>
    <m/>
    <n v="-29"/>
  </r>
  <r>
    <x v="4"/>
    <x v="17"/>
    <n v="14"/>
    <s v="公共盘生成提单号【如需拆单】"/>
    <x v="38"/>
    <x v="0"/>
    <m/>
    <n v="-29"/>
  </r>
  <r>
    <x v="4"/>
    <x v="17"/>
    <n v="15"/>
    <s v="YJC系统生成单子【如需拆单】"/>
    <x v="38"/>
    <x v="0"/>
    <m/>
    <n v="-29"/>
  </r>
  <r>
    <x v="4"/>
    <x v="17"/>
    <n v="16"/>
    <s v="发EDI【如需拆单】"/>
    <x v="38"/>
    <x v="0"/>
    <m/>
    <n v="-29"/>
  </r>
  <r>
    <x v="4"/>
    <x v="17"/>
    <n v="17"/>
    <s v="邮件申请放单【如需拆单】"/>
    <x v="38"/>
    <x v="0"/>
    <m/>
    <n v="-29"/>
  </r>
  <r>
    <x v="4"/>
    <x v="17"/>
    <n v="18"/>
    <s v="收到HMM(Neo) 放单确认【如需拆单】"/>
    <x v="38"/>
    <x v="0"/>
    <m/>
    <n v="-29"/>
  </r>
  <r>
    <x v="4"/>
    <x v="17"/>
    <n v="19"/>
    <s v="HMM网站核对订舱信息【如需拆单】"/>
    <x v="38"/>
    <x v="0"/>
    <m/>
    <n v="-29"/>
  </r>
  <r>
    <x v="4"/>
    <x v="17"/>
    <n v="20"/>
    <s v="收到客户(徐贵)发来做箱数据(报关资料)"/>
    <x v="41"/>
    <x v="0"/>
    <s v="一般做箱当天一早"/>
    <n v="-28"/>
  </r>
  <r>
    <x v="4"/>
    <x v="17"/>
    <n v="21"/>
    <s v="按报关(发票)数生成提单号【如发票数超过提单数】"/>
    <x v="41"/>
    <x v="0"/>
    <m/>
    <n v="-28"/>
  </r>
  <r>
    <x v="4"/>
    <x v="17"/>
    <n v="22"/>
    <s v="做做箱数据，QQ发车队(沈丽)"/>
    <x v="41"/>
    <x v="0"/>
    <m/>
    <n v="-28"/>
  </r>
  <r>
    <x v="4"/>
    <x v="17"/>
    <n v="23"/>
    <s v="收到车队(沈丽)装箱单，转发客户（徐贵）"/>
    <x v="41"/>
    <x v="0"/>
    <s v="一般马上"/>
    <n v="-28"/>
  </r>
  <r>
    <x v="4"/>
    <x v="17"/>
    <n v="24"/>
    <s v="YJC系统截单，发EDI，邮件HMM(He)【截单时间】"/>
    <x v="41"/>
    <x v="0"/>
    <s v="注意截单时间"/>
    <n v="-28"/>
  </r>
  <r>
    <x v="4"/>
    <x v="17"/>
    <n v="25"/>
    <s v="发VGM和舱单"/>
    <x v="41"/>
    <x v="0"/>
    <m/>
    <n v="-28"/>
  </r>
  <r>
    <x v="4"/>
    <x v="17"/>
    <n v="26"/>
    <s v="做报关资料，扫描发报关行(黄寅文)QQ"/>
    <x v="41"/>
    <x v="0"/>
    <m/>
    <n v="-28"/>
  </r>
  <r>
    <x v="4"/>
    <x v="17"/>
    <n v="27"/>
    <s v="做保函给邹师傅"/>
    <x v="41"/>
    <x v="0"/>
    <m/>
    <n v="-28"/>
  </r>
  <r>
    <x v="4"/>
    <x v="17"/>
    <n v="28"/>
    <s v="做ISF，发国外资料"/>
    <x v="41"/>
    <x v="0"/>
    <m/>
    <n v="-28"/>
  </r>
  <r>
    <x v="4"/>
    <x v="17"/>
    <n v="29"/>
    <s v="买保险"/>
    <x v="41"/>
    <x v="0"/>
    <m/>
    <n v="-28"/>
  </r>
  <r>
    <x v="4"/>
    <x v="17"/>
    <n v="31"/>
    <s v="收到HMM(He)生成提单通知"/>
    <x v="41"/>
    <x v="0"/>
    <s v="一般马上"/>
    <n v="-28"/>
  </r>
  <r>
    <x v="4"/>
    <x v="17"/>
    <n v="32"/>
    <s v="HMM网站核对提单信息"/>
    <x v="40"/>
    <x v="0"/>
    <m/>
    <n v="-26"/>
  </r>
  <r>
    <x v="4"/>
    <x v="17"/>
    <n v="33"/>
    <s v="盯海关网站舱单"/>
    <x v="41"/>
    <x v="0"/>
    <s v="一般两小时左右"/>
    <n v="-28"/>
  </r>
  <r>
    <x v="4"/>
    <x v="17"/>
    <n v="34"/>
    <s v="核对舱单信息"/>
    <x v="41"/>
    <x v="0"/>
    <m/>
    <n v="-28"/>
  </r>
  <r>
    <x v="4"/>
    <x v="17"/>
    <n v="35"/>
    <s v="收到报关行(黄寅文)校对稿，邮件发客户(徐贵)确认"/>
    <x v="41"/>
    <x v="0"/>
    <s v="一般半天内"/>
    <n v="-28"/>
  </r>
  <r>
    <x v="4"/>
    <x v="17"/>
    <n v="36"/>
    <s v="收到客户(徐贵)确认校对稿"/>
    <x v="41"/>
    <x v="0"/>
    <s v="一般马上"/>
    <n v="-28"/>
  </r>
  <r>
    <x v="4"/>
    <x v="17"/>
    <n v="37"/>
    <s v="通知报关行(黄寅文)报关(开港、舱单、校对)"/>
    <x v="41"/>
    <x v="0"/>
    <m/>
    <n v="-28"/>
  </r>
  <r>
    <x v="4"/>
    <x v="17"/>
    <n v="38"/>
    <s v="收到报关成功通知"/>
    <x v="41"/>
    <x v="0"/>
    <s v="一般下班前"/>
    <n v="-28"/>
  </r>
  <r>
    <x v="4"/>
    <x v="17"/>
    <n v="39"/>
    <s v="通知车队(沈丽)可进港"/>
    <x v="41"/>
    <x v="0"/>
    <m/>
    <n v="-28"/>
  </r>
  <r>
    <x v="4"/>
    <x v="17"/>
    <n v="40"/>
    <s v="盯箱子进港"/>
    <x v="26"/>
    <x v="0"/>
    <m/>
    <n v="-27"/>
  </r>
  <r>
    <x v="4"/>
    <x v="17"/>
    <n v="41"/>
    <s v="核对进港数据"/>
    <x v="26"/>
    <x v="0"/>
    <m/>
    <n v="-27"/>
  </r>
  <r>
    <x v="4"/>
    <x v="17"/>
    <n v="42"/>
    <s v="盯海放"/>
    <x v="26"/>
    <x v="0"/>
    <m/>
    <n v="-27"/>
  </r>
  <r>
    <x v="4"/>
    <x v="17"/>
    <n v="43"/>
    <s v="盯码放"/>
    <x v="40"/>
    <x v="0"/>
    <m/>
    <n v="-26"/>
  </r>
  <r>
    <x v="4"/>
    <x v="17"/>
    <n v="44"/>
    <s v="盯配载"/>
    <x v="39"/>
    <x v="0"/>
    <m/>
    <n v="-25"/>
  </r>
  <r>
    <x v="4"/>
    <x v="17"/>
    <n v="45"/>
    <s v="做费用(月初等汇率)，发账单给石磊"/>
    <x v="32"/>
    <x v="0"/>
    <m/>
    <n v="-22"/>
  </r>
  <r>
    <x v="4"/>
    <x v="17"/>
    <n v="46"/>
    <s v="船开"/>
    <x v="42"/>
    <x v="0"/>
    <m/>
    <n v="-24"/>
  </r>
  <r>
    <x v="4"/>
    <x v="17"/>
    <n v="47"/>
    <s v="放单"/>
    <x v="32"/>
    <x v="0"/>
    <s v="一般开船后两三天"/>
    <n v="-22"/>
  </r>
  <r>
    <x v="5"/>
    <x v="17"/>
    <n v="1"/>
    <s v="收到客户托书"/>
    <x v="17"/>
    <x v="0"/>
    <m/>
    <n v="-41"/>
  </r>
  <r>
    <x v="5"/>
    <x v="17"/>
    <n v="2"/>
    <s v="生成单号，YJC系统，发EDI，邮件Neo放舱"/>
    <x v="18"/>
    <x v="0"/>
    <m/>
    <n v="-36"/>
  </r>
  <r>
    <x v="5"/>
    <x v="17"/>
    <n v="3"/>
    <s v="收到Neo放舱确认"/>
    <x v="31"/>
    <x v="0"/>
    <m/>
    <n v="-35"/>
  </r>
  <r>
    <x v="5"/>
    <x v="17"/>
    <n v="4"/>
    <s v="发预配信息给客户（张婷）"/>
    <x v="31"/>
    <x v="0"/>
    <m/>
    <n v="-35"/>
  </r>
  <r>
    <x v="5"/>
    <x v="17"/>
    <n v="5"/>
    <s v="收到客户（张婷）报关资料"/>
    <x v="29"/>
    <x v="0"/>
    <m/>
    <n v="-33"/>
  </r>
  <r>
    <x v="5"/>
    <x v="17"/>
    <n v="6"/>
    <s v="做报关资料，发报关行（黄寅文），要校对稿"/>
    <x v="29"/>
    <x v="0"/>
    <m/>
    <n v="-33"/>
  </r>
  <r>
    <x v="5"/>
    <x v="17"/>
    <n v="7"/>
    <s v="收到校对稿，发客户"/>
    <x v="29"/>
    <x v="0"/>
    <m/>
    <n v="-33"/>
  </r>
  <r>
    <x v="5"/>
    <x v="17"/>
    <n v="8"/>
    <s v="收到校对稿确认"/>
    <x v="27"/>
    <x v="0"/>
    <m/>
    <n v="-32"/>
  </r>
  <r>
    <x v="5"/>
    <x v="17"/>
    <n v="9"/>
    <s v="收到客户（张婷）舱单模板和VGM"/>
    <x v="38"/>
    <x v="0"/>
    <s v="今天能放箱装？"/>
    <n v="-29"/>
  </r>
  <r>
    <x v="5"/>
    <x v="17"/>
    <n v="10"/>
    <s v="发舱单和VGM"/>
    <x v="38"/>
    <x v="0"/>
    <m/>
    <n v="-29"/>
  </r>
  <r>
    <x v="5"/>
    <x v="17"/>
    <n v="11"/>
    <s v="YJC系统改准确数据，发ESI，做AMS模板并邮件何生成提单"/>
    <x v="38"/>
    <x v="0"/>
    <m/>
    <n v="-29"/>
  </r>
  <r>
    <x v="5"/>
    <x v="17"/>
    <n v="12"/>
    <s v="收到生成提单邮件，网站核对信息"/>
    <x v="38"/>
    <x v="0"/>
    <m/>
    <n v="-29"/>
  </r>
  <r>
    <x v="5"/>
    <x v="17"/>
    <n v="13"/>
    <s v="发提单确认（两份）"/>
    <x v="40"/>
    <x v="0"/>
    <m/>
    <n v="-26"/>
  </r>
  <r>
    <x v="5"/>
    <x v="17"/>
    <n v="14"/>
    <s v="收到客户（张婷）提单确认"/>
    <x v="40"/>
    <x v="0"/>
    <m/>
    <n v="-26"/>
  </r>
  <r>
    <x v="5"/>
    <x v="17"/>
    <n v="15"/>
    <s v="海关有舱单，核对舱单"/>
    <x v="38"/>
    <x v="0"/>
    <m/>
    <n v="-29"/>
  </r>
  <r>
    <x v="5"/>
    <x v="17"/>
    <n v="16"/>
    <s v="通知报关"/>
    <x v="38"/>
    <x v="0"/>
    <m/>
    <n v="-29"/>
  </r>
  <r>
    <x v="5"/>
    <x v="17"/>
    <n v="17"/>
    <s v="收到报关成功通知"/>
    <x v="38"/>
    <x v="0"/>
    <m/>
    <n v="-29"/>
  </r>
  <r>
    <x v="5"/>
    <x v="17"/>
    <n v="18"/>
    <s v="通知可进港"/>
    <x v="38"/>
    <x v="0"/>
    <m/>
    <n v="-29"/>
  </r>
  <r>
    <x v="5"/>
    <x v="17"/>
    <n v="19"/>
    <s v="收到进港通知"/>
    <x v="41"/>
    <x v="0"/>
    <m/>
    <n v="-28"/>
  </r>
  <r>
    <x v="5"/>
    <x v="17"/>
    <n v="20"/>
    <s v="核对进港数据"/>
    <x v="41"/>
    <x v="0"/>
    <m/>
    <n v="-28"/>
  </r>
  <r>
    <x v="5"/>
    <x v="17"/>
    <n v="21"/>
    <s v="海放，码放，配载"/>
    <x v="39"/>
    <x v="0"/>
    <m/>
    <n v="-25"/>
  </r>
  <r>
    <x v="5"/>
    <x v="17"/>
    <n v="22"/>
    <s v="船开"/>
    <x v="42"/>
    <x v="0"/>
    <m/>
    <n v="-24"/>
  </r>
  <r>
    <x v="5"/>
    <x v="17"/>
    <n v="23"/>
    <s v="张婷确认账单"/>
    <x v="19"/>
    <x v="0"/>
    <m/>
    <n v="-12"/>
  </r>
  <r>
    <x v="5"/>
    <x v="17"/>
    <n v="24"/>
    <s v="放单"/>
    <x v="32"/>
    <x v="0"/>
    <m/>
    <n v="-22"/>
  </r>
  <r>
    <x v="7"/>
    <x v="18"/>
    <n v="1"/>
    <s v="收到徐小姐托书"/>
    <x v="41"/>
    <x v="0"/>
    <m/>
    <n v="-28"/>
  </r>
  <r>
    <x v="7"/>
    <x v="18"/>
    <n v="2"/>
    <s v="公共盘表格生成单号，YJC系统复制、生成单子"/>
    <x v="41"/>
    <x v="0"/>
    <m/>
    <n v="-28"/>
  </r>
  <r>
    <x v="7"/>
    <x v="18"/>
    <n v="3"/>
    <s v="振华网站订舱、保存、提交，等待审核"/>
    <x v="41"/>
    <x v="0"/>
    <m/>
    <n v="-28"/>
  </r>
  <r>
    <x v="7"/>
    <x v="18"/>
    <n v="4"/>
    <s v="QQ发预配给徐小姐，邮件发确认给国外"/>
    <x v="41"/>
    <x v="0"/>
    <m/>
    <n v="-28"/>
  </r>
  <r>
    <x v="7"/>
    <x v="18"/>
    <n v="5"/>
    <s v="收到国外确认，公共盘表格红改黑"/>
    <x v="41"/>
    <x v="0"/>
    <m/>
    <n v="-28"/>
  </r>
  <r>
    <x v="7"/>
    <x v="18"/>
    <n v="6"/>
    <s v="收到车队江发来VGM表格"/>
    <x v="40"/>
    <x v="0"/>
    <s v="周三周一截，周日周五截"/>
    <n v="-26"/>
  </r>
  <r>
    <x v="7"/>
    <x v="18"/>
    <n v="7"/>
    <s v="YJC 截单，振华截单、截VGM"/>
    <x v="40"/>
    <x v="0"/>
    <m/>
    <n v="-26"/>
  </r>
  <r>
    <x v="7"/>
    <x v="18"/>
    <n v="8"/>
    <s v="邮件发提单确认和费用确认给国外"/>
    <x v="40"/>
    <x v="0"/>
    <m/>
    <n v="-26"/>
  </r>
  <r>
    <x v="7"/>
    <x v="18"/>
    <n v="9"/>
    <s v="船开，制作提单领取单给师傅领WAYBILL"/>
    <x v="32"/>
    <x v="0"/>
    <m/>
    <n v="-22"/>
  </r>
  <r>
    <x v="7"/>
    <x v="18"/>
    <n v="10"/>
    <s v="拿到WAYBILL，扫描，和HBL一起发国外"/>
    <x v="32"/>
    <x v="0"/>
    <m/>
    <n v="-22"/>
  </r>
  <r>
    <x v="3"/>
    <x v="19"/>
    <n v="1"/>
    <s v="收到HMM Neo 下周订舱邮件"/>
    <x v="32"/>
    <x v="0"/>
    <s v="周一"/>
    <n v="-22"/>
  </r>
  <r>
    <x v="3"/>
    <x v="19"/>
    <n v="2"/>
    <s v="根据JS mobis订舱需求回Neo邮件"/>
    <x v="32"/>
    <x v="0"/>
    <s v="周一"/>
    <n v="-22"/>
  </r>
  <r>
    <x v="3"/>
    <x v="19"/>
    <n v="3"/>
    <s v="SHA GLV WORKING PROCESS"/>
    <x v="32"/>
    <x v="0"/>
    <s v="周一"/>
    <n v="-22"/>
  </r>
  <r>
    <x v="3"/>
    <x v="19"/>
    <n v="4"/>
    <s v="SHA GLV WORKING PROCESS"/>
    <x v="44"/>
    <x v="0"/>
    <s v="周三"/>
    <n v="-20"/>
  </r>
  <r>
    <x v="3"/>
    <x v="19"/>
    <n v="5"/>
    <s v="TJ glovis额外费用邮件"/>
    <x v="45"/>
    <x v="0"/>
    <s v="周五"/>
    <n v="-18"/>
  </r>
  <r>
    <x v="3"/>
    <x v="19"/>
    <n v="6"/>
    <s v="WORKING PROCESS"/>
    <x v="45"/>
    <x v="0"/>
    <s v="周五"/>
    <n v="-18"/>
  </r>
  <r>
    <x v="3"/>
    <x v="19"/>
    <n v="7"/>
    <s v="万盛出运清单（下午三点，改文件名）"/>
    <x v="45"/>
    <x v="0"/>
    <s v="周五"/>
    <n v="-18"/>
  </r>
  <r>
    <x v="3"/>
    <x v="19"/>
    <n v="8"/>
    <s v="HANSSEM 流水重做"/>
    <x v="46"/>
    <x v="0"/>
    <m/>
    <n v="-17"/>
  </r>
  <r>
    <x v="7"/>
    <x v="20"/>
    <n v="1"/>
    <s v="收到徐小姐托书"/>
    <x v="41"/>
    <x v="0"/>
    <m/>
    <n v="-28"/>
  </r>
  <r>
    <x v="7"/>
    <x v="20"/>
    <n v="2"/>
    <s v="公共盘表格生成单号，YJC系统复制、生成单子"/>
    <x v="41"/>
    <x v="0"/>
    <m/>
    <n v="-28"/>
  </r>
  <r>
    <x v="7"/>
    <x v="20"/>
    <n v="3"/>
    <s v="振华网站订舱、保存、提交，等待审核"/>
    <x v="41"/>
    <x v="0"/>
    <m/>
    <n v="-28"/>
  </r>
  <r>
    <x v="7"/>
    <x v="20"/>
    <n v="4"/>
    <s v="QQ发预配给徐小姐，邮件发确认给国外"/>
    <x v="41"/>
    <x v="0"/>
    <m/>
    <n v="-28"/>
  </r>
  <r>
    <x v="7"/>
    <x v="20"/>
    <n v="5"/>
    <s v="收到国外确认，公共盘表格红改黑"/>
    <x v="41"/>
    <x v="0"/>
    <m/>
    <n v="-28"/>
  </r>
  <r>
    <x v="7"/>
    <x v="20"/>
    <n v="6"/>
    <s v="收到车队江发来VGM表格"/>
    <x v="32"/>
    <x v="0"/>
    <s v="周三周一截，周日周五截"/>
    <n v="-22"/>
  </r>
  <r>
    <x v="7"/>
    <x v="20"/>
    <n v="7"/>
    <s v="YJC 截单，振华截单、截VGM"/>
    <x v="32"/>
    <x v="0"/>
    <m/>
    <n v="-22"/>
  </r>
  <r>
    <x v="7"/>
    <x v="20"/>
    <n v="8"/>
    <s v="邮件发提单确认和费用确认给国外"/>
    <x v="32"/>
    <x v="0"/>
    <m/>
    <n v="-22"/>
  </r>
  <r>
    <x v="7"/>
    <x v="20"/>
    <n v="9"/>
    <s v="船开，制作提单领取单给师傅领WAYBILL"/>
    <x v="47"/>
    <x v="0"/>
    <m/>
    <n v="-19"/>
  </r>
  <r>
    <x v="7"/>
    <x v="20"/>
    <n v="10"/>
    <s v="拿到WAYBILL，扫描，和HBL一起发国外"/>
    <x v="47"/>
    <x v="0"/>
    <m/>
    <n v="-19"/>
  </r>
  <r>
    <x v="1"/>
    <x v="20"/>
    <n v="1"/>
    <s v="收到客户(孙丹/王珊)发来订舱托书"/>
    <x v="27"/>
    <x v="0"/>
    <m/>
    <n v="-32"/>
  </r>
  <r>
    <x v="1"/>
    <x v="20"/>
    <n v="2"/>
    <s v="收到CK发来预配(做箱通知，沈丽有收到？)，完善YJC系统数据"/>
    <x v="41"/>
    <x v="0"/>
    <m/>
    <n v="-28"/>
  </r>
  <r>
    <x v="1"/>
    <x v="20"/>
    <n v="3"/>
    <s v="YJC系统生成单子"/>
    <x v="41"/>
    <x v="0"/>
    <m/>
    <n v="-28"/>
  </r>
  <r>
    <x v="1"/>
    <x v="20"/>
    <n v="4"/>
    <s v="收到包装厂(刘倩梅)发来包装指示书和装箱计划"/>
    <x v="40"/>
    <x v="0"/>
    <s v="一般周四"/>
    <n v="-26"/>
  </r>
  <r>
    <x v="1"/>
    <x v="20"/>
    <n v="5"/>
    <s v="根据装箱计划汇总包装数据，发各工厂做报关资料"/>
    <x v="40"/>
    <x v="0"/>
    <m/>
    <n v="-26"/>
  </r>
  <r>
    <x v="1"/>
    <x v="20"/>
    <n v="6"/>
    <s v="做做箱数据，邮件群发(开港时间)"/>
    <x v="40"/>
    <x v="0"/>
    <m/>
    <n v="-26"/>
  </r>
  <r>
    <x v="1"/>
    <x v="20"/>
    <n v="7"/>
    <s v="收到工厂发来报关资料并完善(代做报关资料跟客户确认)"/>
    <x v="32"/>
    <x v="0"/>
    <s v="当天至隔天"/>
    <n v="-22"/>
  </r>
  <r>
    <x v="1"/>
    <x v="20"/>
    <n v="7.1"/>
    <s v="三立的体积有问题，让客户重新提供，再发报关行"/>
    <x v="32"/>
    <x v="0"/>
    <m/>
    <n v="-22"/>
  </r>
  <r>
    <x v="1"/>
    <x v="20"/>
    <n v="8"/>
    <s v="报关资料齐了，发报关行(黄寅文)，货运模板/发票/箱单"/>
    <x v="32"/>
    <x v="0"/>
    <m/>
    <n v="-22"/>
  </r>
  <r>
    <x v="1"/>
    <x v="20"/>
    <n v="9"/>
    <s v="收到车队(沈丽)装箱单和洋山提箱截图(如有)，群发，通知发舱单"/>
    <x v="32"/>
    <x v="0"/>
    <s v="一般KMM五、HMI日"/>
    <n v="-22"/>
  </r>
  <r>
    <x v="1"/>
    <x v="20"/>
    <n v="9"/>
    <s v="收到舱单发送成功通知，核对舱单信息"/>
    <x v="32"/>
    <x v="0"/>
    <m/>
    <n v="-22"/>
  </r>
  <r>
    <x v="1"/>
    <x v="20"/>
    <n v="9"/>
    <s v="通知进港"/>
    <x v="32"/>
    <x v="0"/>
    <s v="调整顺序"/>
    <n v="-22"/>
  </r>
  <r>
    <x v="1"/>
    <x v="20"/>
    <n v="9"/>
    <s v="进港(核对数据)"/>
    <x v="32"/>
    <x v="0"/>
    <s v="调整顺序"/>
    <n v="-22"/>
  </r>
  <r>
    <x v="1"/>
    <x v="20"/>
    <n v="9"/>
    <s v="通知报关"/>
    <x v="32"/>
    <x v="0"/>
    <s v="调整顺序"/>
    <n v="-22"/>
  </r>
  <r>
    <x v="1"/>
    <x v="20"/>
    <n v="9"/>
    <s v="报关成功"/>
    <x v="32"/>
    <x v="0"/>
    <s v="调整顺序"/>
    <n v="-22"/>
  </r>
  <r>
    <x v="1"/>
    <x v="20"/>
    <n v="15"/>
    <s v="盯海放"/>
    <x v="32"/>
    <x v="0"/>
    <m/>
    <n v="-22"/>
  </r>
  <r>
    <x v="1"/>
    <x v="20"/>
    <n v="16"/>
    <s v="盯码放"/>
    <x v="48"/>
    <x v="0"/>
    <m/>
    <n v="-21"/>
  </r>
  <r>
    <x v="1"/>
    <x v="20"/>
    <n v="17"/>
    <s v="盯配载"/>
    <x v="44"/>
    <x v="0"/>
    <m/>
    <n v="-20"/>
  </r>
  <r>
    <x v="1"/>
    <x v="20"/>
    <n v="18"/>
    <s v="船开"/>
    <x v="47"/>
    <x v="0"/>
    <m/>
    <n v="-19"/>
  </r>
  <r>
    <x v="1"/>
    <x v="20"/>
    <n v="19"/>
    <s v="做费用(对账单日期4号)，放公共盘，填月账单表，发孙丹"/>
    <x v="47"/>
    <x v="0"/>
    <m/>
    <n v="-19"/>
  </r>
  <r>
    <x v="4"/>
    <x v="20"/>
    <n v="1"/>
    <s v="收到客户(徐贵)订舱预报"/>
    <x v="27"/>
    <x v="0"/>
    <s v="一般周五发隔周"/>
    <n v="-32"/>
  </r>
  <r>
    <x v="4"/>
    <x v="20"/>
    <n v="2"/>
    <s v="填WORKING PROCESS"/>
    <x v="27"/>
    <x v="0"/>
    <m/>
    <n v="-32"/>
  </r>
  <r>
    <x v="4"/>
    <x v="20"/>
    <n v="3"/>
    <s v="收到HMM(Neo)预订舱邮件通知"/>
    <x v="27"/>
    <x v="0"/>
    <s v="一般周一发下周"/>
    <n v="-32"/>
  </r>
  <r>
    <x v="4"/>
    <x v="20"/>
    <n v="4"/>
    <s v="回复HMM(Neo)预订舱邮件"/>
    <x v="27"/>
    <x v="0"/>
    <m/>
    <n v="-32"/>
  </r>
  <r>
    <x v="4"/>
    <x v="20"/>
    <n v="5"/>
    <s v="收到HMM(Neo)预订舱确认"/>
    <x v="41"/>
    <x v="0"/>
    <s v="一般马上"/>
    <n v="-28"/>
  </r>
  <r>
    <x v="4"/>
    <x v="20"/>
    <n v="6"/>
    <s v="公共盘生成提单号"/>
    <x v="41"/>
    <x v="0"/>
    <m/>
    <n v="-28"/>
  </r>
  <r>
    <x v="4"/>
    <x v="20"/>
    <n v="7"/>
    <s v="YJC系统生成单子"/>
    <x v="41"/>
    <x v="0"/>
    <m/>
    <n v="-28"/>
  </r>
  <r>
    <x v="4"/>
    <x v="20"/>
    <n v="8"/>
    <s v="发EDI"/>
    <x v="41"/>
    <x v="0"/>
    <m/>
    <n v="-28"/>
  </r>
  <r>
    <x v="4"/>
    <x v="20"/>
    <n v="9"/>
    <s v="邮件申请放单"/>
    <x v="41"/>
    <x v="0"/>
    <m/>
    <n v="-28"/>
  </r>
  <r>
    <x v="4"/>
    <x v="20"/>
    <n v="10"/>
    <s v="收到HMM(Neo) 放单确认"/>
    <x v="26"/>
    <x v="0"/>
    <s v="一般半天内"/>
    <n v="-27"/>
  </r>
  <r>
    <x v="4"/>
    <x v="20"/>
    <n v="11"/>
    <s v="HMM网站核对订舱信息"/>
    <x v="26"/>
    <x v="0"/>
    <m/>
    <n v="-27"/>
  </r>
  <r>
    <x v="4"/>
    <x v="20"/>
    <n v="12"/>
    <s v="收到客户(徐贵)做箱通知"/>
    <x v="26"/>
    <x v="0"/>
    <s v="一般做箱头天一早"/>
    <n v="-27"/>
  </r>
  <r>
    <x v="4"/>
    <x v="20"/>
    <n v="13"/>
    <s v="发做箱通知邮件给车队(沈丽)"/>
    <x v="26"/>
    <x v="0"/>
    <m/>
    <n v="-27"/>
  </r>
  <r>
    <x v="4"/>
    <x v="20"/>
    <n v="14"/>
    <s v="公共盘生成提单号【如需拆单】"/>
    <x v="26"/>
    <x v="0"/>
    <m/>
    <n v="-27"/>
  </r>
  <r>
    <x v="4"/>
    <x v="20"/>
    <n v="15"/>
    <s v="YJC系统生成单子【如需拆单】"/>
    <x v="26"/>
    <x v="0"/>
    <m/>
    <n v="-27"/>
  </r>
  <r>
    <x v="4"/>
    <x v="20"/>
    <n v="16"/>
    <s v="发EDI【如需拆单】"/>
    <x v="26"/>
    <x v="0"/>
    <m/>
    <n v="-27"/>
  </r>
  <r>
    <x v="4"/>
    <x v="20"/>
    <n v="17"/>
    <s v="邮件申请放单【如需拆单】"/>
    <x v="26"/>
    <x v="0"/>
    <m/>
    <n v="-27"/>
  </r>
  <r>
    <x v="4"/>
    <x v="20"/>
    <n v="18"/>
    <s v="收到HMM(Neo) 放单确认【如需拆单】"/>
    <x v="26"/>
    <x v="0"/>
    <m/>
    <n v="-27"/>
  </r>
  <r>
    <x v="4"/>
    <x v="20"/>
    <n v="19"/>
    <s v="HMM网站核对订舱信息【如需拆单】"/>
    <x v="26"/>
    <x v="0"/>
    <m/>
    <n v="-27"/>
  </r>
  <r>
    <x v="4"/>
    <x v="20"/>
    <n v="20"/>
    <s v="收到客户(徐贵)发来做箱数据(报关资料)"/>
    <x v="40"/>
    <x v="0"/>
    <s v="一般做箱当天一早"/>
    <n v="-26"/>
  </r>
  <r>
    <x v="4"/>
    <x v="20"/>
    <n v="21"/>
    <s v="按报关(发票)数生成提单号【如发票数超过提单数】"/>
    <x v="40"/>
    <x v="0"/>
    <m/>
    <n v="-26"/>
  </r>
  <r>
    <x v="4"/>
    <x v="20"/>
    <n v="22"/>
    <s v="做做箱数据，QQ发车队(沈丽)"/>
    <x v="40"/>
    <x v="0"/>
    <m/>
    <n v="-26"/>
  </r>
  <r>
    <x v="4"/>
    <x v="20"/>
    <n v="23"/>
    <s v="收到车队(沈丽)装箱单，转发客户（徐贵）"/>
    <x v="40"/>
    <x v="0"/>
    <s v="一般马上"/>
    <n v="-26"/>
  </r>
  <r>
    <x v="4"/>
    <x v="20"/>
    <n v="24"/>
    <s v="YJC系统截单，发EDI，邮件HMM(He)【截单时间】"/>
    <x v="40"/>
    <x v="0"/>
    <s v="注意截单时间"/>
    <n v="-26"/>
  </r>
  <r>
    <x v="4"/>
    <x v="20"/>
    <n v="25"/>
    <s v="发VGM和舱单"/>
    <x v="40"/>
    <x v="0"/>
    <m/>
    <n v="-26"/>
  </r>
  <r>
    <x v="4"/>
    <x v="20"/>
    <n v="26"/>
    <s v="做报关资料，扫描发报关行(黄寅文)QQ"/>
    <x v="40"/>
    <x v="0"/>
    <m/>
    <n v="-26"/>
  </r>
  <r>
    <x v="4"/>
    <x v="20"/>
    <n v="27"/>
    <s v="做保函给邹师傅"/>
    <x v="40"/>
    <x v="0"/>
    <m/>
    <n v="-26"/>
  </r>
  <r>
    <x v="4"/>
    <x v="20"/>
    <n v="28"/>
    <s v="做ISF，发国外资料"/>
    <x v="40"/>
    <x v="0"/>
    <m/>
    <n v="-26"/>
  </r>
  <r>
    <x v="4"/>
    <x v="20"/>
    <n v="29"/>
    <s v="买保险"/>
    <x v="40"/>
    <x v="0"/>
    <m/>
    <n v="-26"/>
  </r>
  <r>
    <x v="4"/>
    <x v="20"/>
    <n v="30"/>
    <s v="填WORKING PROCESS"/>
    <x v="40"/>
    <x v="0"/>
    <m/>
    <n v="-26"/>
  </r>
  <r>
    <x v="4"/>
    <x v="20"/>
    <n v="31"/>
    <s v="收到HMM(He)生成提单通知"/>
    <x v="40"/>
    <x v="0"/>
    <s v="一般马上"/>
    <n v="-26"/>
  </r>
  <r>
    <x v="4"/>
    <x v="20"/>
    <n v="32"/>
    <s v="HMM网站核对提单信息"/>
    <x v="40"/>
    <x v="0"/>
    <m/>
    <n v="-26"/>
  </r>
  <r>
    <x v="4"/>
    <x v="20"/>
    <n v="33"/>
    <s v="盯海关网站舱单"/>
    <x v="40"/>
    <x v="0"/>
    <s v="一般两小时左右"/>
    <n v="-26"/>
  </r>
  <r>
    <x v="4"/>
    <x v="20"/>
    <n v="34"/>
    <s v="核对舱单信息"/>
    <x v="40"/>
    <x v="0"/>
    <m/>
    <n v="-26"/>
  </r>
  <r>
    <x v="4"/>
    <x v="20"/>
    <n v="35"/>
    <s v="收到报关行(黄寅文)校对稿，邮件发客户(徐贵)确认"/>
    <x v="40"/>
    <x v="0"/>
    <s v="一般半天内"/>
    <n v="-26"/>
  </r>
  <r>
    <x v="4"/>
    <x v="20"/>
    <n v="36"/>
    <s v="收到客户(徐贵)确认校对稿"/>
    <x v="39"/>
    <x v="0"/>
    <s v="一般马上"/>
    <n v="-25"/>
  </r>
  <r>
    <x v="4"/>
    <x v="20"/>
    <n v="37"/>
    <s v="通知车队(沈丽)可进港"/>
    <x v="40"/>
    <x v="0"/>
    <m/>
    <n v="-26"/>
  </r>
  <r>
    <x v="4"/>
    <x v="20"/>
    <n v="38"/>
    <s v="盯箱子进港"/>
    <x v="49"/>
    <x v="0"/>
    <m/>
    <n v="-23"/>
  </r>
  <r>
    <x v="4"/>
    <x v="20"/>
    <n v="39"/>
    <s v="核对进港数据"/>
    <x v="32"/>
    <x v="0"/>
    <m/>
    <n v="-22"/>
  </r>
  <r>
    <x v="4"/>
    <x v="20"/>
    <n v="40"/>
    <s v="通知报关行(黄寅文)报关(开港、舱单、校对)"/>
    <x v="32"/>
    <x v="0"/>
    <m/>
    <n v="-22"/>
  </r>
  <r>
    <x v="4"/>
    <x v="20"/>
    <n v="41"/>
    <s v="收到报关成功通知"/>
    <x v="32"/>
    <x v="0"/>
    <s v="一般下班前"/>
    <n v="-22"/>
  </r>
  <r>
    <x v="4"/>
    <x v="20"/>
    <n v="42"/>
    <s v="盯海放"/>
    <x v="32"/>
    <x v="0"/>
    <m/>
    <n v="-22"/>
  </r>
  <r>
    <x v="4"/>
    <x v="20"/>
    <n v="43"/>
    <s v="盯码放"/>
    <x v="48"/>
    <x v="0"/>
    <m/>
    <n v="-21"/>
  </r>
  <r>
    <x v="4"/>
    <x v="20"/>
    <n v="44"/>
    <s v="盯配载"/>
    <x v="44"/>
    <x v="0"/>
    <m/>
    <n v="-20"/>
  </r>
  <r>
    <x v="4"/>
    <x v="20"/>
    <n v="45"/>
    <s v="做费用(月初等汇率)，发账单给石磊"/>
    <x v="47"/>
    <x v="0"/>
    <m/>
    <n v="-19"/>
  </r>
  <r>
    <x v="4"/>
    <x v="20"/>
    <n v="46"/>
    <s v="船开"/>
    <x v="47"/>
    <x v="0"/>
    <m/>
    <n v="-19"/>
  </r>
  <r>
    <x v="4"/>
    <x v="20"/>
    <n v="46.1"/>
    <s v="更改封号保函"/>
    <x v="47"/>
    <x v="0"/>
    <m/>
    <n v="-19"/>
  </r>
  <r>
    <x v="4"/>
    <x v="20"/>
    <n v="47"/>
    <s v="封号改好后重新放单"/>
    <x v="47"/>
    <x v="0"/>
    <s v="一般开船后两三天"/>
    <n v="-19"/>
  </r>
  <r>
    <x v="2"/>
    <x v="20"/>
    <n v="1"/>
    <s v="收到客户(孙丹/王珊)发来订舱托书"/>
    <x v="0"/>
    <x v="0"/>
    <m/>
    <n v="-34"/>
  </r>
  <r>
    <x v="2"/>
    <x v="20"/>
    <n v="2"/>
    <s v="收到CK发来预配(做箱通知，沈丽有收到？)，完善YJC系统数据"/>
    <x v="0"/>
    <x v="0"/>
    <m/>
    <n v="-34"/>
  </r>
  <r>
    <x v="2"/>
    <x v="20"/>
    <n v="3"/>
    <s v="YJC系统生成单子"/>
    <x v="29"/>
    <x v="0"/>
    <m/>
    <n v="-33"/>
  </r>
  <r>
    <x v="2"/>
    <x v="20"/>
    <n v="4"/>
    <s v="收到包装厂(刘倩梅)发来包装指示书和装箱计划"/>
    <x v="26"/>
    <x v="0"/>
    <s v="一般周四"/>
    <n v="-27"/>
  </r>
  <r>
    <x v="2"/>
    <x v="20"/>
    <n v="5"/>
    <s v="根据装箱计划汇总包装数据，发各工厂做报关资料"/>
    <x v="26"/>
    <x v="0"/>
    <m/>
    <n v="-27"/>
  </r>
  <r>
    <x v="2"/>
    <x v="20"/>
    <n v="6"/>
    <s v="做做箱数据，邮件群发(开港时间)"/>
    <x v="26"/>
    <x v="0"/>
    <m/>
    <n v="-27"/>
  </r>
  <r>
    <x v="2"/>
    <x v="20"/>
    <n v="7"/>
    <s v="收到工厂发来报关资料并完善(代做报关资料跟客户确认)"/>
    <x v="26"/>
    <x v="0"/>
    <s v="当天至隔天"/>
    <n v="-27"/>
  </r>
  <r>
    <x v="2"/>
    <x v="20"/>
    <n v="8"/>
    <s v="报关资料齐了，发报关行(黄寅文)，货运模板/发票/箱单"/>
    <x v="26"/>
    <x v="0"/>
    <m/>
    <n v="-27"/>
  </r>
  <r>
    <x v="2"/>
    <x v="20"/>
    <n v="9"/>
    <s v="收到车队(沈丽)装箱单和洋山提箱截图(如有)，群发，通知发舱单"/>
    <x v="40"/>
    <x v="0"/>
    <s v="一般KMM五、HMI日"/>
    <n v="-26"/>
  </r>
  <r>
    <x v="2"/>
    <x v="20"/>
    <n v="10"/>
    <s v="收到舱单发送成功通知，核对舱单信息"/>
    <x v="40"/>
    <x v="0"/>
    <m/>
    <n v="-26"/>
  </r>
  <r>
    <x v="2"/>
    <x v="20"/>
    <n v="11"/>
    <s v="通知报关"/>
    <x v="40"/>
    <x v="0"/>
    <s v="调整顺序"/>
    <n v="-26"/>
  </r>
  <r>
    <x v="2"/>
    <x v="20"/>
    <n v="12"/>
    <s v="报关成功"/>
    <x v="40"/>
    <x v="0"/>
    <s v="调整顺序"/>
    <n v="-26"/>
  </r>
  <r>
    <x v="2"/>
    <x v="20"/>
    <n v="13"/>
    <s v="通知进港"/>
    <x v="40"/>
    <x v="0"/>
    <s v="调整顺序"/>
    <n v="-26"/>
  </r>
  <r>
    <x v="2"/>
    <x v="20"/>
    <n v="14"/>
    <s v="进港(核对数据)"/>
    <x v="32"/>
    <x v="0"/>
    <s v="调整顺序"/>
    <n v="-22"/>
  </r>
  <r>
    <x v="2"/>
    <x v="20"/>
    <n v="15"/>
    <s v="盯海放"/>
    <x v="32"/>
    <x v="0"/>
    <m/>
    <n v="-22"/>
  </r>
  <r>
    <x v="2"/>
    <x v="20"/>
    <n v="16"/>
    <s v="盯码放"/>
    <x v="32"/>
    <x v="0"/>
    <m/>
    <n v="-22"/>
  </r>
  <r>
    <x v="2"/>
    <x v="20"/>
    <n v="17"/>
    <s v="盯配载"/>
    <x v="48"/>
    <x v="0"/>
    <m/>
    <n v="-21"/>
  </r>
  <r>
    <x v="2"/>
    <x v="20"/>
    <n v="18"/>
    <s v="盯船开"/>
    <x v="44"/>
    <x v="0"/>
    <m/>
    <n v="-20"/>
  </r>
  <r>
    <x v="2"/>
    <x v="20"/>
    <n v="20"/>
    <s v="做费用(对账单日期4号)，放公共盘，填月账单表，发孙丹"/>
    <x v="44"/>
    <x v="0"/>
    <m/>
    <n v="-20"/>
  </r>
  <r>
    <x v="4"/>
    <x v="21"/>
    <n v="1"/>
    <s v="收到客户(徐贵)订舱预报"/>
    <x v="27"/>
    <x v="0"/>
    <s v="一般周五发隔周"/>
    <n v="-32"/>
  </r>
  <r>
    <x v="4"/>
    <x v="21"/>
    <n v="2"/>
    <s v="填WORKING PROCESS"/>
    <x v="27"/>
    <x v="0"/>
    <m/>
    <n v="-32"/>
  </r>
  <r>
    <x v="4"/>
    <x v="21"/>
    <n v="3"/>
    <s v="收到HMM(Neo)预订舱邮件通知"/>
    <x v="27"/>
    <x v="0"/>
    <s v="一般周一发下周"/>
    <n v="-32"/>
  </r>
  <r>
    <x v="4"/>
    <x v="21"/>
    <n v="4"/>
    <s v="回复HMM(Neo)预订舱邮件"/>
    <x v="27"/>
    <x v="0"/>
    <m/>
    <n v="-32"/>
  </r>
  <r>
    <x v="4"/>
    <x v="21"/>
    <n v="5"/>
    <s v="收到HMM(Neo)预订舱确认"/>
    <x v="41"/>
    <x v="0"/>
    <s v="一般马上"/>
    <n v="-28"/>
  </r>
  <r>
    <x v="4"/>
    <x v="21"/>
    <n v="6"/>
    <s v="公共盘生成提单号"/>
    <x v="41"/>
    <x v="0"/>
    <m/>
    <n v="-28"/>
  </r>
  <r>
    <x v="4"/>
    <x v="21"/>
    <n v="7"/>
    <s v="YJC系统生成单子"/>
    <x v="41"/>
    <x v="0"/>
    <m/>
    <n v="-28"/>
  </r>
  <r>
    <x v="4"/>
    <x v="21"/>
    <n v="8"/>
    <s v="发EDI"/>
    <x v="41"/>
    <x v="0"/>
    <m/>
    <n v="-28"/>
  </r>
  <r>
    <x v="4"/>
    <x v="21"/>
    <n v="9"/>
    <s v="邮件申请放单"/>
    <x v="41"/>
    <x v="0"/>
    <m/>
    <n v="-28"/>
  </r>
  <r>
    <x v="4"/>
    <x v="21"/>
    <n v="10"/>
    <s v="收到HMM(Neo) 放单确认"/>
    <x v="26"/>
    <x v="0"/>
    <s v="一般半天内"/>
    <n v="-27"/>
  </r>
  <r>
    <x v="4"/>
    <x v="21"/>
    <n v="11"/>
    <s v="HMM网站核对订舱信息"/>
    <x v="26"/>
    <x v="0"/>
    <m/>
    <n v="-27"/>
  </r>
  <r>
    <x v="4"/>
    <x v="21"/>
    <n v="12"/>
    <s v="收到客户(徐贵)做箱通知"/>
    <x v="32"/>
    <x v="0"/>
    <s v="一般做箱头天一早"/>
    <n v="-22"/>
  </r>
  <r>
    <x v="4"/>
    <x v="21"/>
    <n v="13"/>
    <s v="发做箱通知邮件给车队(沈丽)【确认港区航次！！！】"/>
    <x v="32"/>
    <x v="0"/>
    <m/>
    <n v="-22"/>
  </r>
  <r>
    <x v="4"/>
    <x v="21"/>
    <n v="14"/>
    <s v="公共盘生成提单号【如需拆单】"/>
    <x v="32"/>
    <x v="0"/>
    <m/>
    <n v="-22"/>
  </r>
  <r>
    <x v="4"/>
    <x v="21"/>
    <n v="15"/>
    <s v="YJC系统生成单子【如需拆单】"/>
    <x v="32"/>
    <x v="0"/>
    <m/>
    <n v="-22"/>
  </r>
  <r>
    <x v="4"/>
    <x v="21"/>
    <n v="16"/>
    <s v="发EDI【如需拆单】"/>
    <x v="32"/>
    <x v="0"/>
    <m/>
    <n v="-22"/>
  </r>
  <r>
    <x v="4"/>
    <x v="21"/>
    <n v="17"/>
    <s v="邮件申请放单【如需拆单】"/>
    <x v="32"/>
    <x v="0"/>
    <m/>
    <n v="-22"/>
  </r>
  <r>
    <x v="4"/>
    <x v="21"/>
    <n v="18"/>
    <s v="收到HMM(Neo) 放单确认【如需拆单】"/>
    <x v="32"/>
    <x v="0"/>
    <m/>
    <n v="-22"/>
  </r>
  <r>
    <x v="4"/>
    <x v="21"/>
    <n v="19"/>
    <s v="HMM网站核对订舱信息【如需拆单】"/>
    <x v="32"/>
    <x v="0"/>
    <m/>
    <n v="-22"/>
  </r>
  <r>
    <x v="4"/>
    <x v="21"/>
    <n v="20"/>
    <s v="收到客户(徐贵)发来做箱数据(报关资料)"/>
    <x v="48"/>
    <x v="0"/>
    <s v="一般做箱当天一早"/>
    <n v="-21"/>
  </r>
  <r>
    <x v="4"/>
    <x v="21"/>
    <n v="21"/>
    <s v="按报关(发票)数生成提单号【如发票数超过提单数】"/>
    <x v="48"/>
    <x v="0"/>
    <m/>
    <n v="-21"/>
  </r>
  <r>
    <x v="4"/>
    <x v="21"/>
    <n v="22"/>
    <s v="做做箱数据，QQ发车队(沈丽)"/>
    <x v="48"/>
    <x v="0"/>
    <m/>
    <n v="-21"/>
  </r>
  <r>
    <x v="4"/>
    <x v="21"/>
    <n v="23"/>
    <s v="收到车队(沈丽)装箱单，转发客户（徐贵）"/>
    <x v="48"/>
    <x v="0"/>
    <s v="一般马上"/>
    <n v="-21"/>
  </r>
  <r>
    <x v="4"/>
    <x v="21"/>
    <n v="24"/>
    <s v="YJC系统截单，发EDI，邮件HMM(He)【截单时间】"/>
    <x v="48"/>
    <x v="0"/>
    <s v="注意截单时间"/>
    <n v="-21"/>
  </r>
  <r>
    <x v="4"/>
    <x v="21"/>
    <n v="25"/>
    <s v="发VGM和舱单"/>
    <x v="48"/>
    <x v="0"/>
    <m/>
    <n v="-21"/>
  </r>
  <r>
    <x v="4"/>
    <x v="21"/>
    <n v="26"/>
    <s v="做报关资料，扫描发报关行(黄寅文)QQ"/>
    <x v="48"/>
    <x v="0"/>
    <m/>
    <n v="-21"/>
  </r>
  <r>
    <x v="4"/>
    <x v="21"/>
    <n v="27"/>
    <s v="做保函给邹师傅"/>
    <x v="48"/>
    <x v="0"/>
    <m/>
    <n v="-21"/>
  </r>
  <r>
    <x v="4"/>
    <x v="21"/>
    <n v="28"/>
    <s v="做ISF，发国外资料"/>
    <x v="48"/>
    <x v="0"/>
    <m/>
    <n v="-21"/>
  </r>
  <r>
    <x v="4"/>
    <x v="21"/>
    <n v="29"/>
    <s v="买保险"/>
    <x v="48"/>
    <x v="0"/>
    <m/>
    <n v="-21"/>
  </r>
  <r>
    <x v="4"/>
    <x v="21"/>
    <n v="30"/>
    <s v="填WORKING PROCESS"/>
    <x v="48"/>
    <x v="0"/>
    <m/>
    <n v="-21"/>
  </r>
  <r>
    <x v="4"/>
    <x v="21"/>
    <n v="31"/>
    <s v="收到HMM(He)生成提单通知"/>
    <x v="48"/>
    <x v="0"/>
    <s v="一般马上"/>
    <n v="-21"/>
  </r>
  <r>
    <x v="4"/>
    <x v="21"/>
    <n v="32"/>
    <s v="HMM网站核对提单信息"/>
    <x v="48"/>
    <x v="0"/>
    <m/>
    <n v="-21"/>
  </r>
  <r>
    <x v="4"/>
    <x v="21"/>
    <n v="33"/>
    <s v="盯海关网站舱单"/>
    <x v="44"/>
    <x v="0"/>
    <s v="一般两小时左右"/>
    <n v="-20"/>
  </r>
  <r>
    <x v="4"/>
    <x v="21"/>
    <n v="34"/>
    <s v="核对舱单信息"/>
    <x v="44"/>
    <x v="0"/>
    <m/>
    <n v="-20"/>
  </r>
  <r>
    <x v="4"/>
    <x v="21"/>
    <n v="35"/>
    <s v="收到报关行(黄寅文)校对稿，邮件发客户(徐贵)确认"/>
    <x v="44"/>
    <x v="0"/>
    <s v="一般半天内"/>
    <n v="-20"/>
  </r>
  <r>
    <x v="4"/>
    <x v="21"/>
    <n v="36"/>
    <s v="收到客户(徐贵)确认校对稿"/>
    <x v="44"/>
    <x v="0"/>
    <s v="一般马上"/>
    <n v="-20"/>
  </r>
  <r>
    <x v="4"/>
    <x v="21"/>
    <n v="37"/>
    <s v="通知报关行(黄寅文)报关(开港、舱单、校对)"/>
    <x v="44"/>
    <x v="0"/>
    <m/>
    <n v="-20"/>
  </r>
  <r>
    <x v="4"/>
    <x v="21"/>
    <n v="38"/>
    <s v="收到报关成功通知"/>
    <x v="44"/>
    <x v="0"/>
    <s v="一般下班前"/>
    <n v="-20"/>
  </r>
  <r>
    <x v="4"/>
    <x v="21"/>
    <n v="39"/>
    <s v="通知车队(沈丽)可进港"/>
    <x v="44"/>
    <x v="0"/>
    <m/>
    <n v="-20"/>
  </r>
  <r>
    <x v="4"/>
    <x v="21"/>
    <n v="40"/>
    <s v="盯箱子进港"/>
    <x v="47"/>
    <x v="0"/>
    <m/>
    <n v="-19"/>
  </r>
  <r>
    <x v="4"/>
    <x v="21"/>
    <n v="41"/>
    <s v="核对进港数据"/>
    <x v="47"/>
    <x v="0"/>
    <m/>
    <n v="-19"/>
  </r>
  <r>
    <x v="4"/>
    <x v="21"/>
    <n v="42"/>
    <s v="盯海放"/>
    <x v="47"/>
    <x v="0"/>
    <m/>
    <n v="-19"/>
  </r>
  <r>
    <x v="4"/>
    <x v="21"/>
    <n v="43"/>
    <s v="盯码放"/>
    <x v="47"/>
    <x v="0"/>
    <m/>
    <n v="-19"/>
  </r>
  <r>
    <x v="4"/>
    <x v="21"/>
    <n v="44"/>
    <s v="盯配载"/>
    <x v="47"/>
    <x v="0"/>
    <m/>
    <n v="-19"/>
  </r>
  <r>
    <x v="4"/>
    <x v="21"/>
    <n v="45"/>
    <s v="做费用(月初等汇率)，发账单给石磊"/>
    <x v="47"/>
    <x v="0"/>
    <m/>
    <n v="-19"/>
  </r>
  <r>
    <x v="4"/>
    <x v="21"/>
    <n v="46"/>
    <s v="船开"/>
    <x v="50"/>
    <x v="0"/>
    <m/>
    <n v="-15"/>
  </r>
  <r>
    <x v="4"/>
    <x v="21"/>
    <n v="47"/>
    <s v="放单"/>
    <x v="51"/>
    <x v="0"/>
    <s v="一般开船后两三天"/>
    <n v="-13"/>
  </r>
  <r>
    <x v="4"/>
    <x v="21"/>
    <n v="48"/>
    <s v="改目的港，确认"/>
    <x v="52"/>
    <x v="0"/>
    <m/>
    <n v="-6"/>
  </r>
  <r>
    <x v="4"/>
    <x v="21"/>
    <n v="49"/>
    <s v="海运费差额"/>
    <x v="34"/>
    <x v="0"/>
    <m/>
    <n v="-5"/>
  </r>
  <r>
    <x v="7"/>
    <x v="22"/>
    <n v="1"/>
    <s v="收到徐小姐托书"/>
    <x v="41"/>
    <x v="0"/>
    <m/>
    <n v="-28"/>
  </r>
  <r>
    <x v="7"/>
    <x v="22"/>
    <n v="2"/>
    <s v="公共盘表格生成单号，YJC系统复制、生成单子"/>
    <x v="41"/>
    <x v="0"/>
    <m/>
    <n v="-28"/>
  </r>
  <r>
    <x v="7"/>
    <x v="22"/>
    <n v="3"/>
    <s v="振华网站订舱、保存、提交，等待审核"/>
    <x v="41"/>
    <x v="0"/>
    <m/>
    <n v="-28"/>
  </r>
  <r>
    <x v="7"/>
    <x v="22"/>
    <n v="4"/>
    <s v="QQ发预配给徐小姐，邮件发确认给国外"/>
    <x v="41"/>
    <x v="0"/>
    <m/>
    <n v="-28"/>
  </r>
  <r>
    <x v="7"/>
    <x v="22"/>
    <n v="5"/>
    <s v="收到国外确认，公共盘表格红改黑"/>
    <x v="41"/>
    <x v="0"/>
    <m/>
    <n v="-28"/>
  </r>
  <r>
    <x v="7"/>
    <x v="22"/>
    <n v="6"/>
    <s v="收到车队江发来VGM表格"/>
    <x v="45"/>
    <x v="0"/>
    <s v="周三周一截，周日周五截"/>
    <n v="-18"/>
  </r>
  <r>
    <x v="7"/>
    <x v="22"/>
    <n v="7"/>
    <s v="YJC 截单，振华截单、截VGM"/>
    <x v="45"/>
    <x v="0"/>
    <m/>
    <n v="-18"/>
  </r>
  <r>
    <x v="7"/>
    <x v="22"/>
    <n v="8"/>
    <s v="邮件发提单确认和费用确认给国外"/>
    <x v="45"/>
    <x v="0"/>
    <m/>
    <n v="-18"/>
  </r>
  <r>
    <x v="7"/>
    <x v="22"/>
    <n v="9"/>
    <s v="船开，制作提单领取单给师傅领WAYBILL"/>
    <x v="50"/>
    <x v="0"/>
    <m/>
    <n v="-15"/>
  </r>
  <r>
    <x v="7"/>
    <x v="22"/>
    <n v="9.1"/>
    <s v="制作提单领取单应该WEEK项目里，改流水和单票流程"/>
    <x v="51"/>
    <x v="0"/>
    <m/>
    <n v="-13"/>
  </r>
  <r>
    <x v="7"/>
    <x v="22"/>
    <n v="10"/>
    <s v="拿到WAYBILL，扫描，和HBL一起发国外"/>
    <x v="50"/>
    <x v="0"/>
    <m/>
    <n v="-15"/>
  </r>
  <r>
    <x v="3"/>
    <x v="23"/>
    <n v="1"/>
    <s v="PANCON上周日船期提单领取单"/>
    <x v="50"/>
    <x v="0"/>
    <s v="周一"/>
    <n v="-15"/>
  </r>
  <r>
    <x v="3"/>
    <x v="23"/>
    <n v="2"/>
    <s v="PANCON本周三出运清单"/>
    <x v="50"/>
    <x v="0"/>
    <s v="周一"/>
    <n v="-15"/>
  </r>
  <r>
    <x v="3"/>
    <x v="23"/>
    <n v="3"/>
    <s v="WORKING PROCESS"/>
    <x v="50"/>
    <x v="0"/>
    <s v="周一"/>
    <n v="-15"/>
  </r>
  <r>
    <x v="3"/>
    <x v="23"/>
    <n v="4"/>
    <s v="WORKING PROCESS"/>
    <x v="51"/>
    <x v="0"/>
    <s v="周三"/>
    <n v="-13"/>
  </r>
  <r>
    <x v="3"/>
    <x v="23"/>
    <n v="4.0999999999999996"/>
    <s v="张婷确认账单后APP，开发票，跟踪快递"/>
    <x v="53"/>
    <x v="0"/>
    <s v="周三"/>
    <n v="-11"/>
  </r>
  <r>
    <x v="3"/>
    <x v="23"/>
    <n v="5"/>
    <s v="PANCON周四船期提单领取单"/>
    <x v="19"/>
    <x v="0"/>
    <s v="周四"/>
    <n v="-12"/>
  </r>
  <r>
    <x v="3"/>
    <x v="23"/>
    <n v="6"/>
    <s v="收到HMM Neo 下周订舱邮件"/>
    <x v="53"/>
    <x v="0"/>
    <s v="周五"/>
    <n v="-11"/>
  </r>
  <r>
    <x v="3"/>
    <x v="23"/>
    <n v="7"/>
    <s v="和 JS mobis、SC glovis确认订舱需求回Neo邮件"/>
    <x v="53"/>
    <x v="0"/>
    <s v="周五"/>
    <n v="-11"/>
  </r>
  <r>
    <x v="3"/>
    <x v="23"/>
    <n v="8"/>
    <s v="TJ glovis额外费用邮件"/>
    <x v="53"/>
    <x v="0"/>
    <s v="周五"/>
    <n v="-11"/>
  </r>
  <r>
    <x v="3"/>
    <x v="23"/>
    <n v="9"/>
    <s v="WORKING PROCESS"/>
    <x v="53"/>
    <x v="0"/>
    <s v="周五"/>
    <n v="-11"/>
  </r>
  <r>
    <x v="3"/>
    <x v="23"/>
    <n v="10"/>
    <s v="PANCON出运清单"/>
    <x v="53"/>
    <x v="0"/>
    <s v="周五"/>
    <n v="-11"/>
  </r>
  <r>
    <x v="3"/>
    <x v="23"/>
    <n v="11"/>
    <s v="下周 WEEK"/>
    <x v="53"/>
    <x v="0"/>
    <s v="周五"/>
    <n v="-11"/>
  </r>
  <r>
    <x v="3"/>
    <x v="23"/>
    <n v="12"/>
    <s v="问SC glovis 和 JS mobis 下下周订舱计划"/>
    <x v="53"/>
    <x v="0"/>
    <s v="周五"/>
    <n v="-11"/>
  </r>
  <r>
    <x v="3"/>
    <x v="23"/>
    <n v="13"/>
    <s v="收到JS mobis 下下周订舱计划"/>
    <x v="53"/>
    <x v="0"/>
    <s v="周五"/>
    <n v="-11"/>
  </r>
  <r>
    <x v="3"/>
    <x v="23"/>
    <n v="14"/>
    <s v="收到SC glovis 下下周订舱计划"/>
    <x v="53"/>
    <x v="0"/>
    <s v="周五"/>
    <n v="-11"/>
  </r>
  <r>
    <x v="3"/>
    <x v="23"/>
    <n v="15"/>
    <s v="收到Neo 下下周订舱预报邮件"/>
    <x v="53"/>
    <x v="0"/>
    <s v="周五"/>
    <n v="-11"/>
  </r>
  <r>
    <x v="3"/>
    <x v="23"/>
    <n v="16"/>
    <s v="回复Neo 下下周订舱预报邮件"/>
    <x v="53"/>
    <x v="0"/>
    <s v="周五"/>
    <n v="-11"/>
  </r>
  <r>
    <x v="3"/>
    <x v="23"/>
    <n v="17"/>
    <s v="收到Neo 下下周订舱预报确认"/>
    <x v="53"/>
    <x v="0"/>
    <s v="周五"/>
    <n v="-11"/>
  </r>
  <r>
    <x v="7"/>
    <x v="24"/>
    <n v="1"/>
    <s v="收到徐小姐托书"/>
    <x v="41"/>
    <x v="0"/>
    <m/>
    <n v="-28"/>
  </r>
  <r>
    <x v="7"/>
    <x v="24"/>
    <n v="2"/>
    <s v="公共盘表格生成单号，YJC系统复制、生成单子"/>
    <x v="41"/>
    <x v="0"/>
    <m/>
    <n v="-28"/>
  </r>
  <r>
    <x v="7"/>
    <x v="24"/>
    <n v="3"/>
    <s v="振华网站订舱、保存、提交，等待审核"/>
    <x v="41"/>
    <x v="0"/>
    <m/>
    <n v="-28"/>
  </r>
  <r>
    <x v="7"/>
    <x v="24"/>
    <n v="4"/>
    <s v="振华审核通过，QQ发预配给徐小姐，邮件发确认给国外"/>
    <x v="32"/>
    <x v="0"/>
    <m/>
    <n v="-22"/>
  </r>
  <r>
    <x v="7"/>
    <x v="24"/>
    <n v="5"/>
    <s v="收到国外确认，公共盘表格红改黑"/>
    <x v="44"/>
    <x v="0"/>
    <m/>
    <n v="-20"/>
  </r>
  <r>
    <x v="7"/>
    <x v="24"/>
    <n v="6"/>
    <s v="收到车队江发来VGM表格"/>
    <x v="50"/>
    <x v="0"/>
    <s v="周三周一截，周日周五截"/>
    <n v="-15"/>
  </r>
  <r>
    <x v="7"/>
    <x v="24"/>
    <n v="7"/>
    <s v="YJC 截单，振华截单、截VGM"/>
    <x v="50"/>
    <x v="0"/>
    <m/>
    <n v="-15"/>
  </r>
  <r>
    <x v="7"/>
    <x v="24"/>
    <n v="8"/>
    <s v="邮件发提单确认和费用确认给国外"/>
    <x v="50"/>
    <x v="0"/>
    <m/>
    <n v="-15"/>
  </r>
  <r>
    <x v="7"/>
    <x v="24"/>
    <n v="9"/>
    <s v="船开，制作提单领取单给师傅领WAYBILL"/>
    <x v="19"/>
    <x v="0"/>
    <m/>
    <n v="-12"/>
  </r>
  <r>
    <x v="7"/>
    <x v="24"/>
    <n v="10"/>
    <s v="拿到WAYBILL，扫描，和HBL一起发国外"/>
    <x v="19"/>
    <x v="0"/>
    <m/>
    <n v="-12"/>
  </r>
  <r>
    <x v="1"/>
    <x v="24"/>
    <n v="1"/>
    <s v="收到客户(孙丹/王珊)发来订舱托书"/>
    <x v="40"/>
    <x v="0"/>
    <m/>
    <n v="-26"/>
  </r>
  <r>
    <x v="1"/>
    <x v="24"/>
    <n v="2"/>
    <s v="收到CK发来预配(做箱通知，沈丽有收到？)，完善YJC系统数据"/>
    <x v="48"/>
    <x v="0"/>
    <m/>
    <n v="-21"/>
  </r>
  <r>
    <x v="1"/>
    <x v="24"/>
    <n v="3"/>
    <s v="YJC系统生成单子"/>
    <x v="48"/>
    <x v="0"/>
    <m/>
    <n v="-21"/>
  </r>
  <r>
    <x v="1"/>
    <x v="24"/>
    <n v="4"/>
    <s v="收到包装厂(刘倩梅)发来包装指示书和装箱计划"/>
    <x v="45"/>
    <x v="0"/>
    <s v="一般周四"/>
    <n v="-18"/>
  </r>
  <r>
    <x v="1"/>
    <x v="24"/>
    <n v="5"/>
    <s v="根据装箱计划汇总包装数据，发各工厂做报关资料"/>
    <x v="45"/>
    <x v="0"/>
    <m/>
    <n v="-18"/>
  </r>
  <r>
    <x v="1"/>
    <x v="24"/>
    <n v="6"/>
    <s v="做做箱数据，邮件群发(开港时间)"/>
    <x v="45"/>
    <x v="0"/>
    <m/>
    <n v="-18"/>
  </r>
  <r>
    <x v="1"/>
    <x v="24"/>
    <n v="7"/>
    <s v="收到工厂发来报关资料并完善(代做报关资料跟客户确认)"/>
    <x v="50"/>
    <x v="0"/>
    <s v="当天至隔天"/>
    <n v="-15"/>
  </r>
  <r>
    <x v="1"/>
    <x v="24"/>
    <n v="8"/>
    <s v="报关资料齐了，发报关行(黄寅文)，货运模板/发票/箱单"/>
    <x v="50"/>
    <x v="0"/>
    <m/>
    <n v="-15"/>
  </r>
  <r>
    <x v="1"/>
    <x v="24"/>
    <n v="9"/>
    <s v="通知进港"/>
    <x v="45"/>
    <x v="0"/>
    <s v="调整顺序"/>
    <n v="-18"/>
  </r>
  <r>
    <x v="1"/>
    <x v="24"/>
    <n v="10"/>
    <s v="进港(核对数据)"/>
    <x v="50"/>
    <x v="0"/>
    <s v="调整顺序"/>
    <n v="-15"/>
  </r>
  <r>
    <x v="1"/>
    <x v="24"/>
    <n v="11"/>
    <s v="收到车队(沈丽)装箱单和洋山提箱截图(如有)，9点前群发，通知发舱单"/>
    <x v="50"/>
    <x v="0"/>
    <s v="一般KMM五、HMI日"/>
    <n v="-15"/>
  </r>
  <r>
    <x v="1"/>
    <x v="24"/>
    <n v="12"/>
    <s v="收到舱单发送成功通知，核对舱单信息"/>
    <x v="50"/>
    <x v="0"/>
    <m/>
    <n v="-15"/>
  </r>
  <r>
    <x v="1"/>
    <x v="24"/>
    <n v="13"/>
    <s v="通知报关"/>
    <x v="50"/>
    <x v="0"/>
    <s v="调整顺序"/>
    <n v="-15"/>
  </r>
  <r>
    <x v="1"/>
    <x v="24"/>
    <n v="14"/>
    <s v="报关成功"/>
    <x v="50"/>
    <x v="0"/>
    <s v="调整顺序"/>
    <n v="-15"/>
  </r>
  <r>
    <x v="1"/>
    <x v="24"/>
    <n v="15"/>
    <s v="盯海放"/>
    <x v="50"/>
    <x v="0"/>
    <m/>
    <n v="-15"/>
  </r>
  <r>
    <x v="1"/>
    <x v="24"/>
    <n v="16"/>
    <s v="盯码放"/>
    <x v="50"/>
    <x v="0"/>
    <m/>
    <n v="-15"/>
  </r>
  <r>
    <x v="1"/>
    <x v="24"/>
    <n v="17"/>
    <s v="盯配载"/>
    <x v="51"/>
    <x v="0"/>
    <m/>
    <n v="-13"/>
  </r>
  <r>
    <x v="1"/>
    <x v="24"/>
    <n v="18"/>
    <s v="盯船开"/>
    <x v="19"/>
    <x v="0"/>
    <m/>
    <n v="-12"/>
  </r>
  <r>
    <x v="1"/>
    <x v="24"/>
    <n v="19"/>
    <s v="做费用(对账单日期4号)，放公共盘，填月账单表，发孙丹"/>
    <x v="51"/>
    <x v="0"/>
    <m/>
    <n v="-13"/>
  </r>
  <r>
    <x v="4"/>
    <x v="24"/>
    <n v="1"/>
    <s v="收到客户(徐贵)订舱预报"/>
    <x v="32"/>
    <x v="0"/>
    <s v="一般周五发隔周"/>
    <n v="-22"/>
  </r>
  <r>
    <x v="4"/>
    <x v="24"/>
    <n v="2"/>
    <s v="填WORKING PROCESS"/>
    <x v="32"/>
    <x v="0"/>
    <m/>
    <n v="-22"/>
  </r>
  <r>
    <x v="4"/>
    <x v="24"/>
    <n v="3"/>
    <s v="收到HMM(Neo)预订舱邮件通知"/>
    <x v="32"/>
    <x v="0"/>
    <s v="一般周一发下周"/>
    <n v="-22"/>
  </r>
  <r>
    <x v="4"/>
    <x v="24"/>
    <n v="4"/>
    <s v="回复HMM(Neo)预订舱邮件"/>
    <x v="32"/>
    <x v="0"/>
    <m/>
    <n v="-22"/>
  </r>
  <r>
    <x v="4"/>
    <x v="24"/>
    <n v="5"/>
    <s v="收到HMM(Neo)预订舱确认"/>
    <x v="48"/>
    <x v="0"/>
    <s v="一般马上"/>
    <n v="-21"/>
  </r>
  <r>
    <x v="4"/>
    <x v="24"/>
    <n v="6"/>
    <s v="公共盘生成提单号"/>
    <x v="48"/>
    <x v="0"/>
    <m/>
    <n v="-21"/>
  </r>
  <r>
    <x v="4"/>
    <x v="24"/>
    <n v="7"/>
    <s v="YJC系统生成单子"/>
    <x v="48"/>
    <x v="0"/>
    <m/>
    <n v="-21"/>
  </r>
  <r>
    <x v="4"/>
    <x v="24"/>
    <n v="8"/>
    <s v="发EDI"/>
    <x v="48"/>
    <x v="0"/>
    <m/>
    <n v="-21"/>
  </r>
  <r>
    <x v="4"/>
    <x v="24"/>
    <n v="9"/>
    <s v="邮件申请放单"/>
    <x v="48"/>
    <x v="0"/>
    <m/>
    <n v="-21"/>
  </r>
  <r>
    <x v="4"/>
    <x v="24"/>
    <n v="10"/>
    <s v="收到HMM(Neo) 放单确认"/>
    <x v="44"/>
    <x v="0"/>
    <s v="一般半天内"/>
    <n v="-20"/>
  </r>
  <r>
    <x v="4"/>
    <x v="24"/>
    <n v="11"/>
    <s v="HMM网站核对订舱信息"/>
    <x v="44"/>
    <x v="0"/>
    <m/>
    <n v="-20"/>
  </r>
  <r>
    <x v="4"/>
    <x v="24"/>
    <n v="12"/>
    <s v="收到客户(徐贵)做箱通知"/>
    <x v="47"/>
    <x v="0"/>
    <s v="一般做箱头天一早"/>
    <n v="-19"/>
  </r>
  <r>
    <x v="4"/>
    <x v="24"/>
    <n v="13"/>
    <s v="发做箱通知邮件给车队(沈丽)【确认港区航次！！！】"/>
    <x v="47"/>
    <x v="0"/>
    <m/>
    <n v="-19"/>
  </r>
  <r>
    <x v="4"/>
    <x v="24"/>
    <n v="14"/>
    <s v="公共盘生成提单号【如需拆单】"/>
    <x v="47"/>
    <x v="0"/>
    <m/>
    <n v="-19"/>
  </r>
  <r>
    <x v="4"/>
    <x v="24"/>
    <n v="15"/>
    <s v="YJC系统生成单子【如需拆单】"/>
    <x v="47"/>
    <x v="0"/>
    <m/>
    <n v="-19"/>
  </r>
  <r>
    <x v="4"/>
    <x v="24"/>
    <n v="16"/>
    <s v="发EDI【如需拆单】"/>
    <x v="47"/>
    <x v="0"/>
    <m/>
    <n v="-19"/>
  </r>
  <r>
    <x v="4"/>
    <x v="24"/>
    <n v="17"/>
    <s v="邮件申请放单【如需拆单】"/>
    <x v="47"/>
    <x v="0"/>
    <m/>
    <n v="-19"/>
  </r>
  <r>
    <x v="4"/>
    <x v="24"/>
    <n v="18"/>
    <s v="收到HMM(Neo) 放单确认【如需拆单】"/>
    <x v="47"/>
    <x v="0"/>
    <m/>
    <n v="-19"/>
  </r>
  <r>
    <x v="4"/>
    <x v="24"/>
    <n v="19"/>
    <s v="HMM网站核对订舱信息【如需拆单】"/>
    <x v="47"/>
    <x v="0"/>
    <m/>
    <n v="-19"/>
  </r>
  <r>
    <x v="4"/>
    <x v="24"/>
    <n v="20"/>
    <s v="收到客户(徐贵)发来做箱数据(报关资料)"/>
    <x v="45"/>
    <x v="0"/>
    <s v="一般做箱当天一早"/>
    <n v="-18"/>
  </r>
  <r>
    <x v="4"/>
    <x v="24"/>
    <n v="21"/>
    <s v="按报关(发票)数生成提单号【如发票数超过提单数】"/>
    <x v="45"/>
    <x v="0"/>
    <m/>
    <n v="-18"/>
  </r>
  <r>
    <x v="4"/>
    <x v="24"/>
    <n v="22"/>
    <s v="做做箱数据，QQ发车队(沈丽)"/>
    <x v="45"/>
    <x v="0"/>
    <m/>
    <n v="-18"/>
  </r>
  <r>
    <x v="4"/>
    <x v="24"/>
    <n v="23"/>
    <s v="收到车队(沈丽)装箱单，转发客户（徐贵）"/>
    <x v="45"/>
    <x v="0"/>
    <s v="一般马上"/>
    <n v="-18"/>
  </r>
  <r>
    <x v="4"/>
    <x v="24"/>
    <n v="24"/>
    <s v="YJC系统截单，发EDI，邮件HMM(He)【截单时间】"/>
    <x v="45"/>
    <x v="0"/>
    <s v="注意截单时间"/>
    <n v="-18"/>
  </r>
  <r>
    <x v="4"/>
    <x v="24"/>
    <n v="25"/>
    <s v="发VGM和舱单"/>
    <x v="45"/>
    <x v="0"/>
    <m/>
    <n v="-18"/>
  </r>
  <r>
    <x v="4"/>
    <x v="24"/>
    <n v="26"/>
    <s v="做报关资料，扫描发报关行(黄寅文)QQ，要校对稿"/>
    <x v="45"/>
    <x v="0"/>
    <m/>
    <n v="-18"/>
  </r>
  <r>
    <x v="4"/>
    <x v="24"/>
    <n v="27"/>
    <s v="做保函给邹师傅"/>
    <x v="45"/>
    <x v="0"/>
    <m/>
    <n v="-18"/>
  </r>
  <r>
    <x v="4"/>
    <x v="24"/>
    <n v="28"/>
    <s v="做ISF，发国外资料"/>
    <x v="45"/>
    <x v="0"/>
    <m/>
    <n v="-18"/>
  </r>
  <r>
    <x v="4"/>
    <x v="24"/>
    <n v="29"/>
    <s v="买保险"/>
    <x v="45"/>
    <x v="0"/>
    <m/>
    <n v="-18"/>
  </r>
  <r>
    <x v="4"/>
    <x v="24"/>
    <n v="31"/>
    <s v="收到HMM(He)生成提单通知"/>
    <x v="45"/>
    <x v="0"/>
    <s v="一般马上"/>
    <n v="-18"/>
  </r>
  <r>
    <x v="4"/>
    <x v="24"/>
    <n v="32"/>
    <s v="HMM网站核对提单信息"/>
    <x v="45"/>
    <x v="0"/>
    <m/>
    <n v="-18"/>
  </r>
  <r>
    <x v="4"/>
    <x v="24"/>
    <n v="33"/>
    <s v="盯海关网站舱单"/>
    <x v="45"/>
    <x v="0"/>
    <s v="一般两小时左右"/>
    <n v="-18"/>
  </r>
  <r>
    <x v="4"/>
    <x v="24"/>
    <n v="34"/>
    <s v="核对舱单信息"/>
    <x v="45"/>
    <x v="0"/>
    <m/>
    <n v="-18"/>
  </r>
  <r>
    <x v="4"/>
    <x v="24"/>
    <n v="35"/>
    <s v="收到报关行(黄寅文)校对稿，邮件发客户(徐贵)确认"/>
    <x v="45"/>
    <x v="0"/>
    <s v="一般半天内"/>
    <n v="-18"/>
  </r>
  <r>
    <x v="4"/>
    <x v="24"/>
    <n v="36"/>
    <s v="收到客户(徐贵)确认校对稿"/>
    <x v="45"/>
    <x v="0"/>
    <s v="一般马上"/>
    <n v="-18"/>
  </r>
  <r>
    <x v="4"/>
    <x v="24"/>
    <n v="37"/>
    <s v="通知车队(沈丽)可进港"/>
    <x v="45"/>
    <x v="0"/>
    <m/>
    <n v="-18"/>
  </r>
  <r>
    <x v="4"/>
    <x v="24"/>
    <n v="38"/>
    <s v="盯箱子进港"/>
    <x v="50"/>
    <x v="0"/>
    <m/>
    <n v="-15"/>
  </r>
  <r>
    <x v="4"/>
    <x v="24"/>
    <n v="39"/>
    <s v="核对进港数据"/>
    <x v="50"/>
    <x v="0"/>
    <m/>
    <n v="-15"/>
  </r>
  <r>
    <x v="4"/>
    <x v="24"/>
    <n v="40"/>
    <s v="通知报关行(黄寅文)报关(开港、舱单、校对)"/>
    <x v="50"/>
    <x v="0"/>
    <m/>
    <n v="-15"/>
  </r>
  <r>
    <x v="4"/>
    <x v="24"/>
    <n v="41"/>
    <s v="收到报关成功通知"/>
    <x v="50"/>
    <x v="0"/>
    <s v="一般下班前"/>
    <n v="-15"/>
  </r>
  <r>
    <x v="4"/>
    <x v="24"/>
    <n v="42"/>
    <s v="盯海放"/>
    <x v="50"/>
    <x v="0"/>
    <m/>
    <n v="-15"/>
  </r>
  <r>
    <x v="4"/>
    <x v="24"/>
    <n v="43"/>
    <s v="盯码放"/>
    <x v="54"/>
    <x v="0"/>
    <m/>
    <n v="-14"/>
  </r>
  <r>
    <x v="4"/>
    <x v="24"/>
    <n v="44"/>
    <s v="盯配载"/>
    <x v="51"/>
    <x v="0"/>
    <m/>
    <n v="-13"/>
  </r>
  <r>
    <x v="4"/>
    <x v="24"/>
    <n v="45"/>
    <s v="做费用(月初等汇率)，发账单给石磊"/>
    <x v="51"/>
    <x v="0"/>
    <m/>
    <n v="-13"/>
  </r>
  <r>
    <x v="4"/>
    <x v="24"/>
    <n v="46"/>
    <s v="船开"/>
    <x v="53"/>
    <x v="0"/>
    <m/>
    <n v="-11"/>
  </r>
  <r>
    <x v="4"/>
    <x v="24"/>
    <n v="47"/>
    <s v="放单"/>
    <x v="53"/>
    <x v="0"/>
    <s v="一般开船后两三天"/>
    <n v="-11"/>
  </r>
  <r>
    <x v="2"/>
    <x v="24"/>
    <n v="1"/>
    <s v="收到客户(孙丹/王珊)发来订舱托书"/>
    <x v="40"/>
    <x v="0"/>
    <m/>
    <n v="-26"/>
  </r>
  <r>
    <x v="2"/>
    <x v="24"/>
    <n v="2"/>
    <s v="收到CK发来预配(做箱通知，沈丽有收到？)，完善YJC系统数据"/>
    <x v="40"/>
    <x v="0"/>
    <m/>
    <n v="-26"/>
  </r>
  <r>
    <x v="2"/>
    <x v="24"/>
    <n v="3"/>
    <s v="YJC系统生成单子"/>
    <x v="32"/>
    <x v="0"/>
    <m/>
    <n v="-22"/>
  </r>
  <r>
    <x v="2"/>
    <x v="24"/>
    <n v="4"/>
    <s v="收到包装厂(刘倩梅)发来包装指示书和装箱计划"/>
    <x v="47"/>
    <x v="0"/>
    <s v="一般周四"/>
    <n v="-19"/>
  </r>
  <r>
    <x v="2"/>
    <x v="24"/>
    <n v="5"/>
    <s v="根据装箱计划汇总包装数据，发各工厂做报关资料"/>
    <x v="47"/>
    <x v="0"/>
    <m/>
    <n v="-19"/>
  </r>
  <r>
    <x v="2"/>
    <x v="24"/>
    <n v="6"/>
    <s v="做做箱数据，邮件群发(开港时间)"/>
    <x v="47"/>
    <x v="0"/>
    <m/>
    <n v="-19"/>
  </r>
  <r>
    <x v="2"/>
    <x v="24"/>
    <n v="7"/>
    <s v="收到工厂发来报关资料并完善(代做报关资料跟客户确认)"/>
    <x v="47"/>
    <x v="0"/>
    <s v="当天至隔天"/>
    <n v="-19"/>
  </r>
  <r>
    <x v="2"/>
    <x v="24"/>
    <n v="8"/>
    <s v="报关资料齐了，发报关行(黄寅文)，货运模板/发票/箱单"/>
    <x v="47"/>
    <x v="0"/>
    <m/>
    <n v="-19"/>
  </r>
  <r>
    <x v="2"/>
    <x v="24"/>
    <n v="9"/>
    <s v="收到车队(沈丽)装箱单和洋山提箱截图(如有)，9点前群发，通知发舱单"/>
    <x v="45"/>
    <x v="0"/>
    <s v="一般KMM五、HMI日"/>
    <n v="-18"/>
  </r>
  <r>
    <x v="2"/>
    <x v="24"/>
    <n v="10"/>
    <s v="收到舱单发送成功通知，核对舱单信息"/>
    <x v="45"/>
    <x v="0"/>
    <m/>
    <n v="-18"/>
  </r>
  <r>
    <x v="2"/>
    <x v="24"/>
    <n v="11"/>
    <s v="通知报关"/>
    <x v="45"/>
    <x v="0"/>
    <s v="调整顺序"/>
    <n v="-18"/>
  </r>
  <r>
    <x v="2"/>
    <x v="24"/>
    <n v="12"/>
    <s v="报关成功"/>
    <x v="45"/>
    <x v="0"/>
    <s v="调整顺序"/>
    <n v="-18"/>
  </r>
  <r>
    <x v="2"/>
    <x v="24"/>
    <n v="13"/>
    <s v="通知进港"/>
    <x v="45"/>
    <x v="0"/>
    <s v="调整顺序"/>
    <n v="-18"/>
  </r>
  <r>
    <x v="2"/>
    <x v="24"/>
    <n v="14"/>
    <s v="进港(核对数据)"/>
    <x v="46"/>
    <x v="0"/>
    <s v="调整顺序"/>
    <n v="-17"/>
  </r>
  <r>
    <x v="2"/>
    <x v="24"/>
    <n v="15"/>
    <s v="盯海放"/>
    <x v="46"/>
    <x v="0"/>
    <m/>
    <n v="-17"/>
  </r>
  <r>
    <x v="2"/>
    <x v="24"/>
    <n v="16"/>
    <s v="盯码放"/>
    <x v="50"/>
    <x v="0"/>
    <m/>
    <n v="-15"/>
  </r>
  <r>
    <x v="2"/>
    <x v="24"/>
    <n v="17"/>
    <s v="盯配载"/>
    <x v="54"/>
    <x v="0"/>
    <m/>
    <n v="-14"/>
  </r>
  <r>
    <x v="2"/>
    <x v="24"/>
    <n v="18"/>
    <s v="盯船开"/>
    <x v="19"/>
    <x v="0"/>
    <m/>
    <n v="-12"/>
  </r>
  <r>
    <x v="2"/>
    <x v="24"/>
    <n v="19"/>
    <s v="做费用(对账单日期4号)，放公共盘，填月账单表，发孙丹"/>
    <x v="51"/>
    <x v="0"/>
    <m/>
    <n v="-13"/>
  </r>
  <r>
    <x v="6"/>
    <x v="24"/>
    <n v="1"/>
    <s v="收到胡媛媛发来订舱邮件"/>
    <x v="1"/>
    <x v="0"/>
    <m/>
    <n v="-53"/>
  </r>
  <r>
    <x v="6"/>
    <x v="24"/>
    <n v="2"/>
    <s v="发订舱托书给万恒（翁小姐）"/>
    <x v="1"/>
    <x v="0"/>
    <m/>
    <n v="-53"/>
  </r>
  <r>
    <x v="6"/>
    <x v="24"/>
    <n v="3"/>
    <s v="收到万恒（翁小姐）预配"/>
    <x v="1"/>
    <x v="0"/>
    <s v="一般三小时左右"/>
    <n v="-53"/>
  </r>
  <r>
    <x v="6"/>
    <x v="24"/>
    <n v="4"/>
    <s v="通知胡媛媛订舱成功"/>
    <x v="1"/>
    <x v="0"/>
    <m/>
    <n v="-53"/>
  </r>
  <r>
    <x v="6"/>
    <x v="24"/>
    <n v="5"/>
    <s v="发做箱通知邮件给车队(沈丽)"/>
    <x v="10"/>
    <x v="0"/>
    <m/>
    <n v="-52"/>
  </r>
  <r>
    <x v="6"/>
    <x v="24"/>
    <n v="5.0999999999999996"/>
    <s v="取消一个柜子的预配"/>
    <x v="0"/>
    <x v="0"/>
    <m/>
    <n v="-34"/>
  </r>
  <r>
    <x v="6"/>
    <x v="24"/>
    <n v="5.2"/>
    <s v="确认取消"/>
    <x v="29"/>
    <x v="0"/>
    <m/>
    <n v="-33"/>
  </r>
  <r>
    <x v="6"/>
    <x v="24"/>
    <n v="6"/>
    <s v="收到胡媛媛发来报关资料"/>
    <x v="44"/>
    <x v="0"/>
    <s v="船开前一周？"/>
    <n v="-20"/>
  </r>
  <r>
    <x v="6"/>
    <x v="24"/>
    <n v="7"/>
    <s v="完善报关资料发报关行（黄寅文），要校对稿，做做箱数据给沈丽"/>
    <x v="44"/>
    <x v="0"/>
    <m/>
    <n v="-20"/>
  </r>
  <r>
    <x v="6"/>
    <x v="24"/>
    <n v="8"/>
    <s v="买保险，做异地付款保函，发胡媛媛确认盖章回传"/>
    <x v="44"/>
    <x v="0"/>
    <m/>
    <n v="-20"/>
  </r>
  <r>
    <x v="6"/>
    <x v="24"/>
    <n v="9"/>
    <s v="收到客户（胡媛媛）发来保函扫描件"/>
    <x v="44"/>
    <x v="0"/>
    <s v="一般马上"/>
    <n v="-20"/>
  </r>
  <r>
    <x v="6"/>
    <x v="24"/>
    <n v="10"/>
    <s v="收到黄寅文校对稿，发客户（胡媛媛）确认"/>
    <x v="44"/>
    <x v="0"/>
    <s v="一般半天内"/>
    <n v="-20"/>
  </r>
  <r>
    <x v="6"/>
    <x v="24"/>
    <n v="11"/>
    <s v="收到客户（胡媛媛）确认校对稿OK"/>
    <x v="44"/>
    <x v="0"/>
    <s v="一般马上"/>
    <n v="-20"/>
  </r>
  <r>
    <x v="6"/>
    <x v="24"/>
    <n v="12"/>
    <s v="开港时间？明天做箱？如有变动通知胡媛媛（跟万恒确认17号做可不可以）"/>
    <x v="47"/>
    <x v="0"/>
    <s v="截单前一天"/>
    <n v="-19"/>
  </r>
  <r>
    <x v="6"/>
    <x v="24"/>
    <n v="13"/>
    <s v="收到沈丽发来装箱单"/>
    <x v="45"/>
    <x v="0"/>
    <s v="截单当天"/>
    <n v="-18"/>
  </r>
  <r>
    <x v="6"/>
    <x v="24"/>
    <n v="14"/>
    <s v="完善截单资料发万恒（翁小姐），请求发舱单"/>
    <x v="45"/>
    <x v="0"/>
    <m/>
    <n v="-18"/>
  </r>
  <r>
    <x v="6"/>
    <x v="24"/>
    <n v="15"/>
    <s v="收到舱单发送通知，核对舱单，装箱单发报关行报关"/>
    <x v="45"/>
    <x v="0"/>
    <m/>
    <n v="-18"/>
  </r>
  <r>
    <x v="6"/>
    <x v="24"/>
    <n v="16"/>
    <s v="请求万恒（翁小姐）发提单样本"/>
    <x v="50"/>
    <x v="0"/>
    <m/>
    <n v="-15"/>
  </r>
  <r>
    <x v="6"/>
    <x v="24"/>
    <n v="17"/>
    <s v="收到万恒（翁小姐）发来提单样本，发胡媛媛确认"/>
    <x v="50"/>
    <x v="0"/>
    <m/>
    <n v="-15"/>
  </r>
  <r>
    <x v="6"/>
    <x v="24"/>
    <n v="18"/>
    <s v="收到胡媛媛提单确认"/>
    <x v="50"/>
    <x v="0"/>
    <m/>
    <n v="-15"/>
  </r>
  <r>
    <x v="6"/>
    <x v="24"/>
    <n v="19"/>
    <s v="收到报关成功通知，通知车队可进港 "/>
    <x v="45"/>
    <x v="0"/>
    <m/>
    <n v="-18"/>
  </r>
  <r>
    <x v="6"/>
    <x v="24"/>
    <n v="20"/>
    <s v="进港，核对数据"/>
    <x v="45"/>
    <x v="0"/>
    <m/>
    <n v="-18"/>
  </r>
  <r>
    <x v="6"/>
    <x v="24"/>
    <n v="21"/>
    <s v="海放"/>
    <x v="45"/>
    <x v="0"/>
    <m/>
    <n v="-18"/>
  </r>
  <r>
    <x v="6"/>
    <x v="24"/>
    <n v="22"/>
    <s v="码放"/>
    <x v="50"/>
    <x v="0"/>
    <m/>
    <n v="-15"/>
  </r>
  <r>
    <x v="6"/>
    <x v="24"/>
    <n v="23"/>
    <s v="配载"/>
    <x v="54"/>
    <x v="0"/>
    <m/>
    <n v="-14"/>
  </r>
  <r>
    <x v="6"/>
    <x v="24"/>
    <n v="24"/>
    <s v="开船"/>
    <x v="19"/>
    <x v="0"/>
    <m/>
    <n v="-12"/>
  </r>
  <r>
    <x v="6"/>
    <x v="24"/>
    <n v="25"/>
    <s v="收到万恒（翁小姐）提单，放提单和预录单给胡媛媛"/>
    <x v="19"/>
    <x v="0"/>
    <m/>
    <n v="-12"/>
  </r>
  <r>
    <x v="6"/>
    <x v="24"/>
    <n v="26"/>
    <s v="做费用，发账单给石磊"/>
    <x v="19"/>
    <x v="0"/>
    <m/>
    <n v="-12"/>
  </r>
  <r>
    <x v="4"/>
    <x v="25"/>
    <n v="1"/>
    <s v="收到客户(徐贵)订舱预报"/>
    <x v="32"/>
    <x v="0"/>
    <s v="一般周五发隔周"/>
    <n v="-22"/>
  </r>
  <r>
    <x v="4"/>
    <x v="25"/>
    <n v="2"/>
    <s v="填WORKING PROCESS"/>
    <x v="32"/>
    <x v="0"/>
    <m/>
    <n v="-22"/>
  </r>
  <r>
    <x v="4"/>
    <x v="25"/>
    <n v="3"/>
    <s v="收到HMM(Neo)预订舱邮件通知"/>
    <x v="32"/>
    <x v="0"/>
    <s v="一般周一发下周"/>
    <n v="-22"/>
  </r>
  <r>
    <x v="4"/>
    <x v="25"/>
    <n v="4"/>
    <s v="回复HMM(Neo)预订舱邮件"/>
    <x v="32"/>
    <x v="0"/>
    <m/>
    <n v="-22"/>
  </r>
  <r>
    <x v="4"/>
    <x v="25"/>
    <n v="5"/>
    <s v="收到HMM(Neo)预订舱确认"/>
    <x v="48"/>
    <x v="0"/>
    <s v="一般马上"/>
    <n v="-21"/>
  </r>
  <r>
    <x v="4"/>
    <x v="25"/>
    <n v="6"/>
    <s v="公共盘生成提单号"/>
    <x v="48"/>
    <x v="0"/>
    <m/>
    <n v="-21"/>
  </r>
  <r>
    <x v="4"/>
    <x v="25"/>
    <n v="7"/>
    <s v="YJC系统生成单子"/>
    <x v="48"/>
    <x v="0"/>
    <m/>
    <n v="-21"/>
  </r>
  <r>
    <x v="4"/>
    <x v="25"/>
    <n v="8"/>
    <s v="发EDI"/>
    <x v="48"/>
    <x v="0"/>
    <m/>
    <n v="-21"/>
  </r>
  <r>
    <x v="4"/>
    <x v="25"/>
    <n v="9"/>
    <s v="邮件申请放单"/>
    <x v="48"/>
    <x v="0"/>
    <m/>
    <n v="-21"/>
  </r>
  <r>
    <x v="4"/>
    <x v="25"/>
    <n v="10"/>
    <s v="收到HMM(Neo) 放单确认"/>
    <x v="44"/>
    <x v="0"/>
    <s v="一般半天内"/>
    <n v="-20"/>
  </r>
  <r>
    <x v="4"/>
    <x v="25"/>
    <n v="11"/>
    <s v="HMM网站核对订舱信息"/>
    <x v="44"/>
    <x v="0"/>
    <m/>
    <n v="-20"/>
  </r>
  <r>
    <x v="4"/>
    <x v="25"/>
    <n v="12"/>
    <s v="收到客户(徐贵)做箱通知"/>
    <x v="50"/>
    <x v="0"/>
    <s v="一般做箱头天一早"/>
    <n v="-15"/>
  </r>
  <r>
    <x v="4"/>
    <x v="25"/>
    <n v="13"/>
    <s v="发做箱通知邮件给车队(沈丽)【确认港区航次！！！】"/>
    <x v="50"/>
    <x v="0"/>
    <m/>
    <n v="-15"/>
  </r>
  <r>
    <x v="4"/>
    <x v="25"/>
    <n v="14"/>
    <s v="公共盘生成提单号【如需拆单】"/>
    <x v="50"/>
    <x v="0"/>
    <m/>
    <n v="-15"/>
  </r>
  <r>
    <x v="4"/>
    <x v="25"/>
    <n v="15"/>
    <s v="YJC系统生成单子【如需拆单】"/>
    <x v="50"/>
    <x v="0"/>
    <m/>
    <n v="-15"/>
  </r>
  <r>
    <x v="4"/>
    <x v="25"/>
    <n v="16"/>
    <s v="发EDI【如需拆单】"/>
    <x v="50"/>
    <x v="0"/>
    <m/>
    <n v="-15"/>
  </r>
  <r>
    <x v="4"/>
    <x v="25"/>
    <n v="17"/>
    <s v="邮件申请放单【如需拆单】"/>
    <x v="50"/>
    <x v="0"/>
    <m/>
    <n v="-15"/>
  </r>
  <r>
    <x v="4"/>
    <x v="25"/>
    <n v="18"/>
    <s v="收到HMM(Neo) 放单确认【如需拆单】"/>
    <x v="50"/>
    <x v="0"/>
    <m/>
    <n v="-15"/>
  </r>
  <r>
    <x v="4"/>
    <x v="25"/>
    <n v="19"/>
    <s v="HMM网站核对订舱信息【如需拆单】"/>
    <x v="50"/>
    <x v="0"/>
    <m/>
    <n v="-15"/>
  </r>
  <r>
    <x v="4"/>
    <x v="25"/>
    <n v="20"/>
    <s v="收到客户(徐贵)发来报关资料"/>
    <x v="54"/>
    <x v="0"/>
    <s v="一般做箱当天一早"/>
    <n v="-14"/>
  </r>
  <r>
    <x v="4"/>
    <x v="25"/>
    <n v="21"/>
    <s v="按报关(发票)数生成提单号【如发票数超过提单数】"/>
    <x v="54"/>
    <x v="0"/>
    <m/>
    <n v="-14"/>
  </r>
  <r>
    <x v="4"/>
    <x v="25"/>
    <n v="22"/>
    <s v="做做箱数据，QQ发车队(沈丽)"/>
    <x v="54"/>
    <x v="0"/>
    <m/>
    <n v="-14"/>
  </r>
  <r>
    <x v="4"/>
    <x v="25"/>
    <n v="23"/>
    <s v="收到车队(沈丽)装箱单，转发客户（徐贵）"/>
    <x v="54"/>
    <x v="0"/>
    <s v="一般马上"/>
    <n v="-14"/>
  </r>
  <r>
    <x v="4"/>
    <x v="25"/>
    <n v="24"/>
    <s v="YJC系统截单，发EDI，邮件HMM(He)【截单时间】"/>
    <x v="54"/>
    <x v="0"/>
    <s v="注意截单时间"/>
    <n v="-14"/>
  </r>
  <r>
    <x v="4"/>
    <x v="25"/>
    <n v="25"/>
    <s v="发VGM和舱单"/>
    <x v="54"/>
    <x v="0"/>
    <m/>
    <n v="-14"/>
  </r>
  <r>
    <x v="4"/>
    <x v="25"/>
    <n v="26"/>
    <s v="做报关资料，扫描发报关行(黄寅文)QQ"/>
    <x v="54"/>
    <x v="0"/>
    <m/>
    <n v="-14"/>
  </r>
  <r>
    <x v="4"/>
    <x v="25"/>
    <n v="27"/>
    <s v="做保函给邹师傅"/>
    <x v="54"/>
    <x v="0"/>
    <m/>
    <n v="-14"/>
  </r>
  <r>
    <x v="4"/>
    <x v="25"/>
    <n v="28"/>
    <s v="做ISF，发国外资料"/>
    <x v="54"/>
    <x v="0"/>
    <m/>
    <n v="-14"/>
  </r>
  <r>
    <x v="4"/>
    <x v="25"/>
    <n v="29"/>
    <s v="买保险"/>
    <x v="54"/>
    <x v="0"/>
    <m/>
    <n v="-14"/>
  </r>
  <r>
    <x v="4"/>
    <x v="25"/>
    <n v="31"/>
    <s v="收到HMM(He)生成提单通知"/>
    <x v="54"/>
    <x v="0"/>
    <s v="一般马上"/>
    <n v="-14"/>
  </r>
  <r>
    <x v="4"/>
    <x v="25"/>
    <n v="32"/>
    <s v="HMM网站核对提单信息"/>
    <x v="54"/>
    <x v="0"/>
    <m/>
    <n v="-14"/>
  </r>
  <r>
    <x v="4"/>
    <x v="25"/>
    <n v="33"/>
    <s v="盯海关网站舱单"/>
    <x v="54"/>
    <x v="0"/>
    <s v="一般两小时左右"/>
    <n v="-14"/>
  </r>
  <r>
    <x v="4"/>
    <x v="25"/>
    <n v="34"/>
    <s v="核对舱单信息"/>
    <x v="54"/>
    <x v="0"/>
    <m/>
    <n v="-14"/>
  </r>
  <r>
    <x v="4"/>
    <x v="25"/>
    <n v="35"/>
    <s v="收到报关行(黄寅文)校对稿，邮件发客户(徐贵)确认"/>
    <x v="54"/>
    <x v="0"/>
    <s v="一般半天内"/>
    <n v="-14"/>
  </r>
  <r>
    <x v="4"/>
    <x v="25"/>
    <n v="36"/>
    <s v="收到客户(徐贵)确认校对稿"/>
    <x v="54"/>
    <x v="0"/>
    <s v="一般马上"/>
    <n v="-14"/>
  </r>
  <r>
    <x v="4"/>
    <x v="25"/>
    <n v="37"/>
    <s v="通知报关行(黄寅文)报关(开港、舱单、校对)"/>
    <x v="54"/>
    <x v="0"/>
    <m/>
    <n v="-14"/>
  </r>
  <r>
    <x v="4"/>
    <x v="25"/>
    <n v="38"/>
    <s v="收到报关成功通知"/>
    <x v="54"/>
    <x v="0"/>
    <s v="一般下班前"/>
    <n v="-14"/>
  </r>
  <r>
    <x v="4"/>
    <x v="25"/>
    <n v="39"/>
    <s v="通知车队(沈丽)可进港"/>
    <x v="54"/>
    <x v="0"/>
    <m/>
    <n v="-14"/>
  </r>
  <r>
    <x v="4"/>
    <x v="25"/>
    <n v="40"/>
    <s v="盯箱子进港"/>
    <x v="51"/>
    <x v="0"/>
    <m/>
    <n v="-13"/>
  </r>
  <r>
    <x v="4"/>
    <x v="25"/>
    <n v="41"/>
    <s v="核对进港数据"/>
    <x v="51"/>
    <x v="0"/>
    <m/>
    <n v="-13"/>
  </r>
  <r>
    <x v="4"/>
    <x v="25"/>
    <n v="42"/>
    <s v="盯海放"/>
    <x v="51"/>
    <x v="0"/>
    <m/>
    <n v="-13"/>
  </r>
  <r>
    <x v="4"/>
    <x v="25"/>
    <n v="43"/>
    <s v="盯码放"/>
    <x v="19"/>
    <x v="0"/>
    <m/>
    <n v="-12"/>
  </r>
  <r>
    <x v="4"/>
    <x v="25"/>
    <n v="44"/>
    <s v="盯配载"/>
    <x v="19"/>
    <x v="0"/>
    <m/>
    <n v="-12"/>
  </r>
  <r>
    <x v="4"/>
    <x v="25"/>
    <n v="45"/>
    <s v="做费用(月初等汇率)，发账单给石磊"/>
    <x v="19"/>
    <x v="0"/>
    <m/>
    <n v="-12"/>
  </r>
  <r>
    <x v="4"/>
    <x v="25"/>
    <n v="46"/>
    <s v="船开"/>
    <x v="55"/>
    <x v="0"/>
    <m/>
    <n v="-10"/>
  </r>
  <r>
    <x v="4"/>
    <x v="25"/>
    <n v="47"/>
    <s v="放单"/>
    <x v="56"/>
    <x v="0"/>
    <s v="一般开船后两三天"/>
    <n v="-8"/>
  </r>
  <r>
    <x v="5"/>
    <x v="25"/>
    <n v="1"/>
    <s v="收到订舱托书"/>
    <x v="44"/>
    <x v="0"/>
    <m/>
    <n v="-20"/>
  </r>
  <r>
    <x v="5"/>
    <x v="25"/>
    <n v="2"/>
    <s v="HMM（Neo）确认订舱预报"/>
    <x v="48"/>
    <x v="0"/>
    <m/>
    <n v="-21"/>
  </r>
  <r>
    <x v="5"/>
    <x v="25"/>
    <n v="3"/>
    <s v="生成单号，YJC系统数据，发EDI，邮件Neo放舱"/>
    <x v="44"/>
    <x v="0"/>
    <m/>
    <n v="-20"/>
  </r>
  <r>
    <x v="5"/>
    <x v="25"/>
    <n v="4"/>
    <s v="HMM（Neo）确认放舱"/>
    <x v="44"/>
    <x v="0"/>
    <m/>
    <n v="-20"/>
  </r>
  <r>
    <x v="5"/>
    <x v="25"/>
    <n v="5"/>
    <s v="发预配信息给客户（张婷）"/>
    <x v="44"/>
    <x v="0"/>
    <m/>
    <n v="-20"/>
  </r>
  <r>
    <x v="5"/>
    <x v="25"/>
    <n v="5.0999999999999996"/>
    <s v="做箱前一天问一下做箱时间"/>
    <x v="50"/>
    <x v="0"/>
    <m/>
    <n v="-15"/>
  </r>
  <r>
    <x v="5"/>
    <x v="25"/>
    <n v="6"/>
    <s v="收到客户（张婷）报关资料"/>
    <x v="54"/>
    <x v="0"/>
    <m/>
    <n v="-14"/>
  </r>
  <r>
    <x v="5"/>
    <x v="25"/>
    <n v="7"/>
    <s v="做报关资料，发报关行（黄寅文），要校对稿"/>
    <x v="54"/>
    <x v="0"/>
    <m/>
    <n v="-14"/>
  </r>
  <r>
    <x v="5"/>
    <x v="25"/>
    <n v="8"/>
    <s v="收到客户（张婷）装箱单"/>
    <x v="54"/>
    <x v="0"/>
    <s v="今天能放箱装？"/>
    <n v="-14"/>
  </r>
  <r>
    <x v="5"/>
    <x v="25"/>
    <n v="9"/>
    <s v="YJC系统改准确数据（截单），发ESI，做AMS模板并邮件何生成提单"/>
    <x v="54"/>
    <x v="0"/>
    <m/>
    <n v="-14"/>
  </r>
  <r>
    <x v="5"/>
    <x v="25"/>
    <n v="10"/>
    <s v="发舱单和VGM"/>
    <x v="54"/>
    <x v="0"/>
    <m/>
    <n v="-14"/>
  </r>
  <r>
    <x v="5"/>
    <x v="25"/>
    <n v="11"/>
    <s v="收到提单生成通知，核对提单信息"/>
    <x v="54"/>
    <x v="0"/>
    <m/>
    <n v="-14"/>
  </r>
  <r>
    <x v="5"/>
    <x v="25"/>
    <n v="12"/>
    <s v="发 HBL COPY 和 MBL COPY 给客户（张婷）确认"/>
    <x v="51"/>
    <x v="0"/>
    <m/>
    <n v="-13"/>
  </r>
  <r>
    <x v="5"/>
    <x v="25"/>
    <n v="13"/>
    <s v="收到客户（张婷）确认提单"/>
    <x v="54"/>
    <x v="0"/>
    <m/>
    <n v="-14"/>
  </r>
  <r>
    <x v="5"/>
    <x v="25"/>
    <n v="14"/>
    <s v="海关有舱单，核对舱单信息"/>
    <x v="54"/>
    <x v="0"/>
    <m/>
    <n v="-14"/>
  </r>
  <r>
    <x v="5"/>
    <x v="25"/>
    <n v="15"/>
    <s v="收到校对稿，发客户（张婷）"/>
    <x v="54"/>
    <x v="0"/>
    <m/>
    <n v="-14"/>
  </r>
  <r>
    <x v="5"/>
    <x v="25"/>
    <n v="16"/>
    <s v="收到客户（张婷）确认校对稿"/>
    <x v="54"/>
    <x v="0"/>
    <m/>
    <n v="-14"/>
  </r>
  <r>
    <x v="5"/>
    <x v="25"/>
    <n v="17"/>
    <s v="通知报关（开港、舱单、装箱单）"/>
    <x v="54"/>
    <x v="0"/>
    <m/>
    <n v="-14"/>
  </r>
  <r>
    <x v="5"/>
    <x v="25"/>
    <n v="18"/>
    <s v="报关成功"/>
    <x v="54"/>
    <x v="0"/>
    <m/>
    <n v="-14"/>
  </r>
  <r>
    <x v="5"/>
    <x v="25"/>
    <n v="19"/>
    <s v="通知可进港"/>
    <x v="54"/>
    <x v="0"/>
    <m/>
    <n v="-14"/>
  </r>
  <r>
    <x v="5"/>
    <x v="25"/>
    <n v="20"/>
    <s v="进港"/>
    <x v="51"/>
    <x v="0"/>
    <m/>
    <n v="-13"/>
  </r>
  <r>
    <x v="5"/>
    <x v="25"/>
    <n v="21"/>
    <s v="核对进港数据"/>
    <x v="51"/>
    <x v="0"/>
    <m/>
    <n v="-13"/>
  </r>
  <r>
    <x v="5"/>
    <x v="25"/>
    <n v="22"/>
    <s v="海放"/>
    <x v="51"/>
    <x v="0"/>
    <m/>
    <n v="-13"/>
  </r>
  <r>
    <x v="5"/>
    <x v="25"/>
    <n v="23"/>
    <s v="码放"/>
    <x v="19"/>
    <x v="0"/>
    <m/>
    <n v="-12"/>
  </r>
  <r>
    <x v="5"/>
    <x v="25"/>
    <n v="24"/>
    <s v="配载"/>
    <x v="19"/>
    <x v="0"/>
    <m/>
    <n v="-12"/>
  </r>
  <r>
    <x v="5"/>
    <x v="25"/>
    <n v="25"/>
    <s v="邮件问Neo 海运费"/>
    <x v="56"/>
    <x v="0"/>
    <m/>
    <n v="-8"/>
  </r>
  <r>
    <x v="5"/>
    <x v="25"/>
    <n v="26"/>
    <s v="收到Neo发来海运费"/>
    <x v="56"/>
    <x v="0"/>
    <m/>
    <n v="-8"/>
  </r>
  <r>
    <x v="5"/>
    <x v="25"/>
    <n v="27"/>
    <s v="做费用，发客户（张婷）确认"/>
    <x v="56"/>
    <x v="0"/>
    <m/>
    <n v="-8"/>
  </r>
  <r>
    <x v="5"/>
    <x v="25"/>
    <n v="28"/>
    <s v="收到客户（张婷）确认费用，开票（备注提单号和汇率）"/>
    <x v="33"/>
    <x v="0"/>
    <m/>
    <n v="-7"/>
  </r>
  <r>
    <x v="5"/>
    <x v="25"/>
    <n v="29"/>
    <s v="船开"/>
    <x v="56"/>
    <x v="0"/>
    <m/>
    <n v="-8"/>
  </r>
  <r>
    <x v="5"/>
    <x v="25"/>
    <n v="30"/>
    <s v="放单"/>
    <x v="56"/>
    <x v="0"/>
    <m/>
    <n v="-8"/>
  </r>
  <r>
    <x v="7"/>
    <x v="26"/>
    <n v="1"/>
    <s v="收到徐小姐托书"/>
    <x v="54"/>
    <x v="0"/>
    <m/>
    <n v="-14"/>
  </r>
  <r>
    <x v="7"/>
    <x v="26"/>
    <n v="2"/>
    <s v="公共盘表格生成单号，YJC系统复制、生成单子"/>
    <x v="54"/>
    <x v="0"/>
    <m/>
    <n v="-14"/>
  </r>
  <r>
    <x v="7"/>
    <x v="26"/>
    <n v="3"/>
    <s v="振华网站订舱、保存、提交，等待审核"/>
    <x v="54"/>
    <x v="0"/>
    <m/>
    <n v="-14"/>
  </r>
  <r>
    <x v="7"/>
    <x v="26"/>
    <n v="4"/>
    <s v="QQ发预配给徐小姐，邮件发确认给国外"/>
    <x v="54"/>
    <x v="0"/>
    <m/>
    <n v="-14"/>
  </r>
  <r>
    <x v="7"/>
    <x v="26"/>
    <n v="5"/>
    <s v="收到国外确认，公共盘表格红改黑"/>
    <x v="54"/>
    <x v="0"/>
    <m/>
    <n v="-14"/>
  </r>
  <r>
    <x v="7"/>
    <x v="26"/>
    <n v="6"/>
    <s v="收到车队江发来VGM表格"/>
    <x v="53"/>
    <x v="0"/>
    <s v="周三周一截，周日周五截"/>
    <n v="-11"/>
  </r>
  <r>
    <x v="7"/>
    <x v="26"/>
    <n v="7"/>
    <s v="YJC 截单，振华截单、截VGM"/>
    <x v="53"/>
    <x v="0"/>
    <m/>
    <n v="-11"/>
  </r>
  <r>
    <x v="7"/>
    <x v="26"/>
    <n v="8"/>
    <s v="邮件发提单确认和费用确认给国外"/>
    <x v="53"/>
    <x v="0"/>
    <m/>
    <n v="-11"/>
  </r>
  <r>
    <x v="7"/>
    <x v="26"/>
    <n v="9"/>
    <s v="船开"/>
    <x v="57"/>
    <x v="0"/>
    <m/>
    <n v="-9"/>
  </r>
  <r>
    <x v="7"/>
    <x v="26"/>
    <n v="10"/>
    <s v="拿到WAYBILL，扫描，和HBL一起发国外"/>
    <x v="56"/>
    <x v="0"/>
    <m/>
    <n v="-8"/>
  </r>
  <r>
    <x v="3"/>
    <x v="27"/>
    <n v="1"/>
    <s v="PANCON上周日船期提单领取单"/>
    <x v="56"/>
    <x v="0"/>
    <s v="周一"/>
    <n v="-8"/>
  </r>
  <r>
    <x v="3"/>
    <x v="27"/>
    <n v="2"/>
    <s v="拿到PANCON WAYBILL，朱琳的给朱琳"/>
    <x v="56"/>
    <x v="0"/>
    <s v="周一"/>
    <n v="-8"/>
  </r>
  <r>
    <x v="3"/>
    <x v="27"/>
    <n v="3"/>
    <s v="PANCON本周三出运清单"/>
    <x v="33"/>
    <x v="0"/>
    <s v="周一"/>
    <n v="-7"/>
  </r>
  <r>
    <x v="3"/>
    <x v="27"/>
    <n v="4"/>
    <s v="WORKING PROCESS"/>
    <x v="56"/>
    <x v="0"/>
    <s v="周一"/>
    <n v="-8"/>
  </r>
  <r>
    <x v="3"/>
    <x v="27"/>
    <n v="5"/>
    <s v="WORKING PROCESS"/>
    <x v="52"/>
    <x v="0"/>
    <s v="周三"/>
    <n v="-6"/>
  </r>
  <r>
    <x v="3"/>
    <x v="27"/>
    <n v="6"/>
    <s v="PANCON周四船期提单领取单"/>
    <x v="34"/>
    <x v="0"/>
    <s v="周四"/>
    <n v="-5"/>
  </r>
  <r>
    <x v="3"/>
    <x v="27"/>
    <n v="7"/>
    <s v="拿到PANCON WAYBILL，朱琳的给朱琳"/>
    <x v="34"/>
    <x v="0"/>
    <s v="周四"/>
    <n v="-5"/>
  </r>
  <r>
    <x v="3"/>
    <x v="27"/>
    <n v="8"/>
    <s v="和 JS mobis、SC glovis确认下下周订舱需求"/>
    <x v="35"/>
    <x v="0"/>
    <s v="周五"/>
    <n v="-4"/>
  </r>
  <r>
    <x v="3"/>
    <x v="27"/>
    <n v="9"/>
    <s v="TJ glovis额外费用邮件"/>
    <x v="35"/>
    <x v="0"/>
    <s v="周五"/>
    <n v="-4"/>
  </r>
  <r>
    <x v="3"/>
    <x v="27"/>
    <n v="10"/>
    <s v="WORKING PROCESS"/>
    <x v="35"/>
    <x v="0"/>
    <s v="周五"/>
    <n v="-4"/>
  </r>
  <r>
    <x v="3"/>
    <x v="27"/>
    <n v="11"/>
    <s v="PANCON出运清单（约号更新）"/>
    <x v="35"/>
    <x v="0"/>
    <s v="周五"/>
    <n v="-4"/>
  </r>
  <r>
    <x v="3"/>
    <x v="27"/>
    <n v="12"/>
    <s v="制下周 WEEK 流水"/>
    <x v="36"/>
    <x v="0"/>
    <s v="周五"/>
    <n v="-3"/>
  </r>
  <r>
    <x v="3"/>
    <x v="27"/>
    <n v="19"/>
    <s v="盐城大有要五月六月报关单和放行单"/>
    <x v="35"/>
    <x v="0"/>
    <m/>
    <n v="-4"/>
  </r>
  <r>
    <x v="7"/>
    <x v="28"/>
    <n v="1"/>
    <s v="收到徐小姐托书"/>
    <x v="19"/>
    <x v="0"/>
    <m/>
    <n v="-12"/>
  </r>
  <r>
    <x v="7"/>
    <x v="28"/>
    <n v="2"/>
    <s v="公共盘表格生成单号，YJC系统复制、生成单子"/>
    <x v="19"/>
    <x v="0"/>
    <m/>
    <n v="-12"/>
  </r>
  <r>
    <x v="7"/>
    <x v="28"/>
    <n v="3"/>
    <s v="振华网站订舱、保存、提交，等待审核"/>
    <x v="19"/>
    <x v="0"/>
    <m/>
    <n v="-12"/>
  </r>
  <r>
    <x v="7"/>
    <x v="28"/>
    <n v="4"/>
    <s v="QQ发预配给徐小姐，邮件发确认给国外"/>
    <x v="19"/>
    <x v="0"/>
    <m/>
    <n v="-12"/>
  </r>
  <r>
    <x v="7"/>
    <x v="28"/>
    <n v="5"/>
    <s v="收到国外确认，公共盘表格红改黑"/>
    <x v="19"/>
    <x v="0"/>
    <m/>
    <n v="-12"/>
  </r>
  <r>
    <x v="7"/>
    <x v="28"/>
    <n v="6"/>
    <s v="收到车队江发来VGM表格"/>
    <x v="56"/>
    <x v="0"/>
    <s v="周三周一截，周日周五截"/>
    <n v="-8"/>
  </r>
  <r>
    <x v="7"/>
    <x v="28"/>
    <n v="7"/>
    <s v="YJC 截单，振华截单、截VGM"/>
    <x v="56"/>
    <x v="0"/>
    <m/>
    <n v="-8"/>
  </r>
  <r>
    <x v="7"/>
    <x v="28"/>
    <n v="8"/>
    <s v="邮件发提单确认和费用确认给国外"/>
    <x v="56"/>
    <x v="0"/>
    <m/>
    <n v="-8"/>
  </r>
  <r>
    <x v="7"/>
    <x v="28"/>
    <n v="9"/>
    <s v="船开"/>
    <x v="34"/>
    <x v="0"/>
    <m/>
    <n v="-5"/>
  </r>
  <r>
    <x v="7"/>
    <x v="28"/>
    <n v="10"/>
    <s v="拿到WAYBILL，扫描，和HBL一起发国外"/>
    <x v="34"/>
    <x v="0"/>
    <m/>
    <n v="-5"/>
  </r>
  <r>
    <x v="1"/>
    <x v="28"/>
    <n v="1"/>
    <s v="收到客户(孙丹/王珊)发来订舱托书"/>
    <x v="45"/>
    <x v="0"/>
    <m/>
    <n v="-18"/>
  </r>
  <r>
    <x v="1"/>
    <x v="28"/>
    <n v="2"/>
    <s v="收到CK发来预配(做箱通知，沈丽有收到？)，完善YJC系统数据"/>
    <x v="54"/>
    <x v="0"/>
    <m/>
    <n v="-14"/>
  </r>
  <r>
    <x v="1"/>
    <x v="28"/>
    <n v="3"/>
    <s v="YJC系统生成单子"/>
    <x v="54"/>
    <x v="0"/>
    <m/>
    <n v="-14"/>
  </r>
  <r>
    <x v="1"/>
    <x v="28"/>
    <n v="4"/>
    <s v="收到包装厂(刘倩梅)发来包装指示书和装箱计划"/>
    <x v="53"/>
    <x v="0"/>
    <s v="一般周四"/>
    <n v="-11"/>
  </r>
  <r>
    <x v="1"/>
    <x v="28"/>
    <n v="5"/>
    <s v="根据装箱计划汇总包装数据，发各工厂做报关资料"/>
    <x v="53"/>
    <x v="0"/>
    <m/>
    <n v="-11"/>
  </r>
  <r>
    <x v="1"/>
    <x v="28"/>
    <n v="6"/>
    <s v="做做箱数据，邮件群发(查开港时间，注明做箱时间)"/>
    <x v="53"/>
    <x v="0"/>
    <m/>
    <n v="-11"/>
  </r>
  <r>
    <x v="1"/>
    <x v="28"/>
    <n v="7"/>
    <s v="通知进港"/>
    <x v="56"/>
    <x v="0"/>
    <s v="调整顺序"/>
    <n v="-8"/>
  </r>
  <r>
    <x v="1"/>
    <x v="28"/>
    <n v="8"/>
    <s v="进港(核对数据)"/>
    <x v="56"/>
    <x v="0"/>
    <s v="调整顺序"/>
    <n v="-8"/>
  </r>
  <r>
    <x v="1"/>
    <x v="28"/>
    <n v="9"/>
    <s v="收到车队(沈丽)装箱单和洋山提箱截图(如有)，9点前群发，通知发舱单"/>
    <x v="56"/>
    <x v="0"/>
    <s v="一般KMM五、HMI日"/>
    <n v="-8"/>
  </r>
  <r>
    <x v="1"/>
    <x v="28"/>
    <n v="10"/>
    <s v="收到工厂发来报关资料并完善(代做报关资料跟客户确认)"/>
    <x v="56"/>
    <x v="0"/>
    <s v="当天至隔天"/>
    <n v="-8"/>
  </r>
  <r>
    <x v="1"/>
    <x v="28"/>
    <n v="11"/>
    <s v="报关资料齐了，发报关行(黄寅文)，"/>
    <x v="56"/>
    <x v="0"/>
    <m/>
    <n v="-8"/>
  </r>
  <r>
    <x v="1"/>
    <x v="28"/>
    <n v="12"/>
    <s v="货运模板/发票/箱单"/>
    <x v="56"/>
    <x v="0"/>
    <m/>
    <n v="-8"/>
  </r>
  <r>
    <x v="1"/>
    <x v="28"/>
    <n v="13"/>
    <s v="收到舱单发送成功通知，核对舱单信息"/>
    <x v="33"/>
    <x v="0"/>
    <m/>
    <n v="-7"/>
  </r>
  <r>
    <x v="1"/>
    <x v="28"/>
    <n v="14"/>
    <s v="通知报关"/>
    <x v="33"/>
    <x v="0"/>
    <s v="调整顺序"/>
    <n v="-7"/>
  </r>
  <r>
    <x v="1"/>
    <x v="28"/>
    <n v="15"/>
    <s v="报关成功"/>
    <x v="33"/>
    <x v="0"/>
    <s v="调整顺序"/>
    <n v="-7"/>
  </r>
  <r>
    <x v="1"/>
    <x v="28"/>
    <n v="16"/>
    <s v="盯海放"/>
    <x v="33"/>
    <x v="0"/>
    <m/>
    <n v="-7"/>
  </r>
  <r>
    <x v="1"/>
    <x v="28"/>
    <n v="17"/>
    <s v="盯码放"/>
    <x v="33"/>
    <x v="0"/>
    <m/>
    <n v="-7"/>
  </r>
  <r>
    <x v="1"/>
    <x v="28"/>
    <n v="18"/>
    <s v="盯配载"/>
    <x v="52"/>
    <x v="0"/>
    <m/>
    <n v="-6"/>
  </r>
  <r>
    <x v="1"/>
    <x v="28"/>
    <n v="19"/>
    <s v="盯船开"/>
    <x v="34"/>
    <x v="0"/>
    <m/>
    <n v="-5"/>
  </r>
  <r>
    <x v="1"/>
    <x v="28"/>
    <n v="20"/>
    <s v="做费用(对账单日期4号)，放公共盘，填月账单表，发孙丹"/>
    <x v="52"/>
    <x v="0"/>
    <m/>
    <n v="-6"/>
  </r>
  <r>
    <x v="4"/>
    <x v="28"/>
    <n v="1"/>
    <s v="收到客户(徐贵)订舱预报"/>
    <x v="50"/>
    <x v="0"/>
    <s v="一般周五发隔周"/>
    <n v="-15"/>
  </r>
  <r>
    <x v="4"/>
    <x v="28"/>
    <n v="2"/>
    <s v="填WORKING PROCESS"/>
    <x v="50"/>
    <x v="0"/>
    <m/>
    <n v="-15"/>
  </r>
  <r>
    <x v="4"/>
    <x v="28"/>
    <n v="3"/>
    <s v="收到HMM(Neo)预订舱邮件通知"/>
    <x v="50"/>
    <x v="0"/>
    <s v="一般周一发下周"/>
    <n v="-15"/>
  </r>
  <r>
    <x v="4"/>
    <x v="28"/>
    <n v="4"/>
    <s v="回复HMM(Neo)预订舱邮件"/>
    <x v="50"/>
    <x v="0"/>
    <m/>
    <n v="-15"/>
  </r>
  <r>
    <x v="4"/>
    <x v="28"/>
    <n v="5"/>
    <s v="收到HMM(Neo)预订舱确认"/>
    <x v="54"/>
    <x v="0"/>
    <s v="一般马上"/>
    <n v="-14"/>
  </r>
  <r>
    <x v="4"/>
    <x v="28"/>
    <n v="6"/>
    <s v="公共盘生成提单号"/>
    <x v="54"/>
    <x v="0"/>
    <m/>
    <n v="-14"/>
  </r>
  <r>
    <x v="4"/>
    <x v="28"/>
    <n v="7"/>
    <s v="YJC系统生成单子"/>
    <x v="54"/>
    <x v="0"/>
    <m/>
    <n v="-14"/>
  </r>
  <r>
    <x v="4"/>
    <x v="28"/>
    <n v="8"/>
    <s v="发EDI"/>
    <x v="54"/>
    <x v="0"/>
    <m/>
    <n v="-14"/>
  </r>
  <r>
    <x v="4"/>
    <x v="28"/>
    <n v="9"/>
    <s v="邮件申请放单"/>
    <x v="54"/>
    <x v="0"/>
    <m/>
    <n v="-14"/>
  </r>
  <r>
    <x v="4"/>
    <x v="28"/>
    <n v="10"/>
    <s v="收到HMM(Neo) 放单确认"/>
    <x v="54"/>
    <x v="0"/>
    <s v="一般半天内"/>
    <n v="-14"/>
  </r>
  <r>
    <x v="4"/>
    <x v="28"/>
    <n v="11"/>
    <s v="HMM网站核对订舱信息"/>
    <x v="54"/>
    <x v="0"/>
    <m/>
    <n v="-14"/>
  </r>
  <r>
    <x v="4"/>
    <x v="28"/>
    <n v="12"/>
    <s v="收到客户(徐贵)做箱通知"/>
    <x v="19"/>
    <x v="0"/>
    <s v="一般做箱头天一早"/>
    <n v="-12"/>
  </r>
  <r>
    <x v="4"/>
    <x v="28"/>
    <n v="13"/>
    <s v="发做箱通知邮件给车队(沈丽)"/>
    <x v="19"/>
    <x v="0"/>
    <m/>
    <n v="-12"/>
  </r>
  <r>
    <x v="4"/>
    <x v="28"/>
    <n v="14"/>
    <s v="公共盘生成提单号【如需拆单】"/>
    <x v="19"/>
    <x v="0"/>
    <m/>
    <n v="-12"/>
  </r>
  <r>
    <x v="4"/>
    <x v="28"/>
    <n v="15"/>
    <s v="YJC系统生成单子【如需拆单】"/>
    <x v="19"/>
    <x v="0"/>
    <m/>
    <n v="-12"/>
  </r>
  <r>
    <x v="4"/>
    <x v="28"/>
    <n v="16"/>
    <s v="发EDI【如需拆单】"/>
    <x v="19"/>
    <x v="0"/>
    <m/>
    <n v="-12"/>
  </r>
  <r>
    <x v="4"/>
    <x v="28"/>
    <n v="17"/>
    <s v="邮件申请放单【如需拆单】"/>
    <x v="19"/>
    <x v="0"/>
    <m/>
    <n v="-12"/>
  </r>
  <r>
    <x v="4"/>
    <x v="28"/>
    <n v="18"/>
    <s v="收到HMM(Neo) 放单确认【如需拆单】"/>
    <x v="19"/>
    <x v="0"/>
    <m/>
    <n v="-12"/>
  </r>
  <r>
    <x v="4"/>
    <x v="28"/>
    <n v="19"/>
    <s v="HMM网站核对订舱信息【如需拆单】"/>
    <x v="19"/>
    <x v="0"/>
    <m/>
    <n v="-12"/>
  </r>
  <r>
    <x v="4"/>
    <x v="28"/>
    <n v="20"/>
    <s v="收到客户(徐贵)发来报关资料"/>
    <x v="53"/>
    <x v="0"/>
    <s v="一般做箱当天一早"/>
    <n v="-11"/>
  </r>
  <r>
    <x v="4"/>
    <x v="28"/>
    <n v="21"/>
    <s v="按报关(发票)数生成提单号【如发票数超过提单数】"/>
    <x v="53"/>
    <x v="0"/>
    <m/>
    <n v="-11"/>
  </r>
  <r>
    <x v="4"/>
    <x v="28"/>
    <n v="22"/>
    <s v="做做箱数据，QQ发车队(沈丽)"/>
    <x v="53"/>
    <x v="0"/>
    <m/>
    <n v="-11"/>
  </r>
  <r>
    <x v="4"/>
    <x v="28"/>
    <n v="23"/>
    <s v="收到车队(沈丽)装箱单，转发客户（徐贵）"/>
    <x v="53"/>
    <x v="0"/>
    <s v="一般马上"/>
    <n v="-11"/>
  </r>
  <r>
    <x v="4"/>
    <x v="28"/>
    <n v="24"/>
    <s v="YJC系统截单，发EDI，邮件HMM(He)【截单时间】"/>
    <x v="53"/>
    <x v="0"/>
    <s v="注意截单时间"/>
    <n v="-11"/>
  </r>
  <r>
    <x v="4"/>
    <x v="28"/>
    <n v="25"/>
    <s v="发VGM和舱单"/>
    <x v="53"/>
    <x v="0"/>
    <m/>
    <n v="-11"/>
  </r>
  <r>
    <x v="4"/>
    <x v="28"/>
    <n v="26"/>
    <s v="做报关资料，扫描发报关行(黄寅文)QQ，要校对稿"/>
    <x v="53"/>
    <x v="0"/>
    <m/>
    <n v="-11"/>
  </r>
  <r>
    <x v="4"/>
    <x v="28"/>
    <n v="27"/>
    <s v="做保函给邹师傅"/>
    <x v="53"/>
    <x v="0"/>
    <m/>
    <n v="-11"/>
  </r>
  <r>
    <x v="4"/>
    <x v="28"/>
    <n v="28"/>
    <s v="做ISF，发国外资料"/>
    <x v="53"/>
    <x v="0"/>
    <m/>
    <n v="-11"/>
  </r>
  <r>
    <x v="4"/>
    <x v="28"/>
    <n v="29"/>
    <s v="买保险"/>
    <x v="53"/>
    <x v="0"/>
    <m/>
    <n v="-11"/>
  </r>
  <r>
    <x v="4"/>
    <x v="28"/>
    <n v="31"/>
    <s v="收到HMM(He)生成提单通知"/>
    <x v="53"/>
    <x v="0"/>
    <s v="一般马上"/>
    <n v="-11"/>
  </r>
  <r>
    <x v="4"/>
    <x v="28"/>
    <n v="32"/>
    <s v="HMM网站核对提单信息"/>
    <x v="53"/>
    <x v="0"/>
    <m/>
    <n v="-11"/>
  </r>
  <r>
    <x v="4"/>
    <x v="28"/>
    <n v="33"/>
    <s v="盯海关网站舱单"/>
    <x v="53"/>
    <x v="0"/>
    <s v="一般两小时左右"/>
    <n v="-11"/>
  </r>
  <r>
    <x v="4"/>
    <x v="28"/>
    <n v="34"/>
    <s v="核对舱单信息"/>
    <x v="53"/>
    <x v="0"/>
    <m/>
    <n v="-11"/>
  </r>
  <r>
    <x v="4"/>
    <x v="28"/>
    <n v="35"/>
    <s v="收到报关行(黄寅文)校对稿，邮件发客户(徐贵)确认"/>
    <x v="55"/>
    <x v="0"/>
    <s v="一般半天内"/>
    <n v="-10"/>
  </r>
  <r>
    <x v="4"/>
    <x v="28"/>
    <n v="36"/>
    <s v="收到客户(徐贵)确认校对稿"/>
    <x v="55"/>
    <x v="0"/>
    <s v="一般马上"/>
    <n v="-10"/>
  </r>
  <r>
    <x v="4"/>
    <x v="28"/>
    <n v="37"/>
    <s v="通知车队(沈丽)可进港"/>
    <x v="55"/>
    <x v="0"/>
    <m/>
    <n v="-10"/>
  </r>
  <r>
    <x v="4"/>
    <x v="28"/>
    <n v="38"/>
    <s v="盯箱子进港"/>
    <x v="57"/>
    <x v="0"/>
    <m/>
    <n v="-9"/>
  </r>
  <r>
    <x v="4"/>
    <x v="28"/>
    <n v="39"/>
    <s v="核对进港数据"/>
    <x v="55"/>
    <x v="0"/>
    <m/>
    <n v="-10"/>
  </r>
  <r>
    <x v="4"/>
    <x v="28"/>
    <n v="40"/>
    <s v="通知报关行(黄寅文)报关(开港、舱单、校对)"/>
    <x v="57"/>
    <x v="0"/>
    <m/>
    <n v="-9"/>
  </r>
  <r>
    <x v="4"/>
    <x v="28"/>
    <n v="41"/>
    <s v="收到报关成功通知"/>
    <x v="57"/>
    <x v="0"/>
    <s v="一般下班前"/>
    <n v="-9"/>
  </r>
  <r>
    <x v="4"/>
    <x v="28"/>
    <n v="42"/>
    <s v="盯海放"/>
    <x v="57"/>
    <x v="0"/>
    <m/>
    <n v="-9"/>
  </r>
  <r>
    <x v="4"/>
    <x v="28"/>
    <n v="43"/>
    <s v="盯码放"/>
    <x v="56"/>
    <x v="0"/>
    <m/>
    <n v="-8"/>
  </r>
  <r>
    <x v="4"/>
    <x v="28"/>
    <n v="44"/>
    <s v="盯配载"/>
    <x v="34"/>
    <x v="0"/>
    <m/>
    <n v="-5"/>
  </r>
  <r>
    <x v="4"/>
    <x v="28"/>
    <n v="45"/>
    <s v="做费用(月初等汇率)，发账单给石磊"/>
    <x v="52"/>
    <x v="0"/>
    <m/>
    <n v="-6"/>
  </r>
  <r>
    <x v="4"/>
    <x v="28"/>
    <n v="46"/>
    <s v="船开"/>
    <x v="35"/>
    <x v="0"/>
    <m/>
    <n v="-4"/>
  </r>
  <r>
    <x v="4"/>
    <x v="28"/>
    <n v="47"/>
    <s v="放提单、预录单、放行单（PHISON、石磊、陈云娣）"/>
    <x v="35"/>
    <x v="0"/>
    <s v="一般开船后两三天"/>
    <n v="-4"/>
  </r>
  <r>
    <x v="2"/>
    <x v="28"/>
    <n v="1"/>
    <s v="收到客户(孙丹/王珊)发来订舱托书"/>
    <x v="47"/>
    <x v="0"/>
    <m/>
    <n v="-19"/>
  </r>
  <r>
    <x v="2"/>
    <x v="28"/>
    <n v="2"/>
    <s v="收到CK发来预配(做箱通知，沈丽有收到？)"/>
    <x v="47"/>
    <x v="0"/>
    <m/>
    <n v="-19"/>
  </r>
  <r>
    <x v="2"/>
    <x v="28"/>
    <n v="3"/>
    <s v="YJC系统生成单子"/>
    <x v="47"/>
    <x v="0"/>
    <m/>
    <n v="-19"/>
  </r>
  <r>
    <x v="2"/>
    <x v="28"/>
    <n v="4"/>
    <s v="收到包装厂(刘倩梅)发来包装指示书和装箱计划"/>
    <x v="19"/>
    <x v="0"/>
    <s v="一般周四"/>
    <n v="-12"/>
  </r>
  <r>
    <x v="2"/>
    <x v="28"/>
    <n v="5"/>
    <s v="根据装箱计划汇总包装数据，发各工厂做报关资料"/>
    <x v="19"/>
    <x v="0"/>
    <m/>
    <n v="-12"/>
  </r>
  <r>
    <x v="2"/>
    <x v="28"/>
    <n v="6"/>
    <s v="做做箱数据，邮件群发(查开港时间，注明做箱时间)"/>
    <x v="19"/>
    <x v="0"/>
    <m/>
    <n v="-12"/>
  </r>
  <r>
    <x v="2"/>
    <x v="28"/>
    <n v="7"/>
    <s v="收到工厂发来报关资料并完善(代做报关资料跟客户确认)"/>
    <x v="19"/>
    <x v="0"/>
    <s v="当天至隔天"/>
    <n v="-12"/>
  </r>
  <r>
    <x v="2"/>
    <x v="28"/>
    <n v="8"/>
    <s v="报关资料齐了，发报关行(黄寅文)，货运模板/发票/箱单"/>
    <x v="53"/>
    <x v="0"/>
    <m/>
    <n v="-11"/>
  </r>
  <r>
    <x v="2"/>
    <x v="28"/>
    <n v="9"/>
    <s v="收到车队(沈丽)装箱单和洋山提箱截图(如有)，9点前群发，通知发舱单"/>
    <x v="53"/>
    <x v="0"/>
    <s v="一般KMM五、HMI日"/>
    <n v="-11"/>
  </r>
  <r>
    <x v="2"/>
    <x v="28"/>
    <n v="10"/>
    <s v="收到舱单发送成功通知，核对舱单信息"/>
    <x v="53"/>
    <x v="0"/>
    <m/>
    <n v="-11"/>
  </r>
  <r>
    <x v="2"/>
    <x v="28"/>
    <n v="11"/>
    <s v="通知报关（洋山发装箱单）"/>
    <x v="53"/>
    <x v="0"/>
    <s v="调整顺序"/>
    <n v="-11"/>
  </r>
  <r>
    <x v="2"/>
    <x v="28"/>
    <n v="12"/>
    <s v="报关成功"/>
    <x v="53"/>
    <x v="0"/>
    <s v="调整顺序"/>
    <n v="-11"/>
  </r>
  <r>
    <x v="2"/>
    <x v="28"/>
    <n v="13"/>
    <s v="通知进港"/>
    <x v="53"/>
    <x v="0"/>
    <s v="调整顺序"/>
    <n v="-11"/>
  </r>
  <r>
    <x v="2"/>
    <x v="28"/>
    <n v="14"/>
    <s v="进港(核对数据)"/>
    <x v="55"/>
    <x v="0"/>
    <s v="调整顺序"/>
    <n v="-10"/>
  </r>
  <r>
    <x v="2"/>
    <x v="28"/>
    <n v="15"/>
    <s v="海放"/>
    <x v="55"/>
    <x v="0"/>
    <m/>
    <n v="-10"/>
  </r>
  <r>
    <x v="2"/>
    <x v="28"/>
    <n v="16"/>
    <s v="码放"/>
    <x v="56"/>
    <x v="0"/>
    <m/>
    <n v="-8"/>
  </r>
  <r>
    <x v="2"/>
    <x v="28"/>
    <n v="17"/>
    <s v="配载"/>
    <x v="33"/>
    <x v="0"/>
    <m/>
    <n v="-7"/>
  </r>
  <r>
    <x v="2"/>
    <x v="28"/>
    <n v="18"/>
    <s v="做费用(对账单日期4号)，放公共盘，填月账单表，发孙丹"/>
    <x v="52"/>
    <x v="0"/>
    <m/>
    <n v="-6"/>
  </r>
  <r>
    <x v="2"/>
    <x v="28"/>
    <n v="19"/>
    <s v="船开"/>
    <x v="52"/>
    <x v="0"/>
    <m/>
    <n v="-6"/>
  </r>
  <r>
    <x v="4"/>
    <x v="29"/>
    <n v="1"/>
    <s v="收到客户(徐贵)订舱预报"/>
    <x v="50"/>
    <x v="0"/>
    <s v="一般周五发隔周"/>
    <n v="-15"/>
  </r>
  <r>
    <x v="4"/>
    <x v="29"/>
    <n v="2"/>
    <s v="填WORKING PROCESS"/>
    <x v="50"/>
    <x v="0"/>
    <m/>
    <n v="-15"/>
  </r>
  <r>
    <x v="4"/>
    <x v="29"/>
    <n v="3"/>
    <s v="收到HMM(Neo)预订舱邮件通知"/>
    <x v="50"/>
    <x v="0"/>
    <s v="一般周一发下周"/>
    <n v="-15"/>
  </r>
  <r>
    <x v="4"/>
    <x v="29"/>
    <n v="4"/>
    <s v="回复HMM(Neo)预订舱邮件"/>
    <x v="50"/>
    <x v="0"/>
    <m/>
    <n v="-15"/>
  </r>
  <r>
    <x v="4"/>
    <x v="29"/>
    <n v="5"/>
    <s v="收到HMM(Neo)预订舱确认"/>
    <x v="54"/>
    <x v="0"/>
    <s v="一般马上"/>
    <n v="-14"/>
  </r>
  <r>
    <x v="4"/>
    <x v="29"/>
    <n v="6"/>
    <s v="公共盘生成提单号"/>
    <x v="54"/>
    <x v="0"/>
    <m/>
    <n v="-14"/>
  </r>
  <r>
    <x v="4"/>
    <x v="29"/>
    <n v="7"/>
    <s v="YJC系统生成单子"/>
    <x v="54"/>
    <x v="0"/>
    <m/>
    <n v="-14"/>
  </r>
  <r>
    <x v="4"/>
    <x v="29"/>
    <n v="8"/>
    <s v="发EDI"/>
    <x v="54"/>
    <x v="0"/>
    <m/>
    <n v="-14"/>
  </r>
  <r>
    <x v="4"/>
    <x v="29"/>
    <n v="9"/>
    <s v="邮件申请放单"/>
    <x v="54"/>
    <x v="0"/>
    <m/>
    <n v="-14"/>
  </r>
  <r>
    <x v="4"/>
    <x v="29"/>
    <n v="9.1"/>
    <s v="改船期"/>
    <x v="51"/>
    <x v="0"/>
    <m/>
    <n v="-13"/>
  </r>
  <r>
    <x v="4"/>
    <x v="29"/>
    <n v="10"/>
    <s v="收到HMM(Neo) 放单确认"/>
    <x v="51"/>
    <x v="0"/>
    <s v="一般半天内"/>
    <n v="-13"/>
  </r>
  <r>
    <x v="4"/>
    <x v="29"/>
    <n v="11"/>
    <s v="HMM网站核对订舱信息"/>
    <x v="51"/>
    <x v="0"/>
    <m/>
    <n v="-13"/>
  </r>
  <r>
    <x v="4"/>
    <x v="29"/>
    <n v="12"/>
    <s v="收到客户(徐贵)做箱通知"/>
    <x v="56"/>
    <x v="0"/>
    <s v="一般做箱头天一早"/>
    <n v="-8"/>
  </r>
  <r>
    <x v="4"/>
    <x v="29"/>
    <n v="13"/>
    <s v="发做箱通知邮件给车队(沈丽)"/>
    <x v="56"/>
    <x v="0"/>
    <m/>
    <n v="-8"/>
  </r>
  <r>
    <x v="4"/>
    <x v="29"/>
    <n v="14"/>
    <s v="公共盘生成提单号【如需拆单】"/>
    <x v="56"/>
    <x v="0"/>
    <m/>
    <n v="-8"/>
  </r>
  <r>
    <x v="4"/>
    <x v="29"/>
    <n v="15"/>
    <s v="YJC系统生成单子【如需拆单】"/>
    <x v="56"/>
    <x v="0"/>
    <m/>
    <n v="-8"/>
  </r>
  <r>
    <x v="4"/>
    <x v="29"/>
    <n v="16"/>
    <s v="发EDI【如需拆单】"/>
    <x v="56"/>
    <x v="0"/>
    <m/>
    <n v="-8"/>
  </r>
  <r>
    <x v="4"/>
    <x v="29"/>
    <n v="17"/>
    <s v="邮件申请放单【如需拆单】"/>
    <x v="56"/>
    <x v="0"/>
    <m/>
    <n v="-8"/>
  </r>
  <r>
    <x v="4"/>
    <x v="29"/>
    <n v="18"/>
    <s v="收到HMM(Neo) 放单确认【如需拆单】"/>
    <x v="56"/>
    <x v="0"/>
    <m/>
    <n v="-8"/>
  </r>
  <r>
    <x v="4"/>
    <x v="29"/>
    <n v="19"/>
    <s v="HMM网站核对订舱信息【如需拆单】"/>
    <x v="56"/>
    <x v="0"/>
    <m/>
    <n v="-8"/>
  </r>
  <r>
    <x v="4"/>
    <x v="29"/>
    <n v="20"/>
    <s v="收到客户(徐贵)发来报关资料"/>
    <x v="33"/>
    <x v="0"/>
    <s v="一般做箱当天一早"/>
    <n v="-7"/>
  </r>
  <r>
    <x v="4"/>
    <x v="29"/>
    <n v="21"/>
    <s v="按报关(发票)数生成提单号【如发票数超过提单数】"/>
    <x v="33"/>
    <x v="0"/>
    <m/>
    <n v="-7"/>
  </r>
  <r>
    <x v="4"/>
    <x v="29"/>
    <n v="22"/>
    <s v="做做箱数据，QQ发车队(沈丽)"/>
    <x v="33"/>
    <x v="0"/>
    <m/>
    <n v="-7"/>
  </r>
  <r>
    <x v="4"/>
    <x v="29"/>
    <n v="23"/>
    <s v="收到车队(沈丽)装箱单，转发客户（徐贵）"/>
    <x v="33"/>
    <x v="0"/>
    <s v="一般马上"/>
    <n v="-7"/>
  </r>
  <r>
    <x v="4"/>
    <x v="29"/>
    <n v="24"/>
    <s v="YJC系统截单，发EDI，邮件HMM(He)【截单时间】"/>
    <x v="33"/>
    <x v="0"/>
    <s v="注意截单时间"/>
    <n v="-7"/>
  </r>
  <r>
    <x v="4"/>
    <x v="29"/>
    <n v="25"/>
    <s v="发VGM和舱单（亿通，鹏海两次）"/>
    <x v="33"/>
    <x v="0"/>
    <m/>
    <n v="-7"/>
  </r>
  <r>
    <x v="4"/>
    <x v="29"/>
    <n v="26"/>
    <s v="做报关资料，扫描发报关行(黄寅文)QQ，要校对稿"/>
    <x v="33"/>
    <x v="0"/>
    <m/>
    <n v="-7"/>
  </r>
  <r>
    <x v="4"/>
    <x v="29"/>
    <n v="27"/>
    <s v="做保函给邹师傅"/>
    <x v="33"/>
    <x v="0"/>
    <m/>
    <n v="-7"/>
  </r>
  <r>
    <x v="4"/>
    <x v="29"/>
    <n v="28"/>
    <s v="做ISF，发国外资料"/>
    <x v="33"/>
    <x v="0"/>
    <m/>
    <n v="-7"/>
  </r>
  <r>
    <x v="4"/>
    <x v="29"/>
    <n v="29"/>
    <s v="买保险"/>
    <x v="33"/>
    <x v="0"/>
    <m/>
    <n v="-7"/>
  </r>
  <r>
    <x v="4"/>
    <x v="29"/>
    <n v="31"/>
    <s v="收到HMM(He)生成提单通知"/>
    <x v="33"/>
    <x v="0"/>
    <s v="一般马上"/>
    <n v="-7"/>
  </r>
  <r>
    <x v="4"/>
    <x v="29"/>
    <n v="32"/>
    <s v="HMM网站核对提单信息"/>
    <x v="33"/>
    <x v="0"/>
    <m/>
    <n v="-7"/>
  </r>
  <r>
    <x v="4"/>
    <x v="29"/>
    <n v="33"/>
    <s v="盯海关网站舱单"/>
    <x v="33"/>
    <x v="0"/>
    <s v="一般两小时左右"/>
    <n v="-7"/>
  </r>
  <r>
    <x v="4"/>
    <x v="29"/>
    <n v="34"/>
    <s v="核对舱单信息"/>
    <x v="33"/>
    <x v="0"/>
    <m/>
    <n v="-7"/>
  </r>
  <r>
    <x v="4"/>
    <x v="29"/>
    <n v="35"/>
    <s v="收到报关行(黄寅文)校对稿，邮件发客户(徐贵)确认"/>
    <x v="33"/>
    <x v="0"/>
    <s v="一般半天内"/>
    <n v="-7"/>
  </r>
  <r>
    <x v="4"/>
    <x v="29"/>
    <n v="36"/>
    <s v="收到客户(徐贵)确认校对稿"/>
    <x v="33"/>
    <x v="0"/>
    <s v="一般马上"/>
    <n v="-7"/>
  </r>
  <r>
    <x v="4"/>
    <x v="29"/>
    <n v="37"/>
    <s v="通知报关行(黄寅文)报关(开港、舱单、校对)"/>
    <x v="33"/>
    <x v="0"/>
    <m/>
    <n v="-7"/>
  </r>
  <r>
    <x v="4"/>
    <x v="29"/>
    <n v="38"/>
    <s v="收到报关成功通知"/>
    <x v="33"/>
    <x v="0"/>
    <s v="一般下班前"/>
    <n v="-7"/>
  </r>
  <r>
    <x v="4"/>
    <x v="29"/>
    <n v="39"/>
    <s v="通知车队(沈丽)可进港"/>
    <x v="33"/>
    <x v="0"/>
    <m/>
    <n v="-7"/>
  </r>
  <r>
    <x v="4"/>
    <x v="29"/>
    <n v="40"/>
    <s v="盯箱子进港"/>
    <x v="52"/>
    <x v="0"/>
    <m/>
    <n v="-6"/>
  </r>
  <r>
    <x v="4"/>
    <x v="29"/>
    <n v="41"/>
    <s v="核对进港数据"/>
    <x v="52"/>
    <x v="0"/>
    <m/>
    <n v="-6"/>
  </r>
  <r>
    <x v="4"/>
    <x v="29"/>
    <n v="42"/>
    <s v="盯海放"/>
    <x v="52"/>
    <x v="0"/>
    <m/>
    <n v="-6"/>
  </r>
  <r>
    <x v="4"/>
    <x v="29"/>
    <n v="43"/>
    <s v="盯码放"/>
    <x v="52"/>
    <x v="0"/>
    <m/>
    <n v="-6"/>
  </r>
  <r>
    <x v="4"/>
    <x v="29"/>
    <n v="44"/>
    <s v="盯配载"/>
    <x v="34"/>
    <x v="0"/>
    <m/>
    <n v="-5"/>
  </r>
  <r>
    <x v="4"/>
    <x v="29"/>
    <n v="45"/>
    <s v="做费用(月初等汇率)，发账单给石磊"/>
    <x v="52"/>
    <x v="0"/>
    <m/>
    <n v="-6"/>
  </r>
  <r>
    <x v="4"/>
    <x v="29"/>
    <n v="46"/>
    <s v="船开"/>
    <x v="35"/>
    <x v="0"/>
    <m/>
    <n v="-4"/>
  </r>
  <r>
    <x v="4"/>
    <x v="29"/>
    <n v="47"/>
    <s v="放提单、预录单、放行单（PHISON、石磊、陈云娣）"/>
    <x v="35"/>
    <x v="0"/>
    <s v="一般开船后两三天"/>
    <n v="-4"/>
  </r>
  <r>
    <x v="3"/>
    <x v="30"/>
    <n v="1"/>
    <s v="PANCON上周日船期提单领取单"/>
    <x v="58"/>
    <x v="0"/>
    <s v="周一"/>
    <n v="-1"/>
  </r>
  <r>
    <x v="3"/>
    <x v="30"/>
    <n v="2"/>
    <s v="收到 Neo 下周订舱预报邮件"/>
    <x v="58"/>
    <x v="0"/>
    <s v="周一"/>
    <n v="-1"/>
  </r>
  <r>
    <x v="3"/>
    <x v="30"/>
    <n v="3"/>
    <s v="汇总SC JS下周订舱需求，回Neo邮件"/>
    <x v="58"/>
    <x v="0"/>
    <s v="周一"/>
    <n v="-1"/>
  </r>
  <r>
    <x v="3"/>
    <x v="30"/>
    <n v="4"/>
    <s v="收到Neo确认，制作每票清单流水"/>
    <x v="58"/>
    <x v="0"/>
    <s v="周一"/>
    <n v="-1"/>
  </r>
  <r>
    <x v="3"/>
    <x v="30"/>
    <n v="5"/>
    <s v="拿到PANCON WAYBILL，朱琳的给朱琳"/>
    <x v="58"/>
    <x v="0"/>
    <s v="周一"/>
    <n v="-1"/>
  </r>
  <r>
    <x v="3"/>
    <x v="30"/>
    <n v="6"/>
    <s v="PANCON周三出运清单（约号更新）"/>
    <x v="58"/>
    <x v="0"/>
    <s v="周一"/>
    <n v="-1"/>
  </r>
  <r>
    <x v="3"/>
    <x v="30"/>
    <n v="7"/>
    <s v="WORKING PROCESS"/>
    <x v="58"/>
    <x v="0"/>
    <s v="周一"/>
    <n v="-1"/>
  </r>
  <r>
    <x v="3"/>
    <x v="30"/>
    <n v="7.1"/>
    <s v="寄发票给陈吟勇"/>
    <x v="58"/>
    <x v="0"/>
    <m/>
    <n v="-1"/>
  </r>
  <r>
    <x v="3"/>
    <x v="30"/>
    <n v="7.2"/>
    <s v="JS mobis 寄保函"/>
    <x v="59"/>
    <x v="2"/>
    <m/>
    <n v="1"/>
  </r>
  <r>
    <x v="3"/>
    <x v="30"/>
    <n v="8"/>
    <s v="WORKING PROCESS"/>
    <x v="59"/>
    <x v="2"/>
    <s v="周三"/>
    <n v="1"/>
  </r>
  <r>
    <x v="3"/>
    <x v="30"/>
    <n v="9"/>
    <s v="PANCON周三船期提单领取单"/>
    <x v="60"/>
    <x v="2"/>
    <s v="周四"/>
    <n v="2"/>
  </r>
  <r>
    <x v="3"/>
    <x v="30"/>
    <n v="10"/>
    <s v="拿到PANCON WAYBILL，朱琳的给朱琳"/>
    <x v="60"/>
    <x v="2"/>
    <s v="周四"/>
    <n v="2"/>
  </r>
  <r>
    <x v="3"/>
    <x v="30"/>
    <n v="11"/>
    <s v="问JS mobis、SC glovis下下周订舱需求"/>
    <x v="61"/>
    <x v="2"/>
    <s v="周五"/>
    <n v="3"/>
  </r>
  <r>
    <x v="3"/>
    <x v="30"/>
    <n v="12"/>
    <s v="WORKING PROCESS"/>
    <x v="61"/>
    <x v="2"/>
    <s v="周五"/>
    <n v="3"/>
  </r>
  <r>
    <x v="3"/>
    <x v="30"/>
    <n v="13"/>
    <s v="PANCON周日出运清单（约号更新）"/>
    <x v="61"/>
    <x v="2"/>
    <s v="周五"/>
    <n v="3"/>
  </r>
  <r>
    <x v="7"/>
    <x v="31"/>
    <n v="1"/>
    <s v="收到徐小姐托书"/>
    <x v="34"/>
    <x v="0"/>
    <m/>
    <n v="-5"/>
  </r>
  <r>
    <x v="7"/>
    <x v="31"/>
    <n v="2"/>
    <s v="公共盘表格生成单号，YJC系统复制、生成单子"/>
    <x v="34"/>
    <x v="0"/>
    <m/>
    <n v="-5"/>
  </r>
  <r>
    <x v="7"/>
    <x v="31"/>
    <n v="3"/>
    <s v="振华网站订舱（7.3改约号）、保存、提交，等待审核"/>
    <x v="34"/>
    <x v="0"/>
    <m/>
    <n v="-5"/>
  </r>
  <r>
    <x v="7"/>
    <x v="31"/>
    <n v="4"/>
    <s v="QQ发预配给徐小姐，邮件发确认给国外"/>
    <x v="34"/>
    <x v="0"/>
    <m/>
    <n v="-5"/>
  </r>
  <r>
    <x v="7"/>
    <x v="31"/>
    <n v="5"/>
    <s v="收到国外确认，公共盘表格红改黑"/>
    <x v="34"/>
    <x v="0"/>
    <m/>
    <n v="-5"/>
  </r>
  <r>
    <x v="7"/>
    <x v="31"/>
    <n v="6"/>
    <s v="收到车队江发来VGM表格"/>
    <x v="58"/>
    <x v="0"/>
    <s v="周三周一截，周日周五截"/>
    <n v="-1"/>
  </r>
  <r>
    <x v="7"/>
    <x v="31"/>
    <n v="7"/>
    <s v="YJC 截单，徐小姐确认，振华截单、截VGM"/>
    <x v="58"/>
    <x v="0"/>
    <m/>
    <n v="-1"/>
  </r>
  <r>
    <x v="7"/>
    <x v="31"/>
    <n v="8"/>
    <s v="邮件发提单确认和费用确认给国外"/>
    <x v="37"/>
    <x v="2"/>
    <s v="没看到邮件？"/>
    <n v="0"/>
  </r>
  <r>
    <x v="7"/>
    <x v="31"/>
    <n v="9"/>
    <s v="船开"/>
    <x v="59"/>
    <x v="2"/>
    <m/>
    <n v="1"/>
  </r>
  <r>
    <x v="7"/>
    <x v="31"/>
    <n v="10"/>
    <s v="拿到WAYBILL，扫描，和HBL一起发国外"/>
    <x v="60"/>
    <x v="2"/>
    <m/>
    <n v="2"/>
  </r>
  <r>
    <x v="1"/>
    <x v="31"/>
    <n v="1"/>
    <s v="收到客户(孙丹/王珊)发来订舱托书"/>
    <x v="52"/>
    <x v="0"/>
    <m/>
    <n v="-6"/>
  </r>
  <r>
    <x v="1"/>
    <x v="31"/>
    <n v="2"/>
    <s v="收到CK发来预配(做箱通知，沈丽有收到？)"/>
    <x v="34"/>
    <x v="0"/>
    <m/>
    <n v="-5"/>
  </r>
  <r>
    <x v="1"/>
    <x v="31"/>
    <n v="3"/>
    <s v="YJC系统生成单子"/>
    <x v="34"/>
    <x v="0"/>
    <m/>
    <n v="-5"/>
  </r>
  <r>
    <x v="1"/>
    <x v="31"/>
    <n v="4"/>
    <s v="收到包装厂(刘倩梅)发来包装指示书和装箱计划"/>
    <x v="34"/>
    <x v="0"/>
    <s v="一般周四"/>
    <n v="-5"/>
  </r>
  <r>
    <x v="1"/>
    <x v="31"/>
    <n v="5"/>
    <s v="根据装箱计划汇总包装数据，发各工厂做报关资料"/>
    <x v="35"/>
    <x v="0"/>
    <m/>
    <n v="-4"/>
  </r>
  <r>
    <x v="1"/>
    <x v="31"/>
    <n v="6"/>
    <s v="做做箱数据，邮件群发(查开港时间，注明做箱时间)"/>
    <x v="35"/>
    <x v="0"/>
    <m/>
    <n v="-4"/>
  </r>
  <r>
    <x v="1"/>
    <x v="31"/>
    <n v="7"/>
    <s v="通知进港"/>
    <x v="35"/>
    <x v="0"/>
    <s v="调整顺序"/>
    <n v="-4"/>
  </r>
  <r>
    <x v="1"/>
    <x v="31"/>
    <n v="7.1"/>
    <s v="确认一下开港时间，看做箱时间要不要变"/>
    <x v="35"/>
    <x v="0"/>
    <s v="周六"/>
    <n v="-4"/>
  </r>
  <r>
    <x v="1"/>
    <x v="31"/>
    <n v="8"/>
    <s v="进港(核对数据)"/>
    <x v="58"/>
    <x v="0"/>
    <s v="调整顺序"/>
    <n v="-1"/>
  </r>
  <r>
    <x v="1"/>
    <x v="31"/>
    <n v="9"/>
    <s v="收到工厂发来报关资料并完善(代做报关资料跟客户确认)"/>
    <x v="58"/>
    <x v="0"/>
    <s v="当天至隔天"/>
    <n v="-1"/>
  </r>
  <r>
    <x v="1"/>
    <x v="31"/>
    <n v="10"/>
    <s v="报关资料齐了（光成要素划掉XXX），发报关行(黄寅文)"/>
    <x v="58"/>
    <x v="0"/>
    <m/>
    <n v="-1"/>
  </r>
  <r>
    <x v="1"/>
    <x v="31"/>
    <n v="11"/>
    <s v="货运模板/发票/箱单"/>
    <x v="58"/>
    <x v="0"/>
    <m/>
    <n v="-1"/>
  </r>
  <r>
    <x v="1"/>
    <x v="31"/>
    <n v="12"/>
    <s v="收到车队(沈丽)装箱单和洋山提箱截图(如有)，9点前群发，通知发舱单"/>
    <x v="58"/>
    <x v="0"/>
    <s v="一般KMM五、HMI日"/>
    <n v="-1"/>
  </r>
  <r>
    <x v="1"/>
    <x v="31"/>
    <n v="13"/>
    <s v="收到舱单发送成功通知，核对舱单信息"/>
    <x v="58"/>
    <x v="0"/>
    <m/>
    <n v="-1"/>
  </r>
  <r>
    <x v="1"/>
    <x v="31"/>
    <n v="14"/>
    <s v="通知报关（洋山发装箱单）"/>
    <x v="58"/>
    <x v="0"/>
    <s v="调整顺序"/>
    <n v="-1"/>
  </r>
  <r>
    <x v="1"/>
    <x v="31"/>
    <n v="15"/>
    <s v="报关成功"/>
    <x v="58"/>
    <x v="0"/>
    <s v="调整顺序"/>
    <n v="-1"/>
  </r>
  <r>
    <x v="1"/>
    <x v="31"/>
    <n v="16"/>
    <s v="海放"/>
    <x v="58"/>
    <x v="0"/>
    <m/>
    <n v="-1"/>
  </r>
  <r>
    <x v="1"/>
    <x v="31"/>
    <n v="17"/>
    <s v="码放"/>
    <x v="59"/>
    <x v="2"/>
    <m/>
    <n v="1"/>
  </r>
  <r>
    <x v="1"/>
    <x v="31"/>
    <n v="18"/>
    <s v="配载"/>
    <x v="59"/>
    <x v="2"/>
    <m/>
    <n v="1"/>
  </r>
  <r>
    <x v="1"/>
    <x v="31"/>
    <n v="19"/>
    <s v="做费用(对账单日期4号)，放公共盘，填月账单表，发孙丹"/>
    <x v="59"/>
    <x v="2"/>
    <m/>
    <n v="1"/>
  </r>
  <r>
    <x v="1"/>
    <x v="31"/>
    <n v="20"/>
    <s v="船开"/>
    <x v="59"/>
    <x v="2"/>
    <m/>
    <n v="1"/>
  </r>
  <r>
    <x v="4"/>
    <x v="31"/>
    <n v="1"/>
    <s v="收到客户(陈云娣)订舱预报"/>
    <x v="56"/>
    <x v="0"/>
    <s v="一般周五发隔周"/>
    <n v="-8"/>
  </r>
  <r>
    <x v="4"/>
    <x v="31"/>
    <n v="2"/>
    <s v="填WORKING PROCESS"/>
    <x v="33"/>
    <x v="0"/>
    <m/>
    <n v="-7"/>
  </r>
  <r>
    <x v="4"/>
    <x v="31"/>
    <n v="6"/>
    <s v="公共盘生成提单号"/>
    <x v="33"/>
    <x v="0"/>
    <m/>
    <n v="-7"/>
  </r>
  <r>
    <x v="4"/>
    <x v="31"/>
    <n v="7"/>
    <s v="YJC系统生成单子"/>
    <x v="33"/>
    <x v="0"/>
    <m/>
    <n v="-7"/>
  </r>
  <r>
    <x v="4"/>
    <x v="31"/>
    <n v="8"/>
    <s v="发EDI"/>
    <x v="33"/>
    <x v="0"/>
    <m/>
    <n v="-7"/>
  </r>
  <r>
    <x v="4"/>
    <x v="31"/>
    <n v="9"/>
    <s v="邮件申请放单"/>
    <x v="33"/>
    <x v="0"/>
    <m/>
    <n v="-7"/>
  </r>
  <r>
    <x v="4"/>
    <x v="31"/>
    <n v="10"/>
    <s v="收到HMM(Neo) 放单确认"/>
    <x v="33"/>
    <x v="0"/>
    <s v="一般半天内"/>
    <n v="-7"/>
  </r>
  <r>
    <x v="4"/>
    <x v="31"/>
    <n v="11"/>
    <s v="HMM网站核对订舱信息"/>
    <x v="33"/>
    <x v="0"/>
    <m/>
    <n v="-7"/>
  </r>
  <r>
    <x v="4"/>
    <x v="31"/>
    <n v="12"/>
    <s v="收到客户(陈云娣)做箱通知"/>
    <x v="34"/>
    <x v="0"/>
    <s v="一般做箱头天一早"/>
    <n v="-5"/>
  </r>
  <r>
    <x v="4"/>
    <x v="31"/>
    <n v="13"/>
    <s v="发做箱通知邮件给车队(沈丽)"/>
    <x v="34"/>
    <x v="0"/>
    <m/>
    <n v="-5"/>
  </r>
  <r>
    <x v="4"/>
    <x v="31"/>
    <n v="14"/>
    <s v="公共盘生成提单号【如需拆单】"/>
    <x v="34"/>
    <x v="0"/>
    <m/>
    <n v="-5"/>
  </r>
  <r>
    <x v="4"/>
    <x v="31"/>
    <n v="15"/>
    <s v="YJC系统生成单子【如需拆单】"/>
    <x v="34"/>
    <x v="0"/>
    <m/>
    <n v="-5"/>
  </r>
  <r>
    <x v="4"/>
    <x v="31"/>
    <n v="16"/>
    <s v="发EDI【如需拆单】"/>
    <x v="34"/>
    <x v="0"/>
    <m/>
    <n v="-5"/>
  </r>
  <r>
    <x v="4"/>
    <x v="31"/>
    <n v="17"/>
    <s v="邮件申请放单【如需拆单】"/>
    <x v="34"/>
    <x v="0"/>
    <m/>
    <n v="-5"/>
  </r>
  <r>
    <x v="4"/>
    <x v="31"/>
    <n v="18"/>
    <s v="收到HMM(Neo) 放单确认【如需拆单】"/>
    <x v="34"/>
    <x v="0"/>
    <m/>
    <n v="-5"/>
  </r>
  <r>
    <x v="4"/>
    <x v="31"/>
    <n v="19"/>
    <s v="HMM网站核对订舱信息【如需拆单】"/>
    <x v="34"/>
    <x v="0"/>
    <m/>
    <n v="-5"/>
  </r>
  <r>
    <x v="4"/>
    <x v="31"/>
    <n v="20"/>
    <s v="收到客户(陈云娣)发来报关资料"/>
    <x v="35"/>
    <x v="0"/>
    <s v="一般做箱当天一早"/>
    <n v="-4"/>
  </r>
  <r>
    <x v="4"/>
    <x v="31"/>
    <n v="21"/>
    <s v="按报关(发票)数生成提单号【如发票数超过提单数】"/>
    <x v="35"/>
    <x v="0"/>
    <m/>
    <n v="-4"/>
  </r>
  <r>
    <x v="4"/>
    <x v="31"/>
    <n v="22"/>
    <s v="做做箱数据，QQ发车队(沈丽)"/>
    <x v="35"/>
    <x v="0"/>
    <m/>
    <n v="-4"/>
  </r>
  <r>
    <x v="4"/>
    <x v="31"/>
    <n v="23"/>
    <s v="收到车队(沈丽)装箱单，转发客户（陈云娣）"/>
    <x v="35"/>
    <x v="0"/>
    <s v="一般马上"/>
    <n v="-4"/>
  </r>
  <r>
    <x v="4"/>
    <x v="31"/>
    <n v="24"/>
    <s v="YJC系统截单，发EDI，邮件HMM(He)【截单时间】"/>
    <x v="35"/>
    <x v="0"/>
    <s v="注意截单时间"/>
    <n v="-4"/>
  </r>
  <r>
    <x v="4"/>
    <x v="31"/>
    <n v="25"/>
    <s v="发VGM和舱单（亿通，鹏海两次）"/>
    <x v="35"/>
    <x v="0"/>
    <m/>
    <n v="-4"/>
  </r>
  <r>
    <x v="4"/>
    <x v="31"/>
    <n v="26"/>
    <s v="做报关资料，扫描发报关行(黄寅文)QQ，要校对稿"/>
    <x v="35"/>
    <x v="0"/>
    <m/>
    <n v="-4"/>
  </r>
  <r>
    <x v="4"/>
    <x v="31"/>
    <n v="27"/>
    <s v="做保函给邹师傅"/>
    <x v="35"/>
    <x v="0"/>
    <m/>
    <n v="-4"/>
  </r>
  <r>
    <x v="4"/>
    <x v="31"/>
    <n v="28"/>
    <s v="做ISF，发国外资料"/>
    <x v="35"/>
    <x v="0"/>
    <m/>
    <n v="-4"/>
  </r>
  <r>
    <x v="4"/>
    <x v="31"/>
    <n v="29"/>
    <s v="买保险"/>
    <x v="35"/>
    <x v="0"/>
    <m/>
    <n v="-4"/>
  </r>
  <r>
    <x v="4"/>
    <x v="31"/>
    <n v="31"/>
    <s v="收到HMM(He)生成提单通知"/>
    <x v="35"/>
    <x v="0"/>
    <s v="一般马上"/>
    <n v="-4"/>
  </r>
  <r>
    <x v="4"/>
    <x v="31"/>
    <n v="32"/>
    <s v="HMM网站核对提单信息"/>
    <x v="35"/>
    <x v="0"/>
    <m/>
    <n v="-4"/>
  </r>
  <r>
    <x v="4"/>
    <x v="31"/>
    <n v="33"/>
    <s v="盯海关网站舱单"/>
    <x v="35"/>
    <x v="0"/>
    <s v="一般两小时左右"/>
    <n v="-4"/>
  </r>
  <r>
    <x v="4"/>
    <x v="31"/>
    <n v="34"/>
    <s v="核对舱单信息"/>
    <x v="35"/>
    <x v="0"/>
    <m/>
    <n v="-4"/>
  </r>
  <r>
    <x v="4"/>
    <x v="31"/>
    <n v="35"/>
    <s v="收到报关行(黄寅文)校对稿，邮件发客户(陈云娣)确认"/>
    <x v="36"/>
    <x v="0"/>
    <s v="一般半天内"/>
    <n v="-3"/>
  </r>
  <r>
    <x v="4"/>
    <x v="31"/>
    <n v="36"/>
    <s v="收到客户(陈云娣)确认校对稿"/>
    <x v="36"/>
    <x v="0"/>
    <s v="一般马上"/>
    <n v="-3"/>
  </r>
  <r>
    <x v="4"/>
    <x v="31"/>
    <n v="37"/>
    <s v="通知车队(沈丽)可进港"/>
    <x v="62"/>
    <x v="0"/>
    <m/>
    <n v="-2"/>
  </r>
  <r>
    <x v="4"/>
    <x v="31"/>
    <n v="38"/>
    <s v="盯箱子进港，有落箱费？"/>
    <x v="58"/>
    <x v="0"/>
    <m/>
    <n v="-1"/>
  </r>
  <r>
    <x v="4"/>
    <x v="31"/>
    <n v="39"/>
    <s v="核对进港数据"/>
    <x v="58"/>
    <x v="0"/>
    <m/>
    <n v="-1"/>
  </r>
  <r>
    <x v="4"/>
    <x v="31"/>
    <n v="40"/>
    <s v="通知报关行(黄寅文)报关(开港、舱单、校对)（洋山提供装箱单）"/>
    <x v="58"/>
    <x v="0"/>
    <m/>
    <n v="-1"/>
  </r>
  <r>
    <x v="4"/>
    <x v="31"/>
    <n v="41"/>
    <s v="收到报关成功通知"/>
    <x v="58"/>
    <x v="0"/>
    <s v="一般下班前"/>
    <n v="-1"/>
  </r>
  <r>
    <x v="4"/>
    <x v="31"/>
    <n v="42"/>
    <s v="盯海放"/>
    <x v="58"/>
    <x v="0"/>
    <m/>
    <n v="-1"/>
  </r>
  <r>
    <x v="4"/>
    <x v="31"/>
    <n v="43"/>
    <s v="盯码放"/>
    <x v="58"/>
    <x v="0"/>
    <m/>
    <n v="-1"/>
  </r>
  <r>
    <x v="4"/>
    <x v="31"/>
    <n v="44"/>
    <s v="盯配载"/>
    <x v="37"/>
    <x v="0"/>
    <m/>
    <n v="0"/>
  </r>
  <r>
    <x v="4"/>
    <x v="31"/>
    <n v="45"/>
    <s v="做费用(月初等汇率)，发账单给石磊"/>
    <x v="59"/>
    <x v="2"/>
    <m/>
    <n v="1"/>
  </r>
  <r>
    <x v="4"/>
    <x v="31"/>
    <n v="46"/>
    <s v="船开"/>
    <x v="60"/>
    <x v="2"/>
    <m/>
    <n v="2"/>
  </r>
  <r>
    <x v="4"/>
    <x v="31"/>
    <n v="47"/>
    <s v="放提单、预录单、放行单（PHISON、石磊、陈云娣）"/>
    <x v="60"/>
    <x v="2"/>
    <s v="一般开船后两三天"/>
    <n v="2"/>
  </r>
  <r>
    <x v="2"/>
    <x v="31"/>
    <n v="1"/>
    <s v="收到客户(孙丹/王珊)发来订舱托书"/>
    <x v="19"/>
    <x v="0"/>
    <m/>
    <n v="-12"/>
  </r>
  <r>
    <x v="2"/>
    <x v="31"/>
    <n v="2"/>
    <s v="收到CK发来预配(做箱通知，沈丽有收到？)"/>
    <x v="19"/>
    <x v="0"/>
    <m/>
    <n v="-12"/>
  </r>
  <r>
    <x v="2"/>
    <x v="31"/>
    <n v="3"/>
    <s v="YJC系统生成单子"/>
    <x v="19"/>
    <x v="0"/>
    <m/>
    <n v="-12"/>
  </r>
  <r>
    <x v="2"/>
    <x v="31"/>
    <n v="4"/>
    <s v="收到包装厂(刘倩梅)发来包装指示书和装箱计划"/>
    <x v="34"/>
    <x v="0"/>
    <s v="一般周四"/>
    <n v="-5"/>
  </r>
  <r>
    <x v="2"/>
    <x v="31"/>
    <n v="5"/>
    <s v="根据装箱计划汇总包装数据，发各工厂做报关资料"/>
    <x v="34"/>
    <x v="0"/>
    <m/>
    <n v="-5"/>
  </r>
  <r>
    <x v="2"/>
    <x v="31"/>
    <n v="6"/>
    <s v="做做箱数据，邮件群发(查开港时间，注明做箱时间，洋提)"/>
    <x v="34"/>
    <x v="0"/>
    <m/>
    <n v="-5"/>
  </r>
  <r>
    <x v="2"/>
    <x v="31"/>
    <n v="7"/>
    <s v="收到工厂发来报关资料并完善(代做报关资料跟客户确认)"/>
    <x v="34"/>
    <x v="0"/>
    <s v="当天至隔天"/>
    <n v="-5"/>
  </r>
  <r>
    <x v="2"/>
    <x v="31"/>
    <n v="8"/>
    <s v="报关资料齐了（光成要素划掉XXX），发报关行(黄寅文)"/>
    <x v="34"/>
    <x v="0"/>
    <m/>
    <n v="-5"/>
  </r>
  <r>
    <x v="2"/>
    <x v="31"/>
    <n v="9"/>
    <s v="货运模板/发票/箱单"/>
    <x v="35"/>
    <x v="0"/>
    <m/>
    <n v="-4"/>
  </r>
  <r>
    <x v="2"/>
    <x v="31"/>
    <n v="10"/>
    <s v="收到车队(沈丽)装箱单和洋山提箱截图(如有)，9点前群发，通知发舱单"/>
    <x v="35"/>
    <x v="0"/>
    <s v="一般KMM五、HMI日"/>
    <n v="-4"/>
  </r>
  <r>
    <x v="2"/>
    <x v="31"/>
    <n v="11"/>
    <s v="收到舱单发送成功通知，核对舱单信息"/>
    <x v="35"/>
    <x v="0"/>
    <m/>
    <n v="-4"/>
  </r>
  <r>
    <x v="2"/>
    <x v="31"/>
    <n v="12"/>
    <s v="通知报关（洋山发装箱单）"/>
    <x v="35"/>
    <x v="0"/>
    <s v="调整顺序"/>
    <n v="-4"/>
  </r>
  <r>
    <x v="2"/>
    <x v="31"/>
    <n v="13"/>
    <s v="报关成功"/>
    <x v="35"/>
    <x v="0"/>
    <s v="调整顺序"/>
    <n v="-4"/>
  </r>
  <r>
    <x v="2"/>
    <x v="31"/>
    <n v="14"/>
    <s v="通知进港"/>
    <x v="35"/>
    <x v="0"/>
    <s v="调整顺序"/>
    <n v="-4"/>
  </r>
  <r>
    <x v="2"/>
    <x v="31"/>
    <n v="15"/>
    <s v="进港(核对数据)"/>
    <x v="36"/>
    <x v="0"/>
    <s v="调整顺序"/>
    <n v="-3"/>
  </r>
  <r>
    <x v="2"/>
    <x v="31"/>
    <n v="16"/>
    <s v="海放"/>
    <x v="36"/>
    <x v="0"/>
    <m/>
    <n v="-3"/>
  </r>
  <r>
    <x v="2"/>
    <x v="31"/>
    <n v="17"/>
    <s v="码放"/>
    <x v="58"/>
    <x v="0"/>
    <m/>
    <n v="-1"/>
  </r>
  <r>
    <x v="2"/>
    <x v="31"/>
    <n v="18"/>
    <s v="配载"/>
    <x v="37"/>
    <x v="0"/>
    <m/>
    <n v="0"/>
  </r>
  <r>
    <x v="2"/>
    <x v="31"/>
    <n v="19"/>
    <s v="做费用(对账单日期4号)，放公共盘，填月账单表，发孙丹"/>
    <x v="59"/>
    <x v="2"/>
    <m/>
    <n v="1"/>
  </r>
  <r>
    <x v="2"/>
    <x v="31"/>
    <n v="20"/>
    <s v="船开"/>
    <x v="59"/>
    <x v="2"/>
    <m/>
    <n v="1"/>
  </r>
  <r>
    <x v="8"/>
    <x v="32"/>
    <n v="1"/>
    <s v="收到托书"/>
    <x v="34"/>
    <x v="0"/>
    <m/>
    <n v="-5"/>
  </r>
  <r>
    <x v="8"/>
    <x v="32"/>
    <n v="2"/>
    <s v="问怎么看截单日期"/>
    <x v="35"/>
    <x v="0"/>
    <m/>
    <n v="-4"/>
  </r>
  <r>
    <x v="8"/>
    <x v="32"/>
    <n v="3"/>
    <s v="沈丽确认拖车费用"/>
    <x v="58"/>
    <x v="0"/>
    <m/>
    <n v="-1"/>
  </r>
  <r>
    <x v="8"/>
    <x v="32"/>
    <n v="4"/>
    <s v="YJC系统录入"/>
    <x v="62"/>
    <x v="0"/>
    <m/>
    <n v="-2"/>
  </r>
  <r>
    <x v="8"/>
    <x v="32"/>
    <n v="5"/>
    <s v="研究KMTC如何截单，如何发舱单，如何发VGM。"/>
    <x v="37"/>
    <x v="1"/>
    <m/>
    <n v="0"/>
  </r>
  <r>
    <x v="8"/>
    <x v="32"/>
    <n v="6"/>
    <s v="确认报关资料谁给什么时间给"/>
    <x v="37"/>
    <x v="1"/>
    <m/>
    <n v="0"/>
  </r>
  <r>
    <x v="8"/>
    <x v="32"/>
    <n v="6.5"/>
    <s v="确认开港时间，要不要推迟做箱"/>
    <x v="58"/>
    <x v="0"/>
    <m/>
    <n v="-1"/>
  </r>
  <r>
    <x v="8"/>
    <x v="32"/>
    <n v="7"/>
    <s v="收到车队(沈丽)装箱单和洋山提箱截图(如有)已收到装箱单"/>
    <x v="37"/>
    <x v="1"/>
    <m/>
    <n v="0"/>
  </r>
  <r>
    <x v="8"/>
    <x v="32"/>
    <n v="8"/>
    <s v="收到报关资料，完善报关单，发报关行。"/>
    <x v="37"/>
    <x v="1"/>
    <m/>
    <n v="0"/>
  </r>
  <r>
    <x v="8"/>
    <x v="32"/>
    <n v="9"/>
    <s v="截单，发舱单，发VGM"/>
    <x v="37"/>
    <x v="1"/>
    <m/>
    <n v="0"/>
  </r>
  <r>
    <x v="8"/>
    <x v="32"/>
    <n v="10"/>
    <s v="提单确认件发客户确认"/>
    <x v="37"/>
    <x v="1"/>
    <m/>
    <n v="0"/>
  </r>
  <r>
    <x v="8"/>
    <x v="32"/>
    <n v="11"/>
    <s v="客户确认提单"/>
    <x v="37"/>
    <x v="1"/>
    <m/>
    <n v="0"/>
  </r>
  <r>
    <x v="8"/>
    <x v="32"/>
    <n v="12"/>
    <s v="核对舱单信息"/>
    <x v="37"/>
    <x v="1"/>
    <m/>
    <n v="0"/>
  </r>
  <r>
    <x v="8"/>
    <x v="32"/>
    <n v="13"/>
    <s v="进港(核对数据)"/>
    <x v="37"/>
    <x v="1"/>
    <m/>
    <n v="0"/>
  </r>
  <r>
    <x v="8"/>
    <x v="32"/>
    <n v="14"/>
    <s v="通知报关（洋山发装箱单）"/>
    <x v="37"/>
    <x v="1"/>
    <m/>
    <n v="0"/>
  </r>
  <r>
    <x v="8"/>
    <x v="32"/>
    <n v="15"/>
    <s v="报关成功"/>
    <x v="37"/>
    <x v="1"/>
    <m/>
    <n v="0"/>
  </r>
  <r>
    <x v="8"/>
    <x v="32"/>
    <n v="15"/>
    <s v="码放"/>
    <x v="63"/>
    <x v="2"/>
    <m/>
    <n v="4"/>
  </r>
  <r>
    <x v="8"/>
    <x v="32"/>
    <n v="16"/>
    <s v="配载"/>
    <x v="64"/>
    <x v="2"/>
    <m/>
    <n v="5"/>
  </r>
  <r>
    <x v="8"/>
    <x v="32"/>
    <n v="17"/>
    <s v="做费用(对账单日期4号)，放公共盘，填月账单表，发孙丹"/>
    <x v="65"/>
    <x v="2"/>
    <m/>
    <n v="6"/>
  </r>
  <r>
    <x v="8"/>
    <x v="32"/>
    <n v="18"/>
    <s v="船开"/>
    <x v="65"/>
    <x v="2"/>
    <m/>
    <n v="6"/>
  </r>
  <r>
    <x v="4"/>
    <x v="32"/>
    <n v="1"/>
    <s v="收到客户(陈云娣)订舱预报"/>
    <x v="56"/>
    <x v="0"/>
    <s v="一般周五发隔周"/>
    <n v="-8"/>
  </r>
  <r>
    <x v="4"/>
    <x v="32"/>
    <n v="2"/>
    <s v="填WORKING PROCESS"/>
    <x v="33"/>
    <x v="0"/>
    <m/>
    <n v="-7"/>
  </r>
  <r>
    <x v="4"/>
    <x v="32"/>
    <n v="6"/>
    <s v="公共盘生成提单号"/>
    <x v="33"/>
    <x v="0"/>
    <m/>
    <n v="-7"/>
  </r>
  <r>
    <x v="4"/>
    <x v="32"/>
    <n v="7"/>
    <s v="YJC系统生成单子"/>
    <x v="33"/>
    <x v="0"/>
    <m/>
    <n v="-7"/>
  </r>
  <r>
    <x v="4"/>
    <x v="32"/>
    <n v="8"/>
    <s v="发EDI"/>
    <x v="33"/>
    <x v="0"/>
    <m/>
    <n v="-7"/>
  </r>
  <r>
    <x v="4"/>
    <x v="32"/>
    <n v="9"/>
    <s v="邮件申请放单"/>
    <x v="33"/>
    <x v="0"/>
    <m/>
    <n v="-7"/>
  </r>
  <r>
    <x v="4"/>
    <x v="32"/>
    <n v="10"/>
    <s v="收到HMM(Neo) 放单确认"/>
    <x v="33"/>
    <x v="0"/>
    <s v="一般半天内"/>
    <n v="-7"/>
  </r>
  <r>
    <x v="4"/>
    <x v="32"/>
    <n v="11"/>
    <s v="HMM网站核对订舱信息"/>
    <x v="33"/>
    <x v="0"/>
    <m/>
    <n v="-7"/>
  </r>
  <r>
    <x v="4"/>
    <x v="32"/>
    <n v="12"/>
    <s v="收到客户(陈云娣)做箱通知"/>
    <x v="58"/>
    <x v="0"/>
    <s v="一般做箱头天一早"/>
    <n v="-1"/>
  </r>
  <r>
    <x v="4"/>
    <x v="32"/>
    <n v="13"/>
    <s v="发做箱通知邮件给车队(沈丽)"/>
    <x v="58"/>
    <x v="0"/>
    <m/>
    <n v="-1"/>
  </r>
  <r>
    <x v="4"/>
    <x v="32"/>
    <n v="14"/>
    <s v="公共盘生成提单号【如需拆单】"/>
    <x v="58"/>
    <x v="0"/>
    <m/>
    <n v="-1"/>
  </r>
  <r>
    <x v="4"/>
    <x v="32"/>
    <n v="15"/>
    <s v="YJC系统生成单子【如需拆单】"/>
    <x v="58"/>
    <x v="0"/>
    <m/>
    <n v="-1"/>
  </r>
  <r>
    <x v="4"/>
    <x v="32"/>
    <n v="16"/>
    <s v="发EDI【如需拆单】"/>
    <x v="58"/>
    <x v="0"/>
    <m/>
    <n v="-1"/>
  </r>
  <r>
    <x v="4"/>
    <x v="32"/>
    <n v="17"/>
    <s v="邮件申请放单【如需拆单】"/>
    <x v="58"/>
    <x v="0"/>
    <m/>
    <n v="-1"/>
  </r>
  <r>
    <x v="4"/>
    <x v="32"/>
    <n v="18"/>
    <s v="收到HMM(Neo) 放单确认【如需拆单】"/>
    <x v="58"/>
    <x v="0"/>
    <m/>
    <n v="-1"/>
  </r>
  <r>
    <x v="4"/>
    <x v="32"/>
    <n v="19"/>
    <s v="HMM网站核对订舱信息【如需拆单】"/>
    <x v="58"/>
    <x v="0"/>
    <m/>
    <n v="-1"/>
  </r>
  <r>
    <x v="4"/>
    <x v="32"/>
    <n v="20"/>
    <s v="收到客户(陈云娣)发来报关资料"/>
    <x v="37"/>
    <x v="0"/>
    <s v="一般做箱当天一早"/>
    <n v="0"/>
  </r>
  <r>
    <x v="4"/>
    <x v="32"/>
    <n v="21"/>
    <s v="按报关(发票)数生成提单号【如发票数超过提单数】"/>
    <x v="37"/>
    <x v="0"/>
    <m/>
    <n v="0"/>
  </r>
  <r>
    <x v="4"/>
    <x v="32"/>
    <n v="22"/>
    <s v="做做箱数据，QQ发车队(沈丽)"/>
    <x v="37"/>
    <x v="0"/>
    <m/>
    <n v="0"/>
  </r>
  <r>
    <x v="4"/>
    <x v="32"/>
    <n v="23"/>
    <s v="收到车队(沈丽)装箱单，转发客户（陈云娣）"/>
    <x v="37"/>
    <x v="0"/>
    <s v="一般马上"/>
    <n v="0"/>
  </r>
  <r>
    <x v="4"/>
    <x v="32"/>
    <n v="24"/>
    <s v="YJC系统截单，发EDI，邮件HMM(He)【截单时间】"/>
    <x v="37"/>
    <x v="0"/>
    <s v="注意截单时间"/>
    <n v="0"/>
  </r>
  <r>
    <x v="4"/>
    <x v="32"/>
    <n v="25"/>
    <s v="发VGM和舱单（亿通，鹏海两次）"/>
    <x v="37"/>
    <x v="0"/>
    <m/>
    <n v="0"/>
  </r>
  <r>
    <x v="4"/>
    <x v="32"/>
    <n v="26"/>
    <s v="做报关资料，扫描发报关行(黄寅文)QQ，要校对稿"/>
    <x v="37"/>
    <x v="0"/>
    <m/>
    <n v="0"/>
  </r>
  <r>
    <x v="4"/>
    <x v="32"/>
    <n v="27"/>
    <s v="做保函给邹师傅"/>
    <x v="37"/>
    <x v="0"/>
    <m/>
    <n v="0"/>
  </r>
  <r>
    <x v="4"/>
    <x v="32"/>
    <n v="28"/>
    <s v="做ISF，发国外资料"/>
    <x v="37"/>
    <x v="2"/>
    <m/>
    <n v="0"/>
  </r>
  <r>
    <x v="4"/>
    <x v="32"/>
    <n v="29"/>
    <s v="买保险"/>
    <x v="37"/>
    <x v="2"/>
    <m/>
    <n v="0"/>
  </r>
  <r>
    <x v="4"/>
    <x v="32"/>
    <n v="31"/>
    <s v="收到HMM(He)生成提单通知"/>
    <x v="37"/>
    <x v="0"/>
    <s v="一般马上"/>
    <n v="0"/>
  </r>
  <r>
    <x v="4"/>
    <x v="32"/>
    <n v="32"/>
    <s v="HMM网站核对提单信息"/>
    <x v="37"/>
    <x v="0"/>
    <m/>
    <n v="0"/>
  </r>
  <r>
    <x v="4"/>
    <x v="32"/>
    <n v="33"/>
    <s v="盯海关网站舱单"/>
    <x v="37"/>
    <x v="0"/>
    <s v="一般两小时左右"/>
    <n v="0"/>
  </r>
  <r>
    <x v="4"/>
    <x v="32"/>
    <n v="34"/>
    <s v="核对舱单信息"/>
    <x v="37"/>
    <x v="0"/>
    <m/>
    <n v="0"/>
  </r>
  <r>
    <x v="4"/>
    <x v="32"/>
    <n v="35"/>
    <s v="收到报关行(黄寅文)校对稿，邮件发客户(陈云娣)确认"/>
    <x v="37"/>
    <x v="0"/>
    <s v="一般半天内"/>
    <n v="0"/>
  </r>
  <r>
    <x v="4"/>
    <x v="32"/>
    <n v="36"/>
    <s v="收到客户(陈云娣)确认校对稿"/>
    <x v="37"/>
    <x v="0"/>
    <s v="一般马上"/>
    <n v="0"/>
  </r>
  <r>
    <x v="4"/>
    <x v="32"/>
    <n v="37"/>
    <s v="通知报关行(黄寅文)报关(开港、舱单、校对)（洋山提供装箱单）"/>
    <x v="37"/>
    <x v="0"/>
    <m/>
    <n v="0"/>
  </r>
  <r>
    <x v="4"/>
    <x v="32"/>
    <n v="38"/>
    <s v="收到报关成功通知"/>
    <x v="37"/>
    <x v="0"/>
    <s v="一般下班前"/>
    <n v="0"/>
  </r>
  <r>
    <x v="4"/>
    <x v="32"/>
    <n v="39"/>
    <s v="通知车队(沈丽)可进港"/>
    <x v="37"/>
    <x v="0"/>
    <m/>
    <n v="0"/>
  </r>
  <r>
    <x v="4"/>
    <x v="32"/>
    <n v="40"/>
    <s v="盯箱子进港，关注开港时间，有落箱费？"/>
    <x v="59"/>
    <x v="2"/>
    <m/>
    <n v="1"/>
  </r>
  <r>
    <x v="4"/>
    <x v="32"/>
    <n v="41"/>
    <s v="核对进港数据"/>
    <x v="59"/>
    <x v="2"/>
    <m/>
    <n v="1"/>
  </r>
  <r>
    <x v="4"/>
    <x v="32"/>
    <n v="42"/>
    <s v="盯海放"/>
    <x v="59"/>
    <x v="2"/>
    <m/>
    <n v="1"/>
  </r>
  <r>
    <x v="4"/>
    <x v="32"/>
    <n v="43"/>
    <s v="盯码放"/>
    <x v="59"/>
    <x v="2"/>
    <m/>
    <n v="1"/>
  </r>
  <r>
    <x v="4"/>
    <x v="32"/>
    <n v="44"/>
    <s v="盯配载"/>
    <x v="60"/>
    <x v="2"/>
    <m/>
    <n v="2"/>
  </r>
  <r>
    <x v="4"/>
    <x v="32"/>
    <n v="45"/>
    <s v="做费用(月初等汇率)，发账单给石磊"/>
    <x v="60"/>
    <x v="2"/>
    <m/>
    <n v="2"/>
  </r>
  <r>
    <x v="4"/>
    <x v="32"/>
    <n v="46"/>
    <s v="船开"/>
    <x v="61"/>
    <x v="2"/>
    <m/>
    <n v="3"/>
  </r>
  <r>
    <x v="4"/>
    <x v="32"/>
    <n v="47"/>
    <s v="放提单、预录单、放行单（PHISON、石磊、陈云娣）"/>
    <x v="61"/>
    <x v="2"/>
    <s v="一般开船后两三天"/>
    <n v="3"/>
  </r>
  <r>
    <x v="9"/>
    <x v="33"/>
    <n v="1"/>
    <s v="收到订舱邮件"/>
    <x v="45"/>
    <x v="0"/>
    <m/>
    <n v="-18"/>
  </r>
  <r>
    <x v="9"/>
    <x v="33"/>
    <n v="2"/>
    <s v="MSK网站订舱"/>
    <x v="45"/>
    <x v="0"/>
    <m/>
    <n v="-18"/>
  </r>
  <r>
    <x v="9"/>
    <x v="33"/>
    <n v="3"/>
    <s v="MSK网站有了截单时间"/>
    <x v="50"/>
    <x v="0"/>
    <s v="此时间之前要有"/>
    <n v="-15"/>
  </r>
  <r>
    <x v="9"/>
    <x v="33"/>
    <n v="4"/>
    <s v="发做箱通知邮件给车队(沈丽)，参考968603508"/>
    <x v="58"/>
    <x v="0"/>
    <m/>
    <n v="-1"/>
  </r>
  <r>
    <x v="9"/>
    <x v="33"/>
    <n v="5"/>
    <s v="申请外港提箱？"/>
    <x v="58"/>
    <x v="0"/>
    <s v="无此需求"/>
    <n v="-1"/>
  </r>
  <r>
    <x v="9"/>
    <x v="33"/>
    <n v="6"/>
    <m/>
    <x v="66"/>
    <x v="3"/>
    <m/>
    <n v="-43648"/>
  </r>
  <r>
    <x v="9"/>
    <x v="33"/>
    <n v="7"/>
    <s v="代发AMS申请邮件，参考968603508"/>
    <x v="61"/>
    <x v="2"/>
    <s v="？"/>
    <n v="3"/>
  </r>
  <r>
    <x v="9"/>
    <x v="33"/>
    <n v="8"/>
    <s v="发提单确认给国外，参考968603508"/>
    <x v="61"/>
    <x v="2"/>
    <s v="？"/>
    <n v="3"/>
  </r>
  <r>
    <x v="9"/>
    <x v="33"/>
    <n v="9"/>
    <s v="确认HBL为首尔预付，参考968603508"/>
    <x v="61"/>
    <x v="2"/>
    <s v="？"/>
    <n v="3"/>
  </r>
  <r>
    <x v="9"/>
    <x v="33"/>
    <n v="10"/>
    <s v="销账？，参考968603508"/>
    <x v="61"/>
    <x v="2"/>
    <s v="？"/>
    <n v="3"/>
  </r>
  <r>
    <x v="9"/>
    <x v="33"/>
    <n v="11"/>
    <s v="收RECEIPT，发提单，参考968603508"/>
    <x v="67"/>
    <x v="2"/>
    <s v="？"/>
    <n v="9"/>
  </r>
  <r>
    <x v="8"/>
    <x v="34"/>
    <n v="1"/>
    <s v="收到托书"/>
    <x v="33"/>
    <x v="0"/>
    <m/>
    <n v="-7"/>
  </r>
  <r>
    <x v="8"/>
    <x v="34"/>
    <n v="2"/>
    <s v="订舱"/>
    <x v="33"/>
    <x v="0"/>
    <m/>
    <n v="-7"/>
  </r>
  <r>
    <x v="8"/>
    <x v="34"/>
    <n v="3"/>
    <s v="YJC系统录入"/>
    <x v="62"/>
    <x v="0"/>
    <m/>
    <n v="-2"/>
  </r>
  <r>
    <x v="8"/>
    <x v="34"/>
    <n v="4"/>
    <s v="研究KMTC如何截单，如何发舱单，如何发VGM。"/>
    <x v="37"/>
    <x v="2"/>
    <m/>
    <n v="0"/>
  </r>
  <r>
    <x v="8"/>
    <x v="34"/>
    <n v="5"/>
    <s v="确认报关资料谁给什么时间给"/>
    <x v="37"/>
    <x v="2"/>
    <m/>
    <n v="0"/>
  </r>
  <r>
    <x v="8"/>
    <x v="34"/>
    <n v="5.0999999999999996"/>
    <s v="确认开港时间，要不要推迟做箱"/>
    <x v="58"/>
    <x v="0"/>
    <m/>
    <n v="-1"/>
  </r>
  <r>
    <x v="8"/>
    <x v="34"/>
    <n v="6"/>
    <s v="收到报关资料，完善报关单，发报关行。"/>
    <x v="37"/>
    <x v="2"/>
    <m/>
    <n v="0"/>
  </r>
  <r>
    <x v="8"/>
    <x v="34"/>
    <n v="7"/>
    <s v="收到车队(沈丽)装箱单和洋山提箱截图(如有)【5个】已收到装箱单"/>
    <x v="37"/>
    <x v="2"/>
    <m/>
    <n v="0"/>
  </r>
  <r>
    <x v="8"/>
    <x v="34"/>
    <n v="8"/>
    <s v="收到车队(沈丽)装箱单和洋山提箱截图(如有)【5个】"/>
    <x v="60"/>
    <x v="2"/>
    <m/>
    <n v="2"/>
  </r>
  <r>
    <x v="8"/>
    <x v="34"/>
    <n v="9"/>
    <s v="发舱单，VGM，截单"/>
    <x v="60"/>
    <x v="2"/>
    <m/>
    <n v="2"/>
  </r>
  <r>
    <x v="8"/>
    <x v="34"/>
    <n v="10"/>
    <s v="核对舱单信息"/>
    <x v="60"/>
    <x v="2"/>
    <m/>
    <n v="2"/>
  </r>
  <r>
    <x v="8"/>
    <x v="34"/>
    <n v="11"/>
    <s v="进港(核对数据)"/>
    <x v="60"/>
    <x v="2"/>
    <m/>
    <n v="2"/>
  </r>
  <r>
    <x v="8"/>
    <x v="34"/>
    <n v="12"/>
    <s v="通知报关（洋山发装箱单）"/>
    <x v="60"/>
    <x v="2"/>
    <m/>
    <n v="2"/>
  </r>
  <r>
    <x v="8"/>
    <x v="34"/>
    <n v="13"/>
    <s v="报关成功"/>
    <x v="60"/>
    <x v="2"/>
    <m/>
    <n v="2"/>
  </r>
  <r>
    <x v="8"/>
    <x v="34"/>
    <n v="14"/>
    <s v="海放"/>
    <x v="60"/>
    <x v="2"/>
    <m/>
    <n v="2"/>
  </r>
  <r>
    <x v="8"/>
    <x v="34"/>
    <n v="15"/>
    <s v="码放"/>
    <x v="63"/>
    <x v="2"/>
    <m/>
    <n v="4"/>
  </r>
  <r>
    <x v="8"/>
    <x v="34"/>
    <n v="16"/>
    <s v="配载"/>
    <x v="64"/>
    <x v="2"/>
    <m/>
    <n v="5"/>
  </r>
  <r>
    <x v="8"/>
    <x v="35"/>
    <n v="1"/>
    <s v="收到CK Nikki发来做箱通知"/>
    <x v="35"/>
    <x v="0"/>
    <m/>
    <n v="-4"/>
  </r>
  <r>
    <x v="8"/>
    <x v="35"/>
    <n v="2"/>
    <s v="YJC系统生成"/>
    <x v="62"/>
    <x v="0"/>
    <m/>
    <n v="-2"/>
  </r>
  <r>
    <x v="8"/>
    <x v="35"/>
    <n v="3"/>
    <s v="确认报关资料谁给什么时间给？有没有复量数据等？什么时间做箱？"/>
    <x v="37"/>
    <x v="2"/>
    <m/>
    <n v="0"/>
  </r>
  <r>
    <x v="8"/>
    <x v="35"/>
    <n v="4"/>
    <s v="收到报关资料，完善报关单，发报关行。"/>
    <x v="37"/>
    <x v="2"/>
    <m/>
    <n v="0"/>
  </r>
  <r>
    <x v="8"/>
    <x v="35"/>
    <n v="5"/>
    <s v="收到车队(沈丽)装箱单和洋山提箱截图(如有)，9点前群发，通知发舱单"/>
    <x v="37"/>
    <x v="2"/>
    <m/>
    <n v="0"/>
  </r>
  <r>
    <x v="8"/>
    <x v="35"/>
    <n v="6"/>
    <s v="收到舱单发送成功通知，核对舱单信息"/>
    <x v="37"/>
    <x v="2"/>
    <m/>
    <n v="0"/>
  </r>
  <r>
    <x v="8"/>
    <x v="35"/>
    <n v="7"/>
    <s v="通知进港"/>
    <x v="37"/>
    <x v="2"/>
    <m/>
    <n v="0"/>
  </r>
  <r>
    <x v="8"/>
    <x v="35"/>
    <n v="8"/>
    <s v="进港(核对数据)"/>
    <x v="37"/>
    <x v="2"/>
    <m/>
    <n v="0"/>
  </r>
  <r>
    <x v="8"/>
    <x v="35"/>
    <n v="9"/>
    <s v="通知报关（洋山发装箱单）"/>
    <x v="37"/>
    <x v="2"/>
    <m/>
    <n v="0"/>
  </r>
  <r>
    <x v="8"/>
    <x v="35"/>
    <n v="10"/>
    <s v="报关成功"/>
    <x v="37"/>
    <x v="2"/>
    <m/>
    <n v="0"/>
  </r>
  <r>
    <x v="8"/>
    <x v="35"/>
    <n v="11"/>
    <s v="海放"/>
    <x v="37"/>
    <x v="2"/>
    <m/>
    <n v="0"/>
  </r>
  <r>
    <x v="8"/>
    <x v="35"/>
    <n v="12"/>
    <s v="码放"/>
    <x v="63"/>
    <x v="2"/>
    <m/>
    <n v="4"/>
  </r>
  <r>
    <x v="8"/>
    <x v="35"/>
    <n v="13"/>
    <s v="配载"/>
    <x v="64"/>
    <x v="2"/>
    <m/>
    <n v="5"/>
  </r>
  <r>
    <x v="8"/>
    <x v="35"/>
    <n v="14"/>
    <s v="做费用(对账单日期4号)，放公共盘，填月账单表，发孙丹"/>
    <x v="65"/>
    <x v="2"/>
    <m/>
    <n v="6"/>
  </r>
  <r>
    <x v="8"/>
    <x v="35"/>
    <n v="15"/>
    <s v="船开"/>
    <x v="65"/>
    <x v="2"/>
    <m/>
    <n v="6"/>
  </r>
  <r>
    <x v="8"/>
    <x v="36"/>
    <n v="1"/>
    <s v="收到CK Nikki发来做箱通知"/>
    <x v="35"/>
    <x v="0"/>
    <m/>
    <n v="-4"/>
  </r>
  <r>
    <x v="8"/>
    <x v="36"/>
    <n v="2"/>
    <s v="YJC系统生成"/>
    <x v="62"/>
    <x v="0"/>
    <m/>
    <n v="-2"/>
  </r>
  <r>
    <x v="8"/>
    <x v="36"/>
    <n v="3"/>
    <s v="确认报关资料谁给什么时间给？有没有复量数据等？什么时间做箱？"/>
    <x v="37"/>
    <x v="2"/>
    <m/>
    <n v="0"/>
  </r>
  <r>
    <x v="8"/>
    <x v="36"/>
    <n v="4"/>
    <s v="收到报关资料，完善报关单，发报关行。"/>
    <x v="37"/>
    <x v="2"/>
    <m/>
    <n v="0"/>
  </r>
  <r>
    <x v="8"/>
    <x v="36"/>
    <n v="5"/>
    <s v="收到车队(沈丽)装箱单和洋山提箱截图(如有)，9点前群发，通知发舱单"/>
    <x v="37"/>
    <x v="2"/>
    <s v="一般KMM五、HMI日"/>
    <n v="0"/>
  </r>
  <r>
    <x v="8"/>
    <x v="36"/>
    <n v="6"/>
    <s v="收到舱单发送成功通知，核对舱单信息"/>
    <x v="37"/>
    <x v="2"/>
    <m/>
    <n v="0"/>
  </r>
  <r>
    <x v="8"/>
    <x v="36"/>
    <n v="7"/>
    <s v="通知进港"/>
    <x v="37"/>
    <x v="2"/>
    <s v="调整顺序"/>
    <n v="0"/>
  </r>
  <r>
    <x v="8"/>
    <x v="36"/>
    <n v="8"/>
    <s v="进港(核对数据)"/>
    <x v="37"/>
    <x v="2"/>
    <s v="调整顺序"/>
    <n v="0"/>
  </r>
  <r>
    <x v="8"/>
    <x v="36"/>
    <n v="9"/>
    <s v="通知报关（洋山发装箱单）"/>
    <x v="37"/>
    <x v="2"/>
    <s v="调整顺序"/>
    <n v="0"/>
  </r>
  <r>
    <x v="8"/>
    <x v="36"/>
    <n v="10"/>
    <s v="报关成功"/>
    <x v="37"/>
    <x v="2"/>
    <s v="调整顺序"/>
    <n v="0"/>
  </r>
  <r>
    <x v="8"/>
    <x v="36"/>
    <n v="11"/>
    <s v="海放"/>
    <x v="37"/>
    <x v="2"/>
    <m/>
    <n v="0"/>
  </r>
  <r>
    <x v="8"/>
    <x v="36"/>
    <n v="12"/>
    <s v="码放"/>
    <x v="63"/>
    <x v="2"/>
    <m/>
    <n v="4"/>
  </r>
  <r>
    <x v="8"/>
    <x v="36"/>
    <n v="13"/>
    <s v="配载"/>
    <x v="64"/>
    <x v="2"/>
    <m/>
    <n v="5"/>
  </r>
  <r>
    <x v="8"/>
    <x v="36"/>
    <n v="14"/>
    <s v="做费用(对账单日期4号)，放公共盘，填月账单表，发孙丹"/>
    <x v="65"/>
    <x v="2"/>
    <m/>
    <n v="6"/>
  </r>
  <r>
    <x v="8"/>
    <x v="36"/>
    <n v="15"/>
    <s v="船开"/>
    <x v="65"/>
    <x v="2"/>
    <m/>
    <n v="6"/>
  </r>
  <r>
    <x v="1"/>
    <x v="37"/>
    <n v="1"/>
    <s v="收到客户(孙丹/王珊)发来订舱托书"/>
    <x v="34"/>
    <x v="0"/>
    <m/>
    <n v="-5"/>
  </r>
  <r>
    <x v="1"/>
    <x v="37"/>
    <n v="2"/>
    <s v="收到CK发来预配(做箱通知，沈丽有收到？)"/>
    <x v="59"/>
    <x v="2"/>
    <m/>
    <n v="1"/>
  </r>
  <r>
    <x v="1"/>
    <x v="37"/>
    <n v="3"/>
    <s v="YJC系统生成单子"/>
    <x v="59"/>
    <x v="2"/>
    <m/>
    <n v="1"/>
  </r>
  <r>
    <x v="1"/>
    <x v="37"/>
    <n v="4"/>
    <s v="收到包装厂(刘倩梅)发来包装指示书和装箱计划"/>
    <x v="60"/>
    <x v="2"/>
    <s v="一般周四"/>
    <n v="2"/>
  </r>
  <r>
    <x v="1"/>
    <x v="37"/>
    <n v="5"/>
    <s v="根据装箱计划汇总包装数据，发各工厂做报关资料"/>
    <x v="60"/>
    <x v="2"/>
    <m/>
    <n v="2"/>
  </r>
  <r>
    <x v="1"/>
    <x v="37"/>
    <n v="6"/>
    <s v="做做箱数据，邮件群发(查开港时间，注明做箱时间)"/>
    <x v="60"/>
    <x v="2"/>
    <m/>
    <n v="2"/>
  </r>
  <r>
    <x v="1"/>
    <x v="37"/>
    <n v="7"/>
    <s v="通知进港"/>
    <x v="60"/>
    <x v="2"/>
    <s v="调整顺序"/>
    <n v="2"/>
  </r>
  <r>
    <x v="1"/>
    <x v="37"/>
    <n v="7.1"/>
    <s v="确认一下开港时间，看做箱时间要不要变"/>
    <x v="63"/>
    <x v="2"/>
    <s v="周六"/>
    <n v="4"/>
  </r>
  <r>
    <x v="1"/>
    <x v="37"/>
    <n v="8"/>
    <s v="进港(核对数据)"/>
    <x v="65"/>
    <x v="2"/>
    <s v="调整顺序"/>
    <n v="6"/>
  </r>
  <r>
    <x v="1"/>
    <x v="37"/>
    <n v="9"/>
    <s v="收到工厂发来报关资料并完善(代做报关资料跟客户确认)"/>
    <x v="61"/>
    <x v="2"/>
    <s v="当天至隔天"/>
    <n v="3"/>
  </r>
  <r>
    <x v="1"/>
    <x v="37"/>
    <n v="10"/>
    <s v="报关资料齐了（光成要素划掉XXX），发报关行(黄寅文)"/>
    <x v="61"/>
    <x v="2"/>
    <m/>
    <n v="3"/>
  </r>
  <r>
    <x v="1"/>
    <x v="37"/>
    <n v="11"/>
    <s v="货运模板/发票/箱单"/>
    <x v="61"/>
    <x v="2"/>
    <m/>
    <n v="3"/>
  </r>
  <r>
    <x v="1"/>
    <x v="37"/>
    <n v="12"/>
    <s v="收到车队(沈丽)装箱单和洋山提箱截图(如有)，9点前群发，通知发舱单"/>
    <x v="65"/>
    <x v="2"/>
    <s v="一般KMM五、HMI日"/>
    <n v="6"/>
  </r>
  <r>
    <x v="1"/>
    <x v="37"/>
    <n v="13"/>
    <s v="收到舱单发送成功通知，核对舱单信息"/>
    <x v="65"/>
    <x v="2"/>
    <m/>
    <n v="6"/>
  </r>
  <r>
    <x v="1"/>
    <x v="37"/>
    <n v="14"/>
    <s v="通知报关（洋山发装箱单）"/>
    <x v="65"/>
    <x v="2"/>
    <s v="调整顺序"/>
    <n v="6"/>
  </r>
  <r>
    <x v="1"/>
    <x v="37"/>
    <n v="15"/>
    <s v="报关成功"/>
    <x v="65"/>
    <x v="2"/>
    <s v="调整顺序"/>
    <n v="6"/>
  </r>
  <r>
    <x v="1"/>
    <x v="37"/>
    <n v="16"/>
    <s v="海放"/>
    <x v="65"/>
    <x v="2"/>
    <m/>
    <n v="6"/>
  </r>
  <r>
    <x v="1"/>
    <x v="37"/>
    <n v="17"/>
    <s v="码放"/>
    <x v="68"/>
    <x v="2"/>
    <m/>
    <n v="7"/>
  </r>
  <r>
    <x v="1"/>
    <x v="37"/>
    <n v="18"/>
    <s v="配载"/>
    <x v="68"/>
    <x v="2"/>
    <m/>
    <n v="7"/>
  </r>
  <r>
    <x v="1"/>
    <x v="37"/>
    <n v="19"/>
    <s v="做费用(对账单日期4号)，放公共盘，填月账单表，发孙丹"/>
    <x v="68"/>
    <x v="2"/>
    <m/>
    <n v="7"/>
  </r>
  <r>
    <x v="1"/>
    <x v="37"/>
    <n v="20"/>
    <s v="船开"/>
    <x v="69"/>
    <x v="2"/>
    <m/>
    <n v="8"/>
  </r>
  <r>
    <x v="2"/>
    <x v="37"/>
    <n v="1"/>
    <s v="收到客户(孙丹/王珊)发来订舱托书"/>
    <x v="52"/>
    <x v="0"/>
    <m/>
    <n v="-6"/>
  </r>
  <r>
    <x v="2"/>
    <x v="37"/>
    <n v="2"/>
    <s v="收到CK发来预配(做箱通知，沈丽有收到？)"/>
    <x v="52"/>
    <x v="0"/>
    <m/>
    <n v="-6"/>
  </r>
  <r>
    <x v="2"/>
    <x v="37"/>
    <n v="3"/>
    <s v="YJC系统生成单子"/>
    <x v="34"/>
    <x v="0"/>
    <m/>
    <n v="-5"/>
  </r>
  <r>
    <x v="2"/>
    <x v="37"/>
    <n v="4"/>
    <s v="收到包装厂(刘倩梅)发来包装指示书和装箱计划"/>
    <x v="60"/>
    <x v="2"/>
    <s v="一般周四"/>
    <n v="2"/>
  </r>
  <r>
    <x v="2"/>
    <x v="37"/>
    <n v="5"/>
    <s v="根据装箱计划汇总包装数据，发各工厂做报关资料"/>
    <x v="60"/>
    <x v="2"/>
    <m/>
    <n v="2"/>
  </r>
  <r>
    <x v="2"/>
    <x v="37"/>
    <n v="6"/>
    <s v="做做箱数据，邮件群发(查开港时间，注明做箱时间)"/>
    <x v="60"/>
    <x v="2"/>
    <m/>
    <n v="2"/>
  </r>
  <r>
    <x v="2"/>
    <x v="37"/>
    <n v="7"/>
    <s v="收到工厂发来报关资料并完善(代做报关资料跟客户确认)"/>
    <x v="60"/>
    <x v="2"/>
    <s v="当天至隔天"/>
    <n v="2"/>
  </r>
  <r>
    <x v="2"/>
    <x v="37"/>
    <n v="8"/>
    <s v="报关资料齐了（光成要素划掉XXX），发报关行(黄寅文)"/>
    <x v="60"/>
    <x v="2"/>
    <m/>
    <n v="2"/>
  </r>
  <r>
    <x v="2"/>
    <x v="37"/>
    <n v="9"/>
    <s v="货运模板/发票/箱单"/>
    <x v="60"/>
    <x v="2"/>
    <m/>
    <n v="2"/>
  </r>
  <r>
    <x v="2"/>
    <x v="37"/>
    <n v="10"/>
    <s v="收到车队(沈丽)装箱单和洋山提箱截图(如有)，9点前群发，通知发舱单"/>
    <x v="60"/>
    <x v="2"/>
    <s v="一般KMM五、HMI日"/>
    <n v="2"/>
  </r>
  <r>
    <x v="2"/>
    <x v="37"/>
    <n v="11"/>
    <s v="收到舱单发送成功通知，核对舱单信息"/>
    <x v="60"/>
    <x v="2"/>
    <m/>
    <n v="2"/>
  </r>
  <r>
    <x v="2"/>
    <x v="37"/>
    <n v="12"/>
    <s v="通知进港"/>
    <x v="60"/>
    <x v="2"/>
    <s v="调整顺序"/>
    <n v="2"/>
  </r>
  <r>
    <x v="2"/>
    <x v="37"/>
    <n v="13"/>
    <s v="进港(核对数据)"/>
    <x v="60"/>
    <x v="2"/>
    <s v="调整顺序"/>
    <n v="2"/>
  </r>
  <r>
    <x v="2"/>
    <x v="37"/>
    <n v="14"/>
    <s v="通知报关（洋山发装箱单）"/>
    <x v="60"/>
    <x v="2"/>
    <s v="调整顺序"/>
    <n v="2"/>
  </r>
  <r>
    <x v="2"/>
    <x v="37"/>
    <n v="15"/>
    <s v="报关成功"/>
    <x v="60"/>
    <x v="2"/>
    <s v="调整顺序"/>
    <n v="2"/>
  </r>
  <r>
    <x v="2"/>
    <x v="37"/>
    <n v="16"/>
    <s v="海放"/>
    <x v="60"/>
    <x v="2"/>
    <m/>
    <n v="2"/>
  </r>
  <r>
    <x v="2"/>
    <x v="37"/>
    <n v="17"/>
    <s v="码放"/>
    <x v="60"/>
    <x v="2"/>
    <m/>
    <n v="2"/>
  </r>
  <r>
    <x v="2"/>
    <x v="37"/>
    <n v="18"/>
    <s v="配载"/>
    <x v="60"/>
    <x v="2"/>
    <m/>
    <n v="2"/>
  </r>
  <r>
    <x v="2"/>
    <x v="37"/>
    <n v="19"/>
    <s v="做费用(对账单日期4号)，放公共盘，填月账单表，发孙丹"/>
    <x v="60"/>
    <x v="2"/>
    <m/>
    <n v="2"/>
  </r>
  <r>
    <x v="2"/>
    <x v="37"/>
    <n v="20"/>
    <s v="船开"/>
    <x v="60"/>
    <x v="2"/>
    <m/>
    <n v="2"/>
  </r>
  <r>
    <x v="6"/>
    <x v="37"/>
    <n v="1"/>
    <s v="收到胡媛媛发来订舱邮件"/>
    <x v="34"/>
    <x v="0"/>
    <m/>
    <n v="-5"/>
  </r>
  <r>
    <x v="6"/>
    <x v="37"/>
    <n v="2"/>
    <s v="发订舱托书给万恒（翁小姐）"/>
    <x v="34"/>
    <x v="0"/>
    <m/>
    <n v="-5"/>
  </r>
  <r>
    <x v="6"/>
    <x v="37"/>
    <n v="3"/>
    <s v="收到万恒（翁小姐）预配"/>
    <x v="35"/>
    <x v="0"/>
    <s v="一般三小时左右"/>
    <n v="-4"/>
  </r>
  <r>
    <x v="6"/>
    <x v="37"/>
    <n v="4"/>
    <s v="通知胡媛媛订舱成功"/>
    <x v="34"/>
    <x v="0"/>
    <m/>
    <n v="-5"/>
  </r>
  <r>
    <x v="6"/>
    <x v="37"/>
    <n v="5"/>
    <s v="发做箱通知邮件给车队(沈丽)"/>
    <x v="35"/>
    <x v="0"/>
    <m/>
    <n v="-4"/>
  </r>
  <r>
    <x v="6"/>
    <x v="37"/>
    <n v="5.0999999999999996"/>
    <s v="跟客户确认最迟明天发报关资料、做箱？"/>
    <x v="58"/>
    <x v="0"/>
    <m/>
    <n v="-1"/>
  </r>
  <r>
    <x v="6"/>
    <x v="37"/>
    <n v="6"/>
    <s v="收到胡媛媛发来报关资料"/>
    <x v="58"/>
    <x v="0"/>
    <s v="船开前一周？"/>
    <n v="-1"/>
  </r>
  <r>
    <x v="6"/>
    <x v="37"/>
    <n v="7"/>
    <s v="完善报关资料发报关行（黄寅文），要校对稿，做箱数据给沈丽，更新系统件毛体"/>
    <x v="37"/>
    <x v="0"/>
    <m/>
    <n v="0"/>
  </r>
  <r>
    <x v="6"/>
    <x v="37"/>
    <n v="8"/>
    <s v="买保险，做异地付款保函，发胡媛媛确认盖章回传"/>
    <x v="37"/>
    <x v="0"/>
    <m/>
    <n v="0"/>
  </r>
  <r>
    <x v="6"/>
    <x v="37"/>
    <n v="9"/>
    <s v="收到客户（胡媛媛）发来保函扫描件"/>
    <x v="37"/>
    <x v="2"/>
    <s v="一般马上"/>
    <n v="0"/>
  </r>
  <r>
    <x v="6"/>
    <x v="37"/>
    <n v="10"/>
    <s v="收到黄寅文校对稿，发客户（胡媛媛）确认"/>
    <x v="37"/>
    <x v="0"/>
    <s v="一般半天内"/>
    <n v="0"/>
  </r>
  <r>
    <x v="6"/>
    <x v="37"/>
    <n v="11"/>
    <s v="收到客户（胡媛媛）确认校对稿OK"/>
    <x v="37"/>
    <x v="0"/>
    <s v="一般马上"/>
    <n v="0"/>
  </r>
  <r>
    <x v="6"/>
    <x v="37"/>
    <n v="12"/>
    <s v="关注开港时间，跟车队(沈丽)确认做箱时间，如有变动通知胡媛媛"/>
    <x v="59"/>
    <x v="2"/>
    <s v="截单前一天"/>
    <n v="1"/>
  </r>
  <r>
    <x v="6"/>
    <x v="37"/>
    <n v="13"/>
    <s v="收到沈丽发来装箱单"/>
    <x v="60"/>
    <x v="2"/>
    <s v="截单当天"/>
    <n v="2"/>
  </r>
  <r>
    <x v="6"/>
    <x v="37"/>
    <n v="14"/>
    <s v="完善截单资料发万恒（翁小姐），请求发舱单"/>
    <x v="60"/>
    <x v="2"/>
    <m/>
    <n v="2"/>
  </r>
  <r>
    <x v="6"/>
    <x v="37"/>
    <n v="15"/>
    <s v="收到舱单发送通知，核对舱单，装箱单发报关行报关"/>
    <x v="60"/>
    <x v="2"/>
    <m/>
    <n v="2"/>
  </r>
  <r>
    <x v="6"/>
    <x v="37"/>
    <n v="16"/>
    <s v="请求万恒（翁小姐）发提单样本"/>
    <x v="60"/>
    <x v="2"/>
    <m/>
    <n v="2"/>
  </r>
  <r>
    <x v="6"/>
    <x v="37"/>
    <n v="17"/>
    <s v="收到万恒（翁小姐）发来提单样本，发胡媛媛确认"/>
    <x v="60"/>
    <x v="2"/>
    <m/>
    <n v="2"/>
  </r>
  <r>
    <x v="6"/>
    <x v="37"/>
    <n v="18"/>
    <s v="收到胡媛媛提单确认"/>
    <x v="60"/>
    <x v="2"/>
    <m/>
    <n v="2"/>
  </r>
  <r>
    <x v="6"/>
    <x v="37"/>
    <n v="19"/>
    <s v="收到报关成功通知，通知车队可进港 "/>
    <x v="60"/>
    <x v="2"/>
    <m/>
    <n v="2"/>
  </r>
  <r>
    <x v="6"/>
    <x v="37"/>
    <n v="20"/>
    <s v="进港，核对数据"/>
    <x v="60"/>
    <x v="2"/>
    <m/>
    <n v="2"/>
  </r>
  <r>
    <x v="6"/>
    <x v="37"/>
    <n v="21"/>
    <s v="海放"/>
    <x v="60"/>
    <x v="2"/>
    <m/>
    <n v="2"/>
  </r>
  <r>
    <x v="6"/>
    <x v="37"/>
    <n v="22"/>
    <s v="码放"/>
    <x v="61"/>
    <x v="2"/>
    <m/>
    <n v="3"/>
  </r>
  <r>
    <x v="6"/>
    <x v="37"/>
    <n v="23"/>
    <s v="配载"/>
    <x v="68"/>
    <x v="2"/>
    <m/>
    <n v="7"/>
  </r>
  <r>
    <x v="6"/>
    <x v="37"/>
    <n v="24"/>
    <s v="开船"/>
    <x v="69"/>
    <x v="2"/>
    <m/>
    <n v="8"/>
  </r>
  <r>
    <x v="6"/>
    <x v="37"/>
    <n v="25"/>
    <s v="收到万恒账单，做费用，发账单给石磊"/>
    <x v="69"/>
    <x v="2"/>
    <m/>
    <n v="8"/>
  </r>
  <r>
    <x v="6"/>
    <x v="37"/>
    <n v="26"/>
    <s v="收到万恒（翁小姐）提单，放提单和预录单给胡媛媛"/>
    <x v="69"/>
    <x v="2"/>
    <m/>
    <n v="8"/>
  </r>
  <r>
    <x v="10"/>
    <x v="38"/>
    <n v="1"/>
    <s v="收到订舱托书"/>
    <x v="58"/>
    <x v="0"/>
    <m/>
    <n v="-1"/>
  </r>
  <r>
    <x v="10"/>
    <x v="38"/>
    <n v="2"/>
    <s v="HMM（Neo）确认订舱预报"/>
    <x v="37"/>
    <x v="0"/>
    <m/>
    <n v="0"/>
  </r>
  <r>
    <x v="10"/>
    <x v="38"/>
    <n v="3"/>
    <s v="生成单号，YJC系统数据，发EDI，邮件Neo放舱"/>
    <x v="37"/>
    <x v="0"/>
    <m/>
    <n v="0"/>
  </r>
  <r>
    <x v="10"/>
    <x v="38"/>
    <n v="4"/>
    <s v="HMM（Neo）确认放舱，网站核对信息"/>
    <x v="37"/>
    <x v="2"/>
    <m/>
    <n v="0"/>
  </r>
  <r>
    <x v="10"/>
    <x v="38"/>
    <n v="5"/>
    <s v="发预配信息给客户（张婷）"/>
    <x v="37"/>
    <x v="2"/>
    <m/>
    <n v="0"/>
  </r>
  <r>
    <x v="10"/>
    <x v="38"/>
    <n v="6"/>
    <s v="收到客户（张婷）报关资料"/>
    <x v="65"/>
    <x v="2"/>
    <m/>
    <n v="6"/>
  </r>
  <r>
    <x v="10"/>
    <x v="38"/>
    <n v="7"/>
    <s v="做报关资料，发报关行（黄寅文），要校对稿"/>
    <x v="65"/>
    <x v="2"/>
    <m/>
    <n v="6"/>
  </r>
  <r>
    <x v="10"/>
    <x v="38"/>
    <n v="8"/>
    <s v="收到客户（张婷）装箱单"/>
    <x v="65"/>
    <x v="2"/>
    <s v="今天能放箱装？"/>
    <n v="6"/>
  </r>
  <r>
    <x v="10"/>
    <x v="38"/>
    <n v="9"/>
    <s v="YJC系统改准确数据（截单），发ESI，做AMS模板并邮件何生成提单"/>
    <x v="65"/>
    <x v="2"/>
    <m/>
    <n v="6"/>
  </r>
  <r>
    <x v="10"/>
    <x v="38"/>
    <n v="10"/>
    <s v="发舱单（亿通，鹏海两次）和VGM"/>
    <x v="65"/>
    <x v="2"/>
    <m/>
    <n v="6"/>
  </r>
  <r>
    <x v="10"/>
    <x v="38"/>
    <n v="11"/>
    <s v="收到提单生成通知，核对提单信息"/>
    <x v="65"/>
    <x v="2"/>
    <m/>
    <n v="6"/>
  </r>
  <r>
    <x v="10"/>
    <x v="38"/>
    <n v="12"/>
    <s v="发 HBL COPY 和 MBL COPY 给客户（张婷）确认"/>
    <x v="65"/>
    <x v="2"/>
    <m/>
    <n v="6"/>
  </r>
  <r>
    <x v="10"/>
    <x v="38"/>
    <n v="13"/>
    <s v="收到客户（张婷）确认提单"/>
    <x v="65"/>
    <x v="2"/>
    <m/>
    <n v="6"/>
  </r>
  <r>
    <x v="10"/>
    <x v="38"/>
    <n v="14"/>
    <s v="海关有舱单，核对舱单信息"/>
    <x v="65"/>
    <x v="2"/>
    <m/>
    <n v="6"/>
  </r>
  <r>
    <x v="10"/>
    <x v="38"/>
    <n v="15"/>
    <s v="收到校对稿，发客户（张婷）"/>
    <x v="65"/>
    <x v="2"/>
    <m/>
    <n v="6"/>
  </r>
  <r>
    <x v="10"/>
    <x v="38"/>
    <n v="16"/>
    <s v="收到客户（张婷）确认校对稿"/>
    <x v="65"/>
    <x v="2"/>
    <m/>
    <n v="6"/>
  </r>
  <r>
    <x v="10"/>
    <x v="38"/>
    <n v="17"/>
    <s v="通知报关（开港、舱单、装箱单）"/>
    <x v="65"/>
    <x v="2"/>
    <m/>
    <n v="6"/>
  </r>
  <r>
    <x v="10"/>
    <x v="38"/>
    <n v="18"/>
    <s v="报关成功"/>
    <x v="65"/>
    <x v="2"/>
    <m/>
    <n v="6"/>
  </r>
  <r>
    <x v="10"/>
    <x v="38"/>
    <n v="19"/>
    <s v="通知可进港"/>
    <x v="65"/>
    <x v="2"/>
    <m/>
    <n v="6"/>
  </r>
  <r>
    <x v="10"/>
    <x v="38"/>
    <n v="20"/>
    <s v="进港"/>
    <x v="65"/>
    <x v="2"/>
    <m/>
    <n v="6"/>
  </r>
  <r>
    <x v="10"/>
    <x v="38"/>
    <n v="21"/>
    <s v="核对进港数据"/>
    <x v="65"/>
    <x v="2"/>
    <m/>
    <n v="6"/>
  </r>
  <r>
    <x v="10"/>
    <x v="38"/>
    <n v="22"/>
    <s v="海放"/>
    <x v="65"/>
    <x v="2"/>
    <m/>
    <n v="6"/>
  </r>
  <r>
    <x v="10"/>
    <x v="38"/>
    <n v="23"/>
    <s v="码放"/>
    <x v="65"/>
    <x v="2"/>
    <m/>
    <n v="6"/>
  </r>
  <r>
    <x v="10"/>
    <x v="38"/>
    <n v="24"/>
    <s v="配载"/>
    <x v="65"/>
    <x v="2"/>
    <m/>
    <n v="6"/>
  </r>
  <r>
    <x v="10"/>
    <x v="38"/>
    <n v="25"/>
    <s v="邮件问Neo 海运费"/>
    <x v="65"/>
    <x v="2"/>
    <m/>
    <n v="6"/>
  </r>
  <r>
    <x v="10"/>
    <x v="38"/>
    <n v="26"/>
    <s v="收到Neo发来海运费"/>
    <x v="65"/>
    <x v="2"/>
    <m/>
    <n v="6"/>
  </r>
  <r>
    <x v="10"/>
    <x v="38"/>
    <n v="27"/>
    <s v="做费用，发客户（张婷）确认"/>
    <x v="65"/>
    <x v="2"/>
    <m/>
    <n v="6"/>
  </r>
  <r>
    <x v="10"/>
    <x v="38"/>
    <n v="28"/>
    <s v="收到客户（张婷）确认费用"/>
    <x v="65"/>
    <x v="2"/>
    <m/>
    <n v="6"/>
  </r>
  <r>
    <x v="10"/>
    <x v="38"/>
    <n v="29"/>
    <s v="船开"/>
    <x v="65"/>
    <x v="2"/>
    <m/>
    <n v="6"/>
  </r>
  <r>
    <x v="10"/>
    <x v="38"/>
    <n v="30"/>
    <s v="放单（MBL HBL给张婷）"/>
    <x v="65"/>
    <x v="2"/>
    <m/>
    <n v="6"/>
  </r>
  <r>
    <x v="9"/>
    <x v="39"/>
    <n v="1"/>
    <s v="收到订舱邮件"/>
    <x v="45"/>
    <x v="1"/>
    <m/>
    <n v="-18"/>
  </r>
  <r>
    <x v="9"/>
    <x v="39"/>
    <n v="2"/>
    <s v="MSK网站订舱"/>
    <x v="45"/>
    <x v="1"/>
    <m/>
    <n v="-18"/>
  </r>
  <r>
    <x v="9"/>
    <x v="39"/>
    <n v="3"/>
    <s v="MSK网站有了截单时间"/>
    <x v="65"/>
    <x v="1"/>
    <s v="？"/>
    <n v="6"/>
  </r>
  <r>
    <x v="9"/>
    <x v="39"/>
    <n v="4"/>
    <s v="发做箱通知邮件给车队(沈丽)，参考968603508"/>
    <x v="65"/>
    <x v="1"/>
    <s v="？"/>
    <n v="6"/>
  </r>
  <r>
    <x v="9"/>
    <x v="39"/>
    <n v="5"/>
    <s v="申请外港提箱？"/>
    <x v="65"/>
    <x v="1"/>
    <s v="？"/>
    <n v="6"/>
  </r>
  <r>
    <x v="9"/>
    <x v="39"/>
    <n v="6"/>
    <s v="代发AMS申请邮件，参考968603508"/>
    <x v="67"/>
    <x v="1"/>
    <s v="？"/>
    <n v="9"/>
  </r>
  <r>
    <x v="9"/>
    <x v="39"/>
    <n v="7"/>
    <s v="发确认邮件给国外，参考968603508"/>
    <x v="67"/>
    <x v="1"/>
    <s v="？"/>
    <n v="9"/>
  </r>
  <r>
    <x v="9"/>
    <x v="39"/>
    <n v="8"/>
    <s v="确认HBL为首尔预付，参考968603508"/>
    <x v="67"/>
    <x v="1"/>
    <s v="？"/>
    <n v="9"/>
  </r>
  <r>
    <x v="9"/>
    <x v="39"/>
    <n v="9"/>
    <s v="销账？，参考968603508"/>
    <x v="67"/>
    <x v="1"/>
    <s v="？"/>
    <n v="9"/>
  </r>
  <r>
    <x v="9"/>
    <x v="39"/>
    <n v="10"/>
    <s v="收入RECEIPT，发提单，参考968603508"/>
    <x v="70"/>
    <x v="1"/>
    <s v="？"/>
    <n v="16"/>
  </r>
  <r>
    <x v="3"/>
    <x v="30"/>
    <n v="14"/>
    <s v="制下周 WEEK 流水"/>
    <x v="61"/>
    <x v="2"/>
    <s v="周五"/>
    <n v="3"/>
  </r>
  <r>
    <x v="8"/>
    <x v="32"/>
    <n v="16"/>
    <s v="海放"/>
    <x v="37"/>
    <x v="1"/>
    <m/>
    <n v="0"/>
  </r>
  <r>
    <x v="8"/>
    <x v="34"/>
    <n v="17"/>
    <s v="做费用(对账单日期4号)，放公共盘，填月账单表，发孙丹"/>
    <x v="65"/>
    <x v="2"/>
    <m/>
    <n v="6"/>
  </r>
  <r>
    <x v="3"/>
    <x v="30"/>
    <n v="15"/>
    <s v="书包小袋子里两把一样的钥匙拿一把带着"/>
    <x v="37"/>
    <x v="0"/>
    <m/>
    <n v="0"/>
  </r>
  <r>
    <x v="8"/>
    <x v="34"/>
    <n v="18"/>
    <s v="船开"/>
    <x v="65"/>
    <x v="2"/>
    <m/>
    <n v="6"/>
  </r>
  <r>
    <x v="4"/>
    <x v="37"/>
    <n v="1"/>
    <s v="收到客户(陈云娣)订舱预报"/>
    <x v="58"/>
    <x v="0"/>
    <s v="一般周五发隔周"/>
    <n v="-1"/>
  </r>
  <r>
    <x v="4"/>
    <x v="37"/>
    <n v="2"/>
    <s v="填WORKING PROCESS"/>
    <x v="37"/>
    <x v="0"/>
    <m/>
    <n v="0"/>
  </r>
  <r>
    <x v="4"/>
    <x v="37"/>
    <n v="6"/>
    <s v="公共盘生成提单号"/>
    <x v="37"/>
    <x v="0"/>
    <m/>
    <n v="0"/>
  </r>
  <r>
    <x v="4"/>
    <x v="37"/>
    <n v="7"/>
    <s v="YJC系统生成单子"/>
    <x v="37"/>
    <x v="0"/>
    <m/>
    <n v="0"/>
  </r>
  <r>
    <x v="4"/>
    <x v="37"/>
    <n v="8"/>
    <s v="发EDI"/>
    <x v="37"/>
    <x v="0"/>
    <m/>
    <n v="0"/>
  </r>
  <r>
    <x v="4"/>
    <x v="37"/>
    <n v="9"/>
    <s v="邮件申请放单"/>
    <x v="37"/>
    <x v="0"/>
    <m/>
    <n v="0"/>
  </r>
  <r>
    <x v="4"/>
    <x v="37"/>
    <n v="10"/>
    <s v="收到HMM(Neo) 放单确认"/>
    <x v="37"/>
    <x v="2"/>
    <s v="一般半天内"/>
    <n v="0"/>
  </r>
  <r>
    <x v="4"/>
    <x v="37"/>
    <n v="11"/>
    <s v="HMM网站核对订舱信息"/>
    <x v="37"/>
    <x v="2"/>
    <m/>
    <n v="0"/>
  </r>
  <r>
    <x v="4"/>
    <x v="37"/>
    <n v="12"/>
    <s v="收到客户(陈云娣)做箱通知"/>
    <x v="37"/>
    <x v="2"/>
    <s v="一般做箱头天一早"/>
    <n v="0"/>
  </r>
  <r>
    <x v="4"/>
    <x v="37"/>
    <n v="13"/>
    <s v="公共盘生成提单号【如需拆单】"/>
    <x v="37"/>
    <x v="2"/>
    <m/>
    <n v="0"/>
  </r>
  <r>
    <x v="4"/>
    <x v="37"/>
    <n v="14"/>
    <s v="发做箱通知邮件给车队(沈丽)"/>
    <x v="37"/>
    <x v="2"/>
    <m/>
    <n v="0"/>
  </r>
  <r>
    <x v="4"/>
    <x v="37"/>
    <n v="15"/>
    <s v="YJC系统生成单子【如需拆单】"/>
    <x v="37"/>
    <x v="2"/>
    <m/>
    <n v="0"/>
  </r>
  <r>
    <x v="4"/>
    <x v="37"/>
    <n v="16"/>
    <s v="发EDI【如需拆单】"/>
    <x v="37"/>
    <x v="2"/>
    <m/>
    <n v="0"/>
  </r>
  <r>
    <x v="4"/>
    <x v="37"/>
    <n v="17"/>
    <s v="邮件申请放单【如需拆单】"/>
    <x v="37"/>
    <x v="2"/>
    <m/>
    <n v="0"/>
  </r>
  <r>
    <x v="4"/>
    <x v="37"/>
    <n v="18"/>
    <s v="收到HMM(Neo) 放单确认【如需拆单】"/>
    <x v="37"/>
    <x v="2"/>
    <m/>
    <n v="0"/>
  </r>
  <r>
    <x v="4"/>
    <x v="37"/>
    <n v="19"/>
    <s v="HMM网站核对订舱信息【如需拆单】"/>
    <x v="37"/>
    <x v="2"/>
    <m/>
    <n v="0"/>
  </r>
  <r>
    <x v="4"/>
    <x v="37"/>
    <n v="20"/>
    <s v="收到客户(陈云娣)发来报关资料"/>
    <x v="37"/>
    <x v="2"/>
    <s v="一般做箱当天一早"/>
    <n v="0"/>
  </r>
  <r>
    <x v="4"/>
    <x v="37"/>
    <n v="21"/>
    <s v="按报关(发票)数生成提单号【如发票数超过提单数】"/>
    <x v="37"/>
    <x v="2"/>
    <m/>
    <n v="0"/>
  </r>
  <r>
    <x v="4"/>
    <x v="37"/>
    <n v="22"/>
    <s v="做做箱数据，QQ发车队(沈丽)"/>
    <x v="37"/>
    <x v="2"/>
    <m/>
    <n v="0"/>
  </r>
  <r>
    <x v="4"/>
    <x v="37"/>
    <n v="23"/>
    <s v="收到车队(沈丽)装箱单，转发客户（陈云娣）"/>
    <x v="37"/>
    <x v="2"/>
    <s v="一般马上"/>
    <n v="0"/>
  </r>
  <r>
    <x v="4"/>
    <x v="37"/>
    <n v="24"/>
    <s v="YJC系统截单，发EDI，邮件HMM(He)【截单时间】"/>
    <x v="37"/>
    <x v="2"/>
    <s v="注意截单时间"/>
    <n v="0"/>
  </r>
  <r>
    <x v="4"/>
    <x v="37"/>
    <n v="25"/>
    <s v="发VGM和舱单（亿通，鹏海两次）"/>
    <x v="37"/>
    <x v="2"/>
    <m/>
    <n v="0"/>
  </r>
  <r>
    <x v="4"/>
    <x v="37"/>
    <n v="26"/>
    <s v="做报关资料，扫描发报关行(黄寅文)QQ，要校对稿"/>
    <x v="37"/>
    <x v="2"/>
    <m/>
    <n v="0"/>
  </r>
  <r>
    <x v="4"/>
    <x v="37"/>
    <n v="27"/>
    <s v="做保函给邹师傅"/>
    <x v="37"/>
    <x v="2"/>
    <m/>
    <n v="0"/>
  </r>
  <r>
    <x v="4"/>
    <x v="37"/>
    <n v="28"/>
    <s v="做ISF，发国外资料"/>
    <x v="37"/>
    <x v="2"/>
    <m/>
    <n v="0"/>
  </r>
  <r>
    <x v="4"/>
    <x v="37"/>
    <n v="29"/>
    <s v="买保险"/>
    <x v="37"/>
    <x v="2"/>
    <m/>
    <n v="0"/>
  </r>
  <r>
    <x v="4"/>
    <x v="37"/>
    <n v="31"/>
    <s v="收到HMM(He)生成提单通知"/>
    <x v="37"/>
    <x v="2"/>
    <s v="一般马上"/>
    <n v="0"/>
  </r>
  <r>
    <x v="4"/>
    <x v="37"/>
    <n v="32"/>
    <s v="HMM网站核对提单信息"/>
    <x v="37"/>
    <x v="2"/>
    <m/>
    <n v="0"/>
  </r>
  <r>
    <x v="4"/>
    <x v="37"/>
    <n v="33"/>
    <s v="盯海关网站舱单"/>
    <x v="37"/>
    <x v="2"/>
    <s v="一般两小时左右"/>
    <n v="0"/>
  </r>
  <r>
    <x v="4"/>
    <x v="37"/>
    <n v="34"/>
    <s v="核对舱单信息"/>
    <x v="37"/>
    <x v="2"/>
    <m/>
    <n v="0"/>
  </r>
  <r>
    <x v="4"/>
    <x v="37"/>
    <n v="35"/>
    <s v="收到报关行(黄寅文)校对稿，邮件发客户(陈云娣)确认"/>
    <x v="37"/>
    <x v="2"/>
    <s v="一般半天内"/>
    <n v="0"/>
  </r>
  <r>
    <x v="4"/>
    <x v="37"/>
    <n v="36"/>
    <s v="收到客户(陈云娣)确认校对稿"/>
    <x v="37"/>
    <x v="2"/>
    <s v="一般马上"/>
    <n v="0"/>
  </r>
  <r>
    <x v="4"/>
    <x v="37"/>
    <n v="37"/>
    <s v="通知报关行(黄寅文)报关(开港、舱单、校对)（洋山提供装箱单）"/>
    <x v="37"/>
    <x v="2"/>
    <m/>
    <n v="0"/>
  </r>
  <r>
    <x v="4"/>
    <x v="37"/>
    <n v="37"/>
    <s v="收到报关成功通知"/>
    <x v="37"/>
    <x v="2"/>
    <s v="一般下班前"/>
    <n v="0"/>
  </r>
  <r>
    <x v="4"/>
    <x v="37"/>
    <n v="37"/>
    <s v="通知车队(沈丽)可进港"/>
    <x v="37"/>
    <x v="2"/>
    <m/>
    <n v="0"/>
  </r>
  <r>
    <x v="4"/>
    <x v="37"/>
    <n v="37"/>
    <s v="盯箱子进港，关注开港时间，有落箱费？"/>
    <x v="37"/>
    <x v="2"/>
    <m/>
    <n v="0"/>
  </r>
  <r>
    <x v="4"/>
    <x v="37"/>
    <n v="37"/>
    <s v="核对进港数据"/>
    <x v="37"/>
    <x v="2"/>
    <m/>
    <n v="0"/>
  </r>
  <r>
    <x v="4"/>
    <x v="37"/>
    <n v="42"/>
    <s v="盯海放"/>
    <x v="37"/>
    <x v="2"/>
    <m/>
    <n v="0"/>
  </r>
  <r>
    <x v="4"/>
    <x v="37"/>
    <n v="43"/>
    <s v="盯码放"/>
    <x v="37"/>
    <x v="2"/>
    <m/>
    <n v="0"/>
  </r>
  <r>
    <x v="4"/>
    <x v="37"/>
    <n v="44"/>
    <s v="盯配载"/>
    <x v="37"/>
    <x v="2"/>
    <m/>
    <n v="0"/>
  </r>
  <r>
    <x v="4"/>
    <x v="37"/>
    <n v="45"/>
    <s v="做费用(月初等汇率)，发账单给石磊"/>
    <x v="37"/>
    <x v="2"/>
    <m/>
    <n v="0"/>
  </r>
  <r>
    <x v="4"/>
    <x v="37"/>
    <n v="46"/>
    <s v="船开"/>
    <x v="37"/>
    <x v="2"/>
    <m/>
    <n v="0"/>
  </r>
  <r>
    <x v="4"/>
    <x v="37"/>
    <n v="47"/>
    <s v="放提单、预录单、放行单（PHISON、石磊、陈云娣）"/>
    <x v="37"/>
    <x v="2"/>
    <s v="一般开船后两三天"/>
    <n v="0"/>
  </r>
  <r>
    <x v="4"/>
    <x v="38"/>
    <n v="1"/>
    <s v="收到客户(陈云娣)订舱预报"/>
    <x v="58"/>
    <x v="0"/>
    <s v="一般周五发隔周"/>
    <n v="-1"/>
  </r>
  <r>
    <x v="4"/>
    <x v="38"/>
    <n v="2"/>
    <s v="填WORKING PROCESS"/>
    <x v="37"/>
    <x v="2"/>
    <m/>
    <n v="0"/>
  </r>
  <r>
    <x v="4"/>
    <x v="38"/>
    <n v="6"/>
    <s v="公共盘生成提单号"/>
    <x v="37"/>
    <x v="0"/>
    <m/>
    <n v="0"/>
  </r>
  <r>
    <x v="4"/>
    <x v="38"/>
    <n v="7"/>
    <s v="YJC系统生成单子"/>
    <x v="37"/>
    <x v="0"/>
    <m/>
    <n v="0"/>
  </r>
  <r>
    <x v="4"/>
    <x v="38"/>
    <n v="8"/>
    <s v="发EDI"/>
    <x v="37"/>
    <x v="0"/>
    <m/>
    <n v="0"/>
  </r>
  <r>
    <x v="4"/>
    <x v="38"/>
    <n v="9"/>
    <s v="邮件申请放单"/>
    <x v="37"/>
    <x v="0"/>
    <m/>
    <n v="0"/>
  </r>
  <r>
    <x v="4"/>
    <x v="38"/>
    <n v="10"/>
    <s v="收到HMM(Neo) 放单确认"/>
    <x v="37"/>
    <x v="2"/>
    <s v="一般半天内"/>
    <n v="0"/>
  </r>
  <r>
    <x v="4"/>
    <x v="38"/>
    <n v="11"/>
    <s v="HMM网站核对订舱信息"/>
    <x v="37"/>
    <x v="2"/>
    <m/>
    <n v="0"/>
  </r>
  <r>
    <x v="4"/>
    <x v="38"/>
    <n v="12"/>
    <s v="收到客户(陈云娣)做箱通知"/>
    <x v="37"/>
    <x v="2"/>
    <s v="一般做箱头天一早"/>
    <n v="0"/>
  </r>
  <r>
    <x v="4"/>
    <x v="38"/>
    <n v="13"/>
    <s v="公共盘生成提单号【如需拆单】"/>
    <x v="37"/>
    <x v="2"/>
    <m/>
    <n v="0"/>
  </r>
  <r>
    <x v="4"/>
    <x v="38"/>
    <n v="14"/>
    <s v="发做箱通知邮件给车队(沈丽)"/>
    <x v="37"/>
    <x v="2"/>
    <m/>
    <n v="0"/>
  </r>
  <r>
    <x v="4"/>
    <x v="38"/>
    <n v="15"/>
    <s v="YJC系统生成单子【如需拆单】"/>
    <x v="37"/>
    <x v="2"/>
    <m/>
    <n v="0"/>
  </r>
  <r>
    <x v="4"/>
    <x v="38"/>
    <n v="16"/>
    <s v="发EDI【如需拆单】"/>
    <x v="37"/>
    <x v="2"/>
    <m/>
    <n v="0"/>
  </r>
  <r>
    <x v="4"/>
    <x v="38"/>
    <n v="17"/>
    <s v="邮件申请放单【如需拆单】"/>
    <x v="37"/>
    <x v="2"/>
    <m/>
    <n v="0"/>
  </r>
  <r>
    <x v="4"/>
    <x v="38"/>
    <n v="18"/>
    <s v="收到HMM(Neo) 放单确认【如需拆单】"/>
    <x v="37"/>
    <x v="2"/>
    <m/>
    <n v="0"/>
  </r>
  <r>
    <x v="4"/>
    <x v="38"/>
    <n v="19"/>
    <s v="HMM网站核对订舱信息【如需拆单】"/>
    <x v="37"/>
    <x v="2"/>
    <m/>
    <n v="0"/>
  </r>
  <r>
    <x v="4"/>
    <x v="38"/>
    <n v="20"/>
    <s v="收到客户(陈云娣)发来报关资料"/>
    <x v="37"/>
    <x v="2"/>
    <s v="一般做箱当天一早"/>
    <n v="0"/>
  </r>
  <r>
    <x v="4"/>
    <x v="38"/>
    <n v="21"/>
    <s v="按报关(发票)数生成提单号【如发票数超过提单数】"/>
    <x v="37"/>
    <x v="2"/>
    <m/>
    <n v="0"/>
  </r>
  <r>
    <x v="4"/>
    <x v="38"/>
    <n v="22"/>
    <s v="做做箱数据，QQ发车队(沈丽)"/>
    <x v="37"/>
    <x v="2"/>
    <m/>
    <n v="0"/>
  </r>
  <r>
    <x v="4"/>
    <x v="38"/>
    <n v="23"/>
    <s v="收到车队(沈丽)装箱单，转发客户（陈云娣）"/>
    <x v="37"/>
    <x v="2"/>
    <s v="一般马上"/>
    <n v="0"/>
  </r>
  <r>
    <x v="4"/>
    <x v="38"/>
    <n v="24"/>
    <s v="YJC系统截单，发EDI，邮件HMM(He)【截单时间】"/>
    <x v="37"/>
    <x v="2"/>
    <s v="注意截单时间"/>
    <n v="0"/>
  </r>
  <r>
    <x v="4"/>
    <x v="38"/>
    <n v="25"/>
    <s v="发VGM和舱单（亿通，鹏海两次）"/>
    <x v="37"/>
    <x v="2"/>
    <m/>
    <n v="0"/>
  </r>
  <r>
    <x v="4"/>
    <x v="38"/>
    <n v="26"/>
    <s v="做报关资料，扫描发报关行(黄寅文)QQ，要校对稿"/>
    <x v="37"/>
    <x v="2"/>
    <m/>
    <n v="0"/>
  </r>
  <r>
    <x v="4"/>
    <x v="38"/>
    <n v="27"/>
    <s v="做保函给邹师傅"/>
    <x v="37"/>
    <x v="2"/>
    <m/>
    <n v="0"/>
  </r>
  <r>
    <x v="4"/>
    <x v="38"/>
    <n v="28"/>
    <s v="做ISF，发国外资料"/>
    <x v="37"/>
    <x v="2"/>
    <m/>
    <n v="0"/>
  </r>
  <r>
    <x v="4"/>
    <x v="38"/>
    <n v="29"/>
    <s v="买保险"/>
    <x v="37"/>
    <x v="2"/>
    <m/>
    <n v="0"/>
  </r>
  <r>
    <x v="4"/>
    <x v="38"/>
    <n v="31"/>
    <s v="收到HMM(He)生成提单通知"/>
    <x v="37"/>
    <x v="2"/>
    <s v="一般马上"/>
    <n v="0"/>
  </r>
  <r>
    <x v="4"/>
    <x v="38"/>
    <n v="32"/>
    <s v="HMM网站核对提单信息"/>
    <x v="37"/>
    <x v="2"/>
    <m/>
    <n v="0"/>
  </r>
  <r>
    <x v="4"/>
    <x v="38"/>
    <n v="33"/>
    <s v="盯海关网站舱单"/>
    <x v="37"/>
    <x v="2"/>
    <s v="一般两小时左右"/>
    <n v="0"/>
  </r>
  <r>
    <x v="4"/>
    <x v="38"/>
    <n v="34"/>
    <s v="核对舱单信息"/>
    <x v="37"/>
    <x v="2"/>
    <m/>
    <n v="0"/>
  </r>
  <r>
    <x v="4"/>
    <x v="38"/>
    <n v="35"/>
    <s v="收到报关行(黄寅文)校对稿，邮件发客户(陈云娣)确认"/>
    <x v="37"/>
    <x v="2"/>
    <s v="一般半天内"/>
    <n v="0"/>
  </r>
  <r>
    <x v="4"/>
    <x v="38"/>
    <n v="36"/>
    <s v="收到客户(陈云娣)确认校对稿"/>
    <x v="37"/>
    <x v="2"/>
    <s v="一般马上"/>
    <n v="0"/>
  </r>
  <r>
    <x v="4"/>
    <x v="38"/>
    <n v="37"/>
    <s v="通知报关行(黄寅文)报关(开港、舱单、校对)（洋山提供装箱单）"/>
    <x v="37"/>
    <x v="2"/>
    <m/>
    <n v="0"/>
  </r>
  <r>
    <x v="4"/>
    <x v="38"/>
    <n v="37"/>
    <s v="收到报关成功通知"/>
    <x v="37"/>
    <x v="2"/>
    <s v="一般下班前"/>
    <n v="0"/>
  </r>
  <r>
    <x v="4"/>
    <x v="38"/>
    <n v="37"/>
    <s v="通知车队(沈丽)可进港"/>
    <x v="37"/>
    <x v="2"/>
    <m/>
    <n v="0"/>
  </r>
  <r>
    <x v="4"/>
    <x v="38"/>
    <n v="37"/>
    <s v="盯箱子进港，关注开港时间，有落箱费？"/>
    <x v="37"/>
    <x v="2"/>
    <m/>
    <n v="0"/>
  </r>
  <r>
    <x v="4"/>
    <x v="38"/>
    <n v="37"/>
    <s v="核对进港数据"/>
    <x v="37"/>
    <x v="2"/>
    <m/>
    <n v="0"/>
  </r>
  <r>
    <x v="4"/>
    <x v="38"/>
    <n v="42"/>
    <s v="盯海放"/>
    <x v="37"/>
    <x v="2"/>
    <m/>
    <n v="0"/>
  </r>
  <r>
    <x v="4"/>
    <x v="38"/>
    <n v="43"/>
    <s v="盯码放"/>
    <x v="37"/>
    <x v="2"/>
    <m/>
    <n v="0"/>
  </r>
  <r>
    <x v="4"/>
    <x v="38"/>
    <n v="44"/>
    <s v="盯配载"/>
    <x v="37"/>
    <x v="2"/>
    <m/>
    <n v="0"/>
  </r>
  <r>
    <x v="4"/>
    <x v="38"/>
    <n v="45"/>
    <s v="做费用(月初等汇率)，发账单给石磊"/>
    <x v="37"/>
    <x v="2"/>
    <m/>
    <n v="0"/>
  </r>
  <r>
    <x v="4"/>
    <x v="38"/>
    <n v="46"/>
    <s v="船开"/>
    <x v="37"/>
    <x v="2"/>
    <m/>
    <n v="0"/>
  </r>
  <r>
    <x v="4"/>
    <x v="38"/>
    <n v="47"/>
    <s v="放提单、预录单、放行单（PHISON、石磊、陈云娣）"/>
    <x v="37"/>
    <x v="2"/>
    <s v="一般开船后两三天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9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34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3"/>
        <item x="38"/>
        <item x="41"/>
        <item x="26"/>
        <item x="40"/>
        <item x="39"/>
        <item x="42"/>
        <item x="49"/>
        <item x="32"/>
        <item x="48"/>
        <item x="44"/>
        <item x="47"/>
        <item x="45"/>
        <item x="46"/>
        <item m="1" x="71"/>
        <item x="50"/>
        <item x="54"/>
        <item x="51"/>
        <item x="19"/>
        <item x="53"/>
        <item x="55"/>
        <item x="57"/>
        <item x="56"/>
        <item x="33"/>
        <item x="52"/>
        <item x="34"/>
        <item x="35"/>
        <item x="36"/>
        <item x="62"/>
        <item x="58"/>
        <item x="37"/>
        <item x="59"/>
        <item x="60"/>
        <item x="61"/>
        <item x="63"/>
        <item x="64"/>
        <item x="65"/>
        <item x="68"/>
        <item x="69"/>
        <item x="67"/>
        <item x="70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5">
    <i>
      <x/>
    </i>
    <i r="1">
      <x v="35"/>
    </i>
    <i>
      <x v="1"/>
    </i>
    <i r="1">
      <x v="18"/>
    </i>
    <i>
      <x v="2"/>
    </i>
    <i r="1">
      <x v="39"/>
    </i>
    <i r="1">
      <x v="40"/>
    </i>
    <i r="1">
      <x v="41"/>
    </i>
    <i>
      <x v="3"/>
    </i>
    <i r="1">
      <x v="36"/>
    </i>
    <i>
      <x v="4"/>
    </i>
    <i r="1">
      <x v="36"/>
    </i>
    <i r="1">
      <x v="44"/>
    </i>
    <i>
      <x v="5"/>
    </i>
    <i r="1">
      <x v="36"/>
    </i>
    <i r="1">
      <x v="37"/>
    </i>
    <i r="1">
      <x v="44"/>
    </i>
    <i r="1">
      <x v="46"/>
    </i>
    <i>
      <x v="7"/>
    </i>
    <i r="1">
      <x v="36"/>
    </i>
    <i>
      <x v="10"/>
    </i>
    <i r="1">
      <x v="46"/>
    </i>
    <i>
      <x v="11"/>
    </i>
    <i r="1">
      <x v="44"/>
    </i>
    <i t="grand">
      <x/>
    </i>
  </rowItems>
  <colFields count="1">
    <field x="4"/>
  </colFields>
  <colItems count="2">
    <i>
      <x v="60"/>
    </i>
    <i>
      <x v="61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9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8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96">
      <autoFilter ref="A1">
        <filterColumn colId="0">
          <customFilters>
            <customFilter operator="lessThan" val="4365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6" dataDxfId="65">
  <autoFilter ref="A1:G164" xr:uid="{00000000-0009-0000-0100-000001000000}">
    <filterColumn colId="0">
      <filters>
        <filter val="JS mobis"/>
      </filters>
    </filterColumn>
  </autoFilter>
  <sortState ref="A2:G164">
    <sortCondition ref="B2:B164"/>
    <sortCondition ref="A2:A164"/>
    <sortCondition ref="C2:C164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644" totalsRowShown="0" headerRowDxfId="57" dataDxfId="55" headerRowBorderDxfId="56" tableBorderDxfId="54" totalsRowBorderDxfId="53">
  <autoFilter ref="A1:H1644" xr:uid="{00000000-0009-0000-0100-000003000000}">
    <filterColumn colId="0">
      <filters>
        <filter val="WX mobis"/>
      </filters>
    </filterColumn>
    <filterColumn colId="1">
      <filters>
        <dateGroupItem year="2019" month="7" day="10" hour="0" dateTimeGrouping="hour"/>
      </filters>
    </filterColumn>
    <filterColumn colId="4">
      <filters>
        <dateGroupItem year="2019" month="7" day="2" dateTimeGrouping="day"/>
        <dateGroupItem year="2019" month="7" day="3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7" totalsRowShown="0">
  <autoFilter ref="A1:U37" xr:uid="{00000000-0009-0000-0100-000004000000}">
    <filterColumn colId="0">
      <filters>
        <filter val="HANSSEM"/>
      </filters>
    </filterColumn>
    <filterColumn colId="1">
      <filters>
        <dateGroupItem year="2019" month="6" day="26" dateTimeGrouping="day"/>
      </filters>
    </filterColumn>
  </autoFilter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8" totalsRowShown="0">
  <autoFilter ref="A1:J158" xr:uid="{00000000-0009-0000-0100-000002000000}">
    <filterColumn colId="0">
      <filters>
        <filter val="JS mobis"/>
      </filters>
    </filterColumn>
    <filterColumn colId="1">
      <filters>
        <dateGroupItem year="2019" month="7" day="5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885</v>
      </c>
      <c r="C1" t="s">
        <v>886</v>
      </c>
      <c r="D1" t="s">
        <v>887</v>
      </c>
      <c r="E1" t="s">
        <v>888</v>
      </c>
      <c r="F1" t="s">
        <v>978</v>
      </c>
    </row>
    <row r="2" spans="1:6" x14ac:dyDescent="0.2">
      <c r="A2" t="s">
        <v>743</v>
      </c>
      <c r="B2" s="40" t="s">
        <v>789</v>
      </c>
      <c r="C2" s="40"/>
      <c r="D2" s="40"/>
      <c r="E2" s="40"/>
      <c r="F2" s="36"/>
    </row>
    <row r="3" spans="1:6" x14ac:dyDescent="0.2">
      <c r="A3" t="s">
        <v>3</v>
      </c>
      <c r="B3" s="40" t="s">
        <v>789</v>
      </c>
      <c r="C3" s="40" t="s">
        <v>789</v>
      </c>
      <c r="D3" s="40" t="s">
        <v>789</v>
      </c>
      <c r="E3" s="40" t="s">
        <v>789</v>
      </c>
      <c r="F3" s="36" t="s">
        <v>979</v>
      </c>
    </row>
    <row r="4" spans="1:6" x14ac:dyDescent="0.2">
      <c r="A4" t="s">
        <v>154</v>
      </c>
      <c r="B4" s="40"/>
      <c r="C4" s="40" t="s">
        <v>789</v>
      </c>
      <c r="D4" s="40" t="s">
        <v>789</v>
      </c>
      <c r="E4" s="40"/>
      <c r="F4" s="36" t="s">
        <v>980</v>
      </c>
    </row>
    <row r="5" spans="1:6" x14ac:dyDescent="0.2">
      <c r="A5" t="s">
        <v>151</v>
      </c>
      <c r="B5" s="40"/>
      <c r="C5" s="40" t="s">
        <v>789</v>
      </c>
      <c r="D5" s="40" t="s">
        <v>789</v>
      </c>
      <c r="E5" s="40"/>
      <c r="F5" s="36"/>
    </row>
    <row r="6" spans="1:6" x14ac:dyDescent="0.2">
      <c r="A6" t="s">
        <v>159</v>
      </c>
      <c r="B6" s="40" t="s">
        <v>789</v>
      </c>
      <c r="C6" s="40" t="s">
        <v>789</v>
      </c>
      <c r="D6" s="40" t="s">
        <v>789</v>
      </c>
      <c r="E6" s="40" t="s">
        <v>789</v>
      </c>
      <c r="F6" s="36"/>
    </row>
    <row r="7" spans="1:6" x14ac:dyDescent="0.2">
      <c r="A7" t="s">
        <v>173</v>
      </c>
      <c r="B7" s="40" t="s">
        <v>789</v>
      </c>
      <c r="C7" s="40"/>
      <c r="D7" s="40" t="s">
        <v>789</v>
      </c>
      <c r="E7" s="40"/>
      <c r="F7" s="36"/>
    </row>
    <row r="8" spans="1:6" x14ac:dyDescent="0.2">
      <c r="A8" t="s">
        <v>938</v>
      </c>
      <c r="B8" s="40" t="s">
        <v>789</v>
      </c>
      <c r="C8" s="40" t="s">
        <v>789</v>
      </c>
      <c r="D8" s="40" t="s">
        <v>939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63" activePane="bottomLeft" state="frozen"/>
      <selection pane="bottomLeft" activeCell="A33" sqref="A33:G75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970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1320</v>
      </c>
      <c r="F3" s="9" t="s">
        <v>1047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1321</v>
      </c>
      <c r="F4" s="9" t="s">
        <v>1322</v>
      </c>
      <c r="G4" s="9" t="s">
        <v>1323</v>
      </c>
    </row>
    <row r="5" spans="1:7" hidden="1" x14ac:dyDescent="0.2">
      <c r="A5" s="9" t="s">
        <v>240</v>
      </c>
      <c r="B5" s="37"/>
      <c r="C5" s="38">
        <v>4</v>
      </c>
      <c r="D5" s="9" t="s">
        <v>1324</v>
      </c>
      <c r="F5" s="9" t="s">
        <v>1322</v>
      </c>
      <c r="G5" s="9" t="s">
        <v>1323</v>
      </c>
    </row>
    <row r="6" spans="1:7" hidden="1" x14ac:dyDescent="0.2">
      <c r="A6" s="9" t="s">
        <v>240</v>
      </c>
      <c r="B6" s="37"/>
      <c r="C6" s="38">
        <v>5</v>
      </c>
      <c r="D6" s="9" t="s">
        <v>1103</v>
      </c>
      <c r="F6" s="9" t="s">
        <v>1100</v>
      </c>
      <c r="G6" s="9" t="s">
        <v>1102</v>
      </c>
    </row>
    <row r="7" spans="1:7" hidden="1" x14ac:dyDescent="0.2">
      <c r="A7" s="9" t="s">
        <v>240</v>
      </c>
      <c r="B7" s="37"/>
      <c r="C7" s="38">
        <v>6</v>
      </c>
      <c r="D7" s="9" t="s">
        <v>1351</v>
      </c>
      <c r="F7" s="9" t="s">
        <v>940</v>
      </c>
      <c r="G7" s="9" t="s">
        <v>965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1347</v>
      </c>
      <c r="F10" s="9" t="s">
        <v>940</v>
      </c>
      <c r="G10" s="9" t="s">
        <v>967</v>
      </c>
    </row>
    <row r="11" spans="1:7" hidden="1" x14ac:dyDescent="0.2">
      <c r="A11" s="9" t="s">
        <v>240</v>
      </c>
      <c r="B11" s="37"/>
      <c r="C11" s="38">
        <v>10</v>
      </c>
      <c r="D11" s="9" t="s">
        <v>1103</v>
      </c>
      <c r="F11" s="9" t="s">
        <v>1100</v>
      </c>
      <c r="G11" s="9" t="s">
        <v>1101</v>
      </c>
    </row>
    <row r="12" spans="1:7" hidden="1" x14ac:dyDescent="0.2">
      <c r="A12" s="9" t="s">
        <v>240</v>
      </c>
      <c r="B12" s="37"/>
      <c r="C12" s="38">
        <v>11</v>
      </c>
      <c r="D12" s="9" t="s">
        <v>1186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1349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1054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865</v>
      </c>
      <c r="F16" s="9" t="s">
        <v>208</v>
      </c>
      <c r="G16" s="9" t="s">
        <v>864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1316</v>
      </c>
      <c r="F22" s="9" t="s">
        <v>721</v>
      </c>
      <c r="G22" s="9" t="s">
        <v>720</v>
      </c>
    </row>
    <row r="23" spans="1:7" hidden="1" x14ac:dyDescent="0.2">
      <c r="A23" s="9" t="s">
        <v>769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769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769</v>
      </c>
      <c r="B25" s="37"/>
      <c r="C25" s="38">
        <v>3</v>
      </c>
      <c r="D25" s="9" t="s">
        <v>1269</v>
      </c>
      <c r="F25" s="9" t="s">
        <v>208</v>
      </c>
    </row>
    <row r="26" spans="1:7" hidden="1" x14ac:dyDescent="0.2">
      <c r="A26" s="9" t="s">
        <v>769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769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769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769</v>
      </c>
      <c r="B29" s="37"/>
      <c r="C29" s="38">
        <v>7</v>
      </c>
      <c r="D29" s="9" t="s">
        <v>1165</v>
      </c>
      <c r="F29" s="9" t="s">
        <v>207</v>
      </c>
    </row>
    <row r="30" spans="1:7" hidden="1" x14ac:dyDescent="0.2">
      <c r="A30" s="9" t="s">
        <v>769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769</v>
      </c>
      <c r="B31" s="37"/>
      <c r="C31" s="38">
        <v>9</v>
      </c>
      <c r="D31" s="9" t="s">
        <v>1143</v>
      </c>
      <c r="F31" s="9" t="s">
        <v>207</v>
      </c>
    </row>
    <row r="32" spans="1:7" hidden="1" x14ac:dyDescent="0.2">
      <c r="A32" s="9" t="s">
        <v>769</v>
      </c>
      <c r="B32" s="37"/>
      <c r="C32" s="38">
        <v>10</v>
      </c>
      <c r="D32" s="9" t="s">
        <v>621</v>
      </c>
      <c r="F32" s="9" t="s">
        <v>207</v>
      </c>
    </row>
    <row r="33" spans="1:7" x14ac:dyDescent="0.2">
      <c r="A33" s="9" t="s">
        <v>3</v>
      </c>
      <c r="B33" s="37"/>
      <c r="C33" s="38">
        <v>1</v>
      </c>
      <c r="D33" s="9" t="s">
        <v>1166</v>
      </c>
      <c r="F33" s="9" t="s">
        <v>208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x14ac:dyDescent="0.2">
      <c r="A41" s="9" t="s">
        <v>3</v>
      </c>
      <c r="B41" s="37"/>
      <c r="C41" s="38">
        <v>12</v>
      </c>
      <c r="D41" s="9" t="s">
        <v>1167</v>
      </c>
      <c r="F41" s="9" t="s">
        <v>212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24</v>
      </c>
      <c r="F42" s="9" t="s">
        <v>208</v>
      </c>
    </row>
    <row r="43" spans="1:7" x14ac:dyDescent="0.2">
      <c r="A43" s="9" t="s">
        <v>3</v>
      </c>
      <c r="B43" s="37"/>
      <c r="C43" s="38">
        <v>14</v>
      </c>
      <c r="D43" s="9" t="s">
        <v>40</v>
      </c>
      <c r="F43" s="9" t="s">
        <v>208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x14ac:dyDescent="0.2">
      <c r="A49" s="9" t="s">
        <v>3</v>
      </c>
      <c r="B49" s="37"/>
      <c r="C49" s="38">
        <v>20</v>
      </c>
      <c r="D49" s="9" t="s">
        <v>1168</v>
      </c>
      <c r="F49" s="9" t="s">
        <v>208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x14ac:dyDescent="0.2">
      <c r="A52" s="9" t="s">
        <v>3</v>
      </c>
      <c r="B52" s="37"/>
      <c r="C52" s="38">
        <v>23</v>
      </c>
      <c r="D52" s="9" t="s">
        <v>1169</v>
      </c>
      <c r="F52" s="9" t="s">
        <v>208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x14ac:dyDescent="0.2">
      <c r="A54" s="9" t="s">
        <v>3</v>
      </c>
      <c r="B54" s="37"/>
      <c r="C54" s="38">
        <v>25</v>
      </c>
      <c r="D54" s="9" t="s">
        <v>1176</v>
      </c>
      <c r="F54" s="9" t="s">
        <v>208</v>
      </c>
    </row>
    <row r="55" spans="1:7" x14ac:dyDescent="0.2">
      <c r="A55" s="9" t="s">
        <v>3</v>
      </c>
      <c r="B55" s="37"/>
      <c r="C55" s="38">
        <v>26</v>
      </c>
      <c r="D55" s="9" t="s">
        <v>868</v>
      </c>
      <c r="F55" s="9" t="s">
        <v>208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x14ac:dyDescent="0.2">
      <c r="A63" s="9" t="s">
        <v>3</v>
      </c>
      <c r="B63" s="37"/>
      <c r="C63" s="38">
        <v>35</v>
      </c>
      <c r="D63" s="9" t="s">
        <v>1170</v>
      </c>
      <c r="F63" s="9" t="s">
        <v>208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1171</v>
      </c>
      <c r="F64" s="9" t="s">
        <v>208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1226</v>
      </c>
      <c r="F65" s="9" t="s">
        <v>209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x14ac:dyDescent="0.2">
      <c r="A68" s="9" t="s">
        <v>3</v>
      </c>
      <c r="B68" s="37"/>
      <c r="C68" s="38">
        <v>37</v>
      </c>
      <c r="D68" s="9" t="s">
        <v>1343</v>
      </c>
      <c r="F68" s="9" t="s">
        <v>208</v>
      </c>
    </row>
    <row r="69" spans="1:7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x14ac:dyDescent="0.2">
      <c r="A75" s="9" t="s">
        <v>3</v>
      </c>
      <c r="B75" s="37"/>
      <c r="C75" s="38">
        <v>47</v>
      </c>
      <c r="D75" s="12" t="s">
        <v>1301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797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873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1302</v>
      </c>
      <c r="F82" s="9" t="s">
        <v>1303</v>
      </c>
      <c r="G82" s="9" t="s">
        <v>1304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875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806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956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869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727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728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729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894</v>
      </c>
      <c r="B97" s="37"/>
      <c r="C97" s="38">
        <v>1</v>
      </c>
      <c r="D97" s="9" t="s">
        <v>895</v>
      </c>
      <c r="F97" s="9" t="s">
        <v>896</v>
      </c>
    </row>
    <row r="98" spans="1:6" hidden="1" x14ac:dyDescent="0.2">
      <c r="A98" s="9" t="s">
        <v>894</v>
      </c>
      <c r="B98" s="37"/>
      <c r="C98" s="38">
        <v>2</v>
      </c>
      <c r="D98" s="9" t="s">
        <v>897</v>
      </c>
      <c r="F98" s="9" t="s">
        <v>896</v>
      </c>
    </row>
    <row r="99" spans="1:6" hidden="1" x14ac:dyDescent="0.2">
      <c r="A99" s="9" t="s">
        <v>894</v>
      </c>
      <c r="B99" s="37"/>
      <c r="C99" s="38">
        <v>3</v>
      </c>
      <c r="D99" s="9" t="s">
        <v>898</v>
      </c>
      <c r="F99" s="9" t="s">
        <v>896</v>
      </c>
    </row>
    <row r="100" spans="1:6" hidden="1" x14ac:dyDescent="0.2">
      <c r="A100" s="9" t="s">
        <v>894</v>
      </c>
      <c r="B100" s="37"/>
      <c r="C100" s="38">
        <v>4</v>
      </c>
      <c r="D100" s="9" t="s">
        <v>899</v>
      </c>
      <c r="F100" s="9" t="s">
        <v>896</v>
      </c>
    </row>
    <row r="101" spans="1:6" hidden="1" x14ac:dyDescent="0.2">
      <c r="A101" s="9" t="s">
        <v>894</v>
      </c>
      <c r="B101" s="37"/>
      <c r="C101" s="38">
        <v>5</v>
      </c>
      <c r="D101" s="9" t="s">
        <v>900</v>
      </c>
      <c r="F101" s="9" t="s">
        <v>896</v>
      </c>
    </row>
    <row r="102" spans="1:6" hidden="1" x14ac:dyDescent="0.2">
      <c r="A102" s="9" t="s">
        <v>894</v>
      </c>
      <c r="B102" s="37"/>
      <c r="C102" s="38">
        <v>6</v>
      </c>
      <c r="D102" s="9" t="s">
        <v>901</v>
      </c>
      <c r="F102" s="9" t="s">
        <v>896</v>
      </c>
    </row>
    <row r="103" spans="1:6" hidden="1" x14ac:dyDescent="0.2">
      <c r="A103" s="9" t="s">
        <v>894</v>
      </c>
      <c r="B103" s="37"/>
      <c r="C103" s="38">
        <v>7</v>
      </c>
      <c r="D103" s="9" t="s">
        <v>902</v>
      </c>
      <c r="F103" s="9" t="s">
        <v>896</v>
      </c>
    </row>
    <row r="104" spans="1:6" hidden="1" x14ac:dyDescent="0.2">
      <c r="A104" s="9" t="s">
        <v>894</v>
      </c>
      <c r="B104" s="37"/>
      <c r="C104" s="38">
        <v>8</v>
      </c>
      <c r="D104" s="9" t="s">
        <v>903</v>
      </c>
      <c r="F104" s="9" t="s">
        <v>896</v>
      </c>
    </row>
    <row r="105" spans="1:6" hidden="1" x14ac:dyDescent="0.2">
      <c r="A105" s="9" t="s">
        <v>894</v>
      </c>
      <c r="B105" s="37"/>
      <c r="C105" s="38">
        <v>9</v>
      </c>
      <c r="D105" s="9" t="s">
        <v>907</v>
      </c>
      <c r="F105" s="9" t="s">
        <v>908</v>
      </c>
    </row>
    <row r="106" spans="1:6" hidden="1" x14ac:dyDescent="0.2">
      <c r="A106" s="9" t="s">
        <v>894</v>
      </c>
      <c r="B106" s="37"/>
      <c r="C106" s="38">
        <v>10</v>
      </c>
      <c r="D106" s="9" t="s">
        <v>910</v>
      </c>
      <c r="F106" s="9" t="s">
        <v>908</v>
      </c>
    </row>
    <row r="107" spans="1:6" hidden="1" x14ac:dyDescent="0.2">
      <c r="A107" s="9" t="s">
        <v>770</v>
      </c>
      <c r="B107" s="37"/>
      <c r="C107" s="38">
        <v>1</v>
      </c>
      <c r="D107" s="9" t="s">
        <v>697</v>
      </c>
      <c r="F107" s="9" t="s">
        <v>207</v>
      </c>
    </row>
    <row r="108" spans="1:6" hidden="1" x14ac:dyDescent="0.2">
      <c r="A108" s="9" t="s">
        <v>771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770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771</v>
      </c>
      <c r="B110" s="37"/>
      <c r="C110" s="38">
        <v>4</v>
      </c>
      <c r="D110" s="9" t="s">
        <v>1407</v>
      </c>
      <c r="F110" s="9" t="s">
        <v>207</v>
      </c>
    </row>
    <row r="111" spans="1:6" hidden="1" x14ac:dyDescent="0.2">
      <c r="A111" s="9" t="s">
        <v>772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772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770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770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772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772</v>
      </c>
      <c r="B116" s="37"/>
      <c r="C116" s="38">
        <v>10</v>
      </c>
      <c r="D116" s="9" t="s">
        <v>1177</v>
      </c>
      <c r="F116" s="9" t="s">
        <v>207</v>
      </c>
    </row>
    <row r="117" spans="1:7" hidden="1" x14ac:dyDescent="0.2">
      <c r="A117" s="9" t="s">
        <v>770</v>
      </c>
      <c r="B117" s="37"/>
      <c r="C117" s="38">
        <v>11</v>
      </c>
      <c r="D117" s="9" t="s">
        <v>699</v>
      </c>
      <c r="F117" s="9" t="s">
        <v>207</v>
      </c>
    </row>
    <row r="118" spans="1:7" hidden="1" x14ac:dyDescent="0.2">
      <c r="A118" s="9" t="s">
        <v>771</v>
      </c>
      <c r="B118" s="37"/>
      <c r="C118" s="38">
        <v>12</v>
      </c>
      <c r="D118" s="9" t="s">
        <v>701</v>
      </c>
      <c r="F118" s="9" t="s">
        <v>207</v>
      </c>
    </row>
    <row r="119" spans="1:7" hidden="1" x14ac:dyDescent="0.2">
      <c r="A119" s="9" t="s">
        <v>770</v>
      </c>
      <c r="B119" s="37"/>
      <c r="C119" s="38">
        <v>13</v>
      </c>
      <c r="D119" s="9" t="s">
        <v>703</v>
      </c>
      <c r="F119" s="9" t="s">
        <v>207</v>
      </c>
    </row>
    <row r="120" spans="1:7" hidden="1" x14ac:dyDescent="0.2">
      <c r="A120" s="9" t="s">
        <v>770</v>
      </c>
      <c r="B120" s="37"/>
      <c r="C120" s="38">
        <v>14</v>
      </c>
      <c r="D120" s="9" t="s">
        <v>705</v>
      </c>
      <c r="F120" s="9" t="s">
        <v>207</v>
      </c>
    </row>
    <row r="121" spans="1:7" hidden="1" x14ac:dyDescent="0.2">
      <c r="A121" s="9" t="s">
        <v>770</v>
      </c>
      <c r="B121" s="37"/>
      <c r="C121" s="38">
        <v>15</v>
      </c>
      <c r="D121" s="9" t="s">
        <v>707</v>
      </c>
      <c r="F121" s="9" t="s">
        <v>207</v>
      </c>
    </row>
    <row r="122" spans="1:7" hidden="1" x14ac:dyDescent="0.2">
      <c r="A122" s="9" t="s">
        <v>770</v>
      </c>
      <c r="B122" s="37"/>
      <c r="C122" s="38">
        <v>16</v>
      </c>
      <c r="D122" s="9" t="s">
        <v>709</v>
      </c>
      <c r="F122" s="9" t="s">
        <v>207</v>
      </c>
    </row>
    <row r="123" spans="1:7" hidden="1" x14ac:dyDescent="0.2">
      <c r="A123" s="9" t="s">
        <v>770</v>
      </c>
      <c r="B123" s="37"/>
      <c r="C123" s="38">
        <v>17</v>
      </c>
      <c r="D123" s="9" t="s">
        <v>711</v>
      </c>
      <c r="F123" s="9" t="s">
        <v>207</v>
      </c>
    </row>
    <row r="124" spans="1:7" hidden="1" x14ac:dyDescent="0.2">
      <c r="A124" s="9" t="s">
        <v>770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770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770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770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773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770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770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770</v>
      </c>
      <c r="B131" s="37"/>
      <c r="C131" s="38">
        <v>25</v>
      </c>
      <c r="D131" s="9" t="s">
        <v>1114</v>
      </c>
      <c r="F131" s="9" t="s">
        <v>1115</v>
      </c>
    </row>
    <row r="132" spans="1:7" hidden="1" x14ac:dyDescent="0.2">
      <c r="A132" s="9" t="s">
        <v>770</v>
      </c>
      <c r="B132" s="37"/>
      <c r="C132" s="38">
        <v>26</v>
      </c>
      <c r="D132" s="9" t="s">
        <v>1117</v>
      </c>
      <c r="F132" s="9" t="s">
        <v>1115</v>
      </c>
    </row>
    <row r="133" spans="1:7" hidden="1" x14ac:dyDescent="0.2">
      <c r="A133" s="9" t="s">
        <v>772</v>
      </c>
      <c r="B133" s="37"/>
      <c r="C133" s="38">
        <v>27</v>
      </c>
      <c r="D133" s="9" t="s">
        <v>714</v>
      </c>
      <c r="F133" s="9" t="s">
        <v>207</v>
      </c>
    </row>
    <row r="134" spans="1:7" hidden="1" x14ac:dyDescent="0.2">
      <c r="A134" s="9" t="s">
        <v>770</v>
      </c>
      <c r="B134" s="37"/>
      <c r="C134" s="38">
        <v>28</v>
      </c>
      <c r="D134" s="9" t="s">
        <v>716</v>
      </c>
      <c r="F134" s="9" t="s">
        <v>207</v>
      </c>
    </row>
    <row r="135" spans="1:7" hidden="1" x14ac:dyDescent="0.2">
      <c r="A135" s="9" t="s">
        <v>771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770</v>
      </c>
      <c r="B136" s="37"/>
      <c r="C136" s="38">
        <v>30</v>
      </c>
      <c r="D136" s="9" t="s">
        <v>1193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1310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1311</v>
      </c>
      <c r="F142" s="9" t="s">
        <v>1303</v>
      </c>
    </row>
    <row r="143" spans="1:7" hidden="1" x14ac:dyDescent="0.2">
      <c r="A143" s="9" t="s">
        <v>159</v>
      </c>
      <c r="B143" s="37"/>
      <c r="C143" s="38">
        <v>7</v>
      </c>
      <c r="D143" s="9" t="s">
        <v>1307</v>
      </c>
      <c r="F143" s="9" t="s">
        <v>1303</v>
      </c>
      <c r="G143" s="9" t="s">
        <v>1308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1147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1146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44"/>
  <sheetViews>
    <sheetView showGridLines="0" workbookViewId="0">
      <pane ySplit="1" topLeftCell="A2" activePane="bottomLeft" state="frozen"/>
      <selection pane="bottomLeft" activeCell="F1647" sqref="F1647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-34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-34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-53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-53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-62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-62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-55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-53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-53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-53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-53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-53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-67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-65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-65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-65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-65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-65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-65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-65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-64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-64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-57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-57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-57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-57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-57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-57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-57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-57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-56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-56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-56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-56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-56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-56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-56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-56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-56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-56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-56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-56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-56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-56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-56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-56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-56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-56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-56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-55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-55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-55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-54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-53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-53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-52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-50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-50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-50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-48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-46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-46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-46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-63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-57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-53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-54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-53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-52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-50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-50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-50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-50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-49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-49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-49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-49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-48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-48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-67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-57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-57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-57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-57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-57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-57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-56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-56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-56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-54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-54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-54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-54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-63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-56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-54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-54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-54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-54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-54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-53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-53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-53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-53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-53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-53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-50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-49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-48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-67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-57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-57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-57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-57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-57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-56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-56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-56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-56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-50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-50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-50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-50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-50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-50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-50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-50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-49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-49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-49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-49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-49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-49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-49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-49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-49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-49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-49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-49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-49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-49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-49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-49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-49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-49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-49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-48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-48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-48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-48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-48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-46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-46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-46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-43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-56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-56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-55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-55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-50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-50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-50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-50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-50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-49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-50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-50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-49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-49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-49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-49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-49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-48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-43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-41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-36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-12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-43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-43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-43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-41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-39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-39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-39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-53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-53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-49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-47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-46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-46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-46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-46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-43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-43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-43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-43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-43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-41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-40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-39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-36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-54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-54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-54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-47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-47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-47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-47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-47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-46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-46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-46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-46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-43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-43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-42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-41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-68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-68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-68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-68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-54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-49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-49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-49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-49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-48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-47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-47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-46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-46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-46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-43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-43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-43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-46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-46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-43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-43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-42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-41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-41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-40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-53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-53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-50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-50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-49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-49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-49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-49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-49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-48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-48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-43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-43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-43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-43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-43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-43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-43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-43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-46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-42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-42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-42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-42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-42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-42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-42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-42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-42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-42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-42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-42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-42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-42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-42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-42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-42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-42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-42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-42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-41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-41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-41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-41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-40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-36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-36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-38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-36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-27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-36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-36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-36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-34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-32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-32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-32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-53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-49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-49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-49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-49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-49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-49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-49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-49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-48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-48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-40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-40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-40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-40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-40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-40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-40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-40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-39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-39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-39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-39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-39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-39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-39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-39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-39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-39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-39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-39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-39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-39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-39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-39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-38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-39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-38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-38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-38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-38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-38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-36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-36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-34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-36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-36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-27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-48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-48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-47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-47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-41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-41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-40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-40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-39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-39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-39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-39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-39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-39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-39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-39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-38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-38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-38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-38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-36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-34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-27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-34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-12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-46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-42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-42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-40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-40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-39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-39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-36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-37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-36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-36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-36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-36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-36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-36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-33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-33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-31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-31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-48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-48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-46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-40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-40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-40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-40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-40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-39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-39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-39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-39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-39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-38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-38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-36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-34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-33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-35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-68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-68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-68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-68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-54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-41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-41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-41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-41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-40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-40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-40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-39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-39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-39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-39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-39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-39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-39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-38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-38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-36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-34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-33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-34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-33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-46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-46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-43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-43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-42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-42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-42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-42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-42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-41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-41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-36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-36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-36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-36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-36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-36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-36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-36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-35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-35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-35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-35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-35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-35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-35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-35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-35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-35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-35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-35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-35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-35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-35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-35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-35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-35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-35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-35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-35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-34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-34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-34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-33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-33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-31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-22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-27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-7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-5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1317</v>
      </c>
      <c r="E489" s="10">
        <v>43644</v>
      </c>
      <c r="F489" s="8" t="s">
        <v>1318</v>
      </c>
      <c r="G489" s="19" t="s">
        <v>228</v>
      </c>
      <c r="H489" s="18">
        <f ca="1">ROUNDDOWN(表3[[#This Row],[日期]]-TODAY(),1)</f>
        <v>-4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1202</v>
      </c>
      <c r="E490" s="10">
        <v>43643</v>
      </c>
      <c r="F490" s="8" t="s">
        <v>260</v>
      </c>
      <c r="G490" s="19"/>
      <c r="H490" s="18">
        <f ca="1">ROUNDDOWN(表3[[#This Row],[日期]]-TODAY(),1)</f>
        <v>-5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-3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719</v>
      </c>
      <c r="E492" s="10">
        <v>43644</v>
      </c>
      <c r="F492" s="8" t="s">
        <v>260</v>
      </c>
      <c r="G492" s="19" t="s">
        <v>720</v>
      </c>
      <c r="H492" s="18">
        <f ca="1">ROUNDDOWN(表3[[#This Row],[日期]]-TODAY(),1)</f>
        <v>-4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1295</v>
      </c>
      <c r="E493" s="25">
        <v>43644</v>
      </c>
      <c r="F493" s="26" t="s">
        <v>260</v>
      </c>
      <c r="G493" s="22"/>
      <c r="H493" s="21">
        <f ca="1">ROUNDDOWN(表3[[#This Row],[日期]]-TODAY(),1)</f>
        <v>-4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1297</v>
      </c>
      <c r="E494" s="25">
        <v>43648</v>
      </c>
      <c r="F494" s="26" t="s">
        <v>260</v>
      </c>
      <c r="G494" s="22"/>
      <c r="H494" s="21">
        <f ca="1">ROUNDDOWN(表3[[#This Row],[日期]]-TODAY(),1)</f>
        <v>0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1299</v>
      </c>
      <c r="E495" s="25">
        <v>43648</v>
      </c>
      <c r="F495" s="26" t="s">
        <v>1298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1300</v>
      </c>
      <c r="E496" s="10">
        <v>43644</v>
      </c>
      <c r="F496" s="8" t="s">
        <v>260</v>
      </c>
      <c r="G496" s="19"/>
      <c r="H496" s="18">
        <f ca="1">ROUNDDOWN(表3[[#This Row],[日期]]-TODAY(),1)</f>
        <v>-4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-29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-29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-29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-27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-22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-25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767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-26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-39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-34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-35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-33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-33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-33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-32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-28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-32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-29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-29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-28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-28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-28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-28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-27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-25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-24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-22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-36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-36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-36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-36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-36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-36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-36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-36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-36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-35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-35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-33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-33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-33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-33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-33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-33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-33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-33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-32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-32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-32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-32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-32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-32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-32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-32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-32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-32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-32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-32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-32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-32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-32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-32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-31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-32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-30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-30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-30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-30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-30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-28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-27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-27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-24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-22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-40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-36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-36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-33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-33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-33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-32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-28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-32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-32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-32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-32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-32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-32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-32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-29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-27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-26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-22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-36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-36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-36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-36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-36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-36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-36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-36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-36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-35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-35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-29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-29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-29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-29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-29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-29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-29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-29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-28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-28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-28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-28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-28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-28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-28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-28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-28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-28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-28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-26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-28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-28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-28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-28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-28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-28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-28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-27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-27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-27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-26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-25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-22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-24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-22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-41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-36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-35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-35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-33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-33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-33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-32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-29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-29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-29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-29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-26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-26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-29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-29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-29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-29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-28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-28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-25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-24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-12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-22</v>
      </c>
    </row>
    <row r="659" spans="1:8" hidden="1" x14ac:dyDescent="0.2">
      <c r="A659" s="19" t="s">
        <v>775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-28</v>
      </c>
    </row>
    <row r="660" spans="1:8" hidden="1" x14ac:dyDescent="0.2">
      <c r="A660" s="19" t="s">
        <v>775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-28</v>
      </c>
    </row>
    <row r="661" spans="1:8" hidden="1" x14ac:dyDescent="0.2">
      <c r="A661" s="19" t="s">
        <v>775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-28</v>
      </c>
    </row>
    <row r="662" spans="1:8" hidden="1" x14ac:dyDescent="0.2">
      <c r="A662" s="19" t="s">
        <v>775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-28</v>
      </c>
    </row>
    <row r="663" spans="1:8" hidden="1" x14ac:dyDescent="0.2">
      <c r="A663" s="19" t="s">
        <v>775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-28</v>
      </c>
    </row>
    <row r="664" spans="1:8" hidden="1" x14ac:dyDescent="0.2">
      <c r="A664" s="19" t="s">
        <v>775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-26</v>
      </c>
    </row>
    <row r="665" spans="1:8" hidden="1" x14ac:dyDescent="0.2">
      <c r="A665" s="19" t="s">
        <v>775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-26</v>
      </c>
    </row>
    <row r="666" spans="1:8" hidden="1" x14ac:dyDescent="0.2">
      <c r="A666" s="19" t="s">
        <v>775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-26</v>
      </c>
    </row>
    <row r="667" spans="1:8" hidden="1" x14ac:dyDescent="0.2">
      <c r="A667" s="19" t="s">
        <v>775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-22</v>
      </c>
    </row>
    <row r="668" spans="1:8" hidden="1" x14ac:dyDescent="0.2">
      <c r="A668" s="19" t="s">
        <v>775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-22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-22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-22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-22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-20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-18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-18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766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-18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866</v>
      </c>
      <c r="E676" s="10">
        <v>43631</v>
      </c>
      <c r="F676" s="8" t="s">
        <v>260</v>
      </c>
      <c r="G676" s="19"/>
      <c r="H676" s="18">
        <f ca="1">ROUNDDOWN(表3[[#This Row],[日期]]-TODAY(),1)</f>
        <v>-17</v>
      </c>
    </row>
    <row r="677" spans="1:8" hidden="1" x14ac:dyDescent="0.2">
      <c r="A677" s="19" t="s">
        <v>775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-28</v>
      </c>
    </row>
    <row r="678" spans="1:8" hidden="1" x14ac:dyDescent="0.2">
      <c r="A678" s="19" t="s">
        <v>775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-28</v>
      </c>
    </row>
    <row r="679" spans="1:8" hidden="1" x14ac:dyDescent="0.2">
      <c r="A679" s="19" t="s">
        <v>775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-28</v>
      </c>
    </row>
    <row r="680" spans="1:8" hidden="1" x14ac:dyDescent="0.2">
      <c r="A680" s="19" t="s">
        <v>775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-28</v>
      </c>
    </row>
    <row r="681" spans="1:8" hidden="1" x14ac:dyDescent="0.2">
      <c r="A681" s="19" t="s">
        <v>775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-28</v>
      </c>
    </row>
    <row r="682" spans="1:8" hidden="1" x14ac:dyDescent="0.2">
      <c r="A682" s="19" t="s">
        <v>775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-22</v>
      </c>
    </row>
    <row r="683" spans="1:8" hidden="1" x14ac:dyDescent="0.2">
      <c r="A683" s="19" t="s">
        <v>775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-22</v>
      </c>
    </row>
    <row r="684" spans="1:8" hidden="1" x14ac:dyDescent="0.2">
      <c r="A684" s="19" t="s">
        <v>775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-22</v>
      </c>
    </row>
    <row r="685" spans="1:8" hidden="1" x14ac:dyDescent="0.2">
      <c r="A685" s="19" t="s">
        <v>775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-19</v>
      </c>
    </row>
    <row r="686" spans="1:8" hidden="1" x14ac:dyDescent="0.2">
      <c r="A686" s="19" t="s">
        <v>775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-19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-32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-28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-28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-26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-26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-26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-22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-22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-22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-22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-22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-22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-22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-22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-22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-22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-21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-20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778</v>
      </c>
      <c r="E705" s="10">
        <v>43629</v>
      </c>
      <c r="F705" s="8" t="s">
        <v>260</v>
      </c>
      <c r="G705" s="19"/>
      <c r="H705" s="18">
        <f ca="1">ROUNDDOWN(表3[[#This Row],[日期]]-TODAY(),1)</f>
        <v>-19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-19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-32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-32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-32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-32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-28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-28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-28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-28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-28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-27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-27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-27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-27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-27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-27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-27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-27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-27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-27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-26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-26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-26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-26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-26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-26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-26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-26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-26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-26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-26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-26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-26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-26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-26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-26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-25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-26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-23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-22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-22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-22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-22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-21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-20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-19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-19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798</v>
      </c>
      <c r="E753" s="10">
        <v>43629</v>
      </c>
      <c r="F753" s="8" t="s">
        <v>260</v>
      </c>
      <c r="G753" s="19"/>
      <c r="H753" s="18">
        <f ca="1">ROUNDDOWN(表3[[#This Row],[日期]]-TODAY(),1)</f>
        <v>-19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799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-19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-34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-34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-33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-27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-27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-27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-27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-27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-26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-26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-26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-26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-26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-22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-22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-22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-21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777</v>
      </c>
      <c r="E772" s="10">
        <v>43628</v>
      </c>
      <c r="F772" s="8" t="s">
        <v>260</v>
      </c>
      <c r="G772" s="19"/>
      <c r="H772" s="18">
        <f ca="1">ROUNDDOWN(表3[[#This Row],[日期]]-TODAY(),1)</f>
        <v>-20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786</v>
      </c>
      <c r="G773" s="19"/>
      <c r="H773" s="18">
        <f ca="1">ROUNDDOWN(表3[[#This Row],[日期]]-TODAY(),1)</f>
        <v>-20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-32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-32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-32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-32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-28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-28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-28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-28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-28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-27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-27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-22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718</v>
      </c>
      <c r="E786" s="10">
        <v>43626</v>
      </c>
      <c r="F786" s="8" t="s">
        <v>260</v>
      </c>
      <c r="G786" s="19"/>
      <c r="H786" s="18">
        <f ca="1">ROUNDDOWN(表3[[#This Row],[日期]]-TODAY(),1)</f>
        <v>-22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-22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-22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-22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-22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-22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-22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-21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-21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-21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-21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-21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-21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-21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-21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-21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-21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-21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-21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-21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-20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-20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-20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-20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-20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-20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-20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-19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-19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-19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-19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-19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-19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-15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-13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1235</v>
      </c>
      <c r="E821" s="10">
        <v>43642</v>
      </c>
      <c r="F821" s="8" t="s">
        <v>260</v>
      </c>
      <c r="G821" s="19"/>
      <c r="H821" s="18">
        <f ca="1">ROUNDDOWN(表3[[#This Row],[日期]]-TODAY(),1)</f>
        <v>-6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1236</v>
      </c>
      <c r="E822" s="10">
        <v>43643</v>
      </c>
      <c r="F822" s="8" t="s">
        <v>260</v>
      </c>
      <c r="G822" s="19"/>
      <c r="H822" s="18">
        <f ca="1">ROUNDDOWN(表3[[#This Row],[日期]]-TODAY(),1)</f>
        <v>-5</v>
      </c>
    </row>
    <row r="823" spans="1:8" hidden="1" x14ac:dyDescent="0.2">
      <c r="A823" s="19" t="s">
        <v>775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-28</v>
      </c>
    </row>
    <row r="824" spans="1:8" hidden="1" x14ac:dyDescent="0.2">
      <c r="A824" s="19" t="s">
        <v>775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-28</v>
      </c>
    </row>
    <row r="825" spans="1:8" hidden="1" x14ac:dyDescent="0.2">
      <c r="A825" s="19" t="s">
        <v>775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-28</v>
      </c>
    </row>
    <row r="826" spans="1:8" hidden="1" x14ac:dyDescent="0.2">
      <c r="A826" s="22" t="s">
        <v>775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-28</v>
      </c>
    </row>
    <row r="827" spans="1:8" hidden="1" x14ac:dyDescent="0.2">
      <c r="A827" s="19" t="s">
        <v>775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-28</v>
      </c>
    </row>
    <row r="828" spans="1:8" hidden="1" x14ac:dyDescent="0.2">
      <c r="A828" s="22" t="s">
        <v>775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-18</v>
      </c>
    </row>
    <row r="829" spans="1:8" hidden="1" x14ac:dyDescent="0.2">
      <c r="A829" s="22" t="s">
        <v>775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-18</v>
      </c>
    </row>
    <row r="830" spans="1:8" hidden="1" x14ac:dyDescent="0.2">
      <c r="A830" s="22" t="s">
        <v>775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-18</v>
      </c>
    </row>
    <row r="831" spans="1:8" hidden="1" x14ac:dyDescent="0.2">
      <c r="A831" s="19" t="s">
        <v>775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-15</v>
      </c>
    </row>
    <row r="832" spans="1:8" hidden="1" x14ac:dyDescent="0.2">
      <c r="A832" s="19" t="s">
        <v>743</v>
      </c>
      <c r="B832" s="43">
        <v>43632</v>
      </c>
      <c r="C832" s="11">
        <v>9.1</v>
      </c>
      <c r="D832" s="12" t="s">
        <v>941</v>
      </c>
      <c r="E832" s="10">
        <v>43635</v>
      </c>
      <c r="F832" s="8" t="s">
        <v>260</v>
      </c>
      <c r="G832" s="19"/>
      <c r="H832" s="18">
        <f ca="1">ROUNDDOWN(表3[[#This Row],[日期]]-TODAY(),1)</f>
        <v>-13</v>
      </c>
    </row>
    <row r="833" spans="1:8" hidden="1" x14ac:dyDescent="0.2">
      <c r="A833" s="22" t="s">
        <v>775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-15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969</v>
      </c>
      <c r="E834" s="25">
        <v>43633</v>
      </c>
      <c r="F834" s="26" t="s">
        <v>971</v>
      </c>
      <c r="G834" s="22" t="s">
        <v>234</v>
      </c>
      <c r="H834" s="21">
        <f ca="1">ROUNDDOWN(表3[[#This Row],[日期]]-TODAY(),1)</f>
        <v>-15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964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-15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961</v>
      </c>
      <c r="E836" s="25">
        <v>43633</v>
      </c>
      <c r="F836" s="26" t="s">
        <v>260</v>
      </c>
      <c r="G836" s="22" t="s">
        <v>965</v>
      </c>
      <c r="H836" s="21">
        <f ca="1">ROUNDDOWN(表3[[#This Row],[日期]]-TODAY(),1)</f>
        <v>-15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961</v>
      </c>
      <c r="E837" s="25">
        <v>43635</v>
      </c>
      <c r="F837" s="26" t="s">
        <v>260</v>
      </c>
      <c r="G837" s="22" t="s">
        <v>972</v>
      </c>
      <c r="H837" s="21">
        <f ca="1">ROUNDDOWN(表3[[#This Row],[日期]]-TODAY(),1)</f>
        <v>-13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1164</v>
      </c>
      <c r="E838" s="25">
        <v>43637</v>
      </c>
      <c r="F838" s="26" t="s">
        <v>260</v>
      </c>
      <c r="G838" s="22" t="s">
        <v>1082</v>
      </c>
      <c r="H838" s="21">
        <f ca="1">ROUNDDOWN(表3[[#This Row],[日期]]-TODAY(),1)</f>
        <v>-11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968</v>
      </c>
      <c r="E839" s="25">
        <v>43636</v>
      </c>
      <c r="F839" s="26" t="s">
        <v>260</v>
      </c>
      <c r="G839" s="22" t="s">
        <v>966</v>
      </c>
      <c r="H839" s="21">
        <f ca="1">ROUNDDOWN(表3[[#This Row],[日期]]-TODAY(),1)</f>
        <v>-12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-11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962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-11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-11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961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-11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960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-11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963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-11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1049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-11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1048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-11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1050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-11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1051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-11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1052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-11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1053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-11</v>
      </c>
    </row>
    <row r="852" spans="1:8" hidden="1" x14ac:dyDescent="0.2">
      <c r="A852" s="19" t="s">
        <v>775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-28</v>
      </c>
    </row>
    <row r="853" spans="1:8" hidden="1" x14ac:dyDescent="0.2">
      <c r="A853" s="19" t="s">
        <v>776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-28</v>
      </c>
    </row>
    <row r="854" spans="1:8" hidden="1" x14ac:dyDescent="0.2">
      <c r="A854" s="19" t="s">
        <v>775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-28</v>
      </c>
    </row>
    <row r="855" spans="1:8" hidden="1" x14ac:dyDescent="0.2">
      <c r="A855" s="19" t="s">
        <v>775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-22</v>
      </c>
    </row>
    <row r="856" spans="1:8" hidden="1" x14ac:dyDescent="0.2">
      <c r="A856" s="19" t="s">
        <v>775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-20</v>
      </c>
    </row>
    <row r="857" spans="1:8" hidden="1" x14ac:dyDescent="0.2">
      <c r="A857" s="19" t="s">
        <v>775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-15</v>
      </c>
    </row>
    <row r="858" spans="1:8" hidden="1" x14ac:dyDescent="0.2">
      <c r="A858" s="19" t="s">
        <v>775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-15</v>
      </c>
    </row>
    <row r="859" spans="1:8" hidden="1" x14ac:dyDescent="0.2">
      <c r="A859" s="22" t="s">
        <v>775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-15</v>
      </c>
    </row>
    <row r="860" spans="1:8" hidden="1" x14ac:dyDescent="0.2">
      <c r="A860" s="19" t="s">
        <v>775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-12</v>
      </c>
    </row>
    <row r="861" spans="1:8" hidden="1" x14ac:dyDescent="0.2">
      <c r="A861" s="19" t="s">
        <v>775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-12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-26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-21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-21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-18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-18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-18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-15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-15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-18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-15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955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-15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-15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-15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-15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-15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-15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-13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1104</v>
      </c>
      <c r="E879" s="10">
        <v>43636</v>
      </c>
      <c r="F879" s="8" t="s">
        <v>260</v>
      </c>
      <c r="G879" s="19"/>
      <c r="H879" s="18">
        <f ca="1">ROUNDDOWN(表3[[#This Row],[日期]]-TODAY(),1)</f>
        <v>-12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-13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-22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-22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-22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-22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-21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-21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-21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-21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-21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-20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-20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-19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717</v>
      </c>
      <c r="E893" s="10">
        <v>43629</v>
      </c>
      <c r="F893" s="8" t="s">
        <v>260</v>
      </c>
      <c r="G893" s="19"/>
      <c r="H893" s="18">
        <f ca="1">ROUNDDOWN(表3[[#This Row],[日期]]-TODAY(),1)</f>
        <v>-19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-19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-19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-19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-19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-19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-19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-18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-18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-18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-18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-18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-18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867</v>
      </c>
      <c r="E906" s="10">
        <v>43630</v>
      </c>
      <c r="F906" s="8" t="s">
        <v>260</v>
      </c>
      <c r="G906" s="19"/>
      <c r="H906" s="18">
        <f ca="1">ROUNDDOWN(表3[[#This Row],[日期]]-TODAY(),1)</f>
        <v>-18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-18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-18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-18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-18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-18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-18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-18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-18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-18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-18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-15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-15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-15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-15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-15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-14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-13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1105</v>
      </c>
      <c r="E924" s="10">
        <v>43635</v>
      </c>
      <c r="F924" s="8" t="s">
        <v>260</v>
      </c>
      <c r="G924" s="19"/>
      <c r="H924" s="18">
        <f ca="1">ROUNDDOWN(表3[[#This Row],[日期]]-TODAY(),1)</f>
        <v>-13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-11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-11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-26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-26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-22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-19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-19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-19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-19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-19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955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-18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-18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-18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-18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-18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-17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-17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-15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-14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990</v>
      </c>
      <c r="E944" s="10">
        <v>43636</v>
      </c>
      <c r="F944" s="8" t="s">
        <v>260</v>
      </c>
      <c r="G944" s="19"/>
      <c r="H944" s="18">
        <f ca="1">ROUNDDOWN(表3[[#This Row],[日期]]-TODAY(),1)</f>
        <v>-12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-13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-53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-53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-53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-53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-52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-34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-33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-20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-20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-20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-20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-20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-20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-19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-18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-18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-18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-15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-15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-15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-18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-18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-18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-15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-14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-12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-12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-12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-22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-22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-22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-22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-21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-21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-21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-21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-21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-20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-20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-15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717</v>
      </c>
      <c r="E986" s="10">
        <v>43633</v>
      </c>
      <c r="F986" s="8" t="s">
        <v>260</v>
      </c>
      <c r="G986" s="19"/>
      <c r="H986" s="18">
        <f ca="1">ROUNDDOWN(表3[[#This Row],[日期]]-TODAY(),1)</f>
        <v>-15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-15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-15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-15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-15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-15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-15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987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-14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-14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-14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-14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-14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-14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-14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-14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-14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-14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-14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-14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-14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-14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-14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-14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-14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-14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-14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-13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-13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-13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-12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-12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1105</v>
      </c>
      <c r="E1017" s="10">
        <v>43636</v>
      </c>
      <c r="F1017" s="8" t="s">
        <v>260</v>
      </c>
      <c r="G1017" s="19"/>
      <c r="H1017" s="18">
        <f ca="1">ROUNDDOWN(表3[[#This Row],[日期]]-TODAY(),1)</f>
        <v>-12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-10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-8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698</v>
      </c>
      <c r="E1020" s="10">
        <v>43628</v>
      </c>
      <c r="F1020" s="8" t="s">
        <v>260</v>
      </c>
      <c r="G1020" s="19"/>
      <c r="H1020" s="18">
        <f ca="1">ROUNDDOWN(表3[[#This Row],[日期]]-TODAY(),1)</f>
        <v>-20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-21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-20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696</v>
      </c>
      <c r="E1023" s="10">
        <v>43628</v>
      </c>
      <c r="F1023" s="8" t="s">
        <v>260</v>
      </c>
      <c r="G1023" s="19"/>
      <c r="H1023" s="18">
        <f ca="1">ROUNDDOWN(表3[[#This Row],[日期]]-TODAY(),1)</f>
        <v>-20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-20</v>
      </c>
    </row>
    <row r="1025" spans="1:8" hidden="1" x14ac:dyDescent="0.2">
      <c r="A1025" s="19" t="s">
        <v>942</v>
      </c>
      <c r="B1025" s="41">
        <v>43637</v>
      </c>
      <c r="C1025" s="11">
        <v>5.0999999999999996</v>
      </c>
      <c r="D1025" s="12" t="s">
        <v>943</v>
      </c>
      <c r="E1025" s="10">
        <v>43633</v>
      </c>
      <c r="F1025" s="8" t="s">
        <v>1</v>
      </c>
      <c r="G1025" s="19"/>
      <c r="H1025" s="18">
        <f ca="1">ROUNDDOWN(表3[[#This Row],[日期]]-TODAY(),1)</f>
        <v>-15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-14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-14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-14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-14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-14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700</v>
      </c>
      <c r="E1031" s="25">
        <v>43634</v>
      </c>
      <c r="F1031" s="26" t="s">
        <v>260</v>
      </c>
      <c r="G1031" s="22"/>
      <c r="H1031" s="21">
        <f ca="1">ROUNDDOWN(表3[[#This Row],[日期]]-TODAY(),1)</f>
        <v>-14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702</v>
      </c>
      <c r="E1032" s="25">
        <v>43635</v>
      </c>
      <c r="F1032" s="26" t="s">
        <v>260</v>
      </c>
      <c r="G1032" s="22"/>
      <c r="H1032" s="21">
        <f ca="1">ROUNDDOWN(表3[[#This Row],[日期]]-TODAY(),1)</f>
        <v>-13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704</v>
      </c>
      <c r="E1033" s="10">
        <v>43634</v>
      </c>
      <c r="F1033" s="8" t="s">
        <v>260</v>
      </c>
      <c r="G1033" s="19"/>
      <c r="H1033" s="18">
        <f ca="1">ROUNDDOWN(表3[[#This Row],[日期]]-TODAY(),1)</f>
        <v>-14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706</v>
      </c>
      <c r="E1034" s="10">
        <v>43634</v>
      </c>
      <c r="F1034" s="8" t="s">
        <v>260</v>
      </c>
      <c r="G1034" s="19"/>
      <c r="H1034" s="18">
        <f ca="1">ROUNDDOWN(表3[[#This Row],[日期]]-TODAY(),1)</f>
        <v>-14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708</v>
      </c>
      <c r="E1035" s="10">
        <v>43634</v>
      </c>
      <c r="F1035" s="8" t="s">
        <v>260</v>
      </c>
      <c r="G1035" s="19"/>
      <c r="H1035" s="18">
        <f ca="1">ROUNDDOWN(表3[[#This Row],[日期]]-TODAY(),1)</f>
        <v>-14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710</v>
      </c>
      <c r="E1036" s="10">
        <v>43634</v>
      </c>
      <c r="F1036" s="8" t="s">
        <v>260</v>
      </c>
      <c r="G1036" s="19"/>
      <c r="H1036" s="18">
        <f ca="1">ROUNDDOWN(表3[[#This Row],[日期]]-TODAY(),1)</f>
        <v>-14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712</v>
      </c>
      <c r="E1037" s="10">
        <v>43634</v>
      </c>
      <c r="F1037" s="8" t="s">
        <v>260</v>
      </c>
      <c r="G1037" s="19"/>
      <c r="H1037" s="18">
        <f ca="1">ROUNDDOWN(表3[[#This Row],[日期]]-TODAY(),1)</f>
        <v>-14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713</v>
      </c>
      <c r="E1038" s="25">
        <v>43634</v>
      </c>
      <c r="F1038" s="26" t="s">
        <v>260</v>
      </c>
      <c r="G1038" s="22"/>
      <c r="H1038" s="21">
        <f ca="1">ROUNDDOWN(表3[[#This Row],[日期]]-TODAY(),1)</f>
        <v>-14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-14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-13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-13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-13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-12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-12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1113</v>
      </c>
      <c r="E1045" s="10">
        <v>43640</v>
      </c>
      <c r="F1045" s="8" t="s">
        <v>260</v>
      </c>
      <c r="G1045" s="19"/>
      <c r="H1045" s="18">
        <f ca="1">ROUNDDOWN(表3[[#This Row],[日期]]-TODAY(),1)</f>
        <v>-8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1116</v>
      </c>
      <c r="E1046" s="10">
        <v>43640</v>
      </c>
      <c r="F1046" s="8" t="s">
        <v>260</v>
      </c>
      <c r="G1046" s="19"/>
      <c r="H1046" s="18">
        <f ca="1">ROUNDDOWN(表3[[#This Row],[日期]]-TODAY(),1)</f>
        <v>-8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715</v>
      </c>
      <c r="E1047" s="10">
        <v>43640</v>
      </c>
      <c r="F1047" s="8" t="s">
        <v>260</v>
      </c>
      <c r="G1047" s="19"/>
      <c r="H1047" s="18">
        <f ca="1">ROUNDDOWN(表3[[#This Row],[日期]]-TODAY(),1)</f>
        <v>-8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1230</v>
      </c>
      <c r="E1048" s="10">
        <v>43641</v>
      </c>
      <c r="F1048" s="8" t="s">
        <v>260</v>
      </c>
      <c r="G1048" s="19"/>
      <c r="H1048" s="18">
        <f ca="1">ROUNDDOWN(表3[[#This Row],[日期]]-TODAY(),1)</f>
        <v>-7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-8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-8</v>
      </c>
    </row>
    <row r="1051" spans="1:8" hidden="1" x14ac:dyDescent="0.2">
      <c r="A1051" s="19" t="s">
        <v>884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1077</v>
      </c>
      <c r="G1051" s="19"/>
      <c r="H1051" s="18">
        <f ca="1">ROUNDDOWN(表3[[#This Row],[日期]]-TODAY(),1)</f>
        <v>-14</v>
      </c>
    </row>
    <row r="1052" spans="1:8" hidden="1" x14ac:dyDescent="0.2">
      <c r="A1052" s="19" t="s">
        <v>884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1077</v>
      </c>
      <c r="G1052" s="19"/>
      <c r="H1052" s="18">
        <f ca="1">ROUNDDOWN(表3[[#This Row],[日期]]-TODAY(),1)</f>
        <v>-14</v>
      </c>
    </row>
    <row r="1053" spans="1:8" hidden="1" x14ac:dyDescent="0.2">
      <c r="A1053" s="19" t="s">
        <v>884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1077</v>
      </c>
      <c r="G1053" s="19"/>
      <c r="H1053" s="18">
        <f ca="1">ROUNDDOWN(表3[[#This Row],[日期]]-TODAY(),1)</f>
        <v>-14</v>
      </c>
    </row>
    <row r="1054" spans="1:8" hidden="1" x14ac:dyDescent="0.2">
      <c r="A1054" s="19" t="s">
        <v>884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1077</v>
      </c>
      <c r="G1054" s="19"/>
      <c r="H1054" s="18">
        <f ca="1">ROUNDDOWN(表3[[#This Row],[日期]]-TODAY(),1)</f>
        <v>-14</v>
      </c>
    </row>
    <row r="1055" spans="1:8" hidden="1" x14ac:dyDescent="0.2">
      <c r="A1055" s="19" t="s">
        <v>884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1077</v>
      </c>
      <c r="G1055" s="19"/>
      <c r="H1055" s="18">
        <f ca="1">ROUNDDOWN(表3[[#This Row],[日期]]-TODAY(),1)</f>
        <v>-14</v>
      </c>
    </row>
    <row r="1056" spans="1:8" hidden="1" x14ac:dyDescent="0.2">
      <c r="A1056" s="19" t="s">
        <v>884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-11</v>
      </c>
    </row>
    <row r="1057" spans="1:8" hidden="1" x14ac:dyDescent="0.2">
      <c r="A1057" s="19" t="s">
        <v>884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-11</v>
      </c>
    </row>
    <row r="1058" spans="1:8" hidden="1" x14ac:dyDescent="0.2">
      <c r="A1058" s="22" t="s">
        <v>884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-11</v>
      </c>
    </row>
    <row r="1059" spans="1:8" hidden="1" x14ac:dyDescent="0.2">
      <c r="A1059" s="22" t="s">
        <v>884</v>
      </c>
      <c r="B1059" s="43">
        <v>43639</v>
      </c>
      <c r="C1059" s="23">
        <v>9</v>
      </c>
      <c r="D1059" s="24" t="s">
        <v>1078</v>
      </c>
      <c r="E1059" s="25">
        <v>43639</v>
      </c>
      <c r="F1059" s="26" t="s">
        <v>260</v>
      </c>
      <c r="G1059" s="22"/>
      <c r="H1059" s="21">
        <f ca="1">ROUNDDOWN(表3[[#This Row],[日期]]-TODAY(),1)</f>
        <v>-9</v>
      </c>
    </row>
    <row r="1060" spans="1:8" hidden="1" x14ac:dyDescent="0.2">
      <c r="A1060" s="19" t="s">
        <v>884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-8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969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-8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1172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-8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964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-7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961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-8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961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-6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968</v>
      </c>
      <c r="E1066" s="10">
        <v>43643</v>
      </c>
      <c r="F1066" s="8" t="s">
        <v>260</v>
      </c>
      <c r="G1066" s="19" t="s">
        <v>966</v>
      </c>
      <c r="H1066" s="18">
        <f ca="1">ROUNDDOWN(表3[[#This Row],[日期]]-TODAY(),1)</f>
        <v>-5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1172</v>
      </c>
      <c r="E1067" s="10">
        <v>43643</v>
      </c>
      <c r="F1067" s="8" t="s">
        <v>260</v>
      </c>
      <c r="G1067" s="19" t="s">
        <v>966</v>
      </c>
      <c r="H1067" s="18">
        <f ca="1">ROUNDDOWN(表3[[#This Row],[日期]]-TODAY(),1)</f>
        <v>-5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1319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-4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-4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961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-4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1237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-4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1173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-3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1294</v>
      </c>
      <c r="E1073" s="25">
        <v>43644</v>
      </c>
      <c r="F1073" s="26" t="s">
        <v>260</v>
      </c>
      <c r="G1073" s="22"/>
      <c r="H1073" s="21">
        <f ca="1">ROUNDDOWN(表3[[#This Row],[日期]]-TODAY(),1)</f>
        <v>-4</v>
      </c>
    </row>
    <row r="1074" spans="1:8" hidden="1" x14ac:dyDescent="0.2">
      <c r="A1074" s="22" t="s">
        <v>884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1131</v>
      </c>
      <c r="G1074" s="22"/>
      <c r="H1074" s="21">
        <f ca="1">ROUNDDOWN(表3[[#This Row],[日期]]-TODAY(),1)</f>
        <v>-12</v>
      </c>
    </row>
    <row r="1075" spans="1:8" hidden="1" x14ac:dyDescent="0.2">
      <c r="A1075" s="22" t="s">
        <v>884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1131</v>
      </c>
      <c r="G1075" s="22"/>
      <c r="H1075" s="21">
        <f ca="1">ROUNDDOWN(表3[[#This Row],[日期]]-TODAY(),1)</f>
        <v>-12</v>
      </c>
    </row>
    <row r="1076" spans="1:8" hidden="1" x14ac:dyDescent="0.2">
      <c r="A1076" s="19" t="s">
        <v>884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-12</v>
      </c>
    </row>
    <row r="1077" spans="1:8" hidden="1" x14ac:dyDescent="0.2">
      <c r="A1077" s="19" t="s">
        <v>884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1131</v>
      </c>
      <c r="G1077" s="19"/>
      <c r="H1077" s="18">
        <f ca="1">ROUNDDOWN(表3[[#This Row],[日期]]-TODAY(),1)</f>
        <v>-12</v>
      </c>
    </row>
    <row r="1078" spans="1:8" hidden="1" x14ac:dyDescent="0.2">
      <c r="A1078" s="19" t="s">
        <v>884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-12</v>
      </c>
    </row>
    <row r="1079" spans="1:8" hidden="1" x14ac:dyDescent="0.2">
      <c r="A1079" s="19" t="s">
        <v>884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-8</v>
      </c>
    </row>
    <row r="1080" spans="1:8" hidden="1" x14ac:dyDescent="0.2">
      <c r="A1080" s="19" t="s">
        <v>884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-8</v>
      </c>
    </row>
    <row r="1081" spans="1:8" hidden="1" x14ac:dyDescent="0.2">
      <c r="A1081" s="19" t="s">
        <v>884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-8</v>
      </c>
    </row>
    <row r="1082" spans="1:8" hidden="1" x14ac:dyDescent="0.2">
      <c r="A1082" s="19" t="s">
        <v>884</v>
      </c>
      <c r="B1082" s="41">
        <v>43642</v>
      </c>
      <c r="C1082" s="11">
        <v>9</v>
      </c>
      <c r="D1082" s="12" t="s">
        <v>1143</v>
      </c>
      <c r="E1082" s="10">
        <v>43643</v>
      </c>
      <c r="F1082" s="8" t="s">
        <v>260</v>
      </c>
      <c r="G1082" s="19"/>
      <c r="H1082" s="18">
        <f ca="1">ROUNDDOWN(表3[[#This Row],[日期]]-TODAY(),1)</f>
        <v>-5</v>
      </c>
    </row>
    <row r="1083" spans="1:8" hidden="1" x14ac:dyDescent="0.2">
      <c r="A1083" s="19" t="s">
        <v>884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-5</v>
      </c>
    </row>
    <row r="1084" spans="1:8" hidden="1" x14ac:dyDescent="0.2">
      <c r="A1084" s="22" t="s">
        <v>725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871</v>
      </c>
      <c r="G1084" s="22"/>
      <c r="H1084" s="21">
        <f ca="1">ROUNDDOWN(表3[[#This Row],[日期]]-TODAY(),1)</f>
        <v>-18</v>
      </c>
    </row>
    <row r="1085" spans="1:8" hidden="1" x14ac:dyDescent="0.2">
      <c r="A1085" s="19" t="s">
        <v>725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-14</v>
      </c>
    </row>
    <row r="1086" spans="1:8" hidden="1" x14ac:dyDescent="0.2">
      <c r="A1086" s="19" t="s">
        <v>725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-14</v>
      </c>
    </row>
    <row r="1087" spans="1:8" hidden="1" x14ac:dyDescent="0.2">
      <c r="A1087" s="19" t="s">
        <v>725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-11</v>
      </c>
    </row>
    <row r="1088" spans="1:8" hidden="1" x14ac:dyDescent="0.2">
      <c r="A1088" s="19" t="s">
        <v>725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-11</v>
      </c>
    </row>
    <row r="1089" spans="1:8" hidden="1" x14ac:dyDescent="0.2">
      <c r="A1089" s="19" t="s">
        <v>725</v>
      </c>
      <c r="B1089" s="41">
        <v>43642</v>
      </c>
      <c r="C1089" s="11">
        <v>6</v>
      </c>
      <c r="D1089" s="12" t="s">
        <v>874</v>
      </c>
      <c r="E1089" s="10">
        <v>43637</v>
      </c>
      <c r="F1089" s="8" t="s">
        <v>260</v>
      </c>
      <c r="G1089" s="19"/>
      <c r="H1089" s="18">
        <f ca="1">ROUNDDOWN(表3[[#This Row],[日期]]-TODAY(),1)</f>
        <v>-11</v>
      </c>
    </row>
    <row r="1090" spans="1:8" hidden="1" x14ac:dyDescent="0.2">
      <c r="A1090" s="19" t="s">
        <v>726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-8</v>
      </c>
    </row>
    <row r="1091" spans="1:8" hidden="1" x14ac:dyDescent="0.2">
      <c r="A1091" s="19" t="s">
        <v>725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-8</v>
      </c>
    </row>
    <row r="1092" spans="1:8" hidden="1" x14ac:dyDescent="0.2">
      <c r="A1092" s="19" t="s">
        <v>725</v>
      </c>
      <c r="B1092" s="41">
        <v>43642</v>
      </c>
      <c r="C1092" s="11">
        <v>9</v>
      </c>
      <c r="D1092" s="12" t="s">
        <v>955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-8</v>
      </c>
    </row>
    <row r="1093" spans="1:8" hidden="1" x14ac:dyDescent="0.2">
      <c r="A1093" s="19" t="s">
        <v>725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-8</v>
      </c>
    </row>
    <row r="1094" spans="1:8" hidden="1" x14ac:dyDescent="0.2">
      <c r="A1094" s="19" t="s">
        <v>725</v>
      </c>
      <c r="B1094" s="41">
        <v>43642</v>
      </c>
      <c r="C1094" s="11">
        <v>11</v>
      </c>
      <c r="D1094" s="12" t="s">
        <v>984</v>
      </c>
      <c r="E1094" s="10">
        <v>43640</v>
      </c>
      <c r="F1094" s="8" t="s">
        <v>260</v>
      </c>
      <c r="G1094" s="19"/>
      <c r="H1094" s="18">
        <f ca="1">ROUNDDOWN(表3[[#This Row],[日期]]-TODAY(),1)</f>
        <v>-8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985</v>
      </c>
      <c r="E1095" s="10">
        <v>43640</v>
      </c>
      <c r="F1095" s="8" t="s">
        <v>260</v>
      </c>
      <c r="G1095" s="19"/>
      <c r="H1095" s="18">
        <f ca="1">ROUNDDOWN(表3[[#This Row],[日期]]-TODAY(),1)</f>
        <v>-8</v>
      </c>
    </row>
    <row r="1096" spans="1:8" hidden="1" x14ac:dyDescent="0.2">
      <c r="A1096" s="19" t="s">
        <v>725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-7</v>
      </c>
    </row>
    <row r="1097" spans="1:8" hidden="1" x14ac:dyDescent="0.2">
      <c r="A1097" s="19" t="s">
        <v>726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-7</v>
      </c>
    </row>
    <row r="1098" spans="1:8" hidden="1" x14ac:dyDescent="0.2">
      <c r="A1098" s="19" t="s">
        <v>725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-7</v>
      </c>
    </row>
    <row r="1099" spans="1:8" hidden="1" x14ac:dyDescent="0.2">
      <c r="A1099" s="19" t="s">
        <v>726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-7</v>
      </c>
    </row>
    <row r="1100" spans="1:8" hidden="1" x14ac:dyDescent="0.2">
      <c r="A1100" s="19" t="s">
        <v>725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-7</v>
      </c>
    </row>
    <row r="1101" spans="1:8" hidden="1" x14ac:dyDescent="0.2">
      <c r="A1101" s="19" t="s">
        <v>725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-6</v>
      </c>
    </row>
    <row r="1102" spans="1:8" hidden="1" x14ac:dyDescent="0.2">
      <c r="A1102" s="19" t="s">
        <v>725</v>
      </c>
      <c r="B1102" s="41">
        <v>43642</v>
      </c>
      <c r="C1102" s="11">
        <v>19</v>
      </c>
      <c r="D1102" s="12" t="s">
        <v>872</v>
      </c>
      <c r="E1102" s="10">
        <v>43643</v>
      </c>
      <c r="F1102" s="8" t="s">
        <v>260</v>
      </c>
      <c r="G1102" s="19"/>
      <c r="H1102" s="18">
        <f ca="1">ROUNDDOWN(表3[[#This Row],[日期]]-TODAY(),1)</f>
        <v>-5</v>
      </c>
    </row>
    <row r="1103" spans="1:8" hidden="1" x14ac:dyDescent="0.2">
      <c r="A1103" s="19" t="s">
        <v>725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-6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989</v>
      </c>
      <c r="G1104" s="19" t="s">
        <v>29</v>
      </c>
      <c r="H1104" s="18">
        <f ca="1">ROUNDDOWN(表3[[#This Row],[日期]]-TODAY(),1)</f>
        <v>-15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-15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-15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-15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-14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-14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-14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-14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-14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-14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-14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-12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-12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-12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-12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-12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-12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-12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-12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986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-11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-11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-11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-11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-11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-11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988</v>
      </c>
      <c r="E1129" s="10">
        <v>43637</v>
      </c>
      <c r="F1129" s="8" t="s">
        <v>260</v>
      </c>
      <c r="G1129" s="19"/>
      <c r="H1129" s="18">
        <f ca="1">ROUNDDOWN(表3[[#This Row],[日期]]-TODAY(),1)</f>
        <v>-11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-11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-11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-11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-11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-11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-11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-11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-10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-10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-10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-9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-10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-9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-9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-9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-8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-5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1105</v>
      </c>
      <c r="E1147" s="10">
        <v>43642</v>
      </c>
      <c r="F1147" s="8" t="s">
        <v>260</v>
      </c>
      <c r="G1147" s="19"/>
      <c r="H1147" s="18">
        <f ca="1">ROUNDDOWN(表3[[#This Row],[日期]]-TODAY(),1)</f>
        <v>-6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-4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1301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-4</v>
      </c>
    </row>
    <row r="1150" spans="1:8" hidden="1" x14ac:dyDescent="0.2">
      <c r="A1150" s="19" t="s">
        <v>791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794</v>
      </c>
      <c r="G1150" s="19"/>
      <c r="H1150" s="18">
        <f ca="1">ROUNDDOWN(表3[[#This Row],[日期]]-TODAY(),1)</f>
        <v>-19</v>
      </c>
    </row>
    <row r="1151" spans="1:8" hidden="1" x14ac:dyDescent="0.2">
      <c r="A1151" s="19" t="s">
        <v>792</v>
      </c>
      <c r="B1151" s="41">
        <v>43642</v>
      </c>
      <c r="C1151" s="11">
        <v>2</v>
      </c>
      <c r="D1151" s="12" t="s">
        <v>796</v>
      </c>
      <c r="E1151" s="10">
        <v>43629</v>
      </c>
      <c r="F1151" s="8" t="s">
        <v>260</v>
      </c>
      <c r="G1151" s="19"/>
      <c r="H1151" s="18">
        <f ca="1">ROUNDDOWN(表3[[#This Row],[日期]]-TODAY(),1)</f>
        <v>-19</v>
      </c>
    </row>
    <row r="1152" spans="1:8" hidden="1" x14ac:dyDescent="0.2">
      <c r="A1152" s="19" t="s">
        <v>791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-19</v>
      </c>
    </row>
    <row r="1153" spans="1:8" hidden="1" x14ac:dyDescent="0.2">
      <c r="A1153" s="19" t="s">
        <v>793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-12</v>
      </c>
    </row>
    <row r="1154" spans="1:8" hidden="1" x14ac:dyDescent="0.2">
      <c r="A1154" s="19" t="s">
        <v>792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-12</v>
      </c>
    </row>
    <row r="1155" spans="1:8" hidden="1" x14ac:dyDescent="0.2">
      <c r="A1155" s="19" t="s">
        <v>792</v>
      </c>
      <c r="B1155" s="41">
        <v>43642</v>
      </c>
      <c r="C1155" s="11">
        <v>6</v>
      </c>
      <c r="D1155" s="12" t="s">
        <v>874</v>
      </c>
      <c r="E1155" s="10">
        <v>43636</v>
      </c>
      <c r="F1155" s="8" t="s">
        <v>260</v>
      </c>
      <c r="G1155" s="19"/>
      <c r="H1155" s="18">
        <f ca="1">ROUNDDOWN(表3[[#This Row],[日期]]-TODAY(),1)</f>
        <v>-12</v>
      </c>
    </row>
    <row r="1156" spans="1:8" hidden="1" x14ac:dyDescent="0.2">
      <c r="A1156" s="19" t="s">
        <v>791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-12</v>
      </c>
    </row>
    <row r="1157" spans="1:8" hidden="1" x14ac:dyDescent="0.2">
      <c r="A1157" s="19" t="s">
        <v>791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-11</v>
      </c>
    </row>
    <row r="1158" spans="1:8" hidden="1" x14ac:dyDescent="0.2">
      <c r="A1158" s="19" t="s">
        <v>791</v>
      </c>
      <c r="B1158" s="41">
        <v>43642</v>
      </c>
      <c r="C1158" s="11">
        <v>9</v>
      </c>
      <c r="D1158" s="12" t="s">
        <v>955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-11</v>
      </c>
    </row>
    <row r="1159" spans="1:8" hidden="1" x14ac:dyDescent="0.2">
      <c r="A1159" s="19" t="s">
        <v>792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-11</v>
      </c>
    </row>
    <row r="1160" spans="1:8" hidden="1" x14ac:dyDescent="0.2">
      <c r="A1160" s="19" t="s">
        <v>791</v>
      </c>
      <c r="B1160" s="41">
        <v>43642</v>
      </c>
      <c r="C1160" s="11">
        <v>11</v>
      </c>
      <c r="D1160" s="12" t="s">
        <v>870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-11</v>
      </c>
    </row>
    <row r="1161" spans="1:8" hidden="1" x14ac:dyDescent="0.2">
      <c r="A1161" s="19" t="s">
        <v>792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-11</v>
      </c>
    </row>
    <row r="1162" spans="1:8" hidden="1" x14ac:dyDescent="0.2">
      <c r="A1162" s="19" t="s">
        <v>791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-11</v>
      </c>
    </row>
    <row r="1163" spans="1:8" hidden="1" x14ac:dyDescent="0.2">
      <c r="A1163" s="19" t="s">
        <v>793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-10</v>
      </c>
    </row>
    <row r="1164" spans="1:8" hidden="1" x14ac:dyDescent="0.2">
      <c r="A1164" s="19" t="s">
        <v>791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-10</v>
      </c>
    </row>
    <row r="1165" spans="1:8" hidden="1" x14ac:dyDescent="0.2">
      <c r="A1165" s="19" t="s">
        <v>792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-8</v>
      </c>
    </row>
    <row r="1166" spans="1:8" hidden="1" x14ac:dyDescent="0.2">
      <c r="A1166" s="19" t="s">
        <v>791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-7</v>
      </c>
    </row>
    <row r="1167" spans="1:8" hidden="1" x14ac:dyDescent="0.2">
      <c r="A1167" s="19" t="s">
        <v>792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-6</v>
      </c>
    </row>
    <row r="1168" spans="1:8" hidden="1" x14ac:dyDescent="0.2">
      <c r="A1168" s="19" t="s">
        <v>792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-6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989</v>
      </c>
      <c r="G1169" s="19" t="s">
        <v>29</v>
      </c>
      <c r="H1169" s="18">
        <f ca="1">ROUNDDOWN(表3[[#This Row],[日期]]-TODAY(),1)</f>
        <v>-15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-15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-15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-15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-14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-14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-14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-14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-14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1098</v>
      </c>
      <c r="E1178" s="10">
        <v>43635</v>
      </c>
      <c r="F1178" s="8" t="s">
        <v>260</v>
      </c>
      <c r="G1178" s="19"/>
      <c r="H1178" s="18">
        <f ca="1">ROUNDDOWN(表3[[#This Row],[日期]]-TODAY(),1)</f>
        <v>-13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-13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-13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-8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-8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-8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-8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-8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-8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-8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-8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986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-7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-7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-7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-7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-7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1178</v>
      </c>
      <c r="E1194" s="10">
        <v>43641</v>
      </c>
      <c r="F1194" s="8" t="s">
        <v>260</v>
      </c>
      <c r="G1194" s="19"/>
      <c r="H1194" s="18">
        <f ca="1">ROUNDDOWN(表3[[#This Row],[日期]]-TODAY(),1)</f>
        <v>-7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988</v>
      </c>
      <c r="E1195" s="25">
        <v>43641</v>
      </c>
      <c r="F1195" s="26" t="s">
        <v>260</v>
      </c>
      <c r="G1195" s="22"/>
      <c r="H1195" s="21">
        <f ca="1">ROUNDDOWN(表3[[#This Row],[日期]]-TODAY(),1)</f>
        <v>-7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-7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-7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-7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-7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-7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-7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-7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-7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-7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-7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-7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-7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-6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-6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-6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-6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-5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1105</v>
      </c>
      <c r="E1213" s="10">
        <v>43642</v>
      </c>
      <c r="F1213" s="8" t="s">
        <v>260</v>
      </c>
      <c r="G1213" s="19"/>
      <c r="H1213" s="18">
        <f ca="1">ROUNDDOWN(表3[[#This Row],[日期]]-TODAY(),1)</f>
        <v>-6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-4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1301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-4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969</v>
      </c>
      <c r="E1216" s="10">
        <v>43647</v>
      </c>
      <c r="F1216" s="8" t="s">
        <v>260</v>
      </c>
      <c r="G1216" s="19" t="s">
        <v>234</v>
      </c>
      <c r="H1216" s="18">
        <f ca="1">ROUNDDOWN(表3[[#This Row],[日期]]-TODAY(),1)</f>
        <v>-1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1352</v>
      </c>
      <c r="E1217" s="10">
        <v>43647</v>
      </c>
      <c r="F1217" s="8" t="s">
        <v>260</v>
      </c>
      <c r="G1217" s="19" t="s">
        <v>234</v>
      </c>
      <c r="H1217" s="18">
        <f ca="1">ROUNDDOWN(表3[[#This Row],[日期]]-TODAY(),1)</f>
        <v>-1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1353</v>
      </c>
      <c r="E1218" s="10">
        <v>43647</v>
      </c>
      <c r="F1218" s="8" t="s">
        <v>260</v>
      </c>
      <c r="G1218" s="19" t="s">
        <v>234</v>
      </c>
      <c r="H1218" s="18">
        <f ca="1">ROUNDDOWN(表3[[#This Row],[日期]]-TODAY(),1)</f>
        <v>-1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1354</v>
      </c>
      <c r="E1219" s="25">
        <v>43647</v>
      </c>
      <c r="F1219" s="26" t="s">
        <v>260</v>
      </c>
      <c r="G1219" s="22" t="s">
        <v>234</v>
      </c>
      <c r="H1219" s="21">
        <f ca="1">ROUNDDOWN(表3[[#This Row],[日期]]-TODAY(),1)</f>
        <v>-1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1172</v>
      </c>
      <c r="E1220" s="10">
        <v>43647</v>
      </c>
      <c r="F1220" s="8" t="s">
        <v>260</v>
      </c>
      <c r="G1220" s="19" t="s">
        <v>234</v>
      </c>
      <c r="H1220" s="18">
        <f ca="1">ROUNDDOWN(表3[[#This Row],[日期]]-TODAY(),1)</f>
        <v>-1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1350</v>
      </c>
      <c r="E1221" s="10">
        <v>43647</v>
      </c>
      <c r="F1221" s="8" t="s">
        <v>260</v>
      </c>
      <c r="G1221" s="19" t="s">
        <v>234</v>
      </c>
      <c r="H1221" s="18">
        <f ca="1">ROUNDDOWN(表3[[#This Row],[日期]]-TODAY(),1)</f>
        <v>-1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961</v>
      </c>
      <c r="E1222" s="10">
        <v>43647</v>
      </c>
      <c r="F1222" s="8" t="s">
        <v>260</v>
      </c>
      <c r="G1222" s="19" t="s">
        <v>234</v>
      </c>
      <c r="H1222" s="18">
        <f ca="1">ROUNDDOWN(表3[[#This Row],[日期]]-TODAY(),1)</f>
        <v>-1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1356</v>
      </c>
      <c r="E1223" s="10">
        <v>43647</v>
      </c>
      <c r="F1223" s="8" t="s">
        <v>260</v>
      </c>
      <c r="G1223" s="19"/>
      <c r="H1223" s="18">
        <f ca="1">ROUNDDOWN(表3[[#This Row],[日期]]-TODAY(),1)</f>
        <v>-1</v>
      </c>
    </row>
    <row r="1224" spans="1:8" hidden="1" x14ac:dyDescent="0.2">
      <c r="A1224" s="19" t="s">
        <v>239</v>
      </c>
      <c r="B1224" s="41">
        <v>43647</v>
      </c>
      <c r="C1224" s="11">
        <v>7.2</v>
      </c>
      <c r="D1224" s="12" t="s">
        <v>1376</v>
      </c>
      <c r="E1224" s="10">
        <v>43649</v>
      </c>
      <c r="F1224" s="8" t="s">
        <v>1377</v>
      </c>
      <c r="G1224" s="19"/>
      <c r="H1224" s="18">
        <f ca="1">ROUNDDOWN(表3[[#This Row],[日期]]-TODAY(),1)</f>
        <v>1</v>
      </c>
    </row>
    <row r="1225" spans="1:8" hidden="1" x14ac:dyDescent="0.2">
      <c r="A1225" s="19" t="s">
        <v>239</v>
      </c>
      <c r="B1225" s="41">
        <v>43647</v>
      </c>
      <c r="C1225" s="11">
        <v>8</v>
      </c>
      <c r="D1225" s="12" t="s">
        <v>961</v>
      </c>
      <c r="E1225" s="10">
        <v>43649</v>
      </c>
      <c r="F1225" s="8" t="s">
        <v>207</v>
      </c>
      <c r="G1225" s="19" t="s">
        <v>237</v>
      </c>
      <c r="H1225" s="18">
        <f ca="1">ROUNDDOWN(表3[[#This Row],[日期]]-TODAY(),1)</f>
        <v>1</v>
      </c>
    </row>
    <row r="1226" spans="1:8" hidden="1" x14ac:dyDescent="0.2">
      <c r="A1226" s="19" t="s">
        <v>239</v>
      </c>
      <c r="B1226" s="41">
        <v>43647</v>
      </c>
      <c r="C1226" s="11">
        <v>9</v>
      </c>
      <c r="D1226" s="12" t="s">
        <v>1346</v>
      </c>
      <c r="E1226" s="10">
        <v>43650</v>
      </c>
      <c r="F1226" s="8" t="s">
        <v>207</v>
      </c>
      <c r="G1226" s="19" t="s">
        <v>966</v>
      </c>
      <c r="H1226" s="18">
        <f ca="1">ROUNDDOWN(表3[[#This Row],[日期]]-TODAY(),1)</f>
        <v>2</v>
      </c>
    </row>
    <row r="1227" spans="1:8" hidden="1" x14ac:dyDescent="0.2">
      <c r="A1227" s="19" t="s">
        <v>239</v>
      </c>
      <c r="B1227" s="41">
        <v>43647</v>
      </c>
      <c r="C1227" s="11">
        <v>10</v>
      </c>
      <c r="D1227" s="12" t="s">
        <v>1172</v>
      </c>
      <c r="E1227" s="10">
        <v>43650</v>
      </c>
      <c r="F1227" s="8" t="s">
        <v>207</v>
      </c>
      <c r="G1227" s="19" t="s">
        <v>966</v>
      </c>
      <c r="H1227" s="18">
        <f ca="1">ROUNDDOWN(表3[[#This Row],[日期]]-TODAY(),1)</f>
        <v>2</v>
      </c>
    </row>
    <row r="1228" spans="1:8" hidden="1" x14ac:dyDescent="0.2">
      <c r="A1228" s="19" t="s">
        <v>239</v>
      </c>
      <c r="B1228" s="41">
        <v>43647</v>
      </c>
      <c r="C1228" s="11">
        <v>11</v>
      </c>
      <c r="D1228" s="12" t="s">
        <v>1355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3</v>
      </c>
    </row>
    <row r="1229" spans="1:8" hidden="1" x14ac:dyDescent="0.2">
      <c r="A1229" s="19" t="s">
        <v>239</v>
      </c>
      <c r="B1229" s="41">
        <v>43647</v>
      </c>
      <c r="C1229" s="11">
        <v>12</v>
      </c>
      <c r="D1229" s="12" t="s">
        <v>961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3</v>
      </c>
    </row>
    <row r="1230" spans="1:8" hidden="1" x14ac:dyDescent="0.2">
      <c r="A1230" s="22" t="s">
        <v>239</v>
      </c>
      <c r="B1230" s="43">
        <v>43647</v>
      </c>
      <c r="C1230" s="23">
        <v>13</v>
      </c>
      <c r="D1230" s="24" t="s">
        <v>1348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3</v>
      </c>
    </row>
    <row r="1231" spans="1:8" hidden="1" x14ac:dyDescent="0.2">
      <c r="A1231" s="22" t="s">
        <v>884</v>
      </c>
      <c r="B1231" s="43">
        <v>43649</v>
      </c>
      <c r="C1231" s="23">
        <v>1</v>
      </c>
      <c r="D1231" s="24" t="s">
        <v>601</v>
      </c>
      <c r="E1231" s="25">
        <v>43643</v>
      </c>
      <c r="F1231" s="26" t="s">
        <v>1274</v>
      </c>
      <c r="G1231" s="22"/>
      <c r="H1231" s="21">
        <f ca="1">ROUNDDOWN(表3[[#This Row],[日期]]-TODAY(),1)</f>
        <v>-5</v>
      </c>
    </row>
    <row r="1232" spans="1:8" hidden="1" x14ac:dyDescent="0.2">
      <c r="A1232" s="19" t="s">
        <v>884</v>
      </c>
      <c r="B1232" s="41">
        <v>43649</v>
      </c>
      <c r="C1232" s="11">
        <v>2</v>
      </c>
      <c r="D1232" s="12" t="s">
        <v>604</v>
      </c>
      <c r="E1232" s="10">
        <v>43643</v>
      </c>
      <c r="F1232" s="8" t="s">
        <v>260</v>
      </c>
      <c r="G1232" s="19"/>
      <c r="H1232" s="18">
        <f ca="1">ROUNDDOWN(表3[[#This Row],[日期]]-TODAY(),1)</f>
        <v>-5</v>
      </c>
    </row>
    <row r="1233" spans="1:8" hidden="1" x14ac:dyDescent="0.2">
      <c r="A1233" s="19" t="s">
        <v>884</v>
      </c>
      <c r="B1233" s="41">
        <v>43649</v>
      </c>
      <c r="C1233" s="11">
        <v>3</v>
      </c>
      <c r="D1233" s="12" t="s">
        <v>1278</v>
      </c>
      <c r="E1233" s="10">
        <v>43643</v>
      </c>
      <c r="F1233" s="8" t="s">
        <v>260</v>
      </c>
      <c r="G1233" s="19"/>
      <c r="H1233" s="18">
        <f ca="1">ROUNDDOWN(表3[[#This Row],[日期]]-TODAY(),1)</f>
        <v>-5</v>
      </c>
    </row>
    <row r="1234" spans="1:8" hidden="1" x14ac:dyDescent="0.2">
      <c r="A1234" s="19" t="s">
        <v>884</v>
      </c>
      <c r="B1234" s="41">
        <v>43649</v>
      </c>
      <c r="C1234" s="11">
        <v>4</v>
      </c>
      <c r="D1234" s="12" t="s">
        <v>608</v>
      </c>
      <c r="E1234" s="10">
        <v>43643</v>
      </c>
      <c r="F1234" s="8" t="s">
        <v>260</v>
      </c>
      <c r="G1234" s="19"/>
      <c r="H1234" s="18">
        <f ca="1">ROUNDDOWN(表3[[#This Row],[日期]]-TODAY(),1)</f>
        <v>-5</v>
      </c>
    </row>
    <row r="1235" spans="1:8" hidden="1" x14ac:dyDescent="0.2">
      <c r="A1235" s="19" t="s">
        <v>884</v>
      </c>
      <c r="B1235" s="41">
        <v>43649</v>
      </c>
      <c r="C1235" s="11">
        <v>5</v>
      </c>
      <c r="D1235" s="12" t="s">
        <v>611</v>
      </c>
      <c r="E1235" s="10">
        <v>43643</v>
      </c>
      <c r="F1235" s="8" t="s">
        <v>260</v>
      </c>
      <c r="G1235" s="19"/>
      <c r="H1235" s="18">
        <f ca="1">ROUNDDOWN(表3[[#This Row],[日期]]-TODAY(),1)</f>
        <v>-5</v>
      </c>
    </row>
    <row r="1236" spans="1:8" hidden="1" x14ac:dyDescent="0.2">
      <c r="A1236" s="19" t="s">
        <v>884</v>
      </c>
      <c r="B1236" s="41">
        <v>43649</v>
      </c>
      <c r="C1236" s="11">
        <v>6</v>
      </c>
      <c r="D1236" s="12" t="s">
        <v>613</v>
      </c>
      <c r="E1236" s="10">
        <v>43647</v>
      </c>
      <c r="F1236" s="8" t="s">
        <v>260</v>
      </c>
      <c r="G1236" s="19" t="s">
        <v>623</v>
      </c>
      <c r="H1236" s="18">
        <f ca="1">ROUNDDOWN(表3[[#This Row],[日期]]-TODAY(),1)</f>
        <v>-1</v>
      </c>
    </row>
    <row r="1237" spans="1:8" hidden="1" x14ac:dyDescent="0.2">
      <c r="A1237" s="19" t="s">
        <v>884</v>
      </c>
      <c r="B1237" s="41">
        <v>43649</v>
      </c>
      <c r="C1237" s="11">
        <v>7</v>
      </c>
      <c r="D1237" s="12" t="s">
        <v>1279</v>
      </c>
      <c r="E1237" s="10">
        <v>43647</v>
      </c>
      <c r="F1237" s="8" t="s">
        <v>260</v>
      </c>
      <c r="G1237" s="19"/>
      <c r="H1237" s="18">
        <f ca="1">ROUNDDOWN(表3[[#This Row],[日期]]-TODAY(),1)</f>
        <v>-1</v>
      </c>
    </row>
    <row r="1238" spans="1:8" hidden="1" x14ac:dyDescent="0.2">
      <c r="A1238" s="19" t="s">
        <v>884</v>
      </c>
      <c r="B1238" s="41">
        <v>43649</v>
      </c>
      <c r="C1238" s="11">
        <v>8</v>
      </c>
      <c r="D1238" s="12" t="s">
        <v>617</v>
      </c>
      <c r="E1238" s="10">
        <v>43648</v>
      </c>
      <c r="F1238" s="8" t="s">
        <v>207</v>
      </c>
      <c r="G1238" s="19" t="s">
        <v>1390</v>
      </c>
      <c r="H1238" s="18">
        <f ca="1">ROUNDDOWN(表3[[#This Row],[日期]]-TODAY(),1)</f>
        <v>0</v>
      </c>
    </row>
    <row r="1239" spans="1:8" hidden="1" x14ac:dyDescent="0.2">
      <c r="A1239" s="19" t="s">
        <v>884</v>
      </c>
      <c r="B1239" s="41">
        <v>43649</v>
      </c>
      <c r="C1239" s="11">
        <v>9</v>
      </c>
      <c r="D1239" s="12" t="s">
        <v>328</v>
      </c>
      <c r="E1239" s="10">
        <v>43649</v>
      </c>
      <c r="F1239" s="8" t="s">
        <v>207</v>
      </c>
      <c r="G1239" s="19"/>
      <c r="H1239" s="18">
        <f ca="1">ROUNDDOWN(表3[[#This Row],[日期]]-TODAY(),1)</f>
        <v>1</v>
      </c>
    </row>
    <row r="1240" spans="1:8" hidden="1" x14ac:dyDescent="0.2">
      <c r="A1240" s="19" t="s">
        <v>884</v>
      </c>
      <c r="B1240" s="41">
        <v>43649</v>
      </c>
      <c r="C1240" s="11">
        <v>10</v>
      </c>
      <c r="D1240" s="12" t="s">
        <v>621</v>
      </c>
      <c r="E1240" s="10">
        <v>43650</v>
      </c>
      <c r="F1240" s="8" t="s">
        <v>207</v>
      </c>
      <c r="G1240" s="19"/>
      <c r="H1240" s="18">
        <f ca="1">ROUNDDOWN(表3[[#This Row],[日期]]-TODAY(),1)</f>
        <v>2</v>
      </c>
    </row>
    <row r="1241" spans="1:8" hidden="1" x14ac:dyDescent="0.2">
      <c r="A1241" s="19" t="s">
        <v>1231</v>
      </c>
      <c r="B1241" s="41">
        <v>43649</v>
      </c>
      <c r="C1241" s="11">
        <v>1</v>
      </c>
      <c r="D1241" s="12" t="s">
        <v>418</v>
      </c>
      <c r="E1241" s="10">
        <v>43642</v>
      </c>
      <c r="F1241" s="8" t="s">
        <v>1233</v>
      </c>
      <c r="G1241" s="19"/>
      <c r="H1241" s="18">
        <f ca="1">ROUNDDOWN(表3[[#This Row],[日期]]-TODAY(),1)</f>
        <v>-6</v>
      </c>
    </row>
    <row r="1242" spans="1:8" hidden="1" x14ac:dyDescent="0.2">
      <c r="A1242" s="19" t="s">
        <v>1231</v>
      </c>
      <c r="B1242" s="41">
        <v>43649</v>
      </c>
      <c r="C1242" s="11">
        <v>2</v>
      </c>
      <c r="D1242" s="12" t="s">
        <v>1125</v>
      </c>
      <c r="E1242" s="10">
        <v>43643</v>
      </c>
      <c r="F1242" s="8" t="s">
        <v>260</v>
      </c>
      <c r="G1242" s="19"/>
      <c r="H1242" s="18">
        <f ca="1">ROUNDDOWN(表3[[#This Row],[日期]]-TODAY(),1)</f>
        <v>-5</v>
      </c>
    </row>
    <row r="1243" spans="1:8" hidden="1" x14ac:dyDescent="0.2">
      <c r="A1243" s="19" t="s">
        <v>1231</v>
      </c>
      <c r="B1243" s="41">
        <v>43649</v>
      </c>
      <c r="C1243" s="11">
        <v>3</v>
      </c>
      <c r="D1243" s="12" t="s">
        <v>21</v>
      </c>
      <c r="E1243" s="10">
        <v>43643</v>
      </c>
      <c r="F1243" s="8" t="s">
        <v>260</v>
      </c>
      <c r="G1243" s="19"/>
      <c r="H1243" s="18">
        <f ca="1">ROUNDDOWN(表3[[#This Row],[日期]]-TODAY(),1)</f>
        <v>-5</v>
      </c>
    </row>
    <row r="1244" spans="1:8" hidden="1" x14ac:dyDescent="0.2">
      <c r="A1244" s="19" t="s">
        <v>1231</v>
      </c>
      <c r="B1244" s="41">
        <v>43649</v>
      </c>
      <c r="C1244" s="11">
        <v>4</v>
      </c>
      <c r="D1244" s="12" t="s">
        <v>148</v>
      </c>
      <c r="E1244" s="10">
        <v>43643</v>
      </c>
      <c r="F1244" s="8" t="s">
        <v>260</v>
      </c>
      <c r="G1244" s="19" t="s">
        <v>136</v>
      </c>
      <c r="H1244" s="18">
        <f ca="1">ROUNDDOWN(表3[[#This Row],[日期]]-TODAY(),1)</f>
        <v>-5</v>
      </c>
    </row>
    <row r="1245" spans="1:8" hidden="1" x14ac:dyDescent="0.2">
      <c r="A1245" s="19" t="s">
        <v>1231</v>
      </c>
      <c r="B1245" s="41">
        <v>43649</v>
      </c>
      <c r="C1245" s="11">
        <v>5</v>
      </c>
      <c r="D1245" s="12" t="s">
        <v>139</v>
      </c>
      <c r="E1245" s="10">
        <v>43644</v>
      </c>
      <c r="F1245" s="8" t="s">
        <v>260</v>
      </c>
      <c r="G1245" s="19"/>
      <c r="H1245" s="18">
        <f ca="1">ROUNDDOWN(表3[[#This Row],[日期]]-TODAY(),1)</f>
        <v>-4</v>
      </c>
    </row>
    <row r="1246" spans="1:8" hidden="1" x14ac:dyDescent="0.2">
      <c r="A1246" s="19" t="s">
        <v>1231</v>
      </c>
      <c r="B1246" s="41">
        <v>43649</v>
      </c>
      <c r="C1246" s="11">
        <v>6</v>
      </c>
      <c r="D1246" s="12" t="s">
        <v>1126</v>
      </c>
      <c r="E1246" s="10">
        <v>43644</v>
      </c>
      <c r="F1246" s="8" t="s">
        <v>260</v>
      </c>
      <c r="G1246" s="19"/>
      <c r="H1246" s="18">
        <f ca="1">ROUNDDOWN(表3[[#This Row],[日期]]-TODAY(),1)</f>
        <v>-4</v>
      </c>
    </row>
    <row r="1247" spans="1:8" hidden="1" x14ac:dyDescent="0.2">
      <c r="A1247" s="19" t="s">
        <v>1231</v>
      </c>
      <c r="B1247" s="41">
        <v>43649</v>
      </c>
      <c r="C1247" s="11">
        <v>7</v>
      </c>
      <c r="D1247" s="12" t="s">
        <v>332</v>
      </c>
      <c r="E1247" s="10">
        <v>43644</v>
      </c>
      <c r="F1247" s="8" t="s">
        <v>260</v>
      </c>
      <c r="G1247" s="19" t="s">
        <v>333</v>
      </c>
      <c r="H1247" s="18">
        <f ca="1">ROUNDDOWN(表3[[#This Row],[日期]]-TODAY(),1)</f>
        <v>-4</v>
      </c>
    </row>
    <row r="1248" spans="1:8" hidden="1" x14ac:dyDescent="0.2">
      <c r="A1248" s="19" t="s">
        <v>1305</v>
      </c>
      <c r="B1248" s="41">
        <v>43649</v>
      </c>
      <c r="C1248" s="11">
        <v>7.1</v>
      </c>
      <c r="D1248" s="12" t="s">
        <v>1306</v>
      </c>
      <c r="E1248" s="10">
        <v>43644</v>
      </c>
      <c r="F1248" s="8" t="s">
        <v>260</v>
      </c>
      <c r="G1248" s="19" t="s">
        <v>1304</v>
      </c>
      <c r="H1248" s="18">
        <f ca="1">ROUNDDOWN(表3[[#This Row],[日期]]-TODAY(),1)</f>
        <v>-4</v>
      </c>
    </row>
    <row r="1249" spans="1:8" hidden="1" x14ac:dyDescent="0.2">
      <c r="A1249" s="22" t="s">
        <v>1231</v>
      </c>
      <c r="B1249" s="43">
        <v>43649</v>
      </c>
      <c r="C1249" s="23">
        <v>8</v>
      </c>
      <c r="D1249" s="24" t="s">
        <v>334</v>
      </c>
      <c r="E1249" s="25">
        <v>43647</v>
      </c>
      <c r="F1249" s="26" t="s">
        <v>260</v>
      </c>
      <c r="G1249" s="22" t="s">
        <v>333</v>
      </c>
      <c r="H1249" s="21">
        <f ca="1">ROUNDDOWN(表3[[#This Row],[日期]]-TODAY(),1)</f>
        <v>-1</v>
      </c>
    </row>
    <row r="1250" spans="1:8" hidden="1" x14ac:dyDescent="0.2">
      <c r="A1250" s="22" t="s">
        <v>1231</v>
      </c>
      <c r="B1250" s="41">
        <v>43649</v>
      </c>
      <c r="C1250" s="11">
        <v>9</v>
      </c>
      <c r="D1250" s="24" t="s">
        <v>330</v>
      </c>
      <c r="E1250" s="25">
        <v>43647</v>
      </c>
      <c r="F1250" s="26" t="s">
        <v>260</v>
      </c>
      <c r="G1250" s="22" t="s">
        <v>142</v>
      </c>
      <c r="H1250" s="21">
        <f ca="1">ROUNDDOWN(表3[[#This Row],[日期]]-TODAY(),1)</f>
        <v>-1</v>
      </c>
    </row>
    <row r="1251" spans="1:8" hidden="1" x14ac:dyDescent="0.2">
      <c r="A1251" s="19" t="s">
        <v>1231</v>
      </c>
      <c r="B1251" s="41">
        <v>43649</v>
      </c>
      <c r="C1251" s="11">
        <v>10</v>
      </c>
      <c r="D1251" s="12" t="s">
        <v>1127</v>
      </c>
      <c r="E1251" s="10">
        <v>43647</v>
      </c>
      <c r="F1251" s="8" t="s">
        <v>260</v>
      </c>
      <c r="G1251" s="19"/>
      <c r="H1251" s="18">
        <f ca="1">ROUNDDOWN(表3[[#This Row],[日期]]-TODAY(),1)</f>
        <v>-1</v>
      </c>
    </row>
    <row r="1252" spans="1:8" hidden="1" x14ac:dyDescent="0.2">
      <c r="A1252" s="19" t="s">
        <v>1231</v>
      </c>
      <c r="B1252" s="41">
        <v>43649</v>
      </c>
      <c r="C1252" s="11">
        <v>11</v>
      </c>
      <c r="D1252" s="12" t="s">
        <v>1128</v>
      </c>
      <c r="E1252" s="10">
        <v>43647</v>
      </c>
      <c r="F1252" s="8" t="s">
        <v>260</v>
      </c>
      <c r="G1252" s="19"/>
      <c r="H1252" s="18">
        <f ca="1">ROUNDDOWN(表3[[#This Row],[日期]]-TODAY(),1)</f>
        <v>-1</v>
      </c>
    </row>
    <row r="1253" spans="1:8" hidden="1" x14ac:dyDescent="0.2">
      <c r="A1253" s="19" t="s">
        <v>1231</v>
      </c>
      <c r="B1253" s="41">
        <v>43649</v>
      </c>
      <c r="C1253" s="11">
        <v>12</v>
      </c>
      <c r="D1253" s="12" t="s">
        <v>1129</v>
      </c>
      <c r="E1253" s="10">
        <v>43647</v>
      </c>
      <c r="F1253" s="8" t="s">
        <v>260</v>
      </c>
      <c r="G1253" s="19" t="s">
        <v>152</v>
      </c>
      <c r="H1253" s="18">
        <f ca="1">ROUNDDOWN(表3[[#This Row],[日期]]-TODAY(),1)</f>
        <v>-1</v>
      </c>
    </row>
    <row r="1254" spans="1:8" hidden="1" x14ac:dyDescent="0.2">
      <c r="A1254" s="19" t="s">
        <v>1231</v>
      </c>
      <c r="B1254" s="41">
        <v>43649</v>
      </c>
      <c r="C1254" s="11">
        <v>13</v>
      </c>
      <c r="D1254" s="12" t="s">
        <v>213</v>
      </c>
      <c r="E1254" s="10">
        <v>43647</v>
      </c>
      <c r="F1254" s="8" t="s">
        <v>260</v>
      </c>
      <c r="G1254" s="19"/>
      <c r="H1254" s="18">
        <f ca="1">ROUNDDOWN(表3[[#This Row],[日期]]-TODAY(),1)</f>
        <v>-1</v>
      </c>
    </row>
    <row r="1255" spans="1:8" hidden="1" x14ac:dyDescent="0.2">
      <c r="A1255" s="19" t="s">
        <v>1231</v>
      </c>
      <c r="B1255" s="41">
        <v>43649</v>
      </c>
      <c r="C1255" s="11">
        <v>14</v>
      </c>
      <c r="D1255" s="12" t="s">
        <v>1130</v>
      </c>
      <c r="E1255" s="10">
        <v>43647</v>
      </c>
      <c r="F1255" s="8" t="s">
        <v>260</v>
      </c>
      <c r="G1255" s="19" t="s">
        <v>333</v>
      </c>
      <c r="H1255" s="18">
        <f ca="1">ROUNDDOWN(表3[[#This Row],[日期]]-TODAY(),1)</f>
        <v>-1</v>
      </c>
    </row>
    <row r="1256" spans="1:8" hidden="1" x14ac:dyDescent="0.2">
      <c r="A1256" s="19" t="s">
        <v>1231</v>
      </c>
      <c r="B1256" s="41">
        <v>43649</v>
      </c>
      <c r="C1256" s="11">
        <v>15</v>
      </c>
      <c r="D1256" s="12" t="s">
        <v>336</v>
      </c>
      <c r="E1256" s="10">
        <v>43647</v>
      </c>
      <c r="F1256" s="8" t="s">
        <v>260</v>
      </c>
      <c r="G1256" s="19" t="s">
        <v>333</v>
      </c>
      <c r="H1256" s="18">
        <f ca="1">ROUNDDOWN(表3[[#This Row],[日期]]-TODAY(),1)</f>
        <v>-1</v>
      </c>
    </row>
    <row r="1257" spans="1:8" hidden="1" x14ac:dyDescent="0.2">
      <c r="A1257" s="19" t="s">
        <v>1231</v>
      </c>
      <c r="B1257" s="41">
        <v>43649</v>
      </c>
      <c r="C1257" s="11">
        <v>16</v>
      </c>
      <c r="D1257" s="12" t="s">
        <v>291</v>
      </c>
      <c r="E1257" s="10">
        <v>43647</v>
      </c>
      <c r="F1257" s="8" t="s">
        <v>260</v>
      </c>
      <c r="G1257" s="19"/>
      <c r="H1257" s="18">
        <f ca="1">ROUNDDOWN(表3[[#This Row],[日期]]-TODAY(),1)</f>
        <v>-1</v>
      </c>
    </row>
    <row r="1258" spans="1:8" hidden="1" x14ac:dyDescent="0.2">
      <c r="A1258" s="19" t="s">
        <v>1231</v>
      </c>
      <c r="B1258" s="41">
        <v>43649</v>
      </c>
      <c r="C1258" s="11">
        <v>17</v>
      </c>
      <c r="D1258" s="12" t="s">
        <v>293</v>
      </c>
      <c r="E1258" s="10">
        <v>43649</v>
      </c>
      <c r="F1258" s="8" t="s">
        <v>207</v>
      </c>
      <c r="G1258" s="19"/>
      <c r="H1258" s="18">
        <f ca="1">ROUNDDOWN(表3[[#This Row],[日期]]-TODAY(),1)</f>
        <v>1</v>
      </c>
    </row>
    <row r="1259" spans="1:8" hidden="1" x14ac:dyDescent="0.2">
      <c r="A1259" s="19" t="s">
        <v>1231</v>
      </c>
      <c r="B1259" s="41">
        <v>43649</v>
      </c>
      <c r="C1259" s="11">
        <v>18</v>
      </c>
      <c r="D1259" s="12" t="s">
        <v>295</v>
      </c>
      <c r="E1259" s="10">
        <v>43649</v>
      </c>
      <c r="F1259" s="8" t="s">
        <v>207</v>
      </c>
      <c r="G1259" s="19"/>
      <c r="H1259" s="18">
        <f ca="1">ROUNDDOWN(表3[[#This Row],[日期]]-TODAY(),1)</f>
        <v>1</v>
      </c>
    </row>
    <row r="1260" spans="1:8" hidden="1" x14ac:dyDescent="0.2">
      <c r="A1260" s="19" t="s">
        <v>1231</v>
      </c>
      <c r="B1260" s="41">
        <v>43649</v>
      </c>
      <c r="C1260" s="11">
        <v>19</v>
      </c>
      <c r="D1260" s="12" t="s">
        <v>256</v>
      </c>
      <c r="E1260" s="10">
        <v>43649</v>
      </c>
      <c r="F1260" s="8" t="s">
        <v>207</v>
      </c>
      <c r="G1260" s="19"/>
      <c r="H1260" s="18">
        <f ca="1">ROUNDDOWN(表3[[#This Row],[日期]]-TODAY(),1)</f>
        <v>1</v>
      </c>
    </row>
    <row r="1261" spans="1:8" hidden="1" x14ac:dyDescent="0.2">
      <c r="A1261" s="19" t="s">
        <v>1231</v>
      </c>
      <c r="B1261" s="41">
        <v>43649</v>
      </c>
      <c r="C1261" s="11">
        <v>20</v>
      </c>
      <c r="D1261" s="12" t="s">
        <v>328</v>
      </c>
      <c r="E1261" s="10">
        <v>43649</v>
      </c>
      <c r="F1261" s="8" t="s">
        <v>207</v>
      </c>
      <c r="G1261" s="19"/>
      <c r="H1261" s="18">
        <f ca="1">ROUNDDOWN(表3[[#This Row],[日期]]-TODAY(),1)</f>
        <v>1</v>
      </c>
    </row>
    <row r="1262" spans="1:8" hidden="1" x14ac:dyDescent="0.2">
      <c r="A1262" s="19" t="s">
        <v>2</v>
      </c>
      <c r="B1262" s="41">
        <v>43649</v>
      </c>
      <c r="C1262" s="11">
        <v>1</v>
      </c>
      <c r="D1262" s="12" t="s">
        <v>1208</v>
      </c>
      <c r="E1262" s="10">
        <v>43640</v>
      </c>
      <c r="F1262" s="8" t="s">
        <v>260</v>
      </c>
      <c r="G1262" s="19" t="s">
        <v>29</v>
      </c>
      <c r="H1262" s="18">
        <f ca="1">ROUNDDOWN(表3[[#This Row],[日期]]-TODAY(),1)</f>
        <v>-8</v>
      </c>
    </row>
    <row r="1263" spans="1:8" hidden="1" x14ac:dyDescent="0.2">
      <c r="A1263" s="19" t="s">
        <v>2</v>
      </c>
      <c r="B1263" s="41">
        <v>43649</v>
      </c>
      <c r="C1263" s="11">
        <v>2</v>
      </c>
      <c r="D1263" s="12" t="s">
        <v>222</v>
      </c>
      <c r="E1263" s="10">
        <v>43641</v>
      </c>
      <c r="F1263" s="8" t="s">
        <v>260</v>
      </c>
      <c r="G1263" s="19"/>
      <c r="H1263" s="18">
        <f ca="1">ROUNDDOWN(表3[[#This Row],[日期]]-TODAY(),1)</f>
        <v>-7</v>
      </c>
    </row>
    <row r="1264" spans="1:8" hidden="1" x14ac:dyDescent="0.2">
      <c r="A1264" s="19" t="s">
        <v>2</v>
      </c>
      <c r="B1264" s="41">
        <v>43649</v>
      </c>
      <c r="C1264" s="11">
        <v>6</v>
      </c>
      <c r="D1264" s="12" t="s">
        <v>19</v>
      </c>
      <c r="E1264" s="10">
        <v>43641</v>
      </c>
      <c r="F1264" s="8" t="s">
        <v>260</v>
      </c>
      <c r="G1264" s="19"/>
      <c r="H1264" s="18">
        <f ca="1">ROUNDDOWN(表3[[#This Row],[日期]]-TODAY(),1)</f>
        <v>-7</v>
      </c>
    </row>
    <row r="1265" spans="1:8" hidden="1" x14ac:dyDescent="0.2">
      <c r="A1265" s="19" t="s">
        <v>2</v>
      </c>
      <c r="B1265" s="41">
        <v>43649</v>
      </c>
      <c r="C1265" s="11">
        <v>7</v>
      </c>
      <c r="D1265" s="12" t="s">
        <v>21</v>
      </c>
      <c r="E1265" s="10">
        <v>43641</v>
      </c>
      <c r="F1265" s="8" t="s">
        <v>260</v>
      </c>
      <c r="G1265" s="19"/>
      <c r="H1265" s="18">
        <f ca="1">ROUNDDOWN(表3[[#This Row],[日期]]-TODAY(),1)</f>
        <v>-7</v>
      </c>
    </row>
    <row r="1266" spans="1:8" hidden="1" x14ac:dyDescent="0.2">
      <c r="A1266" s="19" t="s">
        <v>2</v>
      </c>
      <c r="B1266" s="41">
        <v>43649</v>
      </c>
      <c r="C1266" s="11">
        <v>8</v>
      </c>
      <c r="D1266" s="12" t="s">
        <v>7</v>
      </c>
      <c r="E1266" s="10">
        <v>43641</v>
      </c>
      <c r="F1266" s="8" t="s">
        <v>260</v>
      </c>
      <c r="G1266" s="19"/>
      <c r="H1266" s="18">
        <f ca="1">ROUNDDOWN(表3[[#This Row],[日期]]-TODAY(),1)</f>
        <v>-7</v>
      </c>
    </row>
    <row r="1267" spans="1:8" hidden="1" x14ac:dyDescent="0.2">
      <c r="A1267" s="19" t="s">
        <v>2</v>
      </c>
      <c r="B1267" s="41">
        <v>43649</v>
      </c>
      <c r="C1267" s="11">
        <v>9</v>
      </c>
      <c r="D1267" s="12" t="s">
        <v>9</v>
      </c>
      <c r="E1267" s="10">
        <v>43641</v>
      </c>
      <c r="F1267" s="8" t="s">
        <v>260</v>
      </c>
      <c r="G1267" s="19"/>
      <c r="H1267" s="18">
        <f ca="1">ROUNDDOWN(表3[[#This Row],[日期]]-TODAY(),1)</f>
        <v>-7</v>
      </c>
    </row>
    <row r="1268" spans="1:8" hidden="1" x14ac:dyDescent="0.2">
      <c r="A1268" s="19" t="s">
        <v>2</v>
      </c>
      <c r="B1268" s="41">
        <v>43649</v>
      </c>
      <c r="C1268" s="11">
        <v>10</v>
      </c>
      <c r="D1268" s="12" t="s">
        <v>11</v>
      </c>
      <c r="E1268" s="10">
        <v>43641</v>
      </c>
      <c r="F1268" s="8" t="s">
        <v>260</v>
      </c>
      <c r="G1268" s="19" t="s">
        <v>32</v>
      </c>
      <c r="H1268" s="18">
        <f ca="1">ROUNDDOWN(表3[[#This Row],[日期]]-TODAY(),1)</f>
        <v>-7</v>
      </c>
    </row>
    <row r="1269" spans="1:8" hidden="1" x14ac:dyDescent="0.2">
      <c r="A1269" s="19" t="s">
        <v>2</v>
      </c>
      <c r="B1269" s="41">
        <v>43649</v>
      </c>
      <c r="C1269" s="11">
        <v>11</v>
      </c>
      <c r="D1269" s="12" t="s">
        <v>58</v>
      </c>
      <c r="E1269" s="10">
        <v>43641</v>
      </c>
      <c r="F1269" s="8" t="s">
        <v>260</v>
      </c>
      <c r="G1269" s="19"/>
      <c r="H1269" s="18">
        <f ca="1">ROUNDDOWN(表3[[#This Row],[日期]]-TODAY(),1)</f>
        <v>-7</v>
      </c>
    </row>
    <row r="1270" spans="1:8" hidden="1" x14ac:dyDescent="0.2">
      <c r="A1270" s="19" t="s">
        <v>2</v>
      </c>
      <c r="B1270" s="41">
        <v>43649</v>
      </c>
      <c r="C1270" s="11">
        <v>12</v>
      </c>
      <c r="D1270" s="12" t="s">
        <v>1209</v>
      </c>
      <c r="E1270" s="10">
        <v>43643</v>
      </c>
      <c r="F1270" s="8" t="s">
        <v>260</v>
      </c>
      <c r="G1270" s="19" t="s">
        <v>34</v>
      </c>
      <c r="H1270" s="18">
        <f ca="1">ROUNDDOWN(表3[[#This Row],[日期]]-TODAY(),1)</f>
        <v>-5</v>
      </c>
    </row>
    <row r="1271" spans="1:8" hidden="1" x14ac:dyDescent="0.2">
      <c r="A1271" s="19" t="s">
        <v>2</v>
      </c>
      <c r="B1271" s="41">
        <v>43649</v>
      </c>
      <c r="C1271" s="11">
        <v>13</v>
      </c>
      <c r="D1271" s="12" t="s">
        <v>39</v>
      </c>
      <c r="E1271" s="10">
        <v>43643</v>
      </c>
      <c r="F1271" s="8" t="s">
        <v>260</v>
      </c>
      <c r="G1271" s="19"/>
      <c r="H1271" s="18">
        <f ca="1">ROUNDDOWN(表3[[#This Row],[日期]]-TODAY(),1)</f>
        <v>-5</v>
      </c>
    </row>
    <row r="1272" spans="1:8" hidden="1" x14ac:dyDescent="0.2">
      <c r="A1272" s="19" t="s">
        <v>2</v>
      </c>
      <c r="B1272" s="41">
        <v>43649</v>
      </c>
      <c r="C1272" s="11">
        <v>14</v>
      </c>
      <c r="D1272" s="12" t="s">
        <v>23</v>
      </c>
      <c r="E1272" s="10">
        <v>43643</v>
      </c>
      <c r="F1272" s="8" t="s">
        <v>260</v>
      </c>
      <c r="G1272" s="19"/>
      <c r="H1272" s="18">
        <f ca="1">ROUNDDOWN(表3[[#This Row],[日期]]-TODAY(),1)</f>
        <v>-5</v>
      </c>
    </row>
    <row r="1273" spans="1:8" hidden="1" x14ac:dyDescent="0.2">
      <c r="A1273" s="19" t="s">
        <v>2</v>
      </c>
      <c r="B1273" s="41">
        <v>43649</v>
      </c>
      <c r="C1273" s="11">
        <v>15</v>
      </c>
      <c r="D1273" s="12" t="s">
        <v>25</v>
      </c>
      <c r="E1273" s="10">
        <v>43643</v>
      </c>
      <c r="F1273" s="8" t="s">
        <v>260</v>
      </c>
      <c r="G1273" s="19"/>
      <c r="H1273" s="18">
        <f ca="1">ROUNDDOWN(表3[[#This Row],[日期]]-TODAY(),1)</f>
        <v>-5</v>
      </c>
    </row>
    <row r="1274" spans="1:8" hidden="1" x14ac:dyDescent="0.2">
      <c r="A1274" s="19" t="s">
        <v>2</v>
      </c>
      <c r="B1274" s="41">
        <v>43649</v>
      </c>
      <c r="C1274" s="11">
        <v>16</v>
      </c>
      <c r="D1274" s="12" t="s">
        <v>13</v>
      </c>
      <c r="E1274" s="10">
        <v>43643</v>
      </c>
      <c r="F1274" s="8" t="s">
        <v>260</v>
      </c>
      <c r="G1274" s="19"/>
      <c r="H1274" s="18">
        <f ca="1">ROUNDDOWN(表3[[#This Row],[日期]]-TODAY(),1)</f>
        <v>-5</v>
      </c>
    </row>
    <row r="1275" spans="1:8" hidden="1" x14ac:dyDescent="0.2">
      <c r="A1275" s="19" t="s">
        <v>2</v>
      </c>
      <c r="B1275" s="41">
        <v>43649</v>
      </c>
      <c r="C1275" s="11">
        <v>17</v>
      </c>
      <c r="D1275" s="12" t="s">
        <v>15</v>
      </c>
      <c r="E1275" s="10">
        <v>43643</v>
      </c>
      <c r="F1275" s="8" t="s">
        <v>260</v>
      </c>
      <c r="G1275" s="19"/>
      <c r="H1275" s="18">
        <f ca="1">ROUNDDOWN(表3[[#This Row],[日期]]-TODAY(),1)</f>
        <v>-5</v>
      </c>
    </row>
    <row r="1276" spans="1:8" hidden="1" x14ac:dyDescent="0.2">
      <c r="A1276" s="19" t="s">
        <v>2</v>
      </c>
      <c r="B1276" s="41">
        <v>43649</v>
      </c>
      <c r="C1276" s="11">
        <v>18</v>
      </c>
      <c r="D1276" s="12" t="s">
        <v>17</v>
      </c>
      <c r="E1276" s="10">
        <v>43643</v>
      </c>
      <c r="F1276" s="8" t="s">
        <v>260</v>
      </c>
      <c r="G1276" s="19"/>
      <c r="H1276" s="18">
        <f ca="1">ROUNDDOWN(表3[[#This Row],[日期]]-TODAY(),1)</f>
        <v>-5</v>
      </c>
    </row>
    <row r="1277" spans="1:8" hidden="1" x14ac:dyDescent="0.2">
      <c r="A1277" s="19" t="s">
        <v>2</v>
      </c>
      <c r="B1277" s="41">
        <v>43649</v>
      </c>
      <c r="C1277" s="11">
        <v>19</v>
      </c>
      <c r="D1277" s="12" t="s">
        <v>56</v>
      </c>
      <c r="E1277" s="10">
        <v>43643</v>
      </c>
      <c r="F1277" s="8" t="s">
        <v>260</v>
      </c>
      <c r="G1277" s="19"/>
      <c r="H1277" s="18">
        <f ca="1">ROUNDDOWN(表3[[#This Row],[日期]]-TODAY(),1)</f>
        <v>-5</v>
      </c>
    </row>
    <row r="1278" spans="1:8" hidden="1" x14ac:dyDescent="0.2">
      <c r="A1278" s="19" t="s">
        <v>2</v>
      </c>
      <c r="B1278" s="41">
        <v>43649</v>
      </c>
      <c r="C1278" s="11">
        <v>20</v>
      </c>
      <c r="D1278" s="12" t="s">
        <v>1210</v>
      </c>
      <c r="E1278" s="10">
        <v>43644</v>
      </c>
      <c r="F1278" s="8" t="s">
        <v>260</v>
      </c>
      <c r="G1278" s="19" t="s">
        <v>36</v>
      </c>
      <c r="H1278" s="18">
        <f ca="1">ROUNDDOWN(表3[[#This Row],[日期]]-TODAY(),1)</f>
        <v>-4</v>
      </c>
    </row>
    <row r="1279" spans="1:8" hidden="1" x14ac:dyDescent="0.2">
      <c r="A1279" s="19" t="s">
        <v>2</v>
      </c>
      <c r="B1279" s="41">
        <v>43649</v>
      </c>
      <c r="C1279" s="11">
        <v>21</v>
      </c>
      <c r="D1279" s="12" t="s">
        <v>38</v>
      </c>
      <c r="E1279" s="10">
        <v>43644</v>
      </c>
      <c r="F1279" s="8" t="s">
        <v>260</v>
      </c>
      <c r="G1279" s="19"/>
      <c r="H1279" s="18">
        <f ca="1">ROUNDDOWN(表3[[#This Row],[日期]]-TODAY(),1)</f>
        <v>-4</v>
      </c>
    </row>
    <row r="1280" spans="1:8" hidden="1" x14ac:dyDescent="0.2">
      <c r="A1280" s="19" t="s">
        <v>2</v>
      </c>
      <c r="B1280" s="41">
        <v>43649</v>
      </c>
      <c r="C1280" s="11">
        <v>22</v>
      </c>
      <c r="D1280" s="12" t="s">
        <v>41</v>
      </c>
      <c r="E1280" s="10">
        <v>43644</v>
      </c>
      <c r="F1280" s="8" t="s">
        <v>260</v>
      </c>
      <c r="G1280" s="19"/>
      <c r="H1280" s="18">
        <f ca="1">ROUNDDOWN(表3[[#This Row],[日期]]-TODAY(),1)</f>
        <v>-4</v>
      </c>
    </row>
    <row r="1281" spans="1:8" hidden="1" x14ac:dyDescent="0.2">
      <c r="A1281" s="19" t="s">
        <v>2</v>
      </c>
      <c r="B1281" s="41">
        <v>43649</v>
      </c>
      <c r="C1281" s="11">
        <v>23</v>
      </c>
      <c r="D1281" s="12" t="s">
        <v>1211</v>
      </c>
      <c r="E1281" s="10">
        <v>43644</v>
      </c>
      <c r="F1281" s="8" t="s">
        <v>260</v>
      </c>
      <c r="G1281" s="19" t="s">
        <v>43</v>
      </c>
      <c r="H1281" s="18">
        <f ca="1">ROUNDDOWN(表3[[#This Row],[日期]]-TODAY(),1)</f>
        <v>-4</v>
      </c>
    </row>
    <row r="1282" spans="1:8" hidden="1" x14ac:dyDescent="0.2">
      <c r="A1282" s="19" t="s">
        <v>2</v>
      </c>
      <c r="B1282" s="41">
        <v>43649</v>
      </c>
      <c r="C1282" s="11">
        <v>24</v>
      </c>
      <c r="D1282" s="12" t="s">
        <v>223</v>
      </c>
      <c r="E1282" s="10">
        <v>43644</v>
      </c>
      <c r="F1282" s="8" t="s">
        <v>260</v>
      </c>
      <c r="G1282" s="19" t="s">
        <v>198</v>
      </c>
      <c r="H1282" s="18">
        <f ca="1">ROUNDDOWN(表3[[#This Row],[日期]]-TODAY(),1)</f>
        <v>-4</v>
      </c>
    </row>
    <row r="1283" spans="1:8" hidden="1" x14ac:dyDescent="0.2">
      <c r="A1283" s="19" t="s">
        <v>2</v>
      </c>
      <c r="B1283" s="41">
        <v>43649</v>
      </c>
      <c r="C1283" s="11">
        <v>25</v>
      </c>
      <c r="D1283" s="12" t="s">
        <v>1212</v>
      </c>
      <c r="E1283" s="10">
        <v>43644</v>
      </c>
      <c r="F1283" s="8" t="s">
        <v>260</v>
      </c>
      <c r="G1283" s="19"/>
      <c r="H1283" s="18">
        <f ca="1">ROUNDDOWN(表3[[#This Row],[日期]]-TODAY(),1)</f>
        <v>-4</v>
      </c>
    </row>
    <row r="1284" spans="1:8" hidden="1" x14ac:dyDescent="0.2">
      <c r="A1284" s="19" t="s">
        <v>2</v>
      </c>
      <c r="B1284" s="41">
        <v>43649</v>
      </c>
      <c r="C1284" s="11">
        <v>26</v>
      </c>
      <c r="D1284" s="12" t="s">
        <v>988</v>
      </c>
      <c r="E1284" s="10">
        <v>43644</v>
      </c>
      <c r="F1284" s="8" t="s">
        <v>260</v>
      </c>
      <c r="G1284" s="19"/>
      <c r="H1284" s="18">
        <f ca="1">ROUNDDOWN(表3[[#This Row],[日期]]-TODAY(),1)</f>
        <v>-4</v>
      </c>
    </row>
    <row r="1285" spans="1:8" hidden="1" x14ac:dyDescent="0.2">
      <c r="A1285" s="19" t="s">
        <v>2</v>
      </c>
      <c r="B1285" s="41">
        <v>43649</v>
      </c>
      <c r="C1285" s="11">
        <v>27</v>
      </c>
      <c r="D1285" s="12" t="s">
        <v>81</v>
      </c>
      <c r="E1285" s="10">
        <v>43644</v>
      </c>
      <c r="F1285" s="8" t="s">
        <v>260</v>
      </c>
      <c r="G1285" s="19"/>
      <c r="H1285" s="18">
        <f ca="1">ROUNDDOWN(表3[[#This Row],[日期]]-TODAY(),1)</f>
        <v>-4</v>
      </c>
    </row>
    <row r="1286" spans="1:8" hidden="1" x14ac:dyDescent="0.2">
      <c r="A1286" s="19" t="s">
        <v>2</v>
      </c>
      <c r="B1286" s="41">
        <v>43649</v>
      </c>
      <c r="C1286" s="11">
        <v>28</v>
      </c>
      <c r="D1286" s="12" t="s">
        <v>77</v>
      </c>
      <c r="E1286" s="10">
        <v>43644</v>
      </c>
      <c r="F1286" s="8" t="s">
        <v>260</v>
      </c>
      <c r="G1286" s="19"/>
      <c r="H1286" s="18">
        <f ca="1">ROUNDDOWN(表3[[#This Row],[日期]]-TODAY(),1)</f>
        <v>-4</v>
      </c>
    </row>
    <row r="1287" spans="1:8" hidden="1" x14ac:dyDescent="0.2">
      <c r="A1287" s="19" t="s">
        <v>2</v>
      </c>
      <c r="B1287" s="41">
        <v>43649</v>
      </c>
      <c r="C1287" s="11">
        <v>29</v>
      </c>
      <c r="D1287" s="12" t="s">
        <v>79</v>
      </c>
      <c r="E1287" s="10">
        <v>43644</v>
      </c>
      <c r="F1287" s="8" t="s">
        <v>260</v>
      </c>
      <c r="G1287" s="19"/>
      <c r="H1287" s="18">
        <f ca="1">ROUNDDOWN(表3[[#This Row],[日期]]-TODAY(),1)</f>
        <v>-4</v>
      </c>
    </row>
    <row r="1288" spans="1:8" hidden="1" x14ac:dyDescent="0.2">
      <c r="A1288" s="19" t="s">
        <v>2</v>
      </c>
      <c r="B1288" s="41">
        <v>43649</v>
      </c>
      <c r="C1288" s="11">
        <v>31</v>
      </c>
      <c r="D1288" s="12" t="s">
        <v>49</v>
      </c>
      <c r="E1288" s="10">
        <v>43644</v>
      </c>
      <c r="F1288" s="8" t="s">
        <v>260</v>
      </c>
      <c r="G1288" s="19" t="s">
        <v>43</v>
      </c>
      <c r="H1288" s="18">
        <f ca="1">ROUNDDOWN(表3[[#This Row],[日期]]-TODAY(),1)</f>
        <v>-4</v>
      </c>
    </row>
    <row r="1289" spans="1:8" hidden="1" x14ac:dyDescent="0.2">
      <c r="A1289" s="19" t="s">
        <v>2</v>
      </c>
      <c r="B1289" s="41">
        <v>43649</v>
      </c>
      <c r="C1289" s="11">
        <v>32</v>
      </c>
      <c r="D1289" s="12" t="s">
        <v>54</v>
      </c>
      <c r="E1289" s="10">
        <v>43644</v>
      </c>
      <c r="F1289" s="8" t="s">
        <v>260</v>
      </c>
      <c r="G1289" s="19"/>
      <c r="H1289" s="18">
        <f ca="1">ROUNDDOWN(表3[[#This Row],[日期]]-TODAY(),1)</f>
        <v>-4</v>
      </c>
    </row>
    <row r="1290" spans="1:8" hidden="1" x14ac:dyDescent="0.2">
      <c r="A1290" s="19" t="s">
        <v>2</v>
      </c>
      <c r="B1290" s="41">
        <v>43649</v>
      </c>
      <c r="C1290" s="11">
        <v>33</v>
      </c>
      <c r="D1290" s="12" t="s">
        <v>69</v>
      </c>
      <c r="E1290" s="10">
        <v>43644</v>
      </c>
      <c r="F1290" s="8" t="s">
        <v>260</v>
      </c>
      <c r="G1290" s="19" t="s">
        <v>66</v>
      </c>
      <c r="H1290" s="18">
        <f ca="1">ROUNDDOWN(表3[[#This Row],[日期]]-TODAY(),1)</f>
        <v>-4</v>
      </c>
    </row>
    <row r="1291" spans="1:8" hidden="1" x14ac:dyDescent="0.2">
      <c r="A1291" s="19" t="s">
        <v>2</v>
      </c>
      <c r="B1291" s="41">
        <v>43649</v>
      </c>
      <c r="C1291" s="11">
        <v>34</v>
      </c>
      <c r="D1291" s="12" t="s">
        <v>64</v>
      </c>
      <c r="E1291" s="10">
        <v>43644</v>
      </c>
      <c r="F1291" s="8" t="s">
        <v>260</v>
      </c>
      <c r="G1291" s="19"/>
      <c r="H1291" s="18">
        <f ca="1">ROUNDDOWN(表3[[#This Row],[日期]]-TODAY(),1)</f>
        <v>-4</v>
      </c>
    </row>
    <row r="1292" spans="1:8" hidden="1" x14ac:dyDescent="0.2">
      <c r="A1292" s="19" t="s">
        <v>2</v>
      </c>
      <c r="B1292" s="41">
        <v>43649</v>
      </c>
      <c r="C1292" s="11">
        <v>35</v>
      </c>
      <c r="D1292" s="12" t="s">
        <v>1213</v>
      </c>
      <c r="E1292" s="10">
        <v>43645</v>
      </c>
      <c r="F1292" s="8" t="s">
        <v>260</v>
      </c>
      <c r="G1292" s="19" t="s">
        <v>32</v>
      </c>
      <c r="H1292" s="18">
        <f ca="1">ROUNDDOWN(表3[[#This Row],[日期]]-TODAY(),1)</f>
        <v>-3</v>
      </c>
    </row>
    <row r="1293" spans="1:8" hidden="1" x14ac:dyDescent="0.2">
      <c r="A1293" s="22" t="s">
        <v>2</v>
      </c>
      <c r="B1293" s="43">
        <v>43649</v>
      </c>
      <c r="C1293" s="23">
        <v>36</v>
      </c>
      <c r="D1293" s="24" t="s">
        <v>1214</v>
      </c>
      <c r="E1293" s="25">
        <v>43645</v>
      </c>
      <c r="F1293" s="26" t="s">
        <v>260</v>
      </c>
      <c r="G1293" s="22" t="s">
        <v>43</v>
      </c>
      <c r="H1293" s="21">
        <f ca="1">ROUNDDOWN(表3[[#This Row],[日期]]-TODAY(),1)</f>
        <v>-3</v>
      </c>
    </row>
    <row r="1294" spans="1:8" hidden="1" x14ac:dyDescent="0.2">
      <c r="A1294" s="19" t="s">
        <v>2</v>
      </c>
      <c r="B1294" s="41">
        <v>43649</v>
      </c>
      <c r="C1294" s="11">
        <v>37</v>
      </c>
      <c r="D1294" s="12" t="s">
        <v>75</v>
      </c>
      <c r="E1294" s="10">
        <v>43646</v>
      </c>
      <c r="F1294" s="8" t="s">
        <v>260</v>
      </c>
      <c r="G1294" s="19"/>
      <c r="H1294" s="18">
        <f ca="1">ROUNDDOWN(表3[[#This Row],[日期]]-TODAY(),1)</f>
        <v>-2</v>
      </c>
    </row>
    <row r="1295" spans="1:8" hidden="1" x14ac:dyDescent="0.2">
      <c r="A1295" s="19" t="s">
        <v>2</v>
      </c>
      <c r="B1295" s="41">
        <v>43649</v>
      </c>
      <c r="C1295" s="11">
        <v>38</v>
      </c>
      <c r="D1295" s="12" t="s">
        <v>1344</v>
      </c>
      <c r="E1295" s="10">
        <v>43647</v>
      </c>
      <c r="F1295" s="8" t="s">
        <v>260</v>
      </c>
      <c r="G1295" s="19"/>
      <c r="H1295" s="18">
        <f ca="1">ROUNDDOWN(表3[[#This Row],[日期]]-TODAY(),1)</f>
        <v>-1</v>
      </c>
    </row>
    <row r="1296" spans="1:8" hidden="1" x14ac:dyDescent="0.2">
      <c r="A1296" s="19" t="s">
        <v>2</v>
      </c>
      <c r="B1296" s="41">
        <v>43649</v>
      </c>
      <c r="C1296" s="11">
        <v>39</v>
      </c>
      <c r="D1296" s="12" t="s">
        <v>84</v>
      </c>
      <c r="E1296" s="10">
        <v>43647</v>
      </c>
      <c r="F1296" s="8" t="s">
        <v>260</v>
      </c>
      <c r="G1296" s="19"/>
      <c r="H1296" s="18">
        <f ca="1">ROUNDDOWN(表3[[#This Row],[日期]]-TODAY(),1)</f>
        <v>-1</v>
      </c>
    </row>
    <row r="1297" spans="1:8" hidden="1" x14ac:dyDescent="0.2">
      <c r="A1297" s="19" t="s">
        <v>2</v>
      </c>
      <c r="B1297" s="41">
        <v>43649</v>
      </c>
      <c r="C1297" s="11">
        <v>40</v>
      </c>
      <c r="D1297" s="12" t="s">
        <v>1226</v>
      </c>
      <c r="E1297" s="10">
        <v>43647</v>
      </c>
      <c r="F1297" s="8" t="s">
        <v>260</v>
      </c>
      <c r="G1297" s="19"/>
      <c r="H1297" s="18">
        <f ca="1">ROUNDDOWN(表3[[#This Row],[日期]]-TODAY(),1)</f>
        <v>-1</v>
      </c>
    </row>
    <row r="1298" spans="1:8" hidden="1" x14ac:dyDescent="0.2">
      <c r="A1298" s="19" t="s">
        <v>2</v>
      </c>
      <c r="B1298" s="41">
        <v>43649</v>
      </c>
      <c r="C1298" s="11">
        <v>41</v>
      </c>
      <c r="D1298" s="12" t="s">
        <v>71</v>
      </c>
      <c r="E1298" s="10">
        <v>43647</v>
      </c>
      <c r="F1298" s="8" t="s">
        <v>260</v>
      </c>
      <c r="G1298" s="19" t="s">
        <v>73</v>
      </c>
      <c r="H1298" s="18">
        <f ca="1">ROUNDDOWN(表3[[#This Row],[日期]]-TODAY(),1)</f>
        <v>-1</v>
      </c>
    </row>
    <row r="1299" spans="1:8" hidden="1" x14ac:dyDescent="0.2">
      <c r="A1299" s="19" t="s">
        <v>2</v>
      </c>
      <c r="B1299" s="41">
        <v>43649</v>
      </c>
      <c r="C1299" s="11">
        <v>42</v>
      </c>
      <c r="D1299" s="12" t="s">
        <v>86</v>
      </c>
      <c r="E1299" s="10">
        <v>43647</v>
      </c>
      <c r="F1299" s="8" t="s">
        <v>260</v>
      </c>
      <c r="G1299" s="19"/>
      <c r="H1299" s="18">
        <f ca="1">ROUNDDOWN(表3[[#This Row],[日期]]-TODAY(),1)</f>
        <v>-1</v>
      </c>
    </row>
    <row r="1300" spans="1:8" hidden="1" x14ac:dyDescent="0.2">
      <c r="A1300" s="19" t="s">
        <v>2</v>
      </c>
      <c r="B1300" s="41">
        <v>43649</v>
      </c>
      <c r="C1300" s="11">
        <v>43</v>
      </c>
      <c r="D1300" s="12" t="s">
        <v>88</v>
      </c>
      <c r="E1300" s="10">
        <v>43647</v>
      </c>
      <c r="F1300" s="8" t="s">
        <v>260</v>
      </c>
      <c r="G1300" s="19"/>
      <c r="H1300" s="18">
        <f ca="1">ROUNDDOWN(表3[[#This Row],[日期]]-TODAY(),1)</f>
        <v>-1</v>
      </c>
    </row>
    <row r="1301" spans="1:8" hidden="1" x14ac:dyDescent="0.2">
      <c r="A1301" s="19" t="s">
        <v>2</v>
      </c>
      <c r="B1301" s="41">
        <v>43649</v>
      </c>
      <c r="C1301" s="11">
        <v>44</v>
      </c>
      <c r="D1301" s="12" t="s">
        <v>90</v>
      </c>
      <c r="E1301" s="10">
        <v>43648</v>
      </c>
      <c r="F1301" s="8" t="s">
        <v>260</v>
      </c>
      <c r="G1301" s="19"/>
      <c r="H1301" s="18">
        <f ca="1">ROUNDDOWN(表3[[#This Row],[日期]]-TODAY(),1)</f>
        <v>0</v>
      </c>
    </row>
    <row r="1302" spans="1:8" hidden="1" x14ac:dyDescent="0.2">
      <c r="A1302" s="19" t="s">
        <v>2</v>
      </c>
      <c r="B1302" s="41">
        <v>43649</v>
      </c>
      <c r="C1302" s="11">
        <v>45</v>
      </c>
      <c r="D1302" s="12" t="s">
        <v>1215</v>
      </c>
      <c r="E1302" s="10">
        <v>43649</v>
      </c>
      <c r="F1302" s="8" t="s">
        <v>207</v>
      </c>
      <c r="G1302" s="19"/>
      <c r="H1302" s="18">
        <f ca="1">ROUNDDOWN(表3[[#This Row],[日期]]-TODAY(),1)</f>
        <v>1</v>
      </c>
    </row>
    <row r="1303" spans="1:8" hidden="1" x14ac:dyDescent="0.2">
      <c r="A1303" s="19" t="s">
        <v>2</v>
      </c>
      <c r="B1303" s="41">
        <v>43649</v>
      </c>
      <c r="C1303" s="11">
        <v>46</v>
      </c>
      <c r="D1303" s="12" t="s">
        <v>328</v>
      </c>
      <c r="E1303" s="10">
        <v>43650</v>
      </c>
      <c r="F1303" s="8" t="s">
        <v>207</v>
      </c>
      <c r="G1303" s="19"/>
      <c r="H1303" s="18">
        <f ca="1">ROUNDDOWN(表3[[#This Row],[日期]]-TODAY(),1)</f>
        <v>2</v>
      </c>
    </row>
    <row r="1304" spans="1:8" hidden="1" x14ac:dyDescent="0.2">
      <c r="A1304" s="19" t="s">
        <v>2</v>
      </c>
      <c r="B1304" s="41">
        <v>43649</v>
      </c>
      <c r="C1304" s="11">
        <v>47</v>
      </c>
      <c r="D1304" s="12" t="s">
        <v>1301</v>
      </c>
      <c r="E1304" s="10">
        <v>43650</v>
      </c>
      <c r="F1304" s="8" t="s">
        <v>207</v>
      </c>
      <c r="G1304" s="19" t="s">
        <v>131</v>
      </c>
      <c r="H1304" s="18">
        <f ca="1">ROUNDDOWN(表3[[#This Row],[日期]]-TODAY(),1)</f>
        <v>2</v>
      </c>
    </row>
    <row r="1305" spans="1:8" hidden="1" x14ac:dyDescent="0.2">
      <c r="A1305" s="19" t="s">
        <v>1121</v>
      </c>
      <c r="B1305" s="41">
        <v>43649</v>
      </c>
      <c r="C1305" s="11">
        <v>1</v>
      </c>
      <c r="D1305" s="12" t="s">
        <v>418</v>
      </c>
      <c r="E1305" s="10">
        <v>43636</v>
      </c>
      <c r="F1305" s="8" t="s">
        <v>1131</v>
      </c>
      <c r="G1305" s="19"/>
      <c r="H1305" s="18">
        <f ca="1">ROUNDDOWN(表3[[#This Row],[日期]]-TODAY(),1)</f>
        <v>-12</v>
      </c>
    </row>
    <row r="1306" spans="1:8" hidden="1" x14ac:dyDescent="0.2">
      <c r="A1306" s="19" t="s">
        <v>1121</v>
      </c>
      <c r="B1306" s="41">
        <v>43649</v>
      </c>
      <c r="C1306" s="11">
        <v>2</v>
      </c>
      <c r="D1306" s="12" t="s">
        <v>1125</v>
      </c>
      <c r="E1306" s="10">
        <v>43636</v>
      </c>
      <c r="F1306" s="8" t="s">
        <v>1131</v>
      </c>
      <c r="G1306" s="19"/>
      <c r="H1306" s="18">
        <f ca="1">ROUNDDOWN(表3[[#This Row],[日期]]-TODAY(),1)</f>
        <v>-12</v>
      </c>
    </row>
    <row r="1307" spans="1:8" hidden="1" x14ac:dyDescent="0.2">
      <c r="A1307" s="19" t="s">
        <v>1121</v>
      </c>
      <c r="B1307" s="41">
        <v>43649</v>
      </c>
      <c r="C1307" s="11">
        <v>3</v>
      </c>
      <c r="D1307" s="12" t="s">
        <v>21</v>
      </c>
      <c r="E1307" s="10">
        <v>43636</v>
      </c>
      <c r="F1307" s="8" t="s">
        <v>1131</v>
      </c>
      <c r="G1307" s="19"/>
      <c r="H1307" s="18">
        <f ca="1">ROUNDDOWN(表3[[#This Row],[日期]]-TODAY(),1)</f>
        <v>-12</v>
      </c>
    </row>
    <row r="1308" spans="1:8" hidden="1" x14ac:dyDescent="0.2">
      <c r="A1308" s="19" t="s">
        <v>1121</v>
      </c>
      <c r="B1308" s="41">
        <v>43649</v>
      </c>
      <c r="C1308" s="11">
        <v>4</v>
      </c>
      <c r="D1308" s="12" t="s">
        <v>148</v>
      </c>
      <c r="E1308" s="10">
        <v>43643</v>
      </c>
      <c r="F1308" s="8" t="s">
        <v>260</v>
      </c>
      <c r="G1308" s="19" t="s">
        <v>136</v>
      </c>
      <c r="H1308" s="18">
        <f ca="1">ROUNDDOWN(表3[[#This Row],[日期]]-TODAY(),1)</f>
        <v>-5</v>
      </c>
    </row>
    <row r="1309" spans="1:8" hidden="1" x14ac:dyDescent="0.2">
      <c r="A1309" s="19" t="s">
        <v>1121</v>
      </c>
      <c r="B1309" s="41">
        <v>43649</v>
      </c>
      <c r="C1309" s="11">
        <v>5</v>
      </c>
      <c r="D1309" s="12" t="s">
        <v>139</v>
      </c>
      <c r="E1309" s="10">
        <v>43643</v>
      </c>
      <c r="F1309" s="8" t="s">
        <v>260</v>
      </c>
      <c r="G1309" s="19"/>
      <c r="H1309" s="18">
        <f ca="1">ROUNDDOWN(表3[[#This Row],[日期]]-TODAY(),1)</f>
        <v>-5</v>
      </c>
    </row>
    <row r="1310" spans="1:8" hidden="1" x14ac:dyDescent="0.2">
      <c r="A1310" s="19" t="s">
        <v>1121</v>
      </c>
      <c r="B1310" s="41">
        <v>43649</v>
      </c>
      <c r="C1310" s="11">
        <v>6</v>
      </c>
      <c r="D1310" s="12" t="s">
        <v>1267</v>
      </c>
      <c r="E1310" s="10">
        <v>43643</v>
      </c>
      <c r="F1310" s="8" t="s">
        <v>260</v>
      </c>
      <c r="G1310" s="19"/>
      <c r="H1310" s="18">
        <f ca="1">ROUNDDOWN(表3[[#This Row],[日期]]-TODAY(),1)</f>
        <v>-5</v>
      </c>
    </row>
    <row r="1311" spans="1:8" hidden="1" x14ac:dyDescent="0.2">
      <c r="A1311" s="19" t="s">
        <v>1121</v>
      </c>
      <c r="B1311" s="41">
        <v>43649</v>
      </c>
      <c r="C1311" s="11">
        <v>7</v>
      </c>
      <c r="D1311" s="12" t="s">
        <v>330</v>
      </c>
      <c r="E1311" s="10">
        <v>43643</v>
      </c>
      <c r="F1311" s="8" t="s">
        <v>260</v>
      </c>
      <c r="G1311" s="19" t="s">
        <v>142</v>
      </c>
      <c r="H1311" s="18">
        <f ca="1">ROUNDDOWN(表3[[#This Row],[日期]]-TODAY(),1)</f>
        <v>-5</v>
      </c>
    </row>
    <row r="1312" spans="1:8" hidden="1" x14ac:dyDescent="0.2">
      <c r="A1312" s="19" t="s">
        <v>1121</v>
      </c>
      <c r="B1312" s="41">
        <v>43649</v>
      </c>
      <c r="C1312" s="11">
        <v>8</v>
      </c>
      <c r="D1312" s="12" t="s">
        <v>1127</v>
      </c>
      <c r="E1312" s="10">
        <v>43643</v>
      </c>
      <c r="F1312" s="8" t="s">
        <v>260</v>
      </c>
      <c r="G1312" s="19"/>
      <c r="H1312" s="18">
        <f ca="1">ROUNDDOWN(表3[[#This Row],[日期]]-TODAY(),1)</f>
        <v>-5</v>
      </c>
    </row>
    <row r="1313" spans="1:8" hidden="1" x14ac:dyDescent="0.2">
      <c r="A1313" s="19" t="s">
        <v>1121</v>
      </c>
      <c r="B1313" s="41">
        <v>43649</v>
      </c>
      <c r="C1313" s="11">
        <v>9</v>
      </c>
      <c r="D1313" s="12" t="s">
        <v>1128</v>
      </c>
      <c r="E1313" s="10">
        <v>43644</v>
      </c>
      <c r="F1313" s="8" t="s">
        <v>260</v>
      </c>
      <c r="G1313" s="19"/>
      <c r="H1313" s="18">
        <f ca="1">ROUNDDOWN(表3[[#This Row],[日期]]-TODAY(),1)</f>
        <v>-4</v>
      </c>
    </row>
    <row r="1314" spans="1:8" hidden="1" x14ac:dyDescent="0.2">
      <c r="A1314" s="19" t="s">
        <v>1121</v>
      </c>
      <c r="B1314" s="41">
        <v>43649</v>
      </c>
      <c r="C1314" s="11">
        <v>10</v>
      </c>
      <c r="D1314" s="12" t="s">
        <v>1129</v>
      </c>
      <c r="E1314" s="10">
        <v>43644</v>
      </c>
      <c r="F1314" s="8" t="s">
        <v>260</v>
      </c>
      <c r="G1314" s="19" t="s">
        <v>152</v>
      </c>
      <c r="H1314" s="18">
        <f ca="1">ROUNDDOWN(表3[[#This Row],[日期]]-TODAY(),1)</f>
        <v>-4</v>
      </c>
    </row>
    <row r="1315" spans="1:8" hidden="1" x14ac:dyDescent="0.2">
      <c r="A1315" s="19" t="s">
        <v>1121</v>
      </c>
      <c r="B1315" s="41">
        <v>43649</v>
      </c>
      <c r="C1315" s="11">
        <v>11</v>
      </c>
      <c r="D1315" s="12" t="s">
        <v>213</v>
      </c>
      <c r="E1315" s="10">
        <v>43644</v>
      </c>
      <c r="F1315" s="8" t="s">
        <v>260</v>
      </c>
      <c r="G1315" s="19"/>
      <c r="H1315" s="18">
        <f ca="1">ROUNDDOWN(表3[[#This Row],[日期]]-TODAY(),1)</f>
        <v>-4</v>
      </c>
    </row>
    <row r="1316" spans="1:8" hidden="1" x14ac:dyDescent="0.2">
      <c r="A1316" s="19" t="s">
        <v>1121</v>
      </c>
      <c r="B1316" s="41">
        <v>43649</v>
      </c>
      <c r="C1316" s="11">
        <v>12</v>
      </c>
      <c r="D1316" s="12" t="s">
        <v>1130</v>
      </c>
      <c r="E1316" s="10">
        <v>43644</v>
      </c>
      <c r="F1316" s="8" t="s">
        <v>260</v>
      </c>
      <c r="G1316" s="19" t="s">
        <v>333</v>
      </c>
      <c r="H1316" s="18">
        <f ca="1">ROUNDDOWN(表3[[#This Row],[日期]]-TODAY(),1)</f>
        <v>-4</v>
      </c>
    </row>
    <row r="1317" spans="1:8" hidden="1" x14ac:dyDescent="0.2">
      <c r="A1317" s="19" t="s">
        <v>1121</v>
      </c>
      <c r="B1317" s="41">
        <v>43649</v>
      </c>
      <c r="C1317" s="11">
        <v>13</v>
      </c>
      <c r="D1317" s="12" t="s">
        <v>336</v>
      </c>
      <c r="E1317" s="10">
        <v>43644</v>
      </c>
      <c r="F1317" s="8" t="s">
        <v>260</v>
      </c>
      <c r="G1317" s="19" t="s">
        <v>333</v>
      </c>
      <c r="H1317" s="18">
        <f ca="1">ROUNDDOWN(表3[[#This Row],[日期]]-TODAY(),1)</f>
        <v>-4</v>
      </c>
    </row>
    <row r="1318" spans="1:8" hidden="1" x14ac:dyDescent="0.2">
      <c r="A1318" s="19" t="s">
        <v>1121</v>
      </c>
      <c r="B1318" s="41">
        <v>43649</v>
      </c>
      <c r="C1318" s="11">
        <v>14</v>
      </c>
      <c r="D1318" s="12" t="s">
        <v>332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-4</v>
      </c>
    </row>
    <row r="1319" spans="1:8" hidden="1" x14ac:dyDescent="0.2">
      <c r="A1319" s="19" t="s">
        <v>1121</v>
      </c>
      <c r="B1319" s="41">
        <v>43649</v>
      </c>
      <c r="C1319" s="11">
        <v>15</v>
      </c>
      <c r="D1319" s="12" t="s">
        <v>334</v>
      </c>
      <c r="E1319" s="10">
        <v>43645</v>
      </c>
      <c r="F1319" s="8" t="s">
        <v>260</v>
      </c>
      <c r="G1319" s="19" t="s">
        <v>333</v>
      </c>
      <c r="H1319" s="18">
        <f ca="1">ROUNDDOWN(表3[[#This Row],[日期]]-TODAY(),1)</f>
        <v>-3</v>
      </c>
    </row>
    <row r="1320" spans="1:8" hidden="1" x14ac:dyDescent="0.2">
      <c r="A1320" s="19" t="s">
        <v>1121</v>
      </c>
      <c r="B1320" s="41">
        <v>43649</v>
      </c>
      <c r="C1320" s="11">
        <v>16</v>
      </c>
      <c r="D1320" s="12" t="s">
        <v>291</v>
      </c>
      <c r="E1320" s="10">
        <v>43645</v>
      </c>
      <c r="F1320" s="8" t="s">
        <v>260</v>
      </c>
      <c r="G1320" s="19"/>
      <c r="H1320" s="18">
        <f ca="1">ROUNDDOWN(表3[[#This Row],[日期]]-TODAY(),1)</f>
        <v>-3</v>
      </c>
    </row>
    <row r="1321" spans="1:8" hidden="1" x14ac:dyDescent="0.2">
      <c r="A1321" s="19" t="s">
        <v>1121</v>
      </c>
      <c r="B1321" s="41">
        <v>43649</v>
      </c>
      <c r="C1321" s="11">
        <v>17</v>
      </c>
      <c r="D1321" s="12" t="s">
        <v>293</v>
      </c>
      <c r="E1321" s="10">
        <v>43647</v>
      </c>
      <c r="F1321" s="8" t="s">
        <v>260</v>
      </c>
      <c r="G1321" s="19"/>
      <c r="H1321" s="18">
        <f ca="1">ROUNDDOWN(表3[[#This Row],[日期]]-TODAY(),1)</f>
        <v>-1</v>
      </c>
    </row>
    <row r="1322" spans="1:8" hidden="1" x14ac:dyDescent="0.2">
      <c r="A1322" s="19" t="s">
        <v>1121</v>
      </c>
      <c r="B1322" s="41">
        <v>43649</v>
      </c>
      <c r="C1322" s="11">
        <v>18</v>
      </c>
      <c r="D1322" s="12" t="s">
        <v>295</v>
      </c>
      <c r="E1322" s="10">
        <v>43648</v>
      </c>
      <c r="F1322" s="8" t="s">
        <v>260</v>
      </c>
      <c r="G1322" s="19"/>
      <c r="H1322" s="18">
        <f ca="1">ROUNDDOWN(表3[[#This Row],[日期]]-TODAY(),1)</f>
        <v>0</v>
      </c>
    </row>
    <row r="1323" spans="1:8" hidden="1" x14ac:dyDescent="0.2">
      <c r="A1323" s="19" t="s">
        <v>1121</v>
      </c>
      <c r="B1323" s="41">
        <v>43649</v>
      </c>
      <c r="C1323" s="11">
        <v>19</v>
      </c>
      <c r="D1323" s="12" t="s">
        <v>256</v>
      </c>
      <c r="E1323" s="10">
        <v>43649</v>
      </c>
      <c r="F1323" s="8" t="s">
        <v>207</v>
      </c>
      <c r="G1323" s="19"/>
      <c r="H1323" s="18">
        <f ca="1">ROUNDDOWN(表3[[#This Row],[日期]]-TODAY(),1)</f>
        <v>1</v>
      </c>
    </row>
    <row r="1324" spans="1:8" hidden="1" x14ac:dyDescent="0.2">
      <c r="A1324" s="19" t="s">
        <v>1121</v>
      </c>
      <c r="B1324" s="41">
        <v>43649</v>
      </c>
      <c r="C1324" s="11">
        <v>20</v>
      </c>
      <c r="D1324" s="12" t="s">
        <v>328</v>
      </c>
      <c r="E1324" s="10">
        <v>43649</v>
      </c>
      <c r="F1324" s="8" t="s">
        <v>207</v>
      </c>
      <c r="G1324" s="19"/>
      <c r="H1324" s="18">
        <f ca="1">ROUNDDOWN(表3[[#This Row],[日期]]-TODAY(),1)</f>
        <v>1</v>
      </c>
    </row>
    <row r="1325" spans="1:8" hidden="1" x14ac:dyDescent="0.2">
      <c r="A1325" s="19" t="s">
        <v>1288</v>
      </c>
      <c r="B1325" s="41">
        <v>43651</v>
      </c>
      <c r="C1325" s="11">
        <v>1</v>
      </c>
      <c r="D1325" s="12" t="s">
        <v>1287</v>
      </c>
      <c r="E1325" s="10">
        <v>43643</v>
      </c>
      <c r="F1325" s="8" t="s">
        <v>1274</v>
      </c>
      <c r="G1325" s="19"/>
      <c r="H1325" s="18">
        <f ca="1">ROUNDDOWN(表3[[#This Row],[日期]]-TODAY(),1)</f>
        <v>-5</v>
      </c>
    </row>
    <row r="1326" spans="1:8" hidden="1" x14ac:dyDescent="0.2">
      <c r="A1326" s="19" t="s">
        <v>1288</v>
      </c>
      <c r="B1326" s="41">
        <v>43651</v>
      </c>
      <c r="C1326" s="11">
        <v>2</v>
      </c>
      <c r="D1326" s="12" t="s">
        <v>1296</v>
      </c>
      <c r="E1326" s="10">
        <v>43644</v>
      </c>
      <c r="F1326" s="8" t="s">
        <v>260</v>
      </c>
      <c r="G1326" s="19"/>
      <c r="H1326" s="18">
        <f ca="1">ROUNDDOWN(表3[[#This Row],[日期]]-TODAY(),1)</f>
        <v>-4</v>
      </c>
    </row>
    <row r="1327" spans="1:8" hidden="1" x14ac:dyDescent="0.2">
      <c r="A1327" s="19" t="s">
        <v>1288</v>
      </c>
      <c r="B1327" s="41">
        <v>43651</v>
      </c>
      <c r="C1327" s="11">
        <v>3</v>
      </c>
      <c r="D1327" s="12" t="s">
        <v>1337</v>
      </c>
      <c r="E1327" s="10">
        <v>43647</v>
      </c>
      <c r="F1327" s="8" t="s">
        <v>260</v>
      </c>
      <c r="G1327" s="19"/>
      <c r="H1327" s="18">
        <f ca="1">ROUNDDOWN(表3[[#This Row],[日期]]-TODAY(),1)</f>
        <v>-1</v>
      </c>
    </row>
    <row r="1328" spans="1:8" hidden="1" x14ac:dyDescent="0.2">
      <c r="A1328" s="19" t="s">
        <v>1288</v>
      </c>
      <c r="B1328" s="41">
        <v>43651</v>
      </c>
      <c r="C1328" s="11">
        <v>4</v>
      </c>
      <c r="D1328" s="12" t="s">
        <v>1368</v>
      </c>
      <c r="E1328" s="10">
        <v>43646</v>
      </c>
      <c r="F1328" s="8" t="s">
        <v>260</v>
      </c>
      <c r="G1328" s="19"/>
      <c r="H1328" s="18">
        <f ca="1">ROUNDDOWN(表3[[#This Row],[日期]]-TODAY(),1)</f>
        <v>-2</v>
      </c>
    </row>
    <row r="1329" spans="1:8" hidden="1" x14ac:dyDescent="0.2">
      <c r="A1329" s="19" t="s">
        <v>1288</v>
      </c>
      <c r="B1329" s="41">
        <v>43651</v>
      </c>
      <c r="C1329" s="11">
        <v>5</v>
      </c>
      <c r="D1329" s="12" t="s">
        <v>1370</v>
      </c>
      <c r="E1329" s="10">
        <v>43648</v>
      </c>
      <c r="F1329" s="8" t="s">
        <v>1431</v>
      </c>
      <c r="G1329" s="19"/>
      <c r="H1329" s="18">
        <f ca="1">ROUNDDOWN(表3[[#This Row],[日期]]-TODAY(),1)</f>
        <v>0</v>
      </c>
    </row>
    <row r="1330" spans="1:8" hidden="1" x14ac:dyDescent="0.2">
      <c r="A1330" s="19" t="s">
        <v>1288</v>
      </c>
      <c r="B1330" s="41">
        <v>43651</v>
      </c>
      <c r="C1330" s="11">
        <v>6</v>
      </c>
      <c r="D1330" s="12" t="s">
        <v>1392</v>
      </c>
      <c r="E1330" s="10">
        <v>43648</v>
      </c>
      <c r="F1330" s="8" t="s">
        <v>1431</v>
      </c>
      <c r="G1330" s="19"/>
      <c r="H1330" s="18">
        <f ca="1">ROUNDDOWN(表3[[#This Row],[日期]]-TODAY(),1)</f>
        <v>0</v>
      </c>
    </row>
    <row r="1331" spans="1:8" hidden="1" x14ac:dyDescent="0.2">
      <c r="A1331" s="19" t="s">
        <v>1288</v>
      </c>
      <c r="B1331" s="41">
        <v>43651</v>
      </c>
      <c r="C1331" s="11">
        <v>6.5</v>
      </c>
      <c r="D1331" s="12" t="s">
        <v>1378</v>
      </c>
      <c r="E1331" s="10">
        <v>43647</v>
      </c>
      <c r="F1331" s="8" t="s">
        <v>1</v>
      </c>
      <c r="G1331" s="19"/>
      <c r="H1331" s="18">
        <f ca="1">ROUNDDOWN(表3[[#This Row],[日期]]-TODAY(),1)</f>
        <v>-1</v>
      </c>
    </row>
    <row r="1332" spans="1:8" hidden="1" x14ac:dyDescent="0.2">
      <c r="A1332" s="19" t="s">
        <v>1288</v>
      </c>
      <c r="B1332" s="41">
        <v>43651</v>
      </c>
      <c r="C1332" s="11">
        <v>7</v>
      </c>
      <c r="D1332" s="12" t="s">
        <v>1400</v>
      </c>
      <c r="E1332" s="10">
        <v>43648</v>
      </c>
      <c r="F1332" s="8" t="s">
        <v>1431</v>
      </c>
      <c r="G1332" s="19"/>
      <c r="H1332" s="18">
        <f ca="1">ROUNDDOWN(表3[[#This Row],[日期]]-TODAY(),1)</f>
        <v>0</v>
      </c>
    </row>
    <row r="1333" spans="1:8" hidden="1" x14ac:dyDescent="0.2">
      <c r="A1333" s="19" t="s">
        <v>1288</v>
      </c>
      <c r="B1333" s="41">
        <v>43651</v>
      </c>
      <c r="C1333" s="11">
        <v>8</v>
      </c>
      <c r="D1333" s="12" t="s">
        <v>1362</v>
      </c>
      <c r="E1333" s="10">
        <v>43648</v>
      </c>
      <c r="F1333" s="8" t="s">
        <v>1431</v>
      </c>
      <c r="G1333" s="19"/>
      <c r="H1333" s="18">
        <f ca="1">ROUNDDOWN(表3[[#This Row],[日期]]-TODAY(),1)</f>
        <v>0</v>
      </c>
    </row>
    <row r="1334" spans="1:8" hidden="1" x14ac:dyDescent="0.2">
      <c r="A1334" s="19" t="s">
        <v>1288</v>
      </c>
      <c r="B1334" s="41">
        <v>43651</v>
      </c>
      <c r="C1334" s="11">
        <v>9</v>
      </c>
      <c r="D1334" s="12" t="s">
        <v>1393</v>
      </c>
      <c r="E1334" s="10">
        <v>43648</v>
      </c>
      <c r="F1334" s="8" t="s">
        <v>1431</v>
      </c>
      <c r="G1334" s="19"/>
      <c r="H1334" s="18">
        <f ca="1">ROUNDDOWN(表3[[#This Row],[日期]]-TODAY(),1)</f>
        <v>0</v>
      </c>
    </row>
    <row r="1335" spans="1:8" hidden="1" x14ac:dyDescent="0.2">
      <c r="A1335" s="19" t="s">
        <v>1288</v>
      </c>
      <c r="B1335" s="41">
        <v>43651</v>
      </c>
      <c r="C1335" s="11">
        <v>10</v>
      </c>
      <c r="D1335" s="12" t="s">
        <v>1394</v>
      </c>
      <c r="E1335" s="10">
        <v>43648</v>
      </c>
      <c r="F1335" s="8" t="s">
        <v>1431</v>
      </c>
      <c r="G1335" s="19"/>
      <c r="H1335" s="18">
        <f ca="1">ROUNDDOWN(表3[[#This Row],[日期]]-TODAY(),1)</f>
        <v>0</v>
      </c>
    </row>
    <row r="1336" spans="1:8" hidden="1" x14ac:dyDescent="0.2">
      <c r="A1336" s="19" t="s">
        <v>1288</v>
      </c>
      <c r="B1336" s="41">
        <v>43651</v>
      </c>
      <c r="C1336" s="11">
        <v>11</v>
      </c>
      <c r="D1336" s="12" t="s">
        <v>1395</v>
      </c>
      <c r="E1336" s="10">
        <v>43648</v>
      </c>
      <c r="F1336" s="8" t="s">
        <v>1431</v>
      </c>
      <c r="G1336" s="19"/>
      <c r="H1336" s="18">
        <f ca="1">ROUNDDOWN(表3[[#This Row],[日期]]-TODAY(),1)</f>
        <v>0</v>
      </c>
    </row>
    <row r="1337" spans="1:8" hidden="1" x14ac:dyDescent="0.2">
      <c r="A1337" s="19" t="s">
        <v>1288</v>
      </c>
      <c r="B1337" s="41">
        <v>43651</v>
      </c>
      <c r="C1337" s="11">
        <v>12</v>
      </c>
      <c r="D1337" s="12" t="s">
        <v>65</v>
      </c>
      <c r="E1337" s="10">
        <v>43648</v>
      </c>
      <c r="F1337" s="8" t="s">
        <v>1431</v>
      </c>
      <c r="G1337" s="19"/>
      <c r="H1337" s="18">
        <f ca="1">ROUNDDOWN(表3[[#This Row],[日期]]-TODAY(),1)</f>
        <v>0</v>
      </c>
    </row>
    <row r="1338" spans="1:8" hidden="1" x14ac:dyDescent="0.2">
      <c r="A1338" s="19" t="s">
        <v>1288</v>
      </c>
      <c r="B1338" s="41">
        <v>43651</v>
      </c>
      <c r="C1338" s="11">
        <v>13</v>
      </c>
      <c r="D1338" s="12" t="s">
        <v>334</v>
      </c>
      <c r="E1338" s="10">
        <v>43648</v>
      </c>
      <c r="F1338" s="8" t="s">
        <v>1431</v>
      </c>
      <c r="G1338" s="19"/>
      <c r="H1338" s="18">
        <f ca="1">ROUNDDOWN(表3[[#This Row],[日期]]-TODAY(),1)</f>
        <v>0</v>
      </c>
    </row>
    <row r="1339" spans="1:8" hidden="1" x14ac:dyDescent="0.2">
      <c r="A1339" s="19" t="s">
        <v>1288</v>
      </c>
      <c r="B1339" s="41">
        <v>43651</v>
      </c>
      <c r="C1339" s="11">
        <v>14</v>
      </c>
      <c r="D1339" s="12" t="s">
        <v>1130</v>
      </c>
      <c r="E1339" s="10">
        <v>43648</v>
      </c>
      <c r="F1339" s="8" t="s">
        <v>1431</v>
      </c>
      <c r="G1339" s="19"/>
      <c r="H1339" s="18">
        <f ca="1">ROUNDDOWN(表3[[#This Row],[日期]]-TODAY(),1)</f>
        <v>0</v>
      </c>
    </row>
    <row r="1340" spans="1:8" hidden="1" x14ac:dyDescent="0.2">
      <c r="A1340" s="19" t="s">
        <v>1288</v>
      </c>
      <c r="B1340" s="41">
        <v>43651</v>
      </c>
      <c r="C1340" s="11">
        <v>15</v>
      </c>
      <c r="D1340" s="12" t="s">
        <v>336</v>
      </c>
      <c r="E1340" s="10">
        <v>43648</v>
      </c>
      <c r="F1340" s="8" t="s">
        <v>1431</v>
      </c>
      <c r="G1340" s="19"/>
      <c r="H1340" s="18">
        <f ca="1">ROUNDDOWN(表3[[#This Row],[日期]]-TODAY(),1)</f>
        <v>0</v>
      </c>
    </row>
    <row r="1341" spans="1:8" hidden="1" x14ac:dyDescent="0.2">
      <c r="A1341" s="19" t="s">
        <v>1288</v>
      </c>
      <c r="B1341" s="41">
        <v>43651</v>
      </c>
      <c r="C1341" s="11">
        <v>15</v>
      </c>
      <c r="D1341" s="12" t="s">
        <v>293</v>
      </c>
      <c r="E1341" s="10">
        <v>43652</v>
      </c>
      <c r="F1341" s="8" t="s">
        <v>207</v>
      </c>
      <c r="G1341" s="19"/>
      <c r="H1341" s="18">
        <f ca="1">ROUNDDOWN(表3[[#This Row],[日期]]-TODAY(),1)</f>
        <v>4</v>
      </c>
    </row>
    <row r="1342" spans="1:8" hidden="1" x14ac:dyDescent="0.2">
      <c r="A1342" s="19" t="s">
        <v>1288</v>
      </c>
      <c r="B1342" s="41">
        <v>43651</v>
      </c>
      <c r="C1342" s="11">
        <v>16</v>
      </c>
      <c r="D1342" s="12" t="s">
        <v>295</v>
      </c>
      <c r="E1342" s="10">
        <v>43653</v>
      </c>
      <c r="F1342" s="8" t="s">
        <v>207</v>
      </c>
      <c r="G1342" s="19"/>
      <c r="H1342" s="18">
        <f ca="1">ROUNDDOWN(表3[[#This Row],[日期]]-TODAY(),1)</f>
        <v>5</v>
      </c>
    </row>
    <row r="1343" spans="1:8" hidden="1" x14ac:dyDescent="0.2">
      <c r="A1343" s="19" t="s">
        <v>1288</v>
      </c>
      <c r="B1343" s="41">
        <v>43651</v>
      </c>
      <c r="C1343" s="11">
        <v>17</v>
      </c>
      <c r="D1343" s="12" t="s">
        <v>256</v>
      </c>
      <c r="E1343" s="10">
        <v>43654</v>
      </c>
      <c r="F1343" s="8" t="s">
        <v>207</v>
      </c>
      <c r="G1343" s="19"/>
      <c r="H1343" s="18">
        <f ca="1">ROUNDDOWN(表3[[#This Row],[日期]]-TODAY(),1)</f>
        <v>6</v>
      </c>
    </row>
    <row r="1344" spans="1:8" hidden="1" x14ac:dyDescent="0.2">
      <c r="A1344" s="19" t="s">
        <v>1288</v>
      </c>
      <c r="B1344" s="41">
        <v>43651</v>
      </c>
      <c r="C1344" s="11">
        <v>18</v>
      </c>
      <c r="D1344" s="12" t="s">
        <v>328</v>
      </c>
      <c r="E1344" s="10">
        <v>43654</v>
      </c>
      <c r="F1344" s="8" t="s">
        <v>207</v>
      </c>
      <c r="G1344" s="19"/>
      <c r="H1344" s="18">
        <f ca="1">ROUNDDOWN(表3[[#This Row],[日期]]-TODAY(),1)</f>
        <v>6</v>
      </c>
    </row>
    <row r="1345" spans="1:8" hidden="1" x14ac:dyDescent="0.2">
      <c r="A1345" s="19" t="s">
        <v>2</v>
      </c>
      <c r="B1345" s="41">
        <v>43651</v>
      </c>
      <c r="C1345" s="11">
        <v>1</v>
      </c>
      <c r="D1345" s="12" t="s">
        <v>1208</v>
      </c>
      <c r="E1345" s="10">
        <v>43640</v>
      </c>
      <c r="F1345" s="8" t="s">
        <v>260</v>
      </c>
      <c r="G1345" s="19" t="s">
        <v>29</v>
      </c>
      <c r="H1345" s="18">
        <f ca="1">ROUNDDOWN(表3[[#This Row],[日期]]-TODAY(),1)</f>
        <v>-8</v>
      </c>
    </row>
    <row r="1346" spans="1:8" hidden="1" x14ac:dyDescent="0.2">
      <c r="A1346" s="19" t="s">
        <v>2</v>
      </c>
      <c r="B1346" s="41">
        <v>43651</v>
      </c>
      <c r="C1346" s="11">
        <v>2</v>
      </c>
      <c r="D1346" s="12" t="s">
        <v>222</v>
      </c>
      <c r="E1346" s="10">
        <v>43641</v>
      </c>
      <c r="F1346" s="8" t="s">
        <v>260</v>
      </c>
      <c r="G1346" s="19"/>
      <c r="H1346" s="18">
        <f ca="1">ROUNDDOWN(表3[[#This Row],[日期]]-TODAY(),1)</f>
        <v>-7</v>
      </c>
    </row>
    <row r="1347" spans="1:8" hidden="1" x14ac:dyDescent="0.2">
      <c r="A1347" s="19" t="s">
        <v>2</v>
      </c>
      <c r="B1347" s="41">
        <v>43651</v>
      </c>
      <c r="C1347" s="11">
        <v>6</v>
      </c>
      <c r="D1347" s="12" t="s">
        <v>19</v>
      </c>
      <c r="E1347" s="10">
        <v>43641</v>
      </c>
      <c r="F1347" s="8" t="s">
        <v>1229</v>
      </c>
      <c r="G1347" s="19"/>
      <c r="H1347" s="18">
        <f ca="1">ROUNDDOWN(表3[[#This Row],[日期]]-TODAY(),1)</f>
        <v>-7</v>
      </c>
    </row>
    <row r="1348" spans="1:8" hidden="1" x14ac:dyDescent="0.2">
      <c r="A1348" s="19" t="s">
        <v>2</v>
      </c>
      <c r="B1348" s="41">
        <v>43651</v>
      </c>
      <c r="C1348" s="11">
        <v>7</v>
      </c>
      <c r="D1348" s="12" t="s">
        <v>21</v>
      </c>
      <c r="E1348" s="10">
        <v>43641</v>
      </c>
      <c r="F1348" s="8" t="s">
        <v>1229</v>
      </c>
      <c r="G1348" s="19"/>
      <c r="H1348" s="18">
        <f ca="1">ROUNDDOWN(表3[[#This Row],[日期]]-TODAY(),1)</f>
        <v>-7</v>
      </c>
    </row>
    <row r="1349" spans="1:8" hidden="1" x14ac:dyDescent="0.2">
      <c r="A1349" s="19" t="s">
        <v>2</v>
      </c>
      <c r="B1349" s="41">
        <v>43651</v>
      </c>
      <c r="C1349" s="11">
        <v>8</v>
      </c>
      <c r="D1349" s="12" t="s">
        <v>7</v>
      </c>
      <c r="E1349" s="10">
        <v>43641</v>
      </c>
      <c r="F1349" s="8" t="s">
        <v>1229</v>
      </c>
      <c r="G1349" s="19"/>
      <c r="H1349" s="18">
        <f ca="1">ROUNDDOWN(表3[[#This Row],[日期]]-TODAY(),1)</f>
        <v>-7</v>
      </c>
    </row>
    <row r="1350" spans="1:8" hidden="1" x14ac:dyDescent="0.2">
      <c r="A1350" s="19" t="s">
        <v>2</v>
      </c>
      <c r="B1350" s="41">
        <v>43651</v>
      </c>
      <c r="C1350" s="11">
        <v>9</v>
      </c>
      <c r="D1350" s="12" t="s">
        <v>9</v>
      </c>
      <c r="E1350" s="10">
        <v>43641</v>
      </c>
      <c r="F1350" s="8" t="s">
        <v>1229</v>
      </c>
      <c r="G1350" s="19"/>
      <c r="H1350" s="18">
        <f ca="1">ROUNDDOWN(表3[[#This Row],[日期]]-TODAY(),1)</f>
        <v>-7</v>
      </c>
    </row>
    <row r="1351" spans="1:8" hidden="1" x14ac:dyDescent="0.2">
      <c r="A1351" s="19" t="s">
        <v>2</v>
      </c>
      <c r="B1351" s="41">
        <v>43651</v>
      </c>
      <c r="C1351" s="11">
        <v>10</v>
      </c>
      <c r="D1351" s="12" t="s">
        <v>11</v>
      </c>
      <c r="E1351" s="10">
        <v>43641</v>
      </c>
      <c r="F1351" s="8" t="s">
        <v>1229</v>
      </c>
      <c r="G1351" s="19" t="s">
        <v>32</v>
      </c>
      <c r="H1351" s="18">
        <f ca="1">ROUNDDOWN(表3[[#This Row],[日期]]-TODAY(),1)</f>
        <v>-7</v>
      </c>
    </row>
    <row r="1352" spans="1:8" hidden="1" x14ac:dyDescent="0.2">
      <c r="A1352" s="19" t="s">
        <v>2</v>
      </c>
      <c r="B1352" s="41">
        <v>43651</v>
      </c>
      <c r="C1352" s="11">
        <v>11</v>
      </c>
      <c r="D1352" s="12" t="s">
        <v>58</v>
      </c>
      <c r="E1352" s="10">
        <v>43641</v>
      </c>
      <c r="F1352" s="8" t="s">
        <v>1229</v>
      </c>
      <c r="G1352" s="19"/>
      <c r="H1352" s="18">
        <f ca="1">ROUNDDOWN(表3[[#This Row],[日期]]-TODAY(),1)</f>
        <v>-7</v>
      </c>
    </row>
    <row r="1353" spans="1:8" hidden="1" x14ac:dyDescent="0.2">
      <c r="A1353" s="19" t="s">
        <v>2</v>
      </c>
      <c r="B1353" s="41">
        <v>43651</v>
      </c>
      <c r="C1353" s="11">
        <v>12</v>
      </c>
      <c r="D1353" s="12" t="s">
        <v>1209</v>
      </c>
      <c r="E1353" s="10">
        <v>43647</v>
      </c>
      <c r="F1353" s="8" t="s">
        <v>260</v>
      </c>
      <c r="G1353" s="19" t="s">
        <v>34</v>
      </c>
      <c r="H1353" s="18">
        <f ca="1">ROUNDDOWN(表3[[#This Row],[日期]]-TODAY(),1)</f>
        <v>-1</v>
      </c>
    </row>
    <row r="1354" spans="1:8" hidden="1" x14ac:dyDescent="0.2">
      <c r="A1354" s="19" t="s">
        <v>2</v>
      </c>
      <c r="B1354" s="41">
        <v>43651</v>
      </c>
      <c r="C1354" s="11">
        <v>13</v>
      </c>
      <c r="D1354" s="12" t="s">
        <v>39</v>
      </c>
      <c r="E1354" s="10">
        <v>43647</v>
      </c>
      <c r="F1354" s="8" t="s">
        <v>260</v>
      </c>
      <c r="G1354" s="19"/>
      <c r="H1354" s="18">
        <f ca="1">ROUNDDOWN(表3[[#This Row],[日期]]-TODAY(),1)</f>
        <v>-1</v>
      </c>
    </row>
    <row r="1355" spans="1:8" hidden="1" x14ac:dyDescent="0.2">
      <c r="A1355" s="19" t="s">
        <v>2</v>
      </c>
      <c r="B1355" s="41">
        <v>43651</v>
      </c>
      <c r="C1355" s="11">
        <v>14</v>
      </c>
      <c r="D1355" s="12" t="s">
        <v>23</v>
      </c>
      <c r="E1355" s="10">
        <v>43647</v>
      </c>
      <c r="F1355" s="8" t="s">
        <v>260</v>
      </c>
      <c r="G1355" s="19"/>
      <c r="H1355" s="18">
        <f ca="1">ROUNDDOWN(表3[[#This Row],[日期]]-TODAY(),1)</f>
        <v>-1</v>
      </c>
    </row>
    <row r="1356" spans="1:8" hidden="1" x14ac:dyDescent="0.2">
      <c r="A1356" s="19" t="s">
        <v>2</v>
      </c>
      <c r="B1356" s="41">
        <v>43651</v>
      </c>
      <c r="C1356" s="11">
        <v>15</v>
      </c>
      <c r="D1356" s="12" t="s">
        <v>25</v>
      </c>
      <c r="E1356" s="10">
        <v>43647</v>
      </c>
      <c r="F1356" s="8" t="s">
        <v>260</v>
      </c>
      <c r="G1356" s="19"/>
      <c r="H1356" s="18">
        <f ca="1">ROUNDDOWN(表3[[#This Row],[日期]]-TODAY(),1)</f>
        <v>-1</v>
      </c>
    </row>
    <row r="1357" spans="1:8" hidden="1" x14ac:dyDescent="0.2">
      <c r="A1357" s="22" t="s">
        <v>2</v>
      </c>
      <c r="B1357" s="43">
        <v>43651</v>
      </c>
      <c r="C1357" s="23">
        <v>16</v>
      </c>
      <c r="D1357" s="24" t="s">
        <v>13</v>
      </c>
      <c r="E1357" s="25">
        <v>43647</v>
      </c>
      <c r="F1357" s="26" t="s">
        <v>260</v>
      </c>
      <c r="G1357" s="22"/>
      <c r="H1357" s="21">
        <f ca="1">ROUNDDOWN(表3[[#This Row],[日期]]-TODAY(),1)</f>
        <v>-1</v>
      </c>
    </row>
    <row r="1358" spans="1:8" hidden="1" x14ac:dyDescent="0.2">
      <c r="A1358" s="19" t="s">
        <v>2</v>
      </c>
      <c r="B1358" s="41">
        <v>43651</v>
      </c>
      <c r="C1358" s="11">
        <v>17</v>
      </c>
      <c r="D1358" s="12" t="s">
        <v>15</v>
      </c>
      <c r="E1358" s="10">
        <v>43647</v>
      </c>
      <c r="F1358" s="8" t="s">
        <v>260</v>
      </c>
      <c r="G1358" s="19"/>
      <c r="H1358" s="18">
        <f ca="1">ROUNDDOWN(表3[[#This Row],[日期]]-TODAY(),1)</f>
        <v>-1</v>
      </c>
    </row>
    <row r="1359" spans="1:8" hidden="1" x14ac:dyDescent="0.2">
      <c r="A1359" s="19" t="s">
        <v>2</v>
      </c>
      <c r="B1359" s="41">
        <v>43651</v>
      </c>
      <c r="C1359" s="11">
        <v>18</v>
      </c>
      <c r="D1359" s="12" t="s">
        <v>17</v>
      </c>
      <c r="E1359" s="10">
        <v>43647</v>
      </c>
      <c r="F1359" s="8" t="s">
        <v>260</v>
      </c>
      <c r="G1359" s="19"/>
      <c r="H1359" s="18">
        <f ca="1">ROUNDDOWN(表3[[#This Row],[日期]]-TODAY(),1)</f>
        <v>-1</v>
      </c>
    </row>
    <row r="1360" spans="1:8" hidden="1" x14ac:dyDescent="0.2">
      <c r="A1360" s="19" t="s">
        <v>2</v>
      </c>
      <c r="B1360" s="41">
        <v>43651</v>
      </c>
      <c r="C1360" s="11">
        <v>19</v>
      </c>
      <c r="D1360" s="12" t="s">
        <v>56</v>
      </c>
      <c r="E1360" s="10">
        <v>43647</v>
      </c>
      <c r="F1360" s="8" t="s">
        <v>260</v>
      </c>
      <c r="G1360" s="19"/>
      <c r="H1360" s="18">
        <f ca="1">ROUNDDOWN(表3[[#This Row],[日期]]-TODAY(),1)</f>
        <v>-1</v>
      </c>
    </row>
    <row r="1361" spans="1:8" hidden="1" x14ac:dyDescent="0.2">
      <c r="A1361" s="19" t="s">
        <v>2</v>
      </c>
      <c r="B1361" s="41">
        <v>43651</v>
      </c>
      <c r="C1361" s="11">
        <v>20</v>
      </c>
      <c r="D1361" s="12" t="s">
        <v>1210</v>
      </c>
      <c r="E1361" s="10">
        <v>43648</v>
      </c>
      <c r="F1361" s="8" t="s">
        <v>260</v>
      </c>
      <c r="G1361" s="19" t="s">
        <v>36</v>
      </c>
      <c r="H1361" s="18">
        <f ca="1">ROUNDDOWN(表3[[#This Row],[日期]]-TODAY(),1)</f>
        <v>0</v>
      </c>
    </row>
    <row r="1362" spans="1:8" hidden="1" x14ac:dyDescent="0.2">
      <c r="A1362" s="19" t="s">
        <v>2</v>
      </c>
      <c r="B1362" s="41">
        <v>43651</v>
      </c>
      <c r="C1362" s="11">
        <v>21</v>
      </c>
      <c r="D1362" s="12" t="s">
        <v>38</v>
      </c>
      <c r="E1362" s="10">
        <v>43648</v>
      </c>
      <c r="F1362" s="8" t="s">
        <v>260</v>
      </c>
      <c r="G1362" s="19"/>
      <c r="H1362" s="18">
        <f ca="1">ROUNDDOWN(表3[[#This Row],[日期]]-TODAY(),1)</f>
        <v>0</v>
      </c>
    </row>
    <row r="1363" spans="1:8" hidden="1" x14ac:dyDescent="0.2">
      <c r="A1363" s="19" t="s">
        <v>2</v>
      </c>
      <c r="B1363" s="41">
        <v>43651</v>
      </c>
      <c r="C1363" s="11">
        <v>22</v>
      </c>
      <c r="D1363" s="12" t="s">
        <v>41</v>
      </c>
      <c r="E1363" s="10">
        <v>43648</v>
      </c>
      <c r="F1363" s="8" t="s">
        <v>260</v>
      </c>
      <c r="G1363" s="19"/>
      <c r="H1363" s="18">
        <f ca="1">ROUNDDOWN(表3[[#This Row],[日期]]-TODAY(),1)</f>
        <v>0</v>
      </c>
    </row>
    <row r="1364" spans="1:8" hidden="1" x14ac:dyDescent="0.2">
      <c r="A1364" s="19" t="s">
        <v>2</v>
      </c>
      <c r="B1364" s="41">
        <v>43651</v>
      </c>
      <c r="C1364" s="11">
        <v>23</v>
      </c>
      <c r="D1364" s="12" t="s">
        <v>1211</v>
      </c>
      <c r="E1364" s="10">
        <v>43648</v>
      </c>
      <c r="F1364" s="8" t="s">
        <v>260</v>
      </c>
      <c r="G1364" s="19" t="s">
        <v>43</v>
      </c>
      <c r="H1364" s="18">
        <f ca="1">ROUNDDOWN(表3[[#This Row],[日期]]-TODAY(),1)</f>
        <v>0</v>
      </c>
    </row>
    <row r="1365" spans="1:8" hidden="1" x14ac:dyDescent="0.2">
      <c r="A1365" s="19" t="s">
        <v>2</v>
      </c>
      <c r="B1365" s="41">
        <v>43651</v>
      </c>
      <c r="C1365" s="11">
        <v>24</v>
      </c>
      <c r="D1365" s="12" t="s">
        <v>223</v>
      </c>
      <c r="E1365" s="10">
        <v>43648</v>
      </c>
      <c r="F1365" s="8" t="s">
        <v>260</v>
      </c>
      <c r="G1365" s="19" t="s">
        <v>198</v>
      </c>
      <c r="H1365" s="18">
        <f ca="1">ROUNDDOWN(表3[[#This Row],[日期]]-TODAY(),1)</f>
        <v>0</v>
      </c>
    </row>
    <row r="1366" spans="1:8" hidden="1" x14ac:dyDescent="0.2">
      <c r="A1366" s="19" t="s">
        <v>2</v>
      </c>
      <c r="B1366" s="41">
        <v>43651</v>
      </c>
      <c r="C1366" s="11">
        <v>25</v>
      </c>
      <c r="D1366" s="12" t="s">
        <v>1212</v>
      </c>
      <c r="E1366" s="10">
        <v>43648</v>
      </c>
      <c r="F1366" s="8" t="s">
        <v>260</v>
      </c>
      <c r="G1366" s="19"/>
      <c r="H1366" s="18">
        <f ca="1">ROUNDDOWN(表3[[#This Row],[日期]]-TODAY(),1)</f>
        <v>0</v>
      </c>
    </row>
    <row r="1367" spans="1:8" hidden="1" x14ac:dyDescent="0.2">
      <c r="A1367" s="19" t="s">
        <v>2</v>
      </c>
      <c r="B1367" s="41">
        <v>43651</v>
      </c>
      <c r="C1367" s="11">
        <v>26</v>
      </c>
      <c r="D1367" s="12" t="s">
        <v>988</v>
      </c>
      <c r="E1367" s="10">
        <v>43648</v>
      </c>
      <c r="F1367" s="8" t="s">
        <v>260</v>
      </c>
      <c r="G1367" s="19"/>
      <c r="H1367" s="18">
        <f ca="1">ROUNDDOWN(表3[[#This Row],[日期]]-TODAY(),1)</f>
        <v>0</v>
      </c>
    </row>
    <row r="1368" spans="1:8" hidden="1" x14ac:dyDescent="0.2">
      <c r="A1368" s="19" t="s">
        <v>2</v>
      </c>
      <c r="B1368" s="41">
        <v>43651</v>
      </c>
      <c r="C1368" s="11">
        <v>27</v>
      </c>
      <c r="D1368" s="12" t="s">
        <v>81</v>
      </c>
      <c r="E1368" s="10">
        <v>43648</v>
      </c>
      <c r="F1368" s="8" t="s">
        <v>260</v>
      </c>
      <c r="G1368" s="19"/>
      <c r="H1368" s="18">
        <f ca="1">ROUNDDOWN(表3[[#This Row],[日期]]-TODAY(),1)</f>
        <v>0</v>
      </c>
    </row>
    <row r="1369" spans="1:8" hidden="1" x14ac:dyDescent="0.2">
      <c r="A1369" s="19" t="s">
        <v>2</v>
      </c>
      <c r="B1369" s="41">
        <v>43651</v>
      </c>
      <c r="C1369" s="11">
        <v>28</v>
      </c>
      <c r="D1369" s="12" t="s">
        <v>77</v>
      </c>
      <c r="E1369" s="10">
        <v>43648</v>
      </c>
      <c r="F1369" s="8" t="s">
        <v>207</v>
      </c>
      <c r="G1369" s="19"/>
      <c r="H1369" s="18">
        <f ca="1">ROUNDDOWN(表3[[#This Row],[日期]]-TODAY(),1)</f>
        <v>0</v>
      </c>
    </row>
    <row r="1370" spans="1:8" hidden="1" x14ac:dyDescent="0.2">
      <c r="A1370" s="19" t="s">
        <v>2</v>
      </c>
      <c r="B1370" s="41">
        <v>43651</v>
      </c>
      <c r="C1370" s="11">
        <v>29</v>
      </c>
      <c r="D1370" s="12" t="s">
        <v>79</v>
      </c>
      <c r="E1370" s="10">
        <v>43648</v>
      </c>
      <c r="F1370" s="8" t="s">
        <v>207</v>
      </c>
      <c r="G1370" s="19"/>
      <c r="H1370" s="18">
        <f ca="1">ROUNDDOWN(表3[[#This Row],[日期]]-TODAY(),1)</f>
        <v>0</v>
      </c>
    </row>
    <row r="1371" spans="1:8" hidden="1" x14ac:dyDescent="0.2">
      <c r="A1371" s="19" t="s">
        <v>2</v>
      </c>
      <c r="B1371" s="41">
        <v>43651</v>
      </c>
      <c r="C1371" s="11">
        <v>31</v>
      </c>
      <c r="D1371" s="12" t="s">
        <v>49</v>
      </c>
      <c r="E1371" s="10">
        <v>43648</v>
      </c>
      <c r="F1371" s="8" t="s">
        <v>260</v>
      </c>
      <c r="G1371" s="19" t="s">
        <v>43</v>
      </c>
      <c r="H1371" s="18">
        <f ca="1">ROUNDDOWN(表3[[#This Row],[日期]]-TODAY(),1)</f>
        <v>0</v>
      </c>
    </row>
    <row r="1372" spans="1:8" hidden="1" x14ac:dyDescent="0.2">
      <c r="A1372" s="19" t="s">
        <v>2</v>
      </c>
      <c r="B1372" s="41">
        <v>43651</v>
      </c>
      <c r="C1372" s="11">
        <v>32</v>
      </c>
      <c r="D1372" s="12" t="s">
        <v>54</v>
      </c>
      <c r="E1372" s="10">
        <v>43648</v>
      </c>
      <c r="F1372" s="8" t="s">
        <v>260</v>
      </c>
      <c r="G1372" s="19"/>
      <c r="H1372" s="18">
        <f ca="1">ROUNDDOWN(表3[[#This Row],[日期]]-TODAY(),1)</f>
        <v>0</v>
      </c>
    </row>
    <row r="1373" spans="1:8" hidden="1" x14ac:dyDescent="0.2">
      <c r="A1373" s="19" t="s">
        <v>2</v>
      </c>
      <c r="B1373" s="41">
        <v>43651</v>
      </c>
      <c r="C1373" s="11">
        <v>33</v>
      </c>
      <c r="D1373" s="12" t="s">
        <v>69</v>
      </c>
      <c r="E1373" s="10">
        <v>43648</v>
      </c>
      <c r="F1373" s="8" t="s">
        <v>260</v>
      </c>
      <c r="G1373" s="19" t="s">
        <v>66</v>
      </c>
      <c r="H1373" s="18">
        <f ca="1">ROUNDDOWN(表3[[#This Row],[日期]]-TODAY(),1)</f>
        <v>0</v>
      </c>
    </row>
    <row r="1374" spans="1:8" hidden="1" x14ac:dyDescent="0.2">
      <c r="A1374" s="19" t="s">
        <v>2</v>
      </c>
      <c r="B1374" s="41">
        <v>43651</v>
      </c>
      <c r="C1374" s="11">
        <v>34</v>
      </c>
      <c r="D1374" s="12" t="s">
        <v>64</v>
      </c>
      <c r="E1374" s="10">
        <v>43648</v>
      </c>
      <c r="F1374" s="8" t="s">
        <v>260</v>
      </c>
      <c r="G1374" s="19"/>
      <c r="H1374" s="18">
        <f ca="1">ROUNDDOWN(表3[[#This Row],[日期]]-TODAY(),1)</f>
        <v>0</v>
      </c>
    </row>
    <row r="1375" spans="1:8" hidden="1" x14ac:dyDescent="0.2">
      <c r="A1375" s="19" t="s">
        <v>2</v>
      </c>
      <c r="B1375" s="41">
        <v>43651</v>
      </c>
      <c r="C1375" s="11">
        <v>35</v>
      </c>
      <c r="D1375" s="12" t="s">
        <v>1213</v>
      </c>
      <c r="E1375" s="10">
        <v>43648</v>
      </c>
      <c r="F1375" s="8" t="s">
        <v>260</v>
      </c>
      <c r="G1375" s="19" t="s">
        <v>32</v>
      </c>
      <c r="H1375" s="18">
        <f ca="1">ROUNDDOWN(表3[[#This Row],[日期]]-TODAY(),1)</f>
        <v>0</v>
      </c>
    </row>
    <row r="1376" spans="1:8" hidden="1" x14ac:dyDescent="0.2">
      <c r="A1376" s="19" t="s">
        <v>2</v>
      </c>
      <c r="B1376" s="41">
        <v>43651</v>
      </c>
      <c r="C1376" s="11">
        <v>36</v>
      </c>
      <c r="D1376" s="12" t="s">
        <v>1214</v>
      </c>
      <c r="E1376" s="10">
        <v>43648</v>
      </c>
      <c r="F1376" s="8" t="s">
        <v>260</v>
      </c>
      <c r="G1376" s="19" t="s">
        <v>43</v>
      </c>
      <c r="H1376" s="18">
        <f ca="1">ROUNDDOWN(表3[[#This Row],[日期]]-TODAY(),1)</f>
        <v>0</v>
      </c>
    </row>
    <row r="1377" spans="1:8" hidden="1" x14ac:dyDescent="0.2">
      <c r="A1377" s="19" t="s">
        <v>2</v>
      </c>
      <c r="B1377" s="41">
        <v>43651</v>
      </c>
      <c r="C1377" s="11">
        <v>37</v>
      </c>
      <c r="D1377" s="12" t="s">
        <v>1226</v>
      </c>
      <c r="E1377" s="10">
        <v>43648</v>
      </c>
      <c r="F1377" s="8" t="s">
        <v>260</v>
      </c>
      <c r="G1377" s="19"/>
      <c r="H1377" s="18">
        <f ca="1">ROUNDDOWN(表3[[#This Row],[日期]]-TODAY(),1)</f>
        <v>0</v>
      </c>
    </row>
    <row r="1378" spans="1:8" hidden="1" x14ac:dyDescent="0.2">
      <c r="A1378" s="22" t="s">
        <v>2</v>
      </c>
      <c r="B1378" s="43">
        <v>43651</v>
      </c>
      <c r="C1378" s="23">
        <v>38</v>
      </c>
      <c r="D1378" s="24" t="s">
        <v>71</v>
      </c>
      <c r="E1378" s="25">
        <v>43648</v>
      </c>
      <c r="F1378" s="26" t="s">
        <v>260</v>
      </c>
      <c r="G1378" s="22" t="s">
        <v>73</v>
      </c>
      <c r="H1378" s="21">
        <f ca="1">ROUNDDOWN(表3[[#This Row],[日期]]-TODAY(),1)</f>
        <v>0</v>
      </c>
    </row>
    <row r="1379" spans="1:8" hidden="1" x14ac:dyDescent="0.2">
      <c r="A1379" s="22" t="s">
        <v>2</v>
      </c>
      <c r="B1379" s="41">
        <v>43651</v>
      </c>
      <c r="C1379" s="23">
        <v>39</v>
      </c>
      <c r="D1379" s="24" t="s">
        <v>75</v>
      </c>
      <c r="E1379" s="25">
        <v>43648</v>
      </c>
      <c r="F1379" s="26" t="s">
        <v>260</v>
      </c>
      <c r="G1379" s="22"/>
      <c r="H1379" s="21">
        <f ca="1">ROUNDDOWN(表3[[#This Row],[日期]]-TODAY(),1)</f>
        <v>0</v>
      </c>
    </row>
    <row r="1380" spans="1:8" hidden="1" x14ac:dyDescent="0.2">
      <c r="A1380" s="22" t="s">
        <v>2</v>
      </c>
      <c r="B1380" s="43">
        <v>43651</v>
      </c>
      <c r="C1380" s="23">
        <v>40</v>
      </c>
      <c r="D1380" s="24" t="s">
        <v>1342</v>
      </c>
      <c r="E1380" s="25">
        <v>43649</v>
      </c>
      <c r="F1380" s="26" t="s">
        <v>207</v>
      </c>
      <c r="G1380" s="22"/>
      <c r="H1380" s="21">
        <f ca="1">ROUNDDOWN(表3[[#This Row],[日期]]-TODAY(),1)</f>
        <v>1</v>
      </c>
    </row>
    <row r="1381" spans="1:8" hidden="1" x14ac:dyDescent="0.2">
      <c r="A1381" s="19" t="s">
        <v>2</v>
      </c>
      <c r="B1381" s="41">
        <v>43651</v>
      </c>
      <c r="C1381" s="11">
        <v>41</v>
      </c>
      <c r="D1381" s="12" t="s">
        <v>84</v>
      </c>
      <c r="E1381" s="10">
        <v>43649</v>
      </c>
      <c r="F1381" s="8" t="s">
        <v>207</v>
      </c>
      <c r="G1381" s="19"/>
      <c r="H1381" s="18">
        <f ca="1">ROUNDDOWN(表3[[#This Row],[日期]]-TODAY(),1)</f>
        <v>1</v>
      </c>
    </row>
    <row r="1382" spans="1:8" hidden="1" x14ac:dyDescent="0.2">
      <c r="A1382" s="19" t="s">
        <v>2</v>
      </c>
      <c r="B1382" s="41">
        <v>43651</v>
      </c>
      <c r="C1382" s="11">
        <v>42</v>
      </c>
      <c r="D1382" s="12" t="s">
        <v>86</v>
      </c>
      <c r="E1382" s="10">
        <v>43649</v>
      </c>
      <c r="F1382" s="8" t="s">
        <v>207</v>
      </c>
      <c r="G1382" s="19"/>
      <c r="H1382" s="18">
        <f ca="1">ROUNDDOWN(表3[[#This Row],[日期]]-TODAY(),1)</f>
        <v>1</v>
      </c>
    </row>
    <row r="1383" spans="1:8" hidden="1" x14ac:dyDescent="0.2">
      <c r="A1383" s="19" t="s">
        <v>2</v>
      </c>
      <c r="B1383" s="41">
        <v>43651</v>
      </c>
      <c r="C1383" s="11">
        <v>43</v>
      </c>
      <c r="D1383" s="12" t="s">
        <v>88</v>
      </c>
      <c r="E1383" s="10">
        <v>43649</v>
      </c>
      <c r="F1383" s="8" t="s">
        <v>207</v>
      </c>
      <c r="G1383" s="19"/>
      <c r="H1383" s="18">
        <f ca="1">ROUNDDOWN(表3[[#This Row],[日期]]-TODAY(),1)</f>
        <v>1</v>
      </c>
    </row>
    <row r="1384" spans="1:8" hidden="1" x14ac:dyDescent="0.2">
      <c r="A1384" s="19" t="s">
        <v>2</v>
      </c>
      <c r="B1384" s="41">
        <v>43651</v>
      </c>
      <c r="C1384" s="11">
        <v>44</v>
      </c>
      <c r="D1384" s="12" t="s">
        <v>90</v>
      </c>
      <c r="E1384" s="10">
        <v>43650</v>
      </c>
      <c r="F1384" s="8" t="s">
        <v>207</v>
      </c>
      <c r="G1384" s="19"/>
      <c r="H1384" s="18">
        <f ca="1">ROUNDDOWN(表3[[#This Row],[日期]]-TODAY(),1)</f>
        <v>2</v>
      </c>
    </row>
    <row r="1385" spans="1:8" hidden="1" x14ac:dyDescent="0.2">
      <c r="A1385" s="19" t="s">
        <v>2</v>
      </c>
      <c r="B1385" s="41">
        <v>43651</v>
      </c>
      <c r="C1385" s="11">
        <v>45</v>
      </c>
      <c r="D1385" s="12" t="s">
        <v>1215</v>
      </c>
      <c r="E1385" s="10">
        <v>43650</v>
      </c>
      <c r="F1385" s="8" t="s">
        <v>207</v>
      </c>
      <c r="G1385" s="19"/>
      <c r="H1385" s="18">
        <f ca="1">ROUNDDOWN(表3[[#This Row],[日期]]-TODAY(),1)</f>
        <v>2</v>
      </c>
    </row>
    <row r="1386" spans="1:8" hidden="1" x14ac:dyDescent="0.2">
      <c r="A1386" s="19" t="s">
        <v>2</v>
      </c>
      <c r="B1386" s="41">
        <v>43651</v>
      </c>
      <c r="C1386" s="11">
        <v>46</v>
      </c>
      <c r="D1386" s="12" t="s">
        <v>328</v>
      </c>
      <c r="E1386" s="10">
        <v>43651</v>
      </c>
      <c r="F1386" s="8" t="s">
        <v>207</v>
      </c>
      <c r="G1386" s="19"/>
      <c r="H1386" s="18">
        <f ca="1">ROUNDDOWN(表3[[#This Row],[日期]]-TODAY(),1)</f>
        <v>3</v>
      </c>
    </row>
    <row r="1387" spans="1:8" hidden="1" x14ac:dyDescent="0.2">
      <c r="A1387" s="19" t="s">
        <v>2</v>
      </c>
      <c r="B1387" s="41">
        <v>43651</v>
      </c>
      <c r="C1387" s="11">
        <v>47</v>
      </c>
      <c r="D1387" s="12" t="s">
        <v>1301</v>
      </c>
      <c r="E1387" s="10">
        <v>43651</v>
      </c>
      <c r="F1387" s="8" t="s">
        <v>207</v>
      </c>
      <c r="G1387" s="19" t="s">
        <v>131</v>
      </c>
      <c r="H1387" s="18">
        <f ca="1">ROUNDDOWN(表3[[#This Row],[日期]]-TODAY(),1)</f>
        <v>3</v>
      </c>
    </row>
    <row r="1388" spans="1:8" hidden="1" x14ac:dyDescent="0.2">
      <c r="A1388" s="19" t="s">
        <v>904</v>
      </c>
      <c r="B1388" s="41">
        <v>43653</v>
      </c>
      <c r="C1388" s="11">
        <v>1</v>
      </c>
      <c r="D1388" s="12" t="s">
        <v>911</v>
      </c>
      <c r="E1388" s="10">
        <v>43630</v>
      </c>
      <c r="F1388" s="8" t="s">
        <v>918</v>
      </c>
      <c r="G1388" s="19"/>
      <c r="H1388" s="18">
        <f ca="1">ROUNDDOWN(表3[[#This Row],[日期]]-TODAY(),1)</f>
        <v>-18</v>
      </c>
    </row>
    <row r="1389" spans="1:8" hidden="1" x14ac:dyDescent="0.2">
      <c r="A1389" s="19" t="s">
        <v>904</v>
      </c>
      <c r="B1389" s="41">
        <v>43653</v>
      </c>
      <c r="C1389" s="11">
        <v>2</v>
      </c>
      <c r="D1389" s="12" t="s">
        <v>912</v>
      </c>
      <c r="E1389" s="10">
        <v>43630</v>
      </c>
      <c r="F1389" s="8" t="s">
        <v>918</v>
      </c>
      <c r="G1389" s="19"/>
      <c r="H1389" s="18">
        <f ca="1">ROUNDDOWN(表3[[#This Row],[日期]]-TODAY(),1)</f>
        <v>-18</v>
      </c>
    </row>
    <row r="1390" spans="1:8" hidden="1" x14ac:dyDescent="0.2">
      <c r="A1390" s="19" t="s">
        <v>904</v>
      </c>
      <c r="B1390" s="41">
        <v>43653</v>
      </c>
      <c r="C1390" s="11">
        <v>3</v>
      </c>
      <c r="D1390" s="12" t="s">
        <v>913</v>
      </c>
      <c r="E1390" s="10">
        <v>43633</v>
      </c>
      <c r="F1390" s="8" t="s">
        <v>260</v>
      </c>
      <c r="G1390" s="19" t="s">
        <v>1387</v>
      </c>
      <c r="H1390" s="18">
        <f ca="1">ROUNDDOWN(表3[[#This Row],[日期]]-TODAY(),1)</f>
        <v>-15</v>
      </c>
    </row>
    <row r="1391" spans="1:8" hidden="1" x14ac:dyDescent="0.2">
      <c r="A1391" s="19" t="s">
        <v>904</v>
      </c>
      <c r="B1391" s="41">
        <v>43653</v>
      </c>
      <c r="C1391" s="11">
        <v>4</v>
      </c>
      <c r="D1391" s="12" t="s">
        <v>899</v>
      </c>
      <c r="E1391" s="10">
        <v>43647</v>
      </c>
      <c r="F1391" s="8" t="s">
        <v>260</v>
      </c>
      <c r="G1391" s="19"/>
      <c r="H1391" s="18">
        <f ca="1">ROUNDDOWN(表3[[#This Row],[日期]]-TODAY(),1)</f>
        <v>-1</v>
      </c>
    </row>
    <row r="1392" spans="1:8" hidden="1" x14ac:dyDescent="0.2">
      <c r="A1392" s="19" t="s">
        <v>904</v>
      </c>
      <c r="B1392" s="41">
        <v>43653</v>
      </c>
      <c r="C1392" s="11">
        <v>5</v>
      </c>
      <c r="D1392" s="12" t="s">
        <v>915</v>
      </c>
      <c r="E1392" s="10">
        <v>43647</v>
      </c>
      <c r="F1392" s="8" t="s">
        <v>260</v>
      </c>
      <c r="G1392" s="19" t="s">
        <v>1386</v>
      </c>
      <c r="H1392" s="18">
        <f ca="1">ROUNDDOWN(表3[[#This Row],[日期]]-TODAY(),1)</f>
        <v>-1</v>
      </c>
    </row>
    <row r="1393" spans="1:8" hidden="1" x14ac:dyDescent="0.2">
      <c r="A1393" s="19" t="s">
        <v>904</v>
      </c>
      <c r="B1393" s="41">
        <v>43653</v>
      </c>
      <c r="C1393" s="11">
        <v>6</v>
      </c>
      <c r="D1393" s="12"/>
      <c r="E1393" s="10"/>
      <c r="F1393" s="8"/>
      <c r="G1393" s="19"/>
      <c r="H1393" s="18">
        <f ca="1">ROUNDDOWN(表3[[#This Row],[日期]]-TODAY(),1)</f>
        <v>-43648</v>
      </c>
    </row>
    <row r="1394" spans="1:8" hidden="1" x14ac:dyDescent="0.2">
      <c r="A1394" s="19" t="s">
        <v>904</v>
      </c>
      <c r="B1394" s="41">
        <v>43653</v>
      </c>
      <c r="C1394" s="11">
        <v>7</v>
      </c>
      <c r="D1394" s="12" t="s">
        <v>920</v>
      </c>
      <c r="E1394" s="10">
        <v>43651</v>
      </c>
      <c r="F1394" s="8" t="s">
        <v>207</v>
      </c>
      <c r="G1394" s="19" t="s">
        <v>919</v>
      </c>
      <c r="H1394" s="18">
        <f ca="1">ROUNDDOWN(表3[[#This Row],[日期]]-TODAY(),1)</f>
        <v>3</v>
      </c>
    </row>
    <row r="1395" spans="1:8" hidden="1" x14ac:dyDescent="0.2">
      <c r="A1395" s="19" t="s">
        <v>904</v>
      </c>
      <c r="B1395" s="41">
        <v>43653</v>
      </c>
      <c r="C1395" s="11">
        <v>8</v>
      </c>
      <c r="D1395" s="12" t="s">
        <v>921</v>
      </c>
      <c r="E1395" s="10">
        <v>43651</v>
      </c>
      <c r="F1395" s="8" t="s">
        <v>207</v>
      </c>
      <c r="G1395" s="19" t="s">
        <v>919</v>
      </c>
      <c r="H1395" s="18">
        <f ca="1">ROUNDDOWN(表3[[#This Row],[日期]]-TODAY(),1)</f>
        <v>3</v>
      </c>
    </row>
    <row r="1396" spans="1:8" hidden="1" x14ac:dyDescent="0.2">
      <c r="A1396" s="19" t="s">
        <v>904</v>
      </c>
      <c r="B1396" s="41">
        <v>43653</v>
      </c>
      <c r="C1396" s="11">
        <v>9</v>
      </c>
      <c r="D1396" s="12" t="s">
        <v>905</v>
      </c>
      <c r="E1396" s="10">
        <v>43651</v>
      </c>
      <c r="F1396" s="8" t="s">
        <v>207</v>
      </c>
      <c r="G1396" s="19" t="s">
        <v>919</v>
      </c>
      <c r="H1396" s="18">
        <f ca="1">ROUNDDOWN(表3[[#This Row],[日期]]-TODAY(),1)</f>
        <v>3</v>
      </c>
    </row>
    <row r="1397" spans="1:8" hidden="1" x14ac:dyDescent="0.2">
      <c r="A1397" s="19" t="s">
        <v>904</v>
      </c>
      <c r="B1397" s="41">
        <v>43653</v>
      </c>
      <c r="C1397" s="11">
        <v>10</v>
      </c>
      <c r="D1397" s="12" t="s">
        <v>906</v>
      </c>
      <c r="E1397" s="10">
        <v>43651</v>
      </c>
      <c r="F1397" s="8" t="s">
        <v>207</v>
      </c>
      <c r="G1397" s="19" t="s">
        <v>919</v>
      </c>
      <c r="H1397" s="18">
        <f ca="1">ROUNDDOWN(表3[[#This Row],[日期]]-TODAY(),1)</f>
        <v>3</v>
      </c>
    </row>
    <row r="1398" spans="1:8" hidden="1" x14ac:dyDescent="0.2">
      <c r="A1398" s="19" t="s">
        <v>904</v>
      </c>
      <c r="B1398" s="41">
        <v>43653</v>
      </c>
      <c r="C1398" s="11">
        <v>11</v>
      </c>
      <c r="D1398" s="12" t="s">
        <v>922</v>
      </c>
      <c r="E1398" s="10">
        <v>43657</v>
      </c>
      <c r="F1398" s="8" t="s">
        <v>207</v>
      </c>
      <c r="G1398" s="19" t="s">
        <v>919</v>
      </c>
      <c r="H1398" s="18">
        <f ca="1">ROUNDDOWN(表3[[#This Row],[日期]]-TODAY(),1)</f>
        <v>9</v>
      </c>
    </row>
    <row r="1399" spans="1:8" hidden="1" x14ac:dyDescent="0.2">
      <c r="A1399" s="19" t="s">
        <v>1325</v>
      </c>
      <c r="B1399" s="41">
        <v>43654</v>
      </c>
      <c r="C1399" s="11">
        <v>1</v>
      </c>
      <c r="D1399" s="12" t="s">
        <v>1287</v>
      </c>
      <c r="E1399" s="10">
        <v>43641</v>
      </c>
      <c r="F1399" s="8" t="s">
        <v>1</v>
      </c>
      <c r="G1399" s="19"/>
      <c r="H1399" s="18">
        <f ca="1">ROUNDDOWN(表3[[#This Row],[日期]]-TODAY(),1)</f>
        <v>-7</v>
      </c>
    </row>
    <row r="1400" spans="1:8" hidden="1" x14ac:dyDescent="0.2">
      <c r="A1400" s="19" t="s">
        <v>1288</v>
      </c>
      <c r="B1400" s="41">
        <v>43654</v>
      </c>
      <c r="C1400" s="11">
        <v>2</v>
      </c>
      <c r="D1400" s="12" t="s">
        <v>885</v>
      </c>
      <c r="E1400" s="10">
        <v>43641</v>
      </c>
      <c r="F1400" s="8" t="s">
        <v>1</v>
      </c>
      <c r="G1400" s="19"/>
      <c r="H1400" s="18">
        <f ca="1">ROUNDDOWN(表3[[#This Row],[日期]]-TODAY(),1)</f>
        <v>-7</v>
      </c>
    </row>
    <row r="1401" spans="1:8" hidden="1" x14ac:dyDescent="0.2">
      <c r="A1401" s="19" t="s">
        <v>1288</v>
      </c>
      <c r="B1401" s="41">
        <v>43654</v>
      </c>
      <c r="C1401" s="11">
        <v>3</v>
      </c>
      <c r="D1401" s="12" t="s">
        <v>1369</v>
      </c>
      <c r="E1401" s="10">
        <v>43646</v>
      </c>
      <c r="F1401" s="8" t="s">
        <v>260</v>
      </c>
      <c r="G1401" s="19"/>
      <c r="H1401" s="18">
        <f ca="1">ROUNDDOWN(表3[[#This Row],[日期]]-TODAY(),1)</f>
        <v>-2</v>
      </c>
    </row>
    <row r="1402" spans="1:8" hidden="1" x14ac:dyDescent="0.2">
      <c r="A1402" s="19" t="s">
        <v>1288</v>
      </c>
      <c r="B1402" s="41">
        <v>43654</v>
      </c>
      <c r="C1402" s="11">
        <v>4</v>
      </c>
      <c r="D1402" s="12" t="s">
        <v>1371</v>
      </c>
      <c r="E1402" s="10">
        <v>43648</v>
      </c>
      <c r="F1402" s="8" t="s">
        <v>208</v>
      </c>
      <c r="G1402" s="19"/>
      <c r="H1402" s="18">
        <f ca="1">ROUNDDOWN(表3[[#This Row],[日期]]-TODAY(),1)</f>
        <v>0</v>
      </c>
    </row>
    <row r="1403" spans="1:8" hidden="1" x14ac:dyDescent="0.2">
      <c r="A1403" s="19" t="s">
        <v>1288</v>
      </c>
      <c r="B1403" s="41">
        <v>43654</v>
      </c>
      <c r="C1403" s="11">
        <v>5</v>
      </c>
      <c r="D1403" s="12" t="s">
        <v>1392</v>
      </c>
      <c r="E1403" s="10">
        <v>43648</v>
      </c>
      <c r="F1403" s="8" t="s">
        <v>207</v>
      </c>
      <c r="G1403" s="19"/>
      <c r="H1403" s="18">
        <f ca="1">ROUNDDOWN(表3[[#This Row],[日期]]-TODAY(),1)</f>
        <v>0</v>
      </c>
    </row>
    <row r="1404" spans="1:8" hidden="1" x14ac:dyDescent="0.2">
      <c r="A1404" s="19" t="s">
        <v>1288</v>
      </c>
      <c r="B1404" s="41">
        <v>43654</v>
      </c>
      <c r="C1404" s="11">
        <v>5.0999999999999996</v>
      </c>
      <c r="D1404" s="12" t="s">
        <v>1378</v>
      </c>
      <c r="E1404" s="10">
        <v>43647</v>
      </c>
      <c r="F1404" s="8" t="s">
        <v>260</v>
      </c>
      <c r="G1404" s="19"/>
      <c r="H1404" s="18">
        <f ca="1">ROUNDDOWN(表3[[#This Row],[日期]]-TODAY(),1)</f>
        <v>-1</v>
      </c>
    </row>
    <row r="1405" spans="1:8" hidden="1" x14ac:dyDescent="0.2">
      <c r="A1405" s="22" t="s">
        <v>1288</v>
      </c>
      <c r="B1405" s="43">
        <v>43654</v>
      </c>
      <c r="C1405" s="23">
        <v>6</v>
      </c>
      <c r="D1405" s="24" t="s">
        <v>1362</v>
      </c>
      <c r="E1405" s="25">
        <v>43648</v>
      </c>
      <c r="F1405" s="26" t="s">
        <v>207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1288</v>
      </c>
      <c r="B1406" s="43">
        <v>43654</v>
      </c>
      <c r="C1406" s="23">
        <v>7</v>
      </c>
      <c r="D1406" s="24" t="s">
        <v>1401</v>
      </c>
      <c r="E1406" s="25">
        <v>43648</v>
      </c>
      <c r="F1406" s="26" t="s">
        <v>207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1288</v>
      </c>
      <c r="B1407" s="43">
        <v>43654</v>
      </c>
      <c r="C1407" s="23">
        <v>8</v>
      </c>
      <c r="D1407" s="24" t="s">
        <v>1396</v>
      </c>
      <c r="E1407" s="25">
        <v>43650</v>
      </c>
      <c r="F1407" s="26" t="s">
        <v>207</v>
      </c>
      <c r="G1407" s="22"/>
      <c r="H1407" s="21">
        <f ca="1">ROUNDDOWN(表3[[#This Row],[日期]]-TODAY(),1)</f>
        <v>2</v>
      </c>
    </row>
    <row r="1408" spans="1:8" hidden="1" x14ac:dyDescent="0.2">
      <c r="A1408" s="19" t="s">
        <v>1288</v>
      </c>
      <c r="B1408" s="41">
        <v>43654</v>
      </c>
      <c r="C1408" s="11">
        <v>9</v>
      </c>
      <c r="D1408" s="12" t="s">
        <v>1397</v>
      </c>
      <c r="E1408" s="10">
        <v>43650</v>
      </c>
      <c r="F1408" s="8" t="s">
        <v>208</v>
      </c>
      <c r="G1408" s="19"/>
      <c r="H1408" s="18">
        <f ca="1">ROUNDDOWN(表3[[#This Row],[日期]]-TODAY(),1)</f>
        <v>2</v>
      </c>
    </row>
    <row r="1409" spans="1:8" hidden="1" x14ac:dyDescent="0.2">
      <c r="A1409" s="19" t="s">
        <v>1288</v>
      </c>
      <c r="B1409" s="41">
        <v>43654</v>
      </c>
      <c r="C1409" s="11">
        <v>10</v>
      </c>
      <c r="D1409" s="12" t="s">
        <v>65</v>
      </c>
      <c r="E1409" s="10">
        <v>43650</v>
      </c>
      <c r="F1409" s="8" t="s">
        <v>207</v>
      </c>
      <c r="G1409" s="19"/>
      <c r="H1409" s="18">
        <f ca="1">ROUNDDOWN(表3[[#This Row],[日期]]-TODAY(),1)</f>
        <v>2</v>
      </c>
    </row>
    <row r="1410" spans="1:8" hidden="1" x14ac:dyDescent="0.2">
      <c r="A1410" s="19" t="s">
        <v>1288</v>
      </c>
      <c r="B1410" s="41">
        <v>43654</v>
      </c>
      <c r="C1410" s="11">
        <v>11</v>
      </c>
      <c r="D1410" s="12" t="s">
        <v>334</v>
      </c>
      <c r="E1410" s="10">
        <v>43650</v>
      </c>
      <c r="F1410" s="8" t="s">
        <v>207</v>
      </c>
      <c r="G1410" s="19"/>
      <c r="H1410" s="18">
        <f ca="1">ROUNDDOWN(表3[[#This Row],[日期]]-TODAY(),1)</f>
        <v>2</v>
      </c>
    </row>
    <row r="1411" spans="1:8" hidden="1" x14ac:dyDescent="0.2">
      <c r="A1411" s="19" t="s">
        <v>1288</v>
      </c>
      <c r="B1411" s="41">
        <v>43654</v>
      </c>
      <c r="C1411" s="11">
        <v>12</v>
      </c>
      <c r="D1411" s="12" t="s">
        <v>1130</v>
      </c>
      <c r="E1411" s="10">
        <v>43650</v>
      </c>
      <c r="F1411" s="8" t="s">
        <v>207</v>
      </c>
      <c r="G1411" s="19"/>
      <c r="H1411" s="18">
        <f ca="1">ROUNDDOWN(表3[[#This Row],[日期]]-TODAY(),1)</f>
        <v>2</v>
      </c>
    </row>
    <row r="1412" spans="1:8" hidden="1" x14ac:dyDescent="0.2">
      <c r="A1412" s="19" t="s">
        <v>1288</v>
      </c>
      <c r="B1412" s="41">
        <v>43654</v>
      </c>
      <c r="C1412" s="11">
        <v>13</v>
      </c>
      <c r="D1412" s="12" t="s">
        <v>336</v>
      </c>
      <c r="E1412" s="10">
        <v>43650</v>
      </c>
      <c r="F1412" s="8" t="s">
        <v>207</v>
      </c>
      <c r="G1412" s="19"/>
      <c r="H1412" s="18">
        <f ca="1">ROUNDDOWN(表3[[#This Row],[日期]]-TODAY(),1)</f>
        <v>2</v>
      </c>
    </row>
    <row r="1413" spans="1:8" hidden="1" x14ac:dyDescent="0.2">
      <c r="A1413" s="19" t="s">
        <v>1288</v>
      </c>
      <c r="B1413" s="41">
        <v>43654</v>
      </c>
      <c r="C1413" s="11">
        <v>14</v>
      </c>
      <c r="D1413" s="12" t="s">
        <v>291</v>
      </c>
      <c r="E1413" s="10">
        <v>43650</v>
      </c>
      <c r="F1413" s="8" t="s">
        <v>207</v>
      </c>
      <c r="G1413" s="19"/>
      <c r="H1413" s="18">
        <f ca="1">ROUNDDOWN(表3[[#This Row],[日期]]-TODAY(),1)</f>
        <v>2</v>
      </c>
    </row>
    <row r="1414" spans="1:8" hidden="1" x14ac:dyDescent="0.2">
      <c r="A1414" s="19" t="s">
        <v>1288</v>
      </c>
      <c r="B1414" s="41">
        <v>43654</v>
      </c>
      <c r="C1414" s="11">
        <v>15</v>
      </c>
      <c r="D1414" s="12" t="s">
        <v>293</v>
      </c>
      <c r="E1414" s="10">
        <v>43652</v>
      </c>
      <c r="F1414" s="8" t="s">
        <v>207</v>
      </c>
      <c r="G1414" s="19"/>
      <c r="H1414" s="18">
        <f ca="1">ROUNDDOWN(表3[[#This Row],[日期]]-TODAY(),1)</f>
        <v>4</v>
      </c>
    </row>
    <row r="1415" spans="1:8" hidden="1" x14ac:dyDescent="0.2">
      <c r="A1415" s="19" t="s">
        <v>1288</v>
      </c>
      <c r="B1415" s="41">
        <v>43654</v>
      </c>
      <c r="C1415" s="11">
        <v>16</v>
      </c>
      <c r="D1415" s="12" t="s">
        <v>295</v>
      </c>
      <c r="E1415" s="10">
        <v>43653</v>
      </c>
      <c r="F1415" s="8" t="s">
        <v>207</v>
      </c>
      <c r="G1415" s="19"/>
      <c r="H1415" s="18">
        <f ca="1">ROUNDDOWN(表3[[#This Row],[日期]]-TODAY(),1)</f>
        <v>5</v>
      </c>
    </row>
    <row r="1416" spans="1:8" hidden="1" x14ac:dyDescent="0.2">
      <c r="A1416" s="22" t="s">
        <v>1325</v>
      </c>
      <c r="B1416" s="43">
        <v>43654.041666666664</v>
      </c>
      <c r="C1416" s="23">
        <v>1</v>
      </c>
      <c r="D1416" s="24" t="s">
        <v>1361</v>
      </c>
      <c r="E1416" s="25">
        <v>43644</v>
      </c>
      <c r="F1416" s="26" t="s">
        <v>1</v>
      </c>
      <c r="G1416" s="22"/>
      <c r="H1416" s="21">
        <f ca="1">ROUNDDOWN(表3[[#This Row],[日期]]-TODAY(),1)</f>
        <v>-4</v>
      </c>
    </row>
    <row r="1417" spans="1:8" hidden="1" x14ac:dyDescent="0.2">
      <c r="A1417" s="19" t="s">
        <v>1288</v>
      </c>
      <c r="B1417" s="41">
        <v>43654.041666666664</v>
      </c>
      <c r="C1417" s="11">
        <v>2</v>
      </c>
      <c r="D1417" s="12" t="s">
        <v>1367</v>
      </c>
      <c r="E1417" s="10">
        <v>43646</v>
      </c>
      <c r="F1417" s="8" t="s">
        <v>260</v>
      </c>
      <c r="G1417" s="19"/>
      <c r="H1417" s="18">
        <f ca="1">ROUNDDOWN(表3[[#This Row],[日期]]-TODAY(),1)</f>
        <v>-2</v>
      </c>
    </row>
    <row r="1418" spans="1:8" hidden="1" x14ac:dyDescent="0.2">
      <c r="A1418" s="19" t="s">
        <v>1288</v>
      </c>
      <c r="B1418" s="41">
        <v>43654.041666666664</v>
      </c>
      <c r="C1418" s="11">
        <v>3</v>
      </c>
      <c r="D1418" s="12" t="s">
        <v>1365</v>
      </c>
      <c r="E1418" s="10">
        <v>43648</v>
      </c>
      <c r="F1418" s="8" t="s">
        <v>207</v>
      </c>
      <c r="G1418" s="19"/>
      <c r="H1418" s="18">
        <f ca="1">ROUNDDOWN(表3[[#This Row],[日期]]-TODAY(),1)</f>
        <v>0</v>
      </c>
    </row>
    <row r="1419" spans="1:8" hidden="1" x14ac:dyDescent="0.2">
      <c r="A1419" s="19" t="s">
        <v>1288</v>
      </c>
      <c r="B1419" s="41">
        <v>43654.041666666664</v>
      </c>
      <c r="C1419" s="11">
        <v>4</v>
      </c>
      <c r="D1419" s="12" t="s">
        <v>1363</v>
      </c>
      <c r="E1419" s="10">
        <v>43648</v>
      </c>
      <c r="F1419" s="8" t="s">
        <v>207</v>
      </c>
      <c r="G1419" s="19"/>
      <c r="H1419" s="18">
        <f ca="1">ROUNDDOWN(表3[[#This Row],[日期]]-TODAY(),1)</f>
        <v>0</v>
      </c>
    </row>
    <row r="1420" spans="1:8" hidden="1" x14ac:dyDescent="0.2">
      <c r="A1420" s="19" t="s">
        <v>1288</v>
      </c>
      <c r="B1420" s="41">
        <v>43654.041666666664</v>
      </c>
      <c r="C1420" s="11">
        <v>5</v>
      </c>
      <c r="D1420" s="12" t="s">
        <v>1129</v>
      </c>
      <c r="E1420" s="10">
        <v>43648</v>
      </c>
      <c r="F1420" s="8" t="s">
        <v>207</v>
      </c>
      <c r="G1420" s="19"/>
      <c r="H1420" s="18">
        <f ca="1">ROUNDDOWN(表3[[#This Row],[日期]]-TODAY(),1)</f>
        <v>0</v>
      </c>
    </row>
    <row r="1421" spans="1:8" hidden="1" x14ac:dyDescent="0.2">
      <c r="A1421" s="19" t="s">
        <v>1288</v>
      </c>
      <c r="B1421" s="41">
        <v>43654.041666666664</v>
      </c>
      <c r="C1421" s="11">
        <v>6</v>
      </c>
      <c r="D1421" s="12" t="s">
        <v>213</v>
      </c>
      <c r="E1421" s="10">
        <v>43648</v>
      </c>
      <c r="F1421" s="8" t="s">
        <v>207</v>
      </c>
      <c r="G1421" s="19"/>
      <c r="H1421" s="18">
        <f ca="1">ROUNDDOWN(表3[[#This Row],[日期]]-TODAY(),1)</f>
        <v>0</v>
      </c>
    </row>
    <row r="1422" spans="1:8" hidden="1" x14ac:dyDescent="0.2">
      <c r="A1422" s="19" t="s">
        <v>1288</v>
      </c>
      <c r="B1422" s="41">
        <v>43654.041666666664</v>
      </c>
      <c r="C1422" s="11">
        <v>7</v>
      </c>
      <c r="D1422" s="12" t="s">
        <v>332</v>
      </c>
      <c r="E1422" s="10">
        <v>43648</v>
      </c>
      <c r="F1422" s="8" t="s">
        <v>207</v>
      </c>
      <c r="G1422" s="19"/>
      <c r="H1422" s="18">
        <f ca="1">ROUNDDOWN(表3[[#This Row],[日期]]-TODAY(),1)</f>
        <v>0</v>
      </c>
    </row>
    <row r="1423" spans="1:8" hidden="1" x14ac:dyDescent="0.2">
      <c r="A1423" s="19" t="s">
        <v>1288</v>
      </c>
      <c r="B1423" s="41">
        <v>43654.041666666664</v>
      </c>
      <c r="C1423" s="11">
        <v>8</v>
      </c>
      <c r="D1423" s="12" t="s">
        <v>334</v>
      </c>
      <c r="E1423" s="10">
        <v>43648</v>
      </c>
      <c r="F1423" s="8" t="s">
        <v>207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1288</v>
      </c>
      <c r="B1424" s="41">
        <v>43654.041666666664</v>
      </c>
      <c r="C1424" s="11">
        <v>9</v>
      </c>
      <c r="D1424" s="12" t="s">
        <v>1130</v>
      </c>
      <c r="E1424" s="10">
        <v>43648</v>
      </c>
      <c r="F1424" s="8" t="s">
        <v>207</v>
      </c>
      <c r="G1424" s="19"/>
      <c r="H1424" s="18">
        <f ca="1">ROUNDDOWN(表3[[#This Row],[日期]]-TODAY(),1)</f>
        <v>0</v>
      </c>
    </row>
    <row r="1425" spans="1:8" hidden="1" x14ac:dyDescent="0.2">
      <c r="A1425" s="19" t="s">
        <v>1288</v>
      </c>
      <c r="B1425" s="41">
        <v>43654.041666666664</v>
      </c>
      <c r="C1425" s="11">
        <v>10</v>
      </c>
      <c r="D1425" s="12" t="s">
        <v>336</v>
      </c>
      <c r="E1425" s="10">
        <v>43648</v>
      </c>
      <c r="F1425" s="8" t="s">
        <v>207</v>
      </c>
      <c r="G1425" s="19"/>
      <c r="H1425" s="18">
        <f ca="1">ROUNDDOWN(表3[[#This Row],[日期]]-TODAY(),1)</f>
        <v>0</v>
      </c>
    </row>
    <row r="1426" spans="1:8" hidden="1" x14ac:dyDescent="0.2">
      <c r="A1426" s="19" t="s">
        <v>1288</v>
      </c>
      <c r="B1426" s="41">
        <v>43654.041666666664</v>
      </c>
      <c r="C1426" s="11">
        <v>11</v>
      </c>
      <c r="D1426" s="12" t="s">
        <v>291</v>
      </c>
      <c r="E1426" s="10">
        <v>43648</v>
      </c>
      <c r="F1426" s="8" t="s">
        <v>207</v>
      </c>
      <c r="G1426" s="19"/>
      <c r="H1426" s="18">
        <f ca="1">ROUNDDOWN(表3[[#This Row],[日期]]-TODAY(),1)</f>
        <v>0</v>
      </c>
    </row>
    <row r="1427" spans="1:8" hidden="1" x14ac:dyDescent="0.2">
      <c r="A1427" s="19" t="s">
        <v>1288</v>
      </c>
      <c r="B1427" s="41">
        <v>43654.041666666664</v>
      </c>
      <c r="C1427" s="11">
        <v>12</v>
      </c>
      <c r="D1427" s="12" t="s">
        <v>293</v>
      </c>
      <c r="E1427" s="10">
        <v>43652</v>
      </c>
      <c r="F1427" s="8" t="s">
        <v>207</v>
      </c>
      <c r="G1427" s="19"/>
      <c r="H1427" s="18">
        <f ca="1">ROUNDDOWN(表3[[#This Row],[日期]]-TODAY(),1)</f>
        <v>4</v>
      </c>
    </row>
    <row r="1428" spans="1:8" hidden="1" x14ac:dyDescent="0.2">
      <c r="A1428" s="19" t="s">
        <v>1288</v>
      </c>
      <c r="B1428" s="41">
        <v>43654.041666666664</v>
      </c>
      <c r="C1428" s="11">
        <v>13</v>
      </c>
      <c r="D1428" s="12" t="s">
        <v>295</v>
      </c>
      <c r="E1428" s="10">
        <v>43653</v>
      </c>
      <c r="F1428" s="8" t="s">
        <v>207</v>
      </c>
      <c r="G1428" s="19"/>
      <c r="H1428" s="18">
        <f ca="1">ROUNDDOWN(表3[[#This Row],[日期]]-TODAY(),1)</f>
        <v>5</v>
      </c>
    </row>
    <row r="1429" spans="1:8" hidden="1" x14ac:dyDescent="0.2">
      <c r="A1429" s="19" t="s">
        <v>1288</v>
      </c>
      <c r="B1429" s="41">
        <v>43654.041666666664</v>
      </c>
      <c r="C1429" s="11">
        <v>14</v>
      </c>
      <c r="D1429" s="12" t="s">
        <v>256</v>
      </c>
      <c r="E1429" s="10">
        <v>43654</v>
      </c>
      <c r="F1429" s="8" t="s">
        <v>207</v>
      </c>
      <c r="G1429" s="19"/>
      <c r="H1429" s="18">
        <f ca="1">ROUNDDOWN(表3[[#This Row],[日期]]-TODAY(),1)</f>
        <v>6</v>
      </c>
    </row>
    <row r="1430" spans="1:8" hidden="1" x14ac:dyDescent="0.2">
      <c r="A1430" s="19" t="s">
        <v>1288</v>
      </c>
      <c r="B1430" s="41">
        <v>43654.041666666664</v>
      </c>
      <c r="C1430" s="11">
        <v>15</v>
      </c>
      <c r="D1430" s="12" t="s">
        <v>328</v>
      </c>
      <c r="E1430" s="10">
        <v>43654</v>
      </c>
      <c r="F1430" s="8" t="s">
        <v>207</v>
      </c>
      <c r="G1430" s="19"/>
      <c r="H1430" s="18">
        <f ca="1">ROUNDDOWN(表3[[#This Row],[日期]]-TODAY(),1)</f>
        <v>6</v>
      </c>
    </row>
    <row r="1431" spans="1:8" hidden="1" x14ac:dyDescent="0.2">
      <c r="A1431" s="19" t="s">
        <v>1341</v>
      </c>
      <c r="B1431" s="41">
        <v>43654.083333333336</v>
      </c>
      <c r="C1431" s="11">
        <v>1</v>
      </c>
      <c r="D1431" s="12" t="s">
        <v>1360</v>
      </c>
      <c r="E1431" s="10">
        <v>43644</v>
      </c>
      <c r="F1431" s="8" t="s">
        <v>260</v>
      </c>
      <c r="G1431" s="19"/>
      <c r="H1431" s="18">
        <f ca="1">ROUNDDOWN(表3[[#This Row],[日期]]-TODAY(),1)</f>
        <v>-4</v>
      </c>
    </row>
    <row r="1432" spans="1:8" hidden="1" x14ac:dyDescent="0.2">
      <c r="A1432" s="19" t="s">
        <v>1341</v>
      </c>
      <c r="B1432" s="41">
        <v>43654.083333333336</v>
      </c>
      <c r="C1432" s="11">
        <v>2</v>
      </c>
      <c r="D1432" s="12" t="s">
        <v>1366</v>
      </c>
      <c r="E1432" s="10">
        <v>43646</v>
      </c>
      <c r="F1432" s="8" t="s">
        <v>260</v>
      </c>
      <c r="G1432" s="19"/>
      <c r="H1432" s="18">
        <f ca="1">ROUNDDOWN(表3[[#This Row],[日期]]-TODAY(),1)</f>
        <v>-2</v>
      </c>
    </row>
    <row r="1433" spans="1:8" hidden="1" x14ac:dyDescent="0.2">
      <c r="A1433" s="19" t="s">
        <v>1341</v>
      </c>
      <c r="B1433" s="41">
        <v>43654.083333333336</v>
      </c>
      <c r="C1433" s="11">
        <v>3</v>
      </c>
      <c r="D1433" s="12" t="s">
        <v>1364</v>
      </c>
      <c r="E1433" s="10">
        <v>43648</v>
      </c>
      <c r="F1433" s="8" t="s">
        <v>207</v>
      </c>
      <c r="G1433" s="19"/>
      <c r="H1433" s="18">
        <f ca="1">ROUNDDOWN(表3[[#This Row],[日期]]-TODAY(),1)</f>
        <v>0</v>
      </c>
    </row>
    <row r="1434" spans="1:8" hidden="1" x14ac:dyDescent="0.2">
      <c r="A1434" s="19" t="s">
        <v>1341</v>
      </c>
      <c r="B1434" s="41">
        <v>43654.083333333336</v>
      </c>
      <c r="C1434" s="11">
        <v>4</v>
      </c>
      <c r="D1434" s="12" t="s">
        <v>1362</v>
      </c>
      <c r="E1434" s="10">
        <v>43648</v>
      </c>
      <c r="F1434" s="8" t="s">
        <v>207</v>
      </c>
      <c r="G1434" s="19"/>
      <c r="H1434" s="18">
        <f ca="1">ROUNDDOWN(表3[[#This Row],[日期]]-TODAY(),1)</f>
        <v>0</v>
      </c>
    </row>
    <row r="1435" spans="1:8" hidden="1" x14ac:dyDescent="0.2">
      <c r="A1435" s="19" t="s">
        <v>1341</v>
      </c>
      <c r="B1435" s="41">
        <v>43654.083333333336</v>
      </c>
      <c r="C1435" s="11">
        <v>5</v>
      </c>
      <c r="D1435" s="12" t="s">
        <v>1129</v>
      </c>
      <c r="E1435" s="10">
        <v>43648</v>
      </c>
      <c r="F1435" s="8" t="s">
        <v>207</v>
      </c>
      <c r="G1435" s="19" t="s">
        <v>152</v>
      </c>
      <c r="H1435" s="18">
        <f ca="1">ROUNDDOWN(表3[[#This Row],[日期]]-TODAY(),1)</f>
        <v>0</v>
      </c>
    </row>
    <row r="1436" spans="1:8" hidden="1" x14ac:dyDescent="0.2">
      <c r="A1436" s="22" t="s">
        <v>1341</v>
      </c>
      <c r="B1436" s="43">
        <v>43654.083333333336</v>
      </c>
      <c r="C1436" s="23">
        <v>6</v>
      </c>
      <c r="D1436" s="24" t="s">
        <v>213</v>
      </c>
      <c r="E1436" s="25">
        <v>43648</v>
      </c>
      <c r="F1436" s="26" t="s">
        <v>207</v>
      </c>
      <c r="G1436" s="22"/>
      <c r="H1436" s="21">
        <f ca="1">ROUNDDOWN(表3[[#This Row],[日期]]-TODAY(),1)</f>
        <v>0</v>
      </c>
    </row>
    <row r="1437" spans="1:8" hidden="1" x14ac:dyDescent="0.2">
      <c r="A1437" s="22" t="s">
        <v>1341</v>
      </c>
      <c r="B1437" s="43">
        <v>43654.083333333336</v>
      </c>
      <c r="C1437" s="23">
        <v>7</v>
      </c>
      <c r="D1437" s="24" t="s">
        <v>332</v>
      </c>
      <c r="E1437" s="25">
        <v>43648</v>
      </c>
      <c r="F1437" s="26" t="s">
        <v>207</v>
      </c>
      <c r="G1437" s="22" t="s">
        <v>333</v>
      </c>
      <c r="H1437" s="21">
        <f ca="1">ROUNDDOWN(表3[[#This Row],[日期]]-TODAY(),1)</f>
        <v>0</v>
      </c>
    </row>
    <row r="1438" spans="1:8" hidden="1" x14ac:dyDescent="0.2">
      <c r="A1438" s="22" t="s">
        <v>1341</v>
      </c>
      <c r="B1438" s="43">
        <v>43654.083333333336</v>
      </c>
      <c r="C1438" s="23">
        <v>8</v>
      </c>
      <c r="D1438" s="24" t="s">
        <v>334</v>
      </c>
      <c r="E1438" s="25">
        <v>43648</v>
      </c>
      <c r="F1438" s="26" t="s">
        <v>207</v>
      </c>
      <c r="G1438" s="22" t="s">
        <v>333</v>
      </c>
      <c r="H1438" s="21">
        <f ca="1">ROUNDDOWN(表3[[#This Row],[日期]]-TODAY(),1)</f>
        <v>0</v>
      </c>
    </row>
    <row r="1439" spans="1:8" hidden="1" x14ac:dyDescent="0.2">
      <c r="A1439" s="22" t="s">
        <v>1341</v>
      </c>
      <c r="B1439" s="43">
        <v>43654.083333333336</v>
      </c>
      <c r="C1439" s="23">
        <v>9</v>
      </c>
      <c r="D1439" s="24" t="s">
        <v>1130</v>
      </c>
      <c r="E1439" s="25">
        <v>43648</v>
      </c>
      <c r="F1439" s="26" t="s">
        <v>207</v>
      </c>
      <c r="G1439" s="22" t="s">
        <v>333</v>
      </c>
      <c r="H1439" s="21">
        <f ca="1">ROUNDDOWN(表3[[#This Row],[日期]]-TODAY(),1)</f>
        <v>0</v>
      </c>
    </row>
    <row r="1440" spans="1:8" hidden="1" x14ac:dyDescent="0.2">
      <c r="A1440" s="22" t="s">
        <v>1341</v>
      </c>
      <c r="B1440" s="41">
        <v>43654.083333333336</v>
      </c>
      <c r="C1440" s="23">
        <v>10</v>
      </c>
      <c r="D1440" s="24" t="s">
        <v>336</v>
      </c>
      <c r="E1440" s="25">
        <v>43648</v>
      </c>
      <c r="F1440" s="26" t="s">
        <v>207</v>
      </c>
      <c r="G1440" s="22" t="s">
        <v>333</v>
      </c>
      <c r="H1440" s="21">
        <f ca="1">ROUNDDOWN(表3[[#This Row],[日期]]-TODAY(),1)</f>
        <v>0</v>
      </c>
    </row>
    <row r="1441" spans="1:8" hidden="1" x14ac:dyDescent="0.2">
      <c r="A1441" s="22" t="s">
        <v>1341</v>
      </c>
      <c r="B1441" s="43">
        <v>43654.083333333336</v>
      </c>
      <c r="C1441" s="23">
        <v>11</v>
      </c>
      <c r="D1441" s="24" t="s">
        <v>291</v>
      </c>
      <c r="E1441" s="25">
        <v>43648</v>
      </c>
      <c r="F1441" s="26" t="s">
        <v>207</v>
      </c>
      <c r="G1441" s="22"/>
      <c r="H1441" s="21">
        <f ca="1">ROUNDDOWN(表3[[#This Row],[日期]]-TODAY(),1)</f>
        <v>0</v>
      </c>
    </row>
    <row r="1442" spans="1:8" hidden="1" x14ac:dyDescent="0.2">
      <c r="A1442" s="22" t="s">
        <v>1341</v>
      </c>
      <c r="B1442" s="43">
        <v>43654.083333333336</v>
      </c>
      <c r="C1442" s="23">
        <v>12</v>
      </c>
      <c r="D1442" s="24" t="s">
        <v>293</v>
      </c>
      <c r="E1442" s="25">
        <v>43652</v>
      </c>
      <c r="F1442" s="26" t="s">
        <v>207</v>
      </c>
      <c r="G1442" s="22"/>
      <c r="H1442" s="21">
        <f ca="1">ROUNDDOWN(表3[[#This Row],[日期]]-TODAY(),1)</f>
        <v>4</v>
      </c>
    </row>
    <row r="1443" spans="1:8" hidden="1" x14ac:dyDescent="0.2">
      <c r="A1443" s="22" t="s">
        <v>1341</v>
      </c>
      <c r="B1443" s="43">
        <v>43654.083333333336</v>
      </c>
      <c r="C1443" s="23">
        <v>13</v>
      </c>
      <c r="D1443" s="24" t="s">
        <v>295</v>
      </c>
      <c r="E1443" s="25">
        <v>43653</v>
      </c>
      <c r="F1443" s="26" t="s">
        <v>207</v>
      </c>
      <c r="G1443" s="22"/>
      <c r="H1443" s="21">
        <f ca="1">ROUNDDOWN(表3[[#This Row],[日期]]-TODAY(),1)</f>
        <v>5</v>
      </c>
    </row>
    <row r="1444" spans="1:8" hidden="1" x14ac:dyDescent="0.2">
      <c r="A1444" s="22" t="s">
        <v>1341</v>
      </c>
      <c r="B1444" s="43">
        <v>43654.083333333336</v>
      </c>
      <c r="C1444" s="23">
        <v>14</v>
      </c>
      <c r="D1444" s="24" t="s">
        <v>256</v>
      </c>
      <c r="E1444" s="25">
        <v>43654</v>
      </c>
      <c r="F1444" s="26" t="s">
        <v>207</v>
      </c>
      <c r="G1444" s="22"/>
      <c r="H1444" s="21">
        <f ca="1">ROUNDDOWN(表3[[#This Row],[日期]]-TODAY(),1)</f>
        <v>6</v>
      </c>
    </row>
    <row r="1445" spans="1:8" hidden="1" x14ac:dyDescent="0.2">
      <c r="A1445" s="22" t="s">
        <v>1341</v>
      </c>
      <c r="B1445" s="43">
        <v>43654.083333333336</v>
      </c>
      <c r="C1445" s="23">
        <v>15</v>
      </c>
      <c r="D1445" s="24" t="s">
        <v>328</v>
      </c>
      <c r="E1445" s="25">
        <v>43654</v>
      </c>
      <c r="F1445" s="26" t="s">
        <v>207</v>
      </c>
      <c r="G1445" s="22"/>
      <c r="H1445" s="21">
        <f ca="1">ROUNDDOWN(表3[[#This Row],[日期]]-TODAY(),1)</f>
        <v>6</v>
      </c>
    </row>
    <row r="1446" spans="1:8" hidden="1" x14ac:dyDescent="0.2">
      <c r="A1446" s="22" t="s">
        <v>1285</v>
      </c>
      <c r="B1446" s="43">
        <v>43656</v>
      </c>
      <c r="C1446" s="23">
        <v>1</v>
      </c>
      <c r="D1446" s="24" t="s">
        <v>418</v>
      </c>
      <c r="E1446" s="25">
        <v>43643</v>
      </c>
      <c r="F1446" s="26" t="s">
        <v>1274</v>
      </c>
      <c r="G1446" s="22"/>
      <c r="H1446" s="21">
        <f ca="1">ROUNDDOWN(表3[[#This Row],[日期]]-TODAY(),1)</f>
        <v>-5</v>
      </c>
    </row>
    <row r="1447" spans="1:8" hidden="1" x14ac:dyDescent="0.2">
      <c r="A1447" s="22" t="s">
        <v>1285</v>
      </c>
      <c r="B1447" s="43">
        <v>43656</v>
      </c>
      <c r="C1447" s="23">
        <v>2</v>
      </c>
      <c r="D1447" s="24" t="s">
        <v>1125</v>
      </c>
      <c r="E1447" s="25">
        <v>43649</v>
      </c>
      <c r="F1447" s="26" t="s">
        <v>207</v>
      </c>
      <c r="G1447" s="22"/>
      <c r="H1447" s="21">
        <f ca="1">ROUNDDOWN(表3[[#This Row],[日期]]-TODAY(),1)</f>
        <v>1</v>
      </c>
    </row>
    <row r="1448" spans="1:8" hidden="1" x14ac:dyDescent="0.2">
      <c r="A1448" s="19" t="s">
        <v>1285</v>
      </c>
      <c r="B1448" s="41">
        <v>43656</v>
      </c>
      <c r="C1448" s="11">
        <v>3</v>
      </c>
      <c r="D1448" s="12" t="s">
        <v>21</v>
      </c>
      <c r="E1448" s="10">
        <v>43649</v>
      </c>
      <c r="F1448" s="8" t="s">
        <v>207</v>
      </c>
      <c r="G1448" s="19"/>
      <c r="H1448" s="18">
        <f ca="1">ROUNDDOWN(表3[[#This Row],[日期]]-TODAY(),1)</f>
        <v>1</v>
      </c>
    </row>
    <row r="1449" spans="1:8" hidden="1" x14ac:dyDescent="0.2">
      <c r="A1449" s="19" t="s">
        <v>1285</v>
      </c>
      <c r="B1449" s="41">
        <v>43656</v>
      </c>
      <c r="C1449" s="11">
        <v>4</v>
      </c>
      <c r="D1449" s="12" t="s">
        <v>148</v>
      </c>
      <c r="E1449" s="10">
        <v>43650</v>
      </c>
      <c r="F1449" s="8" t="s">
        <v>207</v>
      </c>
      <c r="G1449" s="19" t="s">
        <v>136</v>
      </c>
      <c r="H1449" s="18">
        <f ca="1">ROUNDDOWN(表3[[#This Row],[日期]]-TODAY(),1)</f>
        <v>2</v>
      </c>
    </row>
    <row r="1450" spans="1:8" hidden="1" x14ac:dyDescent="0.2">
      <c r="A1450" s="19" t="s">
        <v>1285</v>
      </c>
      <c r="B1450" s="41">
        <v>43656</v>
      </c>
      <c r="C1450" s="11">
        <v>5</v>
      </c>
      <c r="D1450" s="12" t="s">
        <v>139</v>
      </c>
      <c r="E1450" s="10">
        <v>43650</v>
      </c>
      <c r="F1450" s="8" t="s">
        <v>207</v>
      </c>
      <c r="G1450" s="19"/>
      <c r="H1450" s="18">
        <f ca="1">ROUNDDOWN(表3[[#This Row],[日期]]-TODAY(),1)</f>
        <v>2</v>
      </c>
    </row>
    <row r="1451" spans="1:8" hidden="1" x14ac:dyDescent="0.2">
      <c r="A1451" s="19" t="s">
        <v>1285</v>
      </c>
      <c r="B1451" s="41">
        <v>43656</v>
      </c>
      <c r="C1451" s="11">
        <v>6</v>
      </c>
      <c r="D1451" s="12" t="s">
        <v>1126</v>
      </c>
      <c r="E1451" s="10">
        <v>43650</v>
      </c>
      <c r="F1451" s="8" t="s">
        <v>207</v>
      </c>
      <c r="G1451" s="19"/>
      <c r="H1451" s="18">
        <f ca="1">ROUNDDOWN(表3[[#This Row],[日期]]-TODAY(),1)</f>
        <v>2</v>
      </c>
    </row>
    <row r="1452" spans="1:8" hidden="1" x14ac:dyDescent="0.2">
      <c r="A1452" s="19" t="s">
        <v>1285</v>
      </c>
      <c r="B1452" s="41">
        <v>43656</v>
      </c>
      <c r="C1452" s="11">
        <v>7</v>
      </c>
      <c r="D1452" s="12" t="s">
        <v>332</v>
      </c>
      <c r="E1452" s="10">
        <v>43650</v>
      </c>
      <c r="F1452" s="8" t="s">
        <v>207</v>
      </c>
      <c r="G1452" s="19" t="s">
        <v>333</v>
      </c>
      <c r="H1452" s="18">
        <f ca="1">ROUNDDOWN(表3[[#This Row],[日期]]-TODAY(),1)</f>
        <v>2</v>
      </c>
    </row>
    <row r="1453" spans="1:8" hidden="1" x14ac:dyDescent="0.2">
      <c r="A1453" s="19" t="s">
        <v>154</v>
      </c>
      <c r="B1453" s="41">
        <v>43656</v>
      </c>
      <c r="C1453" s="11">
        <v>7.1</v>
      </c>
      <c r="D1453" s="12" t="s">
        <v>1306</v>
      </c>
      <c r="E1453" s="10">
        <v>43652</v>
      </c>
      <c r="F1453" s="8" t="s">
        <v>1303</v>
      </c>
      <c r="G1453" s="19" t="s">
        <v>1304</v>
      </c>
      <c r="H1453" s="18">
        <f ca="1">ROUNDDOWN(表3[[#This Row],[日期]]-TODAY(),1)</f>
        <v>4</v>
      </c>
    </row>
    <row r="1454" spans="1:8" hidden="1" x14ac:dyDescent="0.2">
      <c r="A1454" s="19" t="s">
        <v>1285</v>
      </c>
      <c r="B1454" s="41">
        <v>43656</v>
      </c>
      <c r="C1454" s="11">
        <v>8</v>
      </c>
      <c r="D1454" s="12" t="s">
        <v>334</v>
      </c>
      <c r="E1454" s="10">
        <v>43654</v>
      </c>
      <c r="F1454" s="8" t="s">
        <v>207</v>
      </c>
      <c r="G1454" s="19" t="s">
        <v>333</v>
      </c>
      <c r="H1454" s="18">
        <f ca="1">ROUNDDOWN(表3[[#This Row],[日期]]-TODAY(),1)</f>
        <v>6</v>
      </c>
    </row>
    <row r="1455" spans="1:8" hidden="1" x14ac:dyDescent="0.2">
      <c r="A1455" s="19" t="s">
        <v>1285</v>
      </c>
      <c r="B1455" s="41">
        <v>43656</v>
      </c>
      <c r="C1455" s="11">
        <v>9</v>
      </c>
      <c r="D1455" s="12" t="s">
        <v>330</v>
      </c>
      <c r="E1455" s="10">
        <v>43651</v>
      </c>
      <c r="F1455" s="8" t="s">
        <v>207</v>
      </c>
      <c r="G1455" s="19" t="s">
        <v>142</v>
      </c>
      <c r="H1455" s="18">
        <f ca="1">ROUNDDOWN(表3[[#This Row],[日期]]-TODAY(),1)</f>
        <v>3</v>
      </c>
    </row>
    <row r="1456" spans="1:8" hidden="1" x14ac:dyDescent="0.2">
      <c r="A1456" s="19" t="s">
        <v>1285</v>
      </c>
      <c r="B1456" s="41">
        <v>43656</v>
      </c>
      <c r="C1456" s="11">
        <v>10</v>
      </c>
      <c r="D1456" s="12" t="s">
        <v>1127</v>
      </c>
      <c r="E1456" s="10">
        <v>43651</v>
      </c>
      <c r="F1456" s="8" t="s">
        <v>207</v>
      </c>
      <c r="G1456" s="19"/>
      <c r="H1456" s="18">
        <f ca="1">ROUNDDOWN(表3[[#This Row],[日期]]-TODAY(),1)</f>
        <v>3</v>
      </c>
    </row>
    <row r="1457" spans="1:8" hidden="1" x14ac:dyDescent="0.2">
      <c r="A1457" s="19" t="s">
        <v>1285</v>
      </c>
      <c r="B1457" s="41">
        <v>43656</v>
      </c>
      <c r="C1457" s="11">
        <v>11</v>
      </c>
      <c r="D1457" s="12" t="s">
        <v>1128</v>
      </c>
      <c r="E1457" s="10">
        <v>43651</v>
      </c>
      <c r="F1457" s="8" t="s">
        <v>207</v>
      </c>
      <c r="G1457" s="19"/>
      <c r="H1457" s="18">
        <f ca="1">ROUNDDOWN(表3[[#This Row],[日期]]-TODAY(),1)</f>
        <v>3</v>
      </c>
    </row>
    <row r="1458" spans="1:8" hidden="1" x14ac:dyDescent="0.2">
      <c r="A1458" s="19" t="s">
        <v>1285</v>
      </c>
      <c r="B1458" s="41">
        <v>43656</v>
      </c>
      <c r="C1458" s="11">
        <v>12</v>
      </c>
      <c r="D1458" s="12" t="s">
        <v>1129</v>
      </c>
      <c r="E1458" s="10">
        <v>43654</v>
      </c>
      <c r="F1458" s="8" t="s">
        <v>207</v>
      </c>
      <c r="G1458" s="19" t="s">
        <v>152</v>
      </c>
      <c r="H1458" s="18">
        <f ca="1">ROUNDDOWN(表3[[#This Row],[日期]]-TODAY(),1)</f>
        <v>6</v>
      </c>
    </row>
    <row r="1459" spans="1:8" hidden="1" x14ac:dyDescent="0.2">
      <c r="A1459" s="19" t="s">
        <v>1285</v>
      </c>
      <c r="B1459" s="41">
        <v>43656</v>
      </c>
      <c r="C1459" s="11">
        <v>13</v>
      </c>
      <c r="D1459" s="12" t="s">
        <v>213</v>
      </c>
      <c r="E1459" s="10">
        <v>43654</v>
      </c>
      <c r="F1459" s="8" t="s">
        <v>207</v>
      </c>
      <c r="G1459" s="19"/>
      <c r="H1459" s="18">
        <f ca="1">ROUNDDOWN(表3[[#This Row],[日期]]-TODAY(),1)</f>
        <v>6</v>
      </c>
    </row>
    <row r="1460" spans="1:8" hidden="1" x14ac:dyDescent="0.2">
      <c r="A1460" s="19" t="s">
        <v>1285</v>
      </c>
      <c r="B1460" s="41">
        <v>43656</v>
      </c>
      <c r="C1460" s="11">
        <v>14</v>
      </c>
      <c r="D1460" s="12" t="s">
        <v>1130</v>
      </c>
      <c r="E1460" s="10">
        <v>43654</v>
      </c>
      <c r="F1460" s="8" t="s">
        <v>207</v>
      </c>
      <c r="G1460" s="19" t="s">
        <v>333</v>
      </c>
      <c r="H1460" s="18">
        <f ca="1">ROUNDDOWN(表3[[#This Row],[日期]]-TODAY(),1)</f>
        <v>6</v>
      </c>
    </row>
    <row r="1461" spans="1:8" hidden="1" x14ac:dyDescent="0.2">
      <c r="A1461" s="19" t="s">
        <v>1285</v>
      </c>
      <c r="B1461" s="41">
        <v>43656</v>
      </c>
      <c r="C1461" s="11">
        <v>15</v>
      </c>
      <c r="D1461" s="12" t="s">
        <v>336</v>
      </c>
      <c r="E1461" s="10">
        <v>43654</v>
      </c>
      <c r="F1461" s="8" t="s">
        <v>207</v>
      </c>
      <c r="G1461" s="19" t="s">
        <v>333</v>
      </c>
      <c r="H1461" s="18">
        <f ca="1">ROUNDDOWN(表3[[#This Row],[日期]]-TODAY(),1)</f>
        <v>6</v>
      </c>
    </row>
    <row r="1462" spans="1:8" hidden="1" x14ac:dyDescent="0.2">
      <c r="A1462" s="19" t="s">
        <v>1285</v>
      </c>
      <c r="B1462" s="41">
        <v>43656</v>
      </c>
      <c r="C1462" s="11">
        <v>16</v>
      </c>
      <c r="D1462" s="12" t="s">
        <v>291</v>
      </c>
      <c r="E1462" s="10">
        <v>43654</v>
      </c>
      <c r="F1462" s="8" t="s">
        <v>207</v>
      </c>
      <c r="G1462" s="19"/>
      <c r="H1462" s="18">
        <f ca="1">ROUNDDOWN(表3[[#This Row],[日期]]-TODAY(),1)</f>
        <v>6</v>
      </c>
    </row>
    <row r="1463" spans="1:8" hidden="1" x14ac:dyDescent="0.2">
      <c r="A1463" s="19" t="s">
        <v>1285</v>
      </c>
      <c r="B1463" s="41">
        <v>43656</v>
      </c>
      <c r="C1463" s="11">
        <v>17</v>
      </c>
      <c r="D1463" s="12" t="s">
        <v>293</v>
      </c>
      <c r="E1463" s="10">
        <v>43655</v>
      </c>
      <c r="F1463" s="8" t="s">
        <v>207</v>
      </c>
      <c r="G1463" s="19"/>
      <c r="H1463" s="18">
        <f ca="1">ROUNDDOWN(表3[[#This Row],[日期]]-TODAY(),1)</f>
        <v>7</v>
      </c>
    </row>
    <row r="1464" spans="1:8" hidden="1" x14ac:dyDescent="0.2">
      <c r="A1464" s="19" t="s">
        <v>1285</v>
      </c>
      <c r="B1464" s="41">
        <v>43656</v>
      </c>
      <c r="C1464" s="11">
        <v>18</v>
      </c>
      <c r="D1464" s="12" t="s">
        <v>295</v>
      </c>
      <c r="E1464" s="10">
        <v>43655</v>
      </c>
      <c r="F1464" s="8" t="s">
        <v>207</v>
      </c>
      <c r="G1464" s="19"/>
      <c r="H1464" s="18">
        <f ca="1">ROUNDDOWN(表3[[#This Row],[日期]]-TODAY(),1)</f>
        <v>7</v>
      </c>
    </row>
    <row r="1465" spans="1:8" hidden="1" x14ac:dyDescent="0.2">
      <c r="A1465" s="19" t="s">
        <v>1285</v>
      </c>
      <c r="B1465" s="41">
        <v>43656</v>
      </c>
      <c r="C1465" s="11">
        <v>19</v>
      </c>
      <c r="D1465" s="12" t="s">
        <v>256</v>
      </c>
      <c r="E1465" s="10">
        <v>43655</v>
      </c>
      <c r="F1465" s="8" t="s">
        <v>207</v>
      </c>
      <c r="G1465" s="19"/>
      <c r="H1465" s="18">
        <f ca="1">ROUNDDOWN(表3[[#This Row],[日期]]-TODAY(),1)</f>
        <v>7</v>
      </c>
    </row>
    <row r="1466" spans="1:8" hidden="1" x14ac:dyDescent="0.2">
      <c r="A1466" s="19" t="s">
        <v>1285</v>
      </c>
      <c r="B1466" s="41">
        <v>43656</v>
      </c>
      <c r="C1466" s="11">
        <v>20</v>
      </c>
      <c r="D1466" s="12" t="s">
        <v>328</v>
      </c>
      <c r="E1466" s="10">
        <v>43656</v>
      </c>
      <c r="F1466" s="8" t="s">
        <v>207</v>
      </c>
      <c r="G1466" s="19"/>
      <c r="H1466" s="18">
        <f ca="1">ROUNDDOWN(表3[[#This Row],[日期]]-TODAY(),1)</f>
        <v>8</v>
      </c>
    </row>
    <row r="1467" spans="1:8" hidden="1" x14ac:dyDescent="0.2">
      <c r="A1467" s="19" t="s">
        <v>1234</v>
      </c>
      <c r="B1467" s="41">
        <v>43656</v>
      </c>
      <c r="C1467" s="11">
        <v>1</v>
      </c>
      <c r="D1467" s="12" t="s">
        <v>418</v>
      </c>
      <c r="E1467" s="10">
        <v>43642</v>
      </c>
      <c r="F1467" s="8" t="s">
        <v>1233</v>
      </c>
      <c r="G1467" s="19"/>
      <c r="H1467" s="18">
        <f ca="1">ROUNDDOWN(表3[[#This Row],[日期]]-TODAY(),1)</f>
        <v>-6</v>
      </c>
    </row>
    <row r="1468" spans="1:8" hidden="1" x14ac:dyDescent="0.2">
      <c r="A1468" s="19" t="s">
        <v>1234</v>
      </c>
      <c r="B1468" s="41">
        <v>43656</v>
      </c>
      <c r="C1468" s="11">
        <v>2</v>
      </c>
      <c r="D1468" s="12" t="s">
        <v>1125</v>
      </c>
      <c r="E1468" s="10">
        <v>43642</v>
      </c>
      <c r="F1468" s="8" t="s">
        <v>1244</v>
      </c>
      <c r="G1468" s="19"/>
      <c r="H1468" s="18">
        <f ca="1">ROUNDDOWN(表3[[#This Row],[日期]]-TODAY(),1)</f>
        <v>-6</v>
      </c>
    </row>
    <row r="1469" spans="1:8" hidden="1" x14ac:dyDescent="0.2">
      <c r="A1469" s="19" t="s">
        <v>1234</v>
      </c>
      <c r="B1469" s="41">
        <v>43656</v>
      </c>
      <c r="C1469" s="11">
        <v>3</v>
      </c>
      <c r="D1469" s="12" t="s">
        <v>21</v>
      </c>
      <c r="E1469" s="10">
        <v>43643</v>
      </c>
      <c r="F1469" s="8" t="s">
        <v>260</v>
      </c>
      <c r="G1469" s="19"/>
      <c r="H1469" s="18">
        <f ca="1">ROUNDDOWN(表3[[#This Row],[日期]]-TODAY(),1)</f>
        <v>-5</v>
      </c>
    </row>
    <row r="1470" spans="1:8" hidden="1" x14ac:dyDescent="0.2">
      <c r="A1470" s="19" t="s">
        <v>1234</v>
      </c>
      <c r="B1470" s="41">
        <v>43656</v>
      </c>
      <c r="C1470" s="11">
        <v>4</v>
      </c>
      <c r="D1470" s="12" t="s">
        <v>148</v>
      </c>
      <c r="E1470" s="10">
        <v>43650</v>
      </c>
      <c r="F1470" s="8" t="s">
        <v>207</v>
      </c>
      <c r="G1470" s="19" t="s">
        <v>136</v>
      </c>
      <c r="H1470" s="18">
        <f ca="1">ROUNDDOWN(表3[[#This Row],[日期]]-TODAY(),1)</f>
        <v>2</v>
      </c>
    </row>
    <row r="1471" spans="1:8" hidden="1" x14ac:dyDescent="0.2">
      <c r="A1471" s="19" t="s">
        <v>1234</v>
      </c>
      <c r="B1471" s="41">
        <v>43656</v>
      </c>
      <c r="C1471" s="11">
        <v>5</v>
      </c>
      <c r="D1471" s="12" t="s">
        <v>139</v>
      </c>
      <c r="E1471" s="10">
        <v>43650</v>
      </c>
      <c r="F1471" s="8" t="s">
        <v>207</v>
      </c>
      <c r="G1471" s="19"/>
      <c r="H1471" s="18">
        <f ca="1">ROUNDDOWN(表3[[#This Row],[日期]]-TODAY(),1)</f>
        <v>2</v>
      </c>
    </row>
    <row r="1472" spans="1:8" hidden="1" x14ac:dyDescent="0.2">
      <c r="A1472" s="19" t="s">
        <v>1234</v>
      </c>
      <c r="B1472" s="41">
        <v>43656</v>
      </c>
      <c r="C1472" s="11">
        <v>6</v>
      </c>
      <c r="D1472" s="12" t="s">
        <v>1126</v>
      </c>
      <c r="E1472" s="10">
        <v>43650</v>
      </c>
      <c r="F1472" s="8" t="s">
        <v>207</v>
      </c>
      <c r="G1472" s="19"/>
      <c r="H1472" s="18">
        <f ca="1">ROUNDDOWN(表3[[#This Row],[日期]]-TODAY(),1)</f>
        <v>2</v>
      </c>
    </row>
    <row r="1473" spans="1:8" hidden="1" x14ac:dyDescent="0.2">
      <c r="A1473" s="19" t="s">
        <v>1234</v>
      </c>
      <c r="B1473" s="41">
        <v>43656</v>
      </c>
      <c r="C1473" s="11">
        <v>7</v>
      </c>
      <c r="D1473" s="12" t="s">
        <v>330</v>
      </c>
      <c r="E1473" s="10">
        <v>43650</v>
      </c>
      <c r="F1473" s="8" t="s">
        <v>207</v>
      </c>
      <c r="G1473" s="19" t="s">
        <v>142</v>
      </c>
      <c r="H1473" s="18">
        <f ca="1">ROUNDDOWN(表3[[#This Row],[日期]]-TODAY(),1)</f>
        <v>2</v>
      </c>
    </row>
    <row r="1474" spans="1:8" hidden="1" x14ac:dyDescent="0.2">
      <c r="A1474" s="19" t="s">
        <v>1234</v>
      </c>
      <c r="B1474" s="41">
        <v>43656</v>
      </c>
      <c r="C1474" s="11">
        <v>8</v>
      </c>
      <c r="D1474" s="12" t="s">
        <v>1127</v>
      </c>
      <c r="E1474" s="10">
        <v>43650</v>
      </c>
      <c r="F1474" s="8" t="s">
        <v>207</v>
      </c>
      <c r="G1474" s="19"/>
      <c r="H1474" s="18">
        <f ca="1">ROUNDDOWN(表3[[#This Row],[日期]]-TODAY(),1)</f>
        <v>2</v>
      </c>
    </row>
    <row r="1475" spans="1:8" hidden="1" x14ac:dyDescent="0.2">
      <c r="A1475" s="19" t="s">
        <v>1234</v>
      </c>
      <c r="B1475" s="41">
        <v>43656</v>
      </c>
      <c r="C1475" s="11">
        <v>9</v>
      </c>
      <c r="D1475" s="12" t="s">
        <v>1128</v>
      </c>
      <c r="E1475" s="10">
        <v>43650</v>
      </c>
      <c r="F1475" s="8" t="s">
        <v>207</v>
      </c>
      <c r="G1475" s="19"/>
      <c r="H1475" s="18">
        <f ca="1">ROUNDDOWN(表3[[#This Row],[日期]]-TODAY(),1)</f>
        <v>2</v>
      </c>
    </row>
    <row r="1476" spans="1:8" hidden="1" x14ac:dyDescent="0.2">
      <c r="A1476" s="19" t="s">
        <v>1234</v>
      </c>
      <c r="B1476" s="41">
        <v>43656</v>
      </c>
      <c r="C1476" s="11">
        <v>10</v>
      </c>
      <c r="D1476" s="12" t="s">
        <v>1129</v>
      </c>
      <c r="E1476" s="10">
        <v>43650</v>
      </c>
      <c r="F1476" s="8" t="s">
        <v>207</v>
      </c>
      <c r="G1476" s="19" t="s">
        <v>152</v>
      </c>
      <c r="H1476" s="18">
        <f ca="1">ROUNDDOWN(表3[[#This Row],[日期]]-TODAY(),1)</f>
        <v>2</v>
      </c>
    </row>
    <row r="1477" spans="1:8" hidden="1" x14ac:dyDescent="0.2">
      <c r="A1477" s="22" t="s">
        <v>1234</v>
      </c>
      <c r="B1477" s="43">
        <v>43656</v>
      </c>
      <c r="C1477" s="23">
        <v>11</v>
      </c>
      <c r="D1477" s="24" t="s">
        <v>213</v>
      </c>
      <c r="E1477" s="25">
        <v>43650</v>
      </c>
      <c r="F1477" s="26" t="s">
        <v>207</v>
      </c>
      <c r="G1477" s="22"/>
      <c r="H1477" s="21">
        <f ca="1">ROUNDDOWN(表3[[#This Row],[日期]]-TODAY(),1)</f>
        <v>2</v>
      </c>
    </row>
    <row r="1478" spans="1:8" hidden="1" x14ac:dyDescent="0.2">
      <c r="A1478" s="22" t="s">
        <v>1234</v>
      </c>
      <c r="B1478" s="43">
        <v>43656</v>
      </c>
      <c r="C1478" s="23">
        <v>12</v>
      </c>
      <c r="D1478" s="24" t="s">
        <v>332</v>
      </c>
      <c r="E1478" s="25">
        <v>43650</v>
      </c>
      <c r="F1478" s="26" t="s">
        <v>207</v>
      </c>
      <c r="G1478" s="22" t="s">
        <v>333</v>
      </c>
      <c r="H1478" s="21">
        <f ca="1">ROUNDDOWN(表3[[#This Row],[日期]]-TODAY(),1)</f>
        <v>2</v>
      </c>
    </row>
    <row r="1479" spans="1:8" hidden="1" x14ac:dyDescent="0.2">
      <c r="A1479" s="22" t="s">
        <v>1234</v>
      </c>
      <c r="B1479" s="43">
        <v>43656</v>
      </c>
      <c r="C1479" s="23">
        <v>13</v>
      </c>
      <c r="D1479" s="24" t="s">
        <v>334</v>
      </c>
      <c r="E1479" s="25">
        <v>43650</v>
      </c>
      <c r="F1479" s="26" t="s">
        <v>207</v>
      </c>
      <c r="G1479" s="22" t="s">
        <v>333</v>
      </c>
      <c r="H1479" s="21">
        <f ca="1">ROUNDDOWN(表3[[#This Row],[日期]]-TODAY(),1)</f>
        <v>2</v>
      </c>
    </row>
    <row r="1480" spans="1:8" hidden="1" x14ac:dyDescent="0.2">
      <c r="A1480" s="19" t="s">
        <v>1234</v>
      </c>
      <c r="B1480" s="41">
        <v>43656</v>
      </c>
      <c r="C1480" s="11">
        <v>14</v>
      </c>
      <c r="D1480" s="12" t="s">
        <v>1130</v>
      </c>
      <c r="E1480" s="10">
        <v>43650</v>
      </c>
      <c r="F1480" s="8" t="s">
        <v>207</v>
      </c>
      <c r="G1480" s="19" t="s">
        <v>333</v>
      </c>
      <c r="H1480" s="18">
        <f ca="1">ROUNDDOWN(表3[[#This Row],[日期]]-TODAY(),1)</f>
        <v>2</v>
      </c>
    </row>
    <row r="1481" spans="1:8" hidden="1" x14ac:dyDescent="0.2">
      <c r="A1481" s="19" t="s">
        <v>1234</v>
      </c>
      <c r="B1481" s="41">
        <v>43656</v>
      </c>
      <c r="C1481" s="11">
        <v>15</v>
      </c>
      <c r="D1481" s="12" t="s">
        <v>336</v>
      </c>
      <c r="E1481" s="10">
        <v>43650</v>
      </c>
      <c r="F1481" s="8" t="s">
        <v>207</v>
      </c>
      <c r="G1481" s="19" t="s">
        <v>333</v>
      </c>
      <c r="H1481" s="18">
        <f ca="1">ROUNDDOWN(表3[[#This Row],[日期]]-TODAY(),1)</f>
        <v>2</v>
      </c>
    </row>
    <row r="1482" spans="1:8" hidden="1" x14ac:dyDescent="0.2">
      <c r="A1482" s="19" t="s">
        <v>1234</v>
      </c>
      <c r="B1482" s="41">
        <v>43656</v>
      </c>
      <c r="C1482" s="11">
        <v>16</v>
      </c>
      <c r="D1482" s="12" t="s">
        <v>291</v>
      </c>
      <c r="E1482" s="10">
        <v>43650</v>
      </c>
      <c r="F1482" s="8" t="s">
        <v>207</v>
      </c>
      <c r="G1482" s="19"/>
      <c r="H1482" s="18">
        <f ca="1">ROUNDDOWN(表3[[#This Row],[日期]]-TODAY(),1)</f>
        <v>2</v>
      </c>
    </row>
    <row r="1483" spans="1:8" hidden="1" x14ac:dyDescent="0.2">
      <c r="A1483" s="19" t="s">
        <v>1234</v>
      </c>
      <c r="B1483" s="41">
        <v>43656</v>
      </c>
      <c r="C1483" s="11">
        <v>17</v>
      </c>
      <c r="D1483" s="12" t="s">
        <v>293</v>
      </c>
      <c r="E1483" s="10">
        <v>43650</v>
      </c>
      <c r="F1483" s="8" t="s">
        <v>207</v>
      </c>
      <c r="G1483" s="19"/>
      <c r="H1483" s="18">
        <f ca="1">ROUNDDOWN(表3[[#This Row],[日期]]-TODAY(),1)</f>
        <v>2</v>
      </c>
    </row>
    <row r="1484" spans="1:8" hidden="1" x14ac:dyDescent="0.2">
      <c r="A1484" s="19" t="s">
        <v>1234</v>
      </c>
      <c r="B1484" s="41">
        <v>43656</v>
      </c>
      <c r="C1484" s="11">
        <v>18</v>
      </c>
      <c r="D1484" s="12" t="s">
        <v>295</v>
      </c>
      <c r="E1484" s="10">
        <v>43650</v>
      </c>
      <c r="F1484" s="8" t="s">
        <v>207</v>
      </c>
      <c r="G1484" s="19"/>
      <c r="H1484" s="18">
        <f ca="1">ROUNDDOWN(表3[[#This Row],[日期]]-TODAY(),1)</f>
        <v>2</v>
      </c>
    </row>
    <row r="1485" spans="1:8" hidden="1" x14ac:dyDescent="0.2">
      <c r="A1485" s="19" t="s">
        <v>1234</v>
      </c>
      <c r="B1485" s="41">
        <v>43656</v>
      </c>
      <c r="C1485" s="11">
        <v>19</v>
      </c>
      <c r="D1485" s="12" t="s">
        <v>256</v>
      </c>
      <c r="E1485" s="10">
        <v>43650</v>
      </c>
      <c r="F1485" s="8" t="s">
        <v>207</v>
      </c>
      <c r="G1485" s="19"/>
      <c r="H1485" s="18">
        <f ca="1">ROUNDDOWN(表3[[#This Row],[日期]]-TODAY(),1)</f>
        <v>2</v>
      </c>
    </row>
    <row r="1486" spans="1:8" hidden="1" x14ac:dyDescent="0.2">
      <c r="A1486" s="19" t="s">
        <v>1234</v>
      </c>
      <c r="B1486" s="41">
        <v>43656</v>
      </c>
      <c r="C1486" s="11">
        <v>20</v>
      </c>
      <c r="D1486" s="12" t="s">
        <v>328</v>
      </c>
      <c r="E1486" s="10">
        <v>43650</v>
      </c>
      <c r="F1486" s="8" t="s">
        <v>207</v>
      </c>
      <c r="G1486" s="19"/>
      <c r="H1486" s="18">
        <f ca="1">ROUNDDOWN(表3[[#This Row],[日期]]-TODAY(),1)</f>
        <v>2</v>
      </c>
    </row>
    <row r="1487" spans="1:8" hidden="1" x14ac:dyDescent="0.2">
      <c r="A1487" s="19" t="s">
        <v>161</v>
      </c>
      <c r="B1487" s="41">
        <v>43656</v>
      </c>
      <c r="C1487" s="11">
        <v>1</v>
      </c>
      <c r="D1487" s="12" t="s">
        <v>216</v>
      </c>
      <c r="E1487" s="10">
        <v>43643</v>
      </c>
      <c r="F1487" s="8" t="s">
        <v>1274</v>
      </c>
      <c r="G1487" s="19"/>
      <c r="H1487" s="18">
        <f ca="1">ROUNDDOWN(表3[[#This Row],[日期]]-TODAY(),1)</f>
        <v>-5</v>
      </c>
    </row>
    <row r="1488" spans="1:8" hidden="1" x14ac:dyDescent="0.2">
      <c r="A1488" s="19" t="s">
        <v>161</v>
      </c>
      <c r="B1488" s="41">
        <v>43656</v>
      </c>
      <c r="C1488" s="11">
        <v>2</v>
      </c>
      <c r="D1488" s="12" t="s">
        <v>217</v>
      </c>
      <c r="E1488" s="10">
        <v>43643</v>
      </c>
      <c r="F1488" s="8" t="s">
        <v>1274</v>
      </c>
      <c r="G1488" s="19"/>
      <c r="H1488" s="18">
        <f ca="1">ROUNDDOWN(表3[[#This Row],[日期]]-TODAY(),1)</f>
        <v>-5</v>
      </c>
    </row>
    <row r="1489" spans="1:8" hidden="1" x14ac:dyDescent="0.2">
      <c r="A1489" s="19" t="s">
        <v>161</v>
      </c>
      <c r="B1489" s="41">
        <v>43656</v>
      </c>
      <c r="C1489" s="11">
        <v>3</v>
      </c>
      <c r="D1489" s="12" t="s">
        <v>218</v>
      </c>
      <c r="E1489" s="10">
        <v>43644</v>
      </c>
      <c r="F1489" s="8" t="s">
        <v>260</v>
      </c>
      <c r="G1489" s="19" t="s">
        <v>219</v>
      </c>
      <c r="H1489" s="18">
        <f ca="1">ROUNDDOWN(表3[[#This Row],[日期]]-TODAY(),1)</f>
        <v>-4</v>
      </c>
    </row>
    <row r="1490" spans="1:8" hidden="1" x14ac:dyDescent="0.2">
      <c r="A1490" s="19" t="s">
        <v>161</v>
      </c>
      <c r="B1490" s="41">
        <v>43656</v>
      </c>
      <c r="C1490" s="11">
        <v>4</v>
      </c>
      <c r="D1490" s="12" t="s">
        <v>220</v>
      </c>
      <c r="E1490" s="10">
        <v>43643</v>
      </c>
      <c r="F1490" s="8" t="s">
        <v>260</v>
      </c>
      <c r="G1490" s="19"/>
      <c r="H1490" s="18">
        <f ca="1">ROUNDDOWN(表3[[#This Row],[日期]]-TODAY(),1)</f>
        <v>-5</v>
      </c>
    </row>
    <row r="1491" spans="1:8" hidden="1" x14ac:dyDescent="0.2">
      <c r="A1491" s="19" t="s">
        <v>161</v>
      </c>
      <c r="B1491" s="41">
        <v>43656</v>
      </c>
      <c r="C1491" s="11">
        <v>5</v>
      </c>
      <c r="D1491" s="12" t="s">
        <v>39</v>
      </c>
      <c r="E1491" s="10">
        <v>43644</v>
      </c>
      <c r="F1491" s="8" t="s">
        <v>260</v>
      </c>
      <c r="G1491" s="19"/>
      <c r="H1491" s="18">
        <f ca="1">ROUNDDOWN(表3[[#This Row],[日期]]-TODAY(),1)</f>
        <v>-4</v>
      </c>
    </row>
    <row r="1492" spans="1:8" hidden="1" x14ac:dyDescent="0.2">
      <c r="A1492" s="19" t="s">
        <v>161</v>
      </c>
      <c r="B1492" s="41">
        <v>43656</v>
      </c>
      <c r="C1492" s="11">
        <v>5.0999999999999996</v>
      </c>
      <c r="D1492" s="12" t="s">
        <v>1307</v>
      </c>
      <c r="E1492" s="10">
        <v>43647</v>
      </c>
      <c r="F1492" s="8" t="s">
        <v>260</v>
      </c>
      <c r="G1492" s="19"/>
      <c r="H1492" s="18">
        <f ca="1">ROUNDDOWN(表3[[#This Row],[日期]]-TODAY(),1)</f>
        <v>-1</v>
      </c>
    </row>
    <row r="1493" spans="1:8" hidden="1" x14ac:dyDescent="0.2">
      <c r="A1493" s="22" t="s">
        <v>161</v>
      </c>
      <c r="B1493" s="43">
        <v>43656</v>
      </c>
      <c r="C1493" s="23">
        <v>6</v>
      </c>
      <c r="D1493" s="24" t="s">
        <v>1270</v>
      </c>
      <c r="E1493" s="25">
        <v>43647</v>
      </c>
      <c r="F1493" s="26" t="s">
        <v>260</v>
      </c>
      <c r="G1493" s="22" t="s">
        <v>264</v>
      </c>
      <c r="H1493" s="21">
        <f ca="1">ROUNDDOWN(表3[[#This Row],[日期]]-TODAY(),1)</f>
        <v>-1</v>
      </c>
    </row>
    <row r="1494" spans="1:8" hidden="1" x14ac:dyDescent="0.2">
      <c r="A1494" s="22" t="s">
        <v>161</v>
      </c>
      <c r="B1494" s="41">
        <v>43656</v>
      </c>
      <c r="C1494" s="23">
        <v>7</v>
      </c>
      <c r="D1494" s="24" t="s">
        <v>1271</v>
      </c>
      <c r="E1494" s="25">
        <v>43648</v>
      </c>
      <c r="F1494" s="26" t="s">
        <v>260</v>
      </c>
      <c r="G1494" s="22"/>
      <c r="H1494" s="21">
        <f ca="1">ROUNDDOWN(表3[[#This Row],[日期]]-TODAY(),1)</f>
        <v>0</v>
      </c>
    </row>
    <row r="1495" spans="1:8" hidden="1" x14ac:dyDescent="0.2">
      <c r="A1495" s="22" t="s">
        <v>161</v>
      </c>
      <c r="B1495" s="43">
        <v>43656</v>
      </c>
      <c r="C1495" s="11">
        <v>8</v>
      </c>
      <c r="D1495" s="12" t="s">
        <v>270</v>
      </c>
      <c r="E1495" s="10">
        <v>43648</v>
      </c>
      <c r="F1495" s="8" t="s">
        <v>260</v>
      </c>
      <c r="G1495" s="19"/>
      <c r="H1495" s="18">
        <f ca="1">ROUNDDOWN(表3[[#This Row],[日期]]-TODAY(),1)</f>
        <v>0</v>
      </c>
    </row>
    <row r="1496" spans="1:8" x14ac:dyDescent="0.2">
      <c r="A1496" s="22" t="s">
        <v>161</v>
      </c>
      <c r="B1496" s="43">
        <v>43656</v>
      </c>
      <c r="C1496" s="11">
        <v>9</v>
      </c>
      <c r="D1496" s="12" t="s">
        <v>273</v>
      </c>
      <c r="E1496" s="10">
        <v>43648</v>
      </c>
      <c r="F1496" s="8" t="s">
        <v>207</v>
      </c>
      <c r="G1496" s="19" t="s">
        <v>43</v>
      </c>
      <c r="H1496" s="18">
        <f ca="1">ROUNDDOWN(表3[[#This Row],[日期]]-TODAY(),1)</f>
        <v>0</v>
      </c>
    </row>
    <row r="1497" spans="1:8" hidden="1" x14ac:dyDescent="0.2">
      <c r="A1497" s="22" t="s">
        <v>161</v>
      </c>
      <c r="B1497" s="43">
        <v>43656</v>
      </c>
      <c r="C1497" s="11">
        <v>10</v>
      </c>
      <c r="D1497" s="12" t="s">
        <v>266</v>
      </c>
      <c r="E1497" s="10">
        <v>43648</v>
      </c>
      <c r="F1497" s="8" t="s">
        <v>260</v>
      </c>
      <c r="G1497" s="19" t="s">
        <v>32</v>
      </c>
      <c r="H1497" s="18">
        <f ca="1">ROUNDDOWN(表3[[#This Row],[日期]]-TODAY(),1)</f>
        <v>0</v>
      </c>
    </row>
    <row r="1498" spans="1:8" x14ac:dyDescent="0.2">
      <c r="A1498" s="22" t="s">
        <v>161</v>
      </c>
      <c r="B1498" s="43">
        <v>43656</v>
      </c>
      <c r="C1498" s="11">
        <v>11</v>
      </c>
      <c r="D1498" s="12" t="s">
        <v>268</v>
      </c>
      <c r="E1498" s="10">
        <v>43648</v>
      </c>
      <c r="F1498" s="8" t="s">
        <v>260</v>
      </c>
      <c r="G1498" s="19" t="s">
        <v>43</v>
      </c>
      <c r="H1498" s="18">
        <f ca="1">ROUNDDOWN(表3[[#This Row],[日期]]-TODAY(),1)</f>
        <v>0</v>
      </c>
    </row>
    <row r="1499" spans="1:8" x14ac:dyDescent="0.2">
      <c r="A1499" s="22" t="s">
        <v>161</v>
      </c>
      <c r="B1499" s="43">
        <v>43656</v>
      </c>
      <c r="C1499" s="11">
        <v>12</v>
      </c>
      <c r="D1499" s="12" t="s">
        <v>1272</v>
      </c>
      <c r="E1499" s="10">
        <v>43649</v>
      </c>
      <c r="F1499" s="8" t="s">
        <v>207</v>
      </c>
      <c r="G1499" s="19" t="s">
        <v>276</v>
      </c>
      <c r="H1499" s="18">
        <f ca="1">ROUNDDOWN(表3[[#This Row],[日期]]-TODAY(),1)</f>
        <v>1</v>
      </c>
    </row>
    <row r="1500" spans="1:8" hidden="1" x14ac:dyDescent="0.2">
      <c r="A1500" s="22" t="s">
        <v>161</v>
      </c>
      <c r="B1500" s="43">
        <v>43656</v>
      </c>
      <c r="C1500" s="11">
        <v>13</v>
      </c>
      <c r="D1500" s="12" t="s">
        <v>281</v>
      </c>
      <c r="E1500" s="10">
        <v>43650</v>
      </c>
      <c r="F1500" s="8" t="s">
        <v>207</v>
      </c>
      <c r="G1500" s="19" t="s">
        <v>279</v>
      </c>
      <c r="H1500" s="18">
        <f ca="1">ROUNDDOWN(表3[[#This Row],[日期]]-TODAY(),1)</f>
        <v>2</v>
      </c>
    </row>
    <row r="1501" spans="1:8" hidden="1" x14ac:dyDescent="0.2">
      <c r="A1501" s="22" t="s">
        <v>161</v>
      </c>
      <c r="B1501" s="43">
        <v>43656</v>
      </c>
      <c r="C1501" s="11">
        <v>14</v>
      </c>
      <c r="D1501" s="12" t="s">
        <v>283</v>
      </c>
      <c r="E1501" s="10">
        <v>43650</v>
      </c>
      <c r="F1501" s="8" t="s">
        <v>207</v>
      </c>
      <c r="G1501" s="19"/>
      <c r="H1501" s="18">
        <f ca="1">ROUNDDOWN(表3[[#This Row],[日期]]-TODAY(),1)</f>
        <v>2</v>
      </c>
    </row>
    <row r="1502" spans="1:8" hidden="1" x14ac:dyDescent="0.2">
      <c r="A1502" s="22" t="s">
        <v>161</v>
      </c>
      <c r="B1502" s="43">
        <v>43656</v>
      </c>
      <c r="C1502" s="11">
        <v>15</v>
      </c>
      <c r="D1502" s="12" t="s">
        <v>285</v>
      </c>
      <c r="E1502" s="10">
        <v>43650</v>
      </c>
      <c r="F1502" s="8" t="s">
        <v>207</v>
      </c>
      <c r="G1502" s="19"/>
      <c r="H1502" s="18">
        <f ca="1">ROUNDDOWN(表3[[#This Row],[日期]]-TODAY(),1)</f>
        <v>2</v>
      </c>
    </row>
    <row r="1503" spans="1:8" hidden="1" x14ac:dyDescent="0.2">
      <c r="A1503" s="22" t="s">
        <v>161</v>
      </c>
      <c r="B1503" s="43">
        <v>43656</v>
      </c>
      <c r="C1503" s="11">
        <v>16</v>
      </c>
      <c r="D1503" s="12" t="s">
        <v>299</v>
      </c>
      <c r="E1503" s="10">
        <v>43650</v>
      </c>
      <c r="F1503" s="8" t="s">
        <v>207</v>
      </c>
      <c r="G1503" s="19"/>
      <c r="H1503" s="18">
        <f ca="1">ROUNDDOWN(表3[[#This Row],[日期]]-TODAY(),1)</f>
        <v>2</v>
      </c>
    </row>
    <row r="1504" spans="1:8" hidden="1" x14ac:dyDescent="0.2">
      <c r="A1504" s="22" t="s">
        <v>161</v>
      </c>
      <c r="B1504" s="43">
        <v>43656</v>
      </c>
      <c r="C1504" s="11">
        <v>17</v>
      </c>
      <c r="D1504" s="12" t="s">
        <v>301</v>
      </c>
      <c r="E1504" s="10">
        <v>43650</v>
      </c>
      <c r="F1504" s="8" t="s">
        <v>207</v>
      </c>
      <c r="G1504" s="19"/>
      <c r="H1504" s="18">
        <f ca="1">ROUNDDOWN(表3[[#This Row],[日期]]-TODAY(),1)</f>
        <v>2</v>
      </c>
    </row>
    <row r="1505" spans="1:8" hidden="1" x14ac:dyDescent="0.2">
      <c r="A1505" s="22" t="s">
        <v>161</v>
      </c>
      <c r="B1505" s="43">
        <v>43656</v>
      </c>
      <c r="C1505" s="11">
        <v>18</v>
      </c>
      <c r="D1505" s="12" t="s">
        <v>303</v>
      </c>
      <c r="E1505" s="10">
        <v>43650</v>
      </c>
      <c r="F1505" s="8" t="s">
        <v>207</v>
      </c>
      <c r="G1505" s="19"/>
      <c r="H1505" s="18">
        <f ca="1">ROUNDDOWN(表3[[#This Row],[日期]]-TODAY(),1)</f>
        <v>2</v>
      </c>
    </row>
    <row r="1506" spans="1:8" hidden="1" x14ac:dyDescent="0.2">
      <c r="A1506" s="22" t="s">
        <v>161</v>
      </c>
      <c r="B1506" s="43">
        <v>43656</v>
      </c>
      <c r="C1506" s="11">
        <v>19</v>
      </c>
      <c r="D1506" s="12" t="s">
        <v>287</v>
      </c>
      <c r="E1506" s="10">
        <v>43650</v>
      </c>
      <c r="F1506" s="8" t="s">
        <v>207</v>
      </c>
      <c r="G1506" s="19"/>
      <c r="H1506" s="18">
        <f ca="1">ROUNDDOWN(表3[[#This Row],[日期]]-TODAY(),1)</f>
        <v>2</v>
      </c>
    </row>
    <row r="1507" spans="1:8" hidden="1" x14ac:dyDescent="0.2">
      <c r="A1507" s="22" t="s">
        <v>161</v>
      </c>
      <c r="B1507" s="43">
        <v>43656</v>
      </c>
      <c r="C1507" s="23">
        <v>20</v>
      </c>
      <c r="D1507" s="24" t="s">
        <v>289</v>
      </c>
      <c r="E1507" s="25">
        <v>43650</v>
      </c>
      <c r="F1507" s="26" t="s">
        <v>207</v>
      </c>
      <c r="G1507" s="22"/>
      <c r="H1507" s="21">
        <f ca="1">ROUNDDOWN(表3[[#This Row],[日期]]-TODAY(),1)</f>
        <v>2</v>
      </c>
    </row>
    <row r="1508" spans="1:8" hidden="1" x14ac:dyDescent="0.2">
      <c r="A1508" s="19" t="s">
        <v>161</v>
      </c>
      <c r="B1508" s="41">
        <v>43656</v>
      </c>
      <c r="C1508" s="11">
        <v>21</v>
      </c>
      <c r="D1508" s="12" t="s">
        <v>291</v>
      </c>
      <c r="E1508" s="10">
        <v>43650</v>
      </c>
      <c r="F1508" s="8" t="s">
        <v>207</v>
      </c>
      <c r="G1508" s="19"/>
      <c r="H1508" s="18">
        <f ca="1">ROUNDDOWN(表3[[#This Row],[日期]]-TODAY(),1)</f>
        <v>2</v>
      </c>
    </row>
    <row r="1509" spans="1:8" hidden="1" x14ac:dyDescent="0.2">
      <c r="A1509" s="19" t="s">
        <v>161</v>
      </c>
      <c r="B1509" s="41">
        <v>43656</v>
      </c>
      <c r="C1509" s="11">
        <v>22</v>
      </c>
      <c r="D1509" s="12" t="s">
        <v>293</v>
      </c>
      <c r="E1509" s="10">
        <v>43651</v>
      </c>
      <c r="F1509" s="8" t="s">
        <v>207</v>
      </c>
      <c r="G1509" s="19"/>
      <c r="H1509" s="18">
        <f ca="1">ROUNDDOWN(表3[[#This Row],[日期]]-TODAY(),1)</f>
        <v>3</v>
      </c>
    </row>
    <row r="1510" spans="1:8" hidden="1" x14ac:dyDescent="0.2">
      <c r="A1510" s="19" t="s">
        <v>161</v>
      </c>
      <c r="B1510" s="41">
        <v>43656</v>
      </c>
      <c r="C1510" s="11">
        <v>23</v>
      </c>
      <c r="D1510" s="12" t="s">
        <v>295</v>
      </c>
      <c r="E1510" s="10">
        <v>43655</v>
      </c>
      <c r="F1510" s="8" t="s">
        <v>207</v>
      </c>
      <c r="G1510" s="19"/>
      <c r="H1510" s="18">
        <f ca="1">ROUNDDOWN(表3[[#This Row],[日期]]-TODAY(),1)</f>
        <v>7</v>
      </c>
    </row>
    <row r="1511" spans="1:8" hidden="1" x14ac:dyDescent="0.2">
      <c r="A1511" s="19" t="s">
        <v>161</v>
      </c>
      <c r="B1511" s="41">
        <v>43656</v>
      </c>
      <c r="C1511" s="11">
        <v>24</v>
      </c>
      <c r="D1511" s="12" t="s">
        <v>297</v>
      </c>
      <c r="E1511" s="10">
        <v>43656</v>
      </c>
      <c r="F1511" s="8" t="s">
        <v>207</v>
      </c>
      <c r="G1511" s="19"/>
      <c r="H1511" s="18">
        <f ca="1">ROUNDDOWN(表3[[#This Row],[日期]]-TODAY(),1)</f>
        <v>8</v>
      </c>
    </row>
    <row r="1512" spans="1:8" hidden="1" x14ac:dyDescent="0.2">
      <c r="A1512" s="19" t="s">
        <v>161</v>
      </c>
      <c r="B1512" s="41">
        <v>43656</v>
      </c>
      <c r="C1512" s="11">
        <v>25</v>
      </c>
      <c r="D1512" s="12" t="s">
        <v>1273</v>
      </c>
      <c r="E1512" s="10">
        <v>43656</v>
      </c>
      <c r="F1512" s="8" t="s">
        <v>207</v>
      </c>
      <c r="G1512" s="19"/>
      <c r="H1512" s="18">
        <f ca="1">ROUNDDOWN(表3[[#This Row],[日期]]-TODAY(),1)</f>
        <v>8</v>
      </c>
    </row>
    <row r="1513" spans="1:8" hidden="1" x14ac:dyDescent="0.2">
      <c r="A1513" s="19" t="s">
        <v>161</v>
      </c>
      <c r="B1513" s="41">
        <v>43656</v>
      </c>
      <c r="C1513" s="11">
        <v>26</v>
      </c>
      <c r="D1513" s="12" t="s">
        <v>478</v>
      </c>
      <c r="E1513" s="10">
        <v>43656</v>
      </c>
      <c r="F1513" s="8" t="s">
        <v>207</v>
      </c>
      <c r="G1513" s="19"/>
      <c r="H1513" s="18">
        <f ca="1">ROUNDDOWN(表3[[#This Row],[日期]]-TODAY(),1)</f>
        <v>8</v>
      </c>
    </row>
    <row r="1514" spans="1:8" hidden="1" x14ac:dyDescent="0.2">
      <c r="A1514" s="19" t="s">
        <v>1338</v>
      </c>
      <c r="B1514" s="41">
        <v>43658</v>
      </c>
      <c r="C1514" s="11">
        <v>1</v>
      </c>
      <c r="D1514" s="12" t="s">
        <v>697</v>
      </c>
      <c r="E1514" s="10">
        <v>43647</v>
      </c>
      <c r="F1514" s="8" t="s">
        <v>260</v>
      </c>
      <c r="G1514" s="19"/>
      <c r="H1514" s="18">
        <f ca="1">ROUNDDOWN(表3[[#This Row],[日期]]-TODAY(),1)</f>
        <v>-1</v>
      </c>
    </row>
    <row r="1515" spans="1:8" hidden="1" x14ac:dyDescent="0.2">
      <c r="A1515" s="19" t="s">
        <v>1338</v>
      </c>
      <c r="B1515" s="41">
        <v>43658</v>
      </c>
      <c r="C1515" s="11">
        <v>2</v>
      </c>
      <c r="D1515" s="12" t="s">
        <v>692</v>
      </c>
      <c r="E1515" s="10">
        <v>43648</v>
      </c>
      <c r="F1515" s="8" t="s">
        <v>260</v>
      </c>
      <c r="G1515" s="19"/>
      <c r="H1515" s="18">
        <f ca="1">ROUNDDOWN(表3[[#This Row],[日期]]-TODAY(),1)</f>
        <v>0</v>
      </c>
    </row>
    <row r="1516" spans="1:8" hidden="1" x14ac:dyDescent="0.2">
      <c r="A1516" s="19" t="s">
        <v>1338</v>
      </c>
      <c r="B1516" s="41">
        <v>43658</v>
      </c>
      <c r="C1516" s="11">
        <v>3</v>
      </c>
      <c r="D1516" s="12" t="s">
        <v>694</v>
      </c>
      <c r="E1516" s="10">
        <v>43648</v>
      </c>
      <c r="F1516" s="8" t="s">
        <v>260</v>
      </c>
      <c r="G1516" s="19"/>
      <c r="H1516" s="18">
        <f ca="1">ROUNDDOWN(表3[[#This Row],[日期]]-TODAY(),1)</f>
        <v>0</v>
      </c>
    </row>
    <row r="1517" spans="1:8" hidden="1" x14ac:dyDescent="0.2">
      <c r="A1517" s="19" t="s">
        <v>1338</v>
      </c>
      <c r="B1517" s="41">
        <v>43658</v>
      </c>
      <c r="C1517" s="11">
        <v>4</v>
      </c>
      <c r="D1517" s="12" t="s">
        <v>1407</v>
      </c>
      <c r="E1517" s="10">
        <v>43648</v>
      </c>
      <c r="F1517" s="8" t="s">
        <v>207</v>
      </c>
      <c r="G1517" s="19"/>
      <c r="H1517" s="18">
        <f ca="1">ROUNDDOWN(表3[[#This Row],[日期]]-TODAY(),1)</f>
        <v>0</v>
      </c>
    </row>
    <row r="1518" spans="1:8" hidden="1" x14ac:dyDescent="0.2">
      <c r="A1518" s="19" t="s">
        <v>1338</v>
      </c>
      <c r="B1518" s="41">
        <v>43658</v>
      </c>
      <c r="C1518" s="11">
        <v>5</v>
      </c>
      <c r="D1518" s="12" t="s">
        <v>381</v>
      </c>
      <c r="E1518" s="10">
        <v>43648</v>
      </c>
      <c r="F1518" s="8" t="s">
        <v>207</v>
      </c>
      <c r="G1518" s="19"/>
      <c r="H1518" s="18">
        <f ca="1">ROUNDDOWN(表3[[#This Row],[日期]]-TODAY(),1)</f>
        <v>0</v>
      </c>
    </row>
    <row r="1519" spans="1:8" hidden="1" x14ac:dyDescent="0.2">
      <c r="A1519" s="19" t="s">
        <v>1338</v>
      </c>
      <c r="B1519" s="41">
        <v>43658</v>
      </c>
      <c r="C1519" s="11">
        <v>6</v>
      </c>
      <c r="D1519" s="12" t="s">
        <v>382</v>
      </c>
      <c r="E1519" s="10">
        <v>43654</v>
      </c>
      <c r="F1519" s="8" t="s">
        <v>207</v>
      </c>
      <c r="G1519" s="19"/>
      <c r="H1519" s="18">
        <f ca="1">ROUNDDOWN(表3[[#This Row],[日期]]-TODAY(),1)</f>
        <v>6</v>
      </c>
    </row>
    <row r="1520" spans="1:8" hidden="1" x14ac:dyDescent="0.2">
      <c r="A1520" s="19" t="s">
        <v>1338</v>
      </c>
      <c r="B1520" s="41">
        <v>43658</v>
      </c>
      <c r="C1520" s="11">
        <v>7</v>
      </c>
      <c r="D1520" s="12" t="s">
        <v>509</v>
      </c>
      <c r="E1520" s="10">
        <v>43654</v>
      </c>
      <c r="F1520" s="8" t="s">
        <v>207</v>
      </c>
      <c r="G1520" s="19"/>
      <c r="H1520" s="18">
        <f ca="1">ROUNDDOWN(表3[[#This Row],[日期]]-TODAY(),1)</f>
        <v>6</v>
      </c>
    </row>
    <row r="1521" spans="1:8" hidden="1" x14ac:dyDescent="0.2">
      <c r="A1521" s="19" t="s">
        <v>1338</v>
      </c>
      <c r="B1521" s="41">
        <v>43658</v>
      </c>
      <c r="C1521" s="11">
        <v>8</v>
      </c>
      <c r="D1521" s="12" t="s">
        <v>686</v>
      </c>
      <c r="E1521" s="10">
        <v>43654</v>
      </c>
      <c r="F1521" s="8" t="s">
        <v>207</v>
      </c>
      <c r="G1521" s="19" t="s">
        <v>512</v>
      </c>
      <c r="H1521" s="18">
        <f ca="1">ROUNDDOWN(表3[[#This Row],[日期]]-TODAY(),1)</f>
        <v>6</v>
      </c>
    </row>
    <row r="1522" spans="1:8" hidden="1" x14ac:dyDescent="0.2">
      <c r="A1522" s="22" t="s">
        <v>1338</v>
      </c>
      <c r="B1522" s="43">
        <v>43658</v>
      </c>
      <c r="C1522" s="23">
        <v>9</v>
      </c>
      <c r="D1522" s="24" t="s">
        <v>688</v>
      </c>
      <c r="E1522" s="25">
        <v>43654</v>
      </c>
      <c r="F1522" s="26" t="s">
        <v>207</v>
      </c>
      <c r="G1522" s="22"/>
      <c r="H1522" s="21">
        <f ca="1">ROUNDDOWN(表3[[#This Row],[日期]]-TODAY(),1)</f>
        <v>6</v>
      </c>
    </row>
    <row r="1523" spans="1:8" hidden="1" x14ac:dyDescent="0.2">
      <c r="A1523" s="22" t="s">
        <v>1338</v>
      </c>
      <c r="B1523" s="43">
        <v>43658</v>
      </c>
      <c r="C1523" s="23">
        <v>10</v>
      </c>
      <c r="D1523" s="24" t="s">
        <v>1339</v>
      </c>
      <c r="E1523" s="25">
        <v>43654</v>
      </c>
      <c r="F1523" s="26" t="s">
        <v>207</v>
      </c>
      <c r="G1523" s="22"/>
      <c r="H1523" s="21">
        <f ca="1">ROUNDDOWN(表3[[#This Row],[日期]]-TODAY(),1)</f>
        <v>6</v>
      </c>
    </row>
    <row r="1524" spans="1:8" hidden="1" x14ac:dyDescent="0.2">
      <c r="A1524" s="22" t="s">
        <v>1338</v>
      </c>
      <c r="B1524" s="43">
        <v>43658</v>
      </c>
      <c r="C1524" s="23">
        <v>11</v>
      </c>
      <c r="D1524" s="24" t="s">
        <v>699</v>
      </c>
      <c r="E1524" s="25">
        <v>43654</v>
      </c>
      <c r="F1524" s="26" t="s">
        <v>207</v>
      </c>
      <c r="G1524" s="22"/>
      <c r="H1524" s="21">
        <f ca="1">ROUNDDOWN(表3[[#This Row],[日期]]-TODAY(),1)</f>
        <v>6</v>
      </c>
    </row>
    <row r="1525" spans="1:8" hidden="1" x14ac:dyDescent="0.2">
      <c r="A1525" s="22" t="s">
        <v>1338</v>
      </c>
      <c r="B1525" s="43">
        <v>43658</v>
      </c>
      <c r="C1525" s="23">
        <v>12</v>
      </c>
      <c r="D1525" s="24" t="s">
        <v>701</v>
      </c>
      <c r="E1525" s="25">
        <v>43654</v>
      </c>
      <c r="F1525" s="26" t="s">
        <v>207</v>
      </c>
      <c r="G1525" s="22"/>
      <c r="H1525" s="21">
        <f ca="1">ROUNDDOWN(表3[[#This Row],[日期]]-TODAY(),1)</f>
        <v>6</v>
      </c>
    </row>
    <row r="1526" spans="1:8" hidden="1" x14ac:dyDescent="0.2">
      <c r="A1526" s="22" t="s">
        <v>1338</v>
      </c>
      <c r="B1526" s="41">
        <v>43658</v>
      </c>
      <c r="C1526" s="11">
        <v>13</v>
      </c>
      <c r="D1526" s="12" t="s">
        <v>703</v>
      </c>
      <c r="E1526" s="10">
        <v>43654</v>
      </c>
      <c r="F1526" s="8" t="s">
        <v>207</v>
      </c>
      <c r="G1526" s="19"/>
      <c r="H1526" s="18">
        <f ca="1">ROUNDDOWN(表3[[#This Row],[日期]]-TODAY(),1)</f>
        <v>6</v>
      </c>
    </row>
    <row r="1527" spans="1:8" hidden="1" x14ac:dyDescent="0.2">
      <c r="A1527" s="22" t="s">
        <v>1338</v>
      </c>
      <c r="B1527" s="41">
        <v>43658</v>
      </c>
      <c r="C1527" s="11">
        <v>14</v>
      </c>
      <c r="D1527" s="12" t="s">
        <v>705</v>
      </c>
      <c r="E1527" s="10">
        <v>43654</v>
      </c>
      <c r="F1527" s="8" t="s">
        <v>207</v>
      </c>
      <c r="G1527" s="19"/>
      <c r="H1527" s="18">
        <f ca="1">ROUNDDOWN(表3[[#This Row],[日期]]-TODAY(),1)</f>
        <v>6</v>
      </c>
    </row>
    <row r="1528" spans="1:8" hidden="1" x14ac:dyDescent="0.2">
      <c r="A1528" s="22" t="s">
        <v>1338</v>
      </c>
      <c r="B1528" s="41">
        <v>43658</v>
      </c>
      <c r="C1528" s="11">
        <v>15</v>
      </c>
      <c r="D1528" s="12" t="s">
        <v>707</v>
      </c>
      <c r="E1528" s="10">
        <v>43654</v>
      </c>
      <c r="F1528" s="8" t="s">
        <v>207</v>
      </c>
      <c r="G1528" s="19"/>
      <c r="H1528" s="18">
        <f ca="1">ROUNDDOWN(表3[[#This Row],[日期]]-TODAY(),1)</f>
        <v>6</v>
      </c>
    </row>
    <row r="1529" spans="1:8" hidden="1" x14ac:dyDescent="0.2">
      <c r="A1529" s="22" t="s">
        <v>1338</v>
      </c>
      <c r="B1529" s="41">
        <v>43658</v>
      </c>
      <c r="C1529" s="11">
        <v>16</v>
      </c>
      <c r="D1529" s="12" t="s">
        <v>709</v>
      </c>
      <c r="E1529" s="10">
        <v>43654</v>
      </c>
      <c r="F1529" s="8" t="s">
        <v>207</v>
      </c>
      <c r="G1529" s="19"/>
      <c r="H1529" s="18">
        <f ca="1">ROUNDDOWN(表3[[#This Row],[日期]]-TODAY(),1)</f>
        <v>6</v>
      </c>
    </row>
    <row r="1530" spans="1:8" hidden="1" x14ac:dyDescent="0.2">
      <c r="A1530" s="22" t="s">
        <v>1338</v>
      </c>
      <c r="B1530" s="41">
        <v>43658</v>
      </c>
      <c r="C1530" s="11">
        <v>17</v>
      </c>
      <c r="D1530" s="12" t="s">
        <v>711</v>
      </c>
      <c r="E1530" s="10">
        <v>43654</v>
      </c>
      <c r="F1530" s="8" t="s">
        <v>207</v>
      </c>
      <c r="G1530" s="19"/>
      <c r="H1530" s="18">
        <f ca="1">ROUNDDOWN(表3[[#This Row],[日期]]-TODAY(),1)</f>
        <v>6</v>
      </c>
    </row>
    <row r="1531" spans="1:8" hidden="1" x14ac:dyDescent="0.2">
      <c r="A1531" s="22" t="s">
        <v>1338</v>
      </c>
      <c r="B1531" s="41">
        <v>43658</v>
      </c>
      <c r="C1531" s="11">
        <v>18</v>
      </c>
      <c r="D1531" s="12" t="s">
        <v>336</v>
      </c>
      <c r="E1531" s="10">
        <v>43654</v>
      </c>
      <c r="F1531" s="8" t="s">
        <v>207</v>
      </c>
      <c r="G1531" s="19"/>
      <c r="H1531" s="18">
        <f ca="1">ROUNDDOWN(表3[[#This Row],[日期]]-TODAY(),1)</f>
        <v>6</v>
      </c>
    </row>
    <row r="1532" spans="1:8" hidden="1" x14ac:dyDescent="0.2">
      <c r="A1532" s="22" t="s">
        <v>1338</v>
      </c>
      <c r="B1532" s="41">
        <v>43658</v>
      </c>
      <c r="C1532" s="11">
        <v>19</v>
      </c>
      <c r="D1532" s="12" t="s">
        <v>388</v>
      </c>
      <c r="E1532" s="10">
        <v>43654</v>
      </c>
      <c r="F1532" s="8" t="s">
        <v>207</v>
      </c>
      <c r="G1532" s="19"/>
      <c r="H1532" s="18">
        <f ca="1">ROUNDDOWN(表3[[#This Row],[日期]]-TODAY(),1)</f>
        <v>6</v>
      </c>
    </row>
    <row r="1533" spans="1:8" hidden="1" x14ac:dyDescent="0.2">
      <c r="A1533" s="22" t="s">
        <v>1338</v>
      </c>
      <c r="B1533" s="41">
        <v>43658</v>
      </c>
      <c r="C1533" s="11">
        <v>20</v>
      </c>
      <c r="D1533" s="12" t="s">
        <v>690</v>
      </c>
      <c r="E1533" s="10">
        <v>43654</v>
      </c>
      <c r="F1533" s="8" t="s">
        <v>207</v>
      </c>
      <c r="G1533" s="19"/>
      <c r="H1533" s="18">
        <f ca="1">ROUNDDOWN(表3[[#This Row],[日期]]-TODAY(),1)</f>
        <v>6</v>
      </c>
    </row>
    <row r="1534" spans="1:8" hidden="1" x14ac:dyDescent="0.2">
      <c r="A1534" s="22" t="s">
        <v>1338</v>
      </c>
      <c r="B1534" s="41">
        <v>43658</v>
      </c>
      <c r="C1534" s="11">
        <v>21</v>
      </c>
      <c r="D1534" s="12" t="s">
        <v>84</v>
      </c>
      <c r="E1534" s="10">
        <v>43654</v>
      </c>
      <c r="F1534" s="8" t="s">
        <v>207</v>
      </c>
      <c r="G1534" s="19"/>
      <c r="H1534" s="18">
        <f ca="1">ROUNDDOWN(表3[[#This Row],[日期]]-TODAY(),1)</f>
        <v>6</v>
      </c>
    </row>
    <row r="1535" spans="1:8" hidden="1" x14ac:dyDescent="0.2">
      <c r="A1535" s="22" t="s">
        <v>1338</v>
      </c>
      <c r="B1535" s="43">
        <v>43658</v>
      </c>
      <c r="C1535" s="23">
        <v>22</v>
      </c>
      <c r="D1535" s="24" t="s">
        <v>291</v>
      </c>
      <c r="E1535" s="25">
        <v>43654</v>
      </c>
      <c r="F1535" s="26" t="s">
        <v>207</v>
      </c>
      <c r="G1535" s="22"/>
      <c r="H1535" s="21">
        <f ca="1">ROUNDDOWN(表3[[#This Row],[日期]]-TODAY(),1)</f>
        <v>6</v>
      </c>
    </row>
    <row r="1536" spans="1:8" hidden="1" x14ac:dyDescent="0.2">
      <c r="A1536" s="22" t="s">
        <v>1338</v>
      </c>
      <c r="B1536" s="41">
        <v>43658</v>
      </c>
      <c r="C1536" s="11">
        <v>23</v>
      </c>
      <c r="D1536" s="12" t="s">
        <v>293</v>
      </c>
      <c r="E1536" s="10">
        <v>43654</v>
      </c>
      <c r="F1536" s="8" t="s">
        <v>207</v>
      </c>
      <c r="G1536" s="19"/>
      <c r="H1536" s="18">
        <f ca="1">ROUNDDOWN(表3[[#This Row],[日期]]-TODAY(),1)</f>
        <v>6</v>
      </c>
    </row>
    <row r="1537" spans="1:8" hidden="1" x14ac:dyDescent="0.2">
      <c r="A1537" s="22" t="s">
        <v>1338</v>
      </c>
      <c r="B1537" s="41">
        <v>43658</v>
      </c>
      <c r="C1537" s="11">
        <v>24</v>
      </c>
      <c r="D1537" s="12" t="s">
        <v>295</v>
      </c>
      <c r="E1537" s="10">
        <v>43654</v>
      </c>
      <c r="F1537" s="8" t="s">
        <v>207</v>
      </c>
      <c r="G1537" s="19"/>
      <c r="H1537" s="18">
        <f ca="1">ROUNDDOWN(表3[[#This Row],[日期]]-TODAY(),1)</f>
        <v>6</v>
      </c>
    </row>
    <row r="1538" spans="1:8" hidden="1" x14ac:dyDescent="0.2">
      <c r="A1538" s="22" t="s">
        <v>1338</v>
      </c>
      <c r="B1538" s="41">
        <v>43658</v>
      </c>
      <c r="C1538" s="11">
        <v>25</v>
      </c>
      <c r="D1538" s="12" t="s">
        <v>1113</v>
      </c>
      <c r="E1538" s="10">
        <v>43654</v>
      </c>
      <c r="F1538" s="8" t="s">
        <v>207</v>
      </c>
      <c r="G1538" s="19"/>
      <c r="H1538" s="18">
        <f ca="1">ROUNDDOWN(表3[[#This Row],[日期]]-TODAY(),1)</f>
        <v>6</v>
      </c>
    </row>
    <row r="1539" spans="1:8" hidden="1" x14ac:dyDescent="0.2">
      <c r="A1539" s="19" t="s">
        <v>1338</v>
      </c>
      <c r="B1539" s="41">
        <v>43658</v>
      </c>
      <c r="C1539" s="11">
        <v>26</v>
      </c>
      <c r="D1539" s="12" t="s">
        <v>1116</v>
      </c>
      <c r="E1539" s="10">
        <v>43654</v>
      </c>
      <c r="F1539" s="8" t="s">
        <v>207</v>
      </c>
      <c r="G1539" s="19"/>
      <c r="H1539" s="18">
        <f ca="1">ROUNDDOWN(表3[[#This Row],[日期]]-TODAY(),1)</f>
        <v>6</v>
      </c>
    </row>
    <row r="1540" spans="1:8" hidden="1" x14ac:dyDescent="0.2">
      <c r="A1540" s="19" t="s">
        <v>1338</v>
      </c>
      <c r="B1540" s="41">
        <v>43658</v>
      </c>
      <c r="C1540" s="11">
        <v>27</v>
      </c>
      <c r="D1540" s="12" t="s">
        <v>714</v>
      </c>
      <c r="E1540" s="10">
        <v>43654</v>
      </c>
      <c r="F1540" s="8" t="s">
        <v>207</v>
      </c>
      <c r="G1540" s="19"/>
      <c r="H1540" s="18">
        <f ca="1">ROUNDDOWN(表3[[#This Row],[日期]]-TODAY(),1)</f>
        <v>6</v>
      </c>
    </row>
    <row r="1541" spans="1:8" hidden="1" x14ac:dyDescent="0.2">
      <c r="A1541" s="19" t="s">
        <v>1338</v>
      </c>
      <c r="B1541" s="41">
        <v>43658</v>
      </c>
      <c r="C1541" s="11">
        <v>28</v>
      </c>
      <c r="D1541" s="12" t="s">
        <v>716</v>
      </c>
      <c r="E1541" s="10">
        <v>43654</v>
      </c>
      <c r="F1541" s="8" t="s">
        <v>207</v>
      </c>
      <c r="G1541" s="19"/>
      <c r="H1541" s="18">
        <f ca="1">ROUNDDOWN(表3[[#This Row],[日期]]-TODAY(),1)</f>
        <v>6</v>
      </c>
    </row>
    <row r="1542" spans="1:8" hidden="1" x14ac:dyDescent="0.2">
      <c r="A1542" s="19" t="s">
        <v>1338</v>
      </c>
      <c r="B1542" s="41">
        <v>43658</v>
      </c>
      <c r="C1542" s="11">
        <v>29</v>
      </c>
      <c r="D1542" s="12" t="s">
        <v>328</v>
      </c>
      <c r="E1542" s="10">
        <v>43654</v>
      </c>
      <c r="F1542" s="8" t="s">
        <v>207</v>
      </c>
      <c r="G1542" s="19"/>
      <c r="H1542" s="18">
        <f ca="1">ROUNDDOWN(表3[[#This Row],[日期]]-TODAY(),1)</f>
        <v>6</v>
      </c>
    </row>
    <row r="1543" spans="1:8" hidden="1" x14ac:dyDescent="0.2">
      <c r="A1543" s="19" t="s">
        <v>1338</v>
      </c>
      <c r="B1543" s="41">
        <v>43658</v>
      </c>
      <c r="C1543" s="11">
        <v>30</v>
      </c>
      <c r="D1543" s="12" t="s">
        <v>1340</v>
      </c>
      <c r="E1543" s="10">
        <v>43654</v>
      </c>
      <c r="F1543" s="8" t="s">
        <v>207</v>
      </c>
      <c r="G1543" s="19"/>
      <c r="H1543" s="18">
        <f ca="1">ROUNDDOWN(表3[[#This Row],[日期]]-TODAY(),1)</f>
        <v>6</v>
      </c>
    </row>
    <row r="1544" spans="1:8" hidden="1" x14ac:dyDescent="0.2">
      <c r="A1544" s="19" t="s">
        <v>904</v>
      </c>
      <c r="B1544" s="41">
        <v>43664</v>
      </c>
      <c r="C1544" s="11">
        <v>1</v>
      </c>
      <c r="D1544" s="12" t="s">
        <v>911</v>
      </c>
      <c r="E1544" s="10">
        <v>43630</v>
      </c>
      <c r="F1544" s="8" t="s">
        <v>307</v>
      </c>
      <c r="G1544" s="19"/>
      <c r="H1544" s="18">
        <f ca="1">ROUNDDOWN(表3[[#This Row],[日期]]-TODAY(),1)</f>
        <v>-18</v>
      </c>
    </row>
    <row r="1545" spans="1:8" hidden="1" x14ac:dyDescent="0.2">
      <c r="A1545" s="19" t="s">
        <v>904</v>
      </c>
      <c r="B1545" s="41">
        <v>43664</v>
      </c>
      <c r="C1545" s="11">
        <v>2</v>
      </c>
      <c r="D1545" s="12" t="s">
        <v>912</v>
      </c>
      <c r="E1545" s="10">
        <v>43630</v>
      </c>
      <c r="F1545" s="8" t="s">
        <v>307</v>
      </c>
      <c r="G1545" s="19"/>
      <c r="H1545" s="18">
        <f ca="1">ROUNDDOWN(表3[[#This Row],[日期]]-TODAY(),1)</f>
        <v>-18</v>
      </c>
    </row>
    <row r="1546" spans="1:8" hidden="1" x14ac:dyDescent="0.2">
      <c r="A1546" s="19" t="s">
        <v>904</v>
      </c>
      <c r="B1546" s="41">
        <v>43664</v>
      </c>
      <c r="C1546" s="11">
        <v>3</v>
      </c>
      <c r="D1546" s="12" t="s">
        <v>913</v>
      </c>
      <c r="E1546" s="10">
        <v>43654</v>
      </c>
      <c r="F1546" s="8" t="s">
        <v>307</v>
      </c>
      <c r="G1546" s="19" t="s">
        <v>919</v>
      </c>
      <c r="H1546" s="18">
        <f ca="1">ROUNDDOWN(表3[[#This Row],[日期]]-TODAY(),1)</f>
        <v>6</v>
      </c>
    </row>
    <row r="1547" spans="1:8" hidden="1" x14ac:dyDescent="0.2">
      <c r="A1547" s="19" t="s">
        <v>904</v>
      </c>
      <c r="B1547" s="41">
        <v>43664</v>
      </c>
      <c r="C1547" s="11">
        <v>4</v>
      </c>
      <c r="D1547" s="12" t="s">
        <v>914</v>
      </c>
      <c r="E1547" s="10">
        <v>43654</v>
      </c>
      <c r="F1547" s="8" t="s">
        <v>307</v>
      </c>
      <c r="G1547" s="19" t="s">
        <v>919</v>
      </c>
      <c r="H1547" s="18">
        <f ca="1">ROUNDDOWN(表3[[#This Row],[日期]]-TODAY(),1)</f>
        <v>6</v>
      </c>
    </row>
    <row r="1548" spans="1:8" hidden="1" x14ac:dyDescent="0.2">
      <c r="A1548" s="19" t="s">
        <v>904</v>
      </c>
      <c r="B1548" s="41">
        <v>43664</v>
      </c>
      <c r="C1548" s="11">
        <v>5</v>
      </c>
      <c r="D1548" s="12" t="s">
        <v>915</v>
      </c>
      <c r="E1548" s="10">
        <v>43654</v>
      </c>
      <c r="F1548" s="8" t="s">
        <v>307</v>
      </c>
      <c r="G1548" s="19" t="s">
        <v>919</v>
      </c>
      <c r="H1548" s="18">
        <f ca="1">ROUNDDOWN(表3[[#This Row],[日期]]-TODAY(),1)</f>
        <v>6</v>
      </c>
    </row>
    <row r="1549" spans="1:8" hidden="1" x14ac:dyDescent="0.2">
      <c r="A1549" s="19" t="s">
        <v>904</v>
      </c>
      <c r="B1549" s="41">
        <v>43664</v>
      </c>
      <c r="C1549" s="11">
        <v>6</v>
      </c>
      <c r="D1549" s="12" t="s">
        <v>916</v>
      </c>
      <c r="E1549" s="10">
        <v>43657</v>
      </c>
      <c r="F1549" s="8" t="s">
        <v>307</v>
      </c>
      <c r="G1549" s="19" t="s">
        <v>919</v>
      </c>
      <c r="H1549" s="18">
        <f ca="1">ROUNDDOWN(表3[[#This Row],[日期]]-TODAY(),1)</f>
        <v>9</v>
      </c>
    </row>
    <row r="1550" spans="1:8" hidden="1" x14ac:dyDescent="0.2">
      <c r="A1550" s="19" t="s">
        <v>904</v>
      </c>
      <c r="B1550" s="41">
        <v>43664</v>
      </c>
      <c r="C1550" s="11">
        <v>7</v>
      </c>
      <c r="D1550" s="12" t="s">
        <v>917</v>
      </c>
      <c r="E1550" s="10">
        <v>43657</v>
      </c>
      <c r="F1550" s="8" t="s">
        <v>307</v>
      </c>
      <c r="G1550" s="19" t="s">
        <v>919</v>
      </c>
      <c r="H1550" s="18">
        <f ca="1">ROUNDDOWN(表3[[#This Row],[日期]]-TODAY(),1)</f>
        <v>9</v>
      </c>
    </row>
    <row r="1551" spans="1:8" hidden="1" x14ac:dyDescent="0.2">
      <c r="A1551" s="19" t="s">
        <v>904</v>
      </c>
      <c r="B1551" s="41">
        <v>43664</v>
      </c>
      <c r="C1551" s="11">
        <v>8</v>
      </c>
      <c r="D1551" s="12" t="s">
        <v>905</v>
      </c>
      <c r="E1551" s="10">
        <v>43657</v>
      </c>
      <c r="F1551" s="8" t="s">
        <v>307</v>
      </c>
      <c r="G1551" s="19" t="s">
        <v>919</v>
      </c>
      <c r="H1551" s="18">
        <f ca="1">ROUNDDOWN(表3[[#This Row],[日期]]-TODAY(),1)</f>
        <v>9</v>
      </c>
    </row>
    <row r="1552" spans="1:8" hidden="1" x14ac:dyDescent="0.2">
      <c r="A1552" s="22" t="s">
        <v>904</v>
      </c>
      <c r="B1552" s="43">
        <v>43664</v>
      </c>
      <c r="C1552" s="23">
        <v>9</v>
      </c>
      <c r="D1552" s="24" t="s">
        <v>906</v>
      </c>
      <c r="E1552" s="25">
        <v>43657</v>
      </c>
      <c r="F1552" s="26" t="s">
        <v>307</v>
      </c>
      <c r="G1552" s="22" t="s">
        <v>919</v>
      </c>
      <c r="H1552" s="21">
        <f ca="1">ROUNDDOWN(表3[[#This Row],[日期]]-TODAY(),1)</f>
        <v>9</v>
      </c>
    </row>
    <row r="1553" spans="1:8" hidden="1" x14ac:dyDescent="0.2">
      <c r="A1553" s="19" t="s">
        <v>904</v>
      </c>
      <c r="B1553" s="41">
        <v>43664</v>
      </c>
      <c r="C1553" s="11">
        <v>10</v>
      </c>
      <c r="D1553" s="12" t="s">
        <v>909</v>
      </c>
      <c r="E1553" s="10">
        <v>43664</v>
      </c>
      <c r="F1553" s="8" t="s">
        <v>307</v>
      </c>
      <c r="G1553" s="19" t="s">
        <v>919</v>
      </c>
      <c r="H1553" s="18">
        <f ca="1">ROUNDDOWN(表3[[#This Row],[日期]]-TODAY(),1)</f>
        <v>16</v>
      </c>
    </row>
    <row r="1554" spans="1:8" hidden="1" x14ac:dyDescent="0.2">
      <c r="A1554" s="22" t="s">
        <v>239</v>
      </c>
      <c r="B1554" s="43">
        <v>43647</v>
      </c>
      <c r="C1554" s="23">
        <v>14</v>
      </c>
      <c r="D1554" s="24" t="s">
        <v>1173</v>
      </c>
      <c r="E1554" s="25">
        <v>43651</v>
      </c>
      <c r="F1554" s="26" t="s">
        <v>207</v>
      </c>
      <c r="G1554" s="22" t="s">
        <v>230</v>
      </c>
      <c r="H1554" s="21">
        <f ca="1">ROUNDDOWN(表3[[#This Row],[日期]]-TODAY(),1)</f>
        <v>3</v>
      </c>
    </row>
    <row r="1555" spans="1:8" hidden="1" x14ac:dyDescent="0.2">
      <c r="A1555" s="22" t="s">
        <v>1288</v>
      </c>
      <c r="B1555" s="41">
        <v>43651</v>
      </c>
      <c r="C1555" s="23">
        <v>16</v>
      </c>
      <c r="D1555" s="24" t="s">
        <v>291</v>
      </c>
      <c r="E1555" s="25">
        <v>43648</v>
      </c>
      <c r="F1555" s="8" t="s">
        <v>1431</v>
      </c>
      <c r="G1555" s="22"/>
      <c r="H1555" s="21">
        <f ca="1">ROUNDDOWN(表3[[#This Row],[日期]]-TODAY(),1)</f>
        <v>0</v>
      </c>
    </row>
    <row r="1556" spans="1:8" hidden="1" x14ac:dyDescent="0.2">
      <c r="A1556" s="22" t="s">
        <v>1288</v>
      </c>
      <c r="B1556" s="41">
        <v>43654</v>
      </c>
      <c r="C1556" s="23">
        <v>17</v>
      </c>
      <c r="D1556" s="24" t="s">
        <v>256</v>
      </c>
      <c r="E1556" s="25">
        <v>43654</v>
      </c>
      <c r="F1556" s="26" t="s">
        <v>207</v>
      </c>
      <c r="G1556" s="22"/>
      <c r="H1556" s="21">
        <f ca="1">ROUNDDOWN(表3[[#This Row],[日期]]-TODAY(),1)</f>
        <v>6</v>
      </c>
    </row>
    <row r="1557" spans="1:8" hidden="1" x14ac:dyDescent="0.2">
      <c r="A1557" s="22" t="s">
        <v>239</v>
      </c>
      <c r="B1557" s="43">
        <v>43647</v>
      </c>
      <c r="C1557" s="23">
        <v>15</v>
      </c>
      <c r="D1557" s="24" t="s">
        <v>1388</v>
      </c>
      <c r="E1557" s="25">
        <v>43648</v>
      </c>
      <c r="F1557" s="26" t="s">
        <v>260</v>
      </c>
      <c r="G1557" s="22"/>
      <c r="H1557" s="21">
        <f ca="1">ROUNDDOWN(表3[[#This Row],[日期]]-TODAY(),1)</f>
        <v>0</v>
      </c>
    </row>
    <row r="1558" spans="1:8" hidden="1" x14ac:dyDescent="0.2">
      <c r="A1558" s="22" t="s">
        <v>1288</v>
      </c>
      <c r="B1558" s="41">
        <v>43654</v>
      </c>
      <c r="C1558" s="23">
        <v>18</v>
      </c>
      <c r="D1558" s="24" t="s">
        <v>328</v>
      </c>
      <c r="E1558" s="25">
        <v>43654</v>
      </c>
      <c r="F1558" s="26" t="s">
        <v>207</v>
      </c>
      <c r="G1558" s="22"/>
      <c r="H1558" s="21">
        <f ca="1">ROUNDDOWN(表3[[#This Row],[日期]]-TODAY(),1)</f>
        <v>6</v>
      </c>
    </row>
    <row r="1559" spans="1:8" hidden="1" x14ac:dyDescent="0.2">
      <c r="A1559" s="19" t="s">
        <v>2</v>
      </c>
      <c r="B1559" s="41">
        <v>43656</v>
      </c>
      <c r="C1559" s="11">
        <v>1</v>
      </c>
      <c r="D1559" s="12" t="s">
        <v>1208</v>
      </c>
      <c r="E1559" s="10">
        <v>43647</v>
      </c>
      <c r="F1559" s="8" t="s">
        <v>1430</v>
      </c>
      <c r="G1559" s="19" t="s">
        <v>29</v>
      </c>
      <c r="H1559" s="18">
        <f ca="1">ROUNDDOWN(表3[[#This Row],[日期]]-TODAY(),1)</f>
        <v>-1</v>
      </c>
    </row>
    <row r="1560" spans="1:8" hidden="1" x14ac:dyDescent="0.2">
      <c r="A1560" s="19" t="s">
        <v>2</v>
      </c>
      <c r="B1560" s="41">
        <v>43656</v>
      </c>
      <c r="C1560" s="11">
        <v>2</v>
      </c>
      <c r="D1560" s="12" t="s">
        <v>222</v>
      </c>
      <c r="E1560" s="10">
        <v>43648</v>
      </c>
      <c r="F1560" s="8" t="s">
        <v>260</v>
      </c>
      <c r="G1560" s="19"/>
      <c r="H1560" s="18">
        <f ca="1">ROUNDDOWN(表3[[#This Row],[日期]]-TODAY(),1)</f>
        <v>0</v>
      </c>
    </row>
    <row r="1561" spans="1:8" hidden="1" x14ac:dyDescent="0.2">
      <c r="A1561" s="19" t="s">
        <v>2</v>
      </c>
      <c r="B1561" s="41">
        <v>43656</v>
      </c>
      <c r="C1561" s="11">
        <v>6</v>
      </c>
      <c r="D1561" s="12" t="s">
        <v>19</v>
      </c>
      <c r="E1561" s="10">
        <v>43648</v>
      </c>
      <c r="F1561" s="8" t="s">
        <v>260</v>
      </c>
      <c r="G1561" s="19"/>
      <c r="H1561" s="18">
        <f ca="1">ROUNDDOWN(表3[[#This Row],[日期]]-TODAY(),1)</f>
        <v>0</v>
      </c>
    </row>
    <row r="1562" spans="1:8" hidden="1" x14ac:dyDescent="0.2">
      <c r="A1562" s="19" t="s">
        <v>2</v>
      </c>
      <c r="B1562" s="41">
        <v>43656</v>
      </c>
      <c r="C1562" s="11">
        <v>7</v>
      </c>
      <c r="D1562" s="12" t="s">
        <v>21</v>
      </c>
      <c r="E1562" s="10">
        <v>43648</v>
      </c>
      <c r="F1562" s="8" t="s">
        <v>260</v>
      </c>
      <c r="G1562" s="19"/>
      <c r="H1562" s="18">
        <f ca="1">ROUNDDOWN(表3[[#This Row],[日期]]-TODAY(),1)</f>
        <v>0</v>
      </c>
    </row>
    <row r="1563" spans="1:8" hidden="1" x14ac:dyDescent="0.2">
      <c r="A1563" s="19" t="s">
        <v>2</v>
      </c>
      <c r="B1563" s="41">
        <v>43656</v>
      </c>
      <c r="C1563" s="11">
        <v>8</v>
      </c>
      <c r="D1563" s="12" t="s">
        <v>7</v>
      </c>
      <c r="E1563" s="10">
        <v>43648</v>
      </c>
      <c r="F1563" s="8" t="s">
        <v>260</v>
      </c>
      <c r="G1563" s="19"/>
      <c r="H1563" s="18">
        <f ca="1">ROUNDDOWN(表3[[#This Row],[日期]]-TODAY(),1)</f>
        <v>0</v>
      </c>
    </row>
    <row r="1564" spans="1:8" hidden="1" x14ac:dyDescent="0.2">
      <c r="A1564" s="19" t="s">
        <v>2</v>
      </c>
      <c r="B1564" s="41">
        <v>43656</v>
      </c>
      <c r="C1564" s="11">
        <v>9</v>
      </c>
      <c r="D1564" s="12" t="s">
        <v>9</v>
      </c>
      <c r="E1564" s="10">
        <v>43648</v>
      </c>
      <c r="F1564" s="8" t="s">
        <v>260</v>
      </c>
      <c r="G1564" s="19"/>
      <c r="H1564" s="18">
        <f ca="1">ROUNDDOWN(表3[[#This Row],[日期]]-TODAY(),1)</f>
        <v>0</v>
      </c>
    </row>
    <row r="1565" spans="1:8" hidden="1" x14ac:dyDescent="0.2">
      <c r="A1565" s="19" t="s">
        <v>2</v>
      </c>
      <c r="B1565" s="41">
        <v>43656</v>
      </c>
      <c r="C1565" s="11">
        <v>10</v>
      </c>
      <c r="D1565" s="12" t="s">
        <v>11</v>
      </c>
      <c r="E1565" s="10">
        <v>43648</v>
      </c>
      <c r="F1565" s="8" t="s">
        <v>207</v>
      </c>
      <c r="G1565" s="19" t="s">
        <v>32</v>
      </c>
      <c r="H1565" s="18">
        <f ca="1">ROUNDDOWN(表3[[#This Row],[日期]]-TODAY(),1)</f>
        <v>0</v>
      </c>
    </row>
    <row r="1566" spans="1:8" hidden="1" x14ac:dyDescent="0.2">
      <c r="A1566" s="19" t="s">
        <v>2</v>
      </c>
      <c r="B1566" s="41">
        <v>43656</v>
      </c>
      <c r="C1566" s="11">
        <v>11</v>
      </c>
      <c r="D1566" s="12" t="s">
        <v>58</v>
      </c>
      <c r="E1566" s="10">
        <v>43648</v>
      </c>
      <c r="F1566" s="8" t="s">
        <v>207</v>
      </c>
      <c r="G1566" s="19"/>
      <c r="H1566" s="18">
        <f ca="1">ROUNDDOWN(表3[[#This Row],[日期]]-TODAY(),1)</f>
        <v>0</v>
      </c>
    </row>
    <row r="1567" spans="1:8" hidden="1" x14ac:dyDescent="0.2">
      <c r="A1567" s="19" t="s">
        <v>2</v>
      </c>
      <c r="B1567" s="41">
        <v>43656</v>
      </c>
      <c r="C1567" s="11">
        <v>12</v>
      </c>
      <c r="D1567" s="12" t="s">
        <v>1209</v>
      </c>
      <c r="E1567" s="10">
        <v>43648</v>
      </c>
      <c r="F1567" s="8" t="s">
        <v>207</v>
      </c>
      <c r="G1567" s="19" t="s">
        <v>34</v>
      </c>
      <c r="H1567" s="18">
        <f ca="1">ROUNDDOWN(表3[[#This Row],[日期]]-TODAY(),1)</f>
        <v>0</v>
      </c>
    </row>
    <row r="1568" spans="1:8" hidden="1" x14ac:dyDescent="0.2">
      <c r="A1568" s="19" t="s">
        <v>2</v>
      </c>
      <c r="B1568" s="41">
        <v>43656</v>
      </c>
      <c r="C1568" s="11">
        <v>13</v>
      </c>
      <c r="D1568" s="12" t="s">
        <v>23</v>
      </c>
      <c r="E1568" s="10">
        <v>43648</v>
      </c>
      <c r="F1568" s="8" t="s">
        <v>207</v>
      </c>
      <c r="G1568" s="19"/>
      <c r="H1568" s="18">
        <f ca="1">ROUNDDOWN(表3[[#This Row],[日期]]-TODAY(),1)</f>
        <v>0</v>
      </c>
    </row>
    <row r="1569" spans="1:8" hidden="1" x14ac:dyDescent="0.2">
      <c r="A1569" s="19" t="s">
        <v>2</v>
      </c>
      <c r="B1569" s="41">
        <v>43656</v>
      </c>
      <c r="C1569" s="11">
        <v>14</v>
      </c>
      <c r="D1569" s="12" t="s">
        <v>39</v>
      </c>
      <c r="E1569" s="10">
        <v>43648</v>
      </c>
      <c r="F1569" s="8" t="s">
        <v>207</v>
      </c>
      <c r="G1569" s="19"/>
      <c r="H1569" s="18">
        <f ca="1">ROUNDDOWN(表3[[#This Row],[日期]]-TODAY(),1)</f>
        <v>0</v>
      </c>
    </row>
    <row r="1570" spans="1:8" hidden="1" x14ac:dyDescent="0.2">
      <c r="A1570" s="19" t="s">
        <v>2</v>
      </c>
      <c r="B1570" s="41">
        <v>43656</v>
      </c>
      <c r="C1570" s="11">
        <v>15</v>
      </c>
      <c r="D1570" s="12" t="s">
        <v>25</v>
      </c>
      <c r="E1570" s="10">
        <v>43648</v>
      </c>
      <c r="F1570" s="8" t="s">
        <v>207</v>
      </c>
      <c r="G1570" s="19"/>
      <c r="H1570" s="18">
        <f ca="1">ROUNDDOWN(表3[[#This Row],[日期]]-TODAY(),1)</f>
        <v>0</v>
      </c>
    </row>
    <row r="1571" spans="1:8" hidden="1" x14ac:dyDescent="0.2">
      <c r="A1571" s="19" t="s">
        <v>2</v>
      </c>
      <c r="B1571" s="41">
        <v>43656</v>
      </c>
      <c r="C1571" s="11">
        <v>16</v>
      </c>
      <c r="D1571" s="12" t="s">
        <v>13</v>
      </c>
      <c r="E1571" s="10">
        <v>43648</v>
      </c>
      <c r="F1571" s="8" t="s">
        <v>207</v>
      </c>
      <c r="G1571" s="19"/>
      <c r="H1571" s="18">
        <f ca="1">ROUNDDOWN(表3[[#This Row],[日期]]-TODAY(),1)</f>
        <v>0</v>
      </c>
    </row>
    <row r="1572" spans="1:8" hidden="1" x14ac:dyDescent="0.2">
      <c r="A1572" s="19" t="s">
        <v>2</v>
      </c>
      <c r="B1572" s="41">
        <v>43656</v>
      </c>
      <c r="C1572" s="11">
        <v>17</v>
      </c>
      <c r="D1572" s="12" t="s">
        <v>15</v>
      </c>
      <c r="E1572" s="10">
        <v>43648</v>
      </c>
      <c r="F1572" s="8" t="s">
        <v>207</v>
      </c>
      <c r="G1572" s="19"/>
      <c r="H1572" s="18">
        <f ca="1">ROUNDDOWN(表3[[#This Row],[日期]]-TODAY(),1)</f>
        <v>0</v>
      </c>
    </row>
    <row r="1573" spans="1:8" hidden="1" x14ac:dyDescent="0.2">
      <c r="A1573" s="19" t="s">
        <v>2</v>
      </c>
      <c r="B1573" s="41">
        <v>43656</v>
      </c>
      <c r="C1573" s="11">
        <v>18</v>
      </c>
      <c r="D1573" s="12" t="s">
        <v>17</v>
      </c>
      <c r="E1573" s="10">
        <v>43648</v>
      </c>
      <c r="F1573" s="8" t="s">
        <v>207</v>
      </c>
      <c r="G1573" s="19"/>
      <c r="H1573" s="18">
        <f ca="1">ROUNDDOWN(表3[[#This Row],[日期]]-TODAY(),1)</f>
        <v>0</v>
      </c>
    </row>
    <row r="1574" spans="1:8" hidden="1" x14ac:dyDescent="0.2">
      <c r="A1574" s="19" t="s">
        <v>2</v>
      </c>
      <c r="B1574" s="41">
        <v>43656</v>
      </c>
      <c r="C1574" s="11">
        <v>19</v>
      </c>
      <c r="D1574" s="12" t="s">
        <v>56</v>
      </c>
      <c r="E1574" s="10">
        <v>43648</v>
      </c>
      <c r="F1574" s="8" t="s">
        <v>207</v>
      </c>
      <c r="G1574" s="19"/>
      <c r="H1574" s="18">
        <f ca="1">ROUNDDOWN(表3[[#This Row],[日期]]-TODAY(),1)</f>
        <v>0</v>
      </c>
    </row>
    <row r="1575" spans="1:8" hidden="1" x14ac:dyDescent="0.2">
      <c r="A1575" s="19" t="s">
        <v>2</v>
      </c>
      <c r="B1575" s="41">
        <v>43656</v>
      </c>
      <c r="C1575" s="11">
        <v>20</v>
      </c>
      <c r="D1575" s="12" t="s">
        <v>1210</v>
      </c>
      <c r="E1575" s="10">
        <v>43648</v>
      </c>
      <c r="F1575" s="8" t="s">
        <v>207</v>
      </c>
      <c r="G1575" s="19" t="s">
        <v>36</v>
      </c>
      <c r="H1575" s="18">
        <f ca="1">ROUNDDOWN(表3[[#This Row],[日期]]-TODAY(),1)</f>
        <v>0</v>
      </c>
    </row>
    <row r="1576" spans="1:8" hidden="1" x14ac:dyDescent="0.2">
      <c r="A1576" s="19" t="s">
        <v>2</v>
      </c>
      <c r="B1576" s="41">
        <v>43656</v>
      </c>
      <c r="C1576" s="11">
        <v>21</v>
      </c>
      <c r="D1576" s="12" t="s">
        <v>38</v>
      </c>
      <c r="E1576" s="10">
        <v>43648</v>
      </c>
      <c r="F1576" s="8" t="s">
        <v>207</v>
      </c>
      <c r="G1576" s="19"/>
      <c r="H1576" s="18">
        <f ca="1">ROUNDDOWN(表3[[#This Row],[日期]]-TODAY(),1)</f>
        <v>0</v>
      </c>
    </row>
    <row r="1577" spans="1:8" hidden="1" x14ac:dyDescent="0.2">
      <c r="A1577" s="19" t="s">
        <v>2</v>
      </c>
      <c r="B1577" s="41">
        <v>43656</v>
      </c>
      <c r="C1577" s="11">
        <v>22</v>
      </c>
      <c r="D1577" s="12" t="s">
        <v>41</v>
      </c>
      <c r="E1577" s="10">
        <v>43648</v>
      </c>
      <c r="F1577" s="8" t="s">
        <v>207</v>
      </c>
      <c r="G1577" s="19"/>
      <c r="H1577" s="18">
        <f ca="1">ROUNDDOWN(表3[[#This Row],[日期]]-TODAY(),1)</f>
        <v>0</v>
      </c>
    </row>
    <row r="1578" spans="1:8" hidden="1" x14ac:dyDescent="0.2">
      <c r="A1578" s="19" t="s">
        <v>2</v>
      </c>
      <c r="B1578" s="41">
        <v>43656</v>
      </c>
      <c r="C1578" s="11">
        <v>23</v>
      </c>
      <c r="D1578" s="12" t="s">
        <v>1211</v>
      </c>
      <c r="E1578" s="10">
        <v>43648</v>
      </c>
      <c r="F1578" s="8" t="s">
        <v>207</v>
      </c>
      <c r="G1578" s="19" t="s">
        <v>43</v>
      </c>
      <c r="H1578" s="18">
        <f ca="1">ROUNDDOWN(表3[[#This Row],[日期]]-TODAY(),1)</f>
        <v>0</v>
      </c>
    </row>
    <row r="1579" spans="1:8" hidden="1" x14ac:dyDescent="0.2">
      <c r="A1579" s="19" t="s">
        <v>2</v>
      </c>
      <c r="B1579" s="41">
        <v>43656</v>
      </c>
      <c r="C1579" s="11">
        <v>24</v>
      </c>
      <c r="D1579" s="12" t="s">
        <v>223</v>
      </c>
      <c r="E1579" s="10">
        <v>43648</v>
      </c>
      <c r="F1579" s="8" t="s">
        <v>207</v>
      </c>
      <c r="G1579" s="19" t="s">
        <v>198</v>
      </c>
      <c r="H1579" s="18">
        <f ca="1">ROUNDDOWN(表3[[#This Row],[日期]]-TODAY(),1)</f>
        <v>0</v>
      </c>
    </row>
    <row r="1580" spans="1:8" hidden="1" x14ac:dyDescent="0.2">
      <c r="A1580" s="19" t="s">
        <v>2</v>
      </c>
      <c r="B1580" s="41">
        <v>43656</v>
      </c>
      <c r="C1580" s="11">
        <v>25</v>
      </c>
      <c r="D1580" s="12" t="s">
        <v>1212</v>
      </c>
      <c r="E1580" s="10">
        <v>43648</v>
      </c>
      <c r="F1580" s="8" t="s">
        <v>207</v>
      </c>
      <c r="G1580" s="19"/>
      <c r="H1580" s="18">
        <f ca="1">ROUNDDOWN(表3[[#This Row],[日期]]-TODAY(),1)</f>
        <v>0</v>
      </c>
    </row>
    <row r="1581" spans="1:8" hidden="1" x14ac:dyDescent="0.2">
      <c r="A1581" s="19" t="s">
        <v>2</v>
      </c>
      <c r="B1581" s="41">
        <v>43656</v>
      </c>
      <c r="C1581" s="11">
        <v>26</v>
      </c>
      <c r="D1581" s="12" t="s">
        <v>988</v>
      </c>
      <c r="E1581" s="10">
        <v>43648</v>
      </c>
      <c r="F1581" s="8" t="s">
        <v>207</v>
      </c>
      <c r="G1581" s="19"/>
      <c r="H1581" s="18">
        <f ca="1">ROUNDDOWN(表3[[#This Row],[日期]]-TODAY(),1)</f>
        <v>0</v>
      </c>
    </row>
    <row r="1582" spans="1:8" hidden="1" x14ac:dyDescent="0.2">
      <c r="A1582" s="19" t="s">
        <v>2</v>
      </c>
      <c r="B1582" s="41">
        <v>43656</v>
      </c>
      <c r="C1582" s="11">
        <v>27</v>
      </c>
      <c r="D1582" s="12" t="s">
        <v>81</v>
      </c>
      <c r="E1582" s="10">
        <v>43648</v>
      </c>
      <c r="F1582" s="8" t="s">
        <v>207</v>
      </c>
      <c r="G1582" s="19"/>
      <c r="H1582" s="18">
        <f ca="1">ROUNDDOWN(表3[[#This Row],[日期]]-TODAY(),1)</f>
        <v>0</v>
      </c>
    </row>
    <row r="1583" spans="1:8" hidden="1" x14ac:dyDescent="0.2">
      <c r="A1583" s="19" t="s">
        <v>2</v>
      </c>
      <c r="B1583" s="41">
        <v>43656</v>
      </c>
      <c r="C1583" s="11">
        <v>28</v>
      </c>
      <c r="D1583" s="12" t="s">
        <v>77</v>
      </c>
      <c r="E1583" s="10">
        <v>43648</v>
      </c>
      <c r="F1583" s="8" t="s">
        <v>207</v>
      </c>
      <c r="G1583" s="19"/>
      <c r="H1583" s="18">
        <f ca="1">ROUNDDOWN(表3[[#This Row],[日期]]-TODAY(),1)</f>
        <v>0</v>
      </c>
    </row>
    <row r="1584" spans="1:8" hidden="1" x14ac:dyDescent="0.2">
      <c r="A1584" s="19" t="s">
        <v>2</v>
      </c>
      <c r="B1584" s="41">
        <v>43656</v>
      </c>
      <c r="C1584" s="11">
        <v>29</v>
      </c>
      <c r="D1584" s="12" t="s">
        <v>79</v>
      </c>
      <c r="E1584" s="10">
        <v>43648</v>
      </c>
      <c r="F1584" s="8" t="s">
        <v>207</v>
      </c>
      <c r="G1584" s="19"/>
      <c r="H1584" s="18">
        <f ca="1">ROUNDDOWN(表3[[#This Row],[日期]]-TODAY(),1)</f>
        <v>0</v>
      </c>
    </row>
    <row r="1585" spans="1:8" hidden="1" x14ac:dyDescent="0.2">
      <c r="A1585" s="19" t="s">
        <v>2</v>
      </c>
      <c r="B1585" s="41">
        <v>43656</v>
      </c>
      <c r="C1585" s="11">
        <v>31</v>
      </c>
      <c r="D1585" s="12" t="s">
        <v>49</v>
      </c>
      <c r="E1585" s="10">
        <v>43648</v>
      </c>
      <c r="F1585" s="8" t="s">
        <v>207</v>
      </c>
      <c r="G1585" s="19" t="s">
        <v>43</v>
      </c>
      <c r="H1585" s="18">
        <f ca="1">ROUNDDOWN(表3[[#This Row],[日期]]-TODAY(),1)</f>
        <v>0</v>
      </c>
    </row>
    <row r="1586" spans="1:8" hidden="1" x14ac:dyDescent="0.2">
      <c r="A1586" s="19" t="s">
        <v>2</v>
      </c>
      <c r="B1586" s="41">
        <v>43656</v>
      </c>
      <c r="C1586" s="11">
        <v>32</v>
      </c>
      <c r="D1586" s="12" t="s">
        <v>54</v>
      </c>
      <c r="E1586" s="10">
        <v>43648</v>
      </c>
      <c r="F1586" s="8" t="s">
        <v>207</v>
      </c>
      <c r="G1586" s="19"/>
      <c r="H1586" s="18">
        <f ca="1">ROUNDDOWN(表3[[#This Row],[日期]]-TODAY(),1)</f>
        <v>0</v>
      </c>
    </row>
    <row r="1587" spans="1:8" hidden="1" x14ac:dyDescent="0.2">
      <c r="A1587" s="19" t="s">
        <v>2</v>
      </c>
      <c r="B1587" s="41">
        <v>43656</v>
      </c>
      <c r="C1587" s="11">
        <v>33</v>
      </c>
      <c r="D1587" s="12" t="s">
        <v>69</v>
      </c>
      <c r="E1587" s="10">
        <v>43648</v>
      </c>
      <c r="F1587" s="8" t="s">
        <v>207</v>
      </c>
      <c r="G1587" s="19" t="s">
        <v>66</v>
      </c>
      <c r="H1587" s="18">
        <f ca="1">ROUNDDOWN(表3[[#This Row],[日期]]-TODAY(),1)</f>
        <v>0</v>
      </c>
    </row>
    <row r="1588" spans="1:8" hidden="1" x14ac:dyDescent="0.2">
      <c r="A1588" s="19" t="s">
        <v>2</v>
      </c>
      <c r="B1588" s="41">
        <v>43656</v>
      </c>
      <c r="C1588" s="11">
        <v>34</v>
      </c>
      <c r="D1588" s="12" t="s">
        <v>64</v>
      </c>
      <c r="E1588" s="10">
        <v>43648</v>
      </c>
      <c r="F1588" s="8" t="s">
        <v>207</v>
      </c>
      <c r="G1588" s="19"/>
      <c r="H1588" s="18">
        <f ca="1">ROUNDDOWN(表3[[#This Row],[日期]]-TODAY(),1)</f>
        <v>0</v>
      </c>
    </row>
    <row r="1589" spans="1:8" hidden="1" x14ac:dyDescent="0.2">
      <c r="A1589" s="19" t="s">
        <v>2</v>
      </c>
      <c r="B1589" s="41">
        <v>43656</v>
      </c>
      <c r="C1589" s="11">
        <v>35</v>
      </c>
      <c r="D1589" s="12" t="s">
        <v>1213</v>
      </c>
      <c r="E1589" s="10">
        <v>43648</v>
      </c>
      <c r="F1589" s="8" t="s">
        <v>207</v>
      </c>
      <c r="G1589" s="19" t="s">
        <v>32</v>
      </c>
      <c r="H1589" s="18">
        <f ca="1">ROUNDDOWN(表3[[#This Row],[日期]]-TODAY(),1)</f>
        <v>0</v>
      </c>
    </row>
    <row r="1590" spans="1:8" hidden="1" x14ac:dyDescent="0.2">
      <c r="A1590" s="19" t="s">
        <v>2</v>
      </c>
      <c r="B1590" s="41">
        <v>43656</v>
      </c>
      <c r="C1590" s="11">
        <v>36</v>
      </c>
      <c r="D1590" s="12" t="s">
        <v>1214</v>
      </c>
      <c r="E1590" s="10">
        <v>43648</v>
      </c>
      <c r="F1590" s="8" t="s">
        <v>207</v>
      </c>
      <c r="G1590" s="19" t="s">
        <v>43</v>
      </c>
      <c r="H1590" s="18">
        <f ca="1">ROUNDDOWN(表3[[#This Row],[日期]]-TODAY(),1)</f>
        <v>0</v>
      </c>
    </row>
    <row r="1591" spans="1:8" hidden="1" x14ac:dyDescent="0.2">
      <c r="A1591" s="19" t="s">
        <v>2</v>
      </c>
      <c r="B1591" s="41">
        <v>43656</v>
      </c>
      <c r="C1591" s="11">
        <v>37</v>
      </c>
      <c r="D1591" s="12" t="s">
        <v>1427</v>
      </c>
      <c r="E1591" s="10">
        <v>43648</v>
      </c>
      <c r="F1591" s="8" t="s">
        <v>207</v>
      </c>
      <c r="G1591" s="19"/>
      <c r="H1591" s="18">
        <f ca="1">ROUNDDOWN(表3[[#This Row],[日期]]-TODAY(),1)</f>
        <v>0</v>
      </c>
    </row>
    <row r="1592" spans="1:8" hidden="1" x14ac:dyDescent="0.2">
      <c r="A1592" s="19" t="s">
        <v>2</v>
      </c>
      <c r="B1592" s="41">
        <v>43656</v>
      </c>
      <c r="C1592" s="11">
        <v>37</v>
      </c>
      <c r="D1592" s="12" t="s">
        <v>71</v>
      </c>
      <c r="E1592" s="10">
        <v>43648</v>
      </c>
      <c r="F1592" s="8" t="s">
        <v>207</v>
      </c>
      <c r="G1592" s="19" t="s">
        <v>73</v>
      </c>
      <c r="H1592" s="18">
        <f ca="1">ROUNDDOWN(表3[[#This Row],[日期]]-TODAY(),1)</f>
        <v>0</v>
      </c>
    </row>
    <row r="1593" spans="1:8" hidden="1" x14ac:dyDescent="0.2">
      <c r="A1593" s="19" t="s">
        <v>2</v>
      </c>
      <c r="B1593" s="41">
        <v>43656</v>
      </c>
      <c r="C1593" s="11">
        <v>37</v>
      </c>
      <c r="D1593" s="12" t="s">
        <v>75</v>
      </c>
      <c r="E1593" s="10">
        <v>43648</v>
      </c>
      <c r="F1593" s="8" t="s">
        <v>207</v>
      </c>
      <c r="G1593" s="19"/>
      <c r="H1593" s="18">
        <f ca="1">ROUNDDOWN(表3[[#This Row],[日期]]-TODAY(),1)</f>
        <v>0</v>
      </c>
    </row>
    <row r="1594" spans="1:8" hidden="1" x14ac:dyDescent="0.2">
      <c r="A1594" s="19" t="s">
        <v>2</v>
      </c>
      <c r="B1594" s="41">
        <v>43656</v>
      </c>
      <c r="C1594" s="11">
        <v>37</v>
      </c>
      <c r="D1594" s="12" t="s">
        <v>1428</v>
      </c>
      <c r="E1594" s="10">
        <v>43648</v>
      </c>
      <c r="F1594" s="8" t="s">
        <v>207</v>
      </c>
      <c r="G1594" s="19"/>
      <c r="H1594" s="18">
        <f ca="1">ROUNDDOWN(表3[[#This Row],[日期]]-TODAY(),1)</f>
        <v>0</v>
      </c>
    </row>
    <row r="1595" spans="1:8" hidden="1" x14ac:dyDescent="0.2">
      <c r="A1595" s="19" t="s">
        <v>2</v>
      </c>
      <c r="B1595" s="41">
        <v>43656</v>
      </c>
      <c r="C1595" s="11">
        <v>37</v>
      </c>
      <c r="D1595" s="12" t="s">
        <v>84</v>
      </c>
      <c r="E1595" s="10">
        <v>43648</v>
      </c>
      <c r="F1595" s="8" t="s">
        <v>207</v>
      </c>
      <c r="G1595" s="19"/>
      <c r="H1595" s="18">
        <f ca="1">ROUNDDOWN(表3[[#This Row],[日期]]-TODAY(),1)</f>
        <v>0</v>
      </c>
    </row>
    <row r="1596" spans="1:8" hidden="1" x14ac:dyDescent="0.2">
      <c r="A1596" s="19" t="s">
        <v>2</v>
      </c>
      <c r="B1596" s="41">
        <v>43656</v>
      </c>
      <c r="C1596" s="11">
        <v>42</v>
      </c>
      <c r="D1596" s="12" t="s">
        <v>86</v>
      </c>
      <c r="E1596" s="10">
        <v>43648</v>
      </c>
      <c r="F1596" s="8" t="s">
        <v>207</v>
      </c>
      <c r="G1596" s="19"/>
      <c r="H1596" s="18">
        <f ca="1">ROUNDDOWN(表3[[#This Row],[日期]]-TODAY(),1)</f>
        <v>0</v>
      </c>
    </row>
    <row r="1597" spans="1:8" hidden="1" x14ac:dyDescent="0.2">
      <c r="A1597" s="19" t="s">
        <v>2</v>
      </c>
      <c r="B1597" s="41">
        <v>43656</v>
      </c>
      <c r="C1597" s="11">
        <v>43</v>
      </c>
      <c r="D1597" s="12" t="s">
        <v>88</v>
      </c>
      <c r="E1597" s="10">
        <v>43648</v>
      </c>
      <c r="F1597" s="8" t="s">
        <v>207</v>
      </c>
      <c r="G1597" s="19"/>
      <c r="H1597" s="18">
        <f ca="1">ROUNDDOWN(表3[[#This Row],[日期]]-TODAY(),1)</f>
        <v>0</v>
      </c>
    </row>
    <row r="1598" spans="1:8" hidden="1" x14ac:dyDescent="0.2">
      <c r="A1598" s="19" t="s">
        <v>2</v>
      </c>
      <c r="B1598" s="41">
        <v>43656</v>
      </c>
      <c r="C1598" s="11">
        <v>44</v>
      </c>
      <c r="D1598" s="12" t="s">
        <v>90</v>
      </c>
      <c r="E1598" s="10">
        <v>43648</v>
      </c>
      <c r="F1598" s="8" t="s">
        <v>207</v>
      </c>
      <c r="G1598" s="19"/>
      <c r="H1598" s="18">
        <f ca="1">ROUNDDOWN(表3[[#This Row],[日期]]-TODAY(),1)</f>
        <v>0</v>
      </c>
    </row>
    <row r="1599" spans="1:8" hidden="1" x14ac:dyDescent="0.2">
      <c r="A1599" s="19" t="s">
        <v>2</v>
      </c>
      <c r="B1599" s="41">
        <v>43656</v>
      </c>
      <c r="C1599" s="11">
        <v>45</v>
      </c>
      <c r="D1599" s="12" t="s">
        <v>1215</v>
      </c>
      <c r="E1599" s="10">
        <v>43648</v>
      </c>
      <c r="F1599" s="8" t="s">
        <v>207</v>
      </c>
      <c r="G1599" s="19"/>
      <c r="H1599" s="18">
        <f ca="1">ROUNDDOWN(表3[[#This Row],[日期]]-TODAY(),1)</f>
        <v>0</v>
      </c>
    </row>
    <row r="1600" spans="1:8" hidden="1" x14ac:dyDescent="0.2">
      <c r="A1600" s="19" t="s">
        <v>2</v>
      </c>
      <c r="B1600" s="41">
        <v>43656</v>
      </c>
      <c r="C1600" s="11">
        <v>46</v>
      </c>
      <c r="D1600" s="12" t="s">
        <v>328</v>
      </c>
      <c r="E1600" s="10">
        <v>43648</v>
      </c>
      <c r="F1600" s="8" t="s">
        <v>207</v>
      </c>
      <c r="G1600" s="19"/>
      <c r="H1600" s="18">
        <f ca="1">ROUNDDOWN(表3[[#This Row],[日期]]-TODAY(),1)</f>
        <v>0</v>
      </c>
    </row>
    <row r="1601" spans="1:8" hidden="1" x14ac:dyDescent="0.2">
      <c r="A1601" s="22" t="s">
        <v>2</v>
      </c>
      <c r="B1601" s="43">
        <v>43656</v>
      </c>
      <c r="C1601" s="23">
        <v>47</v>
      </c>
      <c r="D1601" s="24" t="s">
        <v>1429</v>
      </c>
      <c r="E1601" s="25">
        <v>43648</v>
      </c>
      <c r="F1601" s="26" t="s">
        <v>207</v>
      </c>
      <c r="G1601" s="22" t="s">
        <v>131</v>
      </c>
      <c r="H1601" s="21">
        <f ca="1">ROUNDDOWN(表3[[#This Row],[日期]]-TODAY(),1)</f>
        <v>0</v>
      </c>
    </row>
    <row r="1602" spans="1:8" hidden="1" x14ac:dyDescent="0.2">
      <c r="A1602" s="19" t="s">
        <v>2</v>
      </c>
      <c r="B1602" s="41">
        <v>43658</v>
      </c>
      <c r="C1602" s="11">
        <v>1</v>
      </c>
      <c r="D1602" s="12" t="s">
        <v>1208</v>
      </c>
      <c r="E1602" s="10">
        <v>43647</v>
      </c>
      <c r="F1602" s="8" t="s">
        <v>1430</v>
      </c>
      <c r="G1602" s="19" t="s">
        <v>29</v>
      </c>
      <c r="H1602" s="18">
        <f ca="1">ROUNDDOWN(表3[[#This Row],[日期]]-TODAY(),1)</f>
        <v>-1</v>
      </c>
    </row>
    <row r="1603" spans="1:8" hidden="1" x14ac:dyDescent="0.2">
      <c r="A1603" s="19" t="s">
        <v>2</v>
      </c>
      <c r="B1603" s="41">
        <v>43658</v>
      </c>
      <c r="C1603" s="11">
        <v>2</v>
      </c>
      <c r="D1603" s="12" t="s">
        <v>222</v>
      </c>
      <c r="E1603" s="10">
        <v>43648</v>
      </c>
      <c r="F1603" s="8" t="s">
        <v>207</v>
      </c>
      <c r="G1603" s="19"/>
      <c r="H1603" s="18">
        <f ca="1">ROUNDDOWN(表3[[#This Row],[日期]]-TODAY(),1)</f>
        <v>0</v>
      </c>
    </row>
    <row r="1604" spans="1:8" hidden="1" x14ac:dyDescent="0.2">
      <c r="A1604" s="19" t="s">
        <v>2</v>
      </c>
      <c r="B1604" s="41">
        <v>43658</v>
      </c>
      <c r="C1604" s="11">
        <v>6</v>
      </c>
      <c r="D1604" s="12" t="s">
        <v>19</v>
      </c>
      <c r="E1604" s="10">
        <v>43648</v>
      </c>
      <c r="F1604" s="8" t="s">
        <v>260</v>
      </c>
      <c r="G1604" s="19"/>
      <c r="H1604" s="18">
        <f ca="1">ROUNDDOWN(表3[[#This Row],[日期]]-TODAY(),1)</f>
        <v>0</v>
      </c>
    </row>
    <row r="1605" spans="1:8" hidden="1" x14ac:dyDescent="0.2">
      <c r="A1605" s="19" t="s">
        <v>2</v>
      </c>
      <c r="B1605" s="41">
        <v>43658</v>
      </c>
      <c r="C1605" s="11">
        <v>7</v>
      </c>
      <c r="D1605" s="12" t="s">
        <v>21</v>
      </c>
      <c r="E1605" s="10">
        <v>43648</v>
      </c>
      <c r="F1605" s="8" t="s">
        <v>260</v>
      </c>
      <c r="G1605" s="19"/>
      <c r="H1605" s="18">
        <f ca="1">ROUNDDOWN(表3[[#This Row],[日期]]-TODAY(),1)</f>
        <v>0</v>
      </c>
    </row>
    <row r="1606" spans="1:8" hidden="1" x14ac:dyDescent="0.2">
      <c r="A1606" s="19" t="s">
        <v>2</v>
      </c>
      <c r="B1606" s="41">
        <v>43658</v>
      </c>
      <c r="C1606" s="11">
        <v>8</v>
      </c>
      <c r="D1606" s="12" t="s">
        <v>7</v>
      </c>
      <c r="E1606" s="10">
        <v>43648</v>
      </c>
      <c r="F1606" s="8" t="s">
        <v>260</v>
      </c>
      <c r="G1606" s="19"/>
      <c r="H1606" s="18">
        <f ca="1">ROUNDDOWN(表3[[#This Row],[日期]]-TODAY(),1)</f>
        <v>0</v>
      </c>
    </row>
    <row r="1607" spans="1:8" hidden="1" x14ac:dyDescent="0.2">
      <c r="A1607" s="19" t="s">
        <v>2</v>
      </c>
      <c r="B1607" s="41">
        <v>43658</v>
      </c>
      <c r="C1607" s="11">
        <v>9</v>
      </c>
      <c r="D1607" s="12" t="s">
        <v>9</v>
      </c>
      <c r="E1607" s="10">
        <v>43648</v>
      </c>
      <c r="F1607" s="8" t="s">
        <v>260</v>
      </c>
      <c r="G1607" s="19"/>
      <c r="H1607" s="18">
        <f ca="1">ROUNDDOWN(表3[[#This Row],[日期]]-TODAY(),1)</f>
        <v>0</v>
      </c>
    </row>
    <row r="1608" spans="1:8" hidden="1" x14ac:dyDescent="0.2">
      <c r="A1608" s="19" t="s">
        <v>2</v>
      </c>
      <c r="B1608" s="41">
        <v>43658</v>
      </c>
      <c r="C1608" s="11">
        <v>10</v>
      </c>
      <c r="D1608" s="12" t="s">
        <v>11</v>
      </c>
      <c r="E1608" s="10">
        <v>43648</v>
      </c>
      <c r="F1608" s="8" t="s">
        <v>207</v>
      </c>
      <c r="G1608" s="19" t="s">
        <v>32</v>
      </c>
      <c r="H1608" s="18">
        <f ca="1">ROUNDDOWN(表3[[#This Row],[日期]]-TODAY(),1)</f>
        <v>0</v>
      </c>
    </row>
    <row r="1609" spans="1:8" hidden="1" x14ac:dyDescent="0.2">
      <c r="A1609" s="19" t="s">
        <v>2</v>
      </c>
      <c r="B1609" s="41">
        <v>43658</v>
      </c>
      <c r="C1609" s="11">
        <v>11</v>
      </c>
      <c r="D1609" s="12" t="s">
        <v>58</v>
      </c>
      <c r="E1609" s="10">
        <v>43648</v>
      </c>
      <c r="F1609" s="8" t="s">
        <v>207</v>
      </c>
      <c r="G1609" s="19"/>
      <c r="H1609" s="18">
        <f ca="1">ROUNDDOWN(表3[[#This Row],[日期]]-TODAY(),1)</f>
        <v>0</v>
      </c>
    </row>
    <row r="1610" spans="1:8" hidden="1" x14ac:dyDescent="0.2">
      <c r="A1610" s="19" t="s">
        <v>2</v>
      </c>
      <c r="B1610" s="41">
        <v>43658</v>
      </c>
      <c r="C1610" s="11">
        <v>12</v>
      </c>
      <c r="D1610" s="12" t="s">
        <v>1209</v>
      </c>
      <c r="E1610" s="10">
        <v>43648</v>
      </c>
      <c r="F1610" s="8" t="s">
        <v>207</v>
      </c>
      <c r="G1610" s="19" t="s">
        <v>34</v>
      </c>
      <c r="H1610" s="18">
        <f ca="1">ROUNDDOWN(表3[[#This Row],[日期]]-TODAY(),1)</f>
        <v>0</v>
      </c>
    </row>
    <row r="1611" spans="1:8" hidden="1" x14ac:dyDescent="0.2">
      <c r="A1611" s="19" t="s">
        <v>2</v>
      </c>
      <c r="B1611" s="41">
        <v>43658</v>
      </c>
      <c r="C1611" s="11">
        <v>13</v>
      </c>
      <c r="D1611" s="12" t="s">
        <v>23</v>
      </c>
      <c r="E1611" s="10">
        <v>43648</v>
      </c>
      <c r="F1611" s="8" t="s">
        <v>207</v>
      </c>
      <c r="G1611" s="19"/>
      <c r="H1611" s="18">
        <f ca="1">ROUNDDOWN(表3[[#This Row],[日期]]-TODAY(),1)</f>
        <v>0</v>
      </c>
    </row>
    <row r="1612" spans="1:8" hidden="1" x14ac:dyDescent="0.2">
      <c r="A1612" s="19" t="s">
        <v>2</v>
      </c>
      <c r="B1612" s="41">
        <v>43658</v>
      </c>
      <c r="C1612" s="11">
        <v>14</v>
      </c>
      <c r="D1612" s="12" t="s">
        <v>39</v>
      </c>
      <c r="E1612" s="10">
        <v>43648</v>
      </c>
      <c r="F1612" s="8" t="s">
        <v>207</v>
      </c>
      <c r="G1612" s="19"/>
      <c r="H1612" s="18">
        <f ca="1">ROUNDDOWN(表3[[#This Row],[日期]]-TODAY(),1)</f>
        <v>0</v>
      </c>
    </row>
    <row r="1613" spans="1:8" hidden="1" x14ac:dyDescent="0.2">
      <c r="A1613" s="19" t="s">
        <v>2</v>
      </c>
      <c r="B1613" s="41">
        <v>43658</v>
      </c>
      <c r="C1613" s="11">
        <v>15</v>
      </c>
      <c r="D1613" s="12" t="s">
        <v>25</v>
      </c>
      <c r="E1613" s="10">
        <v>43648</v>
      </c>
      <c r="F1613" s="8" t="s">
        <v>207</v>
      </c>
      <c r="G1613" s="19"/>
      <c r="H1613" s="18">
        <f ca="1">ROUNDDOWN(表3[[#This Row],[日期]]-TODAY(),1)</f>
        <v>0</v>
      </c>
    </row>
    <row r="1614" spans="1:8" hidden="1" x14ac:dyDescent="0.2">
      <c r="A1614" s="19" t="s">
        <v>2</v>
      </c>
      <c r="B1614" s="41">
        <v>43658</v>
      </c>
      <c r="C1614" s="11">
        <v>16</v>
      </c>
      <c r="D1614" s="12" t="s">
        <v>13</v>
      </c>
      <c r="E1614" s="10">
        <v>43648</v>
      </c>
      <c r="F1614" s="8" t="s">
        <v>207</v>
      </c>
      <c r="G1614" s="19"/>
      <c r="H1614" s="18">
        <f ca="1">ROUNDDOWN(表3[[#This Row],[日期]]-TODAY(),1)</f>
        <v>0</v>
      </c>
    </row>
    <row r="1615" spans="1:8" hidden="1" x14ac:dyDescent="0.2">
      <c r="A1615" s="19" t="s">
        <v>2</v>
      </c>
      <c r="B1615" s="41">
        <v>43658</v>
      </c>
      <c r="C1615" s="11">
        <v>17</v>
      </c>
      <c r="D1615" s="12" t="s">
        <v>15</v>
      </c>
      <c r="E1615" s="10">
        <v>43648</v>
      </c>
      <c r="F1615" s="8" t="s">
        <v>207</v>
      </c>
      <c r="G1615" s="19"/>
      <c r="H1615" s="18">
        <f ca="1">ROUNDDOWN(表3[[#This Row],[日期]]-TODAY(),1)</f>
        <v>0</v>
      </c>
    </row>
    <row r="1616" spans="1:8" hidden="1" x14ac:dyDescent="0.2">
      <c r="A1616" s="19" t="s">
        <v>2</v>
      </c>
      <c r="B1616" s="41">
        <v>43658</v>
      </c>
      <c r="C1616" s="11">
        <v>18</v>
      </c>
      <c r="D1616" s="12" t="s">
        <v>17</v>
      </c>
      <c r="E1616" s="10">
        <v>43648</v>
      </c>
      <c r="F1616" s="8" t="s">
        <v>207</v>
      </c>
      <c r="G1616" s="19"/>
      <c r="H1616" s="18">
        <f ca="1">ROUNDDOWN(表3[[#This Row],[日期]]-TODAY(),1)</f>
        <v>0</v>
      </c>
    </row>
    <row r="1617" spans="1:8" hidden="1" x14ac:dyDescent="0.2">
      <c r="A1617" s="19" t="s">
        <v>2</v>
      </c>
      <c r="B1617" s="41">
        <v>43658</v>
      </c>
      <c r="C1617" s="11">
        <v>19</v>
      </c>
      <c r="D1617" s="12" t="s">
        <v>56</v>
      </c>
      <c r="E1617" s="10">
        <v>43648</v>
      </c>
      <c r="F1617" s="8" t="s">
        <v>207</v>
      </c>
      <c r="G1617" s="19"/>
      <c r="H1617" s="18">
        <f ca="1">ROUNDDOWN(表3[[#This Row],[日期]]-TODAY(),1)</f>
        <v>0</v>
      </c>
    </row>
    <row r="1618" spans="1:8" hidden="1" x14ac:dyDescent="0.2">
      <c r="A1618" s="19" t="s">
        <v>2</v>
      </c>
      <c r="B1618" s="41">
        <v>43658</v>
      </c>
      <c r="C1618" s="11">
        <v>20</v>
      </c>
      <c r="D1618" s="12" t="s">
        <v>1210</v>
      </c>
      <c r="E1618" s="10">
        <v>43648</v>
      </c>
      <c r="F1618" s="8" t="s">
        <v>207</v>
      </c>
      <c r="G1618" s="19" t="s">
        <v>36</v>
      </c>
      <c r="H1618" s="18">
        <f ca="1">ROUNDDOWN(表3[[#This Row],[日期]]-TODAY(),1)</f>
        <v>0</v>
      </c>
    </row>
    <row r="1619" spans="1:8" hidden="1" x14ac:dyDescent="0.2">
      <c r="A1619" s="19" t="s">
        <v>2</v>
      </c>
      <c r="B1619" s="41">
        <v>43658</v>
      </c>
      <c r="C1619" s="11">
        <v>21</v>
      </c>
      <c r="D1619" s="12" t="s">
        <v>38</v>
      </c>
      <c r="E1619" s="10">
        <v>43648</v>
      </c>
      <c r="F1619" s="8" t="s">
        <v>207</v>
      </c>
      <c r="G1619" s="19"/>
      <c r="H1619" s="18">
        <f ca="1">ROUNDDOWN(表3[[#This Row],[日期]]-TODAY(),1)</f>
        <v>0</v>
      </c>
    </row>
    <row r="1620" spans="1:8" hidden="1" x14ac:dyDescent="0.2">
      <c r="A1620" s="19" t="s">
        <v>2</v>
      </c>
      <c r="B1620" s="41">
        <v>43658</v>
      </c>
      <c r="C1620" s="11">
        <v>22</v>
      </c>
      <c r="D1620" s="12" t="s">
        <v>41</v>
      </c>
      <c r="E1620" s="10">
        <v>43648</v>
      </c>
      <c r="F1620" s="8" t="s">
        <v>207</v>
      </c>
      <c r="G1620" s="19"/>
      <c r="H1620" s="18">
        <f ca="1">ROUNDDOWN(表3[[#This Row],[日期]]-TODAY(),1)</f>
        <v>0</v>
      </c>
    </row>
    <row r="1621" spans="1:8" hidden="1" x14ac:dyDescent="0.2">
      <c r="A1621" s="19" t="s">
        <v>2</v>
      </c>
      <c r="B1621" s="41">
        <v>43658</v>
      </c>
      <c r="C1621" s="11">
        <v>23</v>
      </c>
      <c r="D1621" s="12" t="s">
        <v>1211</v>
      </c>
      <c r="E1621" s="10">
        <v>43648</v>
      </c>
      <c r="F1621" s="8" t="s">
        <v>207</v>
      </c>
      <c r="G1621" s="19" t="s">
        <v>43</v>
      </c>
      <c r="H1621" s="18">
        <f ca="1">ROUNDDOWN(表3[[#This Row],[日期]]-TODAY(),1)</f>
        <v>0</v>
      </c>
    </row>
    <row r="1622" spans="1:8" hidden="1" x14ac:dyDescent="0.2">
      <c r="A1622" s="19" t="s">
        <v>2</v>
      </c>
      <c r="B1622" s="41">
        <v>43658</v>
      </c>
      <c r="C1622" s="11">
        <v>24</v>
      </c>
      <c r="D1622" s="12" t="s">
        <v>223</v>
      </c>
      <c r="E1622" s="10">
        <v>43648</v>
      </c>
      <c r="F1622" s="8" t="s">
        <v>207</v>
      </c>
      <c r="G1622" s="19" t="s">
        <v>198</v>
      </c>
      <c r="H1622" s="18">
        <f ca="1">ROUNDDOWN(表3[[#This Row],[日期]]-TODAY(),1)</f>
        <v>0</v>
      </c>
    </row>
    <row r="1623" spans="1:8" hidden="1" x14ac:dyDescent="0.2">
      <c r="A1623" s="19" t="s">
        <v>2</v>
      </c>
      <c r="B1623" s="41">
        <v>43658</v>
      </c>
      <c r="C1623" s="11">
        <v>25</v>
      </c>
      <c r="D1623" s="12" t="s">
        <v>1212</v>
      </c>
      <c r="E1623" s="10">
        <v>43648</v>
      </c>
      <c r="F1623" s="8" t="s">
        <v>207</v>
      </c>
      <c r="G1623" s="19"/>
      <c r="H1623" s="18">
        <f ca="1">ROUNDDOWN(表3[[#This Row],[日期]]-TODAY(),1)</f>
        <v>0</v>
      </c>
    </row>
    <row r="1624" spans="1:8" hidden="1" x14ac:dyDescent="0.2">
      <c r="A1624" s="19" t="s">
        <v>2</v>
      </c>
      <c r="B1624" s="41">
        <v>43658</v>
      </c>
      <c r="C1624" s="11">
        <v>26</v>
      </c>
      <c r="D1624" s="12" t="s">
        <v>988</v>
      </c>
      <c r="E1624" s="10">
        <v>43648</v>
      </c>
      <c r="F1624" s="8" t="s">
        <v>207</v>
      </c>
      <c r="G1624" s="19"/>
      <c r="H1624" s="18">
        <f ca="1">ROUNDDOWN(表3[[#This Row],[日期]]-TODAY(),1)</f>
        <v>0</v>
      </c>
    </row>
    <row r="1625" spans="1:8" hidden="1" x14ac:dyDescent="0.2">
      <c r="A1625" s="19" t="s">
        <v>2</v>
      </c>
      <c r="B1625" s="41">
        <v>43658</v>
      </c>
      <c r="C1625" s="11">
        <v>27</v>
      </c>
      <c r="D1625" s="12" t="s">
        <v>81</v>
      </c>
      <c r="E1625" s="10">
        <v>43648</v>
      </c>
      <c r="F1625" s="8" t="s">
        <v>207</v>
      </c>
      <c r="G1625" s="19"/>
      <c r="H1625" s="18">
        <f ca="1">ROUNDDOWN(表3[[#This Row],[日期]]-TODAY(),1)</f>
        <v>0</v>
      </c>
    </row>
    <row r="1626" spans="1:8" hidden="1" x14ac:dyDescent="0.2">
      <c r="A1626" s="19" t="s">
        <v>2</v>
      </c>
      <c r="B1626" s="41">
        <v>43658</v>
      </c>
      <c r="C1626" s="11">
        <v>28</v>
      </c>
      <c r="D1626" s="12" t="s">
        <v>77</v>
      </c>
      <c r="E1626" s="10">
        <v>43648</v>
      </c>
      <c r="F1626" s="8" t="s">
        <v>207</v>
      </c>
      <c r="G1626" s="19"/>
      <c r="H1626" s="18">
        <f ca="1">ROUNDDOWN(表3[[#This Row],[日期]]-TODAY(),1)</f>
        <v>0</v>
      </c>
    </row>
    <row r="1627" spans="1:8" hidden="1" x14ac:dyDescent="0.2">
      <c r="A1627" s="19" t="s">
        <v>2</v>
      </c>
      <c r="B1627" s="41">
        <v>43658</v>
      </c>
      <c r="C1627" s="11">
        <v>29</v>
      </c>
      <c r="D1627" s="12" t="s">
        <v>79</v>
      </c>
      <c r="E1627" s="10">
        <v>43648</v>
      </c>
      <c r="F1627" s="8" t="s">
        <v>207</v>
      </c>
      <c r="G1627" s="19"/>
      <c r="H1627" s="18">
        <f ca="1">ROUNDDOWN(表3[[#This Row],[日期]]-TODAY(),1)</f>
        <v>0</v>
      </c>
    </row>
    <row r="1628" spans="1:8" hidden="1" x14ac:dyDescent="0.2">
      <c r="A1628" s="19" t="s">
        <v>2</v>
      </c>
      <c r="B1628" s="41">
        <v>43658</v>
      </c>
      <c r="C1628" s="11">
        <v>31</v>
      </c>
      <c r="D1628" s="12" t="s">
        <v>49</v>
      </c>
      <c r="E1628" s="10">
        <v>43648</v>
      </c>
      <c r="F1628" s="8" t="s">
        <v>207</v>
      </c>
      <c r="G1628" s="19" t="s">
        <v>43</v>
      </c>
      <c r="H1628" s="18">
        <f ca="1">ROUNDDOWN(表3[[#This Row],[日期]]-TODAY(),1)</f>
        <v>0</v>
      </c>
    </row>
    <row r="1629" spans="1:8" hidden="1" x14ac:dyDescent="0.2">
      <c r="A1629" s="19" t="s">
        <v>2</v>
      </c>
      <c r="B1629" s="41">
        <v>43658</v>
      </c>
      <c r="C1629" s="11">
        <v>32</v>
      </c>
      <c r="D1629" s="12" t="s">
        <v>54</v>
      </c>
      <c r="E1629" s="10">
        <v>43648</v>
      </c>
      <c r="F1629" s="8" t="s">
        <v>207</v>
      </c>
      <c r="G1629" s="19"/>
      <c r="H1629" s="18">
        <f ca="1">ROUNDDOWN(表3[[#This Row],[日期]]-TODAY(),1)</f>
        <v>0</v>
      </c>
    </row>
    <row r="1630" spans="1:8" hidden="1" x14ac:dyDescent="0.2">
      <c r="A1630" s="19" t="s">
        <v>2</v>
      </c>
      <c r="B1630" s="41">
        <v>43658</v>
      </c>
      <c r="C1630" s="11">
        <v>33</v>
      </c>
      <c r="D1630" s="12" t="s">
        <v>69</v>
      </c>
      <c r="E1630" s="10">
        <v>43648</v>
      </c>
      <c r="F1630" s="8" t="s">
        <v>207</v>
      </c>
      <c r="G1630" s="19" t="s">
        <v>66</v>
      </c>
      <c r="H1630" s="18">
        <f ca="1">ROUNDDOWN(表3[[#This Row],[日期]]-TODAY(),1)</f>
        <v>0</v>
      </c>
    </row>
    <row r="1631" spans="1:8" hidden="1" x14ac:dyDescent="0.2">
      <c r="A1631" s="19" t="s">
        <v>2</v>
      </c>
      <c r="B1631" s="41">
        <v>43658</v>
      </c>
      <c r="C1631" s="11">
        <v>34</v>
      </c>
      <c r="D1631" s="12" t="s">
        <v>64</v>
      </c>
      <c r="E1631" s="10">
        <v>43648</v>
      </c>
      <c r="F1631" s="8" t="s">
        <v>207</v>
      </c>
      <c r="G1631" s="19"/>
      <c r="H1631" s="18">
        <f ca="1">ROUNDDOWN(表3[[#This Row],[日期]]-TODAY(),1)</f>
        <v>0</v>
      </c>
    </row>
    <row r="1632" spans="1:8" hidden="1" x14ac:dyDescent="0.2">
      <c r="A1632" s="19" t="s">
        <v>2</v>
      </c>
      <c r="B1632" s="41">
        <v>43658</v>
      </c>
      <c r="C1632" s="11">
        <v>35</v>
      </c>
      <c r="D1632" s="12" t="s">
        <v>1213</v>
      </c>
      <c r="E1632" s="10">
        <v>43648</v>
      </c>
      <c r="F1632" s="8" t="s">
        <v>207</v>
      </c>
      <c r="G1632" s="19" t="s">
        <v>32</v>
      </c>
      <c r="H1632" s="18">
        <f ca="1">ROUNDDOWN(表3[[#This Row],[日期]]-TODAY(),1)</f>
        <v>0</v>
      </c>
    </row>
    <row r="1633" spans="1:8" hidden="1" x14ac:dyDescent="0.2">
      <c r="A1633" s="19" t="s">
        <v>2</v>
      </c>
      <c r="B1633" s="41">
        <v>43658</v>
      </c>
      <c r="C1633" s="11">
        <v>36</v>
      </c>
      <c r="D1633" s="12" t="s">
        <v>1214</v>
      </c>
      <c r="E1633" s="10">
        <v>43648</v>
      </c>
      <c r="F1633" s="8" t="s">
        <v>207</v>
      </c>
      <c r="G1633" s="19" t="s">
        <v>43</v>
      </c>
      <c r="H1633" s="18">
        <f ca="1">ROUNDDOWN(表3[[#This Row],[日期]]-TODAY(),1)</f>
        <v>0</v>
      </c>
    </row>
    <row r="1634" spans="1:8" hidden="1" x14ac:dyDescent="0.2">
      <c r="A1634" s="19" t="s">
        <v>2</v>
      </c>
      <c r="B1634" s="41">
        <v>43658</v>
      </c>
      <c r="C1634" s="11">
        <v>37</v>
      </c>
      <c r="D1634" s="12" t="s">
        <v>1427</v>
      </c>
      <c r="E1634" s="10">
        <v>43648</v>
      </c>
      <c r="F1634" s="8" t="s">
        <v>207</v>
      </c>
      <c r="G1634" s="19"/>
      <c r="H1634" s="18">
        <f ca="1">ROUNDDOWN(表3[[#This Row],[日期]]-TODAY(),1)</f>
        <v>0</v>
      </c>
    </row>
    <row r="1635" spans="1:8" hidden="1" x14ac:dyDescent="0.2">
      <c r="A1635" s="19" t="s">
        <v>2</v>
      </c>
      <c r="B1635" s="41">
        <v>43658</v>
      </c>
      <c r="C1635" s="11">
        <v>37</v>
      </c>
      <c r="D1635" s="12" t="s">
        <v>71</v>
      </c>
      <c r="E1635" s="10">
        <v>43648</v>
      </c>
      <c r="F1635" s="8" t="s">
        <v>207</v>
      </c>
      <c r="G1635" s="19" t="s">
        <v>73</v>
      </c>
      <c r="H1635" s="18">
        <f ca="1">ROUNDDOWN(表3[[#This Row],[日期]]-TODAY(),1)</f>
        <v>0</v>
      </c>
    </row>
    <row r="1636" spans="1:8" hidden="1" x14ac:dyDescent="0.2">
      <c r="A1636" s="19" t="s">
        <v>2</v>
      </c>
      <c r="B1636" s="41">
        <v>43658</v>
      </c>
      <c r="C1636" s="11">
        <v>37</v>
      </c>
      <c r="D1636" s="12" t="s">
        <v>75</v>
      </c>
      <c r="E1636" s="10">
        <v>43648</v>
      </c>
      <c r="F1636" s="8" t="s">
        <v>207</v>
      </c>
      <c r="G1636" s="19"/>
      <c r="H1636" s="18">
        <f ca="1">ROUNDDOWN(表3[[#This Row],[日期]]-TODAY(),1)</f>
        <v>0</v>
      </c>
    </row>
    <row r="1637" spans="1:8" hidden="1" x14ac:dyDescent="0.2">
      <c r="A1637" s="19" t="s">
        <v>2</v>
      </c>
      <c r="B1637" s="41">
        <v>43658</v>
      </c>
      <c r="C1637" s="11">
        <v>37</v>
      </c>
      <c r="D1637" s="12" t="s">
        <v>1428</v>
      </c>
      <c r="E1637" s="10">
        <v>43648</v>
      </c>
      <c r="F1637" s="8" t="s">
        <v>207</v>
      </c>
      <c r="G1637" s="19"/>
      <c r="H1637" s="18">
        <f ca="1">ROUNDDOWN(表3[[#This Row],[日期]]-TODAY(),1)</f>
        <v>0</v>
      </c>
    </row>
    <row r="1638" spans="1:8" hidden="1" x14ac:dyDescent="0.2">
      <c r="A1638" s="19" t="s">
        <v>2</v>
      </c>
      <c r="B1638" s="41">
        <v>43658</v>
      </c>
      <c r="C1638" s="11">
        <v>37</v>
      </c>
      <c r="D1638" s="12" t="s">
        <v>84</v>
      </c>
      <c r="E1638" s="10">
        <v>43648</v>
      </c>
      <c r="F1638" s="8" t="s">
        <v>207</v>
      </c>
      <c r="G1638" s="19"/>
      <c r="H1638" s="18">
        <f ca="1">ROUNDDOWN(表3[[#This Row],[日期]]-TODAY(),1)</f>
        <v>0</v>
      </c>
    </row>
    <row r="1639" spans="1:8" hidden="1" x14ac:dyDescent="0.2">
      <c r="A1639" s="19" t="s">
        <v>2</v>
      </c>
      <c r="B1639" s="41">
        <v>43658</v>
      </c>
      <c r="C1639" s="11">
        <v>42</v>
      </c>
      <c r="D1639" s="12" t="s">
        <v>86</v>
      </c>
      <c r="E1639" s="10">
        <v>43648</v>
      </c>
      <c r="F1639" s="8" t="s">
        <v>207</v>
      </c>
      <c r="G1639" s="19"/>
      <c r="H1639" s="18">
        <f ca="1">ROUNDDOWN(表3[[#This Row],[日期]]-TODAY(),1)</f>
        <v>0</v>
      </c>
    </row>
    <row r="1640" spans="1:8" hidden="1" x14ac:dyDescent="0.2">
      <c r="A1640" s="19" t="s">
        <v>2</v>
      </c>
      <c r="B1640" s="41">
        <v>43658</v>
      </c>
      <c r="C1640" s="11">
        <v>43</v>
      </c>
      <c r="D1640" s="12" t="s">
        <v>88</v>
      </c>
      <c r="E1640" s="10">
        <v>43648</v>
      </c>
      <c r="F1640" s="8" t="s">
        <v>207</v>
      </c>
      <c r="G1640" s="19"/>
      <c r="H1640" s="18">
        <f ca="1">ROUNDDOWN(表3[[#This Row],[日期]]-TODAY(),1)</f>
        <v>0</v>
      </c>
    </row>
    <row r="1641" spans="1:8" hidden="1" x14ac:dyDescent="0.2">
      <c r="A1641" s="19" t="s">
        <v>2</v>
      </c>
      <c r="B1641" s="41">
        <v>43658</v>
      </c>
      <c r="C1641" s="11">
        <v>44</v>
      </c>
      <c r="D1641" s="12" t="s">
        <v>90</v>
      </c>
      <c r="E1641" s="10">
        <v>43648</v>
      </c>
      <c r="F1641" s="8" t="s">
        <v>207</v>
      </c>
      <c r="G1641" s="19"/>
      <c r="H1641" s="18">
        <f ca="1">ROUNDDOWN(表3[[#This Row],[日期]]-TODAY(),1)</f>
        <v>0</v>
      </c>
    </row>
    <row r="1642" spans="1:8" hidden="1" x14ac:dyDescent="0.2">
      <c r="A1642" s="19" t="s">
        <v>2</v>
      </c>
      <c r="B1642" s="41">
        <v>43658</v>
      </c>
      <c r="C1642" s="11">
        <v>45</v>
      </c>
      <c r="D1642" s="12" t="s">
        <v>1215</v>
      </c>
      <c r="E1642" s="10">
        <v>43648</v>
      </c>
      <c r="F1642" s="8" t="s">
        <v>207</v>
      </c>
      <c r="G1642" s="19"/>
      <c r="H1642" s="18">
        <f ca="1">ROUNDDOWN(表3[[#This Row],[日期]]-TODAY(),1)</f>
        <v>0</v>
      </c>
    </row>
    <row r="1643" spans="1:8" hidden="1" x14ac:dyDescent="0.2">
      <c r="A1643" s="19" t="s">
        <v>2</v>
      </c>
      <c r="B1643" s="41">
        <v>43658</v>
      </c>
      <c r="C1643" s="11">
        <v>46</v>
      </c>
      <c r="D1643" s="12" t="s">
        <v>328</v>
      </c>
      <c r="E1643" s="10">
        <v>43648</v>
      </c>
      <c r="F1643" s="8" t="s">
        <v>207</v>
      </c>
      <c r="G1643" s="19"/>
      <c r="H1643" s="18">
        <f ca="1">ROUNDDOWN(表3[[#This Row],[日期]]-TODAY(),1)</f>
        <v>0</v>
      </c>
    </row>
    <row r="1644" spans="1:8" hidden="1" x14ac:dyDescent="0.2">
      <c r="A1644" s="22" t="s">
        <v>2</v>
      </c>
      <c r="B1644" s="43">
        <v>43658</v>
      </c>
      <c r="C1644" s="23">
        <v>47</v>
      </c>
      <c r="D1644" s="24" t="s">
        <v>1429</v>
      </c>
      <c r="E1644" s="25">
        <v>43648</v>
      </c>
      <c r="F1644" s="26" t="s">
        <v>207</v>
      </c>
      <c r="G1644" s="22" t="s">
        <v>131</v>
      </c>
      <c r="H1644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644" xr:uid="{00000000-0002-0000-0200-000000000000}">
      <formula1>"计划,OK,取消"</formula1>
    </dataValidation>
    <dataValidation type="date" operator="greaterThan" showInputMessage="1" showErrorMessage="1" sqref="E2:E164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7"/>
  <sheetViews>
    <sheetView showGridLines="0" workbookViewId="0">
      <pane xSplit="2" ySplit="1" topLeftCell="K23" activePane="bottomRight" state="frozen"/>
      <selection pane="topRight" activeCell="C1" sqref="C1"/>
      <selection pane="bottomLeft" activeCell="A2" sqref="A2"/>
      <selection pane="bottomRight" activeCell="N58" sqref="N58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748</v>
      </c>
      <c r="F1" t="s">
        <v>810</v>
      </c>
      <c r="G1" t="s">
        <v>811</v>
      </c>
      <c r="H1" t="s">
        <v>813</v>
      </c>
      <c r="I1" t="s">
        <v>814</v>
      </c>
      <c r="J1" t="s">
        <v>809</v>
      </c>
      <c r="K1" t="s">
        <v>843</v>
      </c>
      <c r="L1" t="s">
        <v>815</v>
      </c>
      <c r="M1" t="s">
        <v>812</v>
      </c>
      <c r="N1" t="s">
        <v>816</v>
      </c>
      <c r="O1" t="s">
        <v>817</v>
      </c>
      <c r="P1" t="s">
        <v>822</v>
      </c>
      <c r="Q1" t="s">
        <v>818</v>
      </c>
      <c r="R1" t="s">
        <v>819</v>
      </c>
      <c r="S1" t="s">
        <v>846</v>
      </c>
      <c r="T1" t="s">
        <v>820</v>
      </c>
      <c r="U1" t="s">
        <v>821</v>
      </c>
    </row>
    <row r="2" spans="1:21" hidden="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929</v>
      </c>
      <c r="G2" s="7" t="s">
        <v>930</v>
      </c>
      <c r="H2" t="s">
        <v>932</v>
      </c>
      <c r="I2" t="s">
        <v>856</v>
      </c>
      <c r="J2" s="32" t="s">
        <v>993</v>
      </c>
      <c r="K2" s="6" t="s">
        <v>933</v>
      </c>
      <c r="L2" s="29">
        <v>43620</v>
      </c>
      <c r="M2" t="s">
        <v>927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837</v>
      </c>
      <c r="B3" s="13">
        <v>43628</v>
      </c>
      <c r="C3" s="33">
        <v>0</v>
      </c>
      <c r="D3" s="33">
        <v>1</v>
      </c>
      <c r="E3" s="33">
        <v>0</v>
      </c>
      <c r="F3" s="7" t="s">
        <v>838</v>
      </c>
      <c r="G3" t="s">
        <v>844</v>
      </c>
      <c r="H3" t="s">
        <v>839</v>
      </c>
      <c r="I3" t="s">
        <v>840</v>
      </c>
      <c r="J3" s="32" t="s">
        <v>995</v>
      </c>
      <c r="K3" s="6" t="s">
        <v>807</v>
      </c>
      <c r="L3" s="29">
        <v>43626.5</v>
      </c>
      <c r="M3" t="s">
        <v>845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1199</v>
      </c>
      <c r="U3" s="36"/>
    </row>
    <row r="4" spans="1:21" hidden="1" x14ac:dyDescent="0.2">
      <c r="A4" t="s">
        <v>775</v>
      </c>
      <c r="B4" s="13">
        <v>43628</v>
      </c>
      <c r="C4" s="33">
        <v>0</v>
      </c>
      <c r="D4" s="33">
        <v>0</v>
      </c>
      <c r="E4" s="33">
        <v>8</v>
      </c>
      <c r="F4" t="s">
        <v>827</v>
      </c>
      <c r="G4" t="s">
        <v>882</v>
      </c>
      <c r="H4" t="s">
        <v>883</v>
      </c>
      <c r="J4" s="32" t="s">
        <v>997</v>
      </c>
      <c r="K4" s="6" t="s">
        <v>747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828</v>
      </c>
      <c r="G5" t="s">
        <v>830</v>
      </c>
      <c r="H5" t="s">
        <v>829</v>
      </c>
      <c r="J5" s="32" t="s">
        <v>1001</v>
      </c>
      <c r="K5" s="6" t="s">
        <v>842</v>
      </c>
      <c r="L5" s="29">
        <v>43626.375</v>
      </c>
      <c r="M5" t="s">
        <v>831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834</v>
      </c>
    </row>
    <row r="6" spans="1:21" hidden="1" x14ac:dyDescent="0.2">
      <c r="A6" t="s">
        <v>934</v>
      </c>
      <c r="B6" s="13">
        <v>43628</v>
      </c>
      <c r="C6" s="33">
        <v>1</v>
      </c>
      <c r="D6" s="33">
        <v>1</v>
      </c>
      <c r="E6" s="33">
        <v>0</v>
      </c>
      <c r="F6" s="7" t="s">
        <v>823</v>
      </c>
      <c r="G6" s="7" t="s">
        <v>935</v>
      </c>
      <c r="H6" t="s">
        <v>936</v>
      </c>
      <c r="J6" s="32" t="s">
        <v>1003</v>
      </c>
      <c r="K6" s="6" t="s">
        <v>937</v>
      </c>
      <c r="L6" s="29">
        <v>43623</v>
      </c>
      <c r="M6" t="s">
        <v>927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1145</v>
      </c>
      <c r="U6" s="36" t="s">
        <v>825</v>
      </c>
    </row>
    <row r="7" spans="1:21" hidden="1" x14ac:dyDescent="0.2">
      <c r="A7" t="s">
        <v>837</v>
      </c>
      <c r="B7" s="13">
        <v>43630</v>
      </c>
      <c r="C7" s="33">
        <v>0</v>
      </c>
      <c r="D7" s="33">
        <v>2</v>
      </c>
      <c r="E7" s="33">
        <v>0</v>
      </c>
      <c r="F7" s="7" t="s">
        <v>838</v>
      </c>
      <c r="G7" t="s">
        <v>848</v>
      </c>
      <c r="H7" t="s">
        <v>839</v>
      </c>
      <c r="I7" t="s">
        <v>847</v>
      </c>
      <c r="J7" s="32" t="s">
        <v>1005</v>
      </c>
      <c r="K7" s="6" t="s">
        <v>667</v>
      </c>
      <c r="L7" s="29">
        <v>43627.5</v>
      </c>
      <c r="M7" t="s">
        <v>849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850</v>
      </c>
      <c r="U7" s="36" t="s">
        <v>1245</v>
      </c>
    </row>
    <row r="8" spans="1:21" hidden="1" x14ac:dyDescent="0.2">
      <c r="A8" t="s">
        <v>775</v>
      </c>
      <c r="B8" s="13">
        <v>43632</v>
      </c>
      <c r="C8" s="33">
        <v>0</v>
      </c>
      <c r="D8" s="33">
        <v>0</v>
      </c>
      <c r="E8" s="33">
        <v>2</v>
      </c>
      <c r="F8" s="7" t="s">
        <v>827</v>
      </c>
      <c r="G8" t="s">
        <v>889</v>
      </c>
      <c r="H8" t="s">
        <v>883</v>
      </c>
      <c r="J8" s="32" t="s">
        <v>1007</v>
      </c>
      <c r="K8" s="6" t="s">
        <v>890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835</v>
      </c>
      <c r="B9" s="13">
        <v>43635</v>
      </c>
      <c r="C9" s="33">
        <v>1</v>
      </c>
      <c r="D9" s="33">
        <v>0</v>
      </c>
      <c r="E9" s="33">
        <v>1</v>
      </c>
      <c r="F9" s="7" t="s">
        <v>828</v>
      </c>
      <c r="G9" t="s">
        <v>836</v>
      </c>
      <c r="H9" t="s">
        <v>829</v>
      </c>
      <c r="J9" s="32" t="s">
        <v>1009</v>
      </c>
      <c r="K9" s="6" t="s">
        <v>841</v>
      </c>
      <c r="L9" s="29">
        <v>43633</v>
      </c>
      <c r="M9" t="s">
        <v>831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863</v>
      </c>
    </row>
    <row r="10" spans="1:21" hidden="1" x14ac:dyDescent="0.2">
      <c r="A10" t="s">
        <v>808</v>
      </c>
      <c r="B10" s="13">
        <v>43635</v>
      </c>
      <c r="C10" s="33">
        <v>1</v>
      </c>
      <c r="D10" s="33">
        <v>1</v>
      </c>
      <c r="E10" s="33">
        <v>0</v>
      </c>
      <c r="F10" t="s">
        <v>823</v>
      </c>
      <c r="G10" t="s">
        <v>824</v>
      </c>
      <c r="H10" t="s">
        <v>931</v>
      </c>
      <c r="J10" s="32" t="s">
        <v>1011</v>
      </c>
      <c r="K10" s="6" t="s">
        <v>801</v>
      </c>
      <c r="L10" s="29">
        <v>43630</v>
      </c>
      <c r="M10" t="s">
        <v>833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825</v>
      </c>
    </row>
    <row r="11" spans="1:21" hidden="1" x14ac:dyDescent="0.2">
      <c r="A11" t="s">
        <v>923</v>
      </c>
      <c r="B11" s="13">
        <v>43635</v>
      </c>
      <c r="C11" s="33">
        <v>0</v>
      </c>
      <c r="D11" s="33">
        <v>1</v>
      </c>
      <c r="E11" s="33">
        <v>0</v>
      </c>
      <c r="F11" s="7" t="s">
        <v>924</v>
      </c>
      <c r="G11" s="7" t="s">
        <v>824</v>
      </c>
      <c r="H11" t="s">
        <v>931</v>
      </c>
      <c r="I11" t="s">
        <v>925</v>
      </c>
      <c r="J11" s="32" t="s">
        <v>1013</v>
      </c>
      <c r="K11" s="6" t="s">
        <v>926</v>
      </c>
      <c r="L11" s="29">
        <v>43630</v>
      </c>
      <c r="M11" t="s">
        <v>927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928</v>
      </c>
      <c r="U11" s="36"/>
    </row>
    <row r="12" spans="1:21" hidden="1" x14ac:dyDescent="0.2">
      <c r="A12" t="s">
        <v>837</v>
      </c>
      <c r="B12" s="13">
        <v>43635</v>
      </c>
      <c r="C12" s="33">
        <v>0</v>
      </c>
      <c r="D12" s="33">
        <v>1</v>
      </c>
      <c r="E12" s="33">
        <v>0</v>
      </c>
      <c r="F12" s="7" t="s">
        <v>838</v>
      </c>
      <c r="G12" t="s">
        <v>852</v>
      </c>
      <c r="H12" t="s">
        <v>839</v>
      </c>
      <c r="I12" t="s">
        <v>840</v>
      </c>
      <c r="J12" s="32" t="s">
        <v>1015</v>
      </c>
      <c r="K12" s="6" t="s">
        <v>851</v>
      </c>
      <c r="L12" s="29">
        <v>43633</v>
      </c>
      <c r="M12" t="s">
        <v>845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952</v>
      </c>
      <c r="U12" s="36"/>
    </row>
    <row r="13" spans="1:21" hidden="1" x14ac:dyDescent="0.2">
      <c r="A13" t="s">
        <v>775</v>
      </c>
      <c r="B13" s="13">
        <v>43635</v>
      </c>
      <c r="C13" s="33">
        <v>0</v>
      </c>
      <c r="D13" s="33">
        <v>0</v>
      </c>
      <c r="E13" s="33">
        <v>3</v>
      </c>
      <c r="F13" s="7" t="s">
        <v>827</v>
      </c>
      <c r="G13" t="s">
        <v>981</v>
      </c>
      <c r="H13" t="s">
        <v>883</v>
      </c>
      <c r="J13" s="32" t="s">
        <v>1017</v>
      </c>
      <c r="K13" s="6" t="s">
        <v>891</v>
      </c>
      <c r="L13" s="29">
        <v>43633</v>
      </c>
      <c r="M13" t="s">
        <v>982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855</v>
      </c>
      <c r="B14" s="13">
        <v>43637</v>
      </c>
      <c r="C14" s="33">
        <v>3</v>
      </c>
      <c r="D14" s="33">
        <v>0</v>
      </c>
      <c r="E14" s="33">
        <v>0</v>
      </c>
      <c r="F14" s="7" t="s">
        <v>838</v>
      </c>
      <c r="G14" s="7" t="s">
        <v>853</v>
      </c>
      <c r="H14" t="s">
        <v>932</v>
      </c>
      <c r="I14" t="s">
        <v>856</v>
      </c>
      <c r="J14" s="32" t="s">
        <v>1020</v>
      </c>
      <c r="K14" s="6" t="s">
        <v>857</v>
      </c>
      <c r="L14" s="29">
        <v>43634</v>
      </c>
      <c r="M14" t="s">
        <v>849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837</v>
      </c>
      <c r="B15" s="13">
        <v>43637</v>
      </c>
      <c r="C15" s="33">
        <v>0</v>
      </c>
      <c r="D15" s="33">
        <v>0</v>
      </c>
      <c r="E15" s="33">
        <v>1</v>
      </c>
      <c r="F15" s="7" t="s">
        <v>838</v>
      </c>
      <c r="G15" s="7" t="s">
        <v>853</v>
      </c>
      <c r="H15" t="s">
        <v>839</v>
      </c>
      <c r="I15" t="s">
        <v>847</v>
      </c>
      <c r="J15" s="32" t="s">
        <v>1022</v>
      </c>
      <c r="K15" s="6" t="s">
        <v>854</v>
      </c>
      <c r="L15" s="29">
        <v>43634</v>
      </c>
      <c r="M15" t="s">
        <v>849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743</v>
      </c>
      <c r="B16" s="13">
        <v>43639</v>
      </c>
      <c r="C16" s="33">
        <v>0</v>
      </c>
      <c r="D16" s="33">
        <v>0</v>
      </c>
      <c r="E16" s="33">
        <v>7</v>
      </c>
      <c r="F16" s="7" t="s">
        <v>1070</v>
      </c>
      <c r="G16" s="7" t="s">
        <v>1071</v>
      </c>
      <c r="H16" t="s">
        <v>883</v>
      </c>
      <c r="J16" s="32" t="s">
        <v>1072</v>
      </c>
      <c r="K16" s="6" t="s">
        <v>1179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835</v>
      </c>
      <c r="B17" s="13">
        <v>43642</v>
      </c>
      <c r="C17" s="33">
        <v>0</v>
      </c>
      <c r="D17" s="33">
        <v>0</v>
      </c>
      <c r="E17" s="33">
        <v>1</v>
      </c>
      <c r="F17" s="7" t="s">
        <v>828</v>
      </c>
      <c r="G17" t="s">
        <v>1090</v>
      </c>
      <c r="H17" t="s">
        <v>1091</v>
      </c>
      <c r="J17" s="32" t="s">
        <v>1097</v>
      </c>
      <c r="K17" s="6" t="s">
        <v>1092</v>
      </c>
      <c r="L17" s="29">
        <v>43640</v>
      </c>
      <c r="M17" t="s">
        <v>831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1200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823</v>
      </c>
      <c r="G18" t="s">
        <v>826</v>
      </c>
      <c r="H18" t="s">
        <v>931</v>
      </c>
      <c r="J18" s="32" t="s">
        <v>1024</v>
      </c>
      <c r="K18" s="6" t="s">
        <v>805</v>
      </c>
      <c r="L18" s="29">
        <v>43637</v>
      </c>
      <c r="M18" t="s">
        <v>832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1144</v>
      </c>
      <c r="U18" s="36" t="s">
        <v>825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838</v>
      </c>
      <c r="G19" s="7" t="s">
        <v>1060</v>
      </c>
      <c r="H19" t="s">
        <v>839</v>
      </c>
      <c r="I19" t="s">
        <v>840</v>
      </c>
      <c r="J19" s="32" t="s">
        <v>1062</v>
      </c>
      <c r="K19" s="6" t="s">
        <v>1064</v>
      </c>
      <c r="L19" s="29">
        <v>43640</v>
      </c>
      <c r="M19" t="s">
        <v>1120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952</v>
      </c>
      <c r="U19" s="36" t="s">
        <v>1118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838</v>
      </c>
      <c r="G20" s="38" t="s">
        <v>1111</v>
      </c>
      <c r="H20" t="s">
        <v>839</v>
      </c>
      <c r="I20" t="s">
        <v>847</v>
      </c>
      <c r="J20" s="32" t="s">
        <v>1196</v>
      </c>
      <c r="K20" s="6" t="s">
        <v>1069</v>
      </c>
      <c r="L20" s="29">
        <v>43641</v>
      </c>
      <c r="M20" t="s">
        <v>1119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1106</v>
      </c>
    </row>
    <row r="21" spans="1:21" hidden="1" x14ac:dyDescent="0.2">
      <c r="A21" t="s">
        <v>894</v>
      </c>
      <c r="B21" s="13">
        <v>43653</v>
      </c>
      <c r="C21" s="33">
        <v>0</v>
      </c>
      <c r="D21" s="33">
        <v>1</v>
      </c>
      <c r="E21" s="33">
        <v>0</v>
      </c>
      <c r="F21" s="7" t="s">
        <v>892</v>
      </c>
      <c r="G21" s="7" t="s">
        <v>957</v>
      </c>
      <c r="H21" t="s">
        <v>893</v>
      </c>
      <c r="J21" s="32" t="s">
        <v>1026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1121</v>
      </c>
      <c r="B22" s="13">
        <v>43649</v>
      </c>
      <c r="C22" s="33">
        <v>1</v>
      </c>
      <c r="D22" s="33">
        <v>0</v>
      </c>
      <c r="E22" s="33">
        <v>0</v>
      </c>
      <c r="F22" s="7" t="s">
        <v>1122</v>
      </c>
      <c r="G22" s="7" t="s">
        <v>1158</v>
      </c>
      <c r="H22" t="s">
        <v>931</v>
      </c>
      <c r="J22" s="32" t="s">
        <v>1161</v>
      </c>
      <c r="K22" s="6" t="s">
        <v>1160</v>
      </c>
      <c r="L22" s="29">
        <v>43647</v>
      </c>
      <c r="M22" t="s">
        <v>1268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1266</v>
      </c>
      <c r="U22" s="36" t="s">
        <v>1123</v>
      </c>
    </row>
    <row r="23" spans="1:21" x14ac:dyDescent="0.2">
      <c r="A23" t="s">
        <v>743</v>
      </c>
      <c r="B23" s="13">
        <v>43642</v>
      </c>
      <c r="C23" s="33">
        <v>0</v>
      </c>
      <c r="D23" s="33">
        <v>0</v>
      </c>
      <c r="E23" s="33">
        <v>4</v>
      </c>
      <c r="F23" s="7" t="s">
        <v>827</v>
      </c>
      <c r="G23" s="7" t="s">
        <v>1141</v>
      </c>
      <c r="H23" t="s">
        <v>883</v>
      </c>
      <c r="J23" s="32" t="s">
        <v>1134</v>
      </c>
      <c r="K23" s="6" t="s">
        <v>1142</v>
      </c>
      <c r="L23" s="29">
        <v>43640</v>
      </c>
      <c r="M23" t="s">
        <v>1188</v>
      </c>
      <c r="N23" s="30"/>
      <c r="O23" s="29"/>
      <c r="P23" s="34">
        <v>3</v>
      </c>
      <c r="Q23" s="31"/>
      <c r="R23" s="31"/>
      <c r="S23" s="35"/>
      <c r="T23" s="36" t="s">
        <v>1207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838</v>
      </c>
      <c r="G24" s="7" t="s">
        <v>1216</v>
      </c>
      <c r="H24" t="s">
        <v>839</v>
      </c>
      <c r="I24" t="s">
        <v>840</v>
      </c>
      <c r="J24" s="32" t="s">
        <v>1220</v>
      </c>
      <c r="K24" s="6" t="s">
        <v>1217</v>
      </c>
      <c r="L24" s="29">
        <v>43647</v>
      </c>
      <c r="M24" t="s">
        <v>1227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952</v>
      </c>
      <c r="U24" s="36"/>
    </row>
    <row r="25" spans="1:21" hidden="1" x14ac:dyDescent="0.2">
      <c r="A25" t="s">
        <v>1231</v>
      </c>
      <c r="B25" s="13">
        <v>43649</v>
      </c>
      <c r="C25" s="33">
        <v>0</v>
      </c>
      <c r="D25" s="33">
        <v>0</v>
      </c>
      <c r="E25" s="33">
        <v>3</v>
      </c>
      <c r="F25" s="7" t="s">
        <v>828</v>
      </c>
      <c r="G25" s="7" t="s">
        <v>1246</v>
      </c>
      <c r="H25" t="s">
        <v>1091</v>
      </c>
      <c r="J25" s="32" t="s">
        <v>1249</v>
      </c>
      <c r="K25" s="6" t="s">
        <v>1248</v>
      </c>
      <c r="L25" s="29">
        <v>43647</v>
      </c>
      <c r="M25" t="s">
        <v>1336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1232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838</v>
      </c>
      <c r="G26" s="7" t="s">
        <v>1421</v>
      </c>
      <c r="H26" t="s">
        <v>839</v>
      </c>
      <c r="I26" t="s">
        <v>847</v>
      </c>
      <c r="J26" s="32" t="s">
        <v>1221</v>
      </c>
      <c r="K26" s="6" t="s">
        <v>1219</v>
      </c>
      <c r="L26" s="29">
        <v>43648</v>
      </c>
      <c r="M26" t="s">
        <v>1228</v>
      </c>
      <c r="N26" s="30">
        <v>43646.458333333336</v>
      </c>
      <c r="O26" s="29">
        <v>43648</v>
      </c>
      <c r="P26" s="34">
        <v>2</v>
      </c>
      <c r="Q26" s="31">
        <v>2</v>
      </c>
      <c r="R26" s="31">
        <v>0</v>
      </c>
      <c r="S26" s="35"/>
      <c r="T26" s="36"/>
      <c r="U26" s="36" t="s">
        <v>1385</v>
      </c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1240</v>
      </c>
      <c r="G27" s="7" t="s">
        <v>1241</v>
      </c>
      <c r="H27" t="s">
        <v>1242</v>
      </c>
      <c r="J27" s="32" t="s">
        <v>1260</v>
      </c>
      <c r="K27" s="6" t="s">
        <v>1243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743</v>
      </c>
      <c r="B28" s="13">
        <v>43649</v>
      </c>
      <c r="C28" s="33">
        <v>0</v>
      </c>
      <c r="D28" s="33">
        <v>0</v>
      </c>
      <c r="E28" s="33">
        <v>4</v>
      </c>
      <c r="F28" s="7" t="s">
        <v>827</v>
      </c>
      <c r="G28" s="7" t="s">
        <v>1277</v>
      </c>
      <c r="H28" t="s">
        <v>883</v>
      </c>
      <c r="J28" s="32" t="s">
        <v>1275</v>
      </c>
      <c r="K28" s="6" t="s">
        <v>1276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828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1286</v>
      </c>
    </row>
    <row r="30" spans="1:21" hidden="1" x14ac:dyDescent="0.2">
      <c r="A30" t="s">
        <v>1288</v>
      </c>
      <c r="B30" s="13">
        <v>43651</v>
      </c>
      <c r="C30" s="33">
        <v>0</v>
      </c>
      <c r="D30" s="33">
        <v>0</v>
      </c>
      <c r="E30" s="33">
        <v>2</v>
      </c>
      <c r="F30" s="7" t="s">
        <v>1289</v>
      </c>
      <c r="G30" s="7" t="s">
        <v>1326</v>
      </c>
      <c r="H30" t="s">
        <v>1327</v>
      </c>
      <c r="J30" s="32" t="s">
        <v>1372</v>
      </c>
      <c r="K30" s="6" t="s">
        <v>1328</v>
      </c>
      <c r="L30" s="29">
        <v>43649.583333333336</v>
      </c>
      <c r="M30" t="s">
        <v>1391</v>
      </c>
      <c r="N30" s="30">
        <v>43647.5</v>
      </c>
      <c r="O30" s="29">
        <v>43648</v>
      </c>
      <c r="P30" s="34">
        <v>1</v>
      </c>
      <c r="Q30" s="31"/>
      <c r="R30" s="31"/>
      <c r="S30" s="35"/>
      <c r="T30" s="36"/>
      <c r="U30" s="36" t="s">
        <v>1399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1290</v>
      </c>
      <c r="G31" s="7" t="s">
        <v>1241</v>
      </c>
      <c r="H31" t="s">
        <v>931</v>
      </c>
      <c r="I31" t="s">
        <v>925</v>
      </c>
      <c r="J31" s="32" t="s">
        <v>1461</v>
      </c>
      <c r="K31" s="6" t="s">
        <v>1403</v>
      </c>
      <c r="L31" s="29">
        <v>43651</v>
      </c>
      <c r="M31" t="s">
        <v>1309</v>
      </c>
      <c r="N31" s="30"/>
      <c r="O31" s="29"/>
      <c r="P31" s="34"/>
      <c r="Q31" s="31"/>
      <c r="R31" s="31"/>
      <c r="S31" s="35"/>
      <c r="T31" s="36"/>
      <c r="U31" s="36"/>
    </row>
    <row r="32" spans="1:21" hidden="1" x14ac:dyDescent="0.2">
      <c r="A32" t="s">
        <v>1325</v>
      </c>
      <c r="B32" s="13">
        <v>43654</v>
      </c>
      <c r="C32" s="33">
        <v>0</v>
      </c>
      <c r="D32" s="33">
        <v>0</v>
      </c>
      <c r="E32" s="33">
        <v>9</v>
      </c>
      <c r="F32" s="7" t="s">
        <v>1289</v>
      </c>
      <c r="G32" s="7" t="s">
        <v>1330</v>
      </c>
      <c r="H32" t="s">
        <v>1327</v>
      </c>
      <c r="J32" s="32" t="s">
        <v>1373</v>
      </c>
      <c r="K32" s="6" t="s">
        <v>1329</v>
      </c>
      <c r="L32" s="29">
        <v>43651.458333333336</v>
      </c>
      <c r="N32" s="30"/>
      <c r="O32" s="29"/>
      <c r="P32" s="34"/>
      <c r="Q32" s="31"/>
      <c r="R32" s="31"/>
      <c r="S32" s="35"/>
      <c r="T32" s="36" t="s">
        <v>1398</v>
      </c>
      <c r="U32" s="36" t="s">
        <v>1332</v>
      </c>
    </row>
    <row r="33" spans="1:21" hidden="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1331</v>
      </c>
      <c r="G33" s="7" t="s">
        <v>1405</v>
      </c>
      <c r="H33" t="s">
        <v>932</v>
      </c>
      <c r="J33" s="32" t="s">
        <v>1404</v>
      </c>
      <c r="K33" s="6" t="s">
        <v>1406</v>
      </c>
      <c r="L33" s="29">
        <v>43655</v>
      </c>
      <c r="N33" s="30"/>
      <c r="O33" s="29"/>
      <c r="P33" s="34"/>
      <c r="Q33" s="31"/>
      <c r="R33" s="31"/>
      <c r="S33" s="35"/>
      <c r="T33" s="36"/>
      <c r="U33" s="36"/>
    </row>
    <row r="34" spans="1:21" hidden="1" x14ac:dyDescent="0.2">
      <c r="A34" t="s">
        <v>1325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828</v>
      </c>
      <c r="G34" s="7" t="s">
        <v>1357</v>
      </c>
      <c r="H34" t="s">
        <v>1327</v>
      </c>
      <c r="J34" s="32" t="s">
        <v>1374</v>
      </c>
      <c r="K34" s="6" t="s">
        <v>1359</v>
      </c>
      <c r="L34" s="29">
        <v>43650</v>
      </c>
      <c r="M34" t="s">
        <v>1336</v>
      </c>
      <c r="N34" s="30"/>
      <c r="O34" s="29"/>
      <c r="P34" s="34"/>
      <c r="Q34" s="31"/>
      <c r="R34" s="31"/>
      <c r="S34" s="35"/>
      <c r="T34" s="36"/>
      <c r="U34" s="36" t="s">
        <v>1333</v>
      </c>
    </row>
    <row r="35" spans="1:21" hidden="1" x14ac:dyDescent="0.2">
      <c r="A35" t="s">
        <v>1325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828</v>
      </c>
      <c r="G35" s="7" t="s">
        <v>1357</v>
      </c>
      <c r="H35" t="s">
        <v>1327</v>
      </c>
      <c r="J35" s="32" t="s">
        <v>1375</v>
      </c>
      <c r="K35" s="6" t="s">
        <v>1358</v>
      </c>
      <c r="L35" s="29">
        <v>43650</v>
      </c>
      <c r="M35" t="s">
        <v>1336</v>
      </c>
      <c r="N35" s="30"/>
      <c r="O35" s="29"/>
      <c r="P35" s="34"/>
      <c r="Q35" s="31"/>
      <c r="R35" s="31"/>
      <c r="S35" s="35"/>
      <c r="T35" s="36"/>
      <c r="U35" s="36" t="s">
        <v>1334</v>
      </c>
    </row>
    <row r="36" spans="1:21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838</v>
      </c>
      <c r="G36" s="7" t="s">
        <v>1444</v>
      </c>
      <c r="H36" t="s">
        <v>839</v>
      </c>
      <c r="I36" t="s">
        <v>1446</v>
      </c>
      <c r="J36" s="32" t="s">
        <v>1442</v>
      </c>
      <c r="K36" s="6" t="s">
        <v>1449</v>
      </c>
      <c r="L36" s="29"/>
      <c r="N36" s="30"/>
      <c r="O36" s="29"/>
      <c r="P36" s="34"/>
      <c r="Q36" s="31"/>
      <c r="R36" s="31"/>
      <c r="S36" s="35"/>
      <c r="T36" s="36"/>
      <c r="U36" s="36"/>
    </row>
    <row r="37" spans="1:21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838</v>
      </c>
      <c r="G37" s="7" t="s">
        <v>1445</v>
      </c>
      <c r="H37" t="s">
        <v>839</v>
      </c>
      <c r="I37" t="s">
        <v>1447</v>
      </c>
      <c r="J37" s="32" t="s">
        <v>1448</v>
      </c>
      <c r="K37" s="6" t="s">
        <v>1450</v>
      </c>
      <c r="L37" s="29"/>
      <c r="N37" s="30"/>
      <c r="O37" s="29"/>
      <c r="P37" s="34"/>
      <c r="Q37" s="31"/>
      <c r="R37" s="31"/>
      <c r="S37" s="35"/>
      <c r="T37" s="36"/>
      <c r="U37" s="36"/>
    </row>
  </sheetData>
  <phoneticPr fontId="1" type="noConversion"/>
  <conditionalFormatting sqref="C2:E37">
    <cfRule type="containsBlanks" dxfId="4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4"/>
  <sheetViews>
    <sheetView tabSelected="1" workbookViewId="0">
      <pane xSplit="1" ySplit="9" topLeftCell="B16" activePane="bottomRight" state="frozen"/>
      <selection pane="topRight" activeCell="B1" sqref="B1"/>
      <selection pane="bottomLeft" activeCell="A5" sqref="A5"/>
      <selection pane="bottomRight" activeCell="I26" sqref="I26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5" width="7.875" customWidth="1"/>
    <col min="6" max="9" width="9.5" bestFit="1" customWidth="1"/>
    <col min="10" max="12" width="10.5" bestFit="1" customWidth="1"/>
    <col min="13" max="13" width="7.875" bestFit="1" customWidth="1"/>
    <col min="14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3</v>
      </c>
      <c r="B1" s="45">
        <v>43651</v>
      </c>
      <c r="C1" s="46"/>
      <c r="D1" s="47" t="s">
        <v>1045</v>
      </c>
      <c r="E1" s="67" t="s">
        <v>1408</v>
      </c>
      <c r="F1" s="67"/>
      <c r="G1" s="67"/>
      <c r="H1" s="67"/>
      <c r="I1" s="67"/>
      <c r="J1" s="47" t="s">
        <v>1239</v>
      </c>
      <c r="K1" s="66" t="s">
        <v>1219</v>
      </c>
      <c r="L1" s="66"/>
      <c r="M1" s="66"/>
      <c r="N1" s="67" t="s">
        <v>1419</v>
      </c>
      <c r="O1" s="67"/>
      <c r="P1" s="67"/>
      <c r="Q1" s="47" t="s">
        <v>1046</v>
      </c>
      <c r="R1" s="48">
        <v>2</v>
      </c>
    </row>
    <row r="2" spans="1:18" x14ac:dyDescent="0.2">
      <c r="A2" s="49" t="s">
        <v>1345</v>
      </c>
      <c r="B2" s="50" t="s">
        <v>1409</v>
      </c>
      <c r="C2" s="50" t="s">
        <v>1402</v>
      </c>
      <c r="D2" s="65"/>
      <c r="E2" s="72" t="s">
        <v>1410</v>
      </c>
      <c r="F2" s="72"/>
      <c r="G2" s="51" t="s">
        <v>991</v>
      </c>
      <c r="H2" s="70" t="s">
        <v>1225</v>
      </c>
      <c r="I2" s="70"/>
      <c r="J2" s="70"/>
      <c r="K2" s="70"/>
      <c r="L2" s="70" t="s">
        <v>1411</v>
      </c>
      <c r="M2" s="70"/>
      <c r="N2" s="72" t="s">
        <v>1412</v>
      </c>
      <c r="O2" s="72"/>
      <c r="P2" s="72"/>
      <c r="Q2" s="72" t="s">
        <v>1413</v>
      </c>
      <c r="R2" s="73"/>
    </row>
    <row r="3" spans="1:18" x14ac:dyDescent="0.2">
      <c r="A3" s="52" t="s">
        <v>1414</v>
      </c>
      <c r="B3" s="53" t="s">
        <v>1415</v>
      </c>
      <c r="C3" s="53" t="s">
        <v>1416</v>
      </c>
      <c r="D3" s="65"/>
      <c r="E3" s="65" t="s">
        <v>1417</v>
      </c>
      <c r="F3" s="65"/>
      <c r="G3" s="70" t="s">
        <v>1382</v>
      </c>
      <c r="H3" s="70"/>
      <c r="I3" s="70" t="s">
        <v>1383</v>
      </c>
      <c r="J3" s="70"/>
      <c r="K3" s="70"/>
      <c r="L3" s="70"/>
      <c r="M3" s="70"/>
      <c r="N3" s="70"/>
      <c r="O3" s="70"/>
      <c r="P3" s="70"/>
      <c r="Q3" s="70"/>
      <c r="R3" s="71"/>
    </row>
    <row r="4" spans="1:18" ht="15" thickBot="1" x14ac:dyDescent="0.25">
      <c r="A4" s="54" t="s">
        <v>862</v>
      </c>
      <c r="B4" s="68" t="s">
        <v>1418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43648</v>
      </c>
      <c r="C9" s="63">
        <v>43649</v>
      </c>
    </row>
    <row r="10" spans="1:18" x14ac:dyDescent="0.2">
      <c r="A10" s="6" t="s">
        <v>239</v>
      </c>
      <c r="B10" s="7"/>
      <c r="C10" s="7"/>
    </row>
    <row r="11" spans="1:18" x14ac:dyDescent="0.2">
      <c r="A11" s="62">
        <v>43647</v>
      </c>
      <c r="B11" s="7"/>
      <c r="C11" s="7">
        <v>2</v>
      </c>
    </row>
    <row r="12" spans="1:18" x14ac:dyDescent="0.2">
      <c r="A12" s="6" t="s">
        <v>241</v>
      </c>
      <c r="B12" s="7"/>
      <c r="C12" s="7"/>
    </row>
    <row r="13" spans="1:18" x14ac:dyDescent="0.2">
      <c r="A13" s="62">
        <v>43617</v>
      </c>
      <c r="B13" s="7">
        <v>1</v>
      </c>
      <c r="C13" s="7"/>
    </row>
    <row r="14" spans="1:18" x14ac:dyDescent="0.2">
      <c r="A14" s="6" t="s">
        <v>1341</v>
      </c>
      <c r="B14" s="7"/>
      <c r="C14" s="7"/>
    </row>
    <row r="15" spans="1:18" x14ac:dyDescent="0.2">
      <c r="A15" s="62">
        <v>43654</v>
      </c>
      <c r="B15" s="7">
        <v>4</v>
      </c>
      <c r="C15" s="7"/>
    </row>
    <row r="16" spans="1:18" x14ac:dyDescent="0.2">
      <c r="A16" s="62">
        <v>43654.041666666664</v>
      </c>
      <c r="B16" s="7">
        <v>9</v>
      </c>
      <c r="C16" s="7"/>
    </row>
    <row r="17" spans="1:3" x14ac:dyDescent="0.2">
      <c r="A17" s="62">
        <v>43654.083333333336</v>
      </c>
      <c r="B17" s="7">
        <v>9</v>
      </c>
      <c r="C17" s="7"/>
    </row>
    <row r="18" spans="1:3" x14ac:dyDescent="0.2">
      <c r="A18" s="6" t="s">
        <v>884</v>
      </c>
      <c r="B18" s="7"/>
      <c r="C18" s="7"/>
    </row>
    <row r="19" spans="1:3" x14ac:dyDescent="0.2">
      <c r="A19" s="62">
        <v>43649</v>
      </c>
      <c r="B19" s="7">
        <v>1</v>
      </c>
      <c r="C19" s="7">
        <v>1</v>
      </c>
    </row>
    <row r="20" spans="1:3" x14ac:dyDescent="0.2">
      <c r="A20" s="6" t="s">
        <v>1238</v>
      </c>
      <c r="B20" s="7"/>
      <c r="C20" s="7"/>
    </row>
    <row r="21" spans="1:3" x14ac:dyDescent="0.2">
      <c r="A21" s="62">
        <v>43649</v>
      </c>
      <c r="B21" s="7"/>
      <c r="C21" s="7">
        <v>4</v>
      </c>
    </row>
    <row r="22" spans="1:3" x14ac:dyDescent="0.2">
      <c r="A22" s="62">
        <v>43656</v>
      </c>
      <c r="B22" s="7"/>
      <c r="C22" s="7">
        <v>2</v>
      </c>
    </row>
    <row r="23" spans="1:3" x14ac:dyDescent="0.2">
      <c r="A23" s="6" t="s">
        <v>2</v>
      </c>
      <c r="B23" s="7"/>
      <c r="C23" s="7"/>
    </row>
    <row r="24" spans="1:3" x14ac:dyDescent="0.2">
      <c r="A24" s="62">
        <v>43649</v>
      </c>
      <c r="B24" s="7"/>
      <c r="C24" s="7">
        <v>1</v>
      </c>
    </row>
    <row r="25" spans="1:3" x14ac:dyDescent="0.2">
      <c r="A25" s="62">
        <v>43651</v>
      </c>
      <c r="B25" s="7">
        <v>2</v>
      </c>
      <c r="C25" s="7">
        <v>4</v>
      </c>
    </row>
    <row r="26" spans="1:3" x14ac:dyDescent="0.2">
      <c r="A26" s="62">
        <v>43656</v>
      </c>
      <c r="B26" s="7">
        <v>37</v>
      </c>
      <c r="C26" s="7"/>
    </row>
    <row r="27" spans="1:3" x14ac:dyDescent="0.2">
      <c r="A27" s="62">
        <v>43658</v>
      </c>
      <c r="B27" s="7">
        <v>38</v>
      </c>
      <c r="C27" s="7"/>
    </row>
    <row r="28" spans="1:3" x14ac:dyDescent="0.2">
      <c r="A28" s="6" t="s">
        <v>157</v>
      </c>
      <c r="B28" s="7"/>
      <c r="C28" s="7"/>
    </row>
    <row r="29" spans="1:3" x14ac:dyDescent="0.2">
      <c r="A29" s="62">
        <v>43649</v>
      </c>
      <c r="B29" s="7"/>
      <c r="C29" s="7">
        <v>2</v>
      </c>
    </row>
    <row r="30" spans="1:3" x14ac:dyDescent="0.2">
      <c r="A30" s="6" t="s">
        <v>1338</v>
      </c>
      <c r="B30" s="7"/>
      <c r="C30" s="7"/>
    </row>
    <row r="31" spans="1:3" x14ac:dyDescent="0.2">
      <c r="A31" s="62">
        <v>43658</v>
      </c>
      <c r="B31" s="7">
        <v>2</v>
      </c>
      <c r="C31" s="7"/>
    </row>
    <row r="32" spans="1:3" x14ac:dyDescent="0.2">
      <c r="A32" s="6" t="s">
        <v>161</v>
      </c>
      <c r="B32" s="7"/>
      <c r="C32" s="7"/>
    </row>
    <row r="33" spans="1:3" x14ac:dyDescent="0.2">
      <c r="A33" s="62">
        <v>43656</v>
      </c>
      <c r="B33" s="7">
        <v>1</v>
      </c>
      <c r="C33" s="7">
        <v>1</v>
      </c>
    </row>
    <row r="34" spans="1:3" x14ac:dyDescent="0.2">
      <c r="A34" s="6" t="s">
        <v>1099</v>
      </c>
      <c r="B34" s="7">
        <v>104</v>
      </c>
      <c r="C34" s="7">
        <v>17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6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8"/>
  <sheetViews>
    <sheetView workbookViewId="0">
      <selection activeCell="H124" sqref="H124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787</v>
      </c>
      <c r="H1" s="55" t="s">
        <v>342</v>
      </c>
      <c r="I1" s="55" t="s">
        <v>428</v>
      </c>
      <c r="J1" s="55" t="s">
        <v>788</v>
      </c>
    </row>
    <row r="2" spans="1:10" hidden="1" x14ac:dyDescent="0.2">
      <c r="A2" s="55" t="s">
        <v>2</v>
      </c>
      <c r="B2" s="60">
        <v>43595</v>
      </c>
      <c r="C2" s="56" t="s">
        <v>1029</v>
      </c>
      <c r="D2" s="57" t="s">
        <v>1083</v>
      </c>
      <c r="E2" s="58" t="s">
        <v>1084</v>
      </c>
      <c r="F2" s="58" t="s">
        <v>346</v>
      </c>
      <c r="G2" s="59" t="s">
        <v>1085</v>
      </c>
      <c r="H2" s="55" t="s">
        <v>1086</v>
      </c>
      <c r="I2" s="58" t="s">
        <v>950</v>
      </c>
      <c r="J2" s="58"/>
    </row>
    <row r="3" spans="1:10" hidden="1" x14ac:dyDescent="0.2">
      <c r="A3" s="55" t="s">
        <v>2</v>
      </c>
      <c r="B3" s="60">
        <v>43595</v>
      </c>
      <c r="C3" s="56" t="s">
        <v>1029</v>
      </c>
      <c r="D3" s="57" t="s">
        <v>1083</v>
      </c>
      <c r="E3" s="58" t="s">
        <v>1084</v>
      </c>
      <c r="F3" s="58" t="s">
        <v>346</v>
      </c>
      <c r="G3" s="59" t="s">
        <v>1087</v>
      </c>
      <c r="H3" s="55" t="s">
        <v>1086</v>
      </c>
      <c r="I3" s="58" t="s">
        <v>950</v>
      </c>
      <c r="J3" s="58"/>
    </row>
    <row r="4" spans="1:10" hidden="1" x14ac:dyDescent="0.2">
      <c r="A4" s="55" t="s">
        <v>2</v>
      </c>
      <c r="B4" s="60">
        <v>43595</v>
      </c>
      <c r="C4" s="56" t="s">
        <v>1029</v>
      </c>
      <c r="D4" s="57" t="s">
        <v>1083</v>
      </c>
      <c r="E4" s="58" t="s">
        <v>1084</v>
      </c>
      <c r="F4" s="58" t="s">
        <v>346</v>
      </c>
      <c r="G4" s="59" t="s">
        <v>1088</v>
      </c>
      <c r="H4" s="55" t="s">
        <v>1086</v>
      </c>
      <c r="I4" s="58" t="s">
        <v>950</v>
      </c>
      <c r="J4" s="58"/>
    </row>
    <row r="5" spans="1:10" hidden="1" x14ac:dyDescent="0.2">
      <c r="A5" s="55" t="s">
        <v>151</v>
      </c>
      <c r="B5" s="60">
        <v>43600</v>
      </c>
      <c r="C5" s="56" t="s">
        <v>1030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1031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879</v>
      </c>
    </row>
    <row r="7" spans="1:10" hidden="1" x14ac:dyDescent="0.2">
      <c r="A7" s="55" t="s">
        <v>356</v>
      </c>
      <c r="B7" s="60">
        <v>43602</v>
      </c>
      <c r="C7" s="56" t="s">
        <v>1031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879</v>
      </c>
    </row>
    <row r="8" spans="1:10" hidden="1" x14ac:dyDescent="0.2">
      <c r="A8" s="55" t="s">
        <v>356</v>
      </c>
      <c r="B8" s="60">
        <v>43602</v>
      </c>
      <c r="C8" s="56" t="s">
        <v>1031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879</v>
      </c>
    </row>
    <row r="9" spans="1:10" hidden="1" x14ac:dyDescent="0.2">
      <c r="A9" s="55" t="s">
        <v>356</v>
      </c>
      <c r="B9" s="60">
        <v>43602</v>
      </c>
      <c r="C9" s="56" t="s">
        <v>1031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879</v>
      </c>
    </row>
    <row r="10" spans="1:10" hidden="1" x14ac:dyDescent="0.2">
      <c r="A10" s="55" t="s">
        <v>154</v>
      </c>
      <c r="B10" s="60">
        <v>43607</v>
      </c>
      <c r="C10" s="56" t="s">
        <v>1035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1035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1035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1035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1032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1032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1027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1033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1034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1034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1034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1039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1037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879</v>
      </c>
    </row>
    <row r="23" spans="1:10" hidden="1" x14ac:dyDescent="0.2">
      <c r="A23" s="55" t="s">
        <v>173</v>
      </c>
      <c r="B23" s="60">
        <v>43613</v>
      </c>
      <c r="C23" s="56" t="s">
        <v>1037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879</v>
      </c>
    </row>
    <row r="24" spans="1:10" hidden="1" x14ac:dyDescent="0.2">
      <c r="A24" s="55" t="s">
        <v>464</v>
      </c>
      <c r="B24" s="60">
        <v>43614</v>
      </c>
      <c r="C24" s="56" t="s">
        <v>1038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1038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1038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1038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1038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1038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1038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1038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1036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1036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1028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1033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1039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1039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1039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1043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1043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1043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1043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1041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879</v>
      </c>
    </row>
    <row r="44" spans="1:10" hidden="1" x14ac:dyDescent="0.2">
      <c r="A44" s="55" t="s">
        <v>3</v>
      </c>
      <c r="B44" s="60">
        <v>43623</v>
      </c>
      <c r="C44" s="56" t="s">
        <v>1042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1041</v>
      </c>
      <c r="D45" s="57" t="s">
        <v>557</v>
      </c>
      <c r="E45" s="58" t="s">
        <v>558</v>
      </c>
      <c r="F45" s="58" t="s">
        <v>559</v>
      </c>
      <c r="G45" s="59" t="s">
        <v>730</v>
      </c>
      <c r="H45" s="55" t="s">
        <v>580</v>
      </c>
      <c r="I45" s="58" t="s">
        <v>553</v>
      </c>
      <c r="J45" s="58" t="s">
        <v>879</v>
      </c>
    </row>
    <row r="46" spans="1:10" hidden="1" x14ac:dyDescent="0.2">
      <c r="A46" s="55" t="s">
        <v>3</v>
      </c>
      <c r="B46" s="60">
        <v>43621</v>
      </c>
      <c r="C46" s="56" t="s">
        <v>1041</v>
      </c>
      <c r="D46" s="57" t="s">
        <v>557</v>
      </c>
      <c r="E46" s="58" t="s">
        <v>558</v>
      </c>
      <c r="F46" s="58" t="s">
        <v>559</v>
      </c>
      <c r="G46" s="59" t="s">
        <v>731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1040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1040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1041</v>
      </c>
      <c r="D49" s="57" t="s">
        <v>557</v>
      </c>
      <c r="E49" s="58" t="s">
        <v>558</v>
      </c>
      <c r="F49" s="58" t="s">
        <v>559</v>
      </c>
      <c r="G49" s="59" t="s">
        <v>732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1042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992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879</v>
      </c>
    </row>
    <row r="52" spans="1:10" hidden="1" x14ac:dyDescent="0.2">
      <c r="A52" s="55" t="s">
        <v>173</v>
      </c>
      <c r="B52" s="60">
        <v>43623</v>
      </c>
      <c r="C52" s="56" t="s">
        <v>992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879</v>
      </c>
    </row>
    <row r="53" spans="1:10" hidden="1" x14ac:dyDescent="0.2">
      <c r="A53" s="55" t="s">
        <v>173</v>
      </c>
      <c r="B53" s="60">
        <v>43623</v>
      </c>
      <c r="C53" s="56" t="s">
        <v>992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879</v>
      </c>
    </row>
    <row r="54" spans="1:10" hidden="1" x14ac:dyDescent="0.2">
      <c r="A54" s="55" t="s">
        <v>743</v>
      </c>
      <c r="B54" s="60">
        <v>43628</v>
      </c>
      <c r="C54" s="56" t="s">
        <v>996</v>
      </c>
      <c r="D54" s="57" t="s">
        <v>744</v>
      </c>
      <c r="E54" s="58" t="s">
        <v>745</v>
      </c>
      <c r="F54" s="58" t="s">
        <v>746</v>
      </c>
      <c r="G54" s="59" t="s">
        <v>747</v>
      </c>
      <c r="H54" s="55" t="s">
        <v>751</v>
      </c>
      <c r="I54" s="58" t="s">
        <v>748</v>
      </c>
      <c r="J54" s="58"/>
    </row>
    <row r="55" spans="1:10" hidden="1" x14ac:dyDescent="0.2">
      <c r="A55" s="55" t="s">
        <v>743</v>
      </c>
      <c r="B55" s="60">
        <v>43628</v>
      </c>
      <c r="C55" s="56" t="s">
        <v>996</v>
      </c>
      <c r="D55" s="57" t="s">
        <v>744</v>
      </c>
      <c r="E55" s="58" t="s">
        <v>745</v>
      </c>
      <c r="F55" s="58" t="s">
        <v>746</v>
      </c>
      <c r="G55" s="59" t="s">
        <v>747</v>
      </c>
      <c r="H55" s="55" t="s">
        <v>752</v>
      </c>
      <c r="I55" s="58" t="s">
        <v>748</v>
      </c>
      <c r="J55" s="58"/>
    </row>
    <row r="56" spans="1:10" hidden="1" x14ac:dyDescent="0.2">
      <c r="A56" s="55" t="s">
        <v>743</v>
      </c>
      <c r="B56" s="60">
        <v>43628</v>
      </c>
      <c r="C56" s="56" t="s">
        <v>996</v>
      </c>
      <c r="D56" s="57" t="s">
        <v>744</v>
      </c>
      <c r="E56" s="58" t="s">
        <v>745</v>
      </c>
      <c r="F56" s="58" t="s">
        <v>746</v>
      </c>
      <c r="G56" s="59" t="s">
        <v>747</v>
      </c>
      <c r="H56" s="55" t="s">
        <v>753</v>
      </c>
      <c r="I56" s="58" t="s">
        <v>748</v>
      </c>
      <c r="J56" s="58"/>
    </row>
    <row r="57" spans="1:10" hidden="1" x14ac:dyDescent="0.2">
      <c r="A57" s="55" t="s">
        <v>743</v>
      </c>
      <c r="B57" s="60">
        <v>43628</v>
      </c>
      <c r="C57" s="56" t="s">
        <v>996</v>
      </c>
      <c r="D57" s="57" t="s">
        <v>744</v>
      </c>
      <c r="E57" s="58" t="s">
        <v>745</v>
      </c>
      <c r="F57" s="58" t="s">
        <v>746</v>
      </c>
      <c r="G57" s="59" t="s">
        <v>747</v>
      </c>
      <c r="H57" s="55" t="s">
        <v>754</v>
      </c>
      <c r="I57" s="58" t="s">
        <v>748</v>
      </c>
      <c r="J57" s="58"/>
    </row>
    <row r="58" spans="1:10" hidden="1" x14ac:dyDescent="0.2">
      <c r="A58" s="55" t="s">
        <v>743</v>
      </c>
      <c r="B58" s="60">
        <v>43628</v>
      </c>
      <c r="C58" s="56" t="s">
        <v>996</v>
      </c>
      <c r="D58" s="57" t="s">
        <v>744</v>
      </c>
      <c r="E58" s="58" t="s">
        <v>745</v>
      </c>
      <c r="F58" s="58" t="s">
        <v>746</v>
      </c>
      <c r="G58" s="59" t="s">
        <v>747</v>
      </c>
      <c r="H58" s="55" t="s">
        <v>755</v>
      </c>
      <c r="I58" s="58" t="s">
        <v>748</v>
      </c>
      <c r="J58" s="58"/>
    </row>
    <row r="59" spans="1:10" hidden="1" x14ac:dyDescent="0.2">
      <c r="A59" s="55" t="s">
        <v>634</v>
      </c>
      <c r="B59" s="60">
        <v>43628</v>
      </c>
      <c r="C59" s="56" t="s">
        <v>1000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1000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1000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1000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1000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994</v>
      </c>
      <c r="D64" s="57" t="s">
        <v>625</v>
      </c>
      <c r="E64" s="58" t="s">
        <v>626</v>
      </c>
      <c r="F64" s="58" t="s">
        <v>651</v>
      </c>
      <c r="G64" s="59" t="s">
        <v>807</v>
      </c>
      <c r="H64" s="55" t="s">
        <v>653</v>
      </c>
      <c r="I64" s="58" t="s">
        <v>431</v>
      </c>
      <c r="J64" s="58" t="s">
        <v>789</v>
      </c>
    </row>
    <row r="65" spans="1:10" hidden="1" x14ac:dyDescent="0.2">
      <c r="A65" s="55" t="s">
        <v>3</v>
      </c>
      <c r="B65" s="60">
        <v>43630</v>
      </c>
      <c r="C65" s="56" t="s">
        <v>1004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723</v>
      </c>
      <c r="I65" s="58" t="s">
        <v>668</v>
      </c>
      <c r="J65" s="58" t="s">
        <v>879</v>
      </c>
    </row>
    <row r="66" spans="1:10" hidden="1" x14ac:dyDescent="0.2">
      <c r="A66" s="55" t="s">
        <v>3</v>
      </c>
      <c r="B66" s="60">
        <v>43628</v>
      </c>
      <c r="C66" s="56" t="s">
        <v>994</v>
      </c>
      <c r="D66" s="57" t="s">
        <v>625</v>
      </c>
      <c r="E66" s="58" t="s">
        <v>626</v>
      </c>
      <c r="F66" s="58" t="s">
        <v>651</v>
      </c>
      <c r="G66" s="59" t="s">
        <v>790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1002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1002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1002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743</v>
      </c>
      <c r="B70" s="60">
        <v>43628.041666666664</v>
      </c>
      <c r="C70" s="56" t="s">
        <v>998</v>
      </c>
      <c r="D70" s="57" t="s">
        <v>744</v>
      </c>
      <c r="E70" s="58" t="s">
        <v>745</v>
      </c>
      <c r="F70" s="58" t="s">
        <v>746</v>
      </c>
      <c r="G70" s="59" t="s">
        <v>749</v>
      </c>
      <c r="H70" s="55" t="s">
        <v>756</v>
      </c>
      <c r="I70" s="58" t="s">
        <v>748</v>
      </c>
      <c r="J70" s="58"/>
    </row>
    <row r="71" spans="1:10" hidden="1" x14ac:dyDescent="0.2">
      <c r="A71" s="55" t="s">
        <v>743</v>
      </c>
      <c r="B71" s="60">
        <v>43628.041666666664</v>
      </c>
      <c r="C71" s="56" t="s">
        <v>998</v>
      </c>
      <c r="D71" s="57" t="s">
        <v>744</v>
      </c>
      <c r="E71" s="58" t="s">
        <v>745</v>
      </c>
      <c r="F71" s="58" t="s">
        <v>746</v>
      </c>
      <c r="G71" s="59" t="s">
        <v>749</v>
      </c>
      <c r="H71" s="55" t="s">
        <v>757</v>
      </c>
      <c r="I71" s="58" t="s">
        <v>748</v>
      </c>
      <c r="J71" s="58"/>
    </row>
    <row r="72" spans="1:10" hidden="1" x14ac:dyDescent="0.2">
      <c r="A72" s="55" t="s">
        <v>743</v>
      </c>
      <c r="B72" s="60">
        <v>43628.083333333336</v>
      </c>
      <c r="C72" s="56" t="s">
        <v>999</v>
      </c>
      <c r="D72" s="57" t="s">
        <v>744</v>
      </c>
      <c r="E72" s="58" t="s">
        <v>745</v>
      </c>
      <c r="F72" s="58" t="s">
        <v>746</v>
      </c>
      <c r="G72" s="59" t="s">
        <v>750</v>
      </c>
      <c r="H72" s="55" t="s">
        <v>758</v>
      </c>
      <c r="I72" s="58" t="s">
        <v>748</v>
      </c>
      <c r="J72" s="58"/>
    </row>
    <row r="73" spans="1:10" hidden="1" x14ac:dyDescent="0.2">
      <c r="A73" s="55" t="s">
        <v>3</v>
      </c>
      <c r="B73" s="60">
        <v>43628</v>
      </c>
      <c r="C73" s="56" t="s">
        <v>994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789</v>
      </c>
    </row>
    <row r="74" spans="1:10" hidden="1" x14ac:dyDescent="0.2">
      <c r="A74" s="55" t="s">
        <v>3</v>
      </c>
      <c r="B74" s="60">
        <v>43630</v>
      </c>
      <c r="C74" s="56" t="s">
        <v>1004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724</v>
      </c>
      <c r="I74" s="58" t="s">
        <v>668</v>
      </c>
      <c r="J74" s="58" t="s">
        <v>879</v>
      </c>
    </row>
    <row r="75" spans="1:10" hidden="1" x14ac:dyDescent="0.2">
      <c r="A75" s="55" t="s">
        <v>3</v>
      </c>
      <c r="B75" s="60">
        <v>43630</v>
      </c>
      <c r="C75" s="56" t="s">
        <v>1004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722</v>
      </c>
      <c r="I75" s="58" t="s">
        <v>668</v>
      </c>
      <c r="J75" s="58" t="s">
        <v>879</v>
      </c>
    </row>
    <row r="76" spans="1:10" hidden="1" x14ac:dyDescent="0.2">
      <c r="A76" s="55" t="s">
        <v>743</v>
      </c>
      <c r="B76" s="60">
        <v>43632</v>
      </c>
      <c r="C76" s="56" t="s">
        <v>1006</v>
      </c>
      <c r="D76" s="57" t="s">
        <v>759</v>
      </c>
      <c r="E76" s="58" t="s">
        <v>760</v>
      </c>
      <c r="F76" s="58" t="s">
        <v>761</v>
      </c>
      <c r="G76" s="59" t="s">
        <v>762</v>
      </c>
      <c r="H76" s="55" t="s">
        <v>976</v>
      </c>
      <c r="I76" s="58" t="s">
        <v>748</v>
      </c>
      <c r="J76" s="58" t="s">
        <v>879</v>
      </c>
    </row>
    <row r="77" spans="1:10" hidden="1" x14ac:dyDescent="0.2">
      <c r="A77" s="55" t="s">
        <v>743</v>
      </c>
      <c r="B77" s="60">
        <v>43632</v>
      </c>
      <c r="C77" s="56" t="s">
        <v>1006</v>
      </c>
      <c r="D77" s="57" t="s">
        <v>759</v>
      </c>
      <c r="E77" s="58" t="s">
        <v>760</v>
      </c>
      <c r="F77" s="58" t="s">
        <v>761</v>
      </c>
      <c r="G77" s="59" t="s">
        <v>762</v>
      </c>
      <c r="H77" s="55" t="s">
        <v>977</v>
      </c>
      <c r="I77" s="58" t="s">
        <v>748</v>
      </c>
      <c r="J77" s="58" t="s">
        <v>879</v>
      </c>
    </row>
    <row r="78" spans="1:10" hidden="1" x14ac:dyDescent="0.2">
      <c r="A78" s="55" t="s">
        <v>743</v>
      </c>
      <c r="B78" s="60">
        <v>43635</v>
      </c>
      <c r="C78" s="56" t="s">
        <v>1016</v>
      </c>
      <c r="D78" s="57" t="s">
        <v>744</v>
      </c>
      <c r="E78" s="58" t="s">
        <v>763</v>
      </c>
      <c r="F78" s="58" t="s">
        <v>746</v>
      </c>
      <c r="G78" s="59" t="s">
        <v>764</v>
      </c>
      <c r="H78" s="55" t="s">
        <v>973</v>
      </c>
      <c r="I78" s="58" t="s">
        <v>748</v>
      </c>
      <c r="J78" s="58" t="s">
        <v>879</v>
      </c>
    </row>
    <row r="79" spans="1:10" hidden="1" x14ac:dyDescent="0.2">
      <c r="A79" s="55" t="s">
        <v>743</v>
      </c>
      <c r="B79" s="60">
        <v>43635</v>
      </c>
      <c r="C79" s="56" t="s">
        <v>1016</v>
      </c>
      <c r="D79" s="57" t="s">
        <v>744</v>
      </c>
      <c r="E79" s="58" t="s">
        <v>763</v>
      </c>
      <c r="F79" s="58" t="s">
        <v>746</v>
      </c>
      <c r="G79" s="59" t="s">
        <v>764</v>
      </c>
      <c r="H79" s="55" t="s">
        <v>974</v>
      </c>
      <c r="I79" s="58" t="s">
        <v>748</v>
      </c>
      <c r="J79" s="58" t="s">
        <v>879</v>
      </c>
    </row>
    <row r="80" spans="1:10" hidden="1" x14ac:dyDescent="0.2">
      <c r="A80" s="55" t="s">
        <v>779</v>
      </c>
      <c r="B80" s="60">
        <v>43635</v>
      </c>
      <c r="C80" s="56" t="s">
        <v>1008</v>
      </c>
      <c r="D80" s="57" t="s">
        <v>780</v>
      </c>
      <c r="E80" s="58" t="s">
        <v>781</v>
      </c>
      <c r="F80" s="58" t="s">
        <v>782</v>
      </c>
      <c r="G80" s="59" t="s">
        <v>783</v>
      </c>
      <c r="H80" s="55" t="s">
        <v>953</v>
      </c>
      <c r="I80" s="58" t="s">
        <v>876</v>
      </c>
      <c r="J80" s="58"/>
    </row>
    <row r="81" spans="1:10" hidden="1" x14ac:dyDescent="0.2">
      <c r="A81" s="55" t="s">
        <v>779</v>
      </c>
      <c r="B81" s="60">
        <v>43635</v>
      </c>
      <c r="C81" s="56" t="s">
        <v>1008</v>
      </c>
      <c r="D81" s="57" t="s">
        <v>780</v>
      </c>
      <c r="E81" s="58" t="s">
        <v>781</v>
      </c>
      <c r="F81" s="58" t="s">
        <v>782</v>
      </c>
      <c r="G81" s="59" t="s">
        <v>784</v>
      </c>
      <c r="H81" s="55" t="s">
        <v>953</v>
      </c>
      <c r="I81" s="58" t="s">
        <v>876</v>
      </c>
      <c r="J81" s="58"/>
    </row>
    <row r="82" spans="1:10" hidden="1" x14ac:dyDescent="0.2">
      <c r="A82" s="55" t="s">
        <v>779</v>
      </c>
      <c r="B82" s="60">
        <v>43635</v>
      </c>
      <c r="C82" s="56" t="s">
        <v>1008</v>
      </c>
      <c r="D82" s="57" t="s">
        <v>780</v>
      </c>
      <c r="E82" s="58" t="s">
        <v>781</v>
      </c>
      <c r="F82" s="58" t="s">
        <v>782</v>
      </c>
      <c r="G82" s="59" t="s">
        <v>785</v>
      </c>
      <c r="H82" s="55" t="s">
        <v>954</v>
      </c>
      <c r="I82" s="58" t="s">
        <v>877</v>
      </c>
      <c r="J82" s="58"/>
    </row>
    <row r="83" spans="1:10" hidden="1" x14ac:dyDescent="0.2">
      <c r="A83" s="55" t="s">
        <v>3</v>
      </c>
      <c r="B83" s="60">
        <v>43635</v>
      </c>
      <c r="C83" s="56" t="s">
        <v>1014</v>
      </c>
      <c r="D83" s="57" t="s">
        <v>733</v>
      </c>
      <c r="E83" s="58" t="s">
        <v>734</v>
      </c>
      <c r="F83" s="58" t="s">
        <v>774</v>
      </c>
      <c r="G83" s="59" t="s">
        <v>735</v>
      </c>
      <c r="H83" s="55" t="s">
        <v>878</v>
      </c>
      <c r="I83" s="58" t="s">
        <v>736</v>
      </c>
      <c r="J83" s="58" t="s">
        <v>879</v>
      </c>
    </row>
    <row r="84" spans="1:10" hidden="1" x14ac:dyDescent="0.2">
      <c r="A84" s="55" t="s">
        <v>3</v>
      </c>
      <c r="B84" s="60">
        <v>43635</v>
      </c>
      <c r="C84" s="56" t="s">
        <v>1014</v>
      </c>
      <c r="D84" s="57" t="s">
        <v>733</v>
      </c>
      <c r="E84" s="58" t="s">
        <v>734</v>
      </c>
      <c r="F84" s="58" t="s">
        <v>774</v>
      </c>
      <c r="G84" s="59" t="s">
        <v>737</v>
      </c>
      <c r="H84" s="55" t="s">
        <v>878</v>
      </c>
      <c r="I84" s="58" t="s">
        <v>736</v>
      </c>
      <c r="J84" s="58" t="s">
        <v>879</v>
      </c>
    </row>
    <row r="85" spans="1:10" hidden="1" x14ac:dyDescent="0.2">
      <c r="A85" s="55" t="s">
        <v>151</v>
      </c>
      <c r="B85" s="60">
        <v>43635</v>
      </c>
      <c r="C85" s="56" t="s">
        <v>1010</v>
      </c>
      <c r="D85" s="57" t="s">
        <v>354</v>
      </c>
      <c r="E85" s="58" t="s">
        <v>800</v>
      </c>
      <c r="F85" s="58" t="s">
        <v>768</v>
      </c>
      <c r="G85" s="59" t="s">
        <v>801</v>
      </c>
      <c r="H85" s="55" t="s">
        <v>880</v>
      </c>
      <c r="I85" s="58" t="s">
        <v>802</v>
      </c>
      <c r="J85" s="58"/>
    </row>
    <row r="86" spans="1:10" hidden="1" x14ac:dyDescent="0.2">
      <c r="A86" s="55" t="s">
        <v>151</v>
      </c>
      <c r="B86" s="60">
        <v>43635</v>
      </c>
      <c r="C86" s="56" t="s">
        <v>1010</v>
      </c>
      <c r="D86" s="57" t="s">
        <v>354</v>
      </c>
      <c r="E86" s="58" t="s">
        <v>800</v>
      </c>
      <c r="F86" s="58" t="s">
        <v>768</v>
      </c>
      <c r="G86" s="59" t="s">
        <v>803</v>
      </c>
      <c r="H86" s="55" t="s">
        <v>881</v>
      </c>
      <c r="I86" s="58" t="s">
        <v>804</v>
      </c>
      <c r="J86" s="58"/>
    </row>
    <row r="87" spans="1:10" hidden="1" x14ac:dyDescent="0.2">
      <c r="A87" s="55" t="s">
        <v>159</v>
      </c>
      <c r="B87" s="60">
        <v>43635</v>
      </c>
      <c r="C87" s="56" t="s">
        <v>1012</v>
      </c>
      <c r="D87" s="57" t="s">
        <v>354</v>
      </c>
      <c r="E87" s="58" t="s">
        <v>355</v>
      </c>
      <c r="F87" s="58" t="s">
        <v>768</v>
      </c>
      <c r="G87" s="59" t="s">
        <v>926</v>
      </c>
      <c r="H87" s="55" t="s">
        <v>983</v>
      </c>
      <c r="I87" s="58" t="s">
        <v>736</v>
      </c>
      <c r="J87" s="58"/>
    </row>
    <row r="88" spans="1:10" hidden="1" x14ac:dyDescent="0.2">
      <c r="A88" s="55" t="s">
        <v>743</v>
      </c>
      <c r="B88" s="60">
        <v>43635.041666666664</v>
      </c>
      <c r="C88" s="56" t="s">
        <v>1018</v>
      </c>
      <c r="D88" s="57" t="s">
        <v>744</v>
      </c>
      <c r="E88" s="58" t="s">
        <v>763</v>
      </c>
      <c r="F88" s="58" t="s">
        <v>746</v>
      </c>
      <c r="G88" s="59" t="s">
        <v>765</v>
      </c>
      <c r="H88" s="55" t="s">
        <v>975</v>
      </c>
      <c r="I88" s="58" t="s">
        <v>748</v>
      </c>
      <c r="J88" s="58" t="s">
        <v>879</v>
      </c>
    </row>
    <row r="89" spans="1:10" hidden="1" x14ac:dyDescent="0.2">
      <c r="A89" s="55" t="s">
        <v>738</v>
      </c>
      <c r="B89" s="60">
        <v>43637</v>
      </c>
      <c r="C89" s="56" t="s">
        <v>1021</v>
      </c>
      <c r="D89" s="57" t="s">
        <v>739</v>
      </c>
      <c r="E89" s="58" t="s">
        <v>740</v>
      </c>
      <c r="F89" s="58" t="s">
        <v>861</v>
      </c>
      <c r="G89" s="59" t="s">
        <v>741</v>
      </c>
      <c r="H89" s="55" t="s">
        <v>1055</v>
      </c>
      <c r="I89" s="58" t="s">
        <v>736</v>
      </c>
      <c r="J89" s="58" t="s">
        <v>879</v>
      </c>
    </row>
    <row r="90" spans="1:10" hidden="1" x14ac:dyDescent="0.2">
      <c r="A90" s="55" t="s">
        <v>738</v>
      </c>
      <c r="B90" s="60">
        <v>43637</v>
      </c>
      <c r="C90" s="56" t="s">
        <v>1044</v>
      </c>
      <c r="D90" s="57" t="s">
        <v>739</v>
      </c>
      <c r="E90" s="58" t="s">
        <v>740</v>
      </c>
      <c r="F90" s="58" t="s">
        <v>861</v>
      </c>
      <c r="G90" s="59" t="s">
        <v>742</v>
      </c>
      <c r="H90" s="55" t="s">
        <v>1055</v>
      </c>
      <c r="I90" s="58" t="s">
        <v>736</v>
      </c>
      <c r="J90" s="58" t="s">
        <v>879</v>
      </c>
    </row>
    <row r="91" spans="1:10" hidden="1" x14ac:dyDescent="0.2">
      <c r="A91" s="55" t="s">
        <v>173</v>
      </c>
      <c r="B91" s="60">
        <v>43637</v>
      </c>
      <c r="C91" s="56" t="s">
        <v>1019</v>
      </c>
      <c r="D91" s="57" t="s">
        <v>739</v>
      </c>
      <c r="E91" s="58" t="s">
        <v>1059</v>
      </c>
      <c r="F91" s="58" t="s">
        <v>861</v>
      </c>
      <c r="G91" s="59" t="s">
        <v>857</v>
      </c>
      <c r="H91" s="55" t="s">
        <v>1058</v>
      </c>
      <c r="I91" s="58" t="s">
        <v>859</v>
      </c>
      <c r="J91" s="58" t="s">
        <v>860</v>
      </c>
    </row>
    <row r="92" spans="1:10" hidden="1" x14ac:dyDescent="0.2">
      <c r="A92" s="55" t="s">
        <v>173</v>
      </c>
      <c r="B92" s="60">
        <v>43637</v>
      </c>
      <c r="C92" s="56" t="s">
        <v>1019</v>
      </c>
      <c r="D92" s="57" t="s">
        <v>858</v>
      </c>
      <c r="E92" s="58" t="s">
        <v>1059</v>
      </c>
      <c r="F92" s="58" t="s">
        <v>861</v>
      </c>
      <c r="G92" s="59" t="s">
        <v>857</v>
      </c>
      <c r="H92" s="55" t="s">
        <v>1056</v>
      </c>
      <c r="I92" s="58" t="s">
        <v>859</v>
      </c>
      <c r="J92" s="58" t="s">
        <v>860</v>
      </c>
    </row>
    <row r="93" spans="1:10" hidden="1" x14ac:dyDescent="0.2">
      <c r="A93" s="55" t="s">
        <v>173</v>
      </c>
      <c r="B93" s="60">
        <v>43637</v>
      </c>
      <c r="C93" s="56" t="s">
        <v>1019</v>
      </c>
      <c r="D93" s="57" t="s">
        <v>858</v>
      </c>
      <c r="E93" s="58" t="s">
        <v>1059</v>
      </c>
      <c r="F93" s="58" t="s">
        <v>861</v>
      </c>
      <c r="G93" s="59" t="s">
        <v>857</v>
      </c>
      <c r="H93" s="55" t="s">
        <v>1057</v>
      </c>
      <c r="I93" s="58" t="s">
        <v>859</v>
      </c>
      <c r="J93" s="58" t="s">
        <v>860</v>
      </c>
    </row>
    <row r="94" spans="1:10" hidden="1" x14ac:dyDescent="0.2">
      <c r="A94" s="55" t="s">
        <v>743</v>
      </c>
      <c r="B94" s="60">
        <v>43639</v>
      </c>
      <c r="C94" s="56" t="s">
        <v>1072</v>
      </c>
      <c r="D94" s="57" t="s">
        <v>759</v>
      </c>
      <c r="E94" s="58" t="s">
        <v>1079</v>
      </c>
      <c r="F94" s="58" t="s">
        <v>761</v>
      </c>
      <c r="G94" s="59" t="s">
        <v>1075</v>
      </c>
      <c r="H94" s="55" t="s">
        <v>1181</v>
      </c>
      <c r="I94" s="58" t="s">
        <v>429</v>
      </c>
      <c r="J94" s="58" t="s">
        <v>879</v>
      </c>
    </row>
    <row r="95" spans="1:10" hidden="1" x14ac:dyDescent="0.2">
      <c r="A95" s="55" t="s">
        <v>743</v>
      </c>
      <c r="B95" s="60">
        <v>43639</v>
      </c>
      <c r="C95" s="56" t="s">
        <v>1072</v>
      </c>
      <c r="D95" s="57" t="s">
        <v>759</v>
      </c>
      <c r="E95" s="58" t="s">
        <v>1079</v>
      </c>
      <c r="F95" s="58" t="s">
        <v>761</v>
      </c>
      <c r="G95" s="59" t="s">
        <v>1075</v>
      </c>
      <c r="H95" s="55" t="s">
        <v>1182</v>
      </c>
      <c r="I95" s="58" t="s">
        <v>429</v>
      </c>
      <c r="J95" s="58" t="s">
        <v>879</v>
      </c>
    </row>
    <row r="96" spans="1:10" hidden="1" x14ac:dyDescent="0.2">
      <c r="A96" s="55" t="s">
        <v>743</v>
      </c>
      <c r="B96" s="60">
        <v>43639</v>
      </c>
      <c r="C96" s="56" t="s">
        <v>1072</v>
      </c>
      <c r="D96" s="57" t="s">
        <v>759</v>
      </c>
      <c r="E96" s="58" t="s">
        <v>1079</v>
      </c>
      <c r="F96" s="58" t="s">
        <v>761</v>
      </c>
      <c r="G96" s="59" t="s">
        <v>1075</v>
      </c>
      <c r="H96" s="55" t="s">
        <v>1183</v>
      </c>
      <c r="I96" s="58" t="s">
        <v>429</v>
      </c>
      <c r="J96" s="58" t="s">
        <v>879</v>
      </c>
    </row>
    <row r="97" spans="1:10" hidden="1" x14ac:dyDescent="0.2">
      <c r="A97" s="55" t="s">
        <v>743</v>
      </c>
      <c r="B97" s="60">
        <v>43639</v>
      </c>
      <c r="C97" s="56" t="s">
        <v>1073</v>
      </c>
      <c r="D97" s="57" t="s">
        <v>759</v>
      </c>
      <c r="E97" s="58" t="s">
        <v>1079</v>
      </c>
      <c r="F97" s="58" t="s">
        <v>761</v>
      </c>
      <c r="G97" s="59" t="s">
        <v>1076</v>
      </c>
      <c r="H97" s="55" t="s">
        <v>1184</v>
      </c>
      <c r="I97" s="58" t="s">
        <v>429</v>
      </c>
      <c r="J97" s="58" t="s">
        <v>879</v>
      </c>
    </row>
    <row r="98" spans="1:10" hidden="1" x14ac:dyDescent="0.2">
      <c r="A98" s="55" t="s">
        <v>743</v>
      </c>
      <c r="B98" s="60">
        <v>43639</v>
      </c>
      <c r="C98" s="56" t="s">
        <v>1073</v>
      </c>
      <c r="D98" s="57" t="s">
        <v>759</v>
      </c>
      <c r="E98" s="58" t="s">
        <v>1079</v>
      </c>
      <c r="F98" s="58" t="s">
        <v>761</v>
      </c>
      <c r="G98" s="59" t="s">
        <v>1080</v>
      </c>
      <c r="H98" s="55" t="s">
        <v>1184</v>
      </c>
      <c r="I98" s="58" t="s">
        <v>429</v>
      </c>
      <c r="J98" s="58" t="s">
        <v>879</v>
      </c>
    </row>
    <row r="99" spans="1:10" hidden="1" x14ac:dyDescent="0.2">
      <c r="A99" s="55" t="s">
        <v>743</v>
      </c>
      <c r="B99" s="60">
        <v>43639</v>
      </c>
      <c r="C99" s="56" t="s">
        <v>1074</v>
      </c>
      <c r="D99" s="57" t="s">
        <v>759</v>
      </c>
      <c r="E99" s="58" t="s">
        <v>1079</v>
      </c>
      <c r="F99" s="58" t="s">
        <v>761</v>
      </c>
      <c r="G99" s="59" t="s">
        <v>1081</v>
      </c>
      <c r="H99" s="55" t="s">
        <v>1185</v>
      </c>
      <c r="I99" s="58" t="s">
        <v>429</v>
      </c>
      <c r="J99" s="58" t="s">
        <v>879</v>
      </c>
    </row>
    <row r="100" spans="1:10" hidden="1" x14ac:dyDescent="0.2">
      <c r="A100" s="55" t="s">
        <v>779</v>
      </c>
      <c r="B100" s="60">
        <v>43642</v>
      </c>
      <c r="C100" s="56" t="s">
        <v>1097</v>
      </c>
      <c r="D100" s="57" t="s">
        <v>1089</v>
      </c>
      <c r="E100" s="58" t="s">
        <v>1093</v>
      </c>
      <c r="F100" s="58" t="s">
        <v>369</v>
      </c>
      <c r="G100" s="59" t="s">
        <v>1195</v>
      </c>
      <c r="H100" s="55" t="s">
        <v>1187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1097</v>
      </c>
      <c r="D101" s="57" t="s">
        <v>1089</v>
      </c>
      <c r="E101" s="58" t="s">
        <v>1093</v>
      </c>
      <c r="F101" s="58" t="s">
        <v>369</v>
      </c>
      <c r="G101" s="59" t="s">
        <v>1094</v>
      </c>
      <c r="H101" s="55" t="s">
        <v>1187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1097</v>
      </c>
      <c r="D102" s="57" t="s">
        <v>1089</v>
      </c>
      <c r="E102" s="58" t="s">
        <v>1093</v>
      </c>
      <c r="F102" s="58" t="s">
        <v>369</v>
      </c>
      <c r="G102" s="59" t="s">
        <v>1095</v>
      </c>
      <c r="H102" s="55" t="s">
        <v>1187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1097</v>
      </c>
      <c r="D103" s="57" t="s">
        <v>1089</v>
      </c>
      <c r="E103" s="58" t="s">
        <v>1093</v>
      </c>
      <c r="F103" s="58" t="s">
        <v>369</v>
      </c>
      <c r="G103" s="59" t="s">
        <v>1096</v>
      </c>
      <c r="H103" s="55" t="s">
        <v>1187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1061</v>
      </c>
      <c r="D104" s="57" t="s">
        <v>1066</v>
      </c>
      <c r="E104" s="58" t="s">
        <v>1065</v>
      </c>
      <c r="F104" s="58" t="s">
        <v>1112</v>
      </c>
      <c r="G104" s="59" t="s">
        <v>1064</v>
      </c>
      <c r="H104" s="55" t="s">
        <v>1180</v>
      </c>
      <c r="I104" s="58" t="s">
        <v>431</v>
      </c>
      <c r="J104" s="58" t="s">
        <v>879</v>
      </c>
    </row>
    <row r="105" spans="1:10" hidden="1" x14ac:dyDescent="0.2">
      <c r="A105" s="55" t="s">
        <v>3</v>
      </c>
      <c r="B105" s="60">
        <v>43642</v>
      </c>
      <c r="C105" s="56" t="s">
        <v>1150</v>
      </c>
      <c r="D105" s="57" t="s">
        <v>1066</v>
      </c>
      <c r="E105" s="58" t="s">
        <v>1065</v>
      </c>
      <c r="F105" s="58" t="s">
        <v>1112</v>
      </c>
      <c r="G105" s="59" t="s">
        <v>1067</v>
      </c>
      <c r="H105" s="55" t="s">
        <v>1180</v>
      </c>
      <c r="I105" s="58" t="s">
        <v>431</v>
      </c>
      <c r="J105" s="58" t="s">
        <v>879</v>
      </c>
    </row>
    <row r="106" spans="1:10" hidden="1" x14ac:dyDescent="0.2">
      <c r="A106" s="55" t="s">
        <v>795</v>
      </c>
      <c r="B106" s="60">
        <v>43642</v>
      </c>
      <c r="C106" s="56" t="s">
        <v>1023</v>
      </c>
      <c r="D106" s="57" t="s">
        <v>946</v>
      </c>
      <c r="E106" s="58" t="s">
        <v>947</v>
      </c>
      <c r="F106" s="58" t="s">
        <v>948</v>
      </c>
      <c r="G106" s="59" t="s">
        <v>949</v>
      </c>
      <c r="H106" s="55" t="s">
        <v>1174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1023</v>
      </c>
      <c r="D107" s="57" t="s">
        <v>945</v>
      </c>
      <c r="E107" s="58" t="s">
        <v>947</v>
      </c>
      <c r="F107" s="58" t="s">
        <v>948</v>
      </c>
      <c r="G107" s="59" t="s">
        <v>951</v>
      </c>
      <c r="H107" s="55" t="s">
        <v>1175</v>
      </c>
      <c r="I107" s="58" t="s">
        <v>1133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1063</v>
      </c>
      <c r="D108" s="57" t="s">
        <v>1108</v>
      </c>
      <c r="E108" s="58" t="s">
        <v>1110</v>
      </c>
      <c r="F108" s="58" t="s">
        <v>1109</v>
      </c>
      <c r="G108" s="59" t="s">
        <v>1069</v>
      </c>
      <c r="H108" s="55" t="s">
        <v>1204</v>
      </c>
      <c r="I108" s="58" t="s">
        <v>431</v>
      </c>
      <c r="J108" s="58" t="s">
        <v>879</v>
      </c>
    </row>
    <row r="109" spans="1:10" hidden="1" x14ac:dyDescent="0.2">
      <c r="A109" s="55" t="s">
        <v>3</v>
      </c>
      <c r="B109" s="60">
        <v>43644</v>
      </c>
      <c r="C109" s="56" t="s">
        <v>1197</v>
      </c>
      <c r="D109" s="57" t="s">
        <v>1107</v>
      </c>
      <c r="E109" s="58" t="s">
        <v>1110</v>
      </c>
      <c r="F109" s="58" t="s">
        <v>1109</v>
      </c>
      <c r="G109" s="59" t="s">
        <v>1068</v>
      </c>
      <c r="H109" s="55" t="s">
        <v>1205</v>
      </c>
      <c r="I109" s="58" t="s">
        <v>431</v>
      </c>
      <c r="J109" s="58" t="s">
        <v>879</v>
      </c>
    </row>
    <row r="110" spans="1:10" hidden="1" x14ac:dyDescent="0.2">
      <c r="A110" s="55" t="s">
        <v>944</v>
      </c>
      <c r="B110" s="60">
        <v>43653</v>
      </c>
      <c r="C110" s="56" t="s">
        <v>1025</v>
      </c>
      <c r="D110" s="57" t="s">
        <v>958</v>
      </c>
      <c r="E110" s="58" t="s">
        <v>959</v>
      </c>
      <c r="F110" s="58" t="s">
        <v>1203</v>
      </c>
      <c r="G110" s="59">
        <v>969290200</v>
      </c>
      <c r="I110" s="58" t="s">
        <v>431</v>
      </c>
      <c r="J110" s="58" t="s">
        <v>879</v>
      </c>
    </row>
    <row r="111" spans="1:10" hidden="1" x14ac:dyDescent="0.2">
      <c r="A111" s="55" t="s">
        <v>1124</v>
      </c>
      <c r="B111" s="60">
        <v>43649</v>
      </c>
      <c r="C111" s="56" t="s">
        <v>1161</v>
      </c>
      <c r="D111" s="57" t="s">
        <v>1162</v>
      </c>
      <c r="E111" s="58" t="s">
        <v>1163</v>
      </c>
      <c r="F111" s="58" t="s">
        <v>1313</v>
      </c>
      <c r="G111" s="59" t="s">
        <v>1159</v>
      </c>
      <c r="H111" s="55" t="s">
        <v>1312</v>
      </c>
      <c r="I111" s="58" t="s">
        <v>430</v>
      </c>
      <c r="J111" s="58"/>
    </row>
    <row r="112" spans="1:10" hidden="1" x14ac:dyDescent="0.2">
      <c r="A112" s="55" t="s">
        <v>743</v>
      </c>
      <c r="B112" s="60">
        <v>43642</v>
      </c>
      <c r="C112" s="56" t="s">
        <v>1134</v>
      </c>
      <c r="D112" s="57" t="s">
        <v>1137</v>
      </c>
      <c r="E112" s="58" t="s">
        <v>1138</v>
      </c>
      <c r="F112" s="58" t="s">
        <v>746</v>
      </c>
      <c r="G112" s="59" t="s">
        <v>1194</v>
      </c>
      <c r="H112" s="55" t="s">
        <v>1189</v>
      </c>
      <c r="I112" s="58" t="s">
        <v>429</v>
      </c>
      <c r="J112" s="58" t="s">
        <v>879</v>
      </c>
    </row>
    <row r="113" spans="1:10" hidden="1" x14ac:dyDescent="0.2">
      <c r="A113" s="55" t="s">
        <v>743</v>
      </c>
      <c r="B113" s="60">
        <v>43642</v>
      </c>
      <c r="C113" s="56" t="s">
        <v>1134</v>
      </c>
      <c r="D113" s="57" t="s">
        <v>1137</v>
      </c>
      <c r="E113" s="58" t="s">
        <v>1138</v>
      </c>
      <c r="F113" s="58" t="s">
        <v>746</v>
      </c>
      <c r="G113" s="59" t="s">
        <v>1139</v>
      </c>
      <c r="H113" s="55" t="s">
        <v>1190</v>
      </c>
      <c r="I113" s="58" t="s">
        <v>429</v>
      </c>
      <c r="J113" s="58" t="s">
        <v>879</v>
      </c>
    </row>
    <row r="114" spans="1:10" hidden="1" x14ac:dyDescent="0.2">
      <c r="A114" s="55" t="s">
        <v>743</v>
      </c>
      <c r="B114" s="60">
        <v>43642</v>
      </c>
      <c r="C114" s="56" t="s">
        <v>1135</v>
      </c>
      <c r="D114" s="57" t="s">
        <v>1137</v>
      </c>
      <c r="E114" s="58" t="s">
        <v>1138</v>
      </c>
      <c r="F114" s="58" t="s">
        <v>746</v>
      </c>
      <c r="G114" s="59" t="s">
        <v>1140</v>
      </c>
      <c r="H114" s="55" t="s">
        <v>1191</v>
      </c>
      <c r="I114" s="58" t="s">
        <v>429</v>
      </c>
      <c r="J114" s="58" t="s">
        <v>879</v>
      </c>
    </row>
    <row r="115" spans="1:10" hidden="1" x14ac:dyDescent="0.2">
      <c r="A115" s="55" t="s">
        <v>884</v>
      </c>
      <c r="B115" s="61">
        <v>43642</v>
      </c>
      <c r="C115" s="56" t="s">
        <v>1135</v>
      </c>
      <c r="D115" s="57" t="s">
        <v>1137</v>
      </c>
      <c r="E115" s="58" t="s">
        <v>1138</v>
      </c>
      <c r="F115" s="58" t="s">
        <v>1153</v>
      </c>
      <c r="G115" s="59" t="s">
        <v>1154</v>
      </c>
      <c r="H115" s="55" t="s">
        <v>1191</v>
      </c>
      <c r="I115" s="58" t="s">
        <v>1132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1151</v>
      </c>
      <c r="D116" s="57" t="s">
        <v>1066</v>
      </c>
      <c r="E116" s="58" t="s">
        <v>1065</v>
      </c>
      <c r="F116" s="58" t="s">
        <v>1112</v>
      </c>
      <c r="G116" s="59" t="s">
        <v>1148</v>
      </c>
      <c r="H116" s="55" t="s">
        <v>1180</v>
      </c>
      <c r="I116" s="58" t="s">
        <v>431</v>
      </c>
      <c r="J116" s="58" t="s">
        <v>879</v>
      </c>
    </row>
    <row r="117" spans="1:10" hidden="1" x14ac:dyDescent="0.2">
      <c r="A117" s="55" t="s">
        <v>3</v>
      </c>
      <c r="B117" s="60">
        <v>43642</v>
      </c>
      <c r="C117" s="56" t="s">
        <v>1152</v>
      </c>
      <c r="D117" s="57" t="s">
        <v>1066</v>
      </c>
      <c r="E117" s="58" t="s">
        <v>1065</v>
      </c>
      <c r="F117" s="58" t="s">
        <v>1112</v>
      </c>
      <c r="G117" s="59" t="s">
        <v>1149</v>
      </c>
      <c r="H117" s="55" t="s">
        <v>1180</v>
      </c>
      <c r="I117" s="58" t="s">
        <v>431</v>
      </c>
      <c r="J117" s="58" t="s">
        <v>879</v>
      </c>
    </row>
    <row r="118" spans="1:10" hidden="1" x14ac:dyDescent="0.2">
      <c r="A118" s="55" t="s">
        <v>743</v>
      </c>
      <c r="B118" s="60">
        <v>43642</v>
      </c>
      <c r="C118" s="56" t="s">
        <v>1136</v>
      </c>
      <c r="D118" s="57" t="s">
        <v>1137</v>
      </c>
      <c r="E118" s="58" t="s">
        <v>1138</v>
      </c>
      <c r="F118" s="58" t="s">
        <v>746</v>
      </c>
      <c r="G118" s="59" t="s">
        <v>1206</v>
      </c>
      <c r="H118" s="55" t="s">
        <v>1192</v>
      </c>
      <c r="I118" s="58" t="s">
        <v>429</v>
      </c>
      <c r="J118" s="58" t="s">
        <v>879</v>
      </c>
    </row>
    <row r="119" spans="1:10" hidden="1" x14ac:dyDescent="0.2">
      <c r="A119" s="55" t="s">
        <v>743</v>
      </c>
      <c r="B119" s="60">
        <v>43635</v>
      </c>
      <c r="C119" s="56" t="s">
        <v>1155</v>
      </c>
      <c r="D119" s="57" t="s">
        <v>744</v>
      </c>
      <c r="E119" s="58" t="s">
        <v>763</v>
      </c>
      <c r="F119" s="58" t="s">
        <v>746</v>
      </c>
      <c r="G119" s="59" t="s">
        <v>1156</v>
      </c>
      <c r="H119" s="55" t="s">
        <v>975</v>
      </c>
      <c r="I119" s="58" t="s">
        <v>429</v>
      </c>
      <c r="J119" s="58" t="s">
        <v>879</v>
      </c>
    </row>
    <row r="120" spans="1:10" hidden="1" x14ac:dyDescent="0.2">
      <c r="A120" s="55" t="s">
        <v>157</v>
      </c>
      <c r="B120" s="61">
        <v>43642</v>
      </c>
      <c r="C120" s="56" t="s">
        <v>1023</v>
      </c>
      <c r="D120" s="57" t="s">
        <v>945</v>
      </c>
      <c r="E120" s="58" t="s">
        <v>947</v>
      </c>
      <c r="F120" s="58" t="s">
        <v>948</v>
      </c>
      <c r="G120" s="59" t="s">
        <v>1157</v>
      </c>
      <c r="H120" s="55" t="s">
        <v>1175</v>
      </c>
      <c r="I120" s="58" t="s">
        <v>1132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1198</v>
      </c>
      <c r="D121" s="57" t="s">
        <v>1107</v>
      </c>
      <c r="E121" s="58" t="s">
        <v>1110</v>
      </c>
      <c r="F121" s="58" t="s">
        <v>1109</v>
      </c>
      <c r="G121" s="59" t="s">
        <v>1201</v>
      </c>
      <c r="H121" s="55" t="s">
        <v>1204</v>
      </c>
      <c r="I121" s="58" t="s">
        <v>431</v>
      </c>
      <c r="J121" s="58" t="s">
        <v>879</v>
      </c>
    </row>
    <row r="122" spans="1:10" hidden="1" x14ac:dyDescent="0.2">
      <c r="A122" s="55" t="s">
        <v>3</v>
      </c>
      <c r="B122" s="60">
        <v>43649</v>
      </c>
      <c r="C122" s="56" t="s">
        <v>1314</v>
      </c>
      <c r="D122" s="57" t="s">
        <v>1224</v>
      </c>
      <c r="E122" s="58" t="s">
        <v>1223</v>
      </c>
      <c r="F122" s="58"/>
      <c r="G122" s="55" t="s">
        <v>1217</v>
      </c>
      <c r="H122" s="55" t="s">
        <v>1335</v>
      </c>
      <c r="I122" s="58" t="s">
        <v>429</v>
      </c>
      <c r="J122" s="58" t="s">
        <v>879</v>
      </c>
    </row>
    <row r="123" spans="1:10" hidden="1" x14ac:dyDescent="0.2">
      <c r="A123" s="55" t="s">
        <v>3</v>
      </c>
      <c r="B123" s="60">
        <v>43649</v>
      </c>
      <c r="C123" s="56" t="s">
        <v>1293</v>
      </c>
      <c r="D123" s="57" t="s">
        <v>347</v>
      </c>
      <c r="E123" s="58" t="s">
        <v>1223</v>
      </c>
      <c r="F123" s="58"/>
      <c r="G123" s="55" t="s">
        <v>1222</v>
      </c>
      <c r="H123" s="55" t="s">
        <v>1335</v>
      </c>
      <c r="I123" s="58" t="s">
        <v>429</v>
      </c>
      <c r="J123" s="58" t="s">
        <v>879</v>
      </c>
    </row>
    <row r="124" spans="1:10" x14ac:dyDescent="0.2">
      <c r="A124" s="55" t="s">
        <v>3</v>
      </c>
      <c r="B124" s="60">
        <v>43651</v>
      </c>
      <c r="C124" s="56" t="s">
        <v>1425</v>
      </c>
      <c r="D124" s="57" t="s">
        <v>1422</v>
      </c>
      <c r="E124" s="58" t="s">
        <v>1423</v>
      </c>
      <c r="F124" s="58" t="s">
        <v>1424</v>
      </c>
      <c r="G124" s="55" t="s">
        <v>1218</v>
      </c>
      <c r="H124" s="55" t="s">
        <v>1426</v>
      </c>
      <c r="I124" s="58" t="s">
        <v>429</v>
      </c>
      <c r="J124" s="58" t="s">
        <v>879</v>
      </c>
    </row>
    <row r="125" spans="1:10" hidden="1" x14ac:dyDescent="0.2">
      <c r="A125" s="55" t="s">
        <v>3</v>
      </c>
      <c r="B125" s="60">
        <v>43649</v>
      </c>
      <c r="C125" s="56" t="s">
        <v>1292</v>
      </c>
      <c r="D125" s="57" t="s">
        <v>347</v>
      </c>
      <c r="E125" s="58" t="s">
        <v>1223</v>
      </c>
      <c r="F125" s="58"/>
      <c r="G125" s="59" t="s">
        <v>1291</v>
      </c>
      <c r="H125" s="55" t="s">
        <v>1335</v>
      </c>
      <c r="I125" s="58" t="s">
        <v>429</v>
      </c>
      <c r="J125" s="58" t="s">
        <v>879</v>
      </c>
    </row>
    <row r="126" spans="1:10" hidden="1" x14ac:dyDescent="0.2">
      <c r="A126" s="55" t="s">
        <v>1234</v>
      </c>
      <c r="B126" s="60">
        <v>43656</v>
      </c>
      <c r="C126" s="56" t="s">
        <v>1260</v>
      </c>
      <c r="D126" s="57" t="s">
        <v>1263</v>
      </c>
      <c r="E126" s="58" t="s">
        <v>1264</v>
      </c>
      <c r="F126" s="58" t="s">
        <v>1265</v>
      </c>
      <c r="G126" s="59" t="s">
        <v>1261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1249</v>
      </c>
      <c r="D127" s="57" t="s">
        <v>1250</v>
      </c>
      <c r="E127" s="58" t="s">
        <v>1251</v>
      </c>
      <c r="F127" s="58" t="s">
        <v>1252</v>
      </c>
      <c r="G127" s="59" t="s">
        <v>1247</v>
      </c>
      <c r="H127" s="55" t="s">
        <v>1379</v>
      </c>
      <c r="I127" s="58" t="s">
        <v>429</v>
      </c>
      <c r="J127" s="58"/>
    </row>
    <row r="128" spans="1:10" hidden="1" x14ac:dyDescent="0.2">
      <c r="A128" s="55" t="s">
        <v>1238</v>
      </c>
      <c r="B128" s="60">
        <v>43649</v>
      </c>
      <c r="C128" s="56" t="s">
        <v>1249</v>
      </c>
      <c r="D128" s="57" t="s">
        <v>1250</v>
      </c>
      <c r="E128" s="58" t="s">
        <v>1251</v>
      </c>
      <c r="F128" s="58" t="s">
        <v>1252</v>
      </c>
      <c r="G128" s="64" t="s">
        <v>1253</v>
      </c>
      <c r="H128" s="55" t="s">
        <v>1381</v>
      </c>
      <c r="I128" s="58" t="s">
        <v>1132</v>
      </c>
      <c r="J128" s="58"/>
    </row>
    <row r="129" spans="1:10" hidden="1" x14ac:dyDescent="0.2">
      <c r="A129" s="55" t="s">
        <v>1238</v>
      </c>
      <c r="B129" s="60">
        <v>43649</v>
      </c>
      <c r="C129" s="56" t="s">
        <v>1249</v>
      </c>
      <c r="D129" s="57" t="s">
        <v>1250</v>
      </c>
      <c r="E129" s="58" t="s">
        <v>1251</v>
      </c>
      <c r="F129" s="58" t="s">
        <v>1252</v>
      </c>
      <c r="G129" s="64" t="s">
        <v>1254</v>
      </c>
      <c r="H129" s="55" t="s">
        <v>1380</v>
      </c>
      <c r="I129" s="58" t="s">
        <v>1132</v>
      </c>
      <c r="J129" s="58"/>
    </row>
    <row r="130" spans="1:10" hidden="1" x14ac:dyDescent="0.2">
      <c r="A130" s="55" t="s">
        <v>1238</v>
      </c>
      <c r="B130" s="60">
        <v>43649</v>
      </c>
      <c r="C130" s="56" t="s">
        <v>1249</v>
      </c>
      <c r="D130" s="57" t="s">
        <v>1250</v>
      </c>
      <c r="E130" s="58" t="s">
        <v>1251</v>
      </c>
      <c r="F130" s="58" t="s">
        <v>1252</v>
      </c>
      <c r="G130" s="64" t="s">
        <v>1255</v>
      </c>
      <c r="H130" s="55" t="s">
        <v>1380</v>
      </c>
      <c r="I130" s="58" t="s">
        <v>1132</v>
      </c>
      <c r="J130" s="58"/>
    </row>
    <row r="131" spans="1:10" hidden="1" x14ac:dyDescent="0.2">
      <c r="A131" s="55" t="s">
        <v>1238</v>
      </c>
      <c r="B131" s="60">
        <v>43649</v>
      </c>
      <c r="C131" s="56" t="s">
        <v>1249</v>
      </c>
      <c r="D131" s="57" t="s">
        <v>1250</v>
      </c>
      <c r="E131" s="58" t="s">
        <v>1251</v>
      </c>
      <c r="F131" s="58" t="s">
        <v>1252</v>
      </c>
      <c r="G131" s="64" t="s">
        <v>1256</v>
      </c>
      <c r="H131" s="55" t="s">
        <v>1380</v>
      </c>
      <c r="I131" s="58" t="s">
        <v>1132</v>
      </c>
      <c r="J131" s="58"/>
    </row>
    <row r="132" spans="1:10" hidden="1" x14ac:dyDescent="0.2">
      <c r="A132" s="55" t="s">
        <v>1238</v>
      </c>
      <c r="B132" s="60">
        <v>43649</v>
      </c>
      <c r="C132" s="56" t="s">
        <v>1249</v>
      </c>
      <c r="D132" s="57" t="s">
        <v>1250</v>
      </c>
      <c r="E132" s="58" t="s">
        <v>1251</v>
      </c>
      <c r="F132" s="58" t="s">
        <v>1252</v>
      </c>
      <c r="G132" s="64" t="s">
        <v>1257</v>
      </c>
      <c r="H132" s="55" t="s">
        <v>1380</v>
      </c>
      <c r="I132" s="58" t="s">
        <v>1132</v>
      </c>
      <c r="J132" s="58"/>
    </row>
    <row r="133" spans="1:10" hidden="1" x14ac:dyDescent="0.2">
      <c r="A133" s="55" t="s">
        <v>1238</v>
      </c>
      <c r="B133" s="60">
        <v>43649</v>
      </c>
      <c r="C133" s="56" t="s">
        <v>1249</v>
      </c>
      <c r="D133" s="57" t="s">
        <v>1250</v>
      </c>
      <c r="E133" s="58" t="s">
        <v>1251</v>
      </c>
      <c r="F133" s="58" t="s">
        <v>1252</v>
      </c>
      <c r="G133" s="64" t="s">
        <v>1258</v>
      </c>
      <c r="H133" s="55" t="s">
        <v>1380</v>
      </c>
      <c r="I133" s="58" t="s">
        <v>1132</v>
      </c>
      <c r="J133" s="58"/>
    </row>
    <row r="134" spans="1:10" hidden="1" x14ac:dyDescent="0.2">
      <c r="A134" s="55" t="s">
        <v>1238</v>
      </c>
      <c r="B134" s="60">
        <v>43649</v>
      </c>
      <c r="C134" s="56" t="s">
        <v>1249</v>
      </c>
      <c r="D134" s="57" t="s">
        <v>1250</v>
      </c>
      <c r="E134" s="58" t="s">
        <v>1251</v>
      </c>
      <c r="F134" s="58" t="s">
        <v>1252</v>
      </c>
      <c r="G134" s="64" t="s">
        <v>1259</v>
      </c>
      <c r="H134" s="55" t="s">
        <v>1380</v>
      </c>
      <c r="I134" s="58" t="s">
        <v>1132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1260</v>
      </c>
      <c r="D135" s="57" t="s">
        <v>1263</v>
      </c>
      <c r="E135" s="58" t="s">
        <v>1264</v>
      </c>
      <c r="F135" s="58" t="s">
        <v>1265</v>
      </c>
      <c r="G135" s="64" t="s">
        <v>1262</v>
      </c>
      <c r="I135" s="58" t="s">
        <v>431</v>
      </c>
      <c r="J135" s="58"/>
    </row>
    <row r="136" spans="1:10" hidden="1" x14ac:dyDescent="0.2">
      <c r="A136" s="55" t="s">
        <v>743</v>
      </c>
      <c r="B136" s="60">
        <v>43649</v>
      </c>
      <c r="C136" s="56" t="s">
        <v>1280</v>
      </c>
      <c r="D136" s="57" t="s">
        <v>1137</v>
      </c>
      <c r="E136" s="58" t="s">
        <v>1284</v>
      </c>
      <c r="F136" s="58" t="s">
        <v>746</v>
      </c>
      <c r="G136" s="59" t="s">
        <v>1282</v>
      </c>
      <c r="I136" s="58" t="s">
        <v>429</v>
      </c>
      <c r="J136" s="58" t="s">
        <v>879</v>
      </c>
    </row>
    <row r="137" spans="1:10" hidden="1" x14ac:dyDescent="0.2">
      <c r="A137" s="55" t="s">
        <v>743</v>
      </c>
      <c r="B137" s="60">
        <v>43649</v>
      </c>
      <c r="C137" s="56" t="s">
        <v>1281</v>
      </c>
      <c r="D137" s="57" t="s">
        <v>1137</v>
      </c>
      <c r="E137" s="58" t="s">
        <v>1284</v>
      </c>
      <c r="F137" s="58" t="s">
        <v>746</v>
      </c>
      <c r="G137" s="59" t="s">
        <v>1283</v>
      </c>
      <c r="I137" s="58" t="s">
        <v>429</v>
      </c>
      <c r="J137" s="58" t="s">
        <v>879</v>
      </c>
    </row>
    <row r="138" spans="1:10" hidden="1" x14ac:dyDescent="0.2">
      <c r="A138" s="55" t="s">
        <v>743</v>
      </c>
      <c r="B138" s="60">
        <v>43649</v>
      </c>
      <c r="C138" s="56" t="s">
        <v>1281</v>
      </c>
      <c r="D138" s="57" t="s">
        <v>1137</v>
      </c>
      <c r="E138" s="58" t="s">
        <v>1284</v>
      </c>
      <c r="F138" s="58" t="s">
        <v>746</v>
      </c>
      <c r="G138" s="59" t="s">
        <v>1315</v>
      </c>
      <c r="I138" s="58" t="s">
        <v>429</v>
      </c>
      <c r="J138" s="58"/>
    </row>
    <row r="139" spans="1:10" hidden="1" x14ac:dyDescent="0.2">
      <c r="A139" s="55" t="s">
        <v>1285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1285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1285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1288</v>
      </c>
      <c r="B142" s="60">
        <v>43654</v>
      </c>
      <c r="C142" s="56"/>
      <c r="D142" s="57" t="s">
        <v>1432</v>
      </c>
      <c r="E142" s="58" t="s">
        <v>1433</v>
      </c>
      <c r="F142" s="58" t="s">
        <v>1434</v>
      </c>
      <c r="G142" s="59"/>
      <c r="H142" s="55" t="s">
        <v>1435</v>
      </c>
      <c r="I142" s="58" t="s">
        <v>429</v>
      </c>
      <c r="J142" s="58"/>
    </row>
    <row r="143" spans="1:10" hidden="1" x14ac:dyDescent="0.2">
      <c r="A143" s="55" t="s">
        <v>1288</v>
      </c>
      <c r="B143" s="60">
        <v>43654</v>
      </c>
      <c r="C143" s="56"/>
      <c r="D143" s="57" t="s">
        <v>1432</v>
      </c>
      <c r="E143" s="58" t="s">
        <v>1433</v>
      </c>
      <c r="F143" s="58" t="s">
        <v>1434</v>
      </c>
      <c r="G143" s="59"/>
      <c r="H143" s="55" t="s">
        <v>1436</v>
      </c>
      <c r="I143" s="58" t="s">
        <v>429</v>
      </c>
      <c r="J143" s="58"/>
    </row>
    <row r="144" spans="1:10" hidden="1" x14ac:dyDescent="0.2">
      <c r="A144" s="55" t="s">
        <v>1288</v>
      </c>
      <c r="B144" s="60">
        <v>43654</v>
      </c>
      <c r="C144" s="56"/>
      <c r="D144" s="57" t="s">
        <v>1432</v>
      </c>
      <c r="E144" s="58" t="s">
        <v>1433</v>
      </c>
      <c r="F144" s="58" t="s">
        <v>1434</v>
      </c>
      <c r="G144" s="59"/>
      <c r="H144" s="55" t="s">
        <v>1437</v>
      </c>
      <c r="I144" s="58" t="s">
        <v>429</v>
      </c>
      <c r="J144" s="58"/>
    </row>
    <row r="145" spans="1:10" hidden="1" x14ac:dyDescent="0.2">
      <c r="A145" s="55" t="s">
        <v>1288</v>
      </c>
      <c r="B145" s="60">
        <v>43654</v>
      </c>
      <c r="C145" s="56"/>
      <c r="D145" s="57" t="s">
        <v>1432</v>
      </c>
      <c r="E145" s="58" t="s">
        <v>1433</v>
      </c>
      <c r="F145" s="58" t="s">
        <v>1434</v>
      </c>
      <c r="G145" s="59"/>
      <c r="H145" s="55" t="s">
        <v>1438</v>
      </c>
      <c r="I145" s="58" t="s">
        <v>429</v>
      </c>
      <c r="J145" s="58"/>
    </row>
    <row r="146" spans="1:10" hidden="1" x14ac:dyDescent="0.2">
      <c r="A146" s="55" t="s">
        <v>1288</v>
      </c>
      <c r="B146" s="60">
        <v>43654</v>
      </c>
      <c r="C146" s="56"/>
      <c r="D146" s="57" t="s">
        <v>1432</v>
      </c>
      <c r="E146" s="58" t="s">
        <v>1433</v>
      </c>
      <c r="F146" s="58" t="s">
        <v>1434</v>
      </c>
      <c r="G146" s="59"/>
      <c r="H146" s="55" t="s">
        <v>1439</v>
      </c>
      <c r="I146" s="58" t="s">
        <v>429</v>
      </c>
      <c r="J146" s="58"/>
    </row>
    <row r="147" spans="1:10" hidden="1" x14ac:dyDescent="0.2">
      <c r="A147" s="55" t="s">
        <v>1288</v>
      </c>
      <c r="B147" s="60">
        <v>43654</v>
      </c>
      <c r="C147" s="56"/>
      <c r="D147" s="57" t="s">
        <v>1432</v>
      </c>
      <c r="E147" s="58" t="s">
        <v>1433</v>
      </c>
      <c r="F147" s="58" t="s">
        <v>1434</v>
      </c>
      <c r="G147" s="59"/>
      <c r="H147" s="55" t="s">
        <v>1439</v>
      </c>
      <c r="I147" s="58" t="s">
        <v>429</v>
      </c>
      <c r="J147" s="58"/>
    </row>
    <row r="148" spans="1:10" hidden="1" x14ac:dyDescent="0.2">
      <c r="A148" s="55" t="s">
        <v>1288</v>
      </c>
      <c r="B148" s="60">
        <v>43654</v>
      </c>
      <c r="C148" s="56"/>
      <c r="D148" s="57" t="s">
        <v>1432</v>
      </c>
      <c r="E148" s="58" t="s">
        <v>1433</v>
      </c>
      <c r="F148" s="58" t="s">
        <v>1434</v>
      </c>
      <c r="G148" s="59"/>
      <c r="H148" s="55" t="s">
        <v>1440</v>
      </c>
      <c r="I148" s="58" t="s">
        <v>429</v>
      </c>
      <c r="J148" s="58"/>
    </row>
    <row r="149" spans="1:10" hidden="1" x14ac:dyDescent="0.2">
      <c r="A149" s="55" t="s">
        <v>1288</v>
      </c>
      <c r="B149" s="60">
        <v>43654</v>
      </c>
      <c r="C149" s="56"/>
      <c r="D149" s="57" t="s">
        <v>1432</v>
      </c>
      <c r="E149" s="58" t="s">
        <v>1433</v>
      </c>
      <c r="F149" s="58" t="s">
        <v>1434</v>
      </c>
      <c r="G149" s="59"/>
      <c r="I149" s="58" t="s">
        <v>429</v>
      </c>
      <c r="J149" s="58"/>
    </row>
    <row r="150" spans="1:10" hidden="1" x14ac:dyDescent="0.2">
      <c r="A150" s="55" t="s">
        <v>1288</v>
      </c>
      <c r="B150" s="60">
        <v>43654</v>
      </c>
      <c r="C150" s="56"/>
      <c r="D150" s="57" t="s">
        <v>1432</v>
      </c>
      <c r="E150" s="58" t="s">
        <v>1433</v>
      </c>
      <c r="F150" s="58" t="s">
        <v>1434</v>
      </c>
      <c r="G150" s="59"/>
      <c r="I150" s="58" t="s">
        <v>429</v>
      </c>
      <c r="J150" s="58"/>
    </row>
    <row r="151" spans="1:10" hidden="1" x14ac:dyDescent="0.2">
      <c r="A151" s="55" t="s">
        <v>743</v>
      </c>
      <c r="B151" s="60">
        <v>43649</v>
      </c>
      <c r="C151" s="56" t="s">
        <v>1275</v>
      </c>
      <c r="D151" s="57" t="s">
        <v>1137</v>
      </c>
      <c r="E151" s="58" t="s">
        <v>1284</v>
      </c>
      <c r="F151" s="58" t="s">
        <v>746</v>
      </c>
      <c r="G151" s="59" t="s">
        <v>1389</v>
      </c>
      <c r="I151" s="58" t="s">
        <v>429</v>
      </c>
      <c r="J151" s="58" t="s">
        <v>879</v>
      </c>
    </row>
    <row r="152" spans="1:10" x14ac:dyDescent="0.2">
      <c r="A152" s="55" t="s">
        <v>3</v>
      </c>
      <c r="B152" s="60">
        <v>43651</v>
      </c>
      <c r="C152" s="56" t="s">
        <v>1420</v>
      </c>
      <c r="D152" s="57" t="s">
        <v>1422</v>
      </c>
      <c r="E152" s="58" t="s">
        <v>1423</v>
      </c>
      <c r="F152" s="58" t="s">
        <v>1424</v>
      </c>
      <c r="G152" s="55" t="s">
        <v>1384</v>
      </c>
      <c r="H152" s="55" t="s">
        <v>1426</v>
      </c>
      <c r="I152" s="58" t="s">
        <v>429</v>
      </c>
      <c r="J152" s="58" t="s">
        <v>879</v>
      </c>
    </row>
    <row r="153" spans="1:10" hidden="1" x14ac:dyDescent="0.2">
      <c r="A153" s="55" t="s">
        <v>3</v>
      </c>
      <c r="B153" s="60">
        <v>43656</v>
      </c>
      <c r="C153" s="56" t="s">
        <v>1442</v>
      </c>
      <c r="D153" s="57" t="s">
        <v>1458</v>
      </c>
      <c r="E153" s="58" t="s">
        <v>1457</v>
      </c>
      <c r="F153" s="58"/>
      <c r="G153" s="59" t="s">
        <v>1453</v>
      </c>
      <c r="I153" s="58" t="s">
        <v>1451</v>
      </c>
      <c r="J153" s="58" t="s">
        <v>789</v>
      </c>
    </row>
    <row r="154" spans="1:10" hidden="1" x14ac:dyDescent="0.2">
      <c r="A154" s="55" t="s">
        <v>3</v>
      </c>
      <c r="B154" s="60">
        <v>43656</v>
      </c>
      <c r="C154" s="56" t="s">
        <v>1442</v>
      </c>
      <c r="D154" s="57" t="s">
        <v>1458</v>
      </c>
      <c r="E154" s="58" t="s">
        <v>1457</v>
      </c>
      <c r="F154" s="58"/>
      <c r="G154" s="59" t="s">
        <v>1454</v>
      </c>
      <c r="I154" s="58" t="s">
        <v>1451</v>
      </c>
      <c r="J154" s="58" t="s">
        <v>789</v>
      </c>
    </row>
    <row r="155" spans="1:10" hidden="1" x14ac:dyDescent="0.2">
      <c r="A155" s="55" t="s">
        <v>1441</v>
      </c>
      <c r="B155" s="60">
        <v>43654.041666666664</v>
      </c>
      <c r="C155" s="56"/>
      <c r="D155" s="57" t="s">
        <v>1443</v>
      </c>
      <c r="E155" s="58"/>
      <c r="F155" s="58"/>
      <c r="G155" s="59"/>
      <c r="I155" s="58"/>
      <c r="J155" s="58"/>
    </row>
    <row r="156" spans="1:10" hidden="1" x14ac:dyDescent="0.2">
      <c r="A156" s="55" t="s">
        <v>1441</v>
      </c>
      <c r="B156" s="60">
        <v>43654.083333333336</v>
      </c>
      <c r="C156" s="56"/>
      <c r="D156" s="57"/>
      <c r="E156" s="58"/>
      <c r="F156" s="58"/>
      <c r="G156" s="59"/>
      <c r="I156" s="58"/>
      <c r="J156" s="58"/>
    </row>
    <row r="157" spans="1:10" hidden="1" x14ac:dyDescent="0.2">
      <c r="A157" s="55" t="s">
        <v>3</v>
      </c>
      <c r="B157" s="60">
        <v>43658</v>
      </c>
      <c r="C157" s="56" t="s">
        <v>1448</v>
      </c>
      <c r="D157" s="57" t="s">
        <v>1459</v>
      </c>
      <c r="E157" s="58" t="s">
        <v>1460</v>
      </c>
      <c r="F157" s="58"/>
      <c r="G157" s="59" t="s">
        <v>1455</v>
      </c>
      <c r="I157" s="58" t="s">
        <v>1451</v>
      </c>
      <c r="J157" s="58" t="s">
        <v>1452</v>
      </c>
    </row>
    <row r="158" spans="1:10" hidden="1" x14ac:dyDescent="0.2">
      <c r="A158" s="55" t="s">
        <v>3</v>
      </c>
      <c r="B158" s="60">
        <v>43658</v>
      </c>
      <c r="C158" s="56" t="s">
        <v>1448</v>
      </c>
      <c r="D158" s="57" t="s">
        <v>1459</v>
      </c>
      <c r="E158" s="58" t="s">
        <v>1460</v>
      </c>
      <c r="F158" s="58"/>
      <c r="G158" s="59" t="s">
        <v>1456</v>
      </c>
      <c r="I158" s="58" t="s">
        <v>1451</v>
      </c>
      <c r="J158" s="58" t="s">
        <v>1452</v>
      </c>
    </row>
  </sheetData>
  <phoneticPr fontId="1" type="noConversion"/>
  <dataValidations count="1">
    <dataValidation type="list" allowBlank="1" showInputMessage="1" showErrorMessage="1" sqref="J2:J15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2019-07-02T10:37:51Z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