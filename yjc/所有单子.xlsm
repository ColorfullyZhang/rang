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4D4CE4B-931A-4C8A-B3A3-4233A4590E9D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2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383" i="6" l="1"/>
  <c r="H1382" i="6" l="1"/>
  <c r="H1362" i="6" l="1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42" i="6" l="1"/>
  <c r="H1343" i="6"/>
  <c r="H1344" i="6"/>
  <c r="H1345" i="6"/>
  <c r="H1346" i="6"/>
  <c r="H1347" i="6"/>
  <c r="H1350" i="6"/>
  <c r="H1351" i="6"/>
  <c r="H1352" i="6"/>
  <c r="H1353" i="6"/>
  <c r="H1354" i="6"/>
  <c r="H1348" i="6"/>
  <c r="H1349" i="6"/>
  <c r="H1355" i="6"/>
  <c r="H1356" i="6"/>
  <c r="H1357" i="6"/>
  <c r="H1358" i="6"/>
  <c r="H1359" i="6"/>
  <c r="H1360" i="6"/>
  <c r="H1361" i="6"/>
  <c r="H1299" i="6" l="1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91" i="6"/>
  <c r="H1292" i="6"/>
  <c r="H1288" i="6"/>
  <c r="H1289" i="6"/>
  <c r="H1290" i="6"/>
  <c r="H1293" i="6"/>
  <c r="H1294" i="6"/>
  <c r="H1295" i="6"/>
  <c r="H1296" i="6"/>
  <c r="H1297" i="6"/>
  <c r="H1298" i="6"/>
  <c r="H1255" i="6" l="1"/>
  <c r="H1237" i="6" l="1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36" i="6" l="1"/>
  <c r="H1226" i="6" l="1"/>
  <c r="H1227" i="6"/>
  <c r="H1228" i="6"/>
  <c r="H1229" i="6"/>
  <c r="H1230" i="6"/>
  <c r="H1231" i="6"/>
  <c r="H1232" i="6"/>
  <c r="H1233" i="6"/>
  <c r="H1234" i="6"/>
  <c r="H1235" i="6"/>
  <c r="H1186" i="6" l="1"/>
  <c r="H1187" i="6"/>
  <c r="H1188" i="6"/>
  <c r="H1189" i="6"/>
  <c r="H1190" i="6"/>
  <c r="H1191" i="6"/>
  <c r="H1192" i="6"/>
  <c r="H1193" i="6"/>
  <c r="H1194" i="6"/>
  <c r="H1195" i="6"/>
  <c r="H1196" i="6"/>
  <c r="H1199" i="6"/>
  <c r="H1200" i="6"/>
  <c r="H1197" i="6"/>
  <c r="H1198" i="6"/>
  <c r="H1201" i="6"/>
  <c r="H1202" i="6"/>
  <c r="H1203" i="6"/>
  <c r="H1204" i="6"/>
  <c r="H1205" i="6"/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5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216" i="6" l="1"/>
  <c r="H1217" i="6"/>
  <c r="H1218" i="6"/>
  <c r="H1219" i="6"/>
  <c r="H1220" i="6"/>
  <c r="H1221" i="6"/>
  <c r="H1222" i="6"/>
  <c r="H1223" i="6"/>
  <c r="H1224" i="6"/>
  <c r="H1225" i="6"/>
  <c r="H1206" i="6"/>
  <c r="H1207" i="6"/>
  <c r="H1208" i="6"/>
  <c r="H1209" i="6"/>
  <c r="H1210" i="6"/>
  <c r="H1211" i="6"/>
  <c r="H1212" i="6"/>
  <c r="H1213" i="6"/>
  <c r="H1214" i="6"/>
  <c r="H121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3" i="6"/>
  <c r="H1064" i="6"/>
  <c r="H1062" i="6"/>
  <c r="H1066" i="6"/>
  <c r="H1060" i="6"/>
  <c r="H1061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<sst xmlns="http://schemas.openxmlformats.org/spreadsheetml/2006/main" count="6468" uniqueCount="1294">
  <si>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</si>
  <si>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</si>
  <si>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</si>
  <si>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</si>
  <si>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</si>
  <si>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</si>
  <si>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</si>
  <si>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</si>
  <si>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</si>
  <si>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</si>
  <si>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</si>
  <si>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</si>
  <si>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</si>
  <si>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</si>
  <si>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</si>
  <si>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</si>
  <si>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</si>
  <si>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</si>
  <si>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</si>
  <si>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</si>
  <si>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</si>
  <si>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</si>
  <si>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</si>
  <si>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</si>
  <si>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</si>
  <si>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</si>
  <si>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</si>
  <si>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</si>
  <si>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</si>
  <si>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</si>
  <si>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</si>
  <si>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</si>
  <si>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</si>
  <si>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</si>
  <si>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</si>
  <si>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</si>
  <si>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</si>
  <si>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</si>
  <si>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</si>
  <si>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</si>
  <si>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</si>
  <si>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</si>
  <si>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</si>
  <si>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</si>
  <si>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</si>
  <si>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</si>
  <si>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</si>
  <si>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</si>
  <si>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</si>
  <si>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</si>
  <si>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</si>
  <si>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</si>
  <si>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</si>
  <si>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</si>
  <si>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</si>
  <si>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</si>
  <si>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</si>
  <si>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</si>
  <si>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</si>
  <si>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</si>
  <si>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</si>
  <si>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</si>
  <si>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</si>
  <si>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</si>
  <si>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</si>
  <si>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</si>
  <si>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</si>
  <si>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</si>
  <si>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</si>
  <si>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</si>
  <si>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</si>
  <si>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</si>
  <si>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</si>
  <si>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</si>
  <si>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</si>
  <si>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</si>
  <si>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</si>
  <si>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</si>
  <si>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</si>
  <si>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</si>
  <si>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</si>
  <si>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</si>
  <si>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</si>
  <si>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</si>
  <si>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</si>
  <si>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</si>
  <si>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</si>
  <si>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</si>
  <si>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</si>
  <si>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</si>
  <si>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</si>
  <si>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</si>
  <si>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</si>
  <si>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</si>
  <si>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</si>
  <si>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</si>
  <si>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</si>
  <si>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</si>
  <si>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</si>
  <si>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</si>
  <si>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</si>
  <si>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</si>
  <si>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</si>
  <si>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</si>
  <si>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</si>
  <si>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</si>
  <si>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</si>
  <si>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</si>
  <si>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</si>
  <si>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</si>
  <si>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</si>
  <si>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</si>
  <si>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</si>
  <si>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</si>
  <si>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</si>
  <si>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</si>
  <si>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</si>
  <si>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</si>
  <si>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</si>
  <si>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</si>
  <si>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</si>
  <si>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</si>
  <si>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</si>
  <si>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</si>
  <si>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</si>
  <si>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</si>
  <si>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</si>
  <si>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</si>
  <si>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</si>
  <si>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</si>
  <si>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</si>
  <si>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</si>
  <si>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</si>
  <si>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</si>
  <si>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</si>
  <si>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</si>
  <si>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</si>
  <si>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</si>
  <si>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</si>
  <si>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</si>
  <si>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</si>
  <si>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</si>
  <si>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</si>
  <si>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</si>
  <si>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</si>
  <si>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</si>
  <si>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</si>
  <si>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</si>
  <si>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</si>
  <si>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</si>
  <si>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</si>
  <si>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</si>
  <si>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</si>
  <si>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</si>
  <si>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</si>
  <si>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</si>
  <si>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</si>
  <si>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</si>
  <si>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</si>
  <si>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</si>
  <si>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</si>
  <si>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</si>
  <si>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</si>
  <si>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</si>
  <si>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</si>
  <si>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</si>
  <si>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</si>
  <si>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</si>
  <si>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</si>
  <si>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</si>
  <si>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</si>
  <si>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</si>
  <si>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</si>
  <si>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</si>
  <si>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</si>
  <si>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</si>
  <si>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</si>
  <si>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</si>
  <si>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</si>
  <si>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</si>
  <si>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</si>
  <si>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</si>
  <si>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</si>
  <si>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</si>
  <si>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</si>
  <si>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</si>
  <si>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</si>
  <si>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</si>
  <si>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</si>
  <si>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</si>
  <si>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</si>
  <si>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</si>
  <si>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</si>
  <si>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</si>
  <si>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</si>
  <si>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</si>
  <si>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</si>
  <si>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</si>
  <si>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</si>
  <si>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</si>
  <si>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</si>
  <si>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</si>
  <si>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</si>
  <si>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</si>
  <si>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</si>
  <si>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</si>
  <si>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</si>
  <si>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</si>
  <si>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</si>
  <si>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</si>
  <si>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</si>
  <si>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</si>
  <si>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</si>
  <si>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</si>
  <si>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</si>
  <si>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</si>
  <si>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</si>
  <si>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</si>
  <si>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</si>
  <si>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</si>
  <si>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</si>
  <si>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</si>
  <si>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</si>
  <si>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</si>
  <si>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</si>
  <si>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</si>
  <si>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</si>
  <si>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</si>
  <si>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</si>
  <si>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</si>
  <si>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</si>
  <si>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</si>
  <si>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</si>
  <si>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</si>
  <si>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</si>
  <si>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</si>
  <si>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</si>
  <si>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</si>
  <si>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</si>
  <si>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</si>
  <si>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</si>
  <si>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</si>
  <si>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</si>
  <si>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</si>
  <si>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</si>
  <si>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</si>
  <si>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</si>
  <si>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</si>
  <si>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</si>
  <si>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</si>
  <si>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</si>
  <si>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</si>
  <si>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</si>
  <si>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</si>
  <si>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</si>
  <si>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</si>
  <si>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</si>
  <si>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</si>
  <si>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</si>
  <si>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</si>
  <si>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</si>
  <si>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</si>
  <si>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</si>
  <si>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</si>
  <si>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</si>
  <si>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</si>
  <si>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</si>
  <si>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</si>
  <si>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</si>
  <si>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</si>
  <si>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</si>
  <si>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</si>
  <si>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</si>
  <si>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</si>
  <si>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</si>
  <si>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</si>
  <si>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</si>
  <si>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</si>
  <si>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</si>
  <si>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</si>
  <si>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</si>
  <si>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</si>
  <si>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</si>
  <si>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</si>
  <si>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</si>
  <si>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</si>
  <si>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</si>
  <si>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</si>
  <si>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</si>
  <si>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</si>
  <si>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</si>
  <si>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</si>
  <si>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</si>
  <si>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</si>
  <si>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</si>
  <si>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</si>
  <si>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</si>
  <si>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</si>
  <si>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</si>
  <si>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</si>
  <si>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</si>
  <si>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</si>
  <si>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</si>
  <si>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</si>
  <si>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</si>
  <si>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</si>
  <si>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</si>
  <si>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</si>
  <si>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</si>
  <si>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</si>
  <si>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</si>
  <si>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</si>
  <si>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</si>
  <si>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</si>
  <si>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</si>
  <si>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</si>
  <si>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</si>
  <si>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</si>
  <si>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</si>
  <si>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</si>
  <si>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</si>
  <si>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</si>
  <si>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</si>
  <si>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</si>
  <si>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</si>
  <si>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</si>
  <si>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</si>
  <si>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</si>
  <si>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</si>
  <si>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</si>
  <si>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</si>
  <si>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</si>
  <si>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</si>
  <si>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</si>
  <si>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</si>
  <si>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</si>
  <si>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</si>
  <si>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</si>
  <si>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</si>
  <si>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</si>
  <si>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</si>
  <si>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</si>
  <si>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</si>
  <si>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</si>
  <si>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</si>
  <si>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</si>
  <si>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</si>
  <si>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</si>
  <si>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</si>
  <si>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</si>
  <si>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</si>
  <si>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</si>
  <si>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</si>
  <si>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</si>
  <si>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</si>
  <si>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</si>
  <si>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</si>
  <si>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</si>
  <si>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</si>
  <si>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</si>
  <si>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</si>
  <si>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</si>
  <si>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</si>
  <si>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</si>
  <si>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</si>
  <si>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</si>
  <si>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</si>
  <si>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</si>
  <si>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</si>
  <si>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</si>
  <si>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</si>
  <si>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</si>
  <si>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</si>
  <si>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</si>
  <si>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</si>
  <si>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</si>
  <si>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</si>
  <si>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</si>
  <si>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</si>
  <si>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</si>
  <si>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</si>
  <si>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</si>
  <si>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</si>
  <si>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</si>
  <si>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</si>
  <si>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</si>
  <si>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</si>
  <si>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</si>
  <si>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</si>
  <si>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</si>
  <si>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</si>
  <si>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</si>
  <si>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</si>
  <si>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</si>
  <si>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</si>
  <si>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</si>
  <si>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</si>
  <si>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</si>
  <si>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</si>
  <si>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</si>
  <si>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</si>
  <si>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</si>
  <si>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</si>
  <si>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</si>
  <si>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</si>
  <si>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</si>
  <si>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</si>
  <si>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</si>
  <si>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</si>
  <si>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</si>
  <si>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</si>
  <si>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</si>
  <si>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</si>
  <si>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</si>
  <si>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</si>
  <si>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</si>
  <si>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</si>
  <si>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</si>
  <si>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</si>
  <si>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</si>
  <si>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</si>
  <si>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</si>
  <si>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</si>
  <si>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</si>
  <si>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</si>
  <si>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</si>
  <si>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</si>
  <si>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</si>
  <si>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</si>
  <si>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</si>
  <si>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</si>
  <si>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</si>
  <si>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</si>
  <si>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</si>
  <si>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</si>
  <si>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</si>
  <si>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</si>
  <si>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</si>
  <si>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</si>
  <si>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</si>
  <si>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</si>
  <si>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</si>
  <si>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</si>
  <si>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</si>
  <si>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</si>
  <si>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</si>
  <si>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</si>
  <si>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</si>
  <si>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</si>
  <si>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</si>
  <si>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</si>
  <si>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</si>
  <si>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</si>
  <si>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</si>
  <si>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</si>
  <si>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</si>
  <si>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</si>
  <si>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</si>
  <si>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</si>
  <si>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</si>
  <si>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</si>
  <si>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</si>
  <si>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</si>
  <si>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</si>
  <si>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</si>
  <si>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</si>
  <si>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</si>
  <si>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</si>
  <si>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</si>
  <si>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</si>
  <si>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</si>
  <si>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</si>
  <si>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</si>
  <si>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</si>
  <si>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</si>
  <si>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</si>
  <si>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</si>
  <si>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</si>
  <si>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</si>
  <si>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</si>
  <si>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</si>
  <si>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</si>
  <si>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</si>
  <si>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</si>
  <si>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</si>
  <si>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</si>
  <si>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</si>
  <si>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</si>
  <si>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</si>
  <si>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</si>
  <si>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</si>
  <si>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</si>
  <si>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</si>
  <si>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</si>
  <si>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</si>
  <si>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</si>
  <si>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</si>
  <si>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</si>
  <si>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</si>
  <si>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</si>
  <si>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</si>
  <si>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</si>
  <si>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</si>
  <si>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</si>
  <si>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</si>
  <si>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</si>
  <si>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</si>
  <si>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</si>
  <si>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</si>
  <si>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</si>
  <si>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</si>
  <si>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</si>
  <si>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</si>
  <si>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</si>
  <si>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</si>
  <si>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</si>
  <si>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</si>
  <si>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</si>
  <si>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</si>
  <si>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</si>
  <si>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</si>
  <si>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</si>
  <si>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</si>
  <si>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</si>
  <si>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</si>
  <si>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</si>
  <si>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</si>
  <si>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</si>
  <si>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</si>
  <si>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</si>
  <si>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</si>
  <si>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</si>
  <si>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</si>
  <si>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</si>
  <si>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</si>
  <si>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</si>
  <si>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</si>
  <si>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</si>
  <si>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</si>
  <si>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</si>
  <si>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</si>
  <si>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</si>
  <si>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</si>
  <si>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</si>
  <si>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</si>
  <si>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</si>
  <si>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</si>
  <si>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</si>
  <si>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</si>
  <si>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</si>
  <si>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</si>
  <si>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</si>
  <si>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</si>
  <si>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</si>
  <si>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</si>
  <si>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</si>
  <si>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</si>
  <si>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</si>
  <si>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</si>
  <si>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</si>
  <si>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</si>
  <si>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</si>
  <si>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</si>
  <si>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</si>
  <si>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</si>
  <si>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</si>
  <si>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</si>
  <si>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</si>
  <si>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</si>
  <si>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</si>
  <si>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</si>
  <si>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</si>
  <si>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</si>
  <si>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</si>
  <si>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</si>
  <si>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</si>
  <si>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</si>
  <si>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</si>
  <si>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</si>
  <si>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</si>
  <si>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</si>
  <si>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</si>
  <si>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</si>
  <si>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</si>
  <si>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</si>
  <si>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</si>
  <si>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</si>
  <si>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</si>
  <si>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</si>
  <si>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</si>
  <si>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</si>
  <si>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</si>
  <si>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</si>
  <si>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</si>
  <si>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</si>
  <si>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</si>
  <si>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</si>
  <si>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</si>
  <si>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</si>
  <si>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</si>
  <si>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</si>
  <si>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</si>
  <si>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</si>
  <si>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</si>
  <si>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</si>
  <si>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</si>
  <si>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</si>
  <si>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</si>
  <si>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</si>
  <si>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</si>
  <si>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</si>
  <si>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</si>
  <si>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</si>
  <si>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</si>
  <si>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</si>
  <si>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</si>
  <si>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</si>
  <si>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</si>
  <si>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</si>
  <si>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</si>
  <si>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</si>
  <si>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</si>
  <si>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</si>
  <si>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</si>
  <si>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</si>
  <si>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</si>
  <si>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</si>
  <si>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</si>
  <si>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</si>
  <si>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</si>
  <si>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</si>
  <si>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</si>
  <si>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</si>
  <si>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</si>
  <si>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</si>
  <si>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</si>
  <si>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</si>
  <si>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</si>
  <si>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</si>
  <si>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</si>
  <si>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</si>
  <si>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</si>
  <si>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</si>
  <si>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</si>
  <si>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</si>
  <si>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</si>
  <si>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</si>
  <si>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</si>
  <si>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</si>
  <si>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</si>
  <si>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</si>
  <si>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</si>
  <si>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</si>
  <si>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</si>
  <si>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</si>
  <si>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</si>
  <si>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</si>
  <si>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</si>
  <si>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</si>
  <si>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</si>
  <si>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</si>
  <si>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</si>
  <si>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</si>
  <si>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</si>
  <si>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</si>
  <si>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</si>
  <si>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</si>
  <si>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</si>
  <si>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</si>
  <si>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</si>
  <si>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</si>
  <si>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</si>
  <si>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</si>
  <si>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</si>
  <si>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</si>
  <si>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</si>
  <si>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</si>
  <si>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</si>
  <si>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</si>
  <si>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</si>
  <si>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</si>
  <si>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</si>
  <si>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</si>
  <si>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</si>
  <si>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</si>
  <si>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</si>
  <si>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</si>
  <si>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</si>
  <si>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</si>
  <si>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</si>
  <si>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</si>
  <si>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</si>
  <si>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</si>
  <si>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</si>
  <si>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</si>
  <si>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</si>
  <si>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</si>
  <si>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</si>
  <si>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</si>
  <si>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</si>
  <si>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</si>
  <si>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</si>
  <si>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</si>
  <si>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</si>
  <si>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</si>
  <si>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</si>
  <si>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</si>
  <si>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</si>
  <si>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</si>
  <si>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</si>
  <si>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</si>
  <si>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</si>
  <si>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</si>
  <si>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</si>
  <si>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</si>
  <si>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</si>
  <si>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</si>
  <si>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</si>
  <si>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</si>
  <si>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</si>
  <si>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</si>
  <si>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</si>
  <si>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</si>
  <si>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</si>
  <si>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</si>
  <si>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</si>
  <si>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</si>
  <si>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</si>
  <si>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</si>
  <si>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</si>
  <si>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</si>
  <si>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</si>
  <si>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</si>
  <si>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</si>
  <si>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</si>
  <si>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</si>
  <si>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</si>
  <si>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</si>
  <si>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</si>
  <si>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</si>
  <si>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</si>
  <si>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</si>
  <si>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</si>
  <si>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</si>
  <si>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</si>
  <si>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</si>
  <si>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</si>
  <si>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</si>
  <si>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</si>
  <si>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</si>
  <si>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</si>
  <si>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</si>
  <si>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</si>
  <si>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</si>
  <si>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</si>
  <si>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</si>
  <si>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</si>
  <si>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</si>
  <si>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</si>
  <si>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</si>
  <si>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</si>
  <si>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</si>
  <si>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</si>
  <si>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</si>
  <si>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</si>
  <si>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</si>
  <si>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</si>
  <si>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</si>
  <si>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</si>
  <si>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</si>
  <si>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</si>
  <si>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</si>
  <si>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</si>
  <si>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</si>
  <si>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</si>
  <si>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</si>
  <si>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</si>
  <si>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</si>
  <si>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</si>
  <si>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</si>
  <si>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</si>
  <si>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</si>
  <si>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</si>
  <si>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</si>
  <si>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</si>
  <si>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</si>
  <si>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</si>
  <si>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</si>
  <si>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</si>
  <si>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</si>
  <si>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</si>
  <si>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</si>
  <si>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</si>
  <si>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</si>
  <si>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</si>
  <si>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</si>
  <si>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</si>
  <si>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</si>
  <si>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</si>
  <si>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</si>
  <si>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</si>
  <si>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</si>
  <si>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</si>
  <si>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</si>
  <si>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</si>
  <si>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</si>
  <si>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</si>
  <si>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</si>
  <si>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</si>
  <si>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</si>
  <si>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</si>
  <si>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</si>
  <si>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</si>
  <si>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</si>
  <si>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</si>
  <si>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</si>
  <si>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</si>
  <si>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</si>
  <si>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</si>
  <si>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</si>
  <si>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</si>
  <si>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</si>
  <si>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</si>
  <si>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</si>
  <si>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</si>
  <si>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</si>
  <si>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</si>
  <si>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</si>
  <si>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</si>
  <si>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</si>
  <si>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</si>
  <si>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</si>
  <si>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</si>
  <si>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</si>
  <si>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</si>
  <si>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</si>
  <si>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</si>
  <si>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</si>
  <si>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</si>
  <si>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</si>
  <si>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</si>
  <si>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</si>
  <si>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</si>
  <si>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</si>
  <si>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</si>
  <si>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</si>
  <si>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</si>
  <si>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</si>
  <si>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</si>
  <si>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</si>
  <si>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</si>
  <si>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</si>
  <si>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</si>
  <si>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</si>
  <si>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</si>
  <si>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</si>
  <si>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</si>
  <si>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</si>
  <si>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</si>
  <si>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</si>
  <si>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</si>
  <si>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</si>
  <si>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</si>
  <si>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</si>
  <si>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</si>
  <si>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</si>
  <si>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</si>
  <si>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</si>
  <si>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</si>
  <si>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</si>
  <si>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</si>
  <si>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</si>
  <si>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</si>
  <si>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</si>
  <si>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</si>
  <si>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</si>
  <si>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</si>
  <si>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</si>
  <si>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</si>
  <si>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</si>
  <si>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</si>
  <si>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</si>
  <si>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</si>
  <si>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</si>
  <si>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</si>
  <si>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</si>
  <si>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</si>
  <si>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</si>
  <si>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</si>
  <si>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</si>
  <si>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</si>
  <si>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</si>
  <si>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</si>
  <si>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</si>
  <si>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</si>
  <si>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</si>
  <si>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</si>
  <si>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</si>
  <si>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</si>
  <si>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</si>
  <si>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</si>
  <si>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</si>
  <si>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</si>
  <si>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</si>
  <si>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</si>
  <si>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</si>
  <si>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</si>
  <si>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</si>
  <si>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</si>
  <si>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</si>
  <si>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</si>
  <si>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</si>
  <si>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</si>
  <si>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</si>
  <si>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</si>
  <si>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</si>
  <si>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</si>
  <si>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</si>
  <si>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</si>
  <si>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</si>
  <si>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</si>
  <si>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</si>
  <si>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</si>
  <si>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</si>
  <si>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</si>
  <si>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</si>
  <si>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</si>
  <si>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</si>
  <si>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</si>
  <si>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</si>
  <si>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</si>
  <si>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</si>
  <si>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</si>
  <si>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</si>
  <si>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</si>
  <si>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</si>
  <si>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</si>
  <si>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</si>
  <si>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</si>
  <si>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</si>
  <si>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</si>
  <si>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</si>
  <si>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</si>
  <si>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</si>
  <si>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</si>
  <si>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</si>
  <si>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</si>
  <si>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</si>
  <si>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</si>
  <si>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</si>
  <si>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</si>
  <si>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</si>
  <si>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</si>
  <si>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</si>
  <si>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</si>
  <si>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</si>
  <si>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</si>
  <si>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</si>
  <si>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</si>
  <si>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</si>
  <si>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</si>
  <si>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</si>
  <si>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</si>
  <si>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</si>
  <si>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</si>
  <si>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</si>
  <si>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</si>
  <si>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</si>
  <si>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</si>
  <si>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</si>
  <si>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</si>
  <si>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</si>
  <si>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</si>
  <si>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</si>
  <si>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</si>
  <si>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</si>
  <si>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</si>
  <si>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</si>
  <si>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</si>
  <si>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</si>
  <si>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</si>
  <si>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</si>
  <si>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</si>
  <si>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</si>
  <si>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</si>
  <si>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</si>
  <si>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</si>
  <si>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</si>
  <si>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</si>
  <si>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</si>
  <si>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</si>
  <si>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</si>
  <si>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</si>
  <si>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</si>
  <si>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</si>
  <si>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</si>
  <si>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</si>
  <si>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</si>
  <si>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</si>
  <si>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</si>
  <si>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</si>
  <si>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</si>
  <si>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</si>
  <si>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</si>
  <si>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</si>
  <si>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</si>
  <si>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</si>
  <si>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</si>
  <si>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</si>
  <si>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</si>
  <si>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</si>
  <si>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</si>
  <si>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</si>
  <si>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</si>
  <si>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</si>
  <si>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</si>
  <si>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</si>
  <si>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</si>
  <si>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</si>
  <si>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</si>
  <si>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</si>
  <si>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</si>
  <si>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</si>
  <si>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</si>
  <si>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</si>
  <si>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</si>
  <si>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</si>
  <si>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</si>
  <si>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</si>
  <si>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</si>
  <si>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</si>
  <si>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</si>
  <si>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</si>
  <si>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</si>
  <si>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</si>
  <si>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</si>
  <si>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</si>
  <si>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</si>
  <si>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</si>
  <si>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</si>
  <si>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</si>
  <si>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</si>
  <si>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</si>
  <si>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</si>
  <si>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</si>
  <si>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</si>
  <si>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</si>
  <si>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</si>
  <si>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</si>
  <si>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</si>
  <si>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</si>
  <si>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</si>
  <si>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</si>
  <si>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</si>
  <si>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</si>
  <si>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</si>
  <si>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</si>
  <si>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</si>
  <si>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</si>
  <si>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</si>
  <si>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</si>
  <si>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</si>
  <si>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</si>
  <si>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</si>
  <si>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</si>
  <si>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</si>
  <si>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收到 Neo 下下周订舱预报邮件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</si>
  <si>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</si>
  <si>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</si>
  <si>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</si>
  <si>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</si>
  <si>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</si>
  <si>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</si>
  <si>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</si>
  <si>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</si>
  <si>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</si>
  <si>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</si>
  <si>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</si>
  <si>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</si>
  <si>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</si>
  <si>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</si>
  <si>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</si>
  <si>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</si>
  <si>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</si>
  <si>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</si>
  <si>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</si>
  <si>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</si>
  <si>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</si>
  <si>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</si>
  <si>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</si>
  <si>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</si>
  <si>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</si>
  <si>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</si>
  <si>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</si>
  <si>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</si>
  <si>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</si>
  <si>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</si>
  <si>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</si>
  <si>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</si>
  <si>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</si>
  <si>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</si>
  <si>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</si>
  <si>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</si>
  <si>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</si>
  <si>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</si>
  <si>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</si>
  <si>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</si>
  <si>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</si>
  <si>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</si>
  <si>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</si>
  <si>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</si>
  <si>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</si>
  <si>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</si>
  <si>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</si>
  <si>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</si>
  <si>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</si>
  <si>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</si>
  <si>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</si>
  <si>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</si>
  <si>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</si>
  <si>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</si>
  <si>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</si>
  <si>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</si>
  <si>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</si>
  <si>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</si>
  <si>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</si>
  <si>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</si>
  <si>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</si>
  <si>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</si>
  <si>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</si>
  <si>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</si>
  <si>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</si>
  <si>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</si>
  <si>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</si>
  <si>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</si>
  <si>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</si>
  <si>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</si>
  <si>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</si>
  <si>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</si>
  <si>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</si>
  <si>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</si>
  <si>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</si>
  <si>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</si>
  <si>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</si>
  <si>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</si>
  <si>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</si>
  <si>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</si>
  <si>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</si>
  <si>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</si>
  <si>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</si>
  <si>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</si>
  <si>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</si>
  <si>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</si>
  <si>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</si>
  <si>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</si>
  <si>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</si>
  <si>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</si>
  <si>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</si>
  <si>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</si>
  <si>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</si>
  <si>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</si>
  <si>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</si>
  <si>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</si>
  <si>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</si>
  <si>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</si>
  <si>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</si>
  <si>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</si>
  <si>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HDMUQSWB4063540</t>
    <phoneticPr fontId="1" type="noConversion"/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</si>
  <si>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</si>
  <si>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</si>
  <si>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</si>
  <si>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</si>
  <si>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</si>
  <si>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</si>
  <si>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</si>
  <si>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</si>
  <si>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</si>
  <si>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</si>
  <si>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</si>
  <si>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</si>
  <si>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</si>
  <si>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</si>
  <si>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</si>
  <si>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</si>
  <si>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</si>
  <si>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</si>
  <si>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</si>
  <si>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</si>
  <si>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</si>
  <si>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问 SC glovis 和 JS mobis 下下周订舱计划</t>
  </si>
  <si>
    <t>收到 JS mobis 下下周订舱计划，制流水</t>
  </si>
  <si>
    <t>收到 SC glovis 下下周订舱计划，制流水</t>
  </si>
  <si>
    <t>收到 Neo 下下周订舱预报邮件</t>
  </si>
  <si>
    <t>回复 Neo 下下周订舱预报邮件</t>
  </si>
  <si>
    <t>收到 Neo 下下周订舱预报确认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</si>
  <si>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</si>
  <si>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</si>
  <si>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</si>
  <si>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</si>
  <si>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</si>
  <si>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</si>
  <si>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</si>
  <si>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</si>
  <si>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</si>
  <si>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</si>
  <si>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</si>
  <si>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</si>
  <si>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</si>
  <si>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</si>
  <si>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</si>
  <si>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</si>
  <si>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</si>
  <si>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</si>
  <si>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</si>
  <si>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</si>
  <si>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放单（MBL 给石磊）</t>
    <phoneticPr fontId="1" type="noConversion"/>
  </si>
  <si>
    <t>PCLU1780PE4300</t>
    <phoneticPr fontId="1" type="noConversion"/>
  </si>
  <si>
    <t>HDMUQSWB4063542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</si>
  <si>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</si>
  <si>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</si>
  <si>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</si>
  <si>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</si>
  <si>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</si>
  <si>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</si>
  <si>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</si>
  <si>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</si>
  <si>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计划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</si>
  <si>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</si>
  <si>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</si>
  <si>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</si>
  <si>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</si>
  <si>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</si>
  <si>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0×40GP</t>
    <phoneticPr fontId="1" type="noConversion"/>
  </si>
  <si>
    <t xml:space="preserve">转: 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</si>
  <si>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</si>
  <si>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</si>
  <si>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</si>
  <si>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</si>
  <si>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</si>
  <si>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</si>
  <si>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</si>
  <si>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</si>
  <si>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放单（MBL 给石磊）</t>
  </si>
  <si>
    <t>HYUNDAI FAITH 082E</t>
    <phoneticPr fontId="1" type="noConversion"/>
  </si>
  <si>
    <t>HDMUQSWB4063561</t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</si>
  <si>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</si>
  <si>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</si>
  <si>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</si>
  <si>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</si>
  <si>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</si>
  <si>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</si>
  <si>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</si>
  <si>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</si>
  <si>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</si>
  <si>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926N</t>
  </si>
  <si>
    <t>MSC KATRINA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</si>
  <si>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</si>
  <si>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</si>
  <si>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</si>
  <si>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</si>
  <si>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</si>
  <si>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1×40HQ</t>
    <phoneticPr fontId="1" type="noConversion"/>
  </si>
  <si>
    <t>截:06-24</t>
    <phoneticPr fontId="1" type="noConversion"/>
  </si>
  <si>
    <t>4 报 1 联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</si>
  <si>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</si>
  <si>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</si>
  <si>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</si>
  <si>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</si>
  <si>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</si>
  <si>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</si>
  <si>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</si>
  <si>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计划</t>
    <phoneticPr fontId="1" type="noConversion"/>
  </si>
  <si>
    <t>订舱:HMM</t>
    <phoneticPr fontId="1" type="noConversion"/>
  </si>
  <si>
    <t>终: DETROIT</t>
    <phoneticPr fontId="1" type="noConversion"/>
  </si>
  <si>
    <t>起: 振东(外2)</t>
    <phoneticPr fontId="1" type="noConversion"/>
  </si>
  <si>
    <t>开:06-22</t>
    <phoneticPr fontId="1" type="noConversion"/>
  </si>
  <si>
    <t>装:06-21</t>
    <phoneticPr fontId="1" type="noConversion"/>
  </si>
  <si>
    <t>保险: 344.2</t>
    <phoneticPr fontId="1" type="noConversion"/>
  </si>
  <si>
    <t>其他费用: 落箱费200</t>
    <phoneticPr fontId="1" type="noConversion"/>
  </si>
  <si>
    <t>/278/279/280</t>
  </si>
  <si>
    <t>/541/556/557</t>
  </si>
  <si>
    <t>PANCON本周三出运清单（约号更新）</t>
    <phoneticPr fontId="1" type="noConversion"/>
  </si>
  <si>
    <t>PANCON出运清单（约号更新）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</si>
  <si>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</si>
  <si>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</si>
  <si>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</si>
  <si>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HDMUQSWB4063540</t>
    <phoneticPr fontId="1" type="noConversion"/>
  </si>
  <si>
    <t>ETA7/10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</si>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</sst>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1">
    <dxf>
      <numFmt numFmtId="179" formatCode="m/dd\ aaa;@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2.736332523149" createdVersion="6" refreshedVersion="6" minRefreshableVersion="3" recordCount="138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3T00:00:00"/>
        <d v="2019-07-07T00:00:00"/>
        <d v="2019-07-18T00:00:00"/>
        <m/>
        <d v="2019-06-24T00:00:00"/>
        <d v="2019-07-05T00:00:00"/>
        <d v="2019-07-10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67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7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2T00:00:00"/>
        <d v="2019-06-24T00:00:00"/>
        <d v="2019-06-23T00:00:00"/>
        <d v="2019-06-26T00:00:00"/>
        <d v="2019-07-01T00:00:00"/>
        <d v="2019-06-29T00:00:00"/>
        <d v="2019-07-02T00:00:00"/>
        <d v="2019-07-03T00:00:00"/>
        <d v="2019-07-05T00:00:00"/>
        <d v="2019-07-11T00:00:00"/>
        <d v="2019-07-08T00:00:00"/>
        <d v="2019-07-18T00:00:00"/>
        <m/>
        <d v="2019-07-04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2" maxValue="2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82">
  <r>
    <x v="0"/>
    <x v="0"/>
    <n v="1"/>
    <s v="TJ glovis当月额外费用汇总邮件"/>
    <x v="0"/>
    <x v="0"/>
    <s v="月底"/>
    <n v="-28"/>
  </r>
  <r>
    <x v="0"/>
    <x v="0"/>
    <n v="2"/>
    <s v="CK TJ glovis有没有驳货费"/>
    <x v="0"/>
    <x v="0"/>
    <s v="月底"/>
    <n v="-28"/>
  </r>
  <r>
    <x v="1"/>
    <x v="0"/>
    <n v="1"/>
    <s v="做费用(对账单日期4号)，放公共盘，填月账单表，发孙丹"/>
    <x v="1"/>
    <x v="0"/>
    <m/>
    <n v="-47"/>
  </r>
  <r>
    <x v="2"/>
    <x v="0"/>
    <n v="1"/>
    <s v="做费用(对账单日期4号)，放公共盘，填月账单表，发孙丹"/>
    <x v="1"/>
    <x v="0"/>
    <m/>
    <n v="-47"/>
  </r>
  <r>
    <x v="3"/>
    <x v="1"/>
    <n v="1"/>
    <s v="HMM Neo 下周订舱邮件"/>
    <x v="2"/>
    <x v="0"/>
    <s v="周一"/>
    <n v="-56"/>
  </r>
  <r>
    <x v="3"/>
    <x v="1"/>
    <n v="2"/>
    <s v="SHA GLV WORKING PROCESS"/>
    <x v="2"/>
    <x v="0"/>
    <s v="周一"/>
    <n v="-56"/>
  </r>
  <r>
    <x v="3"/>
    <x v="1"/>
    <n v="3"/>
    <s v="SHA GLV WORKING PROCESS"/>
    <x v="3"/>
    <x v="0"/>
    <s v="周三"/>
    <n v="-49"/>
  </r>
  <r>
    <x v="3"/>
    <x v="1"/>
    <n v="4"/>
    <s v="TJ glovis额外费用邮件"/>
    <x v="1"/>
    <x v="0"/>
    <s v="周五"/>
    <n v="-47"/>
  </r>
  <r>
    <x v="3"/>
    <x v="1"/>
    <n v="5"/>
    <s v="SHA GLV WORKING PROCESS"/>
    <x v="1"/>
    <x v="0"/>
    <s v="周五"/>
    <n v="-47"/>
  </r>
  <r>
    <x v="3"/>
    <x v="1"/>
    <n v="6"/>
    <s v="TJ GLV WORKING PROCESS"/>
    <x v="1"/>
    <x v="0"/>
    <s v="周五"/>
    <n v="-47"/>
  </r>
  <r>
    <x v="1"/>
    <x v="2"/>
    <n v="1"/>
    <s v="做费用(对账单日期4号)，放公共盘，填月账单表，发孙丹"/>
    <x v="1"/>
    <x v="0"/>
    <m/>
    <n v="-47"/>
  </r>
  <r>
    <x v="2"/>
    <x v="2"/>
    <n v="1"/>
    <s v="做费用(对账单日期4号)，放公共盘，填月账单表，发孙丹"/>
    <x v="1"/>
    <x v="0"/>
    <m/>
    <n v="-47"/>
  </r>
  <r>
    <x v="4"/>
    <x v="3"/>
    <n v="1"/>
    <s v="收到客户(周嘉敏)订舱预报"/>
    <x v="4"/>
    <x v="0"/>
    <s v="一般周五发隔周"/>
    <n v="-61"/>
  </r>
  <r>
    <x v="4"/>
    <x v="3"/>
    <n v="2"/>
    <s v="收到HMM(Neo)预订舱邮件通知"/>
    <x v="5"/>
    <x v="0"/>
    <s v="一般周一发下周"/>
    <n v="-59"/>
  </r>
  <r>
    <x v="4"/>
    <x v="3"/>
    <n v="3"/>
    <s v="回复HMM(Neo)预订舱邮件"/>
    <x v="5"/>
    <x v="0"/>
    <m/>
    <n v="-59"/>
  </r>
  <r>
    <x v="4"/>
    <x v="3"/>
    <n v="4"/>
    <s v="收到HMM(Neo)预订舱确认"/>
    <x v="5"/>
    <x v="0"/>
    <s v="一般马上"/>
    <n v="-59"/>
  </r>
  <r>
    <x v="4"/>
    <x v="3"/>
    <n v="5"/>
    <s v="公共盘生成提单号"/>
    <x v="5"/>
    <x v="0"/>
    <m/>
    <n v="-59"/>
  </r>
  <r>
    <x v="4"/>
    <x v="3"/>
    <n v="6"/>
    <s v="YJC系统生成单子"/>
    <x v="5"/>
    <x v="0"/>
    <m/>
    <n v="-59"/>
  </r>
  <r>
    <x v="4"/>
    <x v="3"/>
    <n v="7"/>
    <s v="发EDI"/>
    <x v="5"/>
    <x v="0"/>
    <m/>
    <n v="-59"/>
  </r>
  <r>
    <x v="4"/>
    <x v="3"/>
    <n v="8"/>
    <s v="邮件申请放单"/>
    <x v="5"/>
    <x v="0"/>
    <m/>
    <n v="-59"/>
  </r>
  <r>
    <x v="4"/>
    <x v="3"/>
    <n v="9"/>
    <s v="收到HMM(Neo) 放单确认"/>
    <x v="6"/>
    <x v="0"/>
    <s v="一般半天内"/>
    <n v="-58"/>
  </r>
  <r>
    <x v="4"/>
    <x v="3"/>
    <n v="10"/>
    <s v="HMM网站核对订舱信息"/>
    <x v="6"/>
    <x v="0"/>
    <m/>
    <n v="-58"/>
  </r>
  <r>
    <x v="4"/>
    <x v="3"/>
    <n v="11"/>
    <s v="收到客户(周嘉敏)做箱通知"/>
    <x v="7"/>
    <x v="0"/>
    <s v="一般做箱头天一早"/>
    <n v="-51"/>
  </r>
  <r>
    <x v="4"/>
    <x v="3"/>
    <n v="12"/>
    <s v="发做箱通知邮件给车队(沈丽)"/>
    <x v="7"/>
    <x v="0"/>
    <m/>
    <n v="-51"/>
  </r>
  <r>
    <x v="4"/>
    <x v="3"/>
    <n v="13"/>
    <s v="公共盘生成提单号【如需拆单】"/>
    <x v="7"/>
    <x v="0"/>
    <m/>
    <n v="-51"/>
  </r>
  <r>
    <x v="4"/>
    <x v="3"/>
    <n v="14"/>
    <s v="YJC系统生成单子【如需拆单】"/>
    <x v="7"/>
    <x v="0"/>
    <m/>
    <n v="-51"/>
  </r>
  <r>
    <x v="4"/>
    <x v="3"/>
    <n v="15"/>
    <s v="发EDI【如需拆单】"/>
    <x v="7"/>
    <x v="0"/>
    <m/>
    <n v="-51"/>
  </r>
  <r>
    <x v="4"/>
    <x v="3"/>
    <n v="16"/>
    <s v="邮件申请放单【如需拆单】"/>
    <x v="7"/>
    <x v="0"/>
    <m/>
    <n v="-51"/>
  </r>
  <r>
    <x v="4"/>
    <x v="3"/>
    <n v="17"/>
    <s v="收到HMM(Neo) 放单确认【如需拆单】"/>
    <x v="7"/>
    <x v="0"/>
    <m/>
    <n v="-51"/>
  </r>
  <r>
    <x v="4"/>
    <x v="3"/>
    <n v="18"/>
    <s v="HMM网站核对订舱信息【如需拆单】"/>
    <x v="7"/>
    <x v="0"/>
    <m/>
    <n v="-51"/>
  </r>
  <r>
    <x v="4"/>
    <x v="3"/>
    <n v="19"/>
    <s v="收到客户(周嘉敏)发来做箱数据(报关资料)"/>
    <x v="8"/>
    <x v="0"/>
    <s v="一般做箱当天一早"/>
    <n v="-50"/>
  </r>
  <r>
    <x v="4"/>
    <x v="3"/>
    <n v="20"/>
    <s v="按报关(发票)数生成提单号【如发票数超过提单数】"/>
    <x v="8"/>
    <x v="0"/>
    <m/>
    <n v="-50"/>
  </r>
  <r>
    <x v="4"/>
    <x v="3"/>
    <n v="21"/>
    <s v="做做箱数据，QQ发车队(沈丽)"/>
    <x v="8"/>
    <x v="0"/>
    <m/>
    <n v="-50"/>
  </r>
  <r>
    <x v="4"/>
    <x v="3"/>
    <n v="22"/>
    <s v="做报关资料，扫描发报关行(黄寅文)QQ"/>
    <x v="8"/>
    <x v="0"/>
    <m/>
    <n v="-50"/>
  </r>
  <r>
    <x v="4"/>
    <x v="3"/>
    <n v="23"/>
    <s v="收到车队(沈丽)装箱单"/>
    <x v="8"/>
    <x v="0"/>
    <s v="一般马上"/>
    <n v="-50"/>
  </r>
  <r>
    <x v="4"/>
    <x v="3"/>
    <n v="24"/>
    <s v="YJC系统填截单数据，发EDI，邮件HMM(He)生成提单"/>
    <x v="8"/>
    <x v="0"/>
    <s v="注意截单时间"/>
    <n v="-50"/>
  </r>
  <r>
    <x v="4"/>
    <x v="3"/>
    <n v="25"/>
    <s v="收到HMM(He)生成提单通知"/>
    <x v="8"/>
    <x v="0"/>
    <s v="一般马上"/>
    <n v="-50"/>
  </r>
  <r>
    <x v="4"/>
    <x v="3"/>
    <n v="26"/>
    <s v="HMM网站核对提单信息"/>
    <x v="8"/>
    <x v="0"/>
    <m/>
    <n v="-50"/>
  </r>
  <r>
    <x v="4"/>
    <x v="3"/>
    <n v="27"/>
    <s v="做保函给邹师傅"/>
    <x v="8"/>
    <x v="0"/>
    <m/>
    <n v="-50"/>
  </r>
  <r>
    <x v="4"/>
    <x v="3"/>
    <n v="28"/>
    <s v="发VGM和舱单"/>
    <x v="8"/>
    <x v="0"/>
    <m/>
    <n v="-50"/>
  </r>
  <r>
    <x v="4"/>
    <x v="3"/>
    <n v="29"/>
    <s v="做ISF，发国外资料"/>
    <x v="8"/>
    <x v="0"/>
    <m/>
    <n v="-50"/>
  </r>
  <r>
    <x v="4"/>
    <x v="3"/>
    <n v="30"/>
    <s v="买保险"/>
    <x v="8"/>
    <x v="0"/>
    <m/>
    <n v="-50"/>
  </r>
  <r>
    <x v="4"/>
    <x v="3"/>
    <n v="31"/>
    <s v="盯海关网站舱单"/>
    <x v="8"/>
    <x v="0"/>
    <s v="一般两小时左右"/>
    <n v="-50"/>
  </r>
  <r>
    <x v="4"/>
    <x v="3"/>
    <n v="32"/>
    <s v="核对舱单信息"/>
    <x v="8"/>
    <x v="0"/>
    <m/>
    <n v="-50"/>
  </r>
  <r>
    <x v="4"/>
    <x v="3"/>
    <n v="33"/>
    <s v="收到报关行(黄寅文)校对稿，邮件发客户(周嘉敏)确认"/>
    <x v="8"/>
    <x v="0"/>
    <s v="一般半天内"/>
    <n v="-50"/>
  </r>
  <r>
    <x v="4"/>
    <x v="3"/>
    <n v="34"/>
    <s v="收到客户(周嘉敏)确认校对稿，通知报关行(黄寅文)"/>
    <x v="8"/>
    <x v="0"/>
    <s v="一般马上"/>
    <n v="-50"/>
  </r>
  <r>
    <x v="4"/>
    <x v="3"/>
    <n v="35"/>
    <s v="通知报关行(黄寅文)报关(开港、舱单、校对)"/>
    <x v="8"/>
    <x v="0"/>
    <m/>
    <n v="-50"/>
  </r>
  <r>
    <x v="4"/>
    <x v="3"/>
    <n v="36"/>
    <s v="收到报关成功通知"/>
    <x v="8"/>
    <x v="0"/>
    <s v="一般下班前"/>
    <n v="-50"/>
  </r>
  <r>
    <x v="4"/>
    <x v="3"/>
    <n v="37"/>
    <s v="通知车队(沈丽)可进港"/>
    <x v="8"/>
    <x v="0"/>
    <m/>
    <n v="-50"/>
  </r>
  <r>
    <x v="4"/>
    <x v="3"/>
    <n v="38"/>
    <s v="盯箱子进港"/>
    <x v="3"/>
    <x v="0"/>
    <m/>
    <n v="-49"/>
  </r>
  <r>
    <x v="4"/>
    <x v="3"/>
    <n v="39"/>
    <s v="核对进港数据"/>
    <x v="3"/>
    <x v="0"/>
    <m/>
    <n v="-49"/>
  </r>
  <r>
    <x v="4"/>
    <x v="3"/>
    <n v="40"/>
    <s v="盯海放"/>
    <x v="3"/>
    <x v="0"/>
    <m/>
    <n v="-49"/>
  </r>
  <r>
    <x v="4"/>
    <x v="3"/>
    <n v="41"/>
    <s v="盯码放"/>
    <x v="9"/>
    <x v="0"/>
    <m/>
    <n v="-48"/>
  </r>
  <r>
    <x v="4"/>
    <x v="3"/>
    <n v="42"/>
    <s v="盯配载"/>
    <x v="1"/>
    <x v="0"/>
    <m/>
    <n v="-47"/>
  </r>
  <r>
    <x v="4"/>
    <x v="3"/>
    <n v="43"/>
    <s v="做费用，发账单给谢梦婕"/>
    <x v="1"/>
    <x v="0"/>
    <m/>
    <n v="-47"/>
  </r>
  <r>
    <x v="4"/>
    <x v="3"/>
    <n v="44"/>
    <s v="船开"/>
    <x v="10"/>
    <x v="0"/>
    <m/>
    <n v="-46"/>
  </r>
  <r>
    <x v="4"/>
    <x v="3"/>
    <n v="45"/>
    <s v="放单"/>
    <x v="11"/>
    <x v="0"/>
    <s v="一般开船后两三天"/>
    <n v="-44"/>
  </r>
  <r>
    <x v="3"/>
    <x v="4"/>
    <n v="1"/>
    <s v="HMM Neo 下周订舱邮件"/>
    <x v="11"/>
    <x v="0"/>
    <s v="周一"/>
    <n v="-44"/>
  </r>
  <r>
    <x v="3"/>
    <x v="4"/>
    <n v="2"/>
    <s v="SHA GLV WORKING PROCESS"/>
    <x v="11"/>
    <x v="0"/>
    <s v="周一"/>
    <n v="-44"/>
  </r>
  <r>
    <x v="3"/>
    <x v="4"/>
    <n v="3"/>
    <s v="SHA GLV WORKING PROCESS"/>
    <x v="12"/>
    <x v="0"/>
    <s v="周三"/>
    <n v="-42"/>
  </r>
  <r>
    <x v="3"/>
    <x v="4"/>
    <n v="4"/>
    <s v="TJ glovis额外费用邮件"/>
    <x v="13"/>
    <x v="0"/>
    <s v="周五"/>
    <n v="-40"/>
  </r>
  <r>
    <x v="3"/>
    <x v="4"/>
    <n v="5"/>
    <s v="SHA GLV WORKING PROCESS"/>
    <x v="13"/>
    <x v="0"/>
    <s v="周五"/>
    <n v="-40"/>
  </r>
  <r>
    <x v="3"/>
    <x v="4"/>
    <n v="6"/>
    <s v="TJ GLV WORKING PROCESS"/>
    <x v="13"/>
    <x v="0"/>
    <s v="周五"/>
    <n v="-40"/>
  </r>
  <r>
    <x v="1"/>
    <x v="5"/>
    <n v="1"/>
    <s v="收到孙丹发来订舱托书(CK也收到)"/>
    <x v="14"/>
    <x v="0"/>
    <m/>
    <n v="-57"/>
  </r>
  <r>
    <x v="1"/>
    <x v="5"/>
    <n v="2"/>
    <s v="收到CK发来预配(做箱通知)"/>
    <x v="7"/>
    <x v="0"/>
    <m/>
    <n v="-51"/>
  </r>
  <r>
    <x v="1"/>
    <x v="5"/>
    <n v="3"/>
    <s v="收到包装厂(刘倩梅)发来包装指示书和装箱计划"/>
    <x v="1"/>
    <x v="0"/>
    <s v="一般周四"/>
    <n v="-47"/>
  </r>
  <r>
    <x v="1"/>
    <x v="5"/>
    <n v="4"/>
    <s v="根据装箱计划汇总包装数据，发各工厂做报关资料"/>
    <x v="9"/>
    <x v="0"/>
    <m/>
    <n v="-48"/>
  </r>
  <r>
    <x v="1"/>
    <x v="5"/>
    <n v="5"/>
    <s v="做做箱数据，邮件群发"/>
    <x v="1"/>
    <x v="0"/>
    <m/>
    <n v="-47"/>
  </r>
  <r>
    <x v="1"/>
    <x v="5"/>
    <n v="6"/>
    <s v="收到工厂发来报关资料并完善"/>
    <x v="10"/>
    <x v="0"/>
    <s v="当天至隔天"/>
    <n v="-46"/>
  </r>
  <r>
    <x v="1"/>
    <x v="5"/>
    <n v="7"/>
    <s v="报关资料齐了，发报关行(黄寅文)"/>
    <x v="11"/>
    <x v="0"/>
    <m/>
    <n v="-44"/>
  </r>
  <r>
    <x v="1"/>
    <x v="5"/>
    <n v="8"/>
    <s v="收到车队(沈丽)装箱单和洋山提箱截图(如有)"/>
    <x v="11"/>
    <x v="0"/>
    <s v="一般KMM五、HMI日"/>
    <n v="-44"/>
  </r>
  <r>
    <x v="1"/>
    <x v="5"/>
    <n v="9"/>
    <s v="群发装箱单和洋山提箱截图(如有)【05-13 09:00】"/>
    <x v="11"/>
    <x v="0"/>
    <s v="注意截单时间"/>
    <n v="-44"/>
  </r>
  <r>
    <x v="1"/>
    <x v="5"/>
    <n v="10"/>
    <s v="通知发舱单"/>
    <x v="11"/>
    <x v="0"/>
    <m/>
    <n v="-44"/>
  </r>
  <r>
    <x v="1"/>
    <x v="5"/>
    <n v="11"/>
    <s v="收到舱单发送成功通知，核对舱单信息"/>
    <x v="15"/>
    <x v="0"/>
    <m/>
    <n v="-43"/>
  </r>
  <r>
    <x v="1"/>
    <x v="5"/>
    <n v="12"/>
    <s v="通知进港，进港(核对数据)，通知报关，报关成功"/>
    <x v="15"/>
    <x v="0"/>
    <s v="根据港区"/>
    <n v="-43"/>
  </r>
  <r>
    <x v="1"/>
    <x v="5"/>
    <n v="13"/>
    <s v="盯海放"/>
    <x v="15"/>
    <x v="0"/>
    <m/>
    <n v="-43"/>
  </r>
  <r>
    <x v="1"/>
    <x v="5"/>
    <n v="14"/>
    <s v="盯码放"/>
    <x v="15"/>
    <x v="0"/>
    <m/>
    <n v="-43"/>
  </r>
  <r>
    <x v="1"/>
    <x v="5"/>
    <n v="15"/>
    <s v="盯配载"/>
    <x v="12"/>
    <x v="0"/>
    <m/>
    <n v="-42"/>
  </r>
  <r>
    <x v="1"/>
    <x v="5"/>
    <n v="16"/>
    <s v="做费用(对账单日期4号)，放公共盘，填月账单表，发孙丹"/>
    <x v="12"/>
    <x v="0"/>
    <m/>
    <n v="-42"/>
  </r>
  <r>
    <x v="4"/>
    <x v="5"/>
    <n v="1"/>
    <s v="收到客户(周嘉敏)订舱预报"/>
    <x v="4"/>
    <x v="0"/>
    <s v="一般周五发隔周"/>
    <n v="-61"/>
  </r>
  <r>
    <x v="4"/>
    <x v="5"/>
    <n v="2"/>
    <s v="收到HMM(Neo)预订舱邮件通知"/>
    <x v="7"/>
    <x v="0"/>
    <s v="一般周一发下周"/>
    <n v="-51"/>
  </r>
  <r>
    <x v="4"/>
    <x v="5"/>
    <n v="3"/>
    <s v="回复HMM(Neo)预订舱邮件"/>
    <x v="7"/>
    <x v="0"/>
    <m/>
    <n v="-51"/>
  </r>
  <r>
    <x v="4"/>
    <x v="5"/>
    <n v="4"/>
    <s v="收到HMM(Neo)预订舱确认"/>
    <x v="7"/>
    <x v="0"/>
    <s v="一般马上"/>
    <n v="-51"/>
  </r>
  <r>
    <x v="4"/>
    <x v="5"/>
    <n v="5"/>
    <s v="公共盘生成提单号"/>
    <x v="7"/>
    <x v="0"/>
    <m/>
    <n v="-51"/>
  </r>
  <r>
    <x v="4"/>
    <x v="5"/>
    <n v="6"/>
    <s v="YJC系统生成单子"/>
    <x v="7"/>
    <x v="0"/>
    <m/>
    <n v="-51"/>
  </r>
  <r>
    <x v="4"/>
    <x v="5"/>
    <n v="7"/>
    <s v="发EDI"/>
    <x v="7"/>
    <x v="0"/>
    <m/>
    <n v="-51"/>
  </r>
  <r>
    <x v="4"/>
    <x v="5"/>
    <n v="8"/>
    <s v="邮件申请放单"/>
    <x v="8"/>
    <x v="0"/>
    <m/>
    <n v="-50"/>
  </r>
  <r>
    <x v="4"/>
    <x v="5"/>
    <n v="9"/>
    <s v="收到HMM(Neo) 放单确认"/>
    <x v="8"/>
    <x v="0"/>
    <s v="一般半天内"/>
    <n v="-50"/>
  </r>
  <r>
    <x v="4"/>
    <x v="5"/>
    <n v="10"/>
    <s v="HMM网站核对订舱信息"/>
    <x v="8"/>
    <x v="0"/>
    <m/>
    <n v="-50"/>
  </r>
  <r>
    <x v="4"/>
    <x v="5"/>
    <n v="11"/>
    <s v="收到客户（周嘉敏）取消通知邮件"/>
    <x v="9"/>
    <x v="0"/>
    <m/>
    <n v="-48"/>
  </r>
  <r>
    <x v="4"/>
    <x v="5"/>
    <n v="12"/>
    <s v="YJC系统取消"/>
    <x v="9"/>
    <x v="0"/>
    <m/>
    <n v="-48"/>
  </r>
  <r>
    <x v="4"/>
    <x v="5"/>
    <n v="13"/>
    <s v="邮件通知Neo取消"/>
    <x v="9"/>
    <x v="0"/>
    <m/>
    <n v="-48"/>
  </r>
  <r>
    <x v="4"/>
    <x v="5"/>
    <n v="14"/>
    <s v="收到HMM(Neo)确认取消"/>
    <x v="9"/>
    <x v="0"/>
    <m/>
    <n v="-48"/>
  </r>
  <r>
    <x v="2"/>
    <x v="5"/>
    <n v="1"/>
    <s v="收到孙丹发来订舱托书(CK也收到)"/>
    <x v="14"/>
    <x v="0"/>
    <m/>
    <n v="-57"/>
  </r>
  <r>
    <x v="2"/>
    <x v="5"/>
    <n v="2"/>
    <s v="收到CK发来预配(做箱通知)"/>
    <x v="8"/>
    <x v="0"/>
    <m/>
    <n v="-50"/>
  </r>
  <r>
    <x v="2"/>
    <x v="5"/>
    <n v="3"/>
    <s v="收到包装厂(刘倩梅)发来包装指示书和装箱计划"/>
    <x v="9"/>
    <x v="0"/>
    <s v="一般周四"/>
    <n v="-48"/>
  </r>
  <r>
    <x v="2"/>
    <x v="5"/>
    <n v="4"/>
    <s v="根据装箱计划汇总包装数据，发各工厂做报关资料"/>
    <x v="9"/>
    <x v="0"/>
    <m/>
    <n v="-48"/>
  </r>
  <r>
    <x v="2"/>
    <x v="5"/>
    <n v="5"/>
    <s v="做做箱数据，邮件群发"/>
    <x v="9"/>
    <x v="0"/>
    <m/>
    <n v="-48"/>
  </r>
  <r>
    <x v="2"/>
    <x v="5"/>
    <n v="6"/>
    <s v="收到工厂发来报关资料并完善"/>
    <x v="9"/>
    <x v="0"/>
    <s v="当天至隔天"/>
    <n v="-48"/>
  </r>
  <r>
    <x v="2"/>
    <x v="5"/>
    <n v="7"/>
    <s v="报关资料齐了，发报关行(黄寅文)"/>
    <x v="9"/>
    <x v="0"/>
    <m/>
    <n v="-48"/>
  </r>
  <r>
    <x v="2"/>
    <x v="5"/>
    <n v="8"/>
    <s v="收到车队(沈丽)装箱单和洋山提箱截图(如有)"/>
    <x v="1"/>
    <x v="0"/>
    <s v="一般KMM五、HMI日"/>
    <n v="-47"/>
  </r>
  <r>
    <x v="2"/>
    <x v="5"/>
    <n v="9"/>
    <s v="群发装箱单和洋山提箱截图(如有)【05-10 09:00】"/>
    <x v="1"/>
    <x v="0"/>
    <s v="注意截单时间"/>
    <n v="-47"/>
  </r>
  <r>
    <x v="2"/>
    <x v="5"/>
    <n v="10"/>
    <s v="通知发舱单"/>
    <x v="1"/>
    <x v="0"/>
    <m/>
    <n v="-47"/>
  </r>
  <r>
    <x v="2"/>
    <x v="5"/>
    <n v="11"/>
    <s v="收到舱单发送成功通知，核对舱单信息"/>
    <x v="1"/>
    <x v="0"/>
    <m/>
    <n v="-47"/>
  </r>
  <r>
    <x v="2"/>
    <x v="5"/>
    <n v="12"/>
    <s v="通知进港，进港(核对数据)，通知报关，报关成功"/>
    <x v="1"/>
    <x v="0"/>
    <s v="根据港区"/>
    <n v="-47"/>
  </r>
  <r>
    <x v="2"/>
    <x v="5"/>
    <n v="13"/>
    <s v="盯海放"/>
    <x v="1"/>
    <x v="0"/>
    <m/>
    <n v="-47"/>
  </r>
  <r>
    <x v="2"/>
    <x v="5"/>
    <n v="14"/>
    <s v="盯码放"/>
    <x v="11"/>
    <x v="0"/>
    <m/>
    <n v="-44"/>
  </r>
  <r>
    <x v="2"/>
    <x v="5"/>
    <n v="15"/>
    <s v="盯配载"/>
    <x v="15"/>
    <x v="0"/>
    <m/>
    <n v="-43"/>
  </r>
  <r>
    <x v="2"/>
    <x v="5"/>
    <n v="16"/>
    <s v="做费用(对账单日期4号)，放公共盘，填月账单表，发孙丹"/>
    <x v="12"/>
    <x v="0"/>
    <m/>
    <n v="-42"/>
  </r>
  <r>
    <x v="4"/>
    <x v="6"/>
    <n v="1"/>
    <s v="收到客户(周嘉敏)订舱预报"/>
    <x v="4"/>
    <x v="1"/>
    <s v="一般周五发隔周"/>
    <n v="-61"/>
  </r>
  <r>
    <x v="4"/>
    <x v="6"/>
    <n v="2"/>
    <s v="收到HMM(Neo)预订舱邮件通知"/>
    <x v="7"/>
    <x v="1"/>
    <s v="一般周一发下周"/>
    <n v="-51"/>
  </r>
  <r>
    <x v="4"/>
    <x v="6"/>
    <n v="3"/>
    <s v="回复HMM(Neo)预订舱邮件"/>
    <x v="7"/>
    <x v="1"/>
    <m/>
    <n v="-51"/>
  </r>
  <r>
    <x v="4"/>
    <x v="6"/>
    <n v="4"/>
    <s v="收到HMM(Neo)预订舱确认"/>
    <x v="7"/>
    <x v="1"/>
    <s v="一般马上"/>
    <n v="-51"/>
  </r>
  <r>
    <x v="4"/>
    <x v="6"/>
    <n v="5"/>
    <s v="公共盘生成提单号"/>
    <x v="7"/>
    <x v="1"/>
    <m/>
    <n v="-51"/>
  </r>
  <r>
    <x v="4"/>
    <x v="6"/>
    <n v="6"/>
    <s v="YJC系统生成单子"/>
    <x v="7"/>
    <x v="1"/>
    <m/>
    <n v="-51"/>
  </r>
  <r>
    <x v="4"/>
    <x v="6"/>
    <n v="7"/>
    <s v="发EDI"/>
    <x v="8"/>
    <x v="1"/>
    <m/>
    <n v="-50"/>
  </r>
  <r>
    <x v="4"/>
    <x v="6"/>
    <n v="8"/>
    <s v="邮件申请放单"/>
    <x v="8"/>
    <x v="1"/>
    <m/>
    <n v="-50"/>
  </r>
  <r>
    <x v="4"/>
    <x v="6"/>
    <n v="9"/>
    <s v="收到HMM(Neo) 放单确认"/>
    <x v="8"/>
    <x v="1"/>
    <s v="一般半天内"/>
    <n v="-50"/>
  </r>
  <r>
    <x v="4"/>
    <x v="6"/>
    <n v="10"/>
    <s v="HMM网站核对订舱信息"/>
    <x v="8"/>
    <x v="1"/>
    <m/>
    <n v="-50"/>
  </r>
  <r>
    <x v="4"/>
    <x v="6"/>
    <n v="11"/>
    <s v="收到客户(周嘉敏)做箱通知"/>
    <x v="11"/>
    <x v="1"/>
    <s v="一般做箱头天一早"/>
    <n v="-44"/>
  </r>
  <r>
    <x v="4"/>
    <x v="6"/>
    <n v="12"/>
    <s v="发做箱通知邮件给车队(沈丽)"/>
    <x v="11"/>
    <x v="1"/>
    <m/>
    <n v="-44"/>
  </r>
  <r>
    <x v="4"/>
    <x v="6"/>
    <n v="13"/>
    <s v="公共盘生成提单号【如需拆单】"/>
    <x v="11"/>
    <x v="1"/>
    <m/>
    <n v="-44"/>
  </r>
  <r>
    <x v="4"/>
    <x v="6"/>
    <n v="14"/>
    <s v="YJC系统生成单子【如需拆单】"/>
    <x v="11"/>
    <x v="1"/>
    <m/>
    <n v="-44"/>
  </r>
  <r>
    <x v="4"/>
    <x v="6"/>
    <n v="15"/>
    <s v="发EDI【如需拆单】"/>
    <x v="11"/>
    <x v="1"/>
    <m/>
    <n v="-44"/>
  </r>
  <r>
    <x v="4"/>
    <x v="6"/>
    <n v="16"/>
    <s v="邮件申请放单【如需拆单】"/>
    <x v="11"/>
    <x v="1"/>
    <m/>
    <n v="-44"/>
  </r>
  <r>
    <x v="4"/>
    <x v="6"/>
    <n v="17"/>
    <s v="收到HMM(Neo) 放单确认【如需拆单】"/>
    <x v="11"/>
    <x v="1"/>
    <m/>
    <n v="-44"/>
  </r>
  <r>
    <x v="4"/>
    <x v="6"/>
    <n v="18"/>
    <s v="HMM网站核对订舱信息【如需拆单】"/>
    <x v="11"/>
    <x v="1"/>
    <m/>
    <n v="-44"/>
  </r>
  <r>
    <x v="4"/>
    <x v="6"/>
    <n v="19"/>
    <s v="收到客户(周嘉敏)发来做箱数据(报关资料)"/>
    <x v="15"/>
    <x v="1"/>
    <s v="一般做箱当天一早"/>
    <n v="-43"/>
  </r>
  <r>
    <x v="4"/>
    <x v="6"/>
    <n v="20"/>
    <s v="按报关(发票)数生成提单号【如发票数超过提单数】"/>
    <x v="15"/>
    <x v="1"/>
    <m/>
    <n v="-43"/>
  </r>
  <r>
    <x v="4"/>
    <x v="6"/>
    <n v="21"/>
    <s v="做做箱数据，QQ发车队(沈丽)"/>
    <x v="15"/>
    <x v="1"/>
    <m/>
    <n v="-43"/>
  </r>
  <r>
    <x v="4"/>
    <x v="6"/>
    <n v="22"/>
    <s v="做报关资料，扫描发报关行(黄寅文)QQ"/>
    <x v="15"/>
    <x v="1"/>
    <m/>
    <n v="-43"/>
  </r>
  <r>
    <x v="4"/>
    <x v="6"/>
    <n v="23"/>
    <s v="收到车队(沈丽)装箱单"/>
    <x v="15"/>
    <x v="1"/>
    <s v="一般马上"/>
    <n v="-43"/>
  </r>
  <r>
    <x v="4"/>
    <x v="6"/>
    <n v="24"/>
    <s v="YJC系统截单，发EDI，邮件HMM(He)【5-14 12:00】"/>
    <x v="15"/>
    <x v="1"/>
    <s v="注意截单时间"/>
    <n v="-43"/>
  </r>
  <r>
    <x v="4"/>
    <x v="6"/>
    <n v="25"/>
    <s v="收到HMM(He)生成提单通知"/>
    <x v="15"/>
    <x v="1"/>
    <s v="一般马上"/>
    <n v="-43"/>
  </r>
  <r>
    <x v="4"/>
    <x v="6"/>
    <n v="26"/>
    <s v="HMM网站核对提单信息"/>
    <x v="15"/>
    <x v="1"/>
    <m/>
    <n v="-43"/>
  </r>
  <r>
    <x v="4"/>
    <x v="6"/>
    <n v="27"/>
    <s v="做保函给邹师傅"/>
    <x v="15"/>
    <x v="1"/>
    <m/>
    <n v="-43"/>
  </r>
  <r>
    <x v="4"/>
    <x v="6"/>
    <n v="28"/>
    <s v="发VGM和舱单"/>
    <x v="15"/>
    <x v="1"/>
    <m/>
    <n v="-43"/>
  </r>
  <r>
    <x v="4"/>
    <x v="6"/>
    <n v="29"/>
    <s v="做ISF，发国外资料"/>
    <x v="15"/>
    <x v="1"/>
    <m/>
    <n v="-43"/>
  </r>
  <r>
    <x v="4"/>
    <x v="6"/>
    <n v="30"/>
    <s v="买保险"/>
    <x v="15"/>
    <x v="1"/>
    <m/>
    <n v="-43"/>
  </r>
  <r>
    <x v="4"/>
    <x v="6"/>
    <n v="31"/>
    <s v="盯海关网站舱单"/>
    <x v="15"/>
    <x v="1"/>
    <s v="一般两小时左右"/>
    <n v="-43"/>
  </r>
  <r>
    <x v="4"/>
    <x v="6"/>
    <n v="32"/>
    <s v="核对舱单信息"/>
    <x v="15"/>
    <x v="1"/>
    <m/>
    <n v="-43"/>
  </r>
  <r>
    <x v="4"/>
    <x v="6"/>
    <n v="33"/>
    <s v="收到报关行(黄寅文)校对稿，邮件发客户(周嘉敏)确认"/>
    <x v="15"/>
    <x v="1"/>
    <s v="一般半天内"/>
    <n v="-43"/>
  </r>
  <r>
    <x v="4"/>
    <x v="6"/>
    <n v="34"/>
    <s v="收到客户(周嘉敏)确认校对稿，通知报关行(黄寅文)"/>
    <x v="15"/>
    <x v="1"/>
    <s v="一般马上"/>
    <n v="-43"/>
  </r>
  <r>
    <x v="4"/>
    <x v="6"/>
    <n v="35"/>
    <s v="通知报关行(黄寅文)报关(需有开港)"/>
    <x v="15"/>
    <x v="1"/>
    <m/>
    <n v="-43"/>
  </r>
  <r>
    <x v="4"/>
    <x v="6"/>
    <n v="36"/>
    <s v="收到报关成功通知"/>
    <x v="15"/>
    <x v="1"/>
    <s v="一般下班前"/>
    <n v="-43"/>
  </r>
  <r>
    <x v="4"/>
    <x v="6"/>
    <n v="37"/>
    <s v="通知车队(沈丽)可进港"/>
    <x v="15"/>
    <x v="1"/>
    <m/>
    <n v="-43"/>
  </r>
  <r>
    <x v="4"/>
    <x v="6"/>
    <n v="38"/>
    <s v="盯箱子进港"/>
    <x v="12"/>
    <x v="1"/>
    <m/>
    <n v="-42"/>
  </r>
  <r>
    <x v="4"/>
    <x v="6"/>
    <n v="39"/>
    <s v="核对进港数据"/>
    <x v="12"/>
    <x v="1"/>
    <m/>
    <n v="-42"/>
  </r>
  <r>
    <x v="4"/>
    <x v="6"/>
    <n v="40"/>
    <s v="盯海放"/>
    <x v="12"/>
    <x v="1"/>
    <m/>
    <n v="-42"/>
  </r>
  <r>
    <x v="4"/>
    <x v="6"/>
    <n v="41"/>
    <s v="盯码放"/>
    <x v="12"/>
    <x v="1"/>
    <m/>
    <n v="-42"/>
  </r>
  <r>
    <x v="4"/>
    <x v="6"/>
    <n v="42"/>
    <s v="盯配载"/>
    <x v="12"/>
    <x v="1"/>
    <m/>
    <n v="-42"/>
  </r>
  <r>
    <x v="4"/>
    <x v="6"/>
    <n v="43"/>
    <s v="船开"/>
    <x v="13"/>
    <x v="1"/>
    <m/>
    <n v="-40"/>
  </r>
  <r>
    <x v="4"/>
    <x v="6"/>
    <n v="44"/>
    <s v="做费用"/>
    <x v="13"/>
    <x v="1"/>
    <m/>
    <n v="-40"/>
  </r>
  <r>
    <x v="4"/>
    <x v="6"/>
    <n v="45"/>
    <s v="发账单"/>
    <x v="13"/>
    <x v="1"/>
    <m/>
    <n v="-40"/>
  </r>
  <r>
    <x v="4"/>
    <x v="6"/>
    <n v="46"/>
    <s v="放单"/>
    <x v="16"/>
    <x v="1"/>
    <s v="一般开船后两三天"/>
    <n v="-37"/>
  </r>
  <r>
    <x v="5"/>
    <x v="6"/>
    <n v="1"/>
    <s v="收到客户托书"/>
    <x v="8"/>
    <x v="0"/>
    <m/>
    <n v="-50"/>
  </r>
  <r>
    <x v="5"/>
    <x v="6"/>
    <n v="2"/>
    <s v="生成单号，YJC系统，发EDI，邮件Neo放舱"/>
    <x v="8"/>
    <x v="0"/>
    <m/>
    <n v="-50"/>
  </r>
  <r>
    <x v="5"/>
    <x v="6"/>
    <n v="3"/>
    <s v="收到Neo放舱确认"/>
    <x v="3"/>
    <x v="0"/>
    <m/>
    <n v="-49"/>
  </r>
  <r>
    <x v="5"/>
    <x v="6"/>
    <n v="4"/>
    <s v="发预配信息给客户（张婷）"/>
    <x v="3"/>
    <x v="0"/>
    <m/>
    <n v="-49"/>
  </r>
  <r>
    <x v="5"/>
    <x v="6"/>
    <n v="5"/>
    <s v="收到客户（张婷）报关资料"/>
    <x v="11"/>
    <x v="0"/>
    <m/>
    <n v="-44"/>
  </r>
  <r>
    <x v="5"/>
    <x v="6"/>
    <n v="6"/>
    <s v="做报关资料，发报关行（黄寅文）"/>
    <x v="11"/>
    <x v="0"/>
    <m/>
    <n v="-44"/>
  </r>
  <r>
    <x v="5"/>
    <x v="6"/>
    <n v="7"/>
    <s v="收到客户（张婷）舱单模板和VGM"/>
    <x v="11"/>
    <x v="0"/>
    <m/>
    <n v="-44"/>
  </r>
  <r>
    <x v="5"/>
    <x v="6"/>
    <n v="8"/>
    <s v="发舱单和VGM"/>
    <x v="11"/>
    <x v="0"/>
    <m/>
    <n v="-44"/>
  </r>
  <r>
    <x v="5"/>
    <x v="6"/>
    <n v="9"/>
    <s v="YJC系统改准确数据，发ESI，邮件何生成提单"/>
    <x v="11"/>
    <x v="0"/>
    <m/>
    <n v="-44"/>
  </r>
  <r>
    <x v="5"/>
    <x v="6"/>
    <n v="10"/>
    <s v="收到生成提单邮件，网站核对信息"/>
    <x v="15"/>
    <x v="0"/>
    <m/>
    <n v="-43"/>
  </r>
  <r>
    <x v="5"/>
    <x v="6"/>
    <n v="11"/>
    <s v="海关有舱单，核对舱单"/>
    <x v="11"/>
    <x v="0"/>
    <m/>
    <n v="-44"/>
  </r>
  <r>
    <x v="5"/>
    <x v="6"/>
    <n v="12"/>
    <s v="有开港，通知报关"/>
    <x v="11"/>
    <x v="0"/>
    <m/>
    <n v="-44"/>
  </r>
  <r>
    <x v="5"/>
    <x v="6"/>
    <n v="13"/>
    <s v="发提单确认（两份）"/>
    <x v="15"/>
    <x v="0"/>
    <m/>
    <n v="-43"/>
  </r>
  <r>
    <x v="5"/>
    <x v="6"/>
    <n v="14"/>
    <s v="收到报关成功通知"/>
    <x v="15"/>
    <x v="0"/>
    <m/>
    <n v="-43"/>
  </r>
  <r>
    <x v="5"/>
    <x v="6"/>
    <n v="15"/>
    <s v="通知可进港"/>
    <x v="15"/>
    <x v="0"/>
    <m/>
    <n v="-43"/>
  </r>
  <r>
    <x v="5"/>
    <x v="6"/>
    <n v="16"/>
    <s v="收到客户（张婷）提单确认"/>
    <x v="15"/>
    <x v="0"/>
    <m/>
    <n v="-43"/>
  </r>
  <r>
    <x v="5"/>
    <x v="6"/>
    <n v="17"/>
    <s v="船公司发好AMS，发来信息"/>
    <x v="15"/>
    <x v="0"/>
    <m/>
    <n v="-43"/>
  </r>
  <r>
    <x v="5"/>
    <x v="6"/>
    <n v="18"/>
    <s v="收到客户寄来电放保函，盖YJC章，交师傅送胡小姐"/>
    <x v="12"/>
    <x v="0"/>
    <m/>
    <n v="-42"/>
  </r>
  <r>
    <x v="5"/>
    <x v="6"/>
    <n v="19"/>
    <s v="船开"/>
    <x v="16"/>
    <x v="0"/>
    <m/>
    <n v="-37"/>
  </r>
  <r>
    <x v="5"/>
    <x v="6"/>
    <n v="20"/>
    <s v="等船公司费用有了，和金小姐一起确定客户费用"/>
    <x v="17"/>
    <x v="0"/>
    <m/>
    <n v="-35"/>
  </r>
  <r>
    <x v="5"/>
    <x v="6"/>
    <n v="21"/>
    <s v="收到费用确认，放单"/>
    <x v="18"/>
    <x v="0"/>
    <m/>
    <n v="-30"/>
  </r>
  <r>
    <x v="5"/>
    <x v="6"/>
    <n v="22"/>
    <s v="张婷确认账单"/>
    <x v="19"/>
    <x v="0"/>
    <m/>
    <n v="-6"/>
  </r>
  <r>
    <x v="3"/>
    <x v="7"/>
    <n v="1"/>
    <s v="收到HMM Neo 下周订舱邮件"/>
    <x v="16"/>
    <x v="0"/>
    <s v="周一"/>
    <n v="-37"/>
  </r>
  <r>
    <x v="3"/>
    <x v="7"/>
    <n v="2"/>
    <s v="根据JS mobis订舱需求回Neo邮件"/>
    <x v="16"/>
    <x v="0"/>
    <s v="周一"/>
    <n v="-37"/>
  </r>
  <r>
    <x v="3"/>
    <x v="7"/>
    <n v="3"/>
    <s v="SHA GLV WORKING PROCESS"/>
    <x v="16"/>
    <x v="0"/>
    <s v="周一"/>
    <n v="-37"/>
  </r>
  <r>
    <x v="3"/>
    <x v="7"/>
    <n v="4"/>
    <s v="SHA GLV WORKING PROCESS"/>
    <x v="17"/>
    <x v="0"/>
    <s v="周三"/>
    <n v="-35"/>
  </r>
  <r>
    <x v="3"/>
    <x v="7"/>
    <n v="5"/>
    <s v="TJ glovis额外费用邮件"/>
    <x v="20"/>
    <x v="0"/>
    <s v="周五"/>
    <n v="-33"/>
  </r>
  <r>
    <x v="3"/>
    <x v="7"/>
    <n v="6"/>
    <s v="SHA GLV WORKING PROCESS"/>
    <x v="20"/>
    <x v="0"/>
    <s v="周五"/>
    <n v="-33"/>
  </r>
  <r>
    <x v="3"/>
    <x v="7"/>
    <n v="7"/>
    <s v="TJ GLV WORKING PROCESS"/>
    <x v="20"/>
    <x v="0"/>
    <s v="周五"/>
    <n v="-33"/>
  </r>
  <r>
    <x v="1"/>
    <x v="8"/>
    <n v="1"/>
    <s v="收到客户(孙丹/王珊)发来订舱托书(CK也收到)"/>
    <x v="1"/>
    <x v="0"/>
    <m/>
    <n v="-47"/>
  </r>
  <r>
    <x v="1"/>
    <x v="8"/>
    <n v="2"/>
    <s v="YJC系统生成单子"/>
    <x v="1"/>
    <x v="0"/>
    <m/>
    <n v="-47"/>
  </r>
  <r>
    <x v="1"/>
    <x v="8"/>
    <n v="3"/>
    <s v="收到CK发来预配(做箱通知)"/>
    <x v="15"/>
    <x v="0"/>
    <m/>
    <n v="-43"/>
  </r>
  <r>
    <x v="1"/>
    <x v="8"/>
    <n v="4"/>
    <s v="收到包装厂(刘倩梅)发来包装指示书和装箱计划"/>
    <x v="21"/>
    <x v="0"/>
    <s v="一般周四"/>
    <n v="-41"/>
  </r>
  <r>
    <x v="1"/>
    <x v="8"/>
    <n v="5"/>
    <s v="根据装箱计划汇总包装数据，发各工厂做报关资料"/>
    <x v="13"/>
    <x v="0"/>
    <m/>
    <n v="-40"/>
  </r>
  <r>
    <x v="1"/>
    <x v="8"/>
    <n v="6"/>
    <s v="做做箱数据，邮件群发"/>
    <x v="13"/>
    <x v="0"/>
    <m/>
    <n v="-40"/>
  </r>
  <r>
    <x v="1"/>
    <x v="8"/>
    <n v="7"/>
    <s v="收到工厂发来报关资料并完善(做报关资料跟客户确认)"/>
    <x v="13"/>
    <x v="0"/>
    <s v="当天至隔天"/>
    <n v="-40"/>
  </r>
  <r>
    <x v="1"/>
    <x v="8"/>
    <n v="8"/>
    <s v="报关资料齐了，发报关行(黄寅文)"/>
    <x v="13"/>
    <x v="0"/>
    <m/>
    <n v="-40"/>
  </r>
  <r>
    <x v="1"/>
    <x v="8"/>
    <n v="9"/>
    <s v="收到车队(沈丽)装箱单和洋山提箱截图(如有)"/>
    <x v="16"/>
    <x v="0"/>
    <s v="一般KMM五、HMI日"/>
    <n v="-37"/>
  </r>
  <r>
    <x v="1"/>
    <x v="8"/>
    <n v="10"/>
    <s v="群发装箱单和洋山提箱截图(如有)【5-20】，通知发舱单"/>
    <x v="16"/>
    <x v="0"/>
    <s v="注意截单时间"/>
    <n v="-37"/>
  </r>
  <r>
    <x v="1"/>
    <x v="8"/>
    <n v="12"/>
    <s v="收到舱单发送成功通知，核对舱单信息"/>
    <x v="16"/>
    <x v="0"/>
    <m/>
    <n v="-37"/>
  </r>
  <r>
    <x v="1"/>
    <x v="8"/>
    <n v="13"/>
    <s v="进港(核对数据)，通知报关，报关成功"/>
    <x v="16"/>
    <x v="0"/>
    <s v="根据港区"/>
    <n v="-37"/>
  </r>
  <r>
    <x v="1"/>
    <x v="8"/>
    <n v="14"/>
    <s v="海放"/>
    <x v="16"/>
    <x v="0"/>
    <m/>
    <n v="-37"/>
  </r>
  <r>
    <x v="1"/>
    <x v="8"/>
    <n v="15"/>
    <s v="码放"/>
    <x v="17"/>
    <x v="0"/>
    <m/>
    <n v="-35"/>
  </r>
  <r>
    <x v="1"/>
    <x v="8"/>
    <n v="16"/>
    <s v="配载"/>
    <x v="22"/>
    <x v="0"/>
    <m/>
    <n v="-34"/>
  </r>
  <r>
    <x v="1"/>
    <x v="8"/>
    <n v="17"/>
    <s v="船开"/>
    <x v="20"/>
    <x v="0"/>
    <m/>
    <n v="-33"/>
  </r>
  <r>
    <x v="1"/>
    <x v="8"/>
    <n v="18"/>
    <s v="做费用(对账单日期4号)，放公共盘，填月账单表，发孙丹"/>
    <x v="18"/>
    <x v="0"/>
    <m/>
    <n v="-30"/>
  </r>
  <r>
    <x v="2"/>
    <x v="8"/>
    <n v="1"/>
    <s v="收到孙丹发来订舱托书(CK也收到)"/>
    <x v="9"/>
    <x v="0"/>
    <m/>
    <n v="-48"/>
  </r>
  <r>
    <x v="2"/>
    <x v="8"/>
    <n v="2"/>
    <s v="收到CK发来预配(做箱通知)"/>
    <x v="9"/>
    <x v="0"/>
    <m/>
    <n v="-48"/>
  </r>
  <r>
    <x v="2"/>
    <x v="8"/>
    <n v="3"/>
    <s v="YJC系统生成单子"/>
    <x v="9"/>
    <x v="0"/>
    <m/>
    <n v="-48"/>
  </r>
  <r>
    <x v="2"/>
    <x v="8"/>
    <n v="4"/>
    <s v="收到包装厂(刘倩梅)发来包装指示书和装箱计划"/>
    <x v="21"/>
    <x v="0"/>
    <s v="一般周四"/>
    <n v="-41"/>
  </r>
  <r>
    <x v="2"/>
    <x v="8"/>
    <n v="5"/>
    <s v="根据装箱计划汇总包装数据，发各工厂做报关资料"/>
    <x v="21"/>
    <x v="0"/>
    <m/>
    <n v="-41"/>
  </r>
  <r>
    <x v="2"/>
    <x v="8"/>
    <n v="6"/>
    <s v="做做箱数据，邮件群发"/>
    <x v="21"/>
    <x v="0"/>
    <m/>
    <n v="-41"/>
  </r>
  <r>
    <x v="2"/>
    <x v="8"/>
    <n v="7"/>
    <s v="收到工厂发来报关资料并完善"/>
    <x v="21"/>
    <x v="0"/>
    <s v="当天至隔天"/>
    <n v="-41"/>
  </r>
  <r>
    <x v="2"/>
    <x v="8"/>
    <n v="8"/>
    <s v="报关资料齐了，发报关行(黄寅文)"/>
    <x v="21"/>
    <x v="0"/>
    <m/>
    <n v="-41"/>
  </r>
  <r>
    <x v="2"/>
    <x v="8"/>
    <n v="9"/>
    <s v="收到车队(沈丽)装箱单和洋山提箱截图(如有)"/>
    <x v="13"/>
    <x v="0"/>
    <s v="一般KMM五、HMI日"/>
    <n v="-40"/>
  </r>
  <r>
    <x v="2"/>
    <x v="8"/>
    <n v="10"/>
    <s v="群发装箱单和洋山提箱截图(如有)【5-17 17:00】"/>
    <x v="13"/>
    <x v="0"/>
    <s v="注意截单时间"/>
    <n v="-40"/>
  </r>
  <r>
    <x v="2"/>
    <x v="8"/>
    <n v="11"/>
    <s v="通知发舱单"/>
    <x v="13"/>
    <x v="0"/>
    <m/>
    <n v="-40"/>
  </r>
  <r>
    <x v="2"/>
    <x v="8"/>
    <n v="12"/>
    <s v="通知进港，进港(核对数据)，通知报关，报关成功"/>
    <x v="13"/>
    <x v="0"/>
    <s v="根据港区"/>
    <n v="-40"/>
  </r>
  <r>
    <x v="2"/>
    <x v="8"/>
    <n v="13"/>
    <s v="盯海放"/>
    <x v="16"/>
    <x v="0"/>
    <m/>
    <n v="-37"/>
  </r>
  <r>
    <x v="2"/>
    <x v="8"/>
    <n v="14"/>
    <s v="盯码放"/>
    <x v="16"/>
    <x v="0"/>
    <m/>
    <n v="-37"/>
  </r>
  <r>
    <x v="2"/>
    <x v="8"/>
    <n v="15"/>
    <s v="盯配载"/>
    <x v="23"/>
    <x v="0"/>
    <m/>
    <n v="-36"/>
  </r>
  <r>
    <x v="2"/>
    <x v="8"/>
    <n v="16"/>
    <s v="做费用(对账单日期4号)，放公共盘，填月账单表，发孙丹"/>
    <x v="17"/>
    <x v="0"/>
    <m/>
    <n v="-35"/>
  </r>
  <r>
    <x v="6"/>
    <x v="8"/>
    <n v="1"/>
    <s v="收到胡媛媛发来订舱邮件"/>
    <x v="24"/>
    <x v="0"/>
    <m/>
    <n v="-62"/>
  </r>
  <r>
    <x v="6"/>
    <x v="8"/>
    <n v="2"/>
    <s v="发订舱托书给万恒（翁小姐）"/>
    <x v="24"/>
    <x v="0"/>
    <m/>
    <n v="-62"/>
  </r>
  <r>
    <x v="6"/>
    <x v="8"/>
    <n v="3"/>
    <s v="收到万恒（翁小姐）预配"/>
    <x v="24"/>
    <x v="0"/>
    <s v="一般三小时左右"/>
    <n v="-62"/>
  </r>
  <r>
    <x v="6"/>
    <x v="8"/>
    <n v="4"/>
    <s v="通知胡媛媛订舱成功"/>
    <x v="24"/>
    <x v="0"/>
    <m/>
    <n v="-62"/>
  </r>
  <r>
    <x v="6"/>
    <x v="8"/>
    <n v="5"/>
    <s v="发做箱通知邮件给车队(沈丽)"/>
    <x v="9"/>
    <x v="0"/>
    <m/>
    <n v="-48"/>
  </r>
  <r>
    <x v="6"/>
    <x v="8"/>
    <n v="6"/>
    <s v="收到胡媛媛发来报关资料"/>
    <x v="15"/>
    <x v="0"/>
    <s v="船开前一周？"/>
    <n v="-43"/>
  </r>
  <r>
    <x v="6"/>
    <x v="8"/>
    <n v="7"/>
    <s v="完善报关资料发报关行（黄寅文），要校对稿，做做箱数据给沈丽"/>
    <x v="15"/>
    <x v="0"/>
    <m/>
    <n v="-43"/>
  </r>
  <r>
    <x v="6"/>
    <x v="8"/>
    <n v="8"/>
    <s v="买保险，做异地付款保函，发胡媛媛确认盖章回传"/>
    <x v="15"/>
    <x v="0"/>
    <m/>
    <n v="-43"/>
  </r>
  <r>
    <x v="6"/>
    <x v="8"/>
    <n v="9"/>
    <s v="收到客户（胡媛媛）发来保函扫描件"/>
    <x v="15"/>
    <x v="0"/>
    <s v="一般马上"/>
    <n v="-43"/>
  </r>
  <r>
    <x v="6"/>
    <x v="8"/>
    <n v="10"/>
    <s v="收到黄寅文校对稿，发客户（胡媛媛）确认"/>
    <x v="12"/>
    <x v="0"/>
    <s v="一般半天内"/>
    <n v="-42"/>
  </r>
  <r>
    <x v="6"/>
    <x v="8"/>
    <n v="11"/>
    <s v="收到客户（胡媛媛）确认校对稿OK"/>
    <x v="21"/>
    <x v="0"/>
    <s v="一般马上"/>
    <n v="-41"/>
  </r>
  <r>
    <x v="6"/>
    <x v="8"/>
    <n v="12"/>
    <s v="关注开港时间，跟车队（沈丽）确认明天做箱，如有变动通知胡媛媛"/>
    <x v="21"/>
    <x v="0"/>
    <s v="截单(5-17 11:00)"/>
    <n v="-41"/>
  </r>
  <r>
    <x v="6"/>
    <x v="8"/>
    <n v="13"/>
    <s v="收到沈丽发来装箱单"/>
    <x v="13"/>
    <x v="0"/>
    <s v="截单当天"/>
    <n v="-40"/>
  </r>
  <r>
    <x v="6"/>
    <x v="8"/>
    <n v="14"/>
    <s v="完善截单资料发万恒（翁小姐），请求发舱单"/>
    <x v="13"/>
    <x v="0"/>
    <m/>
    <n v="-40"/>
  </r>
  <r>
    <x v="6"/>
    <x v="8"/>
    <n v="15"/>
    <s v="收到舱单发送通知，核对舱单，装箱单发报关行报关"/>
    <x v="13"/>
    <x v="0"/>
    <m/>
    <n v="-40"/>
  </r>
  <r>
    <x v="6"/>
    <x v="8"/>
    <n v="16"/>
    <s v="请求万恒（翁小姐）发提单样本"/>
    <x v="16"/>
    <x v="0"/>
    <m/>
    <n v="-37"/>
  </r>
  <r>
    <x v="6"/>
    <x v="8"/>
    <n v="17"/>
    <s v="收到万恒（翁小姐）发来提单样本，发胡媛媛确认"/>
    <x v="16"/>
    <x v="0"/>
    <m/>
    <n v="-37"/>
  </r>
  <r>
    <x v="6"/>
    <x v="8"/>
    <n v="18"/>
    <s v="收到胡媛媛提单确认"/>
    <x v="16"/>
    <x v="0"/>
    <m/>
    <n v="-37"/>
  </r>
  <r>
    <x v="6"/>
    <x v="8"/>
    <n v="19"/>
    <s v="收到报关成功通知，通知车队可进港 "/>
    <x v="13"/>
    <x v="0"/>
    <m/>
    <n v="-40"/>
  </r>
  <r>
    <x v="6"/>
    <x v="8"/>
    <n v="20"/>
    <s v="进港，核对数据"/>
    <x v="13"/>
    <x v="0"/>
    <m/>
    <n v="-40"/>
  </r>
  <r>
    <x v="6"/>
    <x v="8"/>
    <n v="21"/>
    <s v="海放"/>
    <x v="16"/>
    <x v="0"/>
    <m/>
    <n v="-37"/>
  </r>
  <r>
    <x v="6"/>
    <x v="8"/>
    <n v="22"/>
    <s v="码放"/>
    <x v="16"/>
    <x v="0"/>
    <m/>
    <n v="-37"/>
  </r>
  <r>
    <x v="6"/>
    <x v="8"/>
    <n v="23"/>
    <s v="配载"/>
    <x v="23"/>
    <x v="0"/>
    <m/>
    <n v="-36"/>
  </r>
  <r>
    <x v="6"/>
    <x v="8"/>
    <n v="24"/>
    <s v="开船"/>
    <x v="17"/>
    <x v="0"/>
    <m/>
    <n v="-35"/>
  </r>
  <r>
    <x v="6"/>
    <x v="8"/>
    <n v="25"/>
    <s v="做费用，发账单给谢梦婕"/>
    <x v="17"/>
    <x v="0"/>
    <m/>
    <n v="-35"/>
  </r>
  <r>
    <x v="6"/>
    <x v="8"/>
    <n v="26"/>
    <s v="收到万恒（翁小姐）提单，放提单和预录单给胡媛媛"/>
    <x v="22"/>
    <x v="0"/>
    <m/>
    <n v="-34"/>
  </r>
  <r>
    <x v="4"/>
    <x v="9"/>
    <n v="1"/>
    <s v="收到客户(周嘉敏)订舱预报"/>
    <x v="1"/>
    <x v="0"/>
    <s v="一般周五发隔周"/>
    <n v="-47"/>
  </r>
  <r>
    <x v="4"/>
    <x v="9"/>
    <n v="2"/>
    <s v="填WORKING PROCESS"/>
    <x v="1"/>
    <x v="0"/>
    <m/>
    <n v="-47"/>
  </r>
  <r>
    <x v="4"/>
    <x v="9"/>
    <n v="3"/>
    <s v="收到HMM(Neo)预订舱邮件通知"/>
    <x v="11"/>
    <x v="0"/>
    <s v="一般周一发下周"/>
    <n v="-44"/>
  </r>
  <r>
    <x v="4"/>
    <x v="9"/>
    <n v="4"/>
    <s v="回复HMM(Neo)预订舱邮件"/>
    <x v="11"/>
    <x v="0"/>
    <m/>
    <n v="-44"/>
  </r>
  <r>
    <x v="4"/>
    <x v="9"/>
    <n v="5"/>
    <s v="收到HMM(Neo)预订舱确认"/>
    <x v="15"/>
    <x v="0"/>
    <s v="一般马上"/>
    <n v="-43"/>
  </r>
  <r>
    <x v="4"/>
    <x v="9"/>
    <n v="6"/>
    <s v="公共盘生成提单号"/>
    <x v="15"/>
    <x v="0"/>
    <m/>
    <n v="-43"/>
  </r>
  <r>
    <x v="4"/>
    <x v="9"/>
    <n v="7"/>
    <s v="YJC系统生成单子"/>
    <x v="15"/>
    <x v="0"/>
    <m/>
    <n v="-43"/>
  </r>
  <r>
    <x v="4"/>
    <x v="9"/>
    <n v="8"/>
    <s v="发EDI"/>
    <x v="15"/>
    <x v="0"/>
    <m/>
    <n v="-43"/>
  </r>
  <r>
    <x v="4"/>
    <x v="9"/>
    <n v="9"/>
    <s v="邮件申请放单"/>
    <x v="15"/>
    <x v="0"/>
    <m/>
    <n v="-43"/>
  </r>
  <r>
    <x v="4"/>
    <x v="9"/>
    <n v="10"/>
    <s v="收到HMM(Neo) 放单确认"/>
    <x v="12"/>
    <x v="0"/>
    <s v="一般半天内"/>
    <n v="-42"/>
  </r>
  <r>
    <x v="4"/>
    <x v="9"/>
    <n v="11"/>
    <s v="HMM网站核对订舱信息"/>
    <x v="12"/>
    <x v="0"/>
    <m/>
    <n v="-42"/>
  </r>
  <r>
    <x v="4"/>
    <x v="9"/>
    <n v="13"/>
    <s v="收到客户(周嘉敏)做箱通知"/>
    <x v="16"/>
    <x v="0"/>
    <s v="一般做箱头天一早"/>
    <n v="-37"/>
  </r>
  <r>
    <x v="4"/>
    <x v="9"/>
    <n v="14"/>
    <s v="发做箱通知邮件给车队(沈丽)"/>
    <x v="16"/>
    <x v="0"/>
    <m/>
    <n v="-37"/>
  </r>
  <r>
    <x v="4"/>
    <x v="9"/>
    <n v="15"/>
    <s v="公共盘生成提单号【如需拆单】"/>
    <x v="16"/>
    <x v="0"/>
    <m/>
    <n v="-37"/>
  </r>
  <r>
    <x v="4"/>
    <x v="9"/>
    <n v="16"/>
    <s v="YJC系统生成单子【如需拆单】"/>
    <x v="16"/>
    <x v="0"/>
    <m/>
    <n v="-37"/>
  </r>
  <r>
    <x v="4"/>
    <x v="9"/>
    <n v="17"/>
    <s v="发EDI【如需拆单】"/>
    <x v="16"/>
    <x v="0"/>
    <m/>
    <n v="-37"/>
  </r>
  <r>
    <x v="4"/>
    <x v="9"/>
    <n v="18"/>
    <s v="邮件申请放单【如需拆单】"/>
    <x v="16"/>
    <x v="0"/>
    <m/>
    <n v="-37"/>
  </r>
  <r>
    <x v="4"/>
    <x v="9"/>
    <n v="19"/>
    <s v="收到HMM(Neo) 放单确认【如需拆单】"/>
    <x v="16"/>
    <x v="0"/>
    <m/>
    <n v="-37"/>
  </r>
  <r>
    <x v="4"/>
    <x v="9"/>
    <n v="20"/>
    <s v="HMM网站核对订舱信息【如需拆单】"/>
    <x v="16"/>
    <x v="0"/>
    <m/>
    <n v="-37"/>
  </r>
  <r>
    <x v="4"/>
    <x v="9"/>
    <n v="20.100000000000001"/>
    <s v="明天盐城能装？"/>
    <x v="13"/>
    <x v="0"/>
    <m/>
    <n v="-40"/>
  </r>
  <r>
    <x v="4"/>
    <x v="9"/>
    <n v="21"/>
    <s v="收到客户(徐贵)发来做箱数据(报关资料)"/>
    <x v="23"/>
    <x v="0"/>
    <s v="一般做箱当天一早"/>
    <n v="-36"/>
  </r>
  <r>
    <x v="4"/>
    <x v="9"/>
    <n v="22"/>
    <s v="按报关(发票)数生成提单号【如发票数超过提单数】"/>
    <x v="23"/>
    <x v="0"/>
    <m/>
    <n v="-36"/>
  </r>
  <r>
    <x v="4"/>
    <x v="9"/>
    <n v="23"/>
    <s v="做做箱数据，QQ发车队(沈丽)"/>
    <x v="23"/>
    <x v="0"/>
    <m/>
    <n v="-36"/>
  </r>
  <r>
    <x v="4"/>
    <x v="9"/>
    <n v="24"/>
    <s v="做报关资料，扫描发报关行(黄寅文)QQ"/>
    <x v="23"/>
    <x v="0"/>
    <m/>
    <n v="-36"/>
  </r>
  <r>
    <x v="4"/>
    <x v="9"/>
    <n v="25"/>
    <s v="收到车队(沈丽)装箱单"/>
    <x v="23"/>
    <x v="0"/>
    <s v="一般马上"/>
    <n v="-36"/>
  </r>
  <r>
    <x v="4"/>
    <x v="9"/>
    <n v="26"/>
    <s v="YJC系统截单，发EDI，邮件HMM(He)【5-21 周二 12:00】"/>
    <x v="23"/>
    <x v="0"/>
    <s v="注意截单时间"/>
    <n v="-36"/>
  </r>
  <r>
    <x v="4"/>
    <x v="9"/>
    <n v="27"/>
    <s v="做保函给邹师傅"/>
    <x v="23"/>
    <x v="0"/>
    <m/>
    <n v="-36"/>
  </r>
  <r>
    <x v="4"/>
    <x v="9"/>
    <n v="28"/>
    <s v="发VGM和舱单"/>
    <x v="23"/>
    <x v="0"/>
    <m/>
    <n v="-36"/>
  </r>
  <r>
    <x v="4"/>
    <x v="9"/>
    <n v="29"/>
    <s v="做ISF，发国外资料"/>
    <x v="23"/>
    <x v="0"/>
    <m/>
    <n v="-36"/>
  </r>
  <r>
    <x v="4"/>
    <x v="9"/>
    <n v="30"/>
    <s v="买保险"/>
    <x v="23"/>
    <x v="0"/>
    <m/>
    <n v="-36"/>
  </r>
  <r>
    <x v="4"/>
    <x v="9"/>
    <n v="31"/>
    <s v="填WORKING PROCESS"/>
    <x v="23"/>
    <x v="0"/>
    <m/>
    <n v="-36"/>
  </r>
  <r>
    <x v="4"/>
    <x v="9"/>
    <n v="32"/>
    <s v="收到HMM(He)生成提单通知"/>
    <x v="23"/>
    <x v="0"/>
    <s v="一般马上"/>
    <n v="-36"/>
  </r>
  <r>
    <x v="4"/>
    <x v="9"/>
    <n v="33"/>
    <s v="HMM网站核对提单信息"/>
    <x v="23"/>
    <x v="0"/>
    <m/>
    <n v="-36"/>
  </r>
  <r>
    <x v="4"/>
    <x v="9"/>
    <n v="34"/>
    <s v="盯海关网站舱单"/>
    <x v="23"/>
    <x v="0"/>
    <s v="一般两小时左右"/>
    <n v="-36"/>
  </r>
  <r>
    <x v="4"/>
    <x v="9"/>
    <n v="35"/>
    <s v="核对舱单信息"/>
    <x v="23"/>
    <x v="0"/>
    <m/>
    <n v="-36"/>
  </r>
  <r>
    <x v="4"/>
    <x v="9"/>
    <n v="36"/>
    <s v="收到报关行(黄寅文)校对稿，邮件发客户(徐贵)确认"/>
    <x v="23"/>
    <x v="0"/>
    <s v="一般半天内"/>
    <n v="-36"/>
  </r>
  <r>
    <x v="4"/>
    <x v="9"/>
    <n v="37"/>
    <s v="收到客户(徐贵)确认校对稿，通知报关行(黄寅文)"/>
    <x v="23"/>
    <x v="0"/>
    <s v="一般马上"/>
    <n v="-36"/>
  </r>
  <r>
    <x v="4"/>
    <x v="9"/>
    <n v="38"/>
    <s v="通知报关行(黄寅文)报关(开港、舱单、校对)"/>
    <x v="23"/>
    <x v="0"/>
    <m/>
    <n v="-36"/>
  </r>
  <r>
    <x v="4"/>
    <x v="9"/>
    <n v="39"/>
    <s v="收到报关成功通知"/>
    <x v="23"/>
    <x v="0"/>
    <s v="一般下班前"/>
    <n v="-36"/>
  </r>
  <r>
    <x v="4"/>
    <x v="9"/>
    <n v="40"/>
    <s v="通知车队(沈丽)可进港"/>
    <x v="23"/>
    <x v="0"/>
    <m/>
    <n v="-36"/>
  </r>
  <r>
    <x v="4"/>
    <x v="9"/>
    <n v="41"/>
    <s v="盯箱子进港"/>
    <x v="17"/>
    <x v="0"/>
    <m/>
    <n v="-35"/>
  </r>
  <r>
    <x v="4"/>
    <x v="9"/>
    <n v="42"/>
    <s v="核对进港数据"/>
    <x v="17"/>
    <x v="0"/>
    <m/>
    <n v="-35"/>
  </r>
  <r>
    <x v="4"/>
    <x v="9"/>
    <n v="43"/>
    <s v="盯海放"/>
    <x v="17"/>
    <x v="0"/>
    <m/>
    <n v="-35"/>
  </r>
  <r>
    <x v="4"/>
    <x v="9"/>
    <n v="44"/>
    <s v="盯码放"/>
    <x v="17"/>
    <x v="0"/>
    <m/>
    <n v="-35"/>
  </r>
  <r>
    <x v="4"/>
    <x v="9"/>
    <n v="45"/>
    <s v="盯配载"/>
    <x v="22"/>
    <x v="0"/>
    <m/>
    <n v="-34"/>
  </r>
  <r>
    <x v="4"/>
    <x v="9"/>
    <n v="46"/>
    <s v="做费用"/>
    <x v="18"/>
    <x v="0"/>
    <m/>
    <n v="-30"/>
  </r>
  <r>
    <x v="4"/>
    <x v="9"/>
    <n v="47"/>
    <s v="发账单"/>
    <x v="18"/>
    <x v="0"/>
    <m/>
    <n v="-30"/>
  </r>
  <r>
    <x v="4"/>
    <x v="9"/>
    <n v="48"/>
    <s v="船开"/>
    <x v="25"/>
    <x v="0"/>
    <m/>
    <n v="-32"/>
  </r>
  <r>
    <x v="4"/>
    <x v="9"/>
    <n v="49"/>
    <s v="放单"/>
    <x v="18"/>
    <x v="0"/>
    <s v="一般开船后两三天"/>
    <n v="-30"/>
  </r>
  <r>
    <x v="4"/>
    <x v="9"/>
    <n v="50"/>
    <s v="跟常靓确认修改后的保单"/>
    <x v="26"/>
    <x v="0"/>
    <m/>
    <n v="-21"/>
  </r>
  <r>
    <x v="3"/>
    <x v="10"/>
    <n v="1"/>
    <s v="收到HMM Neo 下周订舱邮件"/>
    <x v="18"/>
    <x v="0"/>
    <s v="周一"/>
    <n v="-30"/>
  </r>
  <r>
    <x v="3"/>
    <x v="10"/>
    <n v="2"/>
    <s v="根据JS mobis订舱需求回Neo邮件"/>
    <x v="18"/>
    <x v="0"/>
    <s v="周一"/>
    <n v="-30"/>
  </r>
  <r>
    <x v="3"/>
    <x v="10"/>
    <n v="3"/>
    <s v="SHA GLV WORKING PROCESS"/>
    <x v="18"/>
    <x v="0"/>
    <s v="周一"/>
    <n v="-30"/>
  </r>
  <r>
    <x v="3"/>
    <x v="10"/>
    <n v="4"/>
    <s v="SHA GLV WORKING PROCESS"/>
    <x v="0"/>
    <x v="0"/>
    <s v="周三"/>
    <n v="-28"/>
  </r>
  <r>
    <x v="3"/>
    <x v="10"/>
    <n v="5"/>
    <s v="TJ glovis额外费用邮件"/>
    <x v="27"/>
    <x v="0"/>
    <s v="周五"/>
    <n v="-26"/>
  </r>
  <r>
    <x v="3"/>
    <x v="10"/>
    <n v="6"/>
    <s v="SHA GLV WORKING PROCESS"/>
    <x v="27"/>
    <x v="0"/>
    <s v="周五"/>
    <n v="-26"/>
  </r>
  <r>
    <x v="3"/>
    <x v="10"/>
    <n v="7"/>
    <s v="TJ GLV WORKING PROCESS"/>
    <x v="27"/>
    <x v="0"/>
    <s v="周五"/>
    <n v="-26"/>
  </r>
  <r>
    <x v="4"/>
    <x v="11"/>
    <n v="1"/>
    <s v="收到客户(周嘉敏)订舱预报"/>
    <x v="1"/>
    <x v="0"/>
    <s v="一般周五发隔周"/>
    <n v="-47"/>
  </r>
  <r>
    <x v="4"/>
    <x v="11"/>
    <n v="2"/>
    <s v="填WORKING PROCESS"/>
    <x v="15"/>
    <x v="0"/>
    <m/>
    <n v="-43"/>
  </r>
  <r>
    <x v="4"/>
    <x v="11"/>
    <n v="3"/>
    <s v="收到HMM(Neo)预订舱邮件通知"/>
    <x v="15"/>
    <x v="0"/>
    <s v="一般周一发下周"/>
    <n v="-43"/>
  </r>
  <r>
    <x v="4"/>
    <x v="11"/>
    <n v="4"/>
    <s v="回复HMM(Neo)预订舱邮件"/>
    <x v="15"/>
    <x v="0"/>
    <m/>
    <n v="-43"/>
  </r>
  <r>
    <x v="4"/>
    <x v="11"/>
    <n v="5"/>
    <s v="收到HMM(Neo)预订舱确认"/>
    <x v="15"/>
    <x v="0"/>
    <s v="一般马上"/>
    <n v="-43"/>
  </r>
  <r>
    <x v="4"/>
    <x v="11"/>
    <n v="6"/>
    <s v="公共盘生成提单号"/>
    <x v="15"/>
    <x v="0"/>
    <m/>
    <n v="-43"/>
  </r>
  <r>
    <x v="4"/>
    <x v="11"/>
    <n v="7"/>
    <s v="YJC系统生成单子"/>
    <x v="15"/>
    <x v="0"/>
    <m/>
    <n v="-43"/>
  </r>
  <r>
    <x v="4"/>
    <x v="11"/>
    <n v="8"/>
    <s v="发EDI"/>
    <x v="15"/>
    <x v="0"/>
    <m/>
    <n v="-43"/>
  </r>
  <r>
    <x v="4"/>
    <x v="11"/>
    <n v="9"/>
    <s v="邮件申请放单"/>
    <x v="15"/>
    <x v="0"/>
    <m/>
    <n v="-43"/>
  </r>
  <r>
    <x v="4"/>
    <x v="11"/>
    <n v="10"/>
    <s v="收到HMM(Neo) 放单确认"/>
    <x v="12"/>
    <x v="0"/>
    <s v="一般半天内"/>
    <n v="-42"/>
  </r>
  <r>
    <x v="4"/>
    <x v="11"/>
    <n v="11"/>
    <s v="HMM网站核对订舱信息"/>
    <x v="12"/>
    <x v="0"/>
    <m/>
    <n v="-42"/>
  </r>
  <r>
    <x v="4"/>
    <x v="11"/>
    <n v="12"/>
    <s v="收到客户(徐贵)做箱通知(5-24截单)"/>
    <x v="22"/>
    <x v="0"/>
    <s v="一般做箱头天一早"/>
    <n v="-34"/>
  </r>
  <r>
    <x v="4"/>
    <x v="11"/>
    <n v="13"/>
    <s v="发做箱通知邮件给车队(沈丽)"/>
    <x v="22"/>
    <x v="0"/>
    <m/>
    <n v="-34"/>
  </r>
  <r>
    <x v="4"/>
    <x v="11"/>
    <n v="15"/>
    <s v="公共盘生成提单号【如需拆单】"/>
    <x v="22"/>
    <x v="0"/>
    <m/>
    <n v="-34"/>
  </r>
  <r>
    <x v="4"/>
    <x v="11"/>
    <n v="16"/>
    <s v="YJC系统生成单子【如需拆单】"/>
    <x v="22"/>
    <x v="0"/>
    <m/>
    <n v="-34"/>
  </r>
  <r>
    <x v="4"/>
    <x v="11"/>
    <n v="17"/>
    <s v="发EDI【如需拆单】"/>
    <x v="22"/>
    <x v="0"/>
    <m/>
    <n v="-34"/>
  </r>
  <r>
    <x v="4"/>
    <x v="11"/>
    <n v="18"/>
    <s v="邮件申请放单【如需拆单】"/>
    <x v="22"/>
    <x v="0"/>
    <m/>
    <n v="-34"/>
  </r>
  <r>
    <x v="4"/>
    <x v="11"/>
    <n v="19"/>
    <s v="收到HMM(Neo) 放单确认【如需拆单】"/>
    <x v="22"/>
    <x v="0"/>
    <m/>
    <n v="-34"/>
  </r>
  <r>
    <x v="4"/>
    <x v="11"/>
    <n v="20"/>
    <s v="HMM网站核对订舱信息【如需拆单】"/>
    <x v="22"/>
    <x v="0"/>
    <m/>
    <n v="-34"/>
  </r>
  <r>
    <x v="4"/>
    <x v="11"/>
    <n v="21"/>
    <s v="收到客户(徐贵)发来做箱数据(报关资料)"/>
    <x v="20"/>
    <x v="0"/>
    <s v="一般做箱当天一早"/>
    <n v="-33"/>
  </r>
  <r>
    <x v="4"/>
    <x v="11"/>
    <n v="22"/>
    <s v="按报关(发票)数生成提单号【如发票数超过提单数】"/>
    <x v="20"/>
    <x v="0"/>
    <m/>
    <n v="-33"/>
  </r>
  <r>
    <x v="4"/>
    <x v="11"/>
    <n v="23"/>
    <s v="做做箱数据，QQ发车队(沈丽)"/>
    <x v="20"/>
    <x v="0"/>
    <m/>
    <n v="-33"/>
  </r>
  <r>
    <x v="4"/>
    <x v="11"/>
    <n v="24"/>
    <s v="做报关资料，扫描发报关行(黄寅文)QQ"/>
    <x v="20"/>
    <x v="0"/>
    <m/>
    <n v="-33"/>
  </r>
  <r>
    <x v="4"/>
    <x v="11"/>
    <n v="25"/>
    <s v="收到车队(沈丽)装箱单"/>
    <x v="20"/>
    <x v="0"/>
    <s v="一般马上"/>
    <n v="-33"/>
  </r>
  <r>
    <x v="4"/>
    <x v="11"/>
    <n v="26"/>
    <s v="YJC系统截单，发EDI，邮件HMM(He)【5-24 12:00】"/>
    <x v="20"/>
    <x v="0"/>
    <s v="注意截单时间"/>
    <n v="-33"/>
  </r>
  <r>
    <x v="4"/>
    <x v="11"/>
    <n v="27"/>
    <s v="做保函给邹师傅"/>
    <x v="20"/>
    <x v="0"/>
    <m/>
    <n v="-33"/>
  </r>
  <r>
    <x v="4"/>
    <x v="11"/>
    <n v="28"/>
    <s v="发VGM和舱单"/>
    <x v="20"/>
    <x v="0"/>
    <m/>
    <n v="-33"/>
  </r>
  <r>
    <x v="4"/>
    <x v="11"/>
    <n v="29"/>
    <s v="做ISF，发国外资料"/>
    <x v="20"/>
    <x v="0"/>
    <m/>
    <n v="-33"/>
  </r>
  <r>
    <x v="4"/>
    <x v="11"/>
    <n v="30"/>
    <s v="买保险"/>
    <x v="20"/>
    <x v="0"/>
    <m/>
    <n v="-33"/>
  </r>
  <r>
    <x v="4"/>
    <x v="11"/>
    <n v="31"/>
    <s v="填WORKING PROCESS"/>
    <x v="20"/>
    <x v="0"/>
    <m/>
    <n v="-33"/>
  </r>
  <r>
    <x v="4"/>
    <x v="11"/>
    <n v="32"/>
    <s v="收到HMM(He)生成提单通知"/>
    <x v="20"/>
    <x v="0"/>
    <s v="一般马上"/>
    <n v="-33"/>
  </r>
  <r>
    <x v="4"/>
    <x v="11"/>
    <n v="33"/>
    <s v="HMM网站核对提单信息"/>
    <x v="20"/>
    <x v="0"/>
    <m/>
    <n v="-33"/>
  </r>
  <r>
    <x v="4"/>
    <x v="11"/>
    <n v="34"/>
    <s v="盯海关网站舱单"/>
    <x v="20"/>
    <x v="0"/>
    <s v="一般两小时左右"/>
    <n v="-33"/>
  </r>
  <r>
    <x v="4"/>
    <x v="11"/>
    <n v="35"/>
    <s v="核对舱单信息"/>
    <x v="20"/>
    <x v="0"/>
    <m/>
    <n v="-33"/>
  </r>
  <r>
    <x v="4"/>
    <x v="11"/>
    <n v="36"/>
    <s v="收到报关行(黄寅文)校对稿，邮件发客户(徐贵)确认"/>
    <x v="20"/>
    <x v="0"/>
    <s v="一般半天内"/>
    <n v="-33"/>
  </r>
  <r>
    <x v="4"/>
    <x v="11"/>
    <n v="37"/>
    <s v="收到客户(徐贵)确认校对稿"/>
    <x v="25"/>
    <x v="0"/>
    <s v="一般马上"/>
    <n v="-32"/>
  </r>
  <r>
    <x v="4"/>
    <x v="11"/>
    <n v="38"/>
    <s v="通知车队(沈丽)可进港"/>
    <x v="20"/>
    <x v="0"/>
    <m/>
    <n v="-33"/>
  </r>
  <r>
    <x v="4"/>
    <x v="11"/>
    <n v="39"/>
    <s v="盯箱子进港"/>
    <x v="25"/>
    <x v="0"/>
    <m/>
    <n v="-32"/>
  </r>
  <r>
    <x v="4"/>
    <x v="11"/>
    <n v="40"/>
    <s v="核对进港数据"/>
    <x v="25"/>
    <x v="0"/>
    <m/>
    <n v="-32"/>
  </r>
  <r>
    <x v="4"/>
    <x v="11"/>
    <n v="41"/>
    <s v="通知报关行(黄寅文)报关(开港、舱单、校对)"/>
    <x v="25"/>
    <x v="0"/>
    <m/>
    <n v="-32"/>
  </r>
  <r>
    <x v="4"/>
    <x v="11"/>
    <n v="42"/>
    <s v="收到报关成功通知"/>
    <x v="25"/>
    <x v="0"/>
    <s v="一般下班前"/>
    <n v="-32"/>
  </r>
  <r>
    <x v="4"/>
    <x v="11"/>
    <n v="43"/>
    <s v="盯海放"/>
    <x v="25"/>
    <x v="0"/>
    <m/>
    <n v="-32"/>
  </r>
  <r>
    <x v="4"/>
    <x v="11"/>
    <n v="44"/>
    <s v="盯码放"/>
    <x v="18"/>
    <x v="0"/>
    <m/>
    <n v="-30"/>
  </r>
  <r>
    <x v="4"/>
    <x v="11"/>
    <n v="45"/>
    <s v="盯配载"/>
    <x v="18"/>
    <x v="0"/>
    <m/>
    <n v="-30"/>
  </r>
  <r>
    <x v="4"/>
    <x v="11"/>
    <n v="46"/>
    <s v="船开，放单"/>
    <x v="0"/>
    <x v="0"/>
    <m/>
    <n v="-28"/>
  </r>
  <r>
    <x v="4"/>
    <x v="11"/>
    <n v="47"/>
    <s v="做费用"/>
    <x v="18"/>
    <x v="0"/>
    <m/>
    <n v="-30"/>
  </r>
  <r>
    <x v="4"/>
    <x v="11"/>
    <n v="48"/>
    <s v="发账单"/>
    <x v="18"/>
    <x v="0"/>
    <m/>
    <n v="-30"/>
  </r>
  <r>
    <x v="4"/>
    <x v="11"/>
    <n v="49"/>
    <s v="开航日期应为5-28左右，跟常靓确认要不要改"/>
    <x v="26"/>
    <x v="0"/>
    <m/>
    <n v="-21"/>
  </r>
  <r>
    <x v="5"/>
    <x v="11"/>
    <n v="1"/>
    <s v="收到客户托书"/>
    <x v="12"/>
    <x v="0"/>
    <m/>
    <n v="-42"/>
  </r>
  <r>
    <x v="5"/>
    <x v="11"/>
    <n v="2"/>
    <s v="生成单号，YJC系统，发EDI，邮件Neo放舱"/>
    <x v="12"/>
    <x v="0"/>
    <m/>
    <n v="-42"/>
  </r>
  <r>
    <x v="5"/>
    <x v="11"/>
    <n v="3"/>
    <s v="收到Neo放舱确认"/>
    <x v="21"/>
    <x v="0"/>
    <m/>
    <n v="-41"/>
  </r>
  <r>
    <x v="5"/>
    <x v="11"/>
    <n v="4"/>
    <s v="发预配信息给客户（张婷）"/>
    <x v="21"/>
    <x v="0"/>
    <m/>
    <n v="-41"/>
  </r>
  <r>
    <x v="5"/>
    <x v="11"/>
    <n v="5"/>
    <s v="收到客户（张婷）报关资料"/>
    <x v="17"/>
    <x v="0"/>
    <m/>
    <n v="-35"/>
  </r>
  <r>
    <x v="5"/>
    <x v="11"/>
    <n v="6"/>
    <s v="做报关资料，发报关行（黄寅文），要校对稿"/>
    <x v="17"/>
    <x v="0"/>
    <m/>
    <n v="-35"/>
  </r>
  <r>
    <x v="5"/>
    <x v="11"/>
    <n v="7"/>
    <s v="收到校对稿，发客户"/>
    <x v="22"/>
    <x v="0"/>
    <m/>
    <n v="-34"/>
  </r>
  <r>
    <x v="5"/>
    <x v="11"/>
    <n v="8"/>
    <s v="收到校对稿确认"/>
    <x v="22"/>
    <x v="0"/>
    <m/>
    <n v="-34"/>
  </r>
  <r>
    <x v="5"/>
    <x v="11"/>
    <n v="9"/>
    <s v="收到客户（张婷）舱单模板和VGM"/>
    <x v="20"/>
    <x v="0"/>
    <s v="今天能放箱装？"/>
    <n v="-33"/>
  </r>
  <r>
    <x v="5"/>
    <x v="11"/>
    <n v="10"/>
    <s v="发舱单和VGM"/>
    <x v="20"/>
    <x v="0"/>
    <m/>
    <n v="-33"/>
  </r>
  <r>
    <x v="5"/>
    <x v="11"/>
    <n v="11"/>
    <s v="YJC系统改准确数据，发ESI，做AMS模板并邮件何生成提单"/>
    <x v="20"/>
    <x v="0"/>
    <m/>
    <n v="-33"/>
  </r>
  <r>
    <x v="5"/>
    <x v="11"/>
    <n v="12"/>
    <s v="收到生成提单邮件，网站核对信息"/>
    <x v="20"/>
    <x v="0"/>
    <m/>
    <n v="-33"/>
  </r>
  <r>
    <x v="5"/>
    <x v="11"/>
    <n v="13"/>
    <s v="海关有舱单，核对舱单"/>
    <x v="20"/>
    <x v="0"/>
    <m/>
    <n v="-33"/>
  </r>
  <r>
    <x v="5"/>
    <x v="11"/>
    <n v="14"/>
    <s v="发提单确认（两份）"/>
    <x v="20"/>
    <x v="0"/>
    <m/>
    <n v="-33"/>
  </r>
  <r>
    <x v="5"/>
    <x v="11"/>
    <n v="15"/>
    <s v="通知可进港"/>
    <x v="20"/>
    <x v="0"/>
    <m/>
    <n v="-33"/>
  </r>
  <r>
    <x v="5"/>
    <x v="11"/>
    <n v="16"/>
    <s v="收到客户（张婷）提单确认"/>
    <x v="20"/>
    <x v="0"/>
    <m/>
    <n v="-33"/>
  </r>
  <r>
    <x v="5"/>
    <x v="11"/>
    <n v="17"/>
    <s v="收到进港通知"/>
    <x v="25"/>
    <x v="0"/>
    <m/>
    <n v="-32"/>
  </r>
  <r>
    <x v="5"/>
    <x v="11"/>
    <n v="18"/>
    <s v="核对进港数据"/>
    <x v="25"/>
    <x v="0"/>
    <m/>
    <n v="-32"/>
  </r>
  <r>
    <x v="5"/>
    <x v="11"/>
    <n v="19"/>
    <s v="通知报关"/>
    <x v="25"/>
    <x v="0"/>
    <m/>
    <n v="-32"/>
  </r>
  <r>
    <x v="5"/>
    <x v="11"/>
    <n v="20"/>
    <s v="收到报关成功通知"/>
    <x v="25"/>
    <x v="0"/>
    <m/>
    <n v="-32"/>
  </r>
  <r>
    <x v="5"/>
    <x v="11"/>
    <n v="21"/>
    <s v="海放，码放，配载"/>
    <x v="18"/>
    <x v="0"/>
    <m/>
    <n v="-30"/>
  </r>
  <r>
    <x v="5"/>
    <x v="11"/>
    <n v="22"/>
    <s v="船开"/>
    <x v="0"/>
    <x v="0"/>
    <m/>
    <n v="-28"/>
  </r>
  <r>
    <x v="5"/>
    <x v="11"/>
    <n v="23"/>
    <s v="收到Neo发来费用，录入系统，发张婷"/>
    <x v="26"/>
    <x v="0"/>
    <m/>
    <n v="-21"/>
  </r>
  <r>
    <x v="5"/>
    <x v="11"/>
    <n v="24"/>
    <s v="放单"/>
    <x v="0"/>
    <x v="0"/>
    <m/>
    <n v="-28"/>
  </r>
  <r>
    <x v="5"/>
    <x v="11"/>
    <n v="25"/>
    <s v="张婷确认账单"/>
    <x v="19"/>
    <x v="0"/>
    <m/>
    <n v="-6"/>
  </r>
  <r>
    <x v="1"/>
    <x v="12"/>
    <n v="1"/>
    <s v="收到客户(孙丹/王珊)发来订舱托书"/>
    <x v="13"/>
    <x v="0"/>
    <m/>
    <n v="-40"/>
  </r>
  <r>
    <x v="1"/>
    <x v="12"/>
    <n v="2"/>
    <s v="YJC系统生成单子"/>
    <x v="23"/>
    <x v="0"/>
    <m/>
    <n v="-36"/>
  </r>
  <r>
    <x v="1"/>
    <x v="12"/>
    <n v="3"/>
    <s v="收到CK发来预配(做箱通知，沈丽有收到？)，完善YJC系统数据"/>
    <x v="23"/>
    <x v="0"/>
    <m/>
    <n v="-36"/>
  </r>
  <r>
    <x v="1"/>
    <x v="12"/>
    <n v="4"/>
    <s v="收到包装厂(刘倩梅)发来包装指示书和装箱计划"/>
    <x v="22"/>
    <x v="0"/>
    <s v="一般周四"/>
    <n v="-34"/>
  </r>
  <r>
    <x v="1"/>
    <x v="12"/>
    <n v="5"/>
    <s v="根据装箱计划汇总包装数据，发各工厂做报关资料"/>
    <x v="22"/>
    <x v="0"/>
    <m/>
    <n v="-34"/>
  </r>
  <r>
    <x v="1"/>
    <x v="12"/>
    <n v="6"/>
    <s v="做做箱数据，邮件群发"/>
    <x v="20"/>
    <x v="0"/>
    <m/>
    <n v="-33"/>
  </r>
  <r>
    <x v="1"/>
    <x v="12"/>
    <n v="7"/>
    <s v="收到工厂发来报关资料并完善(代做报关资料跟客户确认)"/>
    <x v="20"/>
    <x v="0"/>
    <s v="当天至隔天"/>
    <n v="-33"/>
  </r>
  <r>
    <x v="1"/>
    <x v="12"/>
    <n v="8"/>
    <s v="报关资料齐了，发报关行(黄寅文)，货运模板/发票/箱单"/>
    <x v="18"/>
    <x v="0"/>
    <m/>
    <n v="-30"/>
  </r>
  <r>
    <x v="1"/>
    <x v="12"/>
    <n v="9"/>
    <s v="通知进港"/>
    <x v="28"/>
    <x v="0"/>
    <m/>
    <n v="-31"/>
  </r>
  <r>
    <x v="1"/>
    <x v="12"/>
    <n v="10"/>
    <s v="进港(核对数据)"/>
    <x v="18"/>
    <x v="0"/>
    <m/>
    <n v="-30"/>
  </r>
  <r>
    <x v="1"/>
    <x v="12"/>
    <n v="11"/>
    <s v="收到车队(沈丽)装箱单和洋山提箱截图(如有)，群发，通知发舱单"/>
    <x v="18"/>
    <x v="0"/>
    <s v="一般KMM五、HMI日"/>
    <n v="-30"/>
  </r>
  <r>
    <x v="1"/>
    <x v="12"/>
    <n v="12"/>
    <s v="收到舱单发送成功通知，核对舱单信息"/>
    <x v="18"/>
    <x v="0"/>
    <m/>
    <n v="-30"/>
  </r>
  <r>
    <x v="1"/>
    <x v="12"/>
    <n v="13"/>
    <s v="通知报关"/>
    <x v="18"/>
    <x v="0"/>
    <m/>
    <n v="-30"/>
  </r>
  <r>
    <x v="1"/>
    <x v="12"/>
    <n v="14"/>
    <s v="报关成功"/>
    <x v="18"/>
    <x v="0"/>
    <m/>
    <n v="-30"/>
  </r>
  <r>
    <x v="1"/>
    <x v="12"/>
    <n v="15"/>
    <s v="盯海放"/>
    <x v="18"/>
    <x v="0"/>
    <m/>
    <n v="-30"/>
  </r>
  <r>
    <x v="1"/>
    <x v="12"/>
    <n v="16"/>
    <s v="盯码放"/>
    <x v="29"/>
    <x v="0"/>
    <m/>
    <n v="-27"/>
  </r>
  <r>
    <x v="1"/>
    <x v="12"/>
    <n v="17"/>
    <s v="盯配载"/>
    <x v="29"/>
    <x v="0"/>
    <m/>
    <n v="-27"/>
  </r>
  <r>
    <x v="1"/>
    <x v="12"/>
    <n v="18"/>
    <s v="盯船开"/>
    <x v="30"/>
    <x v="0"/>
    <m/>
    <n v="-25"/>
  </r>
  <r>
    <x v="1"/>
    <x v="12"/>
    <n v="19"/>
    <s v="做费用(对账单日期4号)，放公共盘，填月账单表，发孙丹"/>
    <x v="30"/>
    <x v="0"/>
    <m/>
    <n v="-25"/>
  </r>
  <r>
    <x v="2"/>
    <x v="12"/>
    <n v="1"/>
    <s v="收到客户(孙丹/王珊)发来订舱托书"/>
    <x v="12"/>
    <x v="0"/>
    <m/>
    <n v="-42"/>
  </r>
  <r>
    <x v="2"/>
    <x v="12"/>
    <n v="2"/>
    <s v="YJC系统生成单子"/>
    <x v="12"/>
    <x v="0"/>
    <m/>
    <n v="-42"/>
  </r>
  <r>
    <x v="2"/>
    <x v="12"/>
    <n v="3"/>
    <s v="收到CK发来预配(做箱通知，沈丽有收到？)，完善YJC系统数据"/>
    <x v="13"/>
    <x v="0"/>
    <m/>
    <n v="-40"/>
  </r>
  <r>
    <x v="2"/>
    <x v="12"/>
    <n v="4"/>
    <s v="收到包装厂(刘倩梅)发来包装指示书和装箱计划"/>
    <x v="22"/>
    <x v="0"/>
    <s v="一般周四"/>
    <n v="-34"/>
  </r>
  <r>
    <x v="2"/>
    <x v="12"/>
    <n v="5"/>
    <s v="根据装箱计划汇总包装数据，发各工厂做报关资料"/>
    <x v="22"/>
    <x v="0"/>
    <m/>
    <n v="-34"/>
  </r>
  <r>
    <x v="2"/>
    <x v="12"/>
    <n v="6"/>
    <s v="做做箱数据，邮件群发"/>
    <x v="22"/>
    <x v="0"/>
    <m/>
    <n v="-34"/>
  </r>
  <r>
    <x v="2"/>
    <x v="12"/>
    <n v="7"/>
    <s v="收到工厂发来报关资料并完善(代做报关资料跟客户确认)"/>
    <x v="22"/>
    <x v="0"/>
    <s v="当天至隔天"/>
    <n v="-34"/>
  </r>
  <r>
    <x v="2"/>
    <x v="12"/>
    <n v="8"/>
    <s v="报关资料齐了，发报关行(黄寅文)，货运模板/发票/箱单"/>
    <x v="22"/>
    <x v="0"/>
    <m/>
    <n v="-34"/>
  </r>
  <r>
    <x v="2"/>
    <x v="12"/>
    <n v="9"/>
    <s v="收到车队(沈丽)装箱单和洋山提箱截图(如有)，群发，通知发舱单"/>
    <x v="20"/>
    <x v="0"/>
    <s v="一般KMM五、HMI日"/>
    <n v="-33"/>
  </r>
  <r>
    <x v="2"/>
    <x v="12"/>
    <n v="12"/>
    <s v="收到舱单发送成功通知，核对舱单信息"/>
    <x v="20"/>
    <x v="0"/>
    <m/>
    <n v="-33"/>
  </r>
  <r>
    <x v="2"/>
    <x v="12"/>
    <n v="13"/>
    <s v="通知报关"/>
    <x v="20"/>
    <x v="0"/>
    <s v="调整顺序"/>
    <n v="-33"/>
  </r>
  <r>
    <x v="2"/>
    <x v="12"/>
    <n v="14"/>
    <s v="报关成功"/>
    <x v="20"/>
    <x v="0"/>
    <s v="调整顺序"/>
    <n v="-33"/>
  </r>
  <r>
    <x v="2"/>
    <x v="12"/>
    <n v="15"/>
    <s v="通知进港"/>
    <x v="20"/>
    <x v="0"/>
    <s v="调整顺序"/>
    <n v="-33"/>
  </r>
  <r>
    <x v="2"/>
    <x v="12"/>
    <n v="16"/>
    <s v="进港(核对数据)"/>
    <x v="25"/>
    <x v="0"/>
    <s v="调整顺序"/>
    <n v="-32"/>
  </r>
  <r>
    <x v="2"/>
    <x v="12"/>
    <n v="17"/>
    <s v="盯海放"/>
    <x v="25"/>
    <x v="0"/>
    <m/>
    <n v="-32"/>
  </r>
  <r>
    <x v="2"/>
    <x v="12"/>
    <n v="18"/>
    <s v="盯码放"/>
    <x v="18"/>
    <x v="0"/>
    <m/>
    <n v="-30"/>
  </r>
  <r>
    <x v="2"/>
    <x v="12"/>
    <n v="19"/>
    <s v="盯配载"/>
    <x v="0"/>
    <x v="0"/>
    <m/>
    <n v="-28"/>
  </r>
  <r>
    <x v="2"/>
    <x v="12"/>
    <n v="20"/>
    <s v="盯船开"/>
    <x v="29"/>
    <x v="0"/>
    <m/>
    <n v="-27"/>
  </r>
  <r>
    <x v="2"/>
    <x v="12"/>
    <n v="21"/>
    <s v="做费用(对账单日期4号)，放公共盘，填月账单表，发孙丹"/>
    <x v="31"/>
    <x v="0"/>
    <m/>
    <n v="-29"/>
  </r>
  <r>
    <x v="6"/>
    <x v="12"/>
    <n v="1"/>
    <s v="收到胡媛媛发来订舱邮件"/>
    <x v="24"/>
    <x v="0"/>
    <m/>
    <n v="-62"/>
  </r>
  <r>
    <x v="6"/>
    <x v="12"/>
    <n v="2"/>
    <s v="发订舱托书给万恒（翁小姐）"/>
    <x v="24"/>
    <x v="0"/>
    <m/>
    <n v="-62"/>
  </r>
  <r>
    <x v="6"/>
    <x v="12"/>
    <n v="3"/>
    <s v="收到万恒（翁小姐）预配"/>
    <x v="24"/>
    <x v="0"/>
    <s v="一般三小时左右"/>
    <n v="-62"/>
  </r>
  <r>
    <x v="6"/>
    <x v="12"/>
    <n v="4"/>
    <s v="通知胡媛媛订舱成功"/>
    <x v="24"/>
    <x v="0"/>
    <m/>
    <n v="-62"/>
  </r>
  <r>
    <x v="6"/>
    <x v="12"/>
    <n v="5"/>
    <s v="发做箱通知邮件给车队(沈丽)"/>
    <x v="9"/>
    <x v="0"/>
    <m/>
    <n v="-48"/>
  </r>
  <r>
    <x v="6"/>
    <x v="12"/>
    <n v="6"/>
    <s v="收到胡媛媛发来报关资料"/>
    <x v="17"/>
    <x v="0"/>
    <s v="船开前一周？"/>
    <n v="-35"/>
  </r>
  <r>
    <x v="6"/>
    <x v="12"/>
    <n v="7"/>
    <s v="完善报关资料发报关行（黄寅文），要校对稿，做做箱数据给沈丽"/>
    <x v="17"/>
    <x v="0"/>
    <m/>
    <n v="-35"/>
  </r>
  <r>
    <x v="6"/>
    <x v="12"/>
    <n v="8"/>
    <s v="买保险，做异地付款保函，发胡媛媛确认盖章回传"/>
    <x v="17"/>
    <x v="0"/>
    <m/>
    <n v="-35"/>
  </r>
  <r>
    <x v="6"/>
    <x v="12"/>
    <n v="9"/>
    <s v="收到客户（胡媛媛）发来保函扫描件"/>
    <x v="17"/>
    <x v="0"/>
    <s v="一般马上"/>
    <n v="-35"/>
  </r>
  <r>
    <x v="6"/>
    <x v="12"/>
    <n v="10"/>
    <s v="收到黄寅文校对稿，发客户（胡媛媛）确认"/>
    <x v="22"/>
    <x v="0"/>
    <s v="一般半天内"/>
    <n v="-34"/>
  </r>
  <r>
    <x v="6"/>
    <x v="12"/>
    <n v="11"/>
    <s v="收到客户（胡媛媛）确认校对稿OK"/>
    <x v="22"/>
    <x v="0"/>
    <s v="一般马上"/>
    <n v="-34"/>
  </r>
  <r>
    <x v="6"/>
    <x v="12"/>
    <n v="12"/>
    <s v="跟车队（沈丽）确认明天做箱，如有变动通知胡媛媛"/>
    <x v="22"/>
    <x v="0"/>
    <s v="截单前一天"/>
    <n v="-34"/>
  </r>
  <r>
    <x v="6"/>
    <x v="12"/>
    <n v="13"/>
    <s v="收到沈丽发来装箱单"/>
    <x v="20"/>
    <x v="0"/>
    <s v="截单当天"/>
    <n v="-33"/>
  </r>
  <r>
    <x v="6"/>
    <x v="12"/>
    <n v="14"/>
    <s v="完善截单资料发万恒（翁小姐），请求发舱单"/>
    <x v="20"/>
    <x v="0"/>
    <m/>
    <n v="-33"/>
  </r>
  <r>
    <x v="6"/>
    <x v="12"/>
    <n v="15"/>
    <s v="收到舱单发送通知，核对舱单，装箱单发报关行报关"/>
    <x v="20"/>
    <x v="0"/>
    <m/>
    <n v="-33"/>
  </r>
  <r>
    <x v="6"/>
    <x v="12"/>
    <n v="16"/>
    <s v="请求万恒（翁小姐）发提单样本"/>
    <x v="20"/>
    <x v="0"/>
    <m/>
    <n v="-33"/>
  </r>
  <r>
    <x v="6"/>
    <x v="12"/>
    <n v="17"/>
    <s v="收到万恒（翁小姐）发来提单样本，发胡媛媛确认"/>
    <x v="20"/>
    <x v="0"/>
    <m/>
    <n v="-33"/>
  </r>
  <r>
    <x v="6"/>
    <x v="12"/>
    <n v="18"/>
    <s v="收到胡媛媛提单确认"/>
    <x v="20"/>
    <x v="0"/>
    <m/>
    <n v="-33"/>
  </r>
  <r>
    <x v="6"/>
    <x v="12"/>
    <n v="19"/>
    <s v="收到报关成功通知，通知车队可进港 "/>
    <x v="20"/>
    <x v="0"/>
    <m/>
    <n v="-33"/>
  </r>
  <r>
    <x v="6"/>
    <x v="12"/>
    <n v="20"/>
    <s v="进港，核对数据"/>
    <x v="25"/>
    <x v="0"/>
    <m/>
    <n v="-32"/>
  </r>
  <r>
    <x v="6"/>
    <x v="12"/>
    <n v="21"/>
    <s v="海放"/>
    <x v="25"/>
    <x v="0"/>
    <m/>
    <n v="-32"/>
  </r>
  <r>
    <x v="6"/>
    <x v="12"/>
    <n v="22"/>
    <s v="码放"/>
    <x v="18"/>
    <x v="0"/>
    <m/>
    <n v="-30"/>
  </r>
  <r>
    <x v="6"/>
    <x v="12"/>
    <n v="23"/>
    <s v="配载"/>
    <x v="0"/>
    <x v="0"/>
    <m/>
    <n v="-28"/>
  </r>
  <r>
    <x v="6"/>
    <x v="12"/>
    <n v="24"/>
    <s v="开船"/>
    <x v="29"/>
    <x v="0"/>
    <m/>
    <n v="-27"/>
  </r>
  <r>
    <x v="6"/>
    <x v="12"/>
    <n v="24.1"/>
    <s v="做费用，发账单给谢梦婕"/>
    <x v="0"/>
    <x v="0"/>
    <m/>
    <n v="-28"/>
  </r>
  <r>
    <x v="6"/>
    <x v="12"/>
    <n v="25"/>
    <s v="收到万恒（翁小姐）提单，放提单和预录单给胡媛媛"/>
    <x v="29"/>
    <x v="0"/>
    <m/>
    <n v="-27"/>
  </r>
  <r>
    <x v="4"/>
    <x v="13"/>
    <n v="1"/>
    <s v="收到客户(周嘉敏)订舱预报"/>
    <x v="13"/>
    <x v="0"/>
    <s v="一般周五发隔周"/>
    <n v="-40"/>
  </r>
  <r>
    <x v="4"/>
    <x v="13"/>
    <n v="2"/>
    <s v="填WORKING PROCESS"/>
    <x v="13"/>
    <x v="0"/>
    <m/>
    <n v="-40"/>
  </r>
  <r>
    <x v="4"/>
    <x v="13"/>
    <n v="3"/>
    <s v="收到HMM(Neo)预订舱邮件通知"/>
    <x v="16"/>
    <x v="0"/>
    <s v="一般周一发下周"/>
    <n v="-37"/>
  </r>
  <r>
    <x v="4"/>
    <x v="13"/>
    <n v="4"/>
    <s v="回复HMM(Neo)预订舱邮件"/>
    <x v="16"/>
    <x v="0"/>
    <m/>
    <n v="-37"/>
  </r>
  <r>
    <x v="4"/>
    <x v="13"/>
    <n v="5"/>
    <s v="收到HMM(Neo)预订舱确认"/>
    <x v="23"/>
    <x v="0"/>
    <s v="一般马上"/>
    <n v="-36"/>
  </r>
  <r>
    <x v="4"/>
    <x v="13"/>
    <n v="6"/>
    <s v="公共盘生成提单号"/>
    <x v="23"/>
    <x v="0"/>
    <m/>
    <n v="-36"/>
  </r>
  <r>
    <x v="4"/>
    <x v="13"/>
    <n v="7"/>
    <s v="YJC系统生成单子"/>
    <x v="23"/>
    <x v="0"/>
    <m/>
    <n v="-36"/>
  </r>
  <r>
    <x v="4"/>
    <x v="13"/>
    <n v="8"/>
    <s v="发EDI"/>
    <x v="23"/>
    <x v="0"/>
    <m/>
    <n v="-36"/>
  </r>
  <r>
    <x v="4"/>
    <x v="13"/>
    <n v="9"/>
    <s v="邮件申请放单"/>
    <x v="23"/>
    <x v="0"/>
    <m/>
    <n v="-36"/>
  </r>
  <r>
    <x v="4"/>
    <x v="13"/>
    <n v="10"/>
    <s v="收到HMM(Neo) 放单确认"/>
    <x v="17"/>
    <x v="0"/>
    <s v="一般半天内"/>
    <n v="-35"/>
  </r>
  <r>
    <x v="4"/>
    <x v="13"/>
    <n v="11"/>
    <s v="HMM网站核对订舱信息"/>
    <x v="17"/>
    <x v="0"/>
    <m/>
    <n v="-35"/>
  </r>
  <r>
    <x v="4"/>
    <x v="13"/>
    <n v="12"/>
    <s v="收到客户(徐贵)做箱通知"/>
    <x v="18"/>
    <x v="0"/>
    <s v="一般做箱头天一早"/>
    <n v="-30"/>
  </r>
  <r>
    <x v="4"/>
    <x v="13"/>
    <n v="13"/>
    <s v="发做箱通知邮件给车队(沈丽)"/>
    <x v="18"/>
    <x v="0"/>
    <m/>
    <n v="-30"/>
  </r>
  <r>
    <x v="4"/>
    <x v="13"/>
    <n v="14"/>
    <s v="公共盘生成提单号【如需拆单】"/>
    <x v="18"/>
    <x v="0"/>
    <m/>
    <n v="-30"/>
  </r>
  <r>
    <x v="4"/>
    <x v="13"/>
    <n v="15"/>
    <s v="YJC系统生成单子【如需拆单】"/>
    <x v="18"/>
    <x v="0"/>
    <m/>
    <n v="-30"/>
  </r>
  <r>
    <x v="4"/>
    <x v="13"/>
    <n v="16"/>
    <s v="发EDI【如需拆单】"/>
    <x v="18"/>
    <x v="0"/>
    <m/>
    <n v="-30"/>
  </r>
  <r>
    <x v="4"/>
    <x v="13"/>
    <n v="17"/>
    <s v="邮件申请放单【如需拆单】"/>
    <x v="18"/>
    <x v="0"/>
    <m/>
    <n v="-30"/>
  </r>
  <r>
    <x v="4"/>
    <x v="13"/>
    <n v="18"/>
    <s v="收到HMM(Neo) 放单确认【如需拆单】"/>
    <x v="18"/>
    <x v="0"/>
    <m/>
    <n v="-30"/>
  </r>
  <r>
    <x v="4"/>
    <x v="13"/>
    <n v="19"/>
    <s v="HMM网站核对订舱信息【如需拆单】"/>
    <x v="18"/>
    <x v="0"/>
    <m/>
    <n v="-30"/>
  </r>
  <r>
    <x v="4"/>
    <x v="13"/>
    <n v="20"/>
    <s v="收到客户(徐贵)发来做箱数据(报关资料)"/>
    <x v="31"/>
    <x v="0"/>
    <s v="一般做箱当天一早"/>
    <n v="-29"/>
  </r>
  <r>
    <x v="4"/>
    <x v="13"/>
    <n v="21"/>
    <s v="按报关(发票)数生成提单号【如发票数超过提单数】"/>
    <x v="31"/>
    <x v="0"/>
    <m/>
    <n v="-29"/>
  </r>
  <r>
    <x v="4"/>
    <x v="13"/>
    <n v="22"/>
    <s v="做做箱数据，QQ发车队(沈丽)"/>
    <x v="31"/>
    <x v="0"/>
    <m/>
    <n v="-29"/>
  </r>
  <r>
    <x v="4"/>
    <x v="13"/>
    <n v="23"/>
    <s v="做报关资料，扫描发报关行(黄寅文)QQ"/>
    <x v="31"/>
    <x v="0"/>
    <m/>
    <n v="-29"/>
  </r>
  <r>
    <x v="4"/>
    <x v="13"/>
    <n v="24"/>
    <s v="收到车队(沈丽)装箱单，转发客户（徐贵）"/>
    <x v="31"/>
    <x v="0"/>
    <s v="一般马上"/>
    <n v="-29"/>
  </r>
  <r>
    <x v="4"/>
    <x v="13"/>
    <n v="25"/>
    <s v="YJC系统截单，发EDI，邮件HMM(He)【截单时间】"/>
    <x v="31"/>
    <x v="0"/>
    <s v="注意截单时间"/>
    <n v="-29"/>
  </r>
  <r>
    <x v="4"/>
    <x v="13"/>
    <n v="26"/>
    <s v="做保函给邹师傅"/>
    <x v="31"/>
    <x v="0"/>
    <m/>
    <n v="-29"/>
  </r>
  <r>
    <x v="4"/>
    <x v="13"/>
    <n v="27"/>
    <s v="发VGM和舱单"/>
    <x v="31"/>
    <x v="0"/>
    <m/>
    <n v="-29"/>
  </r>
  <r>
    <x v="4"/>
    <x v="13"/>
    <n v="28"/>
    <s v="做ISF，发国外资料"/>
    <x v="31"/>
    <x v="0"/>
    <m/>
    <n v="-29"/>
  </r>
  <r>
    <x v="4"/>
    <x v="13"/>
    <n v="29"/>
    <s v="买保险"/>
    <x v="31"/>
    <x v="0"/>
    <m/>
    <n v="-29"/>
  </r>
  <r>
    <x v="4"/>
    <x v="13"/>
    <n v="30"/>
    <s v="填WORKING PROCESS"/>
    <x v="31"/>
    <x v="0"/>
    <m/>
    <n v="-29"/>
  </r>
  <r>
    <x v="4"/>
    <x v="13"/>
    <n v="30.1"/>
    <s v="做费用，发账单给谢梦婕"/>
    <x v="31"/>
    <x v="0"/>
    <s v="提前做账单"/>
    <n v="-29"/>
  </r>
  <r>
    <x v="4"/>
    <x v="13"/>
    <n v="31"/>
    <s v="收到HMM(He)生成提单通知"/>
    <x v="31"/>
    <x v="0"/>
    <s v="一般马上"/>
    <n v="-29"/>
  </r>
  <r>
    <x v="4"/>
    <x v="13"/>
    <n v="32"/>
    <s v="HMM网站核对提单信息"/>
    <x v="31"/>
    <x v="0"/>
    <m/>
    <n v="-29"/>
  </r>
  <r>
    <x v="4"/>
    <x v="13"/>
    <n v="33"/>
    <s v="盯海关网站舱单"/>
    <x v="31"/>
    <x v="0"/>
    <s v="一般两小时左右"/>
    <n v="-29"/>
  </r>
  <r>
    <x v="4"/>
    <x v="13"/>
    <n v="34"/>
    <s v="核对舱单信息"/>
    <x v="31"/>
    <x v="0"/>
    <m/>
    <n v="-29"/>
  </r>
  <r>
    <x v="4"/>
    <x v="13"/>
    <n v="35"/>
    <s v="收到报关行(黄寅文)校对稿，邮件发客户(徐贵)确认"/>
    <x v="31"/>
    <x v="0"/>
    <s v="一般半天内"/>
    <n v="-29"/>
  </r>
  <r>
    <x v="4"/>
    <x v="13"/>
    <n v="36"/>
    <s v="收到客户(徐贵)确认校对稿，通知报关行(黄寅文)"/>
    <x v="31"/>
    <x v="0"/>
    <s v="一般马上"/>
    <n v="-29"/>
  </r>
  <r>
    <x v="4"/>
    <x v="13"/>
    <n v="37"/>
    <s v="通知报关行(黄寅文)报关(开港、舱单、校对)"/>
    <x v="31"/>
    <x v="0"/>
    <m/>
    <n v="-29"/>
  </r>
  <r>
    <x v="4"/>
    <x v="13"/>
    <n v="38"/>
    <s v="收到报关成功通知"/>
    <x v="31"/>
    <x v="0"/>
    <s v="一般下班前"/>
    <n v="-29"/>
  </r>
  <r>
    <x v="4"/>
    <x v="13"/>
    <n v="39"/>
    <s v="通知车队(沈丽)可进港"/>
    <x v="31"/>
    <x v="0"/>
    <m/>
    <n v="-29"/>
  </r>
  <r>
    <x v="4"/>
    <x v="13"/>
    <n v="40"/>
    <s v="盯箱子进港"/>
    <x v="0"/>
    <x v="0"/>
    <m/>
    <n v="-28"/>
  </r>
  <r>
    <x v="4"/>
    <x v="13"/>
    <n v="41"/>
    <s v="核对进港数据"/>
    <x v="0"/>
    <x v="0"/>
    <m/>
    <n v="-28"/>
  </r>
  <r>
    <x v="4"/>
    <x v="13"/>
    <n v="42"/>
    <s v="盯海放"/>
    <x v="0"/>
    <x v="0"/>
    <m/>
    <n v="-28"/>
  </r>
  <r>
    <x v="4"/>
    <x v="13"/>
    <n v="43"/>
    <s v="盯码放"/>
    <x v="29"/>
    <x v="0"/>
    <m/>
    <n v="-27"/>
  </r>
  <r>
    <x v="4"/>
    <x v="13"/>
    <n v="44"/>
    <s v="盯配载"/>
    <x v="29"/>
    <x v="0"/>
    <m/>
    <n v="-27"/>
  </r>
  <r>
    <x v="4"/>
    <x v="13"/>
    <n v="46"/>
    <s v="船开"/>
    <x v="30"/>
    <x v="0"/>
    <m/>
    <n v="-25"/>
  </r>
  <r>
    <x v="4"/>
    <x v="13"/>
    <n v="47"/>
    <s v="放单"/>
    <x v="32"/>
    <x v="0"/>
    <s v="一般开船后两三天"/>
    <n v="-16"/>
  </r>
  <r>
    <x v="0"/>
    <x v="14"/>
    <n v="1"/>
    <s v="收到保险公司（常）上月对账单，对账后回复常"/>
    <x v="26"/>
    <x v="0"/>
    <s v="一般上旬"/>
    <n v="-21"/>
  </r>
  <r>
    <x v="0"/>
    <x v="14"/>
    <n v="2"/>
    <s v="KMM HMI 0529的费用怎么弄？"/>
    <x v="33"/>
    <x v="2"/>
    <m/>
    <n v="1"/>
  </r>
  <r>
    <x v="0"/>
    <x v="14"/>
    <n v="3"/>
    <s v="TJ glovis当月额外费用汇总邮件"/>
    <x v="33"/>
    <x v="2"/>
    <s v="月底"/>
    <n v="1"/>
  </r>
  <r>
    <x v="0"/>
    <x v="14"/>
    <n v="4"/>
    <s v="CK TJ glovis有没有驳货费"/>
    <x v="34"/>
    <x v="0"/>
    <s v="月底"/>
    <n v="-1"/>
  </r>
  <r>
    <x v="0"/>
    <x v="14"/>
    <n v="5"/>
    <s v="客户对账单，开票"/>
    <x v="35"/>
    <x v="2"/>
    <m/>
    <n v="2"/>
  </r>
  <r>
    <x v="0"/>
    <x v="14"/>
    <n v="6"/>
    <s v="本月车队费用邮件发给汤爱华"/>
    <x v="35"/>
    <x v="2"/>
    <s v="月底"/>
    <n v="2"/>
  </r>
  <r>
    <x v="3"/>
    <x v="15"/>
    <n v="1"/>
    <s v="收到HMM Neo 下周订舱邮件"/>
    <x v="36"/>
    <x v="0"/>
    <s v="周一"/>
    <n v="-23"/>
  </r>
  <r>
    <x v="3"/>
    <x v="15"/>
    <n v="2"/>
    <s v="根据JS mobis订舱需求回Neo邮件"/>
    <x v="36"/>
    <x v="0"/>
    <s v="周一"/>
    <n v="-23"/>
  </r>
  <r>
    <x v="3"/>
    <x v="15"/>
    <n v="3"/>
    <s v="SHA GLV WORKING PROCESS"/>
    <x v="36"/>
    <x v="0"/>
    <s v="周一"/>
    <n v="-23"/>
  </r>
  <r>
    <x v="3"/>
    <x v="15"/>
    <n v="4"/>
    <s v="SHA GLV WORKING PROCESS"/>
    <x v="26"/>
    <x v="0"/>
    <s v="周三"/>
    <n v="-21"/>
  </r>
  <r>
    <x v="3"/>
    <x v="15"/>
    <n v="5"/>
    <s v="TJ glovis额外费用邮件"/>
    <x v="32"/>
    <x v="0"/>
    <s v="周五"/>
    <n v="-16"/>
  </r>
  <r>
    <x v="3"/>
    <x v="15"/>
    <n v="6"/>
    <s v="WORKING PROCESS"/>
    <x v="37"/>
    <x v="0"/>
    <s v="周五"/>
    <n v="-19"/>
  </r>
  <r>
    <x v="3"/>
    <x v="15"/>
    <n v="7"/>
    <s v="万盛出运清单（下午三点，改文件名）"/>
    <x v="38"/>
    <x v="0"/>
    <s v="周五"/>
    <n v="-20"/>
  </r>
  <r>
    <x v="1"/>
    <x v="16"/>
    <n v="1"/>
    <s v="收到客户(孙丹/王珊)发来订舱托书"/>
    <x v="20"/>
    <x v="0"/>
    <m/>
    <n v="-33"/>
  </r>
  <r>
    <x v="1"/>
    <x v="16"/>
    <n v="2"/>
    <s v="收到CK发来预配(做箱通知，沈丽有收到？)，完善YJC系统数据"/>
    <x v="0"/>
    <x v="0"/>
    <m/>
    <n v="-28"/>
  </r>
  <r>
    <x v="1"/>
    <x v="16"/>
    <n v="3"/>
    <s v="YJC系统生成单子"/>
    <x v="31"/>
    <x v="0"/>
    <m/>
    <n v="-29"/>
  </r>
  <r>
    <x v="1"/>
    <x v="16"/>
    <n v="4"/>
    <s v="收到包装厂(刘倩梅)发来包装指示书和装箱计划"/>
    <x v="29"/>
    <x v="0"/>
    <s v="一般周四"/>
    <n v="-27"/>
  </r>
  <r>
    <x v="1"/>
    <x v="16"/>
    <n v="5"/>
    <s v="根据装箱计划汇总包装数据，发各工厂做报关资料"/>
    <x v="29"/>
    <x v="0"/>
    <m/>
    <n v="-27"/>
  </r>
  <r>
    <x v="1"/>
    <x v="16"/>
    <n v="6"/>
    <s v="做做箱数据，邮件群发"/>
    <x v="29"/>
    <x v="0"/>
    <m/>
    <n v="-27"/>
  </r>
  <r>
    <x v="1"/>
    <x v="16"/>
    <n v="7"/>
    <s v="收到工厂发来报关资料并完善(代做报关资料跟客户确认)"/>
    <x v="27"/>
    <x v="0"/>
    <s v="当天至隔天"/>
    <n v="-26"/>
  </r>
  <r>
    <x v="1"/>
    <x v="16"/>
    <n v="8"/>
    <s v="报关资料齐了，发报关行(黄寅文)，货运模板/发票/箱单"/>
    <x v="39"/>
    <x v="0"/>
    <m/>
    <n v="-22"/>
  </r>
  <r>
    <x v="1"/>
    <x v="16"/>
    <n v="9"/>
    <s v="确认开港时间再确认做箱时间"/>
    <x v="27"/>
    <x v="0"/>
    <s v="调整顺序"/>
    <n v="-26"/>
  </r>
  <r>
    <x v="1"/>
    <x v="16"/>
    <n v="10"/>
    <s v="收到车队(沈丽)装箱单和洋山提箱截图(如有)，群发，通知发舱单"/>
    <x v="36"/>
    <x v="0"/>
    <s v="一般KMM五、HMI日"/>
    <n v="-23"/>
  </r>
  <r>
    <x v="1"/>
    <x v="16"/>
    <n v="11"/>
    <s v="收到舱单发送成功通知，核对舱单信息"/>
    <x v="36"/>
    <x v="0"/>
    <m/>
    <n v="-23"/>
  </r>
  <r>
    <x v="1"/>
    <x v="16"/>
    <n v="12"/>
    <s v="进港(核对数据)"/>
    <x v="39"/>
    <x v="0"/>
    <s v="调整顺序"/>
    <n v="-22"/>
  </r>
  <r>
    <x v="1"/>
    <x v="16"/>
    <n v="13"/>
    <s v="通知报关"/>
    <x v="39"/>
    <x v="0"/>
    <s v="调整顺序"/>
    <n v="-22"/>
  </r>
  <r>
    <x v="1"/>
    <x v="16"/>
    <n v="14"/>
    <s v="报关成功"/>
    <x v="39"/>
    <x v="0"/>
    <s v="调整顺序"/>
    <n v="-22"/>
  </r>
  <r>
    <x v="1"/>
    <x v="16"/>
    <n v="15"/>
    <s v="盯海放"/>
    <x v="39"/>
    <x v="0"/>
    <m/>
    <n v="-22"/>
  </r>
  <r>
    <x v="1"/>
    <x v="16"/>
    <n v="16"/>
    <s v="盯码放"/>
    <x v="26"/>
    <x v="0"/>
    <m/>
    <n v="-21"/>
  </r>
  <r>
    <x v="1"/>
    <x v="16"/>
    <n v="17"/>
    <s v="盯配载"/>
    <x v="37"/>
    <x v="0"/>
    <m/>
    <n v="-19"/>
  </r>
  <r>
    <x v="1"/>
    <x v="16"/>
    <n v="18"/>
    <s v="盯船开"/>
    <x v="40"/>
    <x v="0"/>
    <m/>
    <n v="-18"/>
  </r>
  <r>
    <x v="1"/>
    <x v="16"/>
    <n v="19"/>
    <s v="做费用(对账单日期4号)，放公共盘，填月账单表，发孙丹"/>
    <x v="32"/>
    <x v="0"/>
    <m/>
    <n v="-16"/>
  </r>
  <r>
    <x v="4"/>
    <x v="16"/>
    <n v="1"/>
    <s v="收到客户(徐贵)订舱预报"/>
    <x v="18"/>
    <x v="0"/>
    <s v="一般周五发隔周"/>
    <n v="-30"/>
  </r>
  <r>
    <x v="4"/>
    <x v="16"/>
    <n v="2"/>
    <s v="填WORKING PROCESS"/>
    <x v="18"/>
    <x v="0"/>
    <m/>
    <n v="-30"/>
  </r>
  <r>
    <x v="4"/>
    <x v="16"/>
    <n v="3"/>
    <s v="收到HMM(Neo)预订舱邮件通知"/>
    <x v="18"/>
    <x v="0"/>
    <s v="一般周一发下周"/>
    <n v="-30"/>
  </r>
  <r>
    <x v="4"/>
    <x v="16"/>
    <n v="4"/>
    <s v="回复HMM(Neo)预订舱邮件"/>
    <x v="18"/>
    <x v="0"/>
    <m/>
    <n v="-30"/>
  </r>
  <r>
    <x v="4"/>
    <x v="16"/>
    <n v="5"/>
    <s v="收到HMM(Neo)预订舱确认"/>
    <x v="18"/>
    <x v="0"/>
    <s v="一般马上"/>
    <n v="-30"/>
  </r>
  <r>
    <x v="4"/>
    <x v="16"/>
    <n v="6"/>
    <s v="公共盘生成提单号"/>
    <x v="18"/>
    <x v="0"/>
    <m/>
    <n v="-30"/>
  </r>
  <r>
    <x v="4"/>
    <x v="16"/>
    <n v="7"/>
    <s v="YJC系统生成单子"/>
    <x v="18"/>
    <x v="0"/>
    <m/>
    <n v="-30"/>
  </r>
  <r>
    <x v="4"/>
    <x v="16"/>
    <n v="8"/>
    <s v="发EDI"/>
    <x v="18"/>
    <x v="0"/>
    <m/>
    <n v="-30"/>
  </r>
  <r>
    <x v="4"/>
    <x v="16"/>
    <n v="9"/>
    <s v="邮件申请放单"/>
    <x v="18"/>
    <x v="0"/>
    <m/>
    <n v="-30"/>
  </r>
  <r>
    <x v="4"/>
    <x v="16"/>
    <n v="10"/>
    <s v="收到HMM(Neo) 放单确认"/>
    <x v="31"/>
    <x v="0"/>
    <s v="一般半天内"/>
    <n v="-29"/>
  </r>
  <r>
    <x v="4"/>
    <x v="16"/>
    <n v="11"/>
    <s v="HMM网站核对订舱信息"/>
    <x v="31"/>
    <x v="0"/>
    <m/>
    <n v="-29"/>
  </r>
  <r>
    <x v="4"/>
    <x v="16"/>
    <n v="12"/>
    <s v="收到客户(徐贵)做箱通知"/>
    <x v="29"/>
    <x v="0"/>
    <s v="一般做箱头天一早"/>
    <n v="-27"/>
  </r>
  <r>
    <x v="4"/>
    <x v="16"/>
    <n v="13"/>
    <s v="发做箱通知邮件给车队(沈丽)"/>
    <x v="29"/>
    <x v="0"/>
    <m/>
    <n v="-27"/>
  </r>
  <r>
    <x v="4"/>
    <x v="16"/>
    <n v="14"/>
    <s v="公共盘生成提单号【如需拆单】"/>
    <x v="29"/>
    <x v="0"/>
    <m/>
    <n v="-27"/>
  </r>
  <r>
    <x v="4"/>
    <x v="16"/>
    <n v="15"/>
    <s v="YJC系统生成单子【如需拆单】"/>
    <x v="29"/>
    <x v="0"/>
    <m/>
    <n v="-27"/>
  </r>
  <r>
    <x v="4"/>
    <x v="16"/>
    <n v="16"/>
    <s v="发EDI【如需拆单】"/>
    <x v="29"/>
    <x v="0"/>
    <m/>
    <n v="-27"/>
  </r>
  <r>
    <x v="4"/>
    <x v="16"/>
    <n v="17"/>
    <s v="邮件申请放单【如需拆单】"/>
    <x v="29"/>
    <x v="0"/>
    <m/>
    <n v="-27"/>
  </r>
  <r>
    <x v="4"/>
    <x v="16"/>
    <n v="18"/>
    <s v="收到HMM(Neo) 放单确认【如需拆单】"/>
    <x v="29"/>
    <x v="0"/>
    <m/>
    <n v="-27"/>
  </r>
  <r>
    <x v="4"/>
    <x v="16"/>
    <n v="19"/>
    <s v="HMM网站核对订舱信息【如需拆单】"/>
    <x v="29"/>
    <x v="0"/>
    <m/>
    <n v="-27"/>
  </r>
  <r>
    <x v="4"/>
    <x v="16"/>
    <n v="20"/>
    <s v="收到客户(徐贵)发来做箱数据(报关资料)"/>
    <x v="27"/>
    <x v="0"/>
    <s v="一般做箱当天一早"/>
    <n v="-26"/>
  </r>
  <r>
    <x v="4"/>
    <x v="16"/>
    <n v="21"/>
    <s v="按报关(发票)数生成提单号【如发票数超过提单数】"/>
    <x v="27"/>
    <x v="0"/>
    <m/>
    <n v="-26"/>
  </r>
  <r>
    <x v="4"/>
    <x v="16"/>
    <n v="22"/>
    <s v="做做箱数据，QQ发车队(沈丽)"/>
    <x v="27"/>
    <x v="0"/>
    <m/>
    <n v="-26"/>
  </r>
  <r>
    <x v="4"/>
    <x v="16"/>
    <n v="23"/>
    <s v="收到车队(沈丽)装箱单，转发客户（徐贵）"/>
    <x v="27"/>
    <x v="0"/>
    <s v="一般马上"/>
    <n v="-26"/>
  </r>
  <r>
    <x v="4"/>
    <x v="16"/>
    <n v="24"/>
    <s v="YJC系统截单，发EDI，邮件HMM(He)【截单时间】"/>
    <x v="27"/>
    <x v="0"/>
    <s v="注意截单时间"/>
    <n v="-26"/>
  </r>
  <r>
    <x v="4"/>
    <x v="16"/>
    <n v="25"/>
    <s v="发VGM和舱单"/>
    <x v="27"/>
    <x v="0"/>
    <m/>
    <n v="-26"/>
  </r>
  <r>
    <x v="4"/>
    <x v="16"/>
    <n v="26"/>
    <s v="做报关资料，扫描发报关行(黄寅文)QQ"/>
    <x v="27"/>
    <x v="0"/>
    <m/>
    <n v="-26"/>
  </r>
  <r>
    <x v="4"/>
    <x v="16"/>
    <n v="27"/>
    <s v="做保函给邹师傅"/>
    <x v="27"/>
    <x v="0"/>
    <m/>
    <n v="-26"/>
  </r>
  <r>
    <x v="4"/>
    <x v="16"/>
    <n v="28"/>
    <s v="做ISF，发国外资料"/>
    <x v="27"/>
    <x v="0"/>
    <m/>
    <n v="-26"/>
  </r>
  <r>
    <x v="4"/>
    <x v="16"/>
    <n v="29"/>
    <s v="买保险"/>
    <x v="27"/>
    <x v="0"/>
    <m/>
    <n v="-26"/>
  </r>
  <r>
    <x v="4"/>
    <x v="16"/>
    <n v="30"/>
    <s v="填WORKING PROCESS"/>
    <x v="27"/>
    <x v="0"/>
    <m/>
    <n v="-26"/>
  </r>
  <r>
    <x v="4"/>
    <x v="16"/>
    <n v="31"/>
    <s v="收到HMM(He)生成提单通知"/>
    <x v="27"/>
    <x v="0"/>
    <s v="一般马上"/>
    <n v="-26"/>
  </r>
  <r>
    <x v="4"/>
    <x v="16"/>
    <n v="32"/>
    <s v="HMM网站核对提单信息"/>
    <x v="27"/>
    <x v="0"/>
    <m/>
    <n v="-26"/>
  </r>
  <r>
    <x v="4"/>
    <x v="16"/>
    <n v="33"/>
    <s v="盯海关网站舱单"/>
    <x v="27"/>
    <x v="0"/>
    <s v="一般两小时左右"/>
    <n v="-26"/>
  </r>
  <r>
    <x v="4"/>
    <x v="16"/>
    <n v="34"/>
    <s v="核对舱单信息"/>
    <x v="27"/>
    <x v="0"/>
    <m/>
    <n v="-26"/>
  </r>
  <r>
    <x v="4"/>
    <x v="16"/>
    <n v="35"/>
    <s v="收到报关行(黄寅文)校对稿，邮件发客户(徐贵)确认"/>
    <x v="27"/>
    <x v="0"/>
    <s v="一般半天内"/>
    <n v="-26"/>
  </r>
  <r>
    <x v="4"/>
    <x v="16"/>
    <n v="36"/>
    <s v="收到客户(徐贵)确认校对稿"/>
    <x v="30"/>
    <x v="0"/>
    <s v="一般马上"/>
    <n v="-25"/>
  </r>
  <r>
    <x v="4"/>
    <x v="16"/>
    <n v="37"/>
    <s v="通知车队(沈丽)可进港"/>
    <x v="27"/>
    <x v="0"/>
    <m/>
    <n v="-26"/>
  </r>
  <r>
    <x v="4"/>
    <x v="16"/>
    <n v="38"/>
    <s v="盯箱子进港"/>
    <x v="41"/>
    <x v="0"/>
    <m/>
    <n v="-24"/>
  </r>
  <r>
    <x v="4"/>
    <x v="16"/>
    <n v="39"/>
    <s v="核对进港数据"/>
    <x v="41"/>
    <x v="0"/>
    <m/>
    <n v="-24"/>
  </r>
  <r>
    <x v="4"/>
    <x v="16"/>
    <n v="40"/>
    <s v="通知报关行(黄寅文)报关(开港、舱单、校对)"/>
    <x v="41"/>
    <x v="0"/>
    <m/>
    <n v="-24"/>
  </r>
  <r>
    <x v="4"/>
    <x v="16"/>
    <n v="41"/>
    <s v="收到报关成功通知"/>
    <x v="41"/>
    <x v="0"/>
    <s v="一般下班前"/>
    <n v="-24"/>
  </r>
  <r>
    <x v="4"/>
    <x v="16"/>
    <n v="42"/>
    <s v="盯海放"/>
    <x v="41"/>
    <x v="0"/>
    <m/>
    <n v="-24"/>
  </r>
  <r>
    <x v="4"/>
    <x v="16"/>
    <n v="43"/>
    <s v="盯码放"/>
    <x v="39"/>
    <x v="0"/>
    <m/>
    <n v="-22"/>
  </r>
  <r>
    <x v="4"/>
    <x v="16"/>
    <n v="44"/>
    <s v="盯配载"/>
    <x v="26"/>
    <x v="0"/>
    <m/>
    <n v="-21"/>
  </r>
  <r>
    <x v="4"/>
    <x v="16"/>
    <n v="45"/>
    <s v="做费用(月初等汇率)，发账单给石磊"/>
    <x v="26"/>
    <x v="0"/>
    <m/>
    <n v="-21"/>
  </r>
  <r>
    <x v="4"/>
    <x v="16"/>
    <n v="46"/>
    <s v="船开"/>
    <x v="40"/>
    <x v="0"/>
    <m/>
    <n v="-18"/>
  </r>
  <r>
    <x v="4"/>
    <x v="16"/>
    <n v="47"/>
    <s v="放单"/>
    <x v="32"/>
    <x v="0"/>
    <s v="一般开船后两三天"/>
    <n v="-16"/>
  </r>
  <r>
    <x v="2"/>
    <x v="16"/>
    <n v="1"/>
    <s v="收到客户(孙丹/王珊)发来订舱托书"/>
    <x v="22"/>
    <x v="0"/>
    <m/>
    <n v="-34"/>
  </r>
  <r>
    <x v="2"/>
    <x v="16"/>
    <n v="2"/>
    <s v="收到CK发来预配(做箱通知，沈丽有收到？)，完善YJC系统数据"/>
    <x v="18"/>
    <x v="0"/>
    <m/>
    <n v="-30"/>
  </r>
  <r>
    <x v="2"/>
    <x v="16"/>
    <n v="3"/>
    <s v="YJC系统生成单子"/>
    <x v="18"/>
    <x v="0"/>
    <m/>
    <n v="-30"/>
  </r>
  <r>
    <x v="2"/>
    <x v="16"/>
    <n v="4"/>
    <s v="收到包装厂(刘倩梅)发来包装指示书和装箱计划"/>
    <x v="29"/>
    <x v="0"/>
    <s v="一般周四"/>
    <n v="-27"/>
  </r>
  <r>
    <x v="2"/>
    <x v="16"/>
    <n v="5"/>
    <s v="根据装箱计划汇总包装数据，发各工厂做报关资料"/>
    <x v="29"/>
    <x v="0"/>
    <m/>
    <n v="-27"/>
  </r>
  <r>
    <x v="2"/>
    <x v="16"/>
    <n v="6"/>
    <s v="做做箱数据，邮件群发"/>
    <x v="29"/>
    <x v="0"/>
    <m/>
    <n v="-27"/>
  </r>
  <r>
    <x v="2"/>
    <x v="16"/>
    <n v="7"/>
    <s v="收到工厂发来报关资料并完善(代做报关资料跟客户确认)"/>
    <x v="27"/>
    <x v="0"/>
    <s v="当天至隔天"/>
    <n v="-26"/>
  </r>
  <r>
    <x v="2"/>
    <x v="16"/>
    <n v="8"/>
    <s v="报关资料齐了，发报关行(黄寅文)，货运模板/发票/箱单"/>
    <x v="39"/>
    <x v="0"/>
    <m/>
    <n v="-22"/>
  </r>
  <r>
    <x v="2"/>
    <x v="16"/>
    <n v="9"/>
    <s v="收到车队(沈丽)装箱单和洋山提箱截图(如有)，群发，通知发舱单"/>
    <x v="27"/>
    <x v="0"/>
    <s v="一般KMM五、HMI日"/>
    <n v="-26"/>
  </r>
  <r>
    <x v="2"/>
    <x v="16"/>
    <n v="10"/>
    <s v="收到舱单发送成功通知，核对舱单信息"/>
    <x v="27"/>
    <x v="0"/>
    <m/>
    <n v="-26"/>
  </r>
  <r>
    <x v="2"/>
    <x v="16"/>
    <n v="11"/>
    <s v="通知报关"/>
    <x v="27"/>
    <x v="0"/>
    <s v="调整顺序"/>
    <n v="-26"/>
  </r>
  <r>
    <x v="2"/>
    <x v="16"/>
    <n v="12"/>
    <s v="报关成功"/>
    <x v="27"/>
    <x v="0"/>
    <s v="调整顺序"/>
    <n v="-26"/>
  </r>
  <r>
    <x v="2"/>
    <x v="16"/>
    <n v="13"/>
    <s v="通知进港"/>
    <x v="27"/>
    <x v="0"/>
    <s v="调整顺序"/>
    <n v="-26"/>
  </r>
  <r>
    <x v="2"/>
    <x v="16"/>
    <n v="14"/>
    <s v="进港(核对数据)"/>
    <x v="27"/>
    <x v="0"/>
    <s v="调整顺序"/>
    <n v="-26"/>
  </r>
  <r>
    <x v="2"/>
    <x v="16"/>
    <n v="15"/>
    <s v="盯海放"/>
    <x v="27"/>
    <x v="0"/>
    <m/>
    <n v="-26"/>
  </r>
  <r>
    <x v="2"/>
    <x v="16"/>
    <n v="16"/>
    <s v="盯码放"/>
    <x v="36"/>
    <x v="0"/>
    <m/>
    <n v="-23"/>
  </r>
  <r>
    <x v="2"/>
    <x v="16"/>
    <n v="17"/>
    <s v="盯配载"/>
    <x v="26"/>
    <x v="0"/>
    <m/>
    <n v="-21"/>
  </r>
  <r>
    <x v="2"/>
    <x v="16"/>
    <n v="18"/>
    <s v="盯船开"/>
    <x v="38"/>
    <x v="0"/>
    <m/>
    <n v="-20"/>
  </r>
  <r>
    <x v="2"/>
    <x v="16"/>
    <n v="19"/>
    <s v="做费用(对账单日期4号)，放公共盘，填月账单表，发孙丹"/>
    <x v="32"/>
    <x v="0"/>
    <m/>
    <n v="-16"/>
  </r>
  <r>
    <x v="4"/>
    <x v="17"/>
    <n v="1"/>
    <s v="收到客户(徐贵)订舱预报"/>
    <x v="18"/>
    <x v="0"/>
    <s v="一般周五发隔周"/>
    <n v="-30"/>
  </r>
  <r>
    <x v="4"/>
    <x v="17"/>
    <n v="2"/>
    <s v="填WORKING PROCESS"/>
    <x v="18"/>
    <x v="0"/>
    <m/>
    <n v="-30"/>
  </r>
  <r>
    <x v="4"/>
    <x v="17"/>
    <n v="3"/>
    <s v="收到HMM(Neo)预订舱邮件通知"/>
    <x v="18"/>
    <x v="0"/>
    <s v="一般周一发下周"/>
    <n v="-30"/>
  </r>
  <r>
    <x v="4"/>
    <x v="17"/>
    <n v="4"/>
    <s v="回复HMM(Neo)预订舱邮件"/>
    <x v="18"/>
    <x v="0"/>
    <m/>
    <n v="-30"/>
  </r>
  <r>
    <x v="4"/>
    <x v="17"/>
    <n v="5"/>
    <s v="收到HMM(Neo)预订舱确认"/>
    <x v="18"/>
    <x v="0"/>
    <s v="一般马上"/>
    <n v="-30"/>
  </r>
  <r>
    <x v="4"/>
    <x v="17"/>
    <n v="6"/>
    <s v="公共盘生成提单号"/>
    <x v="18"/>
    <x v="0"/>
    <m/>
    <n v="-30"/>
  </r>
  <r>
    <x v="4"/>
    <x v="17"/>
    <n v="7"/>
    <s v="YJC系统生成单子"/>
    <x v="18"/>
    <x v="0"/>
    <m/>
    <n v="-30"/>
  </r>
  <r>
    <x v="4"/>
    <x v="17"/>
    <n v="8"/>
    <s v="发EDI"/>
    <x v="18"/>
    <x v="0"/>
    <m/>
    <n v="-30"/>
  </r>
  <r>
    <x v="4"/>
    <x v="17"/>
    <n v="9"/>
    <s v="邮件申请放单"/>
    <x v="18"/>
    <x v="0"/>
    <m/>
    <n v="-30"/>
  </r>
  <r>
    <x v="4"/>
    <x v="17"/>
    <n v="10"/>
    <s v="收到HMM(Neo) 放单确认"/>
    <x v="31"/>
    <x v="0"/>
    <s v="一般半天内"/>
    <n v="-29"/>
  </r>
  <r>
    <x v="4"/>
    <x v="17"/>
    <n v="11"/>
    <s v="HMM网站核对订舱信息"/>
    <x v="31"/>
    <x v="0"/>
    <m/>
    <n v="-29"/>
  </r>
  <r>
    <x v="4"/>
    <x v="17"/>
    <n v="12"/>
    <s v="收到客户(徐贵)做箱通知"/>
    <x v="36"/>
    <x v="0"/>
    <s v="一般做箱头天一早"/>
    <n v="-23"/>
  </r>
  <r>
    <x v="4"/>
    <x v="17"/>
    <n v="13"/>
    <s v="发做箱通知邮件给车队(沈丽)"/>
    <x v="36"/>
    <x v="0"/>
    <m/>
    <n v="-23"/>
  </r>
  <r>
    <x v="4"/>
    <x v="17"/>
    <n v="14"/>
    <s v="公共盘生成提单号【如需拆单】"/>
    <x v="36"/>
    <x v="0"/>
    <m/>
    <n v="-23"/>
  </r>
  <r>
    <x v="4"/>
    <x v="17"/>
    <n v="15"/>
    <s v="YJC系统生成单子【如需拆单】"/>
    <x v="36"/>
    <x v="0"/>
    <m/>
    <n v="-23"/>
  </r>
  <r>
    <x v="4"/>
    <x v="17"/>
    <n v="16"/>
    <s v="发EDI【如需拆单】"/>
    <x v="36"/>
    <x v="0"/>
    <m/>
    <n v="-23"/>
  </r>
  <r>
    <x v="4"/>
    <x v="17"/>
    <n v="17"/>
    <s v="邮件申请放单【如需拆单】"/>
    <x v="36"/>
    <x v="0"/>
    <m/>
    <n v="-23"/>
  </r>
  <r>
    <x v="4"/>
    <x v="17"/>
    <n v="18"/>
    <s v="收到HMM(Neo) 放单确认【如需拆单】"/>
    <x v="36"/>
    <x v="0"/>
    <m/>
    <n v="-23"/>
  </r>
  <r>
    <x v="4"/>
    <x v="17"/>
    <n v="19"/>
    <s v="HMM网站核对订舱信息【如需拆单】"/>
    <x v="36"/>
    <x v="0"/>
    <m/>
    <n v="-23"/>
  </r>
  <r>
    <x v="4"/>
    <x v="17"/>
    <n v="20"/>
    <s v="收到客户(徐贵)发来做箱数据(报关资料)"/>
    <x v="39"/>
    <x v="0"/>
    <s v="一般做箱当天一早"/>
    <n v="-22"/>
  </r>
  <r>
    <x v="4"/>
    <x v="17"/>
    <n v="21"/>
    <s v="按报关(发票)数生成提单号【如发票数超过提单数】"/>
    <x v="39"/>
    <x v="0"/>
    <m/>
    <n v="-22"/>
  </r>
  <r>
    <x v="4"/>
    <x v="17"/>
    <n v="22"/>
    <s v="做做箱数据，QQ发车队(沈丽)"/>
    <x v="39"/>
    <x v="0"/>
    <m/>
    <n v="-22"/>
  </r>
  <r>
    <x v="4"/>
    <x v="17"/>
    <n v="23"/>
    <s v="收到车队(沈丽)装箱单，转发客户（徐贵）"/>
    <x v="39"/>
    <x v="0"/>
    <s v="一般马上"/>
    <n v="-22"/>
  </r>
  <r>
    <x v="4"/>
    <x v="17"/>
    <n v="24"/>
    <s v="YJC系统截单，发EDI，邮件HMM(He)【截单时间】"/>
    <x v="39"/>
    <x v="0"/>
    <s v="注意截单时间"/>
    <n v="-22"/>
  </r>
  <r>
    <x v="4"/>
    <x v="17"/>
    <n v="25"/>
    <s v="发VGM和舱单"/>
    <x v="39"/>
    <x v="0"/>
    <m/>
    <n v="-22"/>
  </r>
  <r>
    <x v="4"/>
    <x v="17"/>
    <n v="26"/>
    <s v="做报关资料，扫描发报关行(黄寅文)QQ"/>
    <x v="39"/>
    <x v="0"/>
    <m/>
    <n v="-22"/>
  </r>
  <r>
    <x v="4"/>
    <x v="17"/>
    <n v="27"/>
    <s v="做保函给邹师傅"/>
    <x v="39"/>
    <x v="0"/>
    <m/>
    <n v="-22"/>
  </r>
  <r>
    <x v="4"/>
    <x v="17"/>
    <n v="28"/>
    <s v="做ISF，发国外资料"/>
    <x v="39"/>
    <x v="0"/>
    <m/>
    <n v="-22"/>
  </r>
  <r>
    <x v="4"/>
    <x v="17"/>
    <n v="29"/>
    <s v="买保险"/>
    <x v="39"/>
    <x v="0"/>
    <m/>
    <n v="-22"/>
  </r>
  <r>
    <x v="4"/>
    <x v="17"/>
    <n v="31"/>
    <s v="收到HMM(He)生成提单通知"/>
    <x v="39"/>
    <x v="0"/>
    <s v="一般马上"/>
    <n v="-22"/>
  </r>
  <r>
    <x v="4"/>
    <x v="17"/>
    <n v="32"/>
    <s v="HMM网站核对提单信息"/>
    <x v="38"/>
    <x v="0"/>
    <m/>
    <n v="-20"/>
  </r>
  <r>
    <x v="4"/>
    <x v="17"/>
    <n v="33"/>
    <s v="盯海关网站舱单"/>
    <x v="39"/>
    <x v="0"/>
    <s v="一般两小时左右"/>
    <n v="-22"/>
  </r>
  <r>
    <x v="4"/>
    <x v="17"/>
    <n v="34"/>
    <s v="核对舱单信息"/>
    <x v="39"/>
    <x v="0"/>
    <m/>
    <n v="-22"/>
  </r>
  <r>
    <x v="4"/>
    <x v="17"/>
    <n v="35"/>
    <s v="收到报关行(黄寅文)校对稿，邮件发客户(徐贵)确认"/>
    <x v="39"/>
    <x v="0"/>
    <s v="一般半天内"/>
    <n v="-22"/>
  </r>
  <r>
    <x v="4"/>
    <x v="17"/>
    <n v="36"/>
    <s v="收到客户(徐贵)确认校对稿"/>
    <x v="39"/>
    <x v="0"/>
    <s v="一般马上"/>
    <n v="-22"/>
  </r>
  <r>
    <x v="4"/>
    <x v="17"/>
    <n v="37"/>
    <s v="通知报关行(黄寅文)报关(开港、舱单、校对)"/>
    <x v="39"/>
    <x v="0"/>
    <m/>
    <n v="-22"/>
  </r>
  <r>
    <x v="4"/>
    <x v="17"/>
    <n v="38"/>
    <s v="收到报关成功通知"/>
    <x v="39"/>
    <x v="0"/>
    <s v="一般下班前"/>
    <n v="-22"/>
  </r>
  <r>
    <x v="4"/>
    <x v="17"/>
    <n v="39"/>
    <s v="通知车队(沈丽)可进港"/>
    <x v="39"/>
    <x v="0"/>
    <m/>
    <n v="-22"/>
  </r>
  <r>
    <x v="4"/>
    <x v="17"/>
    <n v="40"/>
    <s v="盯箱子进港"/>
    <x v="26"/>
    <x v="0"/>
    <m/>
    <n v="-21"/>
  </r>
  <r>
    <x v="4"/>
    <x v="17"/>
    <n v="41"/>
    <s v="核对进港数据"/>
    <x v="26"/>
    <x v="0"/>
    <m/>
    <n v="-21"/>
  </r>
  <r>
    <x v="4"/>
    <x v="17"/>
    <n v="42"/>
    <s v="盯海放"/>
    <x v="26"/>
    <x v="0"/>
    <m/>
    <n v="-21"/>
  </r>
  <r>
    <x v="4"/>
    <x v="17"/>
    <n v="43"/>
    <s v="盯码放"/>
    <x v="38"/>
    <x v="0"/>
    <m/>
    <n v="-20"/>
  </r>
  <r>
    <x v="4"/>
    <x v="17"/>
    <n v="44"/>
    <s v="盯配载"/>
    <x v="37"/>
    <x v="0"/>
    <m/>
    <n v="-19"/>
  </r>
  <r>
    <x v="4"/>
    <x v="17"/>
    <n v="45"/>
    <s v="做费用(月初等汇率)，发账单给石磊"/>
    <x v="32"/>
    <x v="0"/>
    <m/>
    <n v="-16"/>
  </r>
  <r>
    <x v="4"/>
    <x v="17"/>
    <n v="46"/>
    <s v="船开"/>
    <x v="40"/>
    <x v="0"/>
    <m/>
    <n v="-18"/>
  </r>
  <r>
    <x v="4"/>
    <x v="17"/>
    <n v="47"/>
    <s v="放单"/>
    <x v="32"/>
    <x v="0"/>
    <s v="一般开船后两三天"/>
    <n v="-16"/>
  </r>
  <r>
    <x v="5"/>
    <x v="17"/>
    <n v="1"/>
    <s v="收到客户托书"/>
    <x v="17"/>
    <x v="0"/>
    <m/>
    <n v="-35"/>
  </r>
  <r>
    <x v="5"/>
    <x v="17"/>
    <n v="2"/>
    <s v="生成单号，YJC系统，发EDI，邮件Neo放舱"/>
    <x v="18"/>
    <x v="0"/>
    <m/>
    <n v="-30"/>
  </r>
  <r>
    <x v="5"/>
    <x v="17"/>
    <n v="3"/>
    <s v="收到Neo放舱确认"/>
    <x v="31"/>
    <x v="0"/>
    <m/>
    <n v="-29"/>
  </r>
  <r>
    <x v="5"/>
    <x v="17"/>
    <n v="4"/>
    <s v="发预配信息给客户（张婷）"/>
    <x v="31"/>
    <x v="0"/>
    <m/>
    <n v="-29"/>
  </r>
  <r>
    <x v="5"/>
    <x v="17"/>
    <n v="5"/>
    <s v="收到客户（张婷）报关资料"/>
    <x v="29"/>
    <x v="0"/>
    <m/>
    <n v="-27"/>
  </r>
  <r>
    <x v="5"/>
    <x v="17"/>
    <n v="6"/>
    <s v="做报关资料，发报关行（黄寅文），要校对稿"/>
    <x v="29"/>
    <x v="0"/>
    <m/>
    <n v="-27"/>
  </r>
  <r>
    <x v="5"/>
    <x v="17"/>
    <n v="7"/>
    <s v="收到校对稿，发客户"/>
    <x v="29"/>
    <x v="0"/>
    <m/>
    <n v="-27"/>
  </r>
  <r>
    <x v="5"/>
    <x v="17"/>
    <n v="8"/>
    <s v="收到校对稿确认"/>
    <x v="27"/>
    <x v="0"/>
    <m/>
    <n v="-26"/>
  </r>
  <r>
    <x v="5"/>
    <x v="17"/>
    <n v="9"/>
    <s v="收到客户（张婷）舱单模板和VGM"/>
    <x v="36"/>
    <x v="0"/>
    <s v="今天能放箱装？"/>
    <n v="-23"/>
  </r>
  <r>
    <x v="5"/>
    <x v="17"/>
    <n v="10"/>
    <s v="发舱单和VGM"/>
    <x v="36"/>
    <x v="0"/>
    <m/>
    <n v="-23"/>
  </r>
  <r>
    <x v="5"/>
    <x v="17"/>
    <n v="11"/>
    <s v="YJC系统改准确数据，发ESI，做AMS模板并邮件何生成提单"/>
    <x v="36"/>
    <x v="0"/>
    <m/>
    <n v="-23"/>
  </r>
  <r>
    <x v="5"/>
    <x v="17"/>
    <n v="12"/>
    <s v="收到生成提单邮件，网站核对信息"/>
    <x v="36"/>
    <x v="0"/>
    <m/>
    <n v="-23"/>
  </r>
  <r>
    <x v="5"/>
    <x v="17"/>
    <n v="13"/>
    <s v="发提单确认（两份）"/>
    <x v="38"/>
    <x v="0"/>
    <m/>
    <n v="-20"/>
  </r>
  <r>
    <x v="5"/>
    <x v="17"/>
    <n v="14"/>
    <s v="收到客户（张婷）提单确认"/>
    <x v="38"/>
    <x v="0"/>
    <m/>
    <n v="-20"/>
  </r>
  <r>
    <x v="5"/>
    <x v="17"/>
    <n v="15"/>
    <s v="海关有舱单，核对舱单"/>
    <x v="36"/>
    <x v="0"/>
    <m/>
    <n v="-23"/>
  </r>
  <r>
    <x v="5"/>
    <x v="17"/>
    <n v="16"/>
    <s v="通知报关"/>
    <x v="36"/>
    <x v="0"/>
    <m/>
    <n v="-23"/>
  </r>
  <r>
    <x v="5"/>
    <x v="17"/>
    <n v="17"/>
    <s v="收到报关成功通知"/>
    <x v="36"/>
    <x v="0"/>
    <m/>
    <n v="-23"/>
  </r>
  <r>
    <x v="5"/>
    <x v="17"/>
    <n v="18"/>
    <s v="通知可进港"/>
    <x v="36"/>
    <x v="0"/>
    <m/>
    <n v="-23"/>
  </r>
  <r>
    <x v="5"/>
    <x v="17"/>
    <n v="19"/>
    <s v="收到进港通知"/>
    <x v="39"/>
    <x v="0"/>
    <m/>
    <n v="-22"/>
  </r>
  <r>
    <x v="5"/>
    <x v="17"/>
    <n v="20"/>
    <s v="核对进港数据"/>
    <x v="39"/>
    <x v="0"/>
    <m/>
    <n v="-22"/>
  </r>
  <r>
    <x v="5"/>
    <x v="17"/>
    <n v="21"/>
    <s v="海放，码放，配载"/>
    <x v="37"/>
    <x v="0"/>
    <m/>
    <n v="-19"/>
  </r>
  <r>
    <x v="5"/>
    <x v="17"/>
    <n v="22"/>
    <s v="船开"/>
    <x v="40"/>
    <x v="0"/>
    <m/>
    <n v="-18"/>
  </r>
  <r>
    <x v="5"/>
    <x v="17"/>
    <n v="23"/>
    <s v="张婷确认账单"/>
    <x v="19"/>
    <x v="0"/>
    <m/>
    <n v="-6"/>
  </r>
  <r>
    <x v="5"/>
    <x v="17"/>
    <n v="24"/>
    <s v="放单"/>
    <x v="32"/>
    <x v="0"/>
    <m/>
    <n v="-16"/>
  </r>
  <r>
    <x v="7"/>
    <x v="18"/>
    <n v="1"/>
    <s v="收到徐小姐托书"/>
    <x v="39"/>
    <x v="0"/>
    <m/>
    <n v="-22"/>
  </r>
  <r>
    <x v="7"/>
    <x v="18"/>
    <n v="2"/>
    <s v="公共盘表格生成单号，YJC系统复制、生成单子"/>
    <x v="39"/>
    <x v="0"/>
    <m/>
    <n v="-22"/>
  </r>
  <r>
    <x v="7"/>
    <x v="18"/>
    <n v="3"/>
    <s v="振华网站订舱、保存、提交，等待审核"/>
    <x v="39"/>
    <x v="0"/>
    <m/>
    <n v="-22"/>
  </r>
  <r>
    <x v="7"/>
    <x v="18"/>
    <n v="4"/>
    <s v="QQ发预配给徐小姐，邮件发确认给国外"/>
    <x v="39"/>
    <x v="0"/>
    <m/>
    <n v="-22"/>
  </r>
  <r>
    <x v="7"/>
    <x v="18"/>
    <n v="5"/>
    <s v="收到国外确认，公共盘表格红改黑"/>
    <x v="39"/>
    <x v="0"/>
    <m/>
    <n v="-22"/>
  </r>
  <r>
    <x v="7"/>
    <x v="18"/>
    <n v="6"/>
    <s v="收到车队江发来VGM表格"/>
    <x v="38"/>
    <x v="0"/>
    <s v="周三周一截，周日周五截"/>
    <n v="-20"/>
  </r>
  <r>
    <x v="7"/>
    <x v="18"/>
    <n v="7"/>
    <s v="YJC 截单，振华截单、截VGM"/>
    <x v="38"/>
    <x v="0"/>
    <m/>
    <n v="-20"/>
  </r>
  <r>
    <x v="7"/>
    <x v="18"/>
    <n v="8"/>
    <s v="邮件发提单确认和费用确认给国外"/>
    <x v="38"/>
    <x v="0"/>
    <m/>
    <n v="-20"/>
  </r>
  <r>
    <x v="7"/>
    <x v="18"/>
    <n v="9"/>
    <s v="船开，制作提单领取单给师傅领WAYBILL"/>
    <x v="32"/>
    <x v="0"/>
    <m/>
    <n v="-16"/>
  </r>
  <r>
    <x v="7"/>
    <x v="18"/>
    <n v="10"/>
    <s v="拿到WAYBILL，扫描，和HBL一起发国外"/>
    <x v="32"/>
    <x v="0"/>
    <m/>
    <n v="-16"/>
  </r>
  <r>
    <x v="3"/>
    <x v="19"/>
    <n v="1"/>
    <s v="收到HMM Neo 下周订舱邮件"/>
    <x v="32"/>
    <x v="0"/>
    <s v="周一"/>
    <n v="-16"/>
  </r>
  <r>
    <x v="3"/>
    <x v="19"/>
    <n v="2"/>
    <s v="根据JS mobis订舱需求回Neo邮件"/>
    <x v="32"/>
    <x v="0"/>
    <s v="周一"/>
    <n v="-16"/>
  </r>
  <r>
    <x v="3"/>
    <x v="19"/>
    <n v="3"/>
    <s v="SHA GLV WORKING PROCESS"/>
    <x v="32"/>
    <x v="0"/>
    <s v="周一"/>
    <n v="-16"/>
  </r>
  <r>
    <x v="3"/>
    <x v="19"/>
    <n v="4"/>
    <s v="SHA GLV WORKING PROCESS"/>
    <x v="42"/>
    <x v="0"/>
    <s v="周三"/>
    <n v="-14"/>
  </r>
  <r>
    <x v="3"/>
    <x v="19"/>
    <n v="5"/>
    <s v="TJ glovis额外费用邮件"/>
    <x v="43"/>
    <x v="0"/>
    <s v="周五"/>
    <n v="-12"/>
  </r>
  <r>
    <x v="3"/>
    <x v="19"/>
    <n v="6"/>
    <s v="WORKING PROCESS"/>
    <x v="43"/>
    <x v="0"/>
    <s v="周五"/>
    <n v="-12"/>
  </r>
  <r>
    <x v="3"/>
    <x v="19"/>
    <n v="7"/>
    <s v="万盛出运清单（下午三点，改文件名）"/>
    <x v="43"/>
    <x v="0"/>
    <s v="周五"/>
    <n v="-12"/>
  </r>
  <r>
    <x v="3"/>
    <x v="19"/>
    <n v="8"/>
    <s v="HANSSEM 流水重做"/>
    <x v="44"/>
    <x v="0"/>
    <m/>
    <n v="-11"/>
  </r>
  <r>
    <x v="7"/>
    <x v="20"/>
    <n v="1"/>
    <s v="收到徐小姐托书"/>
    <x v="39"/>
    <x v="0"/>
    <m/>
    <n v="-22"/>
  </r>
  <r>
    <x v="7"/>
    <x v="20"/>
    <n v="2"/>
    <s v="公共盘表格生成单号，YJC系统复制、生成单子"/>
    <x v="39"/>
    <x v="0"/>
    <m/>
    <n v="-22"/>
  </r>
  <r>
    <x v="7"/>
    <x v="20"/>
    <n v="3"/>
    <s v="振华网站订舱、保存、提交，等待审核"/>
    <x v="39"/>
    <x v="0"/>
    <m/>
    <n v="-22"/>
  </r>
  <r>
    <x v="7"/>
    <x v="20"/>
    <n v="4"/>
    <s v="QQ发预配给徐小姐，邮件发确认给国外"/>
    <x v="39"/>
    <x v="0"/>
    <m/>
    <n v="-22"/>
  </r>
  <r>
    <x v="7"/>
    <x v="20"/>
    <n v="5"/>
    <s v="收到国外确认，公共盘表格红改黑"/>
    <x v="39"/>
    <x v="0"/>
    <m/>
    <n v="-22"/>
  </r>
  <r>
    <x v="7"/>
    <x v="20"/>
    <n v="6"/>
    <s v="收到车队江发来VGM表格"/>
    <x v="32"/>
    <x v="0"/>
    <s v="周三周一截，周日周五截"/>
    <n v="-16"/>
  </r>
  <r>
    <x v="7"/>
    <x v="20"/>
    <n v="7"/>
    <s v="YJC 截单，振华截单、截VGM"/>
    <x v="32"/>
    <x v="0"/>
    <m/>
    <n v="-16"/>
  </r>
  <r>
    <x v="7"/>
    <x v="20"/>
    <n v="8"/>
    <s v="邮件发提单确认和费用确认给国外"/>
    <x v="32"/>
    <x v="0"/>
    <m/>
    <n v="-16"/>
  </r>
  <r>
    <x v="7"/>
    <x v="20"/>
    <n v="9"/>
    <s v="船开，制作提单领取单给师傅领WAYBILL"/>
    <x v="45"/>
    <x v="0"/>
    <m/>
    <n v="-13"/>
  </r>
  <r>
    <x v="7"/>
    <x v="20"/>
    <n v="10"/>
    <s v="拿到WAYBILL，扫描，和HBL一起发国外"/>
    <x v="45"/>
    <x v="0"/>
    <m/>
    <n v="-13"/>
  </r>
  <r>
    <x v="1"/>
    <x v="20"/>
    <n v="1"/>
    <s v="收到客户(孙丹/王珊)发来订舱托书"/>
    <x v="27"/>
    <x v="0"/>
    <m/>
    <n v="-26"/>
  </r>
  <r>
    <x v="1"/>
    <x v="20"/>
    <n v="2"/>
    <s v="收到CK发来预配(做箱通知，沈丽有收到？)，完善YJC系统数据"/>
    <x v="39"/>
    <x v="0"/>
    <m/>
    <n v="-22"/>
  </r>
  <r>
    <x v="1"/>
    <x v="20"/>
    <n v="3"/>
    <s v="YJC系统生成单子"/>
    <x v="39"/>
    <x v="0"/>
    <m/>
    <n v="-22"/>
  </r>
  <r>
    <x v="1"/>
    <x v="20"/>
    <n v="4"/>
    <s v="收到包装厂(刘倩梅)发来包装指示书和装箱计划"/>
    <x v="38"/>
    <x v="0"/>
    <s v="一般周四"/>
    <n v="-20"/>
  </r>
  <r>
    <x v="1"/>
    <x v="20"/>
    <n v="5"/>
    <s v="根据装箱计划汇总包装数据，发各工厂做报关资料"/>
    <x v="38"/>
    <x v="0"/>
    <m/>
    <n v="-20"/>
  </r>
  <r>
    <x v="1"/>
    <x v="20"/>
    <n v="6"/>
    <s v="做做箱数据，邮件群发(开港时间)"/>
    <x v="38"/>
    <x v="0"/>
    <m/>
    <n v="-20"/>
  </r>
  <r>
    <x v="1"/>
    <x v="20"/>
    <n v="7"/>
    <s v="收到工厂发来报关资料并完善(代做报关资料跟客户确认)"/>
    <x v="32"/>
    <x v="0"/>
    <s v="当天至隔天"/>
    <n v="-16"/>
  </r>
  <r>
    <x v="1"/>
    <x v="20"/>
    <n v="7.1"/>
    <s v="三立的体积有问题，让客户重新提供，再发报关行"/>
    <x v="32"/>
    <x v="0"/>
    <m/>
    <n v="-16"/>
  </r>
  <r>
    <x v="1"/>
    <x v="20"/>
    <n v="8"/>
    <s v="报关资料齐了，发报关行(黄寅文)，货运模板/发票/箱单"/>
    <x v="32"/>
    <x v="0"/>
    <m/>
    <n v="-16"/>
  </r>
  <r>
    <x v="1"/>
    <x v="20"/>
    <n v="9"/>
    <s v="收到车队(沈丽)装箱单和洋山提箱截图(如有)，群发，通知发舱单"/>
    <x v="32"/>
    <x v="0"/>
    <s v="一般KMM五、HMI日"/>
    <n v="-16"/>
  </r>
  <r>
    <x v="1"/>
    <x v="20"/>
    <n v="9"/>
    <s v="收到舱单发送成功通知，核对舱单信息"/>
    <x v="32"/>
    <x v="0"/>
    <m/>
    <n v="-16"/>
  </r>
  <r>
    <x v="1"/>
    <x v="20"/>
    <n v="9"/>
    <s v="通知进港"/>
    <x v="32"/>
    <x v="0"/>
    <s v="调整顺序"/>
    <n v="-16"/>
  </r>
  <r>
    <x v="1"/>
    <x v="20"/>
    <n v="9"/>
    <s v="进港(核对数据)"/>
    <x v="32"/>
    <x v="0"/>
    <s v="调整顺序"/>
    <n v="-16"/>
  </r>
  <r>
    <x v="1"/>
    <x v="20"/>
    <n v="9"/>
    <s v="通知报关"/>
    <x v="32"/>
    <x v="0"/>
    <s v="调整顺序"/>
    <n v="-16"/>
  </r>
  <r>
    <x v="1"/>
    <x v="20"/>
    <n v="9"/>
    <s v="报关成功"/>
    <x v="32"/>
    <x v="0"/>
    <s v="调整顺序"/>
    <n v="-16"/>
  </r>
  <r>
    <x v="1"/>
    <x v="20"/>
    <n v="15"/>
    <s v="盯海放"/>
    <x v="32"/>
    <x v="0"/>
    <m/>
    <n v="-16"/>
  </r>
  <r>
    <x v="1"/>
    <x v="20"/>
    <n v="16"/>
    <s v="盯码放"/>
    <x v="46"/>
    <x v="0"/>
    <m/>
    <n v="-15"/>
  </r>
  <r>
    <x v="1"/>
    <x v="20"/>
    <n v="17"/>
    <s v="盯配载"/>
    <x v="42"/>
    <x v="0"/>
    <m/>
    <n v="-14"/>
  </r>
  <r>
    <x v="1"/>
    <x v="20"/>
    <n v="18"/>
    <s v="船开"/>
    <x v="45"/>
    <x v="0"/>
    <m/>
    <n v="-13"/>
  </r>
  <r>
    <x v="1"/>
    <x v="20"/>
    <n v="19"/>
    <s v="做费用(对账单日期4号)，放公共盘，填月账单表，发孙丹"/>
    <x v="45"/>
    <x v="0"/>
    <m/>
    <n v="-13"/>
  </r>
  <r>
    <x v="4"/>
    <x v="20"/>
    <n v="1"/>
    <s v="收到客户(徐贵)订舱预报"/>
    <x v="27"/>
    <x v="0"/>
    <s v="一般周五发隔周"/>
    <n v="-26"/>
  </r>
  <r>
    <x v="4"/>
    <x v="20"/>
    <n v="2"/>
    <s v="填WORKING PROCESS"/>
    <x v="27"/>
    <x v="0"/>
    <m/>
    <n v="-26"/>
  </r>
  <r>
    <x v="4"/>
    <x v="20"/>
    <n v="3"/>
    <s v="收到HMM(Neo)预订舱邮件通知"/>
    <x v="27"/>
    <x v="0"/>
    <s v="一般周一发下周"/>
    <n v="-26"/>
  </r>
  <r>
    <x v="4"/>
    <x v="20"/>
    <n v="4"/>
    <s v="回复HMM(Neo)预订舱邮件"/>
    <x v="27"/>
    <x v="0"/>
    <m/>
    <n v="-26"/>
  </r>
  <r>
    <x v="4"/>
    <x v="20"/>
    <n v="5"/>
    <s v="收到HMM(Neo)预订舱确认"/>
    <x v="39"/>
    <x v="0"/>
    <s v="一般马上"/>
    <n v="-22"/>
  </r>
  <r>
    <x v="4"/>
    <x v="20"/>
    <n v="6"/>
    <s v="公共盘生成提单号"/>
    <x v="39"/>
    <x v="0"/>
    <m/>
    <n v="-22"/>
  </r>
  <r>
    <x v="4"/>
    <x v="20"/>
    <n v="7"/>
    <s v="YJC系统生成单子"/>
    <x v="39"/>
    <x v="0"/>
    <m/>
    <n v="-22"/>
  </r>
  <r>
    <x v="4"/>
    <x v="20"/>
    <n v="8"/>
    <s v="发EDI"/>
    <x v="39"/>
    <x v="0"/>
    <m/>
    <n v="-22"/>
  </r>
  <r>
    <x v="4"/>
    <x v="20"/>
    <n v="9"/>
    <s v="邮件申请放单"/>
    <x v="39"/>
    <x v="0"/>
    <m/>
    <n v="-22"/>
  </r>
  <r>
    <x v="4"/>
    <x v="20"/>
    <n v="10"/>
    <s v="收到HMM(Neo) 放单确认"/>
    <x v="26"/>
    <x v="0"/>
    <s v="一般半天内"/>
    <n v="-21"/>
  </r>
  <r>
    <x v="4"/>
    <x v="20"/>
    <n v="11"/>
    <s v="HMM网站核对订舱信息"/>
    <x v="26"/>
    <x v="0"/>
    <m/>
    <n v="-21"/>
  </r>
  <r>
    <x v="4"/>
    <x v="20"/>
    <n v="12"/>
    <s v="收到客户(徐贵)做箱通知"/>
    <x v="26"/>
    <x v="0"/>
    <s v="一般做箱头天一早"/>
    <n v="-21"/>
  </r>
  <r>
    <x v="4"/>
    <x v="20"/>
    <n v="13"/>
    <s v="发做箱通知邮件给车队(沈丽)"/>
    <x v="26"/>
    <x v="0"/>
    <m/>
    <n v="-21"/>
  </r>
  <r>
    <x v="4"/>
    <x v="20"/>
    <n v="14"/>
    <s v="公共盘生成提单号【如需拆单】"/>
    <x v="26"/>
    <x v="0"/>
    <m/>
    <n v="-21"/>
  </r>
  <r>
    <x v="4"/>
    <x v="20"/>
    <n v="15"/>
    <s v="YJC系统生成单子【如需拆单】"/>
    <x v="26"/>
    <x v="0"/>
    <m/>
    <n v="-21"/>
  </r>
  <r>
    <x v="4"/>
    <x v="20"/>
    <n v="16"/>
    <s v="发EDI【如需拆单】"/>
    <x v="26"/>
    <x v="0"/>
    <m/>
    <n v="-21"/>
  </r>
  <r>
    <x v="4"/>
    <x v="20"/>
    <n v="17"/>
    <s v="邮件申请放单【如需拆单】"/>
    <x v="26"/>
    <x v="0"/>
    <m/>
    <n v="-21"/>
  </r>
  <r>
    <x v="4"/>
    <x v="20"/>
    <n v="18"/>
    <s v="收到HMM(Neo) 放单确认【如需拆单】"/>
    <x v="26"/>
    <x v="0"/>
    <m/>
    <n v="-21"/>
  </r>
  <r>
    <x v="4"/>
    <x v="20"/>
    <n v="19"/>
    <s v="HMM网站核对订舱信息【如需拆单】"/>
    <x v="26"/>
    <x v="0"/>
    <m/>
    <n v="-21"/>
  </r>
  <r>
    <x v="4"/>
    <x v="20"/>
    <n v="20"/>
    <s v="收到客户(徐贵)发来做箱数据(报关资料)"/>
    <x v="38"/>
    <x v="0"/>
    <s v="一般做箱当天一早"/>
    <n v="-20"/>
  </r>
  <r>
    <x v="4"/>
    <x v="20"/>
    <n v="21"/>
    <s v="按报关(发票)数生成提单号【如发票数超过提单数】"/>
    <x v="38"/>
    <x v="0"/>
    <m/>
    <n v="-20"/>
  </r>
  <r>
    <x v="4"/>
    <x v="20"/>
    <n v="22"/>
    <s v="做做箱数据，QQ发车队(沈丽)"/>
    <x v="38"/>
    <x v="0"/>
    <m/>
    <n v="-20"/>
  </r>
  <r>
    <x v="4"/>
    <x v="20"/>
    <n v="23"/>
    <s v="收到车队(沈丽)装箱单，转发客户（徐贵）"/>
    <x v="38"/>
    <x v="0"/>
    <s v="一般马上"/>
    <n v="-20"/>
  </r>
  <r>
    <x v="4"/>
    <x v="20"/>
    <n v="24"/>
    <s v="YJC系统截单，发EDI，邮件HMM(He)【截单时间】"/>
    <x v="38"/>
    <x v="0"/>
    <s v="注意截单时间"/>
    <n v="-20"/>
  </r>
  <r>
    <x v="4"/>
    <x v="20"/>
    <n v="25"/>
    <s v="发VGM和舱单"/>
    <x v="38"/>
    <x v="0"/>
    <m/>
    <n v="-20"/>
  </r>
  <r>
    <x v="4"/>
    <x v="20"/>
    <n v="26"/>
    <s v="做报关资料，扫描发报关行(黄寅文)QQ"/>
    <x v="38"/>
    <x v="0"/>
    <m/>
    <n v="-20"/>
  </r>
  <r>
    <x v="4"/>
    <x v="20"/>
    <n v="27"/>
    <s v="做保函给邹师傅"/>
    <x v="38"/>
    <x v="0"/>
    <m/>
    <n v="-20"/>
  </r>
  <r>
    <x v="4"/>
    <x v="20"/>
    <n v="28"/>
    <s v="做ISF，发国外资料"/>
    <x v="38"/>
    <x v="0"/>
    <m/>
    <n v="-20"/>
  </r>
  <r>
    <x v="4"/>
    <x v="20"/>
    <n v="29"/>
    <s v="买保险"/>
    <x v="38"/>
    <x v="0"/>
    <m/>
    <n v="-20"/>
  </r>
  <r>
    <x v="4"/>
    <x v="20"/>
    <n v="30"/>
    <s v="填WORKING PROCESS"/>
    <x v="38"/>
    <x v="0"/>
    <m/>
    <n v="-20"/>
  </r>
  <r>
    <x v="4"/>
    <x v="20"/>
    <n v="31"/>
    <s v="收到HMM(He)生成提单通知"/>
    <x v="38"/>
    <x v="0"/>
    <s v="一般马上"/>
    <n v="-20"/>
  </r>
  <r>
    <x v="4"/>
    <x v="20"/>
    <n v="32"/>
    <s v="HMM网站核对提单信息"/>
    <x v="38"/>
    <x v="0"/>
    <m/>
    <n v="-20"/>
  </r>
  <r>
    <x v="4"/>
    <x v="20"/>
    <n v="33"/>
    <s v="盯海关网站舱单"/>
    <x v="38"/>
    <x v="0"/>
    <s v="一般两小时左右"/>
    <n v="-20"/>
  </r>
  <r>
    <x v="4"/>
    <x v="20"/>
    <n v="34"/>
    <s v="核对舱单信息"/>
    <x v="38"/>
    <x v="0"/>
    <m/>
    <n v="-20"/>
  </r>
  <r>
    <x v="4"/>
    <x v="20"/>
    <n v="35"/>
    <s v="收到报关行(黄寅文)校对稿，邮件发客户(徐贵)确认"/>
    <x v="38"/>
    <x v="0"/>
    <s v="一般半天内"/>
    <n v="-20"/>
  </r>
  <r>
    <x v="4"/>
    <x v="20"/>
    <n v="36"/>
    <s v="收到客户(徐贵)确认校对稿"/>
    <x v="37"/>
    <x v="0"/>
    <s v="一般马上"/>
    <n v="-19"/>
  </r>
  <r>
    <x v="4"/>
    <x v="20"/>
    <n v="37"/>
    <s v="通知车队(沈丽)可进港"/>
    <x v="38"/>
    <x v="0"/>
    <m/>
    <n v="-20"/>
  </r>
  <r>
    <x v="4"/>
    <x v="20"/>
    <n v="38"/>
    <s v="盯箱子进港"/>
    <x v="47"/>
    <x v="0"/>
    <m/>
    <n v="-17"/>
  </r>
  <r>
    <x v="4"/>
    <x v="20"/>
    <n v="39"/>
    <s v="核对进港数据"/>
    <x v="32"/>
    <x v="0"/>
    <m/>
    <n v="-16"/>
  </r>
  <r>
    <x v="4"/>
    <x v="20"/>
    <n v="40"/>
    <s v="通知报关行(黄寅文)报关(开港、舱单、校对)"/>
    <x v="32"/>
    <x v="0"/>
    <m/>
    <n v="-16"/>
  </r>
  <r>
    <x v="4"/>
    <x v="20"/>
    <n v="41"/>
    <s v="收到报关成功通知"/>
    <x v="32"/>
    <x v="0"/>
    <s v="一般下班前"/>
    <n v="-16"/>
  </r>
  <r>
    <x v="4"/>
    <x v="20"/>
    <n v="42"/>
    <s v="盯海放"/>
    <x v="32"/>
    <x v="0"/>
    <m/>
    <n v="-16"/>
  </r>
  <r>
    <x v="4"/>
    <x v="20"/>
    <n v="43"/>
    <s v="盯码放"/>
    <x v="46"/>
    <x v="0"/>
    <m/>
    <n v="-15"/>
  </r>
  <r>
    <x v="4"/>
    <x v="20"/>
    <n v="44"/>
    <s v="盯配载"/>
    <x v="42"/>
    <x v="0"/>
    <m/>
    <n v="-14"/>
  </r>
  <r>
    <x v="4"/>
    <x v="20"/>
    <n v="45"/>
    <s v="做费用(月初等汇率)，发账单给石磊"/>
    <x v="45"/>
    <x v="0"/>
    <m/>
    <n v="-13"/>
  </r>
  <r>
    <x v="4"/>
    <x v="20"/>
    <n v="46"/>
    <s v="船开"/>
    <x v="45"/>
    <x v="0"/>
    <m/>
    <n v="-13"/>
  </r>
  <r>
    <x v="4"/>
    <x v="20"/>
    <n v="46.1"/>
    <s v="更改封号保函"/>
    <x v="45"/>
    <x v="0"/>
    <m/>
    <n v="-13"/>
  </r>
  <r>
    <x v="4"/>
    <x v="20"/>
    <n v="47"/>
    <s v="封号改好后重新放单"/>
    <x v="45"/>
    <x v="0"/>
    <s v="一般开船后两三天"/>
    <n v="-13"/>
  </r>
  <r>
    <x v="2"/>
    <x v="20"/>
    <n v="1"/>
    <s v="收到客户(孙丹/王珊)发来订舱托书"/>
    <x v="0"/>
    <x v="0"/>
    <m/>
    <n v="-28"/>
  </r>
  <r>
    <x v="2"/>
    <x v="20"/>
    <n v="2"/>
    <s v="收到CK发来预配(做箱通知，沈丽有收到？)，完善YJC系统数据"/>
    <x v="0"/>
    <x v="0"/>
    <m/>
    <n v="-28"/>
  </r>
  <r>
    <x v="2"/>
    <x v="20"/>
    <n v="3"/>
    <s v="YJC系统生成单子"/>
    <x v="29"/>
    <x v="0"/>
    <m/>
    <n v="-27"/>
  </r>
  <r>
    <x v="2"/>
    <x v="20"/>
    <n v="4"/>
    <s v="收到包装厂(刘倩梅)发来包装指示书和装箱计划"/>
    <x v="26"/>
    <x v="0"/>
    <s v="一般周四"/>
    <n v="-21"/>
  </r>
  <r>
    <x v="2"/>
    <x v="20"/>
    <n v="5"/>
    <s v="根据装箱计划汇总包装数据，发各工厂做报关资料"/>
    <x v="26"/>
    <x v="0"/>
    <m/>
    <n v="-21"/>
  </r>
  <r>
    <x v="2"/>
    <x v="20"/>
    <n v="6"/>
    <s v="做做箱数据，邮件群发(开港时间)"/>
    <x v="26"/>
    <x v="0"/>
    <m/>
    <n v="-21"/>
  </r>
  <r>
    <x v="2"/>
    <x v="20"/>
    <n v="7"/>
    <s v="收到工厂发来报关资料并完善(代做报关资料跟客户确认)"/>
    <x v="26"/>
    <x v="0"/>
    <s v="当天至隔天"/>
    <n v="-21"/>
  </r>
  <r>
    <x v="2"/>
    <x v="20"/>
    <n v="8"/>
    <s v="报关资料齐了，发报关行(黄寅文)，货运模板/发票/箱单"/>
    <x v="26"/>
    <x v="0"/>
    <m/>
    <n v="-21"/>
  </r>
  <r>
    <x v="2"/>
    <x v="20"/>
    <n v="9"/>
    <s v="收到车队(沈丽)装箱单和洋山提箱截图(如有)，群发，通知发舱单"/>
    <x v="38"/>
    <x v="0"/>
    <s v="一般KMM五、HMI日"/>
    <n v="-20"/>
  </r>
  <r>
    <x v="2"/>
    <x v="20"/>
    <n v="10"/>
    <s v="收到舱单发送成功通知，核对舱单信息"/>
    <x v="38"/>
    <x v="0"/>
    <m/>
    <n v="-20"/>
  </r>
  <r>
    <x v="2"/>
    <x v="20"/>
    <n v="11"/>
    <s v="通知报关"/>
    <x v="38"/>
    <x v="0"/>
    <s v="调整顺序"/>
    <n v="-20"/>
  </r>
  <r>
    <x v="2"/>
    <x v="20"/>
    <n v="12"/>
    <s v="报关成功"/>
    <x v="38"/>
    <x v="0"/>
    <s v="调整顺序"/>
    <n v="-20"/>
  </r>
  <r>
    <x v="2"/>
    <x v="20"/>
    <n v="13"/>
    <s v="通知进港"/>
    <x v="38"/>
    <x v="0"/>
    <s v="调整顺序"/>
    <n v="-20"/>
  </r>
  <r>
    <x v="2"/>
    <x v="20"/>
    <n v="14"/>
    <s v="进港(核对数据)"/>
    <x v="32"/>
    <x v="0"/>
    <s v="调整顺序"/>
    <n v="-16"/>
  </r>
  <r>
    <x v="2"/>
    <x v="20"/>
    <n v="15"/>
    <s v="盯海放"/>
    <x v="32"/>
    <x v="0"/>
    <m/>
    <n v="-16"/>
  </r>
  <r>
    <x v="2"/>
    <x v="20"/>
    <n v="16"/>
    <s v="盯码放"/>
    <x v="32"/>
    <x v="0"/>
    <m/>
    <n v="-16"/>
  </r>
  <r>
    <x v="2"/>
    <x v="20"/>
    <n v="17"/>
    <s v="盯配载"/>
    <x v="46"/>
    <x v="0"/>
    <m/>
    <n v="-15"/>
  </r>
  <r>
    <x v="2"/>
    <x v="20"/>
    <n v="18"/>
    <s v="盯船开"/>
    <x v="42"/>
    <x v="0"/>
    <m/>
    <n v="-14"/>
  </r>
  <r>
    <x v="2"/>
    <x v="20"/>
    <n v="20"/>
    <s v="做费用(对账单日期4号)，放公共盘，填月账单表，发孙丹"/>
    <x v="42"/>
    <x v="0"/>
    <m/>
    <n v="-14"/>
  </r>
  <r>
    <x v="4"/>
    <x v="21"/>
    <n v="1"/>
    <s v="收到客户(徐贵)订舱预报"/>
    <x v="27"/>
    <x v="0"/>
    <s v="一般周五发隔周"/>
    <n v="-26"/>
  </r>
  <r>
    <x v="4"/>
    <x v="21"/>
    <n v="2"/>
    <s v="填WORKING PROCESS"/>
    <x v="27"/>
    <x v="0"/>
    <m/>
    <n v="-26"/>
  </r>
  <r>
    <x v="4"/>
    <x v="21"/>
    <n v="3"/>
    <s v="收到HMM(Neo)预订舱邮件通知"/>
    <x v="27"/>
    <x v="0"/>
    <s v="一般周一发下周"/>
    <n v="-26"/>
  </r>
  <r>
    <x v="4"/>
    <x v="21"/>
    <n v="4"/>
    <s v="回复HMM(Neo)预订舱邮件"/>
    <x v="27"/>
    <x v="0"/>
    <m/>
    <n v="-26"/>
  </r>
  <r>
    <x v="4"/>
    <x v="21"/>
    <n v="5"/>
    <s v="收到HMM(Neo)预订舱确认"/>
    <x v="39"/>
    <x v="0"/>
    <s v="一般马上"/>
    <n v="-22"/>
  </r>
  <r>
    <x v="4"/>
    <x v="21"/>
    <n v="6"/>
    <s v="公共盘生成提单号"/>
    <x v="39"/>
    <x v="0"/>
    <m/>
    <n v="-22"/>
  </r>
  <r>
    <x v="4"/>
    <x v="21"/>
    <n v="7"/>
    <s v="YJC系统生成单子"/>
    <x v="39"/>
    <x v="0"/>
    <m/>
    <n v="-22"/>
  </r>
  <r>
    <x v="4"/>
    <x v="21"/>
    <n v="8"/>
    <s v="发EDI"/>
    <x v="39"/>
    <x v="0"/>
    <m/>
    <n v="-22"/>
  </r>
  <r>
    <x v="4"/>
    <x v="21"/>
    <n v="9"/>
    <s v="邮件申请放单"/>
    <x v="39"/>
    <x v="0"/>
    <m/>
    <n v="-22"/>
  </r>
  <r>
    <x v="4"/>
    <x v="21"/>
    <n v="10"/>
    <s v="收到HMM(Neo) 放单确认"/>
    <x v="26"/>
    <x v="0"/>
    <s v="一般半天内"/>
    <n v="-21"/>
  </r>
  <r>
    <x v="4"/>
    <x v="21"/>
    <n v="11"/>
    <s v="HMM网站核对订舱信息"/>
    <x v="26"/>
    <x v="0"/>
    <m/>
    <n v="-21"/>
  </r>
  <r>
    <x v="4"/>
    <x v="21"/>
    <n v="12"/>
    <s v="收到客户(徐贵)做箱通知"/>
    <x v="32"/>
    <x v="0"/>
    <s v="一般做箱头天一早"/>
    <n v="-16"/>
  </r>
  <r>
    <x v="4"/>
    <x v="21"/>
    <n v="13"/>
    <s v="发做箱通知邮件给车队(沈丽)【确认港区航次！！！】"/>
    <x v="32"/>
    <x v="0"/>
    <m/>
    <n v="-16"/>
  </r>
  <r>
    <x v="4"/>
    <x v="21"/>
    <n v="14"/>
    <s v="公共盘生成提单号【如需拆单】"/>
    <x v="32"/>
    <x v="0"/>
    <m/>
    <n v="-16"/>
  </r>
  <r>
    <x v="4"/>
    <x v="21"/>
    <n v="15"/>
    <s v="YJC系统生成单子【如需拆单】"/>
    <x v="32"/>
    <x v="0"/>
    <m/>
    <n v="-16"/>
  </r>
  <r>
    <x v="4"/>
    <x v="21"/>
    <n v="16"/>
    <s v="发EDI【如需拆单】"/>
    <x v="32"/>
    <x v="0"/>
    <m/>
    <n v="-16"/>
  </r>
  <r>
    <x v="4"/>
    <x v="21"/>
    <n v="17"/>
    <s v="邮件申请放单【如需拆单】"/>
    <x v="32"/>
    <x v="0"/>
    <m/>
    <n v="-16"/>
  </r>
  <r>
    <x v="4"/>
    <x v="21"/>
    <n v="18"/>
    <s v="收到HMM(Neo) 放单确认【如需拆单】"/>
    <x v="32"/>
    <x v="0"/>
    <m/>
    <n v="-16"/>
  </r>
  <r>
    <x v="4"/>
    <x v="21"/>
    <n v="19"/>
    <s v="HMM网站核对订舱信息【如需拆单】"/>
    <x v="32"/>
    <x v="0"/>
    <m/>
    <n v="-16"/>
  </r>
  <r>
    <x v="4"/>
    <x v="21"/>
    <n v="20"/>
    <s v="收到客户(徐贵)发来做箱数据(报关资料)"/>
    <x v="46"/>
    <x v="0"/>
    <s v="一般做箱当天一早"/>
    <n v="-15"/>
  </r>
  <r>
    <x v="4"/>
    <x v="21"/>
    <n v="21"/>
    <s v="按报关(发票)数生成提单号【如发票数超过提单数】"/>
    <x v="46"/>
    <x v="0"/>
    <m/>
    <n v="-15"/>
  </r>
  <r>
    <x v="4"/>
    <x v="21"/>
    <n v="22"/>
    <s v="做做箱数据，QQ发车队(沈丽)"/>
    <x v="46"/>
    <x v="0"/>
    <m/>
    <n v="-15"/>
  </r>
  <r>
    <x v="4"/>
    <x v="21"/>
    <n v="23"/>
    <s v="收到车队(沈丽)装箱单，转发客户（徐贵）"/>
    <x v="46"/>
    <x v="0"/>
    <s v="一般马上"/>
    <n v="-15"/>
  </r>
  <r>
    <x v="4"/>
    <x v="21"/>
    <n v="24"/>
    <s v="YJC系统截单，发EDI，邮件HMM(He)【截单时间】"/>
    <x v="46"/>
    <x v="0"/>
    <s v="注意截单时间"/>
    <n v="-15"/>
  </r>
  <r>
    <x v="4"/>
    <x v="21"/>
    <n v="25"/>
    <s v="发VGM和舱单"/>
    <x v="46"/>
    <x v="0"/>
    <m/>
    <n v="-15"/>
  </r>
  <r>
    <x v="4"/>
    <x v="21"/>
    <n v="26"/>
    <s v="做报关资料，扫描发报关行(黄寅文)QQ"/>
    <x v="46"/>
    <x v="0"/>
    <m/>
    <n v="-15"/>
  </r>
  <r>
    <x v="4"/>
    <x v="21"/>
    <n v="27"/>
    <s v="做保函给邹师傅"/>
    <x v="46"/>
    <x v="0"/>
    <m/>
    <n v="-15"/>
  </r>
  <r>
    <x v="4"/>
    <x v="21"/>
    <n v="28"/>
    <s v="做ISF，发国外资料"/>
    <x v="46"/>
    <x v="0"/>
    <m/>
    <n v="-15"/>
  </r>
  <r>
    <x v="4"/>
    <x v="21"/>
    <n v="29"/>
    <s v="买保险"/>
    <x v="46"/>
    <x v="0"/>
    <m/>
    <n v="-15"/>
  </r>
  <r>
    <x v="4"/>
    <x v="21"/>
    <n v="30"/>
    <s v="填WORKING PROCESS"/>
    <x v="46"/>
    <x v="0"/>
    <m/>
    <n v="-15"/>
  </r>
  <r>
    <x v="4"/>
    <x v="21"/>
    <n v="31"/>
    <s v="收到HMM(He)生成提单通知"/>
    <x v="46"/>
    <x v="0"/>
    <s v="一般马上"/>
    <n v="-15"/>
  </r>
  <r>
    <x v="4"/>
    <x v="21"/>
    <n v="32"/>
    <s v="HMM网站核对提单信息"/>
    <x v="46"/>
    <x v="0"/>
    <m/>
    <n v="-15"/>
  </r>
  <r>
    <x v="4"/>
    <x v="21"/>
    <n v="33"/>
    <s v="盯海关网站舱单"/>
    <x v="42"/>
    <x v="0"/>
    <s v="一般两小时左右"/>
    <n v="-14"/>
  </r>
  <r>
    <x v="4"/>
    <x v="21"/>
    <n v="34"/>
    <s v="核对舱单信息"/>
    <x v="42"/>
    <x v="0"/>
    <m/>
    <n v="-14"/>
  </r>
  <r>
    <x v="4"/>
    <x v="21"/>
    <n v="35"/>
    <s v="收到报关行(黄寅文)校对稿，邮件发客户(徐贵)确认"/>
    <x v="42"/>
    <x v="0"/>
    <s v="一般半天内"/>
    <n v="-14"/>
  </r>
  <r>
    <x v="4"/>
    <x v="21"/>
    <n v="36"/>
    <s v="收到客户(徐贵)确认校对稿"/>
    <x v="42"/>
    <x v="0"/>
    <s v="一般马上"/>
    <n v="-14"/>
  </r>
  <r>
    <x v="4"/>
    <x v="21"/>
    <n v="37"/>
    <s v="通知报关行(黄寅文)报关(开港、舱单、校对)"/>
    <x v="42"/>
    <x v="0"/>
    <m/>
    <n v="-14"/>
  </r>
  <r>
    <x v="4"/>
    <x v="21"/>
    <n v="38"/>
    <s v="收到报关成功通知"/>
    <x v="42"/>
    <x v="0"/>
    <s v="一般下班前"/>
    <n v="-14"/>
  </r>
  <r>
    <x v="4"/>
    <x v="21"/>
    <n v="39"/>
    <s v="通知车队(沈丽)可进港"/>
    <x v="42"/>
    <x v="0"/>
    <m/>
    <n v="-14"/>
  </r>
  <r>
    <x v="4"/>
    <x v="21"/>
    <n v="40"/>
    <s v="盯箱子进港"/>
    <x v="45"/>
    <x v="0"/>
    <m/>
    <n v="-13"/>
  </r>
  <r>
    <x v="4"/>
    <x v="21"/>
    <n v="41"/>
    <s v="核对进港数据"/>
    <x v="45"/>
    <x v="0"/>
    <m/>
    <n v="-13"/>
  </r>
  <r>
    <x v="4"/>
    <x v="21"/>
    <n v="42"/>
    <s v="盯海放"/>
    <x v="45"/>
    <x v="0"/>
    <m/>
    <n v="-13"/>
  </r>
  <r>
    <x v="4"/>
    <x v="21"/>
    <n v="43"/>
    <s v="盯码放"/>
    <x v="45"/>
    <x v="0"/>
    <m/>
    <n v="-13"/>
  </r>
  <r>
    <x v="4"/>
    <x v="21"/>
    <n v="44"/>
    <s v="盯配载"/>
    <x v="45"/>
    <x v="0"/>
    <m/>
    <n v="-13"/>
  </r>
  <r>
    <x v="4"/>
    <x v="21"/>
    <n v="45"/>
    <s v="做费用(月初等汇率)，发账单给石磊"/>
    <x v="45"/>
    <x v="0"/>
    <m/>
    <n v="-13"/>
  </r>
  <r>
    <x v="4"/>
    <x v="21"/>
    <n v="46"/>
    <s v="船开"/>
    <x v="48"/>
    <x v="0"/>
    <m/>
    <n v="-9"/>
  </r>
  <r>
    <x v="4"/>
    <x v="21"/>
    <n v="47"/>
    <s v="放单"/>
    <x v="49"/>
    <x v="0"/>
    <s v="一般开船后两三天"/>
    <n v="-7"/>
  </r>
  <r>
    <x v="7"/>
    <x v="22"/>
    <n v="1"/>
    <s v="收到徐小姐托书"/>
    <x v="39"/>
    <x v="0"/>
    <m/>
    <n v="-22"/>
  </r>
  <r>
    <x v="7"/>
    <x v="22"/>
    <n v="2"/>
    <s v="公共盘表格生成单号，YJC系统复制、生成单子"/>
    <x v="39"/>
    <x v="0"/>
    <m/>
    <n v="-22"/>
  </r>
  <r>
    <x v="7"/>
    <x v="22"/>
    <n v="3"/>
    <s v="振华网站订舱、保存、提交，等待审核"/>
    <x v="39"/>
    <x v="0"/>
    <m/>
    <n v="-22"/>
  </r>
  <r>
    <x v="7"/>
    <x v="22"/>
    <n v="4"/>
    <s v="QQ发预配给徐小姐，邮件发确认给国外"/>
    <x v="39"/>
    <x v="0"/>
    <m/>
    <n v="-22"/>
  </r>
  <r>
    <x v="7"/>
    <x v="22"/>
    <n v="5"/>
    <s v="收到国外确认，公共盘表格红改黑"/>
    <x v="39"/>
    <x v="0"/>
    <m/>
    <n v="-22"/>
  </r>
  <r>
    <x v="7"/>
    <x v="22"/>
    <n v="6"/>
    <s v="收到车队江发来VGM表格"/>
    <x v="43"/>
    <x v="0"/>
    <s v="周三周一截，周日周五截"/>
    <n v="-12"/>
  </r>
  <r>
    <x v="7"/>
    <x v="22"/>
    <n v="7"/>
    <s v="YJC 截单，振华截单、截VGM"/>
    <x v="43"/>
    <x v="0"/>
    <m/>
    <n v="-12"/>
  </r>
  <r>
    <x v="7"/>
    <x v="22"/>
    <n v="8"/>
    <s v="邮件发提单确认和费用确认给国外"/>
    <x v="43"/>
    <x v="0"/>
    <m/>
    <n v="-12"/>
  </r>
  <r>
    <x v="7"/>
    <x v="22"/>
    <n v="9"/>
    <s v="船开，制作提单领取单给师傅领WAYBILL"/>
    <x v="48"/>
    <x v="0"/>
    <m/>
    <n v="-9"/>
  </r>
  <r>
    <x v="7"/>
    <x v="22"/>
    <n v="9.1"/>
    <s v="制作提单领取单应该WEEK项目里，改流水和单票流程"/>
    <x v="49"/>
    <x v="0"/>
    <m/>
    <n v="-7"/>
  </r>
  <r>
    <x v="7"/>
    <x v="22"/>
    <n v="10"/>
    <s v="拿到WAYBILL，扫描，和HBL一起发国外"/>
    <x v="48"/>
    <x v="0"/>
    <m/>
    <n v="-9"/>
  </r>
  <r>
    <x v="3"/>
    <x v="23"/>
    <n v="1"/>
    <s v="PANCON上周日船期提单领取单"/>
    <x v="48"/>
    <x v="0"/>
    <s v="周一"/>
    <n v="-9"/>
  </r>
  <r>
    <x v="3"/>
    <x v="23"/>
    <n v="2"/>
    <s v="PANCON本周三出运清单"/>
    <x v="48"/>
    <x v="0"/>
    <s v="周一"/>
    <n v="-9"/>
  </r>
  <r>
    <x v="3"/>
    <x v="23"/>
    <n v="3"/>
    <s v="WORKING PROCESS"/>
    <x v="48"/>
    <x v="0"/>
    <s v="周一"/>
    <n v="-9"/>
  </r>
  <r>
    <x v="3"/>
    <x v="23"/>
    <n v="4"/>
    <s v="WORKING PROCESS"/>
    <x v="49"/>
    <x v="0"/>
    <s v="周三"/>
    <n v="-7"/>
  </r>
  <r>
    <x v="3"/>
    <x v="23"/>
    <n v="4.0999999999999996"/>
    <s v="张婷确认账单后APP，开发票，跟踪快递"/>
    <x v="50"/>
    <x v="0"/>
    <s v="周三"/>
    <n v="-5"/>
  </r>
  <r>
    <x v="3"/>
    <x v="23"/>
    <n v="5"/>
    <s v="PANCON周四船期提单领取单"/>
    <x v="19"/>
    <x v="0"/>
    <s v="周四"/>
    <n v="-6"/>
  </r>
  <r>
    <x v="3"/>
    <x v="23"/>
    <n v="6"/>
    <s v="收到HMM Neo 下周订舱邮件"/>
    <x v="50"/>
    <x v="0"/>
    <s v="周五"/>
    <n v="-5"/>
  </r>
  <r>
    <x v="3"/>
    <x v="23"/>
    <n v="7"/>
    <s v="和 JS mobis、SC glovis确认订舱需求回Neo邮件"/>
    <x v="50"/>
    <x v="0"/>
    <s v="周五"/>
    <n v="-5"/>
  </r>
  <r>
    <x v="3"/>
    <x v="23"/>
    <n v="8"/>
    <s v="TJ glovis额外费用邮件"/>
    <x v="50"/>
    <x v="0"/>
    <s v="周五"/>
    <n v="-5"/>
  </r>
  <r>
    <x v="3"/>
    <x v="23"/>
    <n v="9"/>
    <s v="WORKING PROCESS"/>
    <x v="50"/>
    <x v="0"/>
    <s v="周五"/>
    <n v="-5"/>
  </r>
  <r>
    <x v="3"/>
    <x v="23"/>
    <n v="10"/>
    <s v="PANCON出运清单"/>
    <x v="50"/>
    <x v="0"/>
    <s v="周五"/>
    <n v="-5"/>
  </r>
  <r>
    <x v="3"/>
    <x v="23"/>
    <n v="11"/>
    <s v="下周 WEEK"/>
    <x v="50"/>
    <x v="0"/>
    <s v="周五"/>
    <n v="-5"/>
  </r>
  <r>
    <x v="3"/>
    <x v="23"/>
    <n v="12"/>
    <s v="问SC glovis 和 JS mobis 下下周订舱计划"/>
    <x v="50"/>
    <x v="0"/>
    <s v="周五"/>
    <n v="-5"/>
  </r>
  <r>
    <x v="3"/>
    <x v="23"/>
    <n v="13"/>
    <s v="收到JS mobis 下下周订舱计划"/>
    <x v="50"/>
    <x v="0"/>
    <s v="周五"/>
    <n v="-5"/>
  </r>
  <r>
    <x v="3"/>
    <x v="23"/>
    <n v="14"/>
    <s v="收到SC glovis 下下周订舱计划"/>
    <x v="50"/>
    <x v="0"/>
    <s v="周五"/>
    <n v="-5"/>
  </r>
  <r>
    <x v="3"/>
    <x v="23"/>
    <n v="15"/>
    <s v="收到Neo 下下周订舱预报邮件"/>
    <x v="50"/>
    <x v="0"/>
    <s v="周五"/>
    <n v="-5"/>
  </r>
  <r>
    <x v="3"/>
    <x v="23"/>
    <n v="16"/>
    <s v="回复Neo 下下周订舱预报邮件"/>
    <x v="50"/>
    <x v="0"/>
    <s v="周五"/>
    <n v="-5"/>
  </r>
  <r>
    <x v="3"/>
    <x v="23"/>
    <n v="17"/>
    <s v="收到Neo 下下周订舱预报确认"/>
    <x v="50"/>
    <x v="0"/>
    <s v="周五"/>
    <n v="-5"/>
  </r>
  <r>
    <x v="7"/>
    <x v="24"/>
    <n v="1"/>
    <s v="收到徐小姐托书"/>
    <x v="39"/>
    <x v="0"/>
    <m/>
    <n v="-22"/>
  </r>
  <r>
    <x v="7"/>
    <x v="24"/>
    <n v="2"/>
    <s v="公共盘表格生成单号，YJC系统复制、生成单子"/>
    <x v="39"/>
    <x v="0"/>
    <m/>
    <n v="-22"/>
  </r>
  <r>
    <x v="7"/>
    <x v="24"/>
    <n v="3"/>
    <s v="振华网站订舱、保存、提交，等待审核"/>
    <x v="39"/>
    <x v="0"/>
    <m/>
    <n v="-22"/>
  </r>
  <r>
    <x v="7"/>
    <x v="24"/>
    <n v="4"/>
    <s v="振华审核通过，QQ发预配给徐小姐，邮件发确认给国外"/>
    <x v="32"/>
    <x v="0"/>
    <m/>
    <n v="-16"/>
  </r>
  <r>
    <x v="7"/>
    <x v="24"/>
    <n v="5"/>
    <s v="收到国外确认，公共盘表格红改黑"/>
    <x v="42"/>
    <x v="0"/>
    <m/>
    <n v="-14"/>
  </r>
  <r>
    <x v="7"/>
    <x v="24"/>
    <n v="6"/>
    <s v="收到车队江发来VGM表格"/>
    <x v="48"/>
    <x v="0"/>
    <s v="周三周一截，周日周五截"/>
    <n v="-9"/>
  </r>
  <r>
    <x v="7"/>
    <x v="24"/>
    <n v="7"/>
    <s v="YJC 截单，振华截单、截VGM"/>
    <x v="48"/>
    <x v="0"/>
    <m/>
    <n v="-9"/>
  </r>
  <r>
    <x v="7"/>
    <x v="24"/>
    <n v="8"/>
    <s v="邮件发提单确认和费用确认给国外"/>
    <x v="48"/>
    <x v="0"/>
    <m/>
    <n v="-9"/>
  </r>
  <r>
    <x v="7"/>
    <x v="24"/>
    <n v="9"/>
    <s v="船开，制作提单领取单给师傅领WAYBILL"/>
    <x v="19"/>
    <x v="0"/>
    <m/>
    <n v="-6"/>
  </r>
  <r>
    <x v="7"/>
    <x v="24"/>
    <n v="10"/>
    <s v="拿到WAYBILL，扫描，和HBL一起发国外"/>
    <x v="19"/>
    <x v="0"/>
    <m/>
    <n v="-6"/>
  </r>
  <r>
    <x v="1"/>
    <x v="24"/>
    <n v="1"/>
    <s v="收到客户(孙丹/王珊)发来订舱托书"/>
    <x v="38"/>
    <x v="0"/>
    <m/>
    <n v="-20"/>
  </r>
  <r>
    <x v="1"/>
    <x v="24"/>
    <n v="2"/>
    <s v="收到CK发来预配(做箱通知，沈丽有收到？)，完善YJC系统数据"/>
    <x v="46"/>
    <x v="0"/>
    <m/>
    <n v="-15"/>
  </r>
  <r>
    <x v="1"/>
    <x v="24"/>
    <n v="3"/>
    <s v="YJC系统生成单子"/>
    <x v="46"/>
    <x v="0"/>
    <m/>
    <n v="-15"/>
  </r>
  <r>
    <x v="1"/>
    <x v="24"/>
    <n v="4"/>
    <s v="收到包装厂(刘倩梅)发来包装指示书和装箱计划"/>
    <x v="43"/>
    <x v="0"/>
    <s v="一般周四"/>
    <n v="-12"/>
  </r>
  <r>
    <x v="1"/>
    <x v="24"/>
    <n v="5"/>
    <s v="根据装箱计划汇总包装数据，发各工厂做报关资料"/>
    <x v="43"/>
    <x v="0"/>
    <m/>
    <n v="-12"/>
  </r>
  <r>
    <x v="1"/>
    <x v="24"/>
    <n v="6"/>
    <s v="做做箱数据，邮件群发(开港时间)"/>
    <x v="43"/>
    <x v="0"/>
    <m/>
    <n v="-12"/>
  </r>
  <r>
    <x v="1"/>
    <x v="24"/>
    <n v="7"/>
    <s v="收到工厂发来报关资料并完善(代做报关资料跟客户确认)"/>
    <x v="48"/>
    <x v="0"/>
    <s v="当天至隔天"/>
    <n v="-9"/>
  </r>
  <r>
    <x v="1"/>
    <x v="24"/>
    <n v="8"/>
    <s v="报关资料齐了，发报关行(黄寅文)，货运模板/发票/箱单"/>
    <x v="48"/>
    <x v="0"/>
    <m/>
    <n v="-9"/>
  </r>
  <r>
    <x v="1"/>
    <x v="24"/>
    <n v="9"/>
    <s v="通知进港"/>
    <x v="43"/>
    <x v="0"/>
    <s v="调整顺序"/>
    <n v="-12"/>
  </r>
  <r>
    <x v="1"/>
    <x v="24"/>
    <n v="10"/>
    <s v="进港(核对数据)"/>
    <x v="48"/>
    <x v="0"/>
    <s v="调整顺序"/>
    <n v="-9"/>
  </r>
  <r>
    <x v="1"/>
    <x v="24"/>
    <n v="11"/>
    <s v="收到车队(沈丽)装箱单和洋山提箱截图(如有)，9点前群发，通知发舱单"/>
    <x v="48"/>
    <x v="0"/>
    <s v="一般KMM五、HMI日"/>
    <n v="-9"/>
  </r>
  <r>
    <x v="1"/>
    <x v="24"/>
    <n v="12"/>
    <s v="收到舱单发送成功通知，核对舱单信息"/>
    <x v="48"/>
    <x v="0"/>
    <m/>
    <n v="-9"/>
  </r>
  <r>
    <x v="1"/>
    <x v="24"/>
    <n v="13"/>
    <s v="通知报关"/>
    <x v="48"/>
    <x v="0"/>
    <s v="调整顺序"/>
    <n v="-9"/>
  </r>
  <r>
    <x v="1"/>
    <x v="24"/>
    <n v="14"/>
    <s v="报关成功"/>
    <x v="48"/>
    <x v="0"/>
    <s v="调整顺序"/>
    <n v="-9"/>
  </r>
  <r>
    <x v="1"/>
    <x v="24"/>
    <n v="15"/>
    <s v="盯海放"/>
    <x v="48"/>
    <x v="0"/>
    <m/>
    <n v="-9"/>
  </r>
  <r>
    <x v="1"/>
    <x v="24"/>
    <n v="16"/>
    <s v="盯码放"/>
    <x v="48"/>
    <x v="0"/>
    <m/>
    <n v="-9"/>
  </r>
  <r>
    <x v="1"/>
    <x v="24"/>
    <n v="17"/>
    <s v="盯配载"/>
    <x v="49"/>
    <x v="0"/>
    <m/>
    <n v="-7"/>
  </r>
  <r>
    <x v="1"/>
    <x v="24"/>
    <n v="18"/>
    <s v="盯船开"/>
    <x v="19"/>
    <x v="0"/>
    <m/>
    <n v="-6"/>
  </r>
  <r>
    <x v="1"/>
    <x v="24"/>
    <n v="19"/>
    <s v="做费用(对账单日期4号)，放公共盘，填月账单表，发孙丹"/>
    <x v="49"/>
    <x v="0"/>
    <m/>
    <n v="-7"/>
  </r>
  <r>
    <x v="4"/>
    <x v="24"/>
    <n v="1"/>
    <s v="收到客户(徐贵)订舱预报"/>
    <x v="32"/>
    <x v="0"/>
    <s v="一般周五发隔周"/>
    <n v="-16"/>
  </r>
  <r>
    <x v="4"/>
    <x v="24"/>
    <n v="2"/>
    <s v="填WORKING PROCESS"/>
    <x v="32"/>
    <x v="0"/>
    <m/>
    <n v="-16"/>
  </r>
  <r>
    <x v="4"/>
    <x v="24"/>
    <n v="3"/>
    <s v="收到HMM(Neo)预订舱邮件通知"/>
    <x v="32"/>
    <x v="0"/>
    <s v="一般周一发下周"/>
    <n v="-16"/>
  </r>
  <r>
    <x v="4"/>
    <x v="24"/>
    <n v="4"/>
    <s v="回复HMM(Neo)预订舱邮件"/>
    <x v="32"/>
    <x v="0"/>
    <m/>
    <n v="-16"/>
  </r>
  <r>
    <x v="4"/>
    <x v="24"/>
    <n v="5"/>
    <s v="收到HMM(Neo)预订舱确认"/>
    <x v="46"/>
    <x v="0"/>
    <s v="一般马上"/>
    <n v="-15"/>
  </r>
  <r>
    <x v="4"/>
    <x v="24"/>
    <n v="6"/>
    <s v="公共盘生成提单号"/>
    <x v="46"/>
    <x v="0"/>
    <m/>
    <n v="-15"/>
  </r>
  <r>
    <x v="4"/>
    <x v="24"/>
    <n v="7"/>
    <s v="YJC系统生成单子"/>
    <x v="46"/>
    <x v="0"/>
    <m/>
    <n v="-15"/>
  </r>
  <r>
    <x v="4"/>
    <x v="24"/>
    <n v="8"/>
    <s v="发EDI"/>
    <x v="46"/>
    <x v="0"/>
    <m/>
    <n v="-15"/>
  </r>
  <r>
    <x v="4"/>
    <x v="24"/>
    <n v="9"/>
    <s v="邮件申请放单"/>
    <x v="46"/>
    <x v="0"/>
    <m/>
    <n v="-15"/>
  </r>
  <r>
    <x v="4"/>
    <x v="24"/>
    <n v="10"/>
    <s v="收到HMM(Neo) 放单确认"/>
    <x v="42"/>
    <x v="0"/>
    <s v="一般半天内"/>
    <n v="-14"/>
  </r>
  <r>
    <x v="4"/>
    <x v="24"/>
    <n v="11"/>
    <s v="HMM网站核对订舱信息"/>
    <x v="42"/>
    <x v="0"/>
    <m/>
    <n v="-14"/>
  </r>
  <r>
    <x v="4"/>
    <x v="24"/>
    <n v="12"/>
    <s v="收到客户(徐贵)做箱通知"/>
    <x v="45"/>
    <x v="0"/>
    <s v="一般做箱头天一早"/>
    <n v="-13"/>
  </r>
  <r>
    <x v="4"/>
    <x v="24"/>
    <n v="13"/>
    <s v="发做箱通知邮件给车队(沈丽)【确认港区航次！！！】"/>
    <x v="45"/>
    <x v="0"/>
    <m/>
    <n v="-13"/>
  </r>
  <r>
    <x v="4"/>
    <x v="24"/>
    <n v="14"/>
    <s v="公共盘生成提单号【如需拆单】"/>
    <x v="45"/>
    <x v="0"/>
    <m/>
    <n v="-13"/>
  </r>
  <r>
    <x v="4"/>
    <x v="24"/>
    <n v="15"/>
    <s v="YJC系统生成单子【如需拆单】"/>
    <x v="45"/>
    <x v="0"/>
    <m/>
    <n v="-13"/>
  </r>
  <r>
    <x v="4"/>
    <x v="24"/>
    <n v="16"/>
    <s v="发EDI【如需拆单】"/>
    <x v="45"/>
    <x v="0"/>
    <m/>
    <n v="-13"/>
  </r>
  <r>
    <x v="4"/>
    <x v="24"/>
    <n v="17"/>
    <s v="邮件申请放单【如需拆单】"/>
    <x v="45"/>
    <x v="0"/>
    <m/>
    <n v="-13"/>
  </r>
  <r>
    <x v="4"/>
    <x v="24"/>
    <n v="18"/>
    <s v="收到HMM(Neo) 放单确认【如需拆单】"/>
    <x v="45"/>
    <x v="0"/>
    <m/>
    <n v="-13"/>
  </r>
  <r>
    <x v="4"/>
    <x v="24"/>
    <n v="19"/>
    <s v="HMM网站核对订舱信息【如需拆单】"/>
    <x v="45"/>
    <x v="0"/>
    <m/>
    <n v="-13"/>
  </r>
  <r>
    <x v="4"/>
    <x v="24"/>
    <n v="20"/>
    <s v="收到客户(徐贵)发来做箱数据(报关资料)"/>
    <x v="43"/>
    <x v="0"/>
    <s v="一般做箱当天一早"/>
    <n v="-12"/>
  </r>
  <r>
    <x v="4"/>
    <x v="24"/>
    <n v="21"/>
    <s v="按报关(发票)数生成提单号【如发票数超过提单数】"/>
    <x v="43"/>
    <x v="0"/>
    <m/>
    <n v="-12"/>
  </r>
  <r>
    <x v="4"/>
    <x v="24"/>
    <n v="22"/>
    <s v="做做箱数据，QQ发车队(沈丽)"/>
    <x v="43"/>
    <x v="0"/>
    <m/>
    <n v="-12"/>
  </r>
  <r>
    <x v="4"/>
    <x v="24"/>
    <n v="23"/>
    <s v="收到车队(沈丽)装箱单，转发客户（徐贵）"/>
    <x v="43"/>
    <x v="0"/>
    <s v="一般马上"/>
    <n v="-12"/>
  </r>
  <r>
    <x v="4"/>
    <x v="24"/>
    <n v="24"/>
    <s v="YJC系统截单，发EDI，邮件HMM(He)【截单时间】"/>
    <x v="43"/>
    <x v="0"/>
    <s v="注意截单时间"/>
    <n v="-12"/>
  </r>
  <r>
    <x v="4"/>
    <x v="24"/>
    <n v="25"/>
    <s v="发VGM和舱单"/>
    <x v="43"/>
    <x v="0"/>
    <m/>
    <n v="-12"/>
  </r>
  <r>
    <x v="4"/>
    <x v="24"/>
    <n v="26"/>
    <s v="做报关资料，扫描发报关行(黄寅文)QQ，要校对稿"/>
    <x v="43"/>
    <x v="0"/>
    <m/>
    <n v="-12"/>
  </r>
  <r>
    <x v="4"/>
    <x v="24"/>
    <n v="27"/>
    <s v="做保函给邹师傅"/>
    <x v="43"/>
    <x v="0"/>
    <m/>
    <n v="-12"/>
  </r>
  <r>
    <x v="4"/>
    <x v="24"/>
    <n v="28"/>
    <s v="做ISF，发国外资料"/>
    <x v="43"/>
    <x v="0"/>
    <m/>
    <n v="-12"/>
  </r>
  <r>
    <x v="4"/>
    <x v="24"/>
    <n v="29"/>
    <s v="买保险"/>
    <x v="43"/>
    <x v="0"/>
    <m/>
    <n v="-12"/>
  </r>
  <r>
    <x v="4"/>
    <x v="24"/>
    <n v="31"/>
    <s v="收到HMM(He)生成提单通知"/>
    <x v="43"/>
    <x v="0"/>
    <s v="一般马上"/>
    <n v="-12"/>
  </r>
  <r>
    <x v="4"/>
    <x v="24"/>
    <n v="32"/>
    <s v="HMM网站核对提单信息"/>
    <x v="43"/>
    <x v="0"/>
    <m/>
    <n v="-12"/>
  </r>
  <r>
    <x v="4"/>
    <x v="24"/>
    <n v="33"/>
    <s v="盯海关网站舱单"/>
    <x v="43"/>
    <x v="0"/>
    <s v="一般两小时左右"/>
    <n v="-12"/>
  </r>
  <r>
    <x v="4"/>
    <x v="24"/>
    <n v="34"/>
    <s v="核对舱单信息"/>
    <x v="43"/>
    <x v="0"/>
    <m/>
    <n v="-12"/>
  </r>
  <r>
    <x v="4"/>
    <x v="24"/>
    <n v="35"/>
    <s v="收到报关行(黄寅文)校对稿，邮件发客户(徐贵)确认"/>
    <x v="43"/>
    <x v="0"/>
    <s v="一般半天内"/>
    <n v="-12"/>
  </r>
  <r>
    <x v="4"/>
    <x v="24"/>
    <n v="36"/>
    <s v="收到客户(徐贵)确认校对稿"/>
    <x v="43"/>
    <x v="0"/>
    <s v="一般马上"/>
    <n v="-12"/>
  </r>
  <r>
    <x v="4"/>
    <x v="24"/>
    <n v="37"/>
    <s v="通知车队(沈丽)可进港"/>
    <x v="43"/>
    <x v="0"/>
    <m/>
    <n v="-12"/>
  </r>
  <r>
    <x v="4"/>
    <x v="24"/>
    <n v="38"/>
    <s v="盯箱子进港"/>
    <x v="48"/>
    <x v="0"/>
    <m/>
    <n v="-9"/>
  </r>
  <r>
    <x v="4"/>
    <x v="24"/>
    <n v="39"/>
    <s v="核对进港数据"/>
    <x v="48"/>
    <x v="0"/>
    <m/>
    <n v="-9"/>
  </r>
  <r>
    <x v="4"/>
    <x v="24"/>
    <n v="40"/>
    <s v="通知报关行(黄寅文)报关(开港、舱单、校对)"/>
    <x v="48"/>
    <x v="0"/>
    <m/>
    <n v="-9"/>
  </r>
  <r>
    <x v="4"/>
    <x v="24"/>
    <n v="41"/>
    <s v="收到报关成功通知"/>
    <x v="48"/>
    <x v="0"/>
    <s v="一般下班前"/>
    <n v="-9"/>
  </r>
  <r>
    <x v="4"/>
    <x v="24"/>
    <n v="42"/>
    <s v="盯海放"/>
    <x v="48"/>
    <x v="0"/>
    <m/>
    <n v="-9"/>
  </r>
  <r>
    <x v="4"/>
    <x v="24"/>
    <n v="43"/>
    <s v="盯码放"/>
    <x v="51"/>
    <x v="0"/>
    <m/>
    <n v="-8"/>
  </r>
  <r>
    <x v="4"/>
    <x v="24"/>
    <n v="44"/>
    <s v="盯配载"/>
    <x v="49"/>
    <x v="0"/>
    <m/>
    <n v="-7"/>
  </r>
  <r>
    <x v="4"/>
    <x v="24"/>
    <n v="45"/>
    <s v="做费用(月初等汇率)，发账单给石磊"/>
    <x v="49"/>
    <x v="0"/>
    <m/>
    <n v="-7"/>
  </r>
  <r>
    <x v="4"/>
    <x v="24"/>
    <n v="46"/>
    <s v="船开"/>
    <x v="50"/>
    <x v="0"/>
    <m/>
    <n v="-5"/>
  </r>
  <r>
    <x v="4"/>
    <x v="24"/>
    <n v="47"/>
    <s v="放单"/>
    <x v="50"/>
    <x v="0"/>
    <s v="一般开船后两三天"/>
    <n v="-5"/>
  </r>
  <r>
    <x v="2"/>
    <x v="24"/>
    <n v="1"/>
    <s v="收到客户(孙丹/王珊)发来订舱托书"/>
    <x v="38"/>
    <x v="0"/>
    <m/>
    <n v="-20"/>
  </r>
  <r>
    <x v="2"/>
    <x v="24"/>
    <n v="2"/>
    <s v="收到CK发来预配(做箱通知，沈丽有收到？)，完善YJC系统数据"/>
    <x v="38"/>
    <x v="0"/>
    <m/>
    <n v="-20"/>
  </r>
  <r>
    <x v="2"/>
    <x v="24"/>
    <n v="3"/>
    <s v="YJC系统生成单子"/>
    <x v="32"/>
    <x v="0"/>
    <m/>
    <n v="-16"/>
  </r>
  <r>
    <x v="2"/>
    <x v="24"/>
    <n v="4"/>
    <s v="收到包装厂(刘倩梅)发来包装指示书和装箱计划"/>
    <x v="45"/>
    <x v="0"/>
    <s v="一般周四"/>
    <n v="-13"/>
  </r>
  <r>
    <x v="2"/>
    <x v="24"/>
    <n v="5"/>
    <s v="根据装箱计划汇总包装数据，发各工厂做报关资料"/>
    <x v="45"/>
    <x v="0"/>
    <m/>
    <n v="-13"/>
  </r>
  <r>
    <x v="2"/>
    <x v="24"/>
    <n v="6"/>
    <s v="做做箱数据，邮件群发(开港时间)"/>
    <x v="45"/>
    <x v="0"/>
    <m/>
    <n v="-13"/>
  </r>
  <r>
    <x v="2"/>
    <x v="24"/>
    <n v="7"/>
    <s v="收到工厂发来报关资料并完善(代做报关资料跟客户确认)"/>
    <x v="45"/>
    <x v="0"/>
    <s v="当天至隔天"/>
    <n v="-13"/>
  </r>
  <r>
    <x v="2"/>
    <x v="24"/>
    <n v="8"/>
    <s v="报关资料齐了，发报关行(黄寅文)，货运模板/发票/箱单"/>
    <x v="45"/>
    <x v="0"/>
    <m/>
    <n v="-13"/>
  </r>
  <r>
    <x v="2"/>
    <x v="24"/>
    <n v="9"/>
    <s v="收到车队(沈丽)装箱单和洋山提箱截图(如有)，9点前群发，通知发舱单"/>
    <x v="43"/>
    <x v="0"/>
    <s v="一般KMM五、HMI日"/>
    <n v="-12"/>
  </r>
  <r>
    <x v="2"/>
    <x v="24"/>
    <n v="10"/>
    <s v="收到舱单发送成功通知，核对舱单信息"/>
    <x v="43"/>
    <x v="0"/>
    <m/>
    <n v="-12"/>
  </r>
  <r>
    <x v="2"/>
    <x v="24"/>
    <n v="11"/>
    <s v="通知报关"/>
    <x v="43"/>
    <x v="0"/>
    <s v="调整顺序"/>
    <n v="-12"/>
  </r>
  <r>
    <x v="2"/>
    <x v="24"/>
    <n v="12"/>
    <s v="报关成功"/>
    <x v="43"/>
    <x v="0"/>
    <s v="调整顺序"/>
    <n v="-12"/>
  </r>
  <r>
    <x v="2"/>
    <x v="24"/>
    <n v="13"/>
    <s v="通知进港"/>
    <x v="43"/>
    <x v="0"/>
    <s v="调整顺序"/>
    <n v="-12"/>
  </r>
  <r>
    <x v="2"/>
    <x v="24"/>
    <n v="14"/>
    <s v="进港(核对数据)"/>
    <x v="44"/>
    <x v="0"/>
    <s v="调整顺序"/>
    <n v="-11"/>
  </r>
  <r>
    <x v="2"/>
    <x v="24"/>
    <n v="15"/>
    <s v="盯海放"/>
    <x v="44"/>
    <x v="0"/>
    <m/>
    <n v="-11"/>
  </r>
  <r>
    <x v="2"/>
    <x v="24"/>
    <n v="16"/>
    <s v="盯码放"/>
    <x v="48"/>
    <x v="0"/>
    <m/>
    <n v="-9"/>
  </r>
  <r>
    <x v="2"/>
    <x v="24"/>
    <n v="17"/>
    <s v="盯配载"/>
    <x v="51"/>
    <x v="0"/>
    <m/>
    <n v="-8"/>
  </r>
  <r>
    <x v="2"/>
    <x v="24"/>
    <n v="18"/>
    <s v="盯船开"/>
    <x v="19"/>
    <x v="0"/>
    <m/>
    <n v="-6"/>
  </r>
  <r>
    <x v="2"/>
    <x v="24"/>
    <n v="19"/>
    <s v="做费用(对账单日期4号)，放公共盘，填月账单表，发孙丹"/>
    <x v="49"/>
    <x v="0"/>
    <m/>
    <n v="-7"/>
  </r>
  <r>
    <x v="6"/>
    <x v="24"/>
    <n v="1"/>
    <s v="收到胡媛媛发来订舱邮件"/>
    <x v="1"/>
    <x v="0"/>
    <m/>
    <n v="-47"/>
  </r>
  <r>
    <x v="6"/>
    <x v="24"/>
    <n v="2"/>
    <s v="发订舱托书给万恒（翁小姐）"/>
    <x v="1"/>
    <x v="0"/>
    <m/>
    <n v="-47"/>
  </r>
  <r>
    <x v="6"/>
    <x v="24"/>
    <n v="3"/>
    <s v="收到万恒（翁小姐）预配"/>
    <x v="1"/>
    <x v="0"/>
    <s v="一般三小时左右"/>
    <n v="-47"/>
  </r>
  <r>
    <x v="6"/>
    <x v="24"/>
    <n v="4"/>
    <s v="通知胡媛媛订舱成功"/>
    <x v="1"/>
    <x v="0"/>
    <m/>
    <n v="-47"/>
  </r>
  <r>
    <x v="6"/>
    <x v="24"/>
    <n v="5"/>
    <s v="发做箱通知邮件给车队(沈丽)"/>
    <x v="10"/>
    <x v="0"/>
    <m/>
    <n v="-46"/>
  </r>
  <r>
    <x v="6"/>
    <x v="24"/>
    <n v="5.0999999999999996"/>
    <s v="取消一个柜子的预配"/>
    <x v="0"/>
    <x v="0"/>
    <m/>
    <n v="-28"/>
  </r>
  <r>
    <x v="6"/>
    <x v="24"/>
    <n v="5.2"/>
    <s v="确认取消"/>
    <x v="29"/>
    <x v="0"/>
    <m/>
    <n v="-27"/>
  </r>
  <r>
    <x v="6"/>
    <x v="24"/>
    <n v="6"/>
    <s v="收到胡媛媛发来报关资料"/>
    <x v="42"/>
    <x v="0"/>
    <s v="船开前一周？"/>
    <n v="-14"/>
  </r>
  <r>
    <x v="6"/>
    <x v="24"/>
    <n v="7"/>
    <s v="完善报关资料发报关行（黄寅文），要校对稿，做做箱数据给沈丽"/>
    <x v="42"/>
    <x v="0"/>
    <m/>
    <n v="-14"/>
  </r>
  <r>
    <x v="6"/>
    <x v="24"/>
    <n v="8"/>
    <s v="买保险，做异地付款保函，发胡媛媛确认盖章回传"/>
    <x v="42"/>
    <x v="0"/>
    <m/>
    <n v="-14"/>
  </r>
  <r>
    <x v="6"/>
    <x v="24"/>
    <n v="9"/>
    <s v="收到客户（胡媛媛）发来保函扫描件"/>
    <x v="42"/>
    <x v="0"/>
    <s v="一般马上"/>
    <n v="-14"/>
  </r>
  <r>
    <x v="6"/>
    <x v="24"/>
    <n v="10"/>
    <s v="收到黄寅文校对稿，发客户（胡媛媛）确认"/>
    <x v="42"/>
    <x v="0"/>
    <s v="一般半天内"/>
    <n v="-14"/>
  </r>
  <r>
    <x v="6"/>
    <x v="24"/>
    <n v="11"/>
    <s v="收到客户（胡媛媛）确认校对稿OK"/>
    <x v="42"/>
    <x v="0"/>
    <s v="一般马上"/>
    <n v="-14"/>
  </r>
  <r>
    <x v="6"/>
    <x v="24"/>
    <n v="12"/>
    <s v="开港时间？明天做箱？如有变动通知胡媛媛（跟万恒确认17号做可不可以）"/>
    <x v="45"/>
    <x v="0"/>
    <s v="截单前一天"/>
    <n v="-13"/>
  </r>
  <r>
    <x v="6"/>
    <x v="24"/>
    <n v="13"/>
    <s v="收到沈丽发来装箱单"/>
    <x v="43"/>
    <x v="0"/>
    <s v="截单当天"/>
    <n v="-12"/>
  </r>
  <r>
    <x v="6"/>
    <x v="24"/>
    <n v="14"/>
    <s v="完善截单资料发万恒（翁小姐），请求发舱单"/>
    <x v="43"/>
    <x v="0"/>
    <m/>
    <n v="-12"/>
  </r>
  <r>
    <x v="6"/>
    <x v="24"/>
    <n v="15"/>
    <s v="收到舱单发送通知，核对舱单，装箱单发报关行报关"/>
    <x v="43"/>
    <x v="0"/>
    <m/>
    <n v="-12"/>
  </r>
  <r>
    <x v="6"/>
    <x v="24"/>
    <n v="16"/>
    <s v="请求万恒（翁小姐）发提单样本"/>
    <x v="48"/>
    <x v="0"/>
    <m/>
    <n v="-9"/>
  </r>
  <r>
    <x v="6"/>
    <x v="24"/>
    <n v="17"/>
    <s v="收到万恒（翁小姐）发来提单样本，发胡媛媛确认"/>
    <x v="48"/>
    <x v="0"/>
    <m/>
    <n v="-9"/>
  </r>
  <r>
    <x v="6"/>
    <x v="24"/>
    <n v="18"/>
    <s v="收到胡媛媛提单确认"/>
    <x v="48"/>
    <x v="0"/>
    <m/>
    <n v="-9"/>
  </r>
  <r>
    <x v="6"/>
    <x v="24"/>
    <n v="19"/>
    <s v="收到报关成功通知，通知车队可进港 "/>
    <x v="43"/>
    <x v="0"/>
    <m/>
    <n v="-12"/>
  </r>
  <r>
    <x v="6"/>
    <x v="24"/>
    <n v="20"/>
    <s v="进港，核对数据"/>
    <x v="43"/>
    <x v="0"/>
    <m/>
    <n v="-12"/>
  </r>
  <r>
    <x v="6"/>
    <x v="24"/>
    <n v="21"/>
    <s v="海放"/>
    <x v="43"/>
    <x v="0"/>
    <m/>
    <n v="-12"/>
  </r>
  <r>
    <x v="6"/>
    <x v="24"/>
    <n v="22"/>
    <s v="码放"/>
    <x v="48"/>
    <x v="0"/>
    <m/>
    <n v="-9"/>
  </r>
  <r>
    <x v="6"/>
    <x v="24"/>
    <n v="23"/>
    <s v="配载"/>
    <x v="51"/>
    <x v="0"/>
    <m/>
    <n v="-8"/>
  </r>
  <r>
    <x v="6"/>
    <x v="24"/>
    <n v="24"/>
    <s v="开船"/>
    <x v="19"/>
    <x v="0"/>
    <m/>
    <n v="-6"/>
  </r>
  <r>
    <x v="6"/>
    <x v="24"/>
    <n v="25"/>
    <s v="收到万恒（翁小姐）提单，放提单和预录单给胡媛媛"/>
    <x v="19"/>
    <x v="0"/>
    <m/>
    <n v="-6"/>
  </r>
  <r>
    <x v="6"/>
    <x v="24"/>
    <n v="26"/>
    <s v="做费用，发账单给石磊"/>
    <x v="19"/>
    <x v="0"/>
    <m/>
    <n v="-6"/>
  </r>
  <r>
    <x v="4"/>
    <x v="25"/>
    <n v="1"/>
    <s v="收到客户(徐贵)订舱预报"/>
    <x v="32"/>
    <x v="0"/>
    <s v="一般周五发隔周"/>
    <n v="-16"/>
  </r>
  <r>
    <x v="4"/>
    <x v="25"/>
    <n v="2"/>
    <s v="填WORKING PROCESS"/>
    <x v="32"/>
    <x v="0"/>
    <m/>
    <n v="-16"/>
  </r>
  <r>
    <x v="4"/>
    <x v="25"/>
    <n v="3"/>
    <s v="收到HMM(Neo)预订舱邮件通知"/>
    <x v="32"/>
    <x v="0"/>
    <s v="一般周一发下周"/>
    <n v="-16"/>
  </r>
  <r>
    <x v="4"/>
    <x v="25"/>
    <n v="4"/>
    <s v="回复HMM(Neo)预订舱邮件"/>
    <x v="32"/>
    <x v="0"/>
    <m/>
    <n v="-16"/>
  </r>
  <r>
    <x v="4"/>
    <x v="25"/>
    <n v="5"/>
    <s v="收到HMM(Neo)预订舱确认"/>
    <x v="46"/>
    <x v="0"/>
    <s v="一般马上"/>
    <n v="-15"/>
  </r>
  <r>
    <x v="4"/>
    <x v="25"/>
    <n v="6"/>
    <s v="公共盘生成提单号"/>
    <x v="46"/>
    <x v="0"/>
    <m/>
    <n v="-15"/>
  </r>
  <r>
    <x v="4"/>
    <x v="25"/>
    <n v="7"/>
    <s v="YJC系统生成单子"/>
    <x v="46"/>
    <x v="0"/>
    <m/>
    <n v="-15"/>
  </r>
  <r>
    <x v="4"/>
    <x v="25"/>
    <n v="8"/>
    <s v="发EDI"/>
    <x v="46"/>
    <x v="0"/>
    <m/>
    <n v="-15"/>
  </r>
  <r>
    <x v="4"/>
    <x v="25"/>
    <n v="9"/>
    <s v="邮件申请放单"/>
    <x v="46"/>
    <x v="0"/>
    <m/>
    <n v="-15"/>
  </r>
  <r>
    <x v="4"/>
    <x v="25"/>
    <n v="10"/>
    <s v="收到HMM(Neo) 放单确认"/>
    <x v="42"/>
    <x v="0"/>
    <s v="一般半天内"/>
    <n v="-14"/>
  </r>
  <r>
    <x v="4"/>
    <x v="25"/>
    <n v="11"/>
    <s v="HMM网站核对订舱信息"/>
    <x v="42"/>
    <x v="0"/>
    <m/>
    <n v="-14"/>
  </r>
  <r>
    <x v="4"/>
    <x v="25"/>
    <n v="12"/>
    <s v="收到客户(徐贵)做箱通知"/>
    <x v="48"/>
    <x v="0"/>
    <s v="一般做箱头天一早"/>
    <n v="-9"/>
  </r>
  <r>
    <x v="4"/>
    <x v="25"/>
    <n v="13"/>
    <s v="发做箱通知邮件给车队(沈丽)【确认港区航次！！！】"/>
    <x v="48"/>
    <x v="0"/>
    <m/>
    <n v="-9"/>
  </r>
  <r>
    <x v="4"/>
    <x v="25"/>
    <n v="14"/>
    <s v="公共盘生成提单号【如需拆单】"/>
    <x v="48"/>
    <x v="0"/>
    <m/>
    <n v="-9"/>
  </r>
  <r>
    <x v="4"/>
    <x v="25"/>
    <n v="15"/>
    <s v="YJC系统生成单子【如需拆单】"/>
    <x v="48"/>
    <x v="0"/>
    <m/>
    <n v="-9"/>
  </r>
  <r>
    <x v="4"/>
    <x v="25"/>
    <n v="16"/>
    <s v="发EDI【如需拆单】"/>
    <x v="48"/>
    <x v="0"/>
    <m/>
    <n v="-9"/>
  </r>
  <r>
    <x v="4"/>
    <x v="25"/>
    <n v="17"/>
    <s v="邮件申请放单【如需拆单】"/>
    <x v="48"/>
    <x v="0"/>
    <m/>
    <n v="-9"/>
  </r>
  <r>
    <x v="4"/>
    <x v="25"/>
    <n v="18"/>
    <s v="收到HMM(Neo) 放单确认【如需拆单】"/>
    <x v="48"/>
    <x v="0"/>
    <m/>
    <n v="-9"/>
  </r>
  <r>
    <x v="4"/>
    <x v="25"/>
    <n v="19"/>
    <s v="HMM网站核对订舱信息【如需拆单】"/>
    <x v="48"/>
    <x v="0"/>
    <m/>
    <n v="-9"/>
  </r>
  <r>
    <x v="4"/>
    <x v="25"/>
    <n v="20"/>
    <s v="收到客户(徐贵)发来报关资料"/>
    <x v="51"/>
    <x v="0"/>
    <s v="一般做箱当天一早"/>
    <n v="-8"/>
  </r>
  <r>
    <x v="4"/>
    <x v="25"/>
    <n v="21"/>
    <s v="按报关(发票)数生成提单号【如发票数超过提单数】"/>
    <x v="51"/>
    <x v="0"/>
    <m/>
    <n v="-8"/>
  </r>
  <r>
    <x v="4"/>
    <x v="25"/>
    <n v="22"/>
    <s v="做做箱数据，QQ发车队(沈丽)"/>
    <x v="51"/>
    <x v="0"/>
    <m/>
    <n v="-8"/>
  </r>
  <r>
    <x v="4"/>
    <x v="25"/>
    <n v="23"/>
    <s v="收到车队(沈丽)装箱单，转发客户（徐贵）"/>
    <x v="51"/>
    <x v="0"/>
    <s v="一般马上"/>
    <n v="-8"/>
  </r>
  <r>
    <x v="4"/>
    <x v="25"/>
    <n v="24"/>
    <s v="YJC系统截单，发EDI，邮件HMM(He)【截单时间】"/>
    <x v="51"/>
    <x v="0"/>
    <s v="注意截单时间"/>
    <n v="-8"/>
  </r>
  <r>
    <x v="4"/>
    <x v="25"/>
    <n v="25"/>
    <s v="发VGM和舱单"/>
    <x v="51"/>
    <x v="0"/>
    <m/>
    <n v="-8"/>
  </r>
  <r>
    <x v="4"/>
    <x v="25"/>
    <n v="26"/>
    <s v="做报关资料，扫描发报关行(黄寅文)QQ"/>
    <x v="51"/>
    <x v="0"/>
    <m/>
    <n v="-8"/>
  </r>
  <r>
    <x v="4"/>
    <x v="25"/>
    <n v="27"/>
    <s v="做保函给邹师傅"/>
    <x v="51"/>
    <x v="0"/>
    <m/>
    <n v="-8"/>
  </r>
  <r>
    <x v="4"/>
    <x v="25"/>
    <n v="28"/>
    <s v="做ISF，发国外资料"/>
    <x v="51"/>
    <x v="0"/>
    <m/>
    <n v="-8"/>
  </r>
  <r>
    <x v="4"/>
    <x v="25"/>
    <n v="29"/>
    <s v="买保险"/>
    <x v="51"/>
    <x v="0"/>
    <m/>
    <n v="-8"/>
  </r>
  <r>
    <x v="4"/>
    <x v="25"/>
    <n v="31"/>
    <s v="收到HMM(He)生成提单通知"/>
    <x v="51"/>
    <x v="0"/>
    <s v="一般马上"/>
    <n v="-8"/>
  </r>
  <r>
    <x v="4"/>
    <x v="25"/>
    <n v="32"/>
    <s v="HMM网站核对提单信息"/>
    <x v="51"/>
    <x v="0"/>
    <m/>
    <n v="-8"/>
  </r>
  <r>
    <x v="4"/>
    <x v="25"/>
    <n v="33"/>
    <s v="盯海关网站舱单"/>
    <x v="51"/>
    <x v="0"/>
    <s v="一般两小时左右"/>
    <n v="-8"/>
  </r>
  <r>
    <x v="4"/>
    <x v="25"/>
    <n v="34"/>
    <s v="核对舱单信息"/>
    <x v="51"/>
    <x v="0"/>
    <m/>
    <n v="-8"/>
  </r>
  <r>
    <x v="4"/>
    <x v="25"/>
    <n v="35"/>
    <s v="收到报关行(黄寅文)校对稿，邮件发客户(徐贵)确认"/>
    <x v="51"/>
    <x v="0"/>
    <s v="一般半天内"/>
    <n v="-8"/>
  </r>
  <r>
    <x v="4"/>
    <x v="25"/>
    <n v="36"/>
    <s v="收到客户(徐贵)确认校对稿"/>
    <x v="51"/>
    <x v="0"/>
    <s v="一般马上"/>
    <n v="-8"/>
  </r>
  <r>
    <x v="4"/>
    <x v="25"/>
    <n v="37"/>
    <s v="通知报关行(黄寅文)报关(开港、舱单、校对)"/>
    <x v="51"/>
    <x v="0"/>
    <m/>
    <n v="-8"/>
  </r>
  <r>
    <x v="4"/>
    <x v="25"/>
    <n v="38"/>
    <s v="收到报关成功通知"/>
    <x v="51"/>
    <x v="0"/>
    <s v="一般下班前"/>
    <n v="-8"/>
  </r>
  <r>
    <x v="4"/>
    <x v="25"/>
    <n v="39"/>
    <s v="通知车队(沈丽)可进港"/>
    <x v="51"/>
    <x v="0"/>
    <m/>
    <n v="-8"/>
  </r>
  <r>
    <x v="4"/>
    <x v="25"/>
    <n v="40"/>
    <s v="盯箱子进港"/>
    <x v="49"/>
    <x v="0"/>
    <m/>
    <n v="-7"/>
  </r>
  <r>
    <x v="4"/>
    <x v="25"/>
    <n v="41"/>
    <s v="核对进港数据"/>
    <x v="49"/>
    <x v="0"/>
    <m/>
    <n v="-7"/>
  </r>
  <r>
    <x v="4"/>
    <x v="25"/>
    <n v="42"/>
    <s v="盯海放"/>
    <x v="49"/>
    <x v="0"/>
    <m/>
    <n v="-7"/>
  </r>
  <r>
    <x v="4"/>
    <x v="25"/>
    <n v="43"/>
    <s v="盯码放"/>
    <x v="19"/>
    <x v="0"/>
    <m/>
    <n v="-6"/>
  </r>
  <r>
    <x v="4"/>
    <x v="25"/>
    <n v="44"/>
    <s v="盯配载"/>
    <x v="19"/>
    <x v="0"/>
    <m/>
    <n v="-6"/>
  </r>
  <r>
    <x v="4"/>
    <x v="25"/>
    <n v="45"/>
    <s v="做费用(月初等汇率)，发账单给石磊"/>
    <x v="19"/>
    <x v="0"/>
    <m/>
    <n v="-6"/>
  </r>
  <r>
    <x v="4"/>
    <x v="25"/>
    <n v="46"/>
    <s v="船开"/>
    <x v="52"/>
    <x v="0"/>
    <m/>
    <n v="-4"/>
  </r>
  <r>
    <x v="4"/>
    <x v="25"/>
    <n v="47"/>
    <s v="放单"/>
    <x v="53"/>
    <x v="0"/>
    <s v="一般开船后两三天"/>
    <n v="-2"/>
  </r>
  <r>
    <x v="5"/>
    <x v="25"/>
    <n v="1"/>
    <s v="收到订舱托书"/>
    <x v="42"/>
    <x v="0"/>
    <m/>
    <n v="-14"/>
  </r>
  <r>
    <x v="5"/>
    <x v="25"/>
    <n v="2"/>
    <s v="HMM（Neo）确认订舱预报"/>
    <x v="46"/>
    <x v="0"/>
    <m/>
    <n v="-15"/>
  </r>
  <r>
    <x v="5"/>
    <x v="25"/>
    <n v="3"/>
    <s v="生成单号，YJC系统数据，发EDI，邮件Neo放舱"/>
    <x v="42"/>
    <x v="0"/>
    <m/>
    <n v="-14"/>
  </r>
  <r>
    <x v="5"/>
    <x v="25"/>
    <n v="4"/>
    <s v="HMM（Neo）确认放舱"/>
    <x v="42"/>
    <x v="0"/>
    <m/>
    <n v="-14"/>
  </r>
  <r>
    <x v="5"/>
    <x v="25"/>
    <n v="5"/>
    <s v="发预配信息给客户（张婷）"/>
    <x v="42"/>
    <x v="0"/>
    <m/>
    <n v="-14"/>
  </r>
  <r>
    <x v="5"/>
    <x v="25"/>
    <n v="5.0999999999999996"/>
    <s v="做箱前一天问一下做箱时间"/>
    <x v="48"/>
    <x v="0"/>
    <m/>
    <n v="-9"/>
  </r>
  <r>
    <x v="5"/>
    <x v="25"/>
    <n v="6"/>
    <s v="收到客户（张婷）报关资料"/>
    <x v="51"/>
    <x v="0"/>
    <m/>
    <n v="-8"/>
  </r>
  <r>
    <x v="5"/>
    <x v="25"/>
    <n v="7"/>
    <s v="做报关资料，发报关行（黄寅文），要校对稿"/>
    <x v="51"/>
    <x v="0"/>
    <m/>
    <n v="-8"/>
  </r>
  <r>
    <x v="5"/>
    <x v="25"/>
    <n v="8"/>
    <s v="收到客户（张婷）装箱单"/>
    <x v="51"/>
    <x v="0"/>
    <s v="今天能放箱装？"/>
    <n v="-8"/>
  </r>
  <r>
    <x v="5"/>
    <x v="25"/>
    <n v="9"/>
    <s v="YJC系统改准确数据（截单），发ESI，做AMS模板并邮件何生成提单"/>
    <x v="51"/>
    <x v="0"/>
    <m/>
    <n v="-8"/>
  </r>
  <r>
    <x v="5"/>
    <x v="25"/>
    <n v="10"/>
    <s v="发舱单和VGM"/>
    <x v="51"/>
    <x v="0"/>
    <m/>
    <n v="-8"/>
  </r>
  <r>
    <x v="5"/>
    <x v="25"/>
    <n v="11"/>
    <s v="收到提单生成通知，核对提单信息"/>
    <x v="51"/>
    <x v="0"/>
    <m/>
    <n v="-8"/>
  </r>
  <r>
    <x v="5"/>
    <x v="25"/>
    <n v="12"/>
    <s v="发 HBL COPY 和 MBL COPY 给客户（张婷）确认"/>
    <x v="49"/>
    <x v="0"/>
    <m/>
    <n v="-7"/>
  </r>
  <r>
    <x v="5"/>
    <x v="25"/>
    <n v="13"/>
    <s v="收到客户（张婷）确认提单"/>
    <x v="51"/>
    <x v="0"/>
    <m/>
    <n v="-8"/>
  </r>
  <r>
    <x v="5"/>
    <x v="25"/>
    <n v="14"/>
    <s v="海关有舱单，核对舱单信息"/>
    <x v="51"/>
    <x v="0"/>
    <m/>
    <n v="-8"/>
  </r>
  <r>
    <x v="5"/>
    <x v="25"/>
    <n v="15"/>
    <s v="收到校对稿，发客户（张婷）"/>
    <x v="51"/>
    <x v="0"/>
    <m/>
    <n v="-8"/>
  </r>
  <r>
    <x v="5"/>
    <x v="25"/>
    <n v="16"/>
    <s v="收到客户（张婷）确认校对稿"/>
    <x v="51"/>
    <x v="0"/>
    <m/>
    <n v="-8"/>
  </r>
  <r>
    <x v="5"/>
    <x v="25"/>
    <n v="17"/>
    <s v="通知报关（开港、舱单、装箱单）"/>
    <x v="51"/>
    <x v="0"/>
    <m/>
    <n v="-8"/>
  </r>
  <r>
    <x v="5"/>
    <x v="25"/>
    <n v="18"/>
    <s v="报关成功"/>
    <x v="51"/>
    <x v="0"/>
    <m/>
    <n v="-8"/>
  </r>
  <r>
    <x v="5"/>
    <x v="25"/>
    <n v="19"/>
    <s v="通知可进港"/>
    <x v="51"/>
    <x v="0"/>
    <m/>
    <n v="-8"/>
  </r>
  <r>
    <x v="5"/>
    <x v="25"/>
    <n v="20"/>
    <s v="进港"/>
    <x v="49"/>
    <x v="0"/>
    <m/>
    <n v="-7"/>
  </r>
  <r>
    <x v="5"/>
    <x v="25"/>
    <n v="21"/>
    <s v="核对进港数据"/>
    <x v="49"/>
    <x v="0"/>
    <m/>
    <n v="-7"/>
  </r>
  <r>
    <x v="5"/>
    <x v="25"/>
    <n v="22"/>
    <s v="海放"/>
    <x v="49"/>
    <x v="0"/>
    <m/>
    <n v="-7"/>
  </r>
  <r>
    <x v="5"/>
    <x v="25"/>
    <n v="23"/>
    <s v="码放"/>
    <x v="19"/>
    <x v="0"/>
    <m/>
    <n v="-6"/>
  </r>
  <r>
    <x v="5"/>
    <x v="25"/>
    <n v="24"/>
    <s v="配载"/>
    <x v="19"/>
    <x v="0"/>
    <m/>
    <n v="-6"/>
  </r>
  <r>
    <x v="5"/>
    <x v="25"/>
    <n v="25"/>
    <s v="邮件问Neo 海运费"/>
    <x v="53"/>
    <x v="0"/>
    <m/>
    <n v="-2"/>
  </r>
  <r>
    <x v="5"/>
    <x v="25"/>
    <n v="26"/>
    <s v="收到Neo发来海运费"/>
    <x v="53"/>
    <x v="0"/>
    <m/>
    <n v="-2"/>
  </r>
  <r>
    <x v="5"/>
    <x v="25"/>
    <n v="27"/>
    <s v="做费用，发客户（张婷）确认"/>
    <x v="53"/>
    <x v="0"/>
    <m/>
    <n v="-2"/>
  </r>
  <r>
    <x v="5"/>
    <x v="25"/>
    <n v="28"/>
    <s v="收到客户（张婷）确认费用，开票（备注提单号和汇率）"/>
    <x v="34"/>
    <x v="0"/>
    <m/>
    <n v="-1"/>
  </r>
  <r>
    <x v="5"/>
    <x v="25"/>
    <n v="29"/>
    <s v="船开"/>
    <x v="53"/>
    <x v="0"/>
    <m/>
    <n v="-2"/>
  </r>
  <r>
    <x v="5"/>
    <x v="25"/>
    <n v="30"/>
    <s v="放单"/>
    <x v="53"/>
    <x v="0"/>
    <m/>
    <n v="-2"/>
  </r>
  <r>
    <x v="7"/>
    <x v="26"/>
    <n v="1"/>
    <s v="收到徐小姐托书"/>
    <x v="51"/>
    <x v="0"/>
    <m/>
    <n v="-8"/>
  </r>
  <r>
    <x v="7"/>
    <x v="26"/>
    <n v="2"/>
    <s v="公共盘表格生成单号，YJC系统复制、生成单子"/>
    <x v="51"/>
    <x v="0"/>
    <m/>
    <n v="-8"/>
  </r>
  <r>
    <x v="7"/>
    <x v="26"/>
    <n v="3"/>
    <s v="振华网站订舱、保存、提交，等待审核"/>
    <x v="51"/>
    <x v="0"/>
    <m/>
    <n v="-8"/>
  </r>
  <r>
    <x v="7"/>
    <x v="26"/>
    <n v="4"/>
    <s v="QQ发预配给徐小姐，邮件发确认给国外"/>
    <x v="51"/>
    <x v="0"/>
    <m/>
    <n v="-8"/>
  </r>
  <r>
    <x v="7"/>
    <x v="26"/>
    <n v="5"/>
    <s v="收到国外确认，公共盘表格红改黑"/>
    <x v="51"/>
    <x v="0"/>
    <m/>
    <n v="-8"/>
  </r>
  <r>
    <x v="7"/>
    <x v="26"/>
    <n v="6"/>
    <s v="收到车队江发来VGM表格"/>
    <x v="50"/>
    <x v="0"/>
    <s v="周三周一截，周日周五截"/>
    <n v="-5"/>
  </r>
  <r>
    <x v="7"/>
    <x v="26"/>
    <n v="7"/>
    <s v="YJC 截单，振华截单、截VGM"/>
    <x v="50"/>
    <x v="0"/>
    <m/>
    <n v="-5"/>
  </r>
  <r>
    <x v="7"/>
    <x v="26"/>
    <n v="8"/>
    <s v="邮件发提单确认和费用确认给国外"/>
    <x v="50"/>
    <x v="0"/>
    <m/>
    <n v="-5"/>
  </r>
  <r>
    <x v="7"/>
    <x v="26"/>
    <n v="9"/>
    <s v="船开"/>
    <x v="54"/>
    <x v="0"/>
    <m/>
    <n v="-3"/>
  </r>
  <r>
    <x v="7"/>
    <x v="26"/>
    <n v="10"/>
    <s v="拿到WAYBILL，扫描，和HBL一起发国外"/>
    <x v="53"/>
    <x v="0"/>
    <m/>
    <n v="-2"/>
  </r>
  <r>
    <x v="1"/>
    <x v="27"/>
    <n v="1"/>
    <s v="收到客户(孙丹/王珊)发来订舱托书"/>
    <x v="43"/>
    <x v="0"/>
    <m/>
    <n v="-12"/>
  </r>
  <r>
    <x v="1"/>
    <x v="27"/>
    <n v="2"/>
    <s v="收到CK发来预配(做箱通知，沈丽有收到？)，完善YJC系统数据"/>
    <x v="51"/>
    <x v="0"/>
    <m/>
    <n v="-8"/>
  </r>
  <r>
    <x v="1"/>
    <x v="27"/>
    <n v="3"/>
    <s v="YJC系统生成单子"/>
    <x v="51"/>
    <x v="0"/>
    <m/>
    <n v="-8"/>
  </r>
  <r>
    <x v="1"/>
    <x v="27"/>
    <n v="4"/>
    <s v="收到包装厂(刘倩梅)发来包装指示书和装箱计划"/>
    <x v="50"/>
    <x v="0"/>
    <s v="一般周四"/>
    <n v="-5"/>
  </r>
  <r>
    <x v="1"/>
    <x v="27"/>
    <n v="5"/>
    <s v="根据装箱计划汇总包装数据，发各工厂做报关资料"/>
    <x v="50"/>
    <x v="0"/>
    <m/>
    <n v="-5"/>
  </r>
  <r>
    <x v="1"/>
    <x v="27"/>
    <n v="6"/>
    <s v="做做箱数据，邮件群发(查开港时间，注明做箱时间)"/>
    <x v="50"/>
    <x v="0"/>
    <m/>
    <n v="-5"/>
  </r>
  <r>
    <x v="1"/>
    <x v="27"/>
    <n v="7"/>
    <s v="通知进港"/>
    <x v="53"/>
    <x v="0"/>
    <s v="调整顺序"/>
    <n v="-2"/>
  </r>
  <r>
    <x v="1"/>
    <x v="27"/>
    <n v="8"/>
    <s v="进港(核对数据)"/>
    <x v="53"/>
    <x v="0"/>
    <s v="调整顺序"/>
    <n v="-2"/>
  </r>
  <r>
    <x v="1"/>
    <x v="27"/>
    <n v="9"/>
    <s v="收到车队(沈丽)装箱单和洋山提箱截图(如有)，9点前群发，通知发舱单"/>
    <x v="53"/>
    <x v="0"/>
    <s v="一般KMM五、HMI日"/>
    <n v="-2"/>
  </r>
  <r>
    <x v="1"/>
    <x v="27"/>
    <n v="10"/>
    <s v="收到工厂发来报关资料并完善(代做报关资料跟客户确认)"/>
    <x v="53"/>
    <x v="0"/>
    <s v="当天至隔天"/>
    <n v="-2"/>
  </r>
  <r>
    <x v="1"/>
    <x v="27"/>
    <n v="11"/>
    <s v="报关资料齐了，发报关行(黄寅文)，"/>
    <x v="53"/>
    <x v="0"/>
    <m/>
    <n v="-2"/>
  </r>
  <r>
    <x v="1"/>
    <x v="27"/>
    <n v="12"/>
    <s v="货运模板/发票/箱单"/>
    <x v="53"/>
    <x v="0"/>
    <m/>
    <n v="-2"/>
  </r>
  <r>
    <x v="1"/>
    <x v="27"/>
    <n v="13"/>
    <s v="收到舱单发送成功通知，核对舱单信息"/>
    <x v="34"/>
    <x v="0"/>
    <m/>
    <n v="-1"/>
  </r>
  <r>
    <x v="1"/>
    <x v="27"/>
    <n v="14"/>
    <s v="通知报关"/>
    <x v="34"/>
    <x v="0"/>
    <s v="调整顺序"/>
    <n v="-1"/>
  </r>
  <r>
    <x v="1"/>
    <x v="27"/>
    <n v="15"/>
    <s v="报关成功"/>
    <x v="34"/>
    <x v="0"/>
    <s v="调整顺序"/>
    <n v="-1"/>
  </r>
  <r>
    <x v="1"/>
    <x v="27"/>
    <n v="16"/>
    <s v="盯海放"/>
    <x v="34"/>
    <x v="0"/>
    <m/>
    <n v="-1"/>
  </r>
  <r>
    <x v="1"/>
    <x v="27"/>
    <n v="17"/>
    <s v="盯码放"/>
    <x v="34"/>
    <x v="0"/>
    <m/>
    <n v="-1"/>
  </r>
  <r>
    <x v="1"/>
    <x v="27"/>
    <n v="18"/>
    <s v="盯配载"/>
    <x v="55"/>
    <x v="0"/>
    <m/>
    <n v="0"/>
  </r>
  <r>
    <x v="1"/>
    <x v="27"/>
    <n v="19"/>
    <s v="盯船开"/>
    <x v="33"/>
    <x v="2"/>
    <m/>
    <n v="1"/>
  </r>
  <r>
    <x v="1"/>
    <x v="27"/>
    <n v="20"/>
    <s v="做费用(对账单日期4号)，放公共盘，填月账单表，发孙丹"/>
    <x v="55"/>
    <x v="0"/>
    <m/>
    <n v="0"/>
  </r>
  <r>
    <x v="4"/>
    <x v="27"/>
    <n v="1"/>
    <s v="收到客户(徐贵)订舱预报"/>
    <x v="48"/>
    <x v="0"/>
    <s v="一般周五发隔周"/>
    <n v="-9"/>
  </r>
  <r>
    <x v="4"/>
    <x v="27"/>
    <n v="2"/>
    <s v="填WORKING PROCESS"/>
    <x v="48"/>
    <x v="0"/>
    <m/>
    <n v="-9"/>
  </r>
  <r>
    <x v="4"/>
    <x v="27"/>
    <n v="3"/>
    <s v="收到HMM(Neo)预订舱邮件通知"/>
    <x v="48"/>
    <x v="0"/>
    <s v="一般周一发下周"/>
    <n v="-9"/>
  </r>
  <r>
    <x v="4"/>
    <x v="27"/>
    <n v="4"/>
    <s v="回复HMM(Neo)预订舱邮件"/>
    <x v="48"/>
    <x v="0"/>
    <m/>
    <n v="-9"/>
  </r>
  <r>
    <x v="4"/>
    <x v="27"/>
    <n v="5"/>
    <s v="收到HMM(Neo)预订舱确认"/>
    <x v="51"/>
    <x v="0"/>
    <s v="一般马上"/>
    <n v="-8"/>
  </r>
  <r>
    <x v="4"/>
    <x v="27"/>
    <n v="6"/>
    <s v="公共盘生成提单号"/>
    <x v="51"/>
    <x v="0"/>
    <m/>
    <n v="-8"/>
  </r>
  <r>
    <x v="4"/>
    <x v="27"/>
    <n v="7"/>
    <s v="YJC系统生成单子"/>
    <x v="51"/>
    <x v="0"/>
    <m/>
    <n v="-8"/>
  </r>
  <r>
    <x v="4"/>
    <x v="27"/>
    <n v="8"/>
    <s v="发EDI"/>
    <x v="51"/>
    <x v="0"/>
    <m/>
    <n v="-8"/>
  </r>
  <r>
    <x v="4"/>
    <x v="27"/>
    <n v="9"/>
    <s v="邮件申请放单"/>
    <x v="51"/>
    <x v="0"/>
    <m/>
    <n v="-8"/>
  </r>
  <r>
    <x v="4"/>
    <x v="27"/>
    <n v="10"/>
    <s v="收到HMM(Neo) 放单确认"/>
    <x v="51"/>
    <x v="0"/>
    <s v="一般半天内"/>
    <n v="-8"/>
  </r>
  <r>
    <x v="4"/>
    <x v="27"/>
    <n v="11"/>
    <s v="HMM网站核对订舱信息"/>
    <x v="51"/>
    <x v="0"/>
    <m/>
    <n v="-8"/>
  </r>
  <r>
    <x v="4"/>
    <x v="27"/>
    <n v="12"/>
    <s v="收到客户(徐贵)做箱通知"/>
    <x v="19"/>
    <x v="0"/>
    <s v="一般做箱头天一早"/>
    <n v="-6"/>
  </r>
  <r>
    <x v="4"/>
    <x v="27"/>
    <n v="13"/>
    <s v="发做箱通知邮件给车队(沈丽)"/>
    <x v="19"/>
    <x v="0"/>
    <m/>
    <n v="-6"/>
  </r>
  <r>
    <x v="4"/>
    <x v="27"/>
    <n v="14"/>
    <s v="公共盘生成提单号【如需拆单】"/>
    <x v="19"/>
    <x v="0"/>
    <m/>
    <n v="-6"/>
  </r>
  <r>
    <x v="4"/>
    <x v="27"/>
    <n v="15"/>
    <s v="YJC系统生成单子【如需拆单】"/>
    <x v="19"/>
    <x v="0"/>
    <m/>
    <n v="-6"/>
  </r>
  <r>
    <x v="4"/>
    <x v="27"/>
    <n v="16"/>
    <s v="发EDI【如需拆单】"/>
    <x v="19"/>
    <x v="0"/>
    <m/>
    <n v="-6"/>
  </r>
  <r>
    <x v="4"/>
    <x v="27"/>
    <n v="17"/>
    <s v="邮件申请放单【如需拆单】"/>
    <x v="19"/>
    <x v="0"/>
    <m/>
    <n v="-6"/>
  </r>
  <r>
    <x v="4"/>
    <x v="27"/>
    <n v="18"/>
    <s v="收到HMM(Neo) 放单确认【如需拆单】"/>
    <x v="19"/>
    <x v="0"/>
    <m/>
    <n v="-6"/>
  </r>
  <r>
    <x v="4"/>
    <x v="27"/>
    <n v="19"/>
    <s v="HMM网站核对订舱信息【如需拆单】"/>
    <x v="19"/>
    <x v="0"/>
    <m/>
    <n v="-6"/>
  </r>
  <r>
    <x v="4"/>
    <x v="27"/>
    <n v="20"/>
    <s v="收到客户(徐贵)发来报关资料"/>
    <x v="50"/>
    <x v="0"/>
    <s v="一般做箱当天一早"/>
    <n v="-5"/>
  </r>
  <r>
    <x v="4"/>
    <x v="27"/>
    <n v="21"/>
    <s v="按报关(发票)数生成提单号【如发票数超过提单数】"/>
    <x v="50"/>
    <x v="0"/>
    <m/>
    <n v="-5"/>
  </r>
  <r>
    <x v="4"/>
    <x v="27"/>
    <n v="22"/>
    <s v="做做箱数据，QQ发车队(沈丽)"/>
    <x v="50"/>
    <x v="0"/>
    <m/>
    <n v="-5"/>
  </r>
  <r>
    <x v="4"/>
    <x v="27"/>
    <n v="23"/>
    <s v="收到车队(沈丽)装箱单，转发客户（徐贵）"/>
    <x v="50"/>
    <x v="0"/>
    <s v="一般马上"/>
    <n v="-5"/>
  </r>
  <r>
    <x v="4"/>
    <x v="27"/>
    <n v="24"/>
    <s v="YJC系统截单，发EDI，邮件HMM(He)【截单时间】"/>
    <x v="50"/>
    <x v="0"/>
    <s v="注意截单时间"/>
    <n v="-5"/>
  </r>
  <r>
    <x v="4"/>
    <x v="27"/>
    <n v="25"/>
    <s v="发VGM和舱单"/>
    <x v="50"/>
    <x v="0"/>
    <m/>
    <n v="-5"/>
  </r>
  <r>
    <x v="4"/>
    <x v="27"/>
    <n v="26"/>
    <s v="做报关资料，扫描发报关行(黄寅文)QQ，要校对稿"/>
    <x v="50"/>
    <x v="0"/>
    <m/>
    <n v="-5"/>
  </r>
  <r>
    <x v="4"/>
    <x v="27"/>
    <n v="27"/>
    <s v="做保函给邹师傅"/>
    <x v="50"/>
    <x v="0"/>
    <m/>
    <n v="-5"/>
  </r>
  <r>
    <x v="4"/>
    <x v="27"/>
    <n v="28"/>
    <s v="做ISF，发国外资料"/>
    <x v="50"/>
    <x v="0"/>
    <m/>
    <n v="-5"/>
  </r>
  <r>
    <x v="4"/>
    <x v="27"/>
    <n v="29"/>
    <s v="买保险"/>
    <x v="50"/>
    <x v="0"/>
    <m/>
    <n v="-5"/>
  </r>
  <r>
    <x v="4"/>
    <x v="27"/>
    <n v="31"/>
    <s v="收到HMM(He)生成提单通知"/>
    <x v="50"/>
    <x v="0"/>
    <s v="一般马上"/>
    <n v="-5"/>
  </r>
  <r>
    <x v="4"/>
    <x v="27"/>
    <n v="32"/>
    <s v="HMM网站核对提单信息"/>
    <x v="50"/>
    <x v="0"/>
    <m/>
    <n v="-5"/>
  </r>
  <r>
    <x v="4"/>
    <x v="27"/>
    <n v="33"/>
    <s v="盯海关网站舱单"/>
    <x v="50"/>
    <x v="0"/>
    <s v="一般两小时左右"/>
    <n v="-5"/>
  </r>
  <r>
    <x v="4"/>
    <x v="27"/>
    <n v="34"/>
    <s v="核对舱单信息"/>
    <x v="50"/>
    <x v="0"/>
    <m/>
    <n v="-5"/>
  </r>
  <r>
    <x v="4"/>
    <x v="27"/>
    <n v="35"/>
    <s v="收到报关行(黄寅文)校对稿，邮件发客户(徐贵)确认"/>
    <x v="52"/>
    <x v="0"/>
    <s v="一般半天内"/>
    <n v="-4"/>
  </r>
  <r>
    <x v="4"/>
    <x v="27"/>
    <n v="36"/>
    <s v="收到客户(徐贵)确认校对稿"/>
    <x v="52"/>
    <x v="0"/>
    <s v="一般马上"/>
    <n v="-4"/>
  </r>
  <r>
    <x v="4"/>
    <x v="27"/>
    <n v="37"/>
    <s v="通知车队(沈丽)可进港"/>
    <x v="52"/>
    <x v="0"/>
    <m/>
    <n v="-4"/>
  </r>
  <r>
    <x v="4"/>
    <x v="27"/>
    <n v="38"/>
    <s v="盯箱子进港"/>
    <x v="54"/>
    <x v="0"/>
    <m/>
    <n v="-3"/>
  </r>
  <r>
    <x v="4"/>
    <x v="27"/>
    <n v="39"/>
    <s v="核对进港数据"/>
    <x v="52"/>
    <x v="0"/>
    <m/>
    <n v="-4"/>
  </r>
  <r>
    <x v="4"/>
    <x v="27"/>
    <n v="40"/>
    <s v="通知报关行(黄寅文)报关(开港、舱单、校对)"/>
    <x v="54"/>
    <x v="0"/>
    <m/>
    <n v="-3"/>
  </r>
  <r>
    <x v="4"/>
    <x v="27"/>
    <n v="41"/>
    <s v="收到报关成功通知"/>
    <x v="54"/>
    <x v="0"/>
    <s v="一般下班前"/>
    <n v="-3"/>
  </r>
  <r>
    <x v="4"/>
    <x v="27"/>
    <n v="42"/>
    <s v="盯海放"/>
    <x v="54"/>
    <x v="0"/>
    <m/>
    <n v="-3"/>
  </r>
  <r>
    <x v="4"/>
    <x v="27"/>
    <n v="43"/>
    <s v="盯码放"/>
    <x v="53"/>
    <x v="0"/>
    <m/>
    <n v="-2"/>
  </r>
  <r>
    <x v="4"/>
    <x v="27"/>
    <n v="44"/>
    <s v="盯配载"/>
    <x v="33"/>
    <x v="2"/>
    <m/>
    <n v="1"/>
  </r>
  <r>
    <x v="4"/>
    <x v="27"/>
    <n v="45"/>
    <s v="做费用(月初等汇率)，发账单给石磊"/>
    <x v="55"/>
    <x v="0"/>
    <m/>
    <n v="0"/>
  </r>
  <r>
    <x v="4"/>
    <x v="27"/>
    <n v="46"/>
    <s v="船开"/>
    <x v="35"/>
    <x v="2"/>
    <m/>
    <n v="2"/>
  </r>
  <r>
    <x v="4"/>
    <x v="27"/>
    <n v="47"/>
    <s v="放单"/>
    <x v="56"/>
    <x v="2"/>
    <s v="一般开船后两三天"/>
    <n v="5"/>
  </r>
  <r>
    <x v="2"/>
    <x v="27"/>
    <n v="1"/>
    <s v="收到客户(孙丹/王珊)发来订舱托书"/>
    <x v="45"/>
    <x v="0"/>
    <m/>
    <n v="-13"/>
  </r>
  <r>
    <x v="2"/>
    <x v="27"/>
    <n v="2"/>
    <s v="收到CK发来预配(做箱通知，沈丽有收到？)"/>
    <x v="45"/>
    <x v="0"/>
    <m/>
    <n v="-13"/>
  </r>
  <r>
    <x v="2"/>
    <x v="27"/>
    <n v="3"/>
    <s v="YJC系统生成单子"/>
    <x v="45"/>
    <x v="0"/>
    <m/>
    <n v="-13"/>
  </r>
  <r>
    <x v="2"/>
    <x v="27"/>
    <n v="4"/>
    <s v="收到包装厂(刘倩梅)发来包装指示书和装箱计划"/>
    <x v="19"/>
    <x v="0"/>
    <s v="一般周四"/>
    <n v="-6"/>
  </r>
  <r>
    <x v="2"/>
    <x v="27"/>
    <n v="5"/>
    <s v="根据装箱计划汇总包装数据，发各工厂做报关资料"/>
    <x v="19"/>
    <x v="0"/>
    <m/>
    <n v="-6"/>
  </r>
  <r>
    <x v="2"/>
    <x v="27"/>
    <n v="6"/>
    <s v="做做箱数据，邮件群发(查开港时间，注明做箱时间)"/>
    <x v="19"/>
    <x v="0"/>
    <m/>
    <n v="-6"/>
  </r>
  <r>
    <x v="2"/>
    <x v="27"/>
    <n v="7"/>
    <s v="收到工厂发来报关资料并完善(代做报关资料跟客户确认)"/>
    <x v="19"/>
    <x v="0"/>
    <s v="当天至隔天"/>
    <n v="-6"/>
  </r>
  <r>
    <x v="2"/>
    <x v="27"/>
    <n v="8"/>
    <s v="报关资料齐了，发报关行(黄寅文)，货运模板/发票/箱单"/>
    <x v="50"/>
    <x v="0"/>
    <m/>
    <n v="-5"/>
  </r>
  <r>
    <x v="2"/>
    <x v="27"/>
    <n v="9"/>
    <s v="收到车队(沈丽)装箱单和洋山提箱截图(如有)，9点前群发，通知发舱单"/>
    <x v="50"/>
    <x v="0"/>
    <s v="一般KMM五、HMI日"/>
    <n v="-5"/>
  </r>
  <r>
    <x v="2"/>
    <x v="27"/>
    <n v="10"/>
    <s v="收到舱单发送成功通知，核对舱单信息"/>
    <x v="50"/>
    <x v="0"/>
    <m/>
    <n v="-5"/>
  </r>
  <r>
    <x v="2"/>
    <x v="27"/>
    <n v="11"/>
    <s v="通知报关（洋山发装箱单）"/>
    <x v="50"/>
    <x v="0"/>
    <s v="调整顺序"/>
    <n v="-5"/>
  </r>
  <r>
    <x v="2"/>
    <x v="27"/>
    <n v="12"/>
    <s v="报关成功"/>
    <x v="50"/>
    <x v="0"/>
    <s v="调整顺序"/>
    <n v="-5"/>
  </r>
  <r>
    <x v="2"/>
    <x v="27"/>
    <n v="13"/>
    <s v="通知进港"/>
    <x v="50"/>
    <x v="0"/>
    <s v="调整顺序"/>
    <n v="-5"/>
  </r>
  <r>
    <x v="2"/>
    <x v="27"/>
    <n v="14"/>
    <s v="进港(核对数据)"/>
    <x v="52"/>
    <x v="0"/>
    <s v="调整顺序"/>
    <n v="-4"/>
  </r>
  <r>
    <x v="2"/>
    <x v="27"/>
    <n v="15"/>
    <s v="海放"/>
    <x v="52"/>
    <x v="0"/>
    <m/>
    <n v="-4"/>
  </r>
  <r>
    <x v="2"/>
    <x v="27"/>
    <n v="16"/>
    <s v="码放"/>
    <x v="53"/>
    <x v="0"/>
    <m/>
    <n v="-2"/>
  </r>
  <r>
    <x v="2"/>
    <x v="27"/>
    <n v="17"/>
    <s v="配载"/>
    <x v="34"/>
    <x v="0"/>
    <m/>
    <n v="-1"/>
  </r>
  <r>
    <x v="2"/>
    <x v="27"/>
    <n v="18"/>
    <s v="做费用(对账单日期4号)，放公共盘，填月账单表，发孙丹"/>
    <x v="55"/>
    <x v="0"/>
    <m/>
    <n v="0"/>
  </r>
  <r>
    <x v="2"/>
    <x v="27"/>
    <n v="19"/>
    <s v="船开"/>
    <x v="55"/>
    <x v="0"/>
    <m/>
    <n v="0"/>
  </r>
  <r>
    <x v="4"/>
    <x v="28"/>
    <n v="1"/>
    <s v="收到客户(徐贵)订舱预报"/>
    <x v="48"/>
    <x v="0"/>
    <s v="一般周五发隔周"/>
    <n v="-9"/>
  </r>
  <r>
    <x v="4"/>
    <x v="28"/>
    <n v="2"/>
    <s v="填WORKING PROCESS"/>
    <x v="48"/>
    <x v="0"/>
    <m/>
    <n v="-9"/>
  </r>
  <r>
    <x v="4"/>
    <x v="28"/>
    <n v="3"/>
    <s v="收到HMM(Neo)预订舱邮件通知"/>
    <x v="48"/>
    <x v="0"/>
    <s v="一般周一发下周"/>
    <n v="-9"/>
  </r>
  <r>
    <x v="4"/>
    <x v="28"/>
    <n v="4"/>
    <s v="回复HMM(Neo)预订舱邮件"/>
    <x v="48"/>
    <x v="0"/>
    <m/>
    <n v="-9"/>
  </r>
  <r>
    <x v="4"/>
    <x v="28"/>
    <n v="5"/>
    <s v="收到HMM(Neo)预订舱确认"/>
    <x v="51"/>
    <x v="0"/>
    <s v="一般马上"/>
    <n v="-8"/>
  </r>
  <r>
    <x v="4"/>
    <x v="28"/>
    <n v="6"/>
    <s v="公共盘生成提单号"/>
    <x v="51"/>
    <x v="0"/>
    <m/>
    <n v="-8"/>
  </r>
  <r>
    <x v="4"/>
    <x v="28"/>
    <n v="7"/>
    <s v="YJC系统生成单子"/>
    <x v="51"/>
    <x v="0"/>
    <m/>
    <n v="-8"/>
  </r>
  <r>
    <x v="4"/>
    <x v="28"/>
    <n v="8"/>
    <s v="发EDI"/>
    <x v="51"/>
    <x v="0"/>
    <m/>
    <n v="-8"/>
  </r>
  <r>
    <x v="4"/>
    <x v="28"/>
    <n v="9"/>
    <s v="邮件申请放单"/>
    <x v="51"/>
    <x v="0"/>
    <m/>
    <n v="-8"/>
  </r>
  <r>
    <x v="4"/>
    <x v="28"/>
    <n v="9.1"/>
    <s v="改船期"/>
    <x v="49"/>
    <x v="0"/>
    <m/>
    <n v="-7"/>
  </r>
  <r>
    <x v="4"/>
    <x v="28"/>
    <n v="10"/>
    <s v="收到HMM(Neo) 放单确认"/>
    <x v="49"/>
    <x v="0"/>
    <s v="一般半天内"/>
    <n v="-7"/>
  </r>
  <r>
    <x v="4"/>
    <x v="28"/>
    <n v="11"/>
    <s v="HMM网站核对订舱信息"/>
    <x v="49"/>
    <x v="0"/>
    <m/>
    <n v="-7"/>
  </r>
  <r>
    <x v="4"/>
    <x v="28"/>
    <n v="12"/>
    <s v="收到客户(徐贵)做箱通知"/>
    <x v="53"/>
    <x v="0"/>
    <s v="一般做箱头天一早"/>
    <n v="-2"/>
  </r>
  <r>
    <x v="4"/>
    <x v="28"/>
    <n v="13"/>
    <s v="发做箱通知邮件给车队(沈丽)"/>
    <x v="53"/>
    <x v="0"/>
    <m/>
    <n v="-2"/>
  </r>
  <r>
    <x v="4"/>
    <x v="28"/>
    <n v="14"/>
    <s v="公共盘生成提单号【如需拆单】"/>
    <x v="53"/>
    <x v="0"/>
    <m/>
    <n v="-2"/>
  </r>
  <r>
    <x v="4"/>
    <x v="28"/>
    <n v="15"/>
    <s v="YJC系统生成单子【如需拆单】"/>
    <x v="53"/>
    <x v="0"/>
    <m/>
    <n v="-2"/>
  </r>
  <r>
    <x v="4"/>
    <x v="28"/>
    <n v="16"/>
    <s v="发EDI【如需拆单】"/>
    <x v="53"/>
    <x v="0"/>
    <m/>
    <n v="-2"/>
  </r>
  <r>
    <x v="4"/>
    <x v="28"/>
    <n v="17"/>
    <s v="邮件申请放单【如需拆单】"/>
    <x v="53"/>
    <x v="0"/>
    <m/>
    <n v="-2"/>
  </r>
  <r>
    <x v="4"/>
    <x v="28"/>
    <n v="18"/>
    <s v="收到HMM(Neo) 放单确认【如需拆单】"/>
    <x v="53"/>
    <x v="0"/>
    <m/>
    <n v="-2"/>
  </r>
  <r>
    <x v="4"/>
    <x v="28"/>
    <n v="19"/>
    <s v="HMM网站核对订舱信息【如需拆单】"/>
    <x v="53"/>
    <x v="0"/>
    <m/>
    <n v="-2"/>
  </r>
  <r>
    <x v="4"/>
    <x v="28"/>
    <n v="20"/>
    <s v="收到客户(徐贵)发来报关资料"/>
    <x v="34"/>
    <x v="0"/>
    <s v="一般做箱当天一早"/>
    <n v="-1"/>
  </r>
  <r>
    <x v="4"/>
    <x v="28"/>
    <n v="21"/>
    <s v="按报关(发票)数生成提单号【如发票数超过提单数】"/>
    <x v="34"/>
    <x v="0"/>
    <m/>
    <n v="-1"/>
  </r>
  <r>
    <x v="4"/>
    <x v="28"/>
    <n v="22"/>
    <s v="做做箱数据，QQ发车队(沈丽)"/>
    <x v="34"/>
    <x v="0"/>
    <m/>
    <n v="-1"/>
  </r>
  <r>
    <x v="4"/>
    <x v="28"/>
    <n v="23"/>
    <s v="收到车队(沈丽)装箱单，转发客户（徐贵）"/>
    <x v="34"/>
    <x v="0"/>
    <s v="一般马上"/>
    <n v="-1"/>
  </r>
  <r>
    <x v="4"/>
    <x v="28"/>
    <n v="24"/>
    <s v="YJC系统截单，发EDI，邮件HMM(He)【截单时间】"/>
    <x v="34"/>
    <x v="0"/>
    <s v="注意截单时间"/>
    <n v="-1"/>
  </r>
  <r>
    <x v="4"/>
    <x v="28"/>
    <n v="25"/>
    <s v="发VGM和舱单（亿通，鹏海两次）"/>
    <x v="34"/>
    <x v="0"/>
    <m/>
    <n v="-1"/>
  </r>
  <r>
    <x v="4"/>
    <x v="28"/>
    <n v="26"/>
    <s v="做报关资料，扫描发报关行(黄寅文)QQ，要校对稿"/>
    <x v="34"/>
    <x v="0"/>
    <m/>
    <n v="-1"/>
  </r>
  <r>
    <x v="4"/>
    <x v="28"/>
    <n v="27"/>
    <s v="做保函给邹师傅"/>
    <x v="34"/>
    <x v="0"/>
    <m/>
    <n v="-1"/>
  </r>
  <r>
    <x v="4"/>
    <x v="28"/>
    <n v="28"/>
    <s v="做ISF，发国外资料"/>
    <x v="34"/>
    <x v="0"/>
    <m/>
    <n v="-1"/>
  </r>
  <r>
    <x v="4"/>
    <x v="28"/>
    <n v="29"/>
    <s v="买保险"/>
    <x v="34"/>
    <x v="0"/>
    <m/>
    <n v="-1"/>
  </r>
  <r>
    <x v="4"/>
    <x v="28"/>
    <n v="31"/>
    <s v="收到HMM(He)生成提单通知"/>
    <x v="34"/>
    <x v="0"/>
    <s v="一般马上"/>
    <n v="-1"/>
  </r>
  <r>
    <x v="4"/>
    <x v="28"/>
    <n v="32"/>
    <s v="HMM网站核对提单信息"/>
    <x v="34"/>
    <x v="0"/>
    <m/>
    <n v="-1"/>
  </r>
  <r>
    <x v="4"/>
    <x v="28"/>
    <n v="33"/>
    <s v="盯海关网站舱单"/>
    <x v="34"/>
    <x v="0"/>
    <s v="一般两小时左右"/>
    <n v="-1"/>
  </r>
  <r>
    <x v="4"/>
    <x v="28"/>
    <n v="34"/>
    <s v="核对舱单信息"/>
    <x v="34"/>
    <x v="0"/>
    <m/>
    <n v="-1"/>
  </r>
  <r>
    <x v="4"/>
    <x v="28"/>
    <n v="35"/>
    <s v="收到报关行(黄寅文)校对稿，邮件发客户(徐贵)确认"/>
    <x v="34"/>
    <x v="0"/>
    <s v="一般半天内"/>
    <n v="-1"/>
  </r>
  <r>
    <x v="4"/>
    <x v="28"/>
    <n v="36"/>
    <s v="收到客户(徐贵)确认校对稿"/>
    <x v="34"/>
    <x v="0"/>
    <s v="一般马上"/>
    <n v="-1"/>
  </r>
  <r>
    <x v="4"/>
    <x v="28"/>
    <n v="37"/>
    <s v="通知报关行(黄寅文)报关(开港、舱单、校对)"/>
    <x v="34"/>
    <x v="0"/>
    <m/>
    <n v="-1"/>
  </r>
  <r>
    <x v="4"/>
    <x v="28"/>
    <n v="38"/>
    <s v="收到报关成功通知"/>
    <x v="34"/>
    <x v="0"/>
    <s v="一般下班前"/>
    <n v="-1"/>
  </r>
  <r>
    <x v="4"/>
    <x v="28"/>
    <n v="39"/>
    <s v="通知车队(沈丽)可进港"/>
    <x v="34"/>
    <x v="0"/>
    <m/>
    <n v="-1"/>
  </r>
  <r>
    <x v="4"/>
    <x v="28"/>
    <n v="40"/>
    <s v="盯箱子进港"/>
    <x v="55"/>
    <x v="0"/>
    <m/>
    <n v="0"/>
  </r>
  <r>
    <x v="4"/>
    <x v="28"/>
    <n v="41"/>
    <s v="核对进港数据"/>
    <x v="55"/>
    <x v="0"/>
    <m/>
    <n v="0"/>
  </r>
  <r>
    <x v="4"/>
    <x v="28"/>
    <n v="42"/>
    <s v="盯海放"/>
    <x v="55"/>
    <x v="0"/>
    <m/>
    <n v="0"/>
  </r>
  <r>
    <x v="4"/>
    <x v="28"/>
    <n v="43"/>
    <s v="盯码放"/>
    <x v="55"/>
    <x v="0"/>
    <m/>
    <n v="0"/>
  </r>
  <r>
    <x v="4"/>
    <x v="28"/>
    <n v="44"/>
    <s v="盯配载"/>
    <x v="33"/>
    <x v="2"/>
    <m/>
    <n v="1"/>
  </r>
  <r>
    <x v="4"/>
    <x v="28"/>
    <n v="45"/>
    <s v="做费用(月初等汇率)，发账单给石磊"/>
    <x v="55"/>
    <x v="0"/>
    <m/>
    <n v="0"/>
  </r>
  <r>
    <x v="4"/>
    <x v="28"/>
    <n v="46"/>
    <s v="船开"/>
    <x v="35"/>
    <x v="2"/>
    <m/>
    <n v="2"/>
  </r>
  <r>
    <x v="4"/>
    <x v="28"/>
    <n v="47"/>
    <s v="放单"/>
    <x v="35"/>
    <x v="2"/>
    <s v="一般开船后两三天"/>
    <n v="2"/>
  </r>
  <r>
    <x v="2"/>
    <x v="29"/>
    <n v="1"/>
    <s v="收到客户(孙丹/王珊)发来订舱托书"/>
    <x v="19"/>
    <x v="0"/>
    <m/>
    <n v="-6"/>
  </r>
  <r>
    <x v="2"/>
    <x v="29"/>
    <n v="2"/>
    <s v="收到CK发来预配(做箱通知，沈丽有收到？)"/>
    <x v="19"/>
    <x v="0"/>
    <m/>
    <n v="-6"/>
  </r>
  <r>
    <x v="2"/>
    <x v="29"/>
    <n v="3"/>
    <s v="YJC系统生成单子"/>
    <x v="19"/>
    <x v="0"/>
    <m/>
    <n v="-6"/>
  </r>
  <r>
    <x v="2"/>
    <x v="29"/>
    <n v="4"/>
    <s v="收到包装厂(刘倩梅)发来包装指示书和装箱计划"/>
    <x v="33"/>
    <x v="2"/>
    <s v="一般周四"/>
    <n v="1"/>
  </r>
  <r>
    <x v="2"/>
    <x v="29"/>
    <n v="5"/>
    <s v="根据装箱计划汇总包装数据，发各工厂做报关资料"/>
    <x v="33"/>
    <x v="2"/>
    <m/>
    <n v="1"/>
  </r>
  <r>
    <x v="2"/>
    <x v="29"/>
    <n v="6"/>
    <s v="做做箱数据，邮件群发(查开港时间，注明做箱时间)"/>
    <x v="33"/>
    <x v="2"/>
    <m/>
    <n v="1"/>
  </r>
  <r>
    <x v="2"/>
    <x v="29"/>
    <n v="7"/>
    <s v="收到工厂发来报关资料并完善(代做报关资料跟客户确认)"/>
    <x v="33"/>
    <x v="2"/>
    <s v="当天至隔天"/>
    <n v="1"/>
  </r>
  <r>
    <x v="2"/>
    <x v="29"/>
    <n v="8"/>
    <s v="报关资料齐了（光成要素划掉XXX），发报关行(黄寅文)"/>
    <x v="33"/>
    <x v="2"/>
    <m/>
    <n v="1"/>
  </r>
  <r>
    <x v="2"/>
    <x v="29"/>
    <n v="9"/>
    <s v="货运模板/发票/箱单"/>
    <x v="33"/>
    <x v="2"/>
    <m/>
    <n v="1"/>
  </r>
  <r>
    <x v="2"/>
    <x v="29"/>
    <n v="10"/>
    <s v="收到车队(沈丽)装箱单和洋山提箱截图(如有)，9点前群发，通知发舱单"/>
    <x v="33"/>
    <x v="2"/>
    <s v="一般KMM五、HMI日"/>
    <n v="1"/>
  </r>
  <r>
    <x v="2"/>
    <x v="29"/>
    <n v="11"/>
    <s v="收到舱单发送成功通知，核对舱单信息"/>
    <x v="33"/>
    <x v="2"/>
    <m/>
    <n v="1"/>
  </r>
  <r>
    <x v="2"/>
    <x v="29"/>
    <n v="12"/>
    <s v="通知报关（洋山发装箱单）"/>
    <x v="33"/>
    <x v="2"/>
    <s v="调整顺序"/>
    <n v="1"/>
  </r>
  <r>
    <x v="2"/>
    <x v="29"/>
    <n v="13"/>
    <s v="报关成功"/>
    <x v="35"/>
    <x v="2"/>
    <s v="调整顺序"/>
    <n v="2"/>
  </r>
  <r>
    <x v="2"/>
    <x v="29"/>
    <n v="14"/>
    <s v="通知进港"/>
    <x v="35"/>
    <x v="2"/>
    <s v="调整顺序"/>
    <n v="2"/>
  </r>
  <r>
    <x v="2"/>
    <x v="29"/>
    <n v="15"/>
    <s v="进港(核对数据)"/>
    <x v="35"/>
    <x v="2"/>
    <s v="调整顺序"/>
    <n v="2"/>
  </r>
  <r>
    <x v="2"/>
    <x v="29"/>
    <n v="16"/>
    <s v="海放"/>
    <x v="57"/>
    <x v="2"/>
    <m/>
    <n v="3"/>
  </r>
  <r>
    <x v="2"/>
    <x v="29"/>
    <n v="17"/>
    <s v="码放"/>
    <x v="57"/>
    <x v="2"/>
    <m/>
    <n v="3"/>
  </r>
  <r>
    <x v="2"/>
    <x v="29"/>
    <n v="18"/>
    <s v="配载"/>
    <x v="58"/>
    <x v="2"/>
    <m/>
    <n v="6"/>
  </r>
  <r>
    <x v="2"/>
    <x v="29"/>
    <n v="19"/>
    <s v="做费用(对账单日期4号)，放公共盘，填月账单表，发孙丹"/>
    <x v="58"/>
    <x v="2"/>
    <m/>
    <n v="6"/>
  </r>
  <r>
    <x v="2"/>
    <x v="29"/>
    <n v="20"/>
    <s v="船开"/>
    <x v="59"/>
    <x v="2"/>
    <m/>
    <n v="7"/>
  </r>
  <r>
    <x v="8"/>
    <x v="30"/>
    <n v="1"/>
    <s v="收到订舱邮件"/>
    <x v="43"/>
    <x v="0"/>
    <m/>
    <n v="-12"/>
  </r>
  <r>
    <x v="8"/>
    <x v="30"/>
    <n v="2"/>
    <s v="MSK网站订舱"/>
    <x v="43"/>
    <x v="0"/>
    <m/>
    <n v="-12"/>
  </r>
  <r>
    <x v="8"/>
    <x v="30"/>
    <n v="3"/>
    <s v="MSK网站有了截单时间"/>
    <x v="48"/>
    <x v="0"/>
    <s v="此时间之前要有？"/>
    <n v="-9"/>
  </r>
  <r>
    <x v="8"/>
    <x v="30"/>
    <n v="4"/>
    <s v="发做箱通知邮件给车队(沈丽)，参考968603508"/>
    <x v="56"/>
    <x v="2"/>
    <s v="？"/>
    <n v="5"/>
  </r>
  <r>
    <x v="8"/>
    <x v="30"/>
    <n v="5"/>
    <s v="申请外港提箱？"/>
    <x v="56"/>
    <x v="2"/>
    <s v="？"/>
    <n v="5"/>
  </r>
  <r>
    <x v="8"/>
    <x v="30"/>
    <n v="6"/>
    <s v="代发AMS申请邮件，参考968603508"/>
    <x v="60"/>
    <x v="2"/>
    <s v="？"/>
    <n v="9"/>
  </r>
  <r>
    <x v="8"/>
    <x v="30"/>
    <n v="7"/>
    <s v="发提单确认给国外，参考968603508"/>
    <x v="60"/>
    <x v="2"/>
    <s v="？"/>
    <n v="9"/>
  </r>
  <r>
    <x v="8"/>
    <x v="30"/>
    <n v="8"/>
    <s v="确认HBL为首尔预付，参考968603508"/>
    <x v="60"/>
    <x v="2"/>
    <s v="？"/>
    <n v="9"/>
  </r>
  <r>
    <x v="8"/>
    <x v="30"/>
    <n v="9"/>
    <s v="销账？，参考968603508"/>
    <x v="60"/>
    <x v="2"/>
    <s v="？"/>
    <n v="9"/>
  </r>
  <r>
    <x v="8"/>
    <x v="30"/>
    <n v="10"/>
    <s v="收RECEIPT，发提单，参考968603508"/>
    <x v="61"/>
    <x v="2"/>
    <s v="？"/>
    <n v="15"/>
  </r>
  <r>
    <x v="8"/>
    <x v="31"/>
    <n v="1"/>
    <s v="收到订舱邮件"/>
    <x v="43"/>
    <x v="1"/>
    <m/>
    <n v="-12"/>
  </r>
  <r>
    <x v="8"/>
    <x v="31"/>
    <n v="2"/>
    <s v="MSK网站订舱"/>
    <x v="43"/>
    <x v="1"/>
    <m/>
    <n v="-12"/>
  </r>
  <r>
    <x v="8"/>
    <x v="31"/>
    <n v="3"/>
    <s v="MSK网站有了截单时间"/>
    <x v="62"/>
    <x v="1"/>
    <s v="？"/>
    <n v="12"/>
  </r>
  <r>
    <x v="8"/>
    <x v="31"/>
    <n v="4"/>
    <s v="发做箱通知邮件给车队(沈丽)，参考968603508"/>
    <x v="62"/>
    <x v="1"/>
    <s v="？"/>
    <n v="12"/>
  </r>
  <r>
    <x v="8"/>
    <x v="31"/>
    <n v="5"/>
    <s v="申请外港提箱？"/>
    <x v="62"/>
    <x v="1"/>
    <s v="？"/>
    <n v="12"/>
  </r>
  <r>
    <x v="8"/>
    <x v="31"/>
    <n v="6"/>
    <s v="代发AMS申请邮件，参考968603508"/>
    <x v="61"/>
    <x v="1"/>
    <s v="？"/>
    <n v="15"/>
  </r>
  <r>
    <x v="8"/>
    <x v="31"/>
    <n v="7"/>
    <s v="发确认邮件给国外，参考968603508"/>
    <x v="61"/>
    <x v="1"/>
    <s v="？"/>
    <n v="15"/>
  </r>
  <r>
    <x v="8"/>
    <x v="31"/>
    <n v="8"/>
    <s v="确认HBL为首尔预付，参考968603508"/>
    <x v="61"/>
    <x v="1"/>
    <s v="？"/>
    <n v="15"/>
  </r>
  <r>
    <x v="8"/>
    <x v="31"/>
    <n v="9"/>
    <s v="销账？，参考968603508"/>
    <x v="61"/>
    <x v="1"/>
    <s v="？"/>
    <n v="15"/>
  </r>
  <r>
    <x v="8"/>
    <x v="31"/>
    <n v="10"/>
    <s v="收入RECEIPT，发提单，参考968603508"/>
    <x v="63"/>
    <x v="1"/>
    <s v="？"/>
    <n v="22"/>
  </r>
  <r>
    <x v="7"/>
    <x v="27"/>
    <n v="1"/>
    <s v="收到徐小姐托书"/>
    <x v="19"/>
    <x v="0"/>
    <m/>
    <n v="-6"/>
  </r>
  <r>
    <x v="7"/>
    <x v="27"/>
    <n v="2"/>
    <s v="公共盘表格生成单号，YJC系统复制、生成单子"/>
    <x v="19"/>
    <x v="0"/>
    <m/>
    <n v="-6"/>
  </r>
  <r>
    <x v="7"/>
    <x v="27"/>
    <n v="3"/>
    <s v="振华网站订舱、保存、提交，等待审核"/>
    <x v="19"/>
    <x v="0"/>
    <m/>
    <n v="-6"/>
  </r>
  <r>
    <x v="7"/>
    <x v="27"/>
    <n v="4"/>
    <s v="QQ发预配给徐小姐，邮件发确认给国外"/>
    <x v="19"/>
    <x v="0"/>
    <m/>
    <n v="-6"/>
  </r>
  <r>
    <x v="7"/>
    <x v="27"/>
    <n v="5"/>
    <s v="收到国外确认，公共盘表格红改黑"/>
    <x v="19"/>
    <x v="0"/>
    <m/>
    <n v="-6"/>
  </r>
  <r>
    <x v="7"/>
    <x v="27"/>
    <n v="6"/>
    <s v="收到车队江发来VGM表格"/>
    <x v="53"/>
    <x v="0"/>
    <s v="周三周一截，周日周五截"/>
    <n v="-2"/>
  </r>
  <r>
    <x v="7"/>
    <x v="27"/>
    <n v="7"/>
    <s v="YJC 截单，振华截单、截VGM"/>
    <x v="53"/>
    <x v="0"/>
    <m/>
    <n v="-2"/>
  </r>
  <r>
    <x v="7"/>
    <x v="27"/>
    <n v="8"/>
    <s v="邮件发提单确认和费用确认给国外"/>
    <x v="53"/>
    <x v="0"/>
    <m/>
    <n v="-2"/>
  </r>
  <r>
    <x v="7"/>
    <x v="27"/>
    <n v="9"/>
    <s v="船开"/>
    <x v="33"/>
    <x v="2"/>
    <m/>
    <n v="1"/>
  </r>
  <r>
    <x v="7"/>
    <x v="27"/>
    <n v="10"/>
    <s v="拿到WAYBILL，扫描，和HBL一起发国外"/>
    <x v="33"/>
    <x v="2"/>
    <m/>
    <n v="1"/>
  </r>
  <r>
    <x v="9"/>
    <x v="32"/>
    <m/>
    <m/>
    <x v="64"/>
    <x v="3"/>
    <m/>
    <n v="-43642"/>
  </r>
  <r>
    <x v="3"/>
    <x v="33"/>
    <n v="1"/>
    <s v="PANCON上周日船期提单领取单"/>
    <x v="53"/>
    <x v="0"/>
    <s v="周一"/>
    <n v="-2"/>
  </r>
  <r>
    <x v="3"/>
    <x v="33"/>
    <n v="2"/>
    <s v="拿到PANCON WAYBILL，朱琳的给朱琳"/>
    <x v="53"/>
    <x v="0"/>
    <s v="周一"/>
    <n v="-2"/>
  </r>
  <r>
    <x v="3"/>
    <x v="33"/>
    <n v="3"/>
    <s v="PANCON本周三出运清单"/>
    <x v="34"/>
    <x v="0"/>
    <s v="周一"/>
    <n v="-1"/>
  </r>
  <r>
    <x v="3"/>
    <x v="33"/>
    <n v="4"/>
    <s v="WORKING PROCESS"/>
    <x v="53"/>
    <x v="0"/>
    <s v="周一"/>
    <n v="-2"/>
  </r>
  <r>
    <x v="3"/>
    <x v="33"/>
    <n v="5"/>
    <s v="WORKING PROCESS"/>
    <x v="55"/>
    <x v="0"/>
    <s v="周三"/>
    <n v="0"/>
  </r>
  <r>
    <x v="3"/>
    <x v="33"/>
    <n v="6"/>
    <s v="PANCON周四船期提单领取单"/>
    <x v="33"/>
    <x v="2"/>
    <s v="周四"/>
    <n v="1"/>
  </r>
  <r>
    <x v="3"/>
    <x v="33"/>
    <n v="7"/>
    <s v="拿到PANCON WAYBILL，朱琳的给朱琳"/>
    <x v="33"/>
    <x v="2"/>
    <s v="周四"/>
    <n v="1"/>
  </r>
  <r>
    <x v="3"/>
    <x v="33"/>
    <n v="8"/>
    <s v="和 JS mobis、SC glovis确认订舱需求回Neo邮件"/>
    <x v="35"/>
    <x v="2"/>
    <s v="周五"/>
    <n v="2"/>
  </r>
  <r>
    <x v="3"/>
    <x v="33"/>
    <n v="9"/>
    <s v="TJ glovis额外费用邮件"/>
    <x v="35"/>
    <x v="2"/>
    <s v="周五"/>
    <n v="2"/>
  </r>
  <r>
    <x v="3"/>
    <x v="33"/>
    <n v="10"/>
    <s v="WORKING PROCESS"/>
    <x v="35"/>
    <x v="2"/>
    <s v="周五"/>
    <n v="2"/>
  </r>
  <r>
    <x v="3"/>
    <x v="33"/>
    <n v="11"/>
    <s v="PANCON出运清单（约号更新）"/>
    <x v="35"/>
    <x v="2"/>
    <s v="周五"/>
    <n v="2"/>
  </r>
  <r>
    <x v="3"/>
    <x v="33"/>
    <n v="12"/>
    <s v="制下周 WEEK 流水"/>
    <x v="35"/>
    <x v="2"/>
    <s v="周五"/>
    <n v="2"/>
  </r>
  <r>
    <x v="3"/>
    <x v="33"/>
    <n v="13"/>
    <s v="问 SC glovis 和 JS mobis 下下周订舱计划"/>
    <x v="35"/>
    <x v="2"/>
    <s v="周五"/>
    <n v="2"/>
  </r>
  <r>
    <x v="3"/>
    <x v="33"/>
    <n v="14"/>
    <s v="收到 JS mobis 下下周订舱计划，制流水"/>
    <x v="35"/>
    <x v="2"/>
    <s v="周五"/>
    <n v="2"/>
  </r>
  <r>
    <x v="3"/>
    <x v="33"/>
    <n v="15"/>
    <s v="收到 SC glovis 下下周订舱计划，制流水"/>
    <x v="35"/>
    <x v="2"/>
    <s v="周五"/>
    <n v="2"/>
  </r>
  <r>
    <x v="3"/>
    <x v="33"/>
    <n v="16"/>
    <s v="收到 Neo 下下周订舱预报邮件"/>
    <x v="35"/>
    <x v="2"/>
    <s v="周五"/>
    <n v="2"/>
  </r>
  <r>
    <x v="3"/>
    <x v="33"/>
    <n v="17"/>
    <s v="回复 Neo 下下周订舱预报邮件"/>
    <x v="35"/>
    <x v="2"/>
    <s v="周五"/>
    <n v="2"/>
  </r>
  <r>
    <x v="3"/>
    <x v="33"/>
    <n v="18"/>
    <s v="收到 Neo 下下周订舱预报确认"/>
    <x v="35"/>
    <x v="2"/>
    <s v="周五"/>
    <n v="2"/>
  </r>
  <r>
    <x v="0"/>
    <x v="14"/>
    <n v="6"/>
    <s v="WX mobis 5/22 HLCUSHA1904HAJU8 洋提400元6月结算"/>
    <x v="33"/>
    <x v="2"/>
    <m/>
    <n v="1"/>
  </r>
  <r>
    <x v="4"/>
    <x v="29"/>
    <n v="1"/>
    <s v="收到客户(陈云娣)订舱预报"/>
    <x v="53"/>
    <x v="0"/>
    <s v="一般周五发隔周"/>
    <n v="-2"/>
  </r>
  <r>
    <x v="4"/>
    <x v="29"/>
    <n v="2"/>
    <s v="填WORKING PROCESS"/>
    <x v="34"/>
    <x v="0"/>
    <m/>
    <n v="-1"/>
  </r>
  <r>
    <x v="4"/>
    <x v="29"/>
    <n v="6"/>
    <s v="公共盘生成提单号"/>
    <x v="34"/>
    <x v="0"/>
    <m/>
    <n v="-1"/>
  </r>
  <r>
    <x v="4"/>
    <x v="29"/>
    <n v="7"/>
    <s v="YJC系统生成单子"/>
    <x v="34"/>
    <x v="0"/>
    <m/>
    <n v="-1"/>
  </r>
  <r>
    <x v="4"/>
    <x v="29"/>
    <n v="8"/>
    <s v="发EDI"/>
    <x v="34"/>
    <x v="0"/>
    <m/>
    <n v="-1"/>
  </r>
  <r>
    <x v="4"/>
    <x v="29"/>
    <n v="9"/>
    <s v="邮件申请放单"/>
    <x v="34"/>
    <x v="0"/>
    <m/>
    <n v="-1"/>
  </r>
  <r>
    <x v="4"/>
    <x v="29"/>
    <n v="10"/>
    <s v="收到HMM(Neo) 放单确认"/>
    <x v="34"/>
    <x v="0"/>
    <s v="一般半天内"/>
    <n v="-1"/>
  </r>
  <r>
    <x v="4"/>
    <x v="29"/>
    <n v="11"/>
    <s v="HMM网站核对订舱信息"/>
    <x v="34"/>
    <x v="0"/>
    <m/>
    <n v="-1"/>
  </r>
  <r>
    <x v="4"/>
    <x v="29"/>
    <n v="12"/>
    <s v="收到客户(陈云娣)做箱通知"/>
    <x v="33"/>
    <x v="2"/>
    <s v="一般做箱头天一早"/>
    <n v="1"/>
  </r>
  <r>
    <x v="4"/>
    <x v="29"/>
    <n v="13"/>
    <s v="发做箱通知邮件给车队(沈丽)"/>
    <x v="33"/>
    <x v="2"/>
    <m/>
    <n v="1"/>
  </r>
  <r>
    <x v="4"/>
    <x v="29"/>
    <n v="14"/>
    <s v="公共盘生成提单号【如需拆单】"/>
    <x v="33"/>
    <x v="2"/>
    <m/>
    <n v="1"/>
  </r>
  <r>
    <x v="4"/>
    <x v="29"/>
    <n v="15"/>
    <s v="YJC系统生成单子【如需拆单】"/>
    <x v="33"/>
    <x v="2"/>
    <m/>
    <n v="1"/>
  </r>
  <r>
    <x v="4"/>
    <x v="29"/>
    <n v="16"/>
    <s v="发EDI【如需拆单】"/>
    <x v="33"/>
    <x v="2"/>
    <m/>
    <n v="1"/>
  </r>
  <r>
    <x v="4"/>
    <x v="29"/>
    <n v="17"/>
    <s v="邮件申请放单【如需拆单】"/>
    <x v="33"/>
    <x v="2"/>
    <m/>
    <n v="1"/>
  </r>
  <r>
    <x v="4"/>
    <x v="29"/>
    <n v="18"/>
    <s v="收到HMM(Neo) 放单确认【如需拆单】"/>
    <x v="33"/>
    <x v="2"/>
    <m/>
    <n v="1"/>
  </r>
  <r>
    <x v="4"/>
    <x v="29"/>
    <n v="19"/>
    <s v="HMM网站核对订舱信息【如需拆单】"/>
    <x v="33"/>
    <x v="2"/>
    <m/>
    <n v="1"/>
  </r>
  <r>
    <x v="4"/>
    <x v="29"/>
    <n v="20"/>
    <s v="收到客户(陈云娣)发来报关资料"/>
    <x v="35"/>
    <x v="2"/>
    <s v="一般做箱当天一早"/>
    <n v="2"/>
  </r>
  <r>
    <x v="4"/>
    <x v="29"/>
    <n v="21"/>
    <s v="按报关(发票)数生成提单号【如发票数超过提单数】"/>
    <x v="35"/>
    <x v="2"/>
    <m/>
    <n v="2"/>
  </r>
  <r>
    <x v="4"/>
    <x v="29"/>
    <n v="22"/>
    <s v="做做箱数据，QQ发车队(沈丽)"/>
    <x v="35"/>
    <x v="2"/>
    <m/>
    <n v="2"/>
  </r>
  <r>
    <x v="4"/>
    <x v="29"/>
    <n v="23"/>
    <s v="收到车队(沈丽)装箱单，转发客户（陈云娣）"/>
    <x v="35"/>
    <x v="2"/>
    <s v="一般马上"/>
    <n v="2"/>
  </r>
  <r>
    <x v="4"/>
    <x v="29"/>
    <n v="24"/>
    <s v="YJC系统截单，发EDI，邮件HMM(He)【截单时间】"/>
    <x v="35"/>
    <x v="2"/>
    <s v="注意截单时间"/>
    <n v="2"/>
  </r>
  <r>
    <x v="4"/>
    <x v="29"/>
    <n v="25"/>
    <s v="发VGM和舱单（亿通，鹏海两次）"/>
    <x v="35"/>
    <x v="2"/>
    <m/>
    <n v="2"/>
  </r>
  <r>
    <x v="4"/>
    <x v="29"/>
    <n v="26"/>
    <s v="做报关资料，扫描发报关行(黄寅文)QQ，要校对稿"/>
    <x v="35"/>
    <x v="2"/>
    <m/>
    <n v="2"/>
  </r>
  <r>
    <x v="4"/>
    <x v="29"/>
    <n v="27"/>
    <s v="做保函给邹师傅"/>
    <x v="35"/>
    <x v="2"/>
    <m/>
    <n v="2"/>
  </r>
  <r>
    <x v="4"/>
    <x v="29"/>
    <n v="28"/>
    <s v="做ISF，发国外资料"/>
    <x v="35"/>
    <x v="2"/>
    <m/>
    <n v="2"/>
  </r>
  <r>
    <x v="4"/>
    <x v="29"/>
    <n v="29"/>
    <s v="买保险"/>
    <x v="35"/>
    <x v="2"/>
    <m/>
    <n v="2"/>
  </r>
  <r>
    <x v="4"/>
    <x v="29"/>
    <n v="31"/>
    <s v="收到HMM(He)生成提单通知"/>
    <x v="35"/>
    <x v="2"/>
    <s v="一般马上"/>
    <n v="2"/>
  </r>
  <r>
    <x v="4"/>
    <x v="29"/>
    <n v="32"/>
    <s v="HMM网站核对提单信息"/>
    <x v="35"/>
    <x v="2"/>
    <m/>
    <n v="2"/>
  </r>
  <r>
    <x v="4"/>
    <x v="29"/>
    <n v="33"/>
    <s v="盯海关网站舱单"/>
    <x v="35"/>
    <x v="2"/>
    <s v="一般两小时左右"/>
    <n v="2"/>
  </r>
  <r>
    <x v="4"/>
    <x v="29"/>
    <n v="34"/>
    <s v="核对舱单信息"/>
    <x v="35"/>
    <x v="2"/>
    <m/>
    <n v="2"/>
  </r>
  <r>
    <x v="4"/>
    <x v="29"/>
    <n v="35"/>
    <s v="收到报关行(黄寅文)校对稿，邮件发客户(陈云娣)确认"/>
    <x v="35"/>
    <x v="2"/>
    <s v="一般半天内"/>
    <n v="2"/>
  </r>
  <r>
    <x v="4"/>
    <x v="29"/>
    <n v="36"/>
    <s v="收到客户(陈云娣)确认校对稿"/>
    <x v="35"/>
    <x v="2"/>
    <s v="一般马上"/>
    <n v="2"/>
  </r>
  <r>
    <x v="4"/>
    <x v="29"/>
    <n v="37"/>
    <s v="通知车队(沈丽)可进港"/>
    <x v="35"/>
    <x v="2"/>
    <m/>
    <n v="2"/>
  </r>
  <r>
    <x v="4"/>
    <x v="29"/>
    <n v="38"/>
    <s v="盯箱子进港"/>
    <x v="57"/>
    <x v="2"/>
    <m/>
    <n v="3"/>
  </r>
  <r>
    <x v="4"/>
    <x v="29"/>
    <n v="39"/>
    <s v="核对进港数据"/>
    <x v="57"/>
    <x v="2"/>
    <m/>
    <n v="3"/>
  </r>
  <r>
    <x v="4"/>
    <x v="29"/>
    <n v="40"/>
    <s v="通知报关行(黄寅文)报关(开港、舱单、校对)（洋山提供装箱单）"/>
    <x v="57"/>
    <x v="2"/>
    <m/>
    <n v="3"/>
  </r>
  <r>
    <x v="4"/>
    <x v="29"/>
    <n v="41"/>
    <s v="收到报关成功通知"/>
    <x v="57"/>
    <x v="2"/>
    <s v="一般下班前"/>
    <n v="3"/>
  </r>
  <r>
    <x v="4"/>
    <x v="29"/>
    <n v="42"/>
    <s v="盯海放"/>
    <x v="57"/>
    <x v="2"/>
    <m/>
    <n v="3"/>
  </r>
  <r>
    <x v="4"/>
    <x v="29"/>
    <n v="43"/>
    <s v="盯码放"/>
    <x v="56"/>
    <x v="2"/>
    <m/>
    <n v="5"/>
  </r>
  <r>
    <x v="4"/>
    <x v="29"/>
    <n v="44"/>
    <s v="盯配载"/>
    <x v="58"/>
    <x v="2"/>
    <m/>
    <n v="6"/>
  </r>
  <r>
    <x v="4"/>
    <x v="29"/>
    <n v="45"/>
    <s v="做费用(月初等汇率)，发账单给石磊"/>
    <x v="58"/>
    <x v="2"/>
    <m/>
    <n v="6"/>
  </r>
  <r>
    <x v="4"/>
    <x v="29"/>
    <n v="46"/>
    <s v="船开"/>
    <x v="59"/>
    <x v="2"/>
    <m/>
    <n v="7"/>
  </r>
  <r>
    <x v="4"/>
    <x v="29"/>
    <n v="47"/>
    <s v="放单（MBL 给石磊）"/>
    <x v="59"/>
    <x v="2"/>
    <s v="一般开船后两三天"/>
    <n v="7"/>
  </r>
  <r>
    <x v="4"/>
    <x v="34"/>
    <n v="1"/>
    <s v="收到客户(陈云娣)订舱预报"/>
    <x v="53"/>
    <x v="0"/>
    <s v="一般周五发隔周"/>
    <n v="-2"/>
  </r>
  <r>
    <x v="4"/>
    <x v="34"/>
    <n v="2"/>
    <s v="填WORKING PROCESS"/>
    <x v="34"/>
    <x v="0"/>
    <m/>
    <n v="-1"/>
  </r>
  <r>
    <x v="4"/>
    <x v="34"/>
    <n v="6"/>
    <s v="公共盘生成提单号"/>
    <x v="34"/>
    <x v="0"/>
    <m/>
    <n v="-1"/>
  </r>
  <r>
    <x v="4"/>
    <x v="34"/>
    <n v="7"/>
    <s v="YJC系统生成单子"/>
    <x v="34"/>
    <x v="0"/>
    <m/>
    <n v="-1"/>
  </r>
  <r>
    <x v="4"/>
    <x v="34"/>
    <n v="8"/>
    <s v="发EDI"/>
    <x v="34"/>
    <x v="0"/>
    <m/>
    <n v="-1"/>
  </r>
  <r>
    <x v="4"/>
    <x v="34"/>
    <n v="9"/>
    <s v="邮件申请放单"/>
    <x v="34"/>
    <x v="0"/>
    <m/>
    <n v="-1"/>
  </r>
  <r>
    <x v="4"/>
    <x v="34"/>
    <n v="10"/>
    <s v="收到HMM(Neo) 放单确认"/>
    <x v="34"/>
    <x v="0"/>
    <s v="一般半天内"/>
    <n v="-1"/>
  </r>
  <r>
    <x v="4"/>
    <x v="34"/>
    <n v="11"/>
    <s v="HMM网站核对订舱信息"/>
    <x v="34"/>
    <x v="0"/>
    <m/>
    <n v="-1"/>
  </r>
  <r>
    <x v="4"/>
    <x v="34"/>
    <n v="12"/>
    <s v="收到客户(陈云娣)做箱通知"/>
    <x v="35"/>
    <x v="2"/>
    <s v="一般做箱头天一早"/>
    <n v="2"/>
  </r>
  <r>
    <x v="4"/>
    <x v="34"/>
    <n v="13"/>
    <s v="发做箱通知邮件给车队(沈丽)"/>
    <x v="35"/>
    <x v="2"/>
    <m/>
    <n v="2"/>
  </r>
  <r>
    <x v="4"/>
    <x v="34"/>
    <n v="14"/>
    <s v="公共盘生成提单号【如需拆单】"/>
    <x v="35"/>
    <x v="2"/>
    <m/>
    <n v="2"/>
  </r>
  <r>
    <x v="4"/>
    <x v="34"/>
    <n v="15"/>
    <s v="YJC系统生成单子【如需拆单】"/>
    <x v="35"/>
    <x v="2"/>
    <m/>
    <n v="2"/>
  </r>
  <r>
    <x v="4"/>
    <x v="34"/>
    <n v="16"/>
    <s v="发EDI【如需拆单】"/>
    <x v="35"/>
    <x v="2"/>
    <m/>
    <n v="2"/>
  </r>
  <r>
    <x v="4"/>
    <x v="34"/>
    <n v="17"/>
    <s v="邮件申请放单【如需拆单】"/>
    <x v="35"/>
    <x v="2"/>
    <m/>
    <n v="2"/>
  </r>
  <r>
    <x v="4"/>
    <x v="34"/>
    <n v="18"/>
    <s v="收到HMM(Neo) 放单确认【如需拆单】"/>
    <x v="35"/>
    <x v="2"/>
    <m/>
    <n v="2"/>
  </r>
  <r>
    <x v="4"/>
    <x v="34"/>
    <n v="19"/>
    <s v="HMM网站核对订舱信息【如需拆单】"/>
    <x v="35"/>
    <x v="2"/>
    <m/>
    <n v="2"/>
  </r>
  <r>
    <x v="4"/>
    <x v="34"/>
    <n v="20"/>
    <s v="收到客户(陈云娣)发来报关资料"/>
    <x v="56"/>
    <x v="2"/>
    <s v="一般做箱当天一早"/>
    <n v="5"/>
  </r>
  <r>
    <x v="4"/>
    <x v="34"/>
    <n v="21"/>
    <s v="按报关(发票)数生成提单号【如发票数超过提单数】"/>
    <x v="56"/>
    <x v="2"/>
    <m/>
    <n v="5"/>
  </r>
  <r>
    <x v="4"/>
    <x v="34"/>
    <n v="22"/>
    <s v="做做箱数据，QQ发车队(沈丽)"/>
    <x v="56"/>
    <x v="2"/>
    <m/>
    <n v="5"/>
  </r>
  <r>
    <x v="4"/>
    <x v="34"/>
    <n v="23"/>
    <s v="收到车队(沈丽)装箱单，转发客户（陈云娣）"/>
    <x v="56"/>
    <x v="2"/>
    <s v="一般马上"/>
    <n v="5"/>
  </r>
  <r>
    <x v="4"/>
    <x v="34"/>
    <n v="24"/>
    <s v="YJC系统截单，发EDI，邮件HMM(He)【截单时间】"/>
    <x v="56"/>
    <x v="2"/>
    <s v="注意截单时间"/>
    <n v="5"/>
  </r>
  <r>
    <x v="4"/>
    <x v="34"/>
    <n v="25"/>
    <s v="发VGM和舱单（亿通，鹏海两次）"/>
    <x v="56"/>
    <x v="2"/>
    <m/>
    <n v="5"/>
  </r>
  <r>
    <x v="4"/>
    <x v="34"/>
    <n v="26"/>
    <s v="做报关资料，扫描发报关行(黄寅文)QQ，要校对稿"/>
    <x v="56"/>
    <x v="2"/>
    <m/>
    <n v="5"/>
  </r>
  <r>
    <x v="4"/>
    <x v="34"/>
    <n v="27"/>
    <s v="做保函给邹师傅"/>
    <x v="56"/>
    <x v="2"/>
    <m/>
    <n v="5"/>
  </r>
  <r>
    <x v="4"/>
    <x v="34"/>
    <n v="28"/>
    <s v="做ISF，发国外资料"/>
    <x v="56"/>
    <x v="2"/>
    <m/>
    <n v="5"/>
  </r>
  <r>
    <x v="4"/>
    <x v="34"/>
    <n v="29"/>
    <s v="买保险"/>
    <x v="56"/>
    <x v="2"/>
    <m/>
    <n v="5"/>
  </r>
  <r>
    <x v="4"/>
    <x v="34"/>
    <n v="31"/>
    <s v="收到HMM(He)生成提单通知"/>
    <x v="56"/>
    <x v="2"/>
    <s v="一般马上"/>
    <n v="5"/>
  </r>
  <r>
    <x v="4"/>
    <x v="34"/>
    <n v="32"/>
    <s v="HMM网站核对提单信息"/>
    <x v="56"/>
    <x v="2"/>
    <m/>
    <n v="5"/>
  </r>
  <r>
    <x v="4"/>
    <x v="34"/>
    <n v="33"/>
    <s v="盯海关网站舱单"/>
    <x v="56"/>
    <x v="2"/>
    <s v="一般两小时左右"/>
    <n v="5"/>
  </r>
  <r>
    <x v="4"/>
    <x v="34"/>
    <n v="34"/>
    <s v="核对舱单信息"/>
    <x v="56"/>
    <x v="2"/>
    <m/>
    <n v="5"/>
  </r>
  <r>
    <x v="4"/>
    <x v="34"/>
    <n v="35"/>
    <s v="收到报关行(黄寅文)校对稿，邮件发客户(陈云娣)确认"/>
    <x v="56"/>
    <x v="2"/>
    <s v="一般半天内"/>
    <n v="5"/>
  </r>
  <r>
    <x v="4"/>
    <x v="34"/>
    <n v="36"/>
    <s v="收到客户(陈云娣)确认校对稿"/>
    <x v="56"/>
    <x v="2"/>
    <s v="一般马上"/>
    <n v="5"/>
  </r>
  <r>
    <x v="4"/>
    <x v="34"/>
    <n v="37"/>
    <s v="通知报关行(黄寅文)报关(开港、舱单、校对)（洋山提供装箱单）"/>
    <x v="56"/>
    <x v="2"/>
    <m/>
    <n v="5"/>
  </r>
  <r>
    <x v="4"/>
    <x v="34"/>
    <n v="38"/>
    <s v="收到报关成功通知"/>
    <x v="56"/>
    <x v="2"/>
    <s v="一般下班前"/>
    <n v="5"/>
  </r>
  <r>
    <x v="4"/>
    <x v="34"/>
    <n v="39"/>
    <s v="通知车队(沈丽)可进港"/>
    <x v="56"/>
    <x v="2"/>
    <m/>
    <n v="5"/>
  </r>
  <r>
    <x v="4"/>
    <x v="34"/>
    <n v="40"/>
    <s v="盯箱子进港"/>
    <x v="58"/>
    <x v="2"/>
    <m/>
    <n v="6"/>
  </r>
  <r>
    <x v="4"/>
    <x v="34"/>
    <n v="41"/>
    <s v="核对进港数据"/>
    <x v="58"/>
    <x v="2"/>
    <m/>
    <n v="6"/>
  </r>
  <r>
    <x v="4"/>
    <x v="34"/>
    <n v="42"/>
    <s v="盯海放"/>
    <x v="58"/>
    <x v="2"/>
    <m/>
    <n v="6"/>
  </r>
  <r>
    <x v="4"/>
    <x v="34"/>
    <n v="43"/>
    <s v="盯码放"/>
    <x v="59"/>
    <x v="2"/>
    <m/>
    <n v="7"/>
  </r>
  <r>
    <x v="4"/>
    <x v="34"/>
    <n v="44"/>
    <s v="盯配载"/>
    <x v="65"/>
    <x v="2"/>
    <m/>
    <n v="8"/>
  </r>
  <r>
    <x v="4"/>
    <x v="34"/>
    <n v="45"/>
    <s v="做费用(月初等汇率)，发账单给石磊"/>
    <x v="65"/>
    <x v="2"/>
    <m/>
    <n v="8"/>
  </r>
  <r>
    <x v="4"/>
    <x v="34"/>
    <n v="46"/>
    <s v="船开"/>
    <x v="60"/>
    <x v="2"/>
    <m/>
    <n v="9"/>
  </r>
  <r>
    <x v="4"/>
    <x v="34"/>
    <n v="47"/>
    <s v="放单（MBL 给石磊）"/>
    <x v="60"/>
    <x v="2"/>
    <s v="一般开船后两三天"/>
    <n v="9"/>
  </r>
  <r>
    <x v="1"/>
    <x v="29"/>
    <n v="1"/>
    <s v="收到客户(孙丹/王珊)发来订舱托书"/>
    <x v="55"/>
    <x v="0"/>
    <m/>
    <n v="0"/>
  </r>
  <r>
    <x v="1"/>
    <x v="29"/>
    <n v="2"/>
    <s v="收到CK发来预配(做箱通知，沈丽有收到？)"/>
    <x v="33"/>
    <x v="2"/>
    <m/>
    <n v="1"/>
  </r>
  <r>
    <x v="1"/>
    <x v="29"/>
    <n v="3"/>
    <s v="YJC系统生成单子"/>
    <x v="33"/>
    <x v="2"/>
    <m/>
    <n v="1"/>
  </r>
  <r>
    <x v="1"/>
    <x v="29"/>
    <n v="4"/>
    <s v="收到包装厂(刘倩梅)发来包装指示书和装箱计划"/>
    <x v="33"/>
    <x v="2"/>
    <s v="一般周四"/>
    <n v="1"/>
  </r>
  <r>
    <x v="1"/>
    <x v="29"/>
    <n v="5"/>
    <s v="根据装箱计划汇总包装数据，发各工厂做报关资料"/>
    <x v="33"/>
    <x v="2"/>
    <m/>
    <n v="1"/>
  </r>
  <r>
    <x v="1"/>
    <x v="29"/>
    <n v="6"/>
    <s v="做做箱数据，邮件群发(查开港时间，注明做箱时间)"/>
    <x v="33"/>
    <x v="2"/>
    <m/>
    <n v="1"/>
  </r>
  <r>
    <x v="1"/>
    <x v="29"/>
    <n v="7"/>
    <s v="通知进港"/>
    <x v="33"/>
    <x v="2"/>
    <s v="调整顺序"/>
    <n v="1"/>
  </r>
  <r>
    <x v="1"/>
    <x v="29"/>
    <n v="8"/>
    <s v="进港(核对数据)"/>
    <x v="56"/>
    <x v="2"/>
    <s v="调整顺序"/>
    <n v="5"/>
  </r>
  <r>
    <x v="1"/>
    <x v="29"/>
    <n v="9"/>
    <s v="收到工厂发来报关资料并完善(代做报关资料跟客户确认)"/>
    <x v="56"/>
    <x v="2"/>
    <s v="当天至隔天"/>
    <n v="5"/>
  </r>
  <r>
    <x v="1"/>
    <x v="29"/>
    <n v="10"/>
    <s v="报关资料齐了（光成要素划掉XXX），发报关行(黄寅文)"/>
    <x v="56"/>
    <x v="2"/>
    <m/>
    <n v="5"/>
  </r>
  <r>
    <x v="1"/>
    <x v="29"/>
    <n v="11"/>
    <s v="货运模板/发票/箱单"/>
    <x v="56"/>
    <x v="2"/>
    <m/>
    <n v="5"/>
  </r>
  <r>
    <x v="1"/>
    <x v="29"/>
    <n v="12"/>
    <s v="收到车队(沈丽)装箱单和洋山提箱截图(如有)，9点前群发，通知发舱单"/>
    <x v="56"/>
    <x v="2"/>
    <s v="一般KMM五、HMI日"/>
    <n v="5"/>
  </r>
  <r>
    <x v="1"/>
    <x v="29"/>
    <n v="13"/>
    <s v="收到舱单发送成功通知，核对舱单信息"/>
    <x v="56"/>
    <x v="2"/>
    <m/>
    <n v="5"/>
  </r>
  <r>
    <x v="1"/>
    <x v="29"/>
    <n v="14"/>
    <s v="通知报关（洋山发装箱单）"/>
    <x v="56"/>
    <x v="2"/>
    <s v="调整顺序"/>
    <n v="5"/>
  </r>
  <r>
    <x v="1"/>
    <x v="29"/>
    <n v="15"/>
    <s v="报关成功"/>
    <x v="56"/>
    <x v="2"/>
    <s v="调整顺序"/>
    <n v="5"/>
  </r>
  <r>
    <x v="1"/>
    <x v="29"/>
    <n v="16"/>
    <s v="海放"/>
    <x v="56"/>
    <x v="2"/>
    <m/>
    <n v="5"/>
  </r>
  <r>
    <x v="1"/>
    <x v="29"/>
    <n v="17"/>
    <s v="码放"/>
    <x v="58"/>
    <x v="2"/>
    <m/>
    <n v="6"/>
  </r>
  <r>
    <x v="1"/>
    <x v="29"/>
    <n v="18"/>
    <s v="配载"/>
    <x v="58"/>
    <x v="2"/>
    <m/>
    <n v="6"/>
  </r>
  <r>
    <x v="1"/>
    <x v="29"/>
    <n v="19"/>
    <s v="做费用(对账单日期4号)，放公共盘，填月账单表，发孙丹"/>
    <x v="58"/>
    <x v="2"/>
    <m/>
    <n v="6"/>
  </r>
  <r>
    <x v="1"/>
    <x v="29"/>
    <n v="20"/>
    <s v="船开"/>
    <x v="59"/>
    <x v="2"/>
    <m/>
    <n v="7"/>
  </r>
  <r>
    <x v="2"/>
    <x v="35"/>
    <n v="1"/>
    <s v="收到客户(孙丹/王珊)发来订舱托书"/>
    <x v="55"/>
    <x v="0"/>
    <m/>
    <n v="0"/>
  </r>
  <r>
    <x v="2"/>
    <x v="35"/>
    <n v="2"/>
    <s v="收到CK发来预配(做箱通知，沈丽有收到？)"/>
    <x v="55"/>
    <x v="0"/>
    <m/>
    <n v="0"/>
  </r>
  <r>
    <x v="2"/>
    <x v="35"/>
    <n v="3"/>
    <s v="YJC系统生成单子"/>
    <x v="33"/>
    <x v="2"/>
    <m/>
    <n v="1"/>
  </r>
  <r>
    <x v="2"/>
    <x v="35"/>
    <n v="4"/>
    <s v="收到包装厂(刘倩梅)发来包装指示书和装箱计划"/>
    <x v="65"/>
    <x v="2"/>
    <s v="一般周四"/>
    <n v="8"/>
  </r>
  <r>
    <x v="2"/>
    <x v="35"/>
    <n v="5"/>
    <s v="根据装箱计划汇总包装数据，发各工厂做报关资料"/>
    <x v="65"/>
    <x v="2"/>
    <m/>
    <n v="8"/>
  </r>
  <r>
    <x v="2"/>
    <x v="35"/>
    <n v="6"/>
    <s v="做做箱数据，邮件群发(查开港时间，注明做箱时间)"/>
    <x v="65"/>
    <x v="2"/>
    <m/>
    <n v="8"/>
  </r>
  <r>
    <x v="2"/>
    <x v="35"/>
    <n v="7"/>
    <s v="收到工厂发来报关资料并完善(代做报关资料跟客户确认)"/>
    <x v="65"/>
    <x v="2"/>
    <s v="当天至隔天"/>
    <n v="8"/>
  </r>
  <r>
    <x v="2"/>
    <x v="35"/>
    <n v="8"/>
    <s v="报关资料齐了（光成要素划掉XXX），发报关行(黄寅文)"/>
    <x v="65"/>
    <x v="2"/>
    <m/>
    <n v="8"/>
  </r>
  <r>
    <x v="2"/>
    <x v="35"/>
    <n v="9"/>
    <s v="货运模板/发票/箱单"/>
    <x v="65"/>
    <x v="2"/>
    <m/>
    <n v="8"/>
  </r>
  <r>
    <x v="2"/>
    <x v="35"/>
    <n v="10"/>
    <s v="收到车队(沈丽)装箱单和洋山提箱截图(如有)，9点前群发，通知发舱单"/>
    <x v="65"/>
    <x v="2"/>
    <s v="一般KMM五、HMI日"/>
    <n v="8"/>
  </r>
  <r>
    <x v="2"/>
    <x v="35"/>
    <n v="11"/>
    <s v="收到舱单发送成功通知，核对舱单信息"/>
    <x v="65"/>
    <x v="2"/>
    <m/>
    <n v="8"/>
  </r>
  <r>
    <x v="2"/>
    <x v="35"/>
    <n v="12"/>
    <s v="通知进港"/>
    <x v="65"/>
    <x v="2"/>
    <s v="调整顺序"/>
    <n v="8"/>
  </r>
  <r>
    <x v="2"/>
    <x v="35"/>
    <n v="13"/>
    <s v="进港(核对数据)"/>
    <x v="65"/>
    <x v="2"/>
    <s v="调整顺序"/>
    <n v="8"/>
  </r>
  <r>
    <x v="2"/>
    <x v="35"/>
    <n v="14"/>
    <s v="通知报关（洋山发装箱单）"/>
    <x v="65"/>
    <x v="2"/>
    <s v="调整顺序"/>
    <n v="8"/>
  </r>
  <r>
    <x v="2"/>
    <x v="35"/>
    <n v="15"/>
    <s v="报关成功"/>
    <x v="65"/>
    <x v="2"/>
    <s v="调整顺序"/>
    <n v="8"/>
  </r>
  <r>
    <x v="2"/>
    <x v="35"/>
    <n v="16"/>
    <s v="海放"/>
    <x v="65"/>
    <x v="2"/>
    <m/>
    <n v="8"/>
  </r>
  <r>
    <x v="2"/>
    <x v="35"/>
    <n v="17"/>
    <s v="码放"/>
    <x v="65"/>
    <x v="2"/>
    <m/>
    <n v="8"/>
  </r>
  <r>
    <x v="2"/>
    <x v="35"/>
    <n v="18"/>
    <s v="配载"/>
    <x v="65"/>
    <x v="2"/>
    <m/>
    <n v="8"/>
  </r>
  <r>
    <x v="2"/>
    <x v="35"/>
    <n v="19"/>
    <s v="做费用(对账单日期4号)，放公共盘，填月账单表，发孙丹"/>
    <x v="65"/>
    <x v="2"/>
    <m/>
    <n v="8"/>
  </r>
  <r>
    <x v="2"/>
    <x v="35"/>
    <n v="20"/>
    <s v="船开"/>
    <x v="65"/>
    <x v="2"/>
    <m/>
    <n v="8"/>
  </r>
  <r>
    <x v="4"/>
    <x v="21"/>
    <n v="48"/>
    <s v="改目的港，确认"/>
    <x v="55"/>
    <x v="0"/>
    <m/>
    <n v="0"/>
  </r>
  <r>
    <x v="4"/>
    <x v="21"/>
    <n v="49"/>
    <s v="海运费差额"/>
    <x v="33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2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7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2">
        <item m="1" x="39"/>
        <item x="0"/>
        <item x="1"/>
        <item x="2"/>
        <item x="3"/>
        <item x="4"/>
        <item m="1" x="41"/>
        <item x="5"/>
        <item x="6"/>
        <item x="7"/>
        <item x="8"/>
        <item x="9"/>
        <item x="10"/>
        <item x="11"/>
        <item m="1" x="40"/>
        <item x="12"/>
        <item x="13"/>
        <item m="1" x="36"/>
        <item x="14"/>
        <item x="15"/>
        <item x="16"/>
        <item x="17"/>
        <item x="18"/>
        <item x="19"/>
        <item m="1" x="37"/>
        <item x="20"/>
        <item x="21"/>
        <item x="22"/>
        <item x="23"/>
        <item x="24"/>
        <item x="25"/>
        <item x="26"/>
        <item x="33"/>
        <item x="27"/>
        <item x="28"/>
        <item x="29"/>
        <item x="34"/>
        <item x="30"/>
        <item x="35"/>
        <item m="1" x="38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7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6"/>
        <item x="48"/>
        <item x="51"/>
        <item x="49"/>
        <item x="19"/>
        <item x="50"/>
        <item x="52"/>
        <item x="54"/>
        <item x="53"/>
        <item x="34"/>
        <item x="55"/>
        <item x="33"/>
        <item x="35"/>
        <item x="57"/>
        <item x="56"/>
        <item x="58"/>
        <item x="59"/>
        <item x="65"/>
        <item x="60"/>
        <item x="62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8">
    <i>
      <x/>
    </i>
    <i r="1">
      <x v="32"/>
    </i>
    <i>
      <x v="1"/>
    </i>
    <i r="1">
      <x v="18"/>
    </i>
    <i>
      <x v="2"/>
    </i>
    <i r="1">
      <x v="33"/>
    </i>
    <i>
      <x v="3"/>
    </i>
    <i r="1">
      <x v="33"/>
    </i>
    <i r="1">
      <x v="35"/>
    </i>
    <i>
      <x v="4"/>
    </i>
    <i r="1">
      <x v="26"/>
    </i>
    <i r="1">
      <x v="33"/>
    </i>
    <i r="1">
      <x v="34"/>
    </i>
    <i r="1">
      <x v="35"/>
    </i>
    <i>
      <x v="6"/>
    </i>
    <i r="1">
      <x v="35"/>
    </i>
    <i r="1">
      <x v="38"/>
    </i>
    <i t="grand">
      <x/>
    </i>
  </rowItems>
  <colFields count="1">
    <field x="4"/>
  </colFields>
  <colItems count="1">
    <i>
      <x v="55"/>
    </i>
  </colItems>
  <pageFields count="1">
    <pageField fld="5" item="1" hier="-1"/>
  </pageFields>
  <dataFields count="1">
    <dataField name="计数项:日期" fld="4" subtotal="count" baseField="0" baseItem="0"/>
  </dataFields>
  <formats count="17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4" count="1">
            <x v="27"/>
          </reference>
        </references>
      </pivotArea>
    </format>
    <format dxfId="18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7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9"/>
          </reference>
        </references>
      </pivotArea>
    </format>
    <format dxfId="14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3">
      <pivotArea dataOnly="0" labelOnly="1" fieldPosition="0">
        <references count="1">
          <reference field="4" count="1">
            <x v="37"/>
          </reference>
        </references>
      </pivotArea>
    </format>
    <format dxfId="12">
      <pivotArea dataOnly="0" labelOnly="1" fieldPosition="0">
        <references count="1">
          <reference field="4" count="1">
            <x v="43"/>
          </reference>
        </references>
      </pivotArea>
    </format>
    <format dxfId="11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0">
      <pivotArea dataOnly="0" labelOnly="1" fieldPosition="0">
        <references count="1">
          <reference field="4" count="1">
            <x v="51"/>
          </reference>
        </references>
      </pivotArea>
    </format>
    <format dxfId="9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0">
      <pivotArea dataOnly="0" labelOnly="1" fieldPosition="0">
        <references count="1">
          <reference field="4" count="6">
            <x v="57"/>
            <x v="58"/>
            <x v="59"/>
            <x v="60"/>
            <x v="61"/>
            <x v="62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45">
      <autoFilter ref="A1">
        <filterColumn colId="0">
          <customFilters>
            <customFilter operator="lessThan" val="4364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0"/>
    <tableColumn id="3" xr3:uid="{8026D164-3541-42B5-83CE-43BB0206CD86}" name="拖车" dataDxfId="69"/>
    <tableColumn id="4" xr3:uid="{EB7261FF-C46B-459E-9894-76444A18B26D}" name="报关" dataDxfId="68"/>
    <tableColumn id="5" xr3:uid="{D60C48AD-1262-485B-B3B5-A1ED65A13136}" name="保险" dataDxfId="67"/>
    <tableColumn id="6" xr3:uid="{2DAF91A5-B90D-47DA-A2F8-2054ECA4FF7B}" name="备注" dataDxfId="6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1" totalsRowShown="0" headerRowDxfId="65" dataDxfId="64">
  <autoFilter ref="A1:G161" xr:uid="{00000000-0009-0000-0100-000001000000}">
    <filterColumn colId="0">
      <filters>
        <filter val="JS mobis"/>
      </filters>
    </filterColumn>
  </autoFilter>
  <sortState ref="A2:G14">
    <sortCondition ref="C14"/>
  </sortState>
  <tableColumns count="7">
    <tableColumn id="1" xr3:uid="{00000000-0010-0000-0100-000001000000}" name="项目" dataDxfId="63"/>
    <tableColumn id="2" xr3:uid="{00000000-0010-0000-0100-000002000000}" name="ETD" dataDxfId="62"/>
    <tableColumn id="8" xr3:uid="{00000000-0010-0000-0100-000008000000}" name="顺序" dataDxfId="61"/>
    <tableColumn id="4" xr3:uid="{00000000-0010-0000-0100-000004000000}" name="内容" dataDxfId="60"/>
    <tableColumn id="5" xr3:uid="{00000000-0010-0000-0100-000005000000}" name="日期" dataDxfId="59"/>
    <tableColumn id="6" xr3:uid="{00000000-0010-0000-0100-000006000000}" name="状态" dataDxfId="58"/>
    <tableColumn id="7" xr3:uid="{00000000-0010-0000-0100-000007000000}" name="备注" dataDxfId="5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383" totalsRowShown="0" headerRowDxfId="56" dataDxfId="54" headerRowBorderDxfId="55" tableBorderDxfId="53" totalsRowBorderDxfId="52">
  <autoFilter ref="A1:H1383" xr:uid="{00000000-0009-0000-0100-000003000000}">
    <filterColumn colId="0">
      <filters>
        <filter val="KMM"/>
      </filters>
    </filterColumn>
    <filterColumn colId="1">
      <filters>
        <dateGroupItem year="2019" month="7" day="10" hour="0" dateTimeGrouping="hour"/>
      </filters>
    </filterColumn>
    <filterColumn colId="4">
      <filters>
        <dateGroupItem year="2019" month="6" day="26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1"/>
    <tableColumn id="2" xr3:uid="{00000000-0010-0000-0200-000002000000}" name="ETD" dataDxfId="50"/>
    <tableColumn id="3" xr3:uid="{00000000-0010-0000-0200-000003000000}" name="顺序" dataDxfId="49"/>
    <tableColumn id="5" xr3:uid="{00000000-0010-0000-0200-000005000000}" name="内容" dataDxfId="48"/>
    <tableColumn id="6" xr3:uid="{00000000-0010-0000-0200-000006000000}" name="日期" dataDxfId="47"/>
    <tableColumn id="7" xr3:uid="{00000000-0010-0000-0200-000007000000}" name="状态" dataDxfId="46"/>
    <tableColumn id="8" xr3:uid="{00000000-0010-0000-0200-000008000000}" name="备注" dataDxfId="45"/>
    <tableColumn id="9" xr3:uid="{00000000-0010-0000-0200-000009000000}" name="列2" dataDxfId="4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7" totalsRowShown="0">
  <autoFilter ref="A1:U27" xr:uid="{00000000-0009-0000-0100-000004000000}">
    <filterColumn colId="0">
      <filters>
        <filter val="JS mobis"/>
      </filters>
    </filterColumn>
    <filterColumn colId="1">
      <filters>
        <dateGroupItem year="2019" month="6" day="14" hour="0" dateTimeGrouping="hour"/>
      </filters>
    </filterColumn>
  </autoFilter>
  <tableColumns count="21">
    <tableColumn id="1" xr3:uid="{00000000-0010-0000-0000-000001000000}" name="项目"/>
    <tableColumn id="2" xr3:uid="{00000000-0010-0000-0000-000002000000}" name="ETD" dataDxfId="42"/>
    <tableColumn id="6" xr3:uid="{00000000-0010-0000-0000-000006000000}" name="20GP" dataDxfId="41"/>
    <tableColumn id="7" xr3:uid="{00000000-0010-0000-0000-000007000000}" name="40GP" dataDxfId="40"/>
    <tableColumn id="8" xr3:uid="{00000000-0010-0000-0000-000008000000}" name="40HQ" dataDxfId="39"/>
    <tableColumn id="9" xr3:uid="{00000000-0010-0000-0000-000009000000}" name="订舱口" dataDxfId="38"/>
    <tableColumn id="10" xr3:uid="{00000000-0010-0000-0000-00000A000000}" name="船名航次" dataDxfId="3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6"/>
    <tableColumn id="4" xr3:uid="{00000000-0010-0000-0000-000004000000}" name="MAIN MBL" dataDxfId="35"/>
    <tableColumn id="14" xr3:uid="{00000000-0010-0000-0000-00000E000000}" name="截单时间" dataDxfId="34"/>
    <tableColumn id="11" xr3:uid="{00000000-0010-0000-0000-00000B000000}" name="装货港"/>
    <tableColumn id="15" xr3:uid="{00000000-0010-0000-0000-00000F000000}" name="开港时间" dataDxfId="33"/>
    <tableColumn id="16" xr3:uid="{00000000-0010-0000-0000-000010000000}" name="做箱时间" dataDxfId="32"/>
    <tableColumn id="5" xr3:uid="{00000000-0010-0000-0000-000005000000}" name="提单数" dataDxfId="31"/>
    <tableColumn id="17" xr3:uid="{00000000-0010-0000-0000-000011000000}" name="报关数" dataDxfId="30"/>
    <tableColumn id="18" xr3:uid="{00000000-0010-0000-0000-000012000000}" name="联单数" dataDxfId="29"/>
    <tableColumn id="21" xr3:uid="{88DA2F87-AB08-43D3-AB91-08B68FBE15B7}" name="保险费" dataDxfId="28"/>
    <tableColumn id="19" xr3:uid="{00000000-0010-0000-0000-000013000000}" name="其他费用" dataDxfId="27"/>
    <tableColumn id="20" xr3:uid="{00000000-0010-0000-0000-000014000000}" name="备注" dataDxfId="26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26" totalsRowShown="0">
  <autoFilter ref="A1:J126" xr:uid="{00000000-0009-0000-0100-000002000000}">
    <filterColumn colId="0">
      <filters>
        <filter val="JS mobis"/>
      </filters>
    </filterColumn>
    <filterColumn colId="1">
      <filters>
        <dateGroupItem year="2019" month="6" day="19" dateTimeGrouping="day"/>
        <dateGroupItem year="2019" month="6" day="21" dateTimeGrouping="day"/>
        <dateGroupItem year="2019" month="6" day="26" dateTimeGrouping="day"/>
        <dateGroupItem year="2019" month="6" day="28" dateTimeGrouping="day"/>
      </filters>
    </filterColumn>
  </autoFilter>
  <tableColumns count="10">
    <tableColumn id="1" xr3:uid="{00000000-0010-0000-0300-000001000000}" name="项目"/>
    <tableColumn id="2" xr3:uid="{00000000-0010-0000-0300-000002000000}" name="ETD" dataDxfId="8"/>
    <tableColumn id="9" xr3:uid="{00000000-0010-0000-0300-000009000000}" name="YJC" dataDxfId="7"/>
    <tableColumn id="4" xr3:uid="{00000000-0010-0000-0300-000004000000}" name="船名en" dataDxfId="6"/>
    <tableColumn id="5" xr3:uid="{00000000-0010-0000-0300-000005000000}" name="航次" dataDxfId="5"/>
    <tableColumn id="3" xr3:uid="{00000000-0010-0000-0300-000003000000}" name="船名cn" dataDxfId="4"/>
    <tableColumn id="6" xr3:uid="{00000000-0010-0000-0300-000006000000}" name="报关号" dataDxfId="3"/>
    <tableColumn id="7" xr3:uid="{00000000-0010-0000-0300-000007000000}" name="箱号"/>
    <tableColumn id="8" xr3:uid="{00000000-0010-0000-0300-000008000000}" name="箱型" dataDxfId="2"/>
    <tableColumn id="10" xr3:uid="{00000000-0010-0000-0300-00000A000000}" name="提单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894</v>
      </c>
      <c r="C1" t="s">
        <v>895</v>
      </c>
      <c r="D1" t="s">
        <v>896</v>
      </c>
      <c r="E1" t="s">
        <v>897</v>
      </c>
      <c r="F1" t="s">
        <v>989</v>
      </c>
    </row>
    <row r="2" spans="1:6" x14ac:dyDescent="0.2">
      <c r="A2" t="s">
        <v>752</v>
      </c>
      <c r="B2" s="40" t="s">
        <v>798</v>
      </c>
      <c r="C2" s="40"/>
      <c r="D2" s="40"/>
      <c r="E2" s="40"/>
      <c r="F2" s="36"/>
    </row>
    <row r="3" spans="1:6" x14ac:dyDescent="0.2">
      <c r="A3" t="s">
        <v>3</v>
      </c>
      <c r="B3" s="40" t="s">
        <v>798</v>
      </c>
      <c r="C3" s="40" t="s">
        <v>798</v>
      </c>
      <c r="D3" s="40" t="s">
        <v>798</v>
      </c>
      <c r="E3" s="40" t="s">
        <v>798</v>
      </c>
      <c r="F3" s="36" t="s">
        <v>990</v>
      </c>
    </row>
    <row r="4" spans="1:6" x14ac:dyDescent="0.2">
      <c r="A4" t="s">
        <v>155</v>
      </c>
      <c r="B4" s="40"/>
      <c r="C4" s="40" t="s">
        <v>798</v>
      </c>
      <c r="D4" s="40" t="s">
        <v>798</v>
      </c>
      <c r="E4" s="40"/>
      <c r="F4" s="36" t="s">
        <v>991</v>
      </c>
    </row>
    <row r="5" spans="1:6" x14ac:dyDescent="0.2">
      <c r="A5" t="s">
        <v>152</v>
      </c>
      <c r="B5" s="40"/>
      <c r="C5" s="40" t="s">
        <v>798</v>
      </c>
      <c r="D5" s="40" t="s">
        <v>798</v>
      </c>
      <c r="E5" s="40"/>
      <c r="F5" s="36"/>
    </row>
    <row r="6" spans="1:6" x14ac:dyDescent="0.2">
      <c r="A6" t="s">
        <v>160</v>
      </c>
      <c r="B6" s="40" t="s">
        <v>798</v>
      </c>
      <c r="C6" s="40" t="s">
        <v>798</v>
      </c>
      <c r="D6" s="40" t="s">
        <v>798</v>
      </c>
      <c r="E6" s="40" t="s">
        <v>798</v>
      </c>
      <c r="F6" s="36"/>
    </row>
    <row r="7" spans="1:6" x14ac:dyDescent="0.2">
      <c r="A7" t="s">
        <v>175</v>
      </c>
      <c r="B7" s="40" t="s">
        <v>798</v>
      </c>
      <c r="C7" s="40"/>
      <c r="D7" s="40" t="s">
        <v>798</v>
      </c>
      <c r="E7" s="40"/>
      <c r="F7" s="36"/>
    </row>
    <row r="8" spans="1:6" x14ac:dyDescent="0.2">
      <c r="A8" t="s">
        <v>948</v>
      </c>
      <c r="B8" s="40" t="s">
        <v>798</v>
      </c>
      <c r="C8" s="40" t="s">
        <v>798</v>
      </c>
      <c r="D8" s="40" t="s">
        <v>949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1"/>
  <sheetViews>
    <sheetView workbookViewId="0">
      <pane ySplit="1" topLeftCell="A42" activePane="bottomLeft" state="frozen"/>
      <selection pane="bottomLeft" activeCell="C10" sqref="C1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308</v>
      </c>
      <c r="D1" s="9" t="s">
        <v>6</v>
      </c>
      <c r="E1" s="9" t="s">
        <v>0</v>
      </c>
      <c r="F1" s="9" t="s">
        <v>213</v>
      </c>
      <c r="G1" s="9" t="s">
        <v>101</v>
      </c>
    </row>
    <row r="2" spans="1:7" hidden="1" x14ac:dyDescent="0.2">
      <c r="A2" s="9" t="s">
        <v>243</v>
      </c>
      <c r="B2" s="37"/>
      <c r="C2" s="38">
        <v>1</v>
      </c>
      <c r="D2" s="9" t="s">
        <v>981</v>
      </c>
      <c r="F2" s="9" t="s">
        <v>680</v>
      </c>
      <c r="G2" s="9" t="s">
        <v>688</v>
      </c>
    </row>
    <row r="3" spans="1:7" hidden="1" x14ac:dyDescent="0.2">
      <c r="A3" s="9" t="s">
        <v>243</v>
      </c>
      <c r="B3" s="37"/>
      <c r="C3" s="38">
        <v>2</v>
      </c>
      <c r="D3" s="9" t="s">
        <v>1066</v>
      </c>
      <c r="F3" s="9" t="s">
        <v>1058</v>
      </c>
      <c r="G3" s="9" t="s">
        <v>1059</v>
      </c>
    </row>
    <row r="4" spans="1:7" hidden="1" x14ac:dyDescent="0.2">
      <c r="A4" s="9" t="s">
        <v>243</v>
      </c>
      <c r="B4" s="37"/>
      <c r="C4" s="38">
        <v>3</v>
      </c>
      <c r="D4" s="9" t="s">
        <v>1117</v>
      </c>
      <c r="F4" s="9" t="s">
        <v>1114</v>
      </c>
      <c r="G4" s="9" t="s">
        <v>1116</v>
      </c>
    </row>
    <row r="5" spans="1:7" hidden="1" x14ac:dyDescent="0.2">
      <c r="A5" s="9" t="s">
        <v>243</v>
      </c>
      <c r="B5" s="37"/>
      <c r="C5" s="38">
        <v>4</v>
      </c>
      <c r="D5" s="9" t="s">
        <v>1281</v>
      </c>
      <c r="F5" s="9" t="s">
        <v>950</v>
      </c>
      <c r="G5" s="9" t="s">
        <v>975</v>
      </c>
    </row>
    <row r="6" spans="1:7" hidden="1" x14ac:dyDescent="0.2">
      <c r="A6" s="9" t="s">
        <v>243</v>
      </c>
      <c r="B6" s="37"/>
      <c r="C6" s="38">
        <v>5</v>
      </c>
      <c r="D6" s="9" t="s">
        <v>685</v>
      </c>
      <c r="F6" s="9" t="s">
        <v>239</v>
      </c>
      <c r="G6" s="9" t="s">
        <v>688</v>
      </c>
    </row>
    <row r="7" spans="1:7" hidden="1" x14ac:dyDescent="0.2">
      <c r="A7" s="9" t="s">
        <v>243</v>
      </c>
      <c r="B7" s="37"/>
      <c r="C7" s="38">
        <v>6</v>
      </c>
      <c r="D7" s="9" t="s">
        <v>686</v>
      </c>
      <c r="F7" s="9" t="s">
        <v>239</v>
      </c>
      <c r="G7" s="9" t="s">
        <v>687</v>
      </c>
    </row>
    <row r="8" spans="1:7" hidden="1" x14ac:dyDescent="0.2">
      <c r="A8" s="9" t="s">
        <v>243</v>
      </c>
      <c r="B8" s="37"/>
      <c r="C8" s="38">
        <v>7</v>
      </c>
      <c r="D8" s="9" t="s">
        <v>979</v>
      </c>
      <c r="F8" s="9" t="s">
        <v>950</v>
      </c>
      <c r="G8" s="9" t="s">
        <v>977</v>
      </c>
    </row>
    <row r="9" spans="1:7" hidden="1" x14ac:dyDescent="0.2">
      <c r="A9" s="9" t="s">
        <v>243</v>
      </c>
      <c r="B9" s="37"/>
      <c r="C9" s="38">
        <v>8</v>
      </c>
      <c r="D9" s="9" t="s">
        <v>1117</v>
      </c>
      <c r="F9" s="9" t="s">
        <v>1114</v>
      </c>
      <c r="G9" s="9" t="s">
        <v>1115</v>
      </c>
    </row>
    <row r="10" spans="1:7" hidden="1" x14ac:dyDescent="0.2">
      <c r="A10" s="9" t="s">
        <v>243</v>
      </c>
      <c r="B10" s="37"/>
      <c r="C10" s="38">
        <v>9</v>
      </c>
      <c r="D10" s="9" t="s">
        <v>1207</v>
      </c>
      <c r="F10" s="9" t="s">
        <v>210</v>
      </c>
      <c r="G10" s="9" t="s">
        <v>684</v>
      </c>
    </row>
    <row r="11" spans="1:7" hidden="1" x14ac:dyDescent="0.2">
      <c r="A11" s="9" t="s">
        <v>243</v>
      </c>
      <c r="B11" s="37"/>
      <c r="C11" s="38">
        <v>10</v>
      </c>
      <c r="D11" s="9" t="s">
        <v>604</v>
      </c>
      <c r="F11" s="9" t="s">
        <v>210</v>
      </c>
      <c r="G11" s="9" t="s">
        <v>234</v>
      </c>
    </row>
    <row r="12" spans="1:7" hidden="1" x14ac:dyDescent="0.2">
      <c r="A12" s="9" t="s">
        <v>243</v>
      </c>
      <c r="B12" s="37"/>
      <c r="C12" s="38">
        <v>11</v>
      </c>
      <c r="D12" s="9" t="s">
        <v>605</v>
      </c>
      <c r="F12" s="9" t="s">
        <v>239</v>
      </c>
      <c r="G12" s="9" t="s">
        <v>234</v>
      </c>
    </row>
    <row r="13" spans="1:7" hidden="1" x14ac:dyDescent="0.2">
      <c r="A13" s="9" t="s">
        <v>243</v>
      </c>
      <c r="B13" s="37"/>
      <c r="C13" s="38">
        <v>12</v>
      </c>
      <c r="D13" s="9" t="s">
        <v>1282</v>
      </c>
      <c r="F13" s="9" t="s">
        <v>239</v>
      </c>
      <c r="G13" s="9" t="s">
        <v>234</v>
      </c>
    </row>
    <row r="14" spans="1:7" hidden="1" x14ac:dyDescent="0.2">
      <c r="A14" s="9" t="s">
        <v>243</v>
      </c>
      <c r="B14" s="37"/>
      <c r="C14" s="38">
        <v>13</v>
      </c>
      <c r="D14" s="9" t="s">
        <v>1067</v>
      </c>
      <c r="F14" s="9" t="s">
        <v>680</v>
      </c>
      <c r="G14" s="9" t="s">
        <v>681</v>
      </c>
    </row>
    <row r="15" spans="1:7" hidden="1" x14ac:dyDescent="0.2">
      <c r="A15" s="9" t="s">
        <v>245</v>
      </c>
      <c r="B15" s="37"/>
      <c r="C15" s="38">
        <v>1</v>
      </c>
      <c r="D15" s="9" t="s">
        <v>874</v>
      </c>
      <c r="F15" s="9" t="s">
        <v>210</v>
      </c>
      <c r="G15" s="9" t="s">
        <v>873</v>
      </c>
    </row>
    <row r="16" spans="1:7" hidden="1" x14ac:dyDescent="0.2">
      <c r="A16" s="9" t="s">
        <v>245</v>
      </c>
      <c r="B16" s="37"/>
      <c r="C16" s="38">
        <v>2</v>
      </c>
      <c r="D16" s="9" t="s">
        <v>328</v>
      </c>
      <c r="F16" s="9" t="s">
        <v>329</v>
      </c>
      <c r="G16" s="9" t="s">
        <v>636</v>
      </c>
    </row>
    <row r="17" spans="1:7" hidden="1" x14ac:dyDescent="0.2">
      <c r="A17" s="9" t="s">
        <v>245</v>
      </c>
      <c r="B17" s="37"/>
      <c r="C17" s="38">
        <v>3</v>
      </c>
      <c r="D17" s="9" t="s">
        <v>637</v>
      </c>
      <c r="F17" s="9" t="s">
        <v>638</v>
      </c>
      <c r="G17" s="9" t="s">
        <v>639</v>
      </c>
    </row>
    <row r="18" spans="1:7" hidden="1" x14ac:dyDescent="0.2">
      <c r="A18" s="9" t="s">
        <v>245</v>
      </c>
      <c r="B18" s="37"/>
      <c r="C18" s="38">
        <v>4</v>
      </c>
      <c r="D18" s="9" t="s">
        <v>230</v>
      </c>
      <c r="F18" s="9" t="s">
        <v>210</v>
      </c>
      <c r="G18" s="9" t="s">
        <v>232</v>
      </c>
    </row>
    <row r="19" spans="1:7" hidden="1" x14ac:dyDescent="0.2">
      <c r="A19" s="9" t="s">
        <v>245</v>
      </c>
      <c r="B19" s="37"/>
      <c r="C19" s="38">
        <v>5</v>
      </c>
      <c r="D19" s="9" t="s">
        <v>247</v>
      </c>
      <c r="F19" s="9" t="s">
        <v>236</v>
      </c>
      <c r="G19" s="9" t="s">
        <v>232</v>
      </c>
    </row>
    <row r="20" spans="1:7" hidden="1" x14ac:dyDescent="0.2">
      <c r="A20" s="9" t="s">
        <v>245</v>
      </c>
      <c r="B20" s="37"/>
      <c r="C20" s="38">
        <v>6</v>
      </c>
      <c r="D20" s="9" t="s">
        <v>589</v>
      </c>
      <c r="F20" s="9" t="s">
        <v>590</v>
      </c>
      <c r="G20" s="9" t="s">
        <v>591</v>
      </c>
    </row>
    <row r="21" spans="1:7" hidden="1" x14ac:dyDescent="0.2">
      <c r="A21" s="9" t="s">
        <v>245</v>
      </c>
      <c r="B21" s="37"/>
      <c r="C21" s="38">
        <v>7</v>
      </c>
      <c r="D21" s="9" t="s">
        <v>682</v>
      </c>
      <c r="F21" s="9" t="s">
        <v>680</v>
      </c>
      <c r="G21" s="9" t="s">
        <v>683</v>
      </c>
    </row>
    <row r="22" spans="1:7" hidden="1" x14ac:dyDescent="0.2">
      <c r="A22" s="9" t="s">
        <v>245</v>
      </c>
      <c r="B22" s="37"/>
      <c r="C22" s="38">
        <v>8</v>
      </c>
      <c r="D22" s="9" t="s">
        <v>726</v>
      </c>
      <c r="F22" s="9" t="s">
        <v>730</v>
      </c>
      <c r="G22" s="9" t="s">
        <v>729</v>
      </c>
    </row>
    <row r="23" spans="1:7" hidden="1" x14ac:dyDescent="0.2">
      <c r="A23" s="9" t="s">
        <v>778</v>
      </c>
      <c r="B23" s="37"/>
      <c r="C23" s="38">
        <v>1</v>
      </c>
      <c r="D23" s="9" t="s">
        <v>607</v>
      </c>
      <c r="F23" s="9" t="s">
        <v>210</v>
      </c>
    </row>
    <row r="24" spans="1:7" hidden="1" x14ac:dyDescent="0.2">
      <c r="A24" s="9" t="s">
        <v>778</v>
      </c>
      <c r="B24" s="37"/>
      <c r="C24" s="38">
        <v>2</v>
      </c>
      <c r="D24" s="9" t="s">
        <v>610</v>
      </c>
      <c r="F24" s="9" t="s">
        <v>210</v>
      </c>
    </row>
    <row r="25" spans="1:7" hidden="1" x14ac:dyDescent="0.2">
      <c r="A25" s="9" t="s">
        <v>778</v>
      </c>
      <c r="B25" s="37"/>
      <c r="C25" s="38">
        <v>3</v>
      </c>
      <c r="D25" s="9" t="s">
        <v>612</v>
      </c>
      <c r="F25" s="9" t="s">
        <v>210</v>
      </c>
    </row>
    <row r="26" spans="1:7" hidden="1" x14ac:dyDescent="0.2">
      <c r="A26" s="9" t="s">
        <v>778</v>
      </c>
      <c r="B26" s="37"/>
      <c r="C26" s="38">
        <v>4</v>
      </c>
      <c r="D26" s="9" t="s">
        <v>614</v>
      </c>
      <c r="F26" s="9" t="s">
        <v>210</v>
      </c>
    </row>
    <row r="27" spans="1:7" hidden="1" x14ac:dyDescent="0.2">
      <c r="A27" s="9" t="s">
        <v>778</v>
      </c>
      <c r="B27" s="37"/>
      <c r="C27" s="38">
        <v>5</v>
      </c>
      <c r="D27" s="9" t="s">
        <v>617</v>
      </c>
      <c r="F27" s="9" t="s">
        <v>210</v>
      </c>
    </row>
    <row r="28" spans="1:7" hidden="1" x14ac:dyDescent="0.2">
      <c r="A28" s="9" t="s">
        <v>778</v>
      </c>
      <c r="B28" s="37"/>
      <c r="C28" s="38">
        <v>6</v>
      </c>
      <c r="D28" s="9" t="s">
        <v>619</v>
      </c>
      <c r="F28" s="9" t="s">
        <v>209</v>
      </c>
      <c r="G28" s="9" t="s">
        <v>630</v>
      </c>
    </row>
    <row r="29" spans="1:7" hidden="1" x14ac:dyDescent="0.2">
      <c r="A29" s="9" t="s">
        <v>778</v>
      </c>
      <c r="B29" s="37"/>
      <c r="C29" s="38">
        <v>7</v>
      </c>
      <c r="D29" s="9" t="s">
        <v>1180</v>
      </c>
      <c r="F29" s="9" t="s">
        <v>209</v>
      </c>
    </row>
    <row r="30" spans="1:7" hidden="1" x14ac:dyDescent="0.2">
      <c r="A30" s="9" t="s">
        <v>778</v>
      </c>
      <c r="B30" s="37"/>
      <c r="C30" s="38">
        <v>8</v>
      </c>
      <c r="D30" s="9" t="s">
        <v>623</v>
      </c>
      <c r="F30" s="9" t="s">
        <v>209</v>
      </c>
    </row>
    <row r="31" spans="1:7" hidden="1" x14ac:dyDescent="0.2">
      <c r="A31" s="9" t="s">
        <v>778</v>
      </c>
      <c r="B31" s="37"/>
      <c r="C31" s="38">
        <v>9</v>
      </c>
      <c r="D31" s="9" t="s">
        <v>1157</v>
      </c>
      <c r="F31" s="9" t="s">
        <v>209</v>
      </c>
    </row>
    <row r="32" spans="1:7" hidden="1" x14ac:dyDescent="0.2">
      <c r="A32" s="9" t="s">
        <v>778</v>
      </c>
      <c r="B32" s="37"/>
      <c r="C32" s="38">
        <v>10</v>
      </c>
      <c r="D32" s="9" t="s">
        <v>627</v>
      </c>
      <c r="F32" s="9" t="s">
        <v>209</v>
      </c>
    </row>
    <row r="33" spans="1:7" x14ac:dyDescent="0.2">
      <c r="A33" s="9" t="s">
        <v>3</v>
      </c>
      <c r="B33" s="37"/>
      <c r="C33" s="38">
        <v>1</v>
      </c>
      <c r="D33" s="9" t="s">
        <v>1181</v>
      </c>
      <c r="F33" s="9" t="s">
        <v>210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206</v>
      </c>
      <c r="F34" s="9" t="s">
        <v>210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210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210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210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211</v>
      </c>
    </row>
    <row r="39" spans="1:7" x14ac:dyDescent="0.2">
      <c r="A39" s="9" t="s">
        <v>3</v>
      </c>
      <c r="B39" s="37"/>
      <c r="C39" s="38">
        <v>10</v>
      </c>
      <c r="D39" s="9" t="s">
        <v>205</v>
      </c>
      <c r="F39" s="9" t="s">
        <v>210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210</v>
      </c>
    </row>
    <row r="41" spans="1:7" x14ac:dyDescent="0.2">
      <c r="A41" s="9" t="s">
        <v>3</v>
      </c>
      <c r="B41" s="37"/>
      <c r="C41" s="38">
        <v>12</v>
      </c>
      <c r="D41" s="9" t="s">
        <v>1182</v>
      </c>
      <c r="F41" s="9" t="s">
        <v>214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40</v>
      </c>
      <c r="F42" s="9" t="s">
        <v>210</v>
      </c>
    </row>
    <row r="43" spans="1:7" x14ac:dyDescent="0.2">
      <c r="A43" s="9" t="s">
        <v>3</v>
      </c>
      <c r="B43" s="37"/>
      <c r="C43" s="38">
        <v>14</v>
      </c>
      <c r="D43" s="9" t="s">
        <v>24</v>
      </c>
      <c r="F43" s="9" t="s">
        <v>210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210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214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210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210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210</v>
      </c>
    </row>
    <row r="49" spans="1:7" x14ac:dyDescent="0.2">
      <c r="A49" s="9" t="s">
        <v>3</v>
      </c>
      <c r="B49" s="37"/>
      <c r="C49" s="38">
        <v>20</v>
      </c>
      <c r="D49" s="9" t="s">
        <v>1183</v>
      </c>
      <c r="F49" s="9" t="s">
        <v>210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210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210</v>
      </c>
    </row>
    <row r="52" spans="1:7" x14ac:dyDescent="0.2">
      <c r="A52" s="9" t="s">
        <v>3</v>
      </c>
      <c r="B52" s="37"/>
      <c r="C52" s="38">
        <v>23</v>
      </c>
      <c r="D52" s="9" t="s">
        <v>1184</v>
      </c>
      <c r="F52" s="9" t="s">
        <v>210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163</v>
      </c>
      <c r="F53" s="9" t="s">
        <v>210</v>
      </c>
      <c r="G53" s="9" t="s">
        <v>161</v>
      </c>
    </row>
    <row r="54" spans="1:7" x14ac:dyDescent="0.2">
      <c r="A54" s="9" t="s">
        <v>3</v>
      </c>
      <c r="B54" s="37"/>
      <c r="C54" s="38">
        <v>25</v>
      </c>
      <c r="D54" s="9" t="s">
        <v>1197</v>
      </c>
      <c r="F54" s="9" t="s">
        <v>210</v>
      </c>
    </row>
    <row r="55" spans="1:7" x14ac:dyDescent="0.2">
      <c r="A55" s="9" t="s">
        <v>3</v>
      </c>
      <c r="B55" s="37"/>
      <c r="C55" s="38">
        <v>26</v>
      </c>
      <c r="D55" s="9" t="s">
        <v>877</v>
      </c>
      <c r="F55" s="9" t="s">
        <v>210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210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210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210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210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210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210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211</v>
      </c>
    </row>
    <row r="63" spans="1:7" x14ac:dyDescent="0.2">
      <c r="A63" s="9" t="s">
        <v>3</v>
      </c>
      <c r="B63" s="37"/>
      <c r="C63" s="38">
        <v>35</v>
      </c>
      <c r="D63" s="9" t="s">
        <v>1185</v>
      </c>
      <c r="F63" s="9" t="s">
        <v>210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1186</v>
      </c>
      <c r="F64" s="9" t="s">
        <v>210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1257</v>
      </c>
      <c r="F65" s="9" t="s">
        <v>211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210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211</v>
      </c>
    </row>
    <row r="68" spans="1:7" x14ac:dyDescent="0.2">
      <c r="A68" s="9" t="s">
        <v>3</v>
      </c>
      <c r="B68" s="37"/>
      <c r="C68" s="38">
        <v>37</v>
      </c>
      <c r="D68" s="9" t="s">
        <v>84</v>
      </c>
      <c r="F68" s="9" t="s">
        <v>210</v>
      </c>
    </row>
    <row r="69" spans="1:7" x14ac:dyDescent="0.2">
      <c r="A69" s="9" t="s">
        <v>3</v>
      </c>
      <c r="B69" s="37"/>
      <c r="C69" s="38">
        <v>37</v>
      </c>
      <c r="D69" s="9" t="s">
        <v>86</v>
      </c>
      <c r="F69" s="9" t="s">
        <v>210</v>
      </c>
    </row>
    <row r="70" spans="1:7" x14ac:dyDescent="0.2">
      <c r="A70" s="9" t="s">
        <v>3</v>
      </c>
      <c r="B70" s="37"/>
      <c r="C70" s="38">
        <v>42</v>
      </c>
      <c r="D70" s="9" t="s">
        <v>88</v>
      </c>
      <c r="F70" s="9" t="s">
        <v>211</v>
      </c>
    </row>
    <row r="71" spans="1:7" x14ac:dyDescent="0.2">
      <c r="A71" s="9" t="s">
        <v>3</v>
      </c>
      <c r="B71" s="37"/>
      <c r="C71" s="38">
        <v>43</v>
      </c>
      <c r="D71" s="9" t="s">
        <v>90</v>
      </c>
      <c r="F71" s="9" t="s">
        <v>210</v>
      </c>
    </row>
    <row r="72" spans="1:7" x14ac:dyDescent="0.2">
      <c r="A72" s="9" t="s">
        <v>3</v>
      </c>
      <c r="B72" s="37"/>
      <c r="C72" s="38">
        <v>44</v>
      </c>
      <c r="D72" s="9" t="s">
        <v>92</v>
      </c>
      <c r="F72" s="9" t="s">
        <v>210</v>
      </c>
    </row>
    <row r="73" spans="1:7" x14ac:dyDescent="0.2">
      <c r="A73" s="9" t="s">
        <v>3</v>
      </c>
      <c r="B73" s="37"/>
      <c r="C73" s="38">
        <v>45</v>
      </c>
      <c r="D73" s="9" t="s">
        <v>635</v>
      </c>
      <c r="F73" s="9" t="s">
        <v>210</v>
      </c>
    </row>
    <row r="74" spans="1:7" x14ac:dyDescent="0.2">
      <c r="A74" s="9" t="s">
        <v>3</v>
      </c>
      <c r="B74" s="37"/>
      <c r="C74" s="38">
        <v>46</v>
      </c>
      <c r="D74" s="9" t="s">
        <v>256</v>
      </c>
      <c r="F74" s="9" t="s">
        <v>210</v>
      </c>
    </row>
    <row r="75" spans="1:7" x14ac:dyDescent="0.2">
      <c r="A75" s="9" t="s">
        <v>3</v>
      </c>
      <c r="B75" s="37"/>
      <c r="C75" s="38">
        <v>47</v>
      </c>
      <c r="D75" s="9" t="s">
        <v>1215</v>
      </c>
      <c r="F75" s="9" t="s">
        <v>210</v>
      </c>
      <c r="G75" s="9" t="s">
        <v>133</v>
      </c>
    </row>
    <row r="76" spans="1:7" hidden="1" x14ac:dyDescent="0.2">
      <c r="A76" s="9" t="s">
        <v>135</v>
      </c>
      <c r="B76" s="37"/>
      <c r="C76" s="38">
        <v>1</v>
      </c>
      <c r="D76" s="9" t="s">
        <v>342</v>
      </c>
      <c r="F76" s="9" t="s">
        <v>210</v>
      </c>
    </row>
    <row r="77" spans="1:7" hidden="1" x14ac:dyDescent="0.2">
      <c r="A77" s="9" t="s">
        <v>135</v>
      </c>
      <c r="B77" s="37"/>
      <c r="C77" s="38">
        <v>2</v>
      </c>
      <c r="D77" s="9" t="s">
        <v>806</v>
      </c>
      <c r="F77" s="9" t="s">
        <v>210</v>
      </c>
    </row>
    <row r="78" spans="1:7" hidden="1" x14ac:dyDescent="0.2">
      <c r="A78" s="9" t="s">
        <v>135</v>
      </c>
      <c r="B78" s="37"/>
      <c r="C78" s="38">
        <v>3</v>
      </c>
      <c r="D78" s="9" t="s">
        <v>203</v>
      </c>
      <c r="F78" s="9" t="s">
        <v>210</v>
      </c>
    </row>
    <row r="79" spans="1:7" hidden="1" x14ac:dyDescent="0.2">
      <c r="A79" s="9" t="s">
        <v>135</v>
      </c>
      <c r="B79" s="37"/>
      <c r="C79" s="38">
        <v>4</v>
      </c>
      <c r="D79" s="9" t="s">
        <v>150</v>
      </c>
      <c r="F79" s="9" t="s">
        <v>210</v>
      </c>
      <c r="G79" s="9" t="s">
        <v>138</v>
      </c>
    </row>
    <row r="80" spans="1:7" hidden="1" x14ac:dyDescent="0.2">
      <c r="A80" s="9" t="s">
        <v>135</v>
      </c>
      <c r="B80" s="37"/>
      <c r="C80" s="38">
        <v>5</v>
      </c>
      <c r="D80" s="9" t="s">
        <v>141</v>
      </c>
      <c r="F80" s="9" t="s">
        <v>210</v>
      </c>
    </row>
    <row r="81" spans="1:7" hidden="1" x14ac:dyDescent="0.2">
      <c r="A81" s="9" t="s">
        <v>135</v>
      </c>
      <c r="B81" s="37"/>
      <c r="C81" s="38">
        <v>6</v>
      </c>
      <c r="D81" s="9" t="s">
        <v>882</v>
      </c>
      <c r="F81" s="9" t="s">
        <v>210</v>
      </c>
    </row>
    <row r="82" spans="1:7" hidden="1" x14ac:dyDescent="0.2">
      <c r="A82" s="9" t="s">
        <v>135</v>
      </c>
      <c r="B82" s="37"/>
      <c r="C82" s="38">
        <v>7</v>
      </c>
      <c r="D82" s="9" t="s">
        <v>254</v>
      </c>
      <c r="F82" s="9" t="s">
        <v>210</v>
      </c>
      <c r="G82" s="9" t="s">
        <v>144</v>
      </c>
    </row>
    <row r="83" spans="1:7" hidden="1" x14ac:dyDescent="0.2">
      <c r="A83" s="9" t="s">
        <v>135</v>
      </c>
      <c r="B83" s="37"/>
      <c r="C83" s="38">
        <v>7</v>
      </c>
      <c r="D83" s="9" t="s">
        <v>884</v>
      </c>
      <c r="F83" s="9" t="s">
        <v>210</v>
      </c>
    </row>
    <row r="84" spans="1:7" hidden="1" x14ac:dyDescent="0.2">
      <c r="A84" s="9" t="s">
        <v>135</v>
      </c>
      <c r="B84" s="37"/>
      <c r="C84" s="38">
        <v>7</v>
      </c>
      <c r="D84" s="9" t="s">
        <v>815</v>
      </c>
      <c r="F84" s="9" t="s">
        <v>210</v>
      </c>
    </row>
    <row r="85" spans="1:7" hidden="1" x14ac:dyDescent="0.2">
      <c r="A85" s="9" t="s">
        <v>135</v>
      </c>
      <c r="B85" s="37"/>
      <c r="C85" s="38">
        <v>7</v>
      </c>
      <c r="D85" s="9" t="s">
        <v>966</v>
      </c>
      <c r="F85" s="9" t="s">
        <v>210</v>
      </c>
      <c r="G85" s="9" t="s">
        <v>154</v>
      </c>
    </row>
    <row r="86" spans="1:7" hidden="1" x14ac:dyDescent="0.2">
      <c r="A86" s="9" t="s">
        <v>135</v>
      </c>
      <c r="B86" s="37"/>
      <c r="C86" s="38">
        <v>7</v>
      </c>
      <c r="D86" s="9" t="s">
        <v>216</v>
      </c>
      <c r="F86" s="9" t="s">
        <v>210</v>
      </c>
    </row>
    <row r="87" spans="1:7" hidden="1" x14ac:dyDescent="0.2">
      <c r="A87" s="9" t="s">
        <v>135</v>
      </c>
      <c r="B87" s="37"/>
      <c r="C87" s="38">
        <v>7</v>
      </c>
      <c r="D87" s="9" t="s">
        <v>314</v>
      </c>
      <c r="F87" s="9" t="s">
        <v>210</v>
      </c>
      <c r="G87" s="9" t="s">
        <v>317</v>
      </c>
    </row>
    <row r="88" spans="1:7" hidden="1" x14ac:dyDescent="0.2">
      <c r="A88" s="9" t="s">
        <v>135</v>
      </c>
      <c r="B88" s="37"/>
      <c r="C88" s="38">
        <v>7</v>
      </c>
      <c r="D88" s="9" t="s">
        <v>315</v>
      </c>
      <c r="F88" s="9" t="s">
        <v>210</v>
      </c>
      <c r="G88" s="9" t="s">
        <v>317</v>
      </c>
    </row>
    <row r="89" spans="1:7" hidden="1" x14ac:dyDescent="0.2">
      <c r="A89" s="9" t="s">
        <v>135</v>
      </c>
      <c r="B89" s="37"/>
      <c r="C89" s="38">
        <v>7</v>
      </c>
      <c r="D89" s="9" t="s">
        <v>878</v>
      </c>
      <c r="F89" s="9" t="s">
        <v>210</v>
      </c>
      <c r="G89" s="9" t="s">
        <v>318</v>
      </c>
    </row>
    <row r="90" spans="1:7" hidden="1" x14ac:dyDescent="0.2">
      <c r="A90" s="9" t="s">
        <v>135</v>
      </c>
      <c r="B90" s="37"/>
      <c r="C90" s="38">
        <v>7</v>
      </c>
      <c r="D90" s="9" t="s">
        <v>316</v>
      </c>
      <c r="F90" s="9" t="s">
        <v>210</v>
      </c>
      <c r="G90" s="9" t="s">
        <v>317</v>
      </c>
    </row>
    <row r="91" spans="1:7" hidden="1" x14ac:dyDescent="0.2">
      <c r="A91" s="9" t="s">
        <v>135</v>
      </c>
      <c r="B91" s="37"/>
      <c r="C91" s="38">
        <v>16</v>
      </c>
      <c r="D91" s="9" t="s">
        <v>736</v>
      </c>
      <c r="F91" s="9" t="s">
        <v>210</v>
      </c>
    </row>
    <row r="92" spans="1:7" hidden="1" x14ac:dyDescent="0.2">
      <c r="A92" s="9" t="s">
        <v>135</v>
      </c>
      <c r="B92" s="37"/>
      <c r="C92" s="38">
        <v>17</v>
      </c>
      <c r="D92" s="9" t="s">
        <v>737</v>
      </c>
      <c r="F92" s="9" t="s">
        <v>210</v>
      </c>
    </row>
    <row r="93" spans="1:7" hidden="1" x14ac:dyDescent="0.2">
      <c r="A93" s="9" t="s">
        <v>135</v>
      </c>
      <c r="B93" s="37"/>
      <c r="C93" s="38">
        <v>18</v>
      </c>
      <c r="D93" s="9" t="s">
        <v>738</v>
      </c>
      <c r="F93" s="9" t="s">
        <v>210</v>
      </c>
    </row>
    <row r="94" spans="1:7" hidden="1" x14ac:dyDescent="0.2">
      <c r="A94" s="9" t="s">
        <v>135</v>
      </c>
      <c r="B94" s="37"/>
      <c r="C94" s="38">
        <v>19</v>
      </c>
      <c r="D94" s="9" t="s">
        <v>260</v>
      </c>
      <c r="F94" s="9" t="s">
        <v>210</v>
      </c>
    </row>
    <row r="95" spans="1:7" hidden="1" x14ac:dyDescent="0.2">
      <c r="A95" s="9" t="s">
        <v>135</v>
      </c>
      <c r="B95" s="37"/>
      <c r="C95" s="38">
        <v>20</v>
      </c>
      <c r="D95" s="9" t="s">
        <v>185</v>
      </c>
      <c r="F95" s="9" t="s">
        <v>210</v>
      </c>
    </row>
    <row r="96" spans="1:7" hidden="1" x14ac:dyDescent="0.2">
      <c r="A96" s="9" t="s">
        <v>903</v>
      </c>
      <c r="B96" s="37"/>
      <c r="C96" s="38">
        <v>1</v>
      </c>
      <c r="D96" s="9" t="s">
        <v>904</v>
      </c>
      <c r="F96" s="9" t="s">
        <v>905</v>
      </c>
    </row>
    <row r="97" spans="1:6" hidden="1" x14ac:dyDescent="0.2">
      <c r="A97" s="9" t="s">
        <v>903</v>
      </c>
      <c r="B97" s="37"/>
      <c r="C97" s="38">
        <v>2</v>
      </c>
      <c r="D97" s="9" t="s">
        <v>906</v>
      </c>
      <c r="F97" s="9" t="s">
        <v>905</v>
      </c>
    </row>
    <row r="98" spans="1:6" hidden="1" x14ac:dyDescent="0.2">
      <c r="A98" s="9" t="s">
        <v>903</v>
      </c>
      <c r="B98" s="37"/>
      <c r="C98" s="38">
        <v>3</v>
      </c>
      <c r="D98" s="9" t="s">
        <v>907</v>
      </c>
      <c r="F98" s="9" t="s">
        <v>905</v>
      </c>
    </row>
    <row r="99" spans="1:6" hidden="1" x14ac:dyDescent="0.2">
      <c r="A99" s="9" t="s">
        <v>903</v>
      </c>
      <c r="B99" s="37"/>
      <c r="C99" s="38">
        <v>4</v>
      </c>
      <c r="D99" s="9" t="s">
        <v>908</v>
      </c>
      <c r="F99" s="9" t="s">
        <v>905</v>
      </c>
    </row>
    <row r="100" spans="1:6" hidden="1" x14ac:dyDescent="0.2">
      <c r="A100" s="9" t="s">
        <v>903</v>
      </c>
      <c r="B100" s="37"/>
      <c r="C100" s="38">
        <v>5</v>
      </c>
      <c r="D100" s="9" t="s">
        <v>909</v>
      </c>
      <c r="F100" s="9" t="s">
        <v>905</v>
      </c>
    </row>
    <row r="101" spans="1:6" hidden="1" x14ac:dyDescent="0.2">
      <c r="A101" s="9" t="s">
        <v>903</v>
      </c>
      <c r="B101" s="37"/>
      <c r="C101" s="38">
        <v>6</v>
      </c>
      <c r="D101" s="9" t="s">
        <v>910</v>
      </c>
      <c r="F101" s="9" t="s">
        <v>905</v>
      </c>
    </row>
    <row r="102" spans="1:6" hidden="1" x14ac:dyDescent="0.2">
      <c r="A102" s="9" t="s">
        <v>903</v>
      </c>
      <c r="B102" s="37"/>
      <c r="C102" s="38">
        <v>7</v>
      </c>
      <c r="D102" s="9" t="s">
        <v>911</v>
      </c>
      <c r="F102" s="9" t="s">
        <v>905</v>
      </c>
    </row>
    <row r="103" spans="1:6" hidden="1" x14ac:dyDescent="0.2">
      <c r="A103" s="9" t="s">
        <v>903</v>
      </c>
      <c r="B103" s="37"/>
      <c r="C103" s="38">
        <v>8</v>
      </c>
      <c r="D103" s="9" t="s">
        <v>912</v>
      </c>
      <c r="F103" s="9" t="s">
        <v>905</v>
      </c>
    </row>
    <row r="104" spans="1:6" hidden="1" x14ac:dyDescent="0.2">
      <c r="A104" s="9" t="s">
        <v>903</v>
      </c>
      <c r="B104" s="37"/>
      <c r="C104" s="38">
        <v>9</v>
      </c>
      <c r="D104" s="9" t="s">
        <v>916</v>
      </c>
      <c r="F104" s="9" t="s">
        <v>917</v>
      </c>
    </row>
    <row r="105" spans="1:6" hidden="1" x14ac:dyDescent="0.2">
      <c r="A105" s="9" t="s">
        <v>903</v>
      </c>
      <c r="B105" s="37"/>
      <c r="C105" s="38">
        <v>10</v>
      </c>
      <c r="D105" s="9" t="s">
        <v>919</v>
      </c>
      <c r="F105" s="9" t="s">
        <v>917</v>
      </c>
    </row>
    <row r="106" spans="1:6" hidden="1" x14ac:dyDescent="0.2">
      <c r="A106" s="9" t="s">
        <v>779</v>
      </c>
      <c r="B106" s="37"/>
      <c r="C106" s="38">
        <v>1</v>
      </c>
      <c r="D106" s="9" t="s">
        <v>704</v>
      </c>
      <c r="F106" s="9" t="s">
        <v>209</v>
      </c>
    </row>
    <row r="107" spans="1:6" hidden="1" x14ac:dyDescent="0.2">
      <c r="A107" s="9" t="s">
        <v>780</v>
      </c>
      <c r="B107" s="37"/>
      <c r="C107" s="38">
        <v>2</v>
      </c>
      <c r="D107" s="9" t="s">
        <v>698</v>
      </c>
      <c r="F107" s="9" t="s">
        <v>209</v>
      </c>
    </row>
    <row r="108" spans="1:6" hidden="1" x14ac:dyDescent="0.2">
      <c r="A108" s="9" t="s">
        <v>779</v>
      </c>
      <c r="B108" s="37"/>
      <c r="C108" s="38">
        <v>3</v>
      </c>
      <c r="D108" s="9" t="s">
        <v>700</v>
      </c>
      <c r="F108" s="9" t="s">
        <v>209</v>
      </c>
    </row>
    <row r="109" spans="1:6" hidden="1" x14ac:dyDescent="0.2">
      <c r="A109" s="9" t="s">
        <v>780</v>
      </c>
      <c r="B109" s="37"/>
      <c r="C109" s="38">
        <v>4</v>
      </c>
      <c r="D109" s="9" t="s">
        <v>702</v>
      </c>
      <c r="F109" s="9" t="s">
        <v>209</v>
      </c>
    </row>
    <row r="110" spans="1:6" hidden="1" x14ac:dyDescent="0.2">
      <c r="A110" s="9" t="s">
        <v>781</v>
      </c>
      <c r="B110" s="37"/>
      <c r="C110" s="38">
        <v>5</v>
      </c>
      <c r="D110" s="9" t="s">
        <v>384</v>
      </c>
      <c r="F110" s="9" t="s">
        <v>209</v>
      </c>
    </row>
    <row r="111" spans="1:6" hidden="1" x14ac:dyDescent="0.2">
      <c r="A111" s="9" t="s">
        <v>781</v>
      </c>
      <c r="B111" s="37"/>
      <c r="C111" s="38">
        <v>6</v>
      </c>
      <c r="D111" s="9" t="s">
        <v>385</v>
      </c>
      <c r="F111" s="9" t="s">
        <v>209</v>
      </c>
    </row>
    <row r="112" spans="1:6" hidden="1" x14ac:dyDescent="0.2">
      <c r="A112" s="9" t="s">
        <v>779</v>
      </c>
      <c r="B112" s="37"/>
      <c r="C112" s="38">
        <v>7</v>
      </c>
      <c r="D112" s="9" t="s">
        <v>512</v>
      </c>
      <c r="F112" s="9" t="s">
        <v>209</v>
      </c>
    </row>
    <row r="113" spans="1:7" hidden="1" x14ac:dyDescent="0.2">
      <c r="A113" s="9" t="s">
        <v>779</v>
      </c>
      <c r="B113" s="37"/>
      <c r="C113" s="38">
        <v>8</v>
      </c>
      <c r="D113" s="9" t="s">
        <v>692</v>
      </c>
      <c r="F113" s="9" t="s">
        <v>209</v>
      </c>
      <c r="G113" s="9" t="s">
        <v>515</v>
      </c>
    </row>
    <row r="114" spans="1:7" hidden="1" x14ac:dyDescent="0.2">
      <c r="A114" s="9" t="s">
        <v>781</v>
      </c>
      <c r="B114" s="37"/>
      <c r="C114" s="38">
        <v>9</v>
      </c>
      <c r="D114" s="9" t="s">
        <v>694</v>
      </c>
      <c r="F114" s="9" t="s">
        <v>209</v>
      </c>
    </row>
    <row r="115" spans="1:7" hidden="1" x14ac:dyDescent="0.2">
      <c r="A115" s="9" t="s">
        <v>781</v>
      </c>
      <c r="B115" s="37"/>
      <c r="C115" s="38">
        <v>10</v>
      </c>
      <c r="D115" s="9" t="s">
        <v>1198</v>
      </c>
      <c r="F115" s="9" t="s">
        <v>209</v>
      </c>
    </row>
    <row r="116" spans="1:7" hidden="1" x14ac:dyDescent="0.2">
      <c r="A116" s="9" t="s">
        <v>779</v>
      </c>
      <c r="B116" s="37"/>
      <c r="C116" s="38">
        <v>11</v>
      </c>
      <c r="D116" s="9" t="s">
        <v>706</v>
      </c>
      <c r="F116" s="9" t="s">
        <v>209</v>
      </c>
    </row>
    <row r="117" spans="1:7" hidden="1" x14ac:dyDescent="0.2">
      <c r="A117" s="9" t="s">
        <v>780</v>
      </c>
      <c r="B117" s="37"/>
      <c r="C117" s="38">
        <v>12</v>
      </c>
      <c r="D117" s="9" t="s">
        <v>708</v>
      </c>
      <c r="F117" s="9" t="s">
        <v>209</v>
      </c>
    </row>
    <row r="118" spans="1:7" hidden="1" x14ac:dyDescent="0.2">
      <c r="A118" s="9" t="s">
        <v>779</v>
      </c>
      <c r="B118" s="37"/>
      <c r="C118" s="38">
        <v>13</v>
      </c>
      <c r="D118" s="9" t="s">
        <v>710</v>
      </c>
      <c r="F118" s="9" t="s">
        <v>209</v>
      </c>
    </row>
    <row r="119" spans="1:7" hidden="1" x14ac:dyDescent="0.2">
      <c r="A119" s="9" t="s">
        <v>779</v>
      </c>
      <c r="B119" s="37"/>
      <c r="C119" s="38">
        <v>14</v>
      </c>
      <c r="D119" s="9" t="s">
        <v>712</v>
      </c>
      <c r="F119" s="9" t="s">
        <v>209</v>
      </c>
    </row>
    <row r="120" spans="1:7" hidden="1" x14ac:dyDescent="0.2">
      <c r="A120" s="9" t="s">
        <v>779</v>
      </c>
      <c r="B120" s="37"/>
      <c r="C120" s="38">
        <v>15</v>
      </c>
      <c r="D120" s="9" t="s">
        <v>714</v>
      </c>
      <c r="F120" s="9" t="s">
        <v>209</v>
      </c>
    </row>
    <row r="121" spans="1:7" hidden="1" x14ac:dyDescent="0.2">
      <c r="A121" s="9" t="s">
        <v>779</v>
      </c>
      <c r="B121" s="37"/>
      <c r="C121" s="38">
        <v>16</v>
      </c>
      <c r="D121" s="9" t="s">
        <v>716</v>
      </c>
      <c r="F121" s="9" t="s">
        <v>209</v>
      </c>
    </row>
    <row r="122" spans="1:7" hidden="1" x14ac:dyDescent="0.2">
      <c r="A122" s="9" t="s">
        <v>779</v>
      </c>
      <c r="B122" s="37"/>
      <c r="C122" s="38">
        <v>17</v>
      </c>
      <c r="D122" s="9" t="s">
        <v>718</v>
      </c>
      <c r="F122" s="9" t="s">
        <v>209</v>
      </c>
    </row>
    <row r="123" spans="1:7" hidden="1" x14ac:dyDescent="0.2">
      <c r="A123" s="9" t="s">
        <v>779</v>
      </c>
      <c r="B123" s="37"/>
      <c r="C123" s="38">
        <v>18</v>
      </c>
      <c r="D123" s="9" t="s">
        <v>339</v>
      </c>
      <c r="F123" s="9" t="s">
        <v>209</v>
      </c>
    </row>
    <row r="124" spans="1:7" hidden="1" x14ac:dyDescent="0.2">
      <c r="A124" s="9" t="s">
        <v>779</v>
      </c>
      <c r="B124" s="37"/>
      <c r="C124" s="38">
        <v>19</v>
      </c>
      <c r="D124" s="9" t="s">
        <v>391</v>
      </c>
      <c r="F124" s="9" t="s">
        <v>209</v>
      </c>
    </row>
    <row r="125" spans="1:7" hidden="1" x14ac:dyDescent="0.2">
      <c r="A125" s="9" t="s">
        <v>779</v>
      </c>
      <c r="B125" s="37"/>
      <c r="C125" s="38">
        <v>20</v>
      </c>
      <c r="D125" s="9" t="s">
        <v>696</v>
      </c>
      <c r="F125" s="9" t="s">
        <v>209</v>
      </c>
    </row>
    <row r="126" spans="1:7" hidden="1" x14ac:dyDescent="0.2">
      <c r="A126" s="9" t="s">
        <v>779</v>
      </c>
      <c r="B126" s="37"/>
      <c r="C126" s="38">
        <v>21</v>
      </c>
      <c r="D126" s="9" t="s">
        <v>85</v>
      </c>
      <c r="F126" s="9" t="s">
        <v>209</v>
      </c>
    </row>
    <row r="127" spans="1:7" hidden="1" x14ac:dyDescent="0.2">
      <c r="A127" s="9" t="s">
        <v>782</v>
      </c>
      <c r="B127" s="37"/>
      <c r="C127" s="38">
        <v>22</v>
      </c>
      <c r="D127" s="9" t="s">
        <v>294</v>
      </c>
      <c r="F127" s="9" t="s">
        <v>209</v>
      </c>
    </row>
    <row r="128" spans="1:7" hidden="1" x14ac:dyDescent="0.2">
      <c r="A128" s="9" t="s">
        <v>779</v>
      </c>
      <c r="B128" s="37"/>
      <c r="C128" s="38">
        <v>23</v>
      </c>
      <c r="D128" s="9" t="s">
        <v>296</v>
      </c>
      <c r="F128" s="9" t="s">
        <v>209</v>
      </c>
    </row>
    <row r="129" spans="1:7" hidden="1" x14ac:dyDescent="0.2">
      <c r="A129" s="9" t="s">
        <v>779</v>
      </c>
      <c r="B129" s="37"/>
      <c r="C129" s="38">
        <v>24</v>
      </c>
      <c r="D129" s="9" t="s">
        <v>298</v>
      </c>
      <c r="F129" s="9" t="s">
        <v>209</v>
      </c>
    </row>
    <row r="130" spans="1:7" hidden="1" x14ac:dyDescent="0.2">
      <c r="A130" s="9" t="s">
        <v>779</v>
      </c>
      <c r="B130" s="37"/>
      <c r="C130" s="38">
        <v>25</v>
      </c>
      <c r="D130" s="9" t="s">
        <v>1128</v>
      </c>
      <c r="F130" s="9" t="s">
        <v>1129</v>
      </c>
    </row>
    <row r="131" spans="1:7" hidden="1" x14ac:dyDescent="0.2">
      <c r="A131" s="9" t="s">
        <v>779</v>
      </c>
      <c r="B131" s="37"/>
      <c r="C131" s="38">
        <v>26</v>
      </c>
      <c r="D131" s="9" t="s">
        <v>1131</v>
      </c>
      <c r="F131" s="9" t="s">
        <v>1129</v>
      </c>
    </row>
    <row r="132" spans="1:7" hidden="1" x14ac:dyDescent="0.2">
      <c r="A132" s="9" t="s">
        <v>781</v>
      </c>
      <c r="B132" s="37"/>
      <c r="C132" s="38">
        <v>27</v>
      </c>
      <c r="D132" s="9" t="s">
        <v>721</v>
      </c>
      <c r="F132" s="9" t="s">
        <v>209</v>
      </c>
    </row>
    <row r="133" spans="1:7" hidden="1" x14ac:dyDescent="0.2">
      <c r="A133" s="9" t="s">
        <v>779</v>
      </c>
      <c r="B133" s="37"/>
      <c r="C133" s="38">
        <v>28</v>
      </c>
      <c r="D133" s="9" t="s">
        <v>723</v>
      </c>
      <c r="F133" s="9" t="s">
        <v>209</v>
      </c>
    </row>
    <row r="134" spans="1:7" hidden="1" x14ac:dyDescent="0.2">
      <c r="A134" s="9" t="s">
        <v>780</v>
      </c>
      <c r="B134" s="37"/>
      <c r="C134" s="38">
        <v>29</v>
      </c>
      <c r="D134" s="9" t="s">
        <v>331</v>
      </c>
      <c r="F134" s="9" t="s">
        <v>209</v>
      </c>
    </row>
    <row r="135" spans="1:7" hidden="1" x14ac:dyDescent="0.2">
      <c r="A135" s="9" t="s">
        <v>779</v>
      </c>
      <c r="B135" s="37"/>
      <c r="C135" s="38">
        <v>30</v>
      </c>
      <c r="D135" s="9" t="s">
        <v>1214</v>
      </c>
      <c r="F135" s="9" t="s">
        <v>209</v>
      </c>
    </row>
    <row r="136" spans="1:7" hidden="1" x14ac:dyDescent="0.2">
      <c r="A136" s="9" t="s">
        <v>166</v>
      </c>
      <c r="B136" s="37"/>
      <c r="C136" s="38">
        <v>1</v>
      </c>
      <c r="D136" s="9" t="s">
        <v>167</v>
      </c>
      <c r="F136" s="9" t="s">
        <v>210</v>
      </c>
    </row>
    <row r="137" spans="1:7" hidden="1" x14ac:dyDescent="0.2">
      <c r="A137" s="9" t="s">
        <v>166</v>
      </c>
      <c r="B137" s="37"/>
      <c r="C137" s="38">
        <v>2</v>
      </c>
      <c r="D137" s="9" t="s">
        <v>168</v>
      </c>
      <c r="F137" s="9" t="s">
        <v>210</v>
      </c>
    </row>
    <row r="138" spans="1:7" hidden="1" x14ac:dyDescent="0.2">
      <c r="A138" s="9" t="s">
        <v>166</v>
      </c>
      <c r="B138" s="37"/>
      <c r="C138" s="38">
        <v>3</v>
      </c>
      <c r="D138" s="9" t="s">
        <v>169</v>
      </c>
      <c r="F138" s="9" t="s">
        <v>210</v>
      </c>
      <c r="G138" s="9" t="s">
        <v>170</v>
      </c>
    </row>
    <row r="139" spans="1:7" hidden="1" x14ac:dyDescent="0.2">
      <c r="A139" s="9" t="s">
        <v>160</v>
      </c>
      <c r="B139" s="37"/>
      <c r="C139" s="38">
        <v>4</v>
      </c>
      <c r="D139" s="9" t="s">
        <v>223</v>
      </c>
      <c r="F139" s="9" t="s">
        <v>210</v>
      </c>
    </row>
    <row r="140" spans="1:7" hidden="1" x14ac:dyDescent="0.2">
      <c r="A140" s="9" t="s">
        <v>166</v>
      </c>
      <c r="B140" s="37"/>
      <c r="C140" s="38">
        <v>5</v>
      </c>
      <c r="D140" s="9" t="s">
        <v>171</v>
      </c>
      <c r="F140" s="9" t="s">
        <v>210</v>
      </c>
    </row>
    <row r="141" spans="1:7" hidden="1" x14ac:dyDescent="0.2">
      <c r="A141" s="9" t="s">
        <v>160</v>
      </c>
      <c r="B141" s="37"/>
      <c r="C141" s="38">
        <v>6</v>
      </c>
      <c r="D141" s="9" t="s">
        <v>275</v>
      </c>
      <c r="F141" s="9" t="s">
        <v>266</v>
      </c>
      <c r="G141" s="9" t="s">
        <v>268</v>
      </c>
    </row>
    <row r="142" spans="1:7" hidden="1" x14ac:dyDescent="0.2">
      <c r="A142" s="9" t="s">
        <v>160</v>
      </c>
      <c r="B142" s="37"/>
      <c r="C142" s="38">
        <v>7</v>
      </c>
      <c r="D142" s="9" t="s">
        <v>1161</v>
      </c>
      <c r="F142" s="9" t="s">
        <v>266</v>
      </c>
    </row>
    <row r="143" spans="1:7" hidden="1" x14ac:dyDescent="0.2">
      <c r="A143" s="9" t="s">
        <v>160</v>
      </c>
      <c r="B143" s="37"/>
      <c r="C143" s="38">
        <v>8</v>
      </c>
      <c r="D143" s="9" t="s">
        <v>274</v>
      </c>
      <c r="F143" s="9" t="s">
        <v>266</v>
      </c>
    </row>
    <row r="144" spans="1:7" hidden="1" x14ac:dyDescent="0.2">
      <c r="A144" s="9" t="s">
        <v>160</v>
      </c>
      <c r="B144" s="37"/>
      <c r="C144" s="38">
        <v>9</v>
      </c>
      <c r="D144" s="9" t="s">
        <v>277</v>
      </c>
      <c r="F144" s="9" t="s">
        <v>266</v>
      </c>
      <c r="G144" s="9" t="s">
        <v>278</v>
      </c>
    </row>
    <row r="145" spans="1:7" hidden="1" x14ac:dyDescent="0.2">
      <c r="A145" s="9" t="s">
        <v>160</v>
      </c>
      <c r="B145" s="37"/>
      <c r="C145" s="38">
        <v>10</v>
      </c>
      <c r="D145" s="9" t="s">
        <v>270</v>
      </c>
      <c r="F145" s="9" t="s">
        <v>266</v>
      </c>
      <c r="G145" s="9" t="s">
        <v>33</v>
      </c>
    </row>
    <row r="146" spans="1:7" hidden="1" x14ac:dyDescent="0.2">
      <c r="A146" s="9" t="s">
        <v>160</v>
      </c>
      <c r="B146" s="37"/>
      <c r="C146" s="38">
        <v>11</v>
      </c>
      <c r="D146" s="9" t="s">
        <v>272</v>
      </c>
      <c r="F146" s="9" t="s">
        <v>266</v>
      </c>
      <c r="G146" s="9" t="s">
        <v>278</v>
      </c>
    </row>
    <row r="147" spans="1:7" hidden="1" x14ac:dyDescent="0.2">
      <c r="A147" s="9" t="s">
        <v>160</v>
      </c>
      <c r="B147" s="37"/>
      <c r="C147" s="38">
        <v>12</v>
      </c>
      <c r="D147" s="9" t="s">
        <v>325</v>
      </c>
      <c r="F147" s="9" t="s">
        <v>266</v>
      </c>
      <c r="G147" s="9" t="s">
        <v>280</v>
      </c>
    </row>
    <row r="148" spans="1:7" hidden="1" x14ac:dyDescent="0.2">
      <c r="A148" s="9" t="s">
        <v>160</v>
      </c>
      <c r="B148" s="37"/>
      <c r="C148" s="38">
        <v>13</v>
      </c>
      <c r="D148" s="9" t="s">
        <v>285</v>
      </c>
      <c r="F148" s="9" t="s">
        <v>266</v>
      </c>
      <c r="G148" s="9" t="s">
        <v>283</v>
      </c>
    </row>
    <row r="149" spans="1:7" hidden="1" x14ac:dyDescent="0.2">
      <c r="A149" s="9" t="s">
        <v>160</v>
      </c>
      <c r="B149" s="37"/>
      <c r="C149" s="38">
        <v>14</v>
      </c>
      <c r="D149" s="9" t="s">
        <v>287</v>
      </c>
      <c r="F149" s="9" t="s">
        <v>266</v>
      </c>
    </row>
    <row r="150" spans="1:7" hidden="1" x14ac:dyDescent="0.2">
      <c r="A150" s="9" t="s">
        <v>160</v>
      </c>
      <c r="B150" s="37"/>
      <c r="C150" s="38">
        <v>15</v>
      </c>
      <c r="D150" s="9" t="s">
        <v>289</v>
      </c>
      <c r="F150" s="9" t="s">
        <v>266</v>
      </c>
    </row>
    <row r="151" spans="1:7" hidden="1" x14ac:dyDescent="0.2">
      <c r="A151" s="9" t="s">
        <v>160</v>
      </c>
      <c r="B151" s="37"/>
      <c r="C151" s="38">
        <v>16</v>
      </c>
      <c r="D151" s="9" t="s">
        <v>303</v>
      </c>
      <c r="F151" s="9" t="s">
        <v>266</v>
      </c>
    </row>
    <row r="152" spans="1:7" hidden="1" x14ac:dyDescent="0.2">
      <c r="A152" s="9" t="s">
        <v>160</v>
      </c>
      <c r="B152" s="37"/>
      <c r="C152" s="38">
        <v>17</v>
      </c>
      <c r="D152" s="9" t="s">
        <v>305</v>
      </c>
      <c r="F152" s="9" t="s">
        <v>266</v>
      </c>
    </row>
    <row r="153" spans="1:7" hidden="1" x14ac:dyDescent="0.2">
      <c r="A153" s="9" t="s">
        <v>160</v>
      </c>
      <c r="B153" s="37"/>
      <c r="C153" s="38">
        <v>18</v>
      </c>
      <c r="D153" s="9" t="s">
        <v>307</v>
      </c>
      <c r="F153" s="9" t="s">
        <v>266</v>
      </c>
    </row>
    <row r="154" spans="1:7" hidden="1" x14ac:dyDescent="0.2">
      <c r="A154" s="9" t="s">
        <v>160</v>
      </c>
      <c r="B154" s="37"/>
      <c r="C154" s="38">
        <v>19</v>
      </c>
      <c r="D154" s="9" t="s">
        <v>291</v>
      </c>
      <c r="F154" s="9" t="s">
        <v>266</v>
      </c>
    </row>
    <row r="155" spans="1:7" hidden="1" x14ac:dyDescent="0.2">
      <c r="A155" s="9" t="s">
        <v>160</v>
      </c>
      <c r="B155" s="37"/>
      <c r="C155" s="38">
        <v>20</v>
      </c>
      <c r="D155" s="9" t="s">
        <v>293</v>
      </c>
      <c r="F155" s="9" t="s">
        <v>266</v>
      </c>
    </row>
    <row r="156" spans="1:7" hidden="1" x14ac:dyDescent="0.2">
      <c r="A156" s="9" t="s">
        <v>160</v>
      </c>
      <c r="B156" s="37"/>
      <c r="C156" s="38">
        <v>21</v>
      </c>
      <c r="D156" s="9" t="s">
        <v>295</v>
      </c>
      <c r="F156" s="9" t="s">
        <v>266</v>
      </c>
    </row>
    <row r="157" spans="1:7" hidden="1" x14ac:dyDescent="0.2">
      <c r="A157" s="9" t="s">
        <v>160</v>
      </c>
      <c r="B157" s="37"/>
      <c r="C157" s="38">
        <v>22</v>
      </c>
      <c r="D157" s="9" t="s">
        <v>297</v>
      </c>
      <c r="F157" s="9" t="s">
        <v>266</v>
      </c>
    </row>
    <row r="158" spans="1:7" hidden="1" x14ac:dyDescent="0.2">
      <c r="A158" s="9" t="s">
        <v>160</v>
      </c>
      <c r="B158" s="37"/>
      <c r="C158" s="38">
        <v>23</v>
      </c>
      <c r="D158" s="9" t="s">
        <v>299</v>
      </c>
      <c r="F158" s="9" t="s">
        <v>266</v>
      </c>
    </row>
    <row r="159" spans="1:7" hidden="1" x14ac:dyDescent="0.2">
      <c r="A159" s="9" t="s">
        <v>160</v>
      </c>
      <c r="B159" s="37"/>
      <c r="C159" s="38">
        <v>24</v>
      </c>
      <c r="D159" s="9" t="s">
        <v>301</v>
      </c>
      <c r="F159" s="9" t="s">
        <v>266</v>
      </c>
    </row>
    <row r="160" spans="1:7" hidden="1" x14ac:dyDescent="0.2">
      <c r="A160" s="9" t="s">
        <v>160</v>
      </c>
      <c r="B160" s="37"/>
      <c r="C160" s="38">
        <v>25</v>
      </c>
      <c r="D160" s="9" t="s">
        <v>1160</v>
      </c>
      <c r="F160" s="9" t="s">
        <v>457</v>
      </c>
    </row>
    <row r="161" spans="1:6" hidden="1" x14ac:dyDescent="0.2">
      <c r="A161" s="9" t="s">
        <v>160</v>
      </c>
      <c r="B161" s="37"/>
      <c r="C161" s="38">
        <v>26</v>
      </c>
      <c r="D161" s="9" t="s">
        <v>483</v>
      </c>
      <c r="F161" s="9" t="s">
        <v>266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83"/>
  <sheetViews>
    <sheetView showGridLines="0" workbookViewId="0">
      <pane ySplit="1" topLeftCell="A2" activePane="bottomLeft" state="frozen"/>
      <selection pane="bottomLeft" activeCell="E1384" sqref="E1384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308</v>
      </c>
      <c r="D1" s="3" t="s">
        <v>99</v>
      </c>
      <c r="E1" s="3" t="s">
        <v>0</v>
      </c>
      <c r="F1" s="3" t="s">
        <v>213</v>
      </c>
      <c r="G1" s="4" t="s">
        <v>100</v>
      </c>
      <c r="H1" s="3" t="s">
        <v>448</v>
      </c>
    </row>
    <row r="2" spans="1:8" hidden="1" x14ac:dyDescent="0.2">
      <c r="A2" s="19" t="s">
        <v>244</v>
      </c>
      <c r="B2" s="41">
        <v>43586</v>
      </c>
      <c r="C2" s="11">
        <v>1</v>
      </c>
      <c r="D2" s="12" t="s">
        <v>229</v>
      </c>
      <c r="E2" s="10">
        <v>43614</v>
      </c>
      <c r="F2" s="8" t="s">
        <v>263</v>
      </c>
      <c r="G2" s="19" t="s">
        <v>231</v>
      </c>
      <c r="H2" s="18">
        <f ca="1">ROUNDDOWN(表3[[#This Row],[日期]]-TODAY(),1)</f>
        <v>-28</v>
      </c>
    </row>
    <row r="3" spans="1:8" hidden="1" x14ac:dyDescent="0.2">
      <c r="A3" s="19" t="s">
        <v>244</v>
      </c>
      <c r="B3" s="41">
        <v>43586</v>
      </c>
      <c r="C3" s="11">
        <v>2</v>
      </c>
      <c r="D3" s="12" t="s">
        <v>246</v>
      </c>
      <c r="E3" s="10">
        <v>43614</v>
      </c>
      <c r="F3" s="8" t="s">
        <v>263</v>
      </c>
      <c r="G3" s="19" t="s">
        <v>231</v>
      </c>
      <c r="H3" s="18">
        <f ca="1">ROUNDDOWN(表3[[#This Row],[日期]]-TODAY(),1)</f>
        <v>-28</v>
      </c>
    </row>
    <row r="4" spans="1:8" hidden="1" x14ac:dyDescent="0.2">
      <c r="A4" s="19" t="s">
        <v>192</v>
      </c>
      <c r="B4" s="41">
        <v>43586</v>
      </c>
      <c r="C4" s="11">
        <v>1</v>
      </c>
      <c r="D4" s="12" t="s">
        <v>259</v>
      </c>
      <c r="E4" s="10">
        <v>43595</v>
      </c>
      <c r="F4" s="8" t="s">
        <v>1</v>
      </c>
      <c r="G4" s="19"/>
      <c r="H4" s="18">
        <f ca="1">ROUNDDOWN(表3[[#This Row],[日期]]-TODAY(),1)</f>
        <v>-47</v>
      </c>
    </row>
    <row r="5" spans="1:8" hidden="1" x14ac:dyDescent="0.2">
      <c r="A5" s="19" t="s">
        <v>193</v>
      </c>
      <c r="B5" s="41">
        <v>43586</v>
      </c>
      <c r="C5" s="11">
        <v>1</v>
      </c>
      <c r="D5" s="12" t="s">
        <v>259</v>
      </c>
      <c r="E5" s="10">
        <v>43595</v>
      </c>
      <c r="F5" s="8" t="s">
        <v>1</v>
      </c>
      <c r="G5" s="19"/>
      <c r="H5" s="18">
        <f ca="1">ROUNDDOWN(表3[[#This Row],[日期]]-TODAY(),1)</f>
        <v>-47</v>
      </c>
    </row>
    <row r="6" spans="1:8" hidden="1" x14ac:dyDescent="0.2">
      <c r="A6" s="19" t="s">
        <v>242</v>
      </c>
      <c r="B6" s="41">
        <v>43591</v>
      </c>
      <c r="C6" s="11">
        <v>1</v>
      </c>
      <c r="D6" s="12" t="s">
        <v>235</v>
      </c>
      <c r="E6" s="10">
        <v>43586</v>
      </c>
      <c r="F6" s="8" t="s">
        <v>226</v>
      </c>
      <c r="G6" s="19" t="s">
        <v>237</v>
      </c>
      <c r="H6" s="18">
        <f ca="1">ROUNDDOWN(表3[[#This Row],[日期]]-TODAY(),1)</f>
        <v>-56</v>
      </c>
    </row>
    <row r="7" spans="1:8" hidden="1" x14ac:dyDescent="0.2">
      <c r="A7" s="19" t="s">
        <v>242</v>
      </c>
      <c r="B7" s="41">
        <v>43591</v>
      </c>
      <c r="C7" s="11">
        <v>2</v>
      </c>
      <c r="D7" s="12" t="s">
        <v>238</v>
      </c>
      <c r="E7" s="10">
        <v>43586</v>
      </c>
      <c r="F7" s="8" t="s">
        <v>226</v>
      </c>
      <c r="G7" s="19" t="s">
        <v>237</v>
      </c>
      <c r="H7" s="18">
        <f ca="1">ROUNDDOWN(表3[[#This Row],[日期]]-TODAY(),1)</f>
        <v>-56</v>
      </c>
    </row>
    <row r="8" spans="1:8" hidden="1" x14ac:dyDescent="0.2">
      <c r="A8" s="19" t="s">
        <v>242</v>
      </c>
      <c r="B8" s="41">
        <v>43591</v>
      </c>
      <c r="C8" s="11">
        <v>3</v>
      </c>
      <c r="D8" s="12" t="s">
        <v>238</v>
      </c>
      <c r="E8" s="10">
        <v>43593</v>
      </c>
      <c r="F8" s="8" t="s">
        <v>248</v>
      </c>
      <c r="G8" s="19" t="s">
        <v>240</v>
      </c>
      <c r="H8" s="18">
        <f ca="1">ROUNDDOWN(表3[[#This Row],[日期]]-TODAY(),1)</f>
        <v>-49</v>
      </c>
    </row>
    <row r="9" spans="1:8" hidden="1" x14ac:dyDescent="0.2">
      <c r="A9" s="19" t="s">
        <v>242</v>
      </c>
      <c r="B9" s="41">
        <v>43591</v>
      </c>
      <c r="C9" s="11">
        <v>4</v>
      </c>
      <c r="D9" s="12" t="s">
        <v>228</v>
      </c>
      <c r="E9" s="10">
        <v>43595</v>
      </c>
      <c r="F9" s="8" t="s">
        <v>226</v>
      </c>
      <c r="G9" s="19" t="s">
        <v>233</v>
      </c>
      <c r="H9" s="18">
        <f ca="1">ROUNDDOWN(表3[[#This Row],[日期]]-TODAY(),1)</f>
        <v>-47</v>
      </c>
    </row>
    <row r="10" spans="1:8" hidden="1" x14ac:dyDescent="0.2">
      <c r="A10" s="19" t="s">
        <v>242</v>
      </c>
      <c r="B10" s="41">
        <v>43591</v>
      </c>
      <c r="C10" s="11">
        <v>5</v>
      </c>
      <c r="D10" s="12" t="s">
        <v>238</v>
      </c>
      <c r="E10" s="10">
        <v>43595</v>
      </c>
      <c r="F10" s="8" t="s">
        <v>226</v>
      </c>
      <c r="G10" s="19" t="s">
        <v>233</v>
      </c>
      <c r="H10" s="18">
        <f ca="1">ROUNDDOWN(表3[[#This Row],[日期]]-TODAY(),1)</f>
        <v>-47</v>
      </c>
    </row>
    <row r="11" spans="1:8" hidden="1" x14ac:dyDescent="0.2">
      <c r="A11" s="19" t="s">
        <v>242</v>
      </c>
      <c r="B11" s="41">
        <v>43591</v>
      </c>
      <c r="C11" s="11">
        <v>6</v>
      </c>
      <c r="D11" s="12" t="s">
        <v>241</v>
      </c>
      <c r="E11" s="10">
        <v>43595</v>
      </c>
      <c r="F11" s="8" t="s">
        <v>261</v>
      </c>
      <c r="G11" s="19" t="s">
        <v>233</v>
      </c>
      <c r="H11" s="18">
        <f ca="1">ROUNDDOWN(表3[[#This Row],[日期]]-TODAY(),1)</f>
        <v>-47</v>
      </c>
    </row>
    <row r="12" spans="1:8" hidden="1" x14ac:dyDescent="0.2">
      <c r="A12" s="19" t="s">
        <v>194</v>
      </c>
      <c r="B12" s="41">
        <v>43593</v>
      </c>
      <c r="C12" s="11">
        <v>1</v>
      </c>
      <c r="D12" s="12" t="s">
        <v>259</v>
      </c>
      <c r="E12" s="10">
        <v>43595</v>
      </c>
      <c r="F12" s="8" t="s">
        <v>1</v>
      </c>
      <c r="G12" s="19"/>
      <c r="H12" s="18">
        <f ca="1">ROUNDDOWN(表3[[#This Row],[日期]]-TODAY(),1)</f>
        <v>-47</v>
      </c>
    </row>
    <row r="13" spans="1:8" hidden="1" x14ac:dyDescent="0.2">
      <c r="A13" s="19" t="s">
        <v>191</v>
      </c>
      <c r="B13" s="41">
        <v>43593</v>
      </c>
      <c r="C13" s="11">
        <v>1</v>
      </c>
      <c r="D13" s="12" t="s">
        <v>259</v>
      </c>
      <c r="E13" s="10">
        <v>43595</v>
      </c>
      <c r="F13" s="8" t="s">
        <v>1</v>
      </c>
      <c r="G13" s="19"/>
      <c r="H13" s="18">
        <f ca="1">ROUNDDOWN(表3[[#This Row],[日期]]-TODAY(),1)</f>
        <v>-47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207</v>
      </c>
      <c r="G14" s="19" t="s">
        <v>29</v>
      </c>
      <c r="H14" s="18">
        <f ca="1">ROUNDDOWN(表3[[#This Row],[日期]]-TODAY(),1)</f>
        <v>-61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207</v>
      </c>
      <c r="G15" s="19" t="s">
        <v>31</v>
      </c>
      <c r="H15" s="18">
        <f ca="1">ROUNDDOWN(表3[[#This Row],[日期]]-TODAY(),1)</f>
        <v>-59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207</v>
      </c>
      <c r="G16" s="19"/>
      <c r="H16" s="18">
        <f ca="1">ROUNDDOWN(表3[[#This Row],[日期]]-TODAY(),1)</f>
        <v>-59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207</v>
      </c>
      <c r="G17" s="19" t="s">
        <v>43</v>
      </c>
      <c r="H17" s="18">
        <f ca="1">ROUNDDOWN(表3[[#This Row],[日期]]-TODAY(),1)</f>
        <v>-59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207</v>
      </c>
      <c r="G18" s="19"/>
      <c r="H18" s="18">
        <f ca="1">ROUNDDOWN(表3[[#This Row],[日期]]-TODAY(),1)</f>
        <v>-59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207</v>
      </c>
      <c r="G19" s="19"/>
      <c r="H19" s="18">
        <f ca="1">ROUNDDOWN(表3[[#This Row],[日期]]-TODAY(),1)</f>
        <v>-59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207</v>
      </c>
      <c r="G20" s="19"/>
      <c r="H20" s="18">
        <f ca="1">ROUNDDOWN(表3[[#This Row],[日期]]-TODAY(),1)</f>
        <v>-59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207</v>
      </c>
      <c r="G21" s="19"/>
      <c r="H21" s="18">
        <f ca="1">ROUNDDOWN(表3[[#This Row],[日期]]-TODAY(),1)</f>
        <v>-59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207</v>
      </c>
      <c r="G22" s="19" t="s">
        <v>32</v>
      </c>
      <c r="H22" s="18">
        <f ca="1">ROUNDDOWN(表3[[#This Row],[日期]]-TODAY(),1)</f>
        <v>-58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207</v>
      </c>
      <c r="G23" s="19"/>
      <c r="H23" s="18">
        <f ca="1">ROUNDDOWN(表3[[#This Row],[日期]]-TODAY(),1)</f>
        <v>-58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207</v>
      </c>
      <c r="G24" s="19" t="s">
        <v>34</v>
      </c>
      <c r="H24" s="18">
        <f ca="1">ROUNDDOWN(表3[[#This Row],[日期]]-TODAY(),1)</f>
        <v>-51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207</v>
      </c>
      <c r="G25" s="19"/>
      <c r="H25" s="18">
        <f ca="1">ROUNDDOWN(表3[[#This Row],[日期]]-TODAY(),1)</f>
        <v>-51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207</v>
      </c>
      <c r="G26" s="19"/>
      <c r="H26" s="18">
        <f ca="1">ROUNDDOWN(表3[[#This Row],[日期]]-TODAY(),1)</f>
        <v>-51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207</v>
      </c>
      <c r="G27" s="19"/>
      <c r="H27" s="18">
        <f ca="1">ROUNDDOWN(表3[[#This Row],[日期]]-TODAY(),1)</f>
        <v>-51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207</v>
      </c>
      <c r="G28" s="19"/>
      <c r="H28" s="18">
        <f ca="1">ROUNDDOWN(表3[[#This Row],[日期]]-TODAY(),1)</f>
        <v>-51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207</v>
      </c>
      <c r="G29" s="19"/>
      <c r="H29" s="18">
        <f ca="1">ROUNDDOWN(表3[[#This Row],[日期]]-TODAY(),1)</f>
        <v>-51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207</v>
      </c>
      <c r="G30" s="19"/>
      <c r="H30" s="18">
        <f ca="1">ROUNDDOWN(表3[[#This Row],[日期]]-TODAY(),1)</f>
        <v>-51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207</v>
      </c>
      <c r="G31" s="19"/>
      <c r="H31" s="18">
        <f ca="1">ROUNDDOWN(表3[[#This Row],[日期]]-TODAY(),1)</f>
        <v>-51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207</v>
      </c>
      <c r="G32" s="19" t="s">
        <v>36</v>
      </c>
      <c r="H32" s="18">
        <f ca="1">ROUNDDOWN(表3[[#This Row],[日期]]-TODAY(),1)</f>
        <v>-50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207</v>
      </c>
      <c r="G33" s="19"/>
      <c r="H33" s="18">
        <f ca="1">ROUNDDOWN(表3[[#This Row],[日期]]-TODAY(),1)</f>
        <v>-50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207</v>
      </c>
      <c r="G34" s="19"/>
      <c r="H34" s="18">
        <f ca="1">ROUNDDOWN(表3[[#This Row],[日期]]-TODAY(),1)</f>
        <v>-50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207</v>
      </c>
      <c r="G35" s="19"/>
      <c r="H35" s="18">
        <f ca="1">ROUNDDOWN(表3[[#This Row],[日期]]-TODAY(),1)</f>
        <v>-50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207</v>
      </c>
      <c r="G36" s="19" t="s">
        <v>43</v>
      </c>
      <c r="H36" s="18">
        <f ca="1">ROUNDDOWN(表3[[#This Row],[日期]]-TODAY(),1)</f>
        <v>-50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207</v>
      </c>
      <c r="G37" s="19" t="s">
        <v>161</v>
      </c>
      <c r="H37" s="18">
        <f ca="1">ROUNDDOWN(表3[[#This Row],[日期]]-TODAY(),1)</f>
        <v>-50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207</v>
      </c>
      <c r="G38" s="19" t="s">
        <v>43</v>
      </c>
      <c r="H38" s="18">
        <f ca="1">ROUNDDOWN(表3[[#This Row],[日期]]-TODAY(),1)</f>
        <v>-50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207</v>
      </c>
      <c r="G39" s="19"/>
      <c r="H39" s="18">
        <f ca="1">ROUNDDOWN(表3[[#This Row],[日期]]-TODAY(),1)</f>
        <v>-50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207</v>
      </c>
      <c r="G40" s="19"/>
      <c r="H40" s="18">
        <f ca="1">ROUNDDOWN(表3[[#This Row],[日期]]-TODAY(),1)</f>
        <v>-50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207</v>
      </c>
      <c r="G41" s="19"/>
      <c r="H41" s="18">
        <f ca="1">ROUNDDOWN(表3[[#This Row],[日期]]-TODAY(),1)</f>
        <v>-50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207</v>
      </c>
      <c r="G42" s="19"/>
      <c r="H42" s="18">
        <f ca="1">ROUNDDOWN(表3[[#This Row],[日期]]-TODAY(),1)</f>
        <v>-50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207</v>
      </c>
      <c r="G43" s="19"/>
      <c r="H43" s="18">
        <f ca="1">ROUNDDOWN(表3[[#This Row],[日期]]-TODAY(),1)</f>
        <v>-50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207</v>
      </c>
      <c r="G44" s="19" t="s">
        <v>66</v>
      </c>
      <c r="H44" s="18">
        <f ca="1">ROUNDDOWN(表3[[#This Row],[日期]]-TODAY(),1)</f>
        <v>-50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207</v>
      </c>
      <c r="G45" s="19"/>
      <c r="H45" s="18">
        <f ca="1">ROUNDDOWN(表3[[#This Row],[日期]]-TODAY(),1)</f>
        <v>-50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207</v>
      </c>
      <c r="G46" s="19" t="s">
        <v>32</v>
      </c>
      <c r="H46" s="18">
        <f ca="1">ROUNDDOWN(表3[[#This Row],[日期]]-TODAY(),1)</f>
        <v>-50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207</v>
      </c>
      <c r="G47" s="19" t="s">
        <v>43</v>
      </c>
      <c r="H47" s="18">
        <f ca="1">ROUNDDOWN(表3[[#This Row],[日期]]-TODAY(),1)</f>
        <v>-50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173</v>
      </c>
      <c r="E48" s="10">
        <v>43592</v>
      </c>
      <c r="F48" s="8" t="s">
        <v>207</v>
      </c>
      <c r="G48" s="19"/>
      <c r="H48" s="18">
        <f ca="1">ROUNDDOWN(表3[[#This Row],[日期]]-TODAY(),1)</f>
        <v>-50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207</v>
      </c>
      <c r="G49" s="19" t="s">
        <v>73</v>
      </c>
      <c r="H49" s="18">
        <f ca="1">ROUNDDOWN(表3[[#This Row],[日期]]-TODAY(),1)</f>
        <v>-50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207</v>
      </c>
      <c r="G50" s="19"/>
      <c r="H50" s="18">
        <f ca="1">ROUNDDOWN(表3[[#This Row],[日期]]-TODAY(),1)</f>
        <v>-50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207</v>
      </c>
      <c r="G51" s="19"/>
      <c r="H51" s="18">
        <f ca="1">ROUNDDOWN(表3[[#This Row],[日期]]-TODAY(),1)</f>
        <v>-49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207</v>
      </c>
      <c r="G52" s="19"/>
      <c r="H52" s="18">
        <f ca="1">ROUNDDOWN(表3[[#This Row],[日期]]-TODAY(),1)</f>
        <v>-49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207</v>
      </c>
      <c r="G53" s="19"/>
      <c r="H53" s="18">
        <f ca="1">ROUNDDOWN(表3[[#This Row],[日期]]-TODAY(),1)</f>
        <v>-49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207</v>
      </c>
      <c r="G54" s="19"/>
      <c r="H54" s="18">
        <f ca="1">ROUNDDOWN(表3[[#This Row],[日期]]-TODAY(),1)</f>
        <v>-48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207</v>
      </c>
      <c r="G55" s="19"/>
      <c r="H55" s="18">
        <f ca="1">ROUNDDOWN(表3[[#This Row],[日期]]-TODAY(),1)</f>
        <v>-47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257</v>
      </c>
      <c r="E56" s="10">
        <v>43595</v>
      </c>
      <c r="F56" s="8" t="s">
        <v>255</v>
      </c>
      <c r="G56" s="19"/>
      <c r="H56" s="18">
        <f ca="1">ROUNDDOWN(表3[[#This Row],[日期]]-TODAY(),1)</f>
        <v>-47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256</v>
      </c>
      <c r="E57" s="10">
        <v>43596</v>
      </c>
      <c r="F57" s="8" t="s">
        <v>1</v>
      </c>
      <c r="G57" s="19"/>
      <c r="H57" s="18">
        <f ca="1">ROUNDDOWN(表3[[#This Row],[日期]]-TODAY(),1)</f>
        <v>-46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263</v>
      </c>
      <c r="G58" s="19" t="s">
        <v>134</v>
      </c>
      <c r="H58" s="18">
        <f ca="1">ROUNDDOWN(表3[[#This Row],[日期]]-TODAY(),1)</f>
        <v>-44</v>
      </c>
    </row>
    <row r="59" spans="1:8" hidden="1" x14ac:dyDescent="0.2">
      <c r="A59" s="19" t="s">
        <v>242</v>
      </c>
      <c r="B59" s="41">
        <v>43598</v>
      </c>
      <c r="C59" s="11">
        <v>1</v>
      </c>
      <c r="D59" s="12" t="s">
        <v>235</v>
      </c>
      <c r="E59" s="10">
        <v>43598</v>
      </c>
      <c r="F59" s="8" t="s">
        <v>263</v>
      </c>
      <c r="G59" s="19" t="s">
        <v>237</v>
      </c>
      <c r="H59" s="18">
        <f ca="1">ROUNDDOWN(表3[[#This Row],[日期]]-TODAY(),1)</f>
        <v>-44</v>
      </c>
    </row>
    <row r="60" spans="1:8" hidden="1" x14ac:dyDescent="0.2">
      <c r="A60" s="19" t="s">
        <v>242</v>
      </c>
      <c r="B60" s="41">
        <v>43598</v>
      </c>
      <c r="C60" s="11">
        <v>2</v>
      </c>
      <c r="D60" s="12" t="s">
        <v>238</v>
      </c>
      <c r="E60" s="10">
        <v>43598</v>
      </c>
      <c r="F60" s="8" t="s">
        <v>263</v>
      </c>
      <c r="G60" s="19" t="s">
        <v>237</v>
      </c>
      <c r="H60" s="18">
        <f ca="1">ROUNDDOWN(表3[[#This Row],[日期]]-TODAY(),1)</f>
        <v>-44</v>
      </c>
    </row>
    <row r="61" spans="1:8" hidden="1" x14ac:dyDescent="0.2">
      <c r="A61" s="19" t="s">
        <v>242</v>
      </c>
      <c r="B61" s="41">
        <v>43598</v>
      </c>
      <c r="C61" s="11">
        <v>3</v>
      </c>
      <c r="D61" s="12" t="s">
        <v>238</v>
      </c>
      <c r="E61" s="10">
        <v>43600</v>
      </c>
      <c r="F61" s="8" t="s">
        <v>263</v>
      </c>
      <c r="G61" s="19" t="s">
        <v>240</v>
      </c>
      <c r="H61" s="18">
        <f ca="1">ROUNDDOWN(表3[[#This Row],[日期]]-TODAY(),1)</f>
        <v>-42</v>
      </c>
    </row>
    <row r="62" spans="1:8" hidden="1" x14ac:dyDescent="0.2">
      <c r="A62" s="19" t="s">
        <v>242</v>
      </c>
      <c r="B62" s="41">
        <v>43598</v>
      </c>
      <c r="C62" s="11">
        <v>4</v>
      </c>
      <c r="D62" s="12" t="s">
        <v>228</v>
      </c>
      <c r="E62" s="10">
        <v>43602</v>
      </c>
      <c r="F62" s="8" t="s">
        <v>263</v>
      </c>
      <c r="G62" s="19" t="s">
        <v>233</v>
      </c>
      <c r="H62" s="18">
        <f ca="1">ROUNDDOWN(表3[[#This Row],[日期]]-TODAY(),1)</f>
        <v>-40</v>
      </c>
    </row>
    <row r="63" spans="1:8" hidden="1" x14ac:dyDescent="0.2">
      <c r="A63" s="19" t="s">
        <v>242</v>
      </c>
      <c r="B63" s="41">
        <v>43598</v>
      </c>
      <c r="C63" s="11">
        <v>5</v>
      </c>
      <c r="D63" s="12" t="s">
        <v>238</v>
      </c>
      <c r="E63" s="10">
        <v>43602</v>
      </c>
      <c r="F63" s="8" t="s">
        <v>263</v>
      </c>
      <c r="G63" s="19" t="s">
        <v>233</v>
      </c>
      <c r="H63" s="18">
        <f ca="1">ROUNDDOWN(表3[[#This Row],[日期]]-TODAY(),1)</f>
        <v>-40</v>
      </c>
    </row>
    <row r="64" spans="1:8" hidden="1" x14ac:dyDescent="0.2">
      <c r="A64" s="19" t="s">
        <v>242</v>
      </c>
      <c r="B64" s="41">
        <v>43598</v>
      </c>
      <c r="C64" s="11">
        <v>6</v>
      </c>
      <c r="D64" s="12" t="s">
        <v>241</v>
      </c>
      <c r="E64" s="10">
        <v>43602</v>
      </c>
      <c r="F64" s="8" t="s">
        <v>263</v>
      </c>
      <c r="G64" s="19" t="s">
        <v>233</v>
      </c>
      <c r="H64" s="18">
        <f ca="1">ROUNDDOWN(表3[[#This Row],[日期]]-TODAY(),1)</f>
        <v>-40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207</v>
      </c>
      <c r="G65" s="19"/>
      <c r="H65" s="18">
        <f ca="1">ROUNDDOWN(表3[[#This Row],[日期]]-TODAY(),1)</f>
        <v>-57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207</v>
      </c>
      <c r="G66" s="19"/>
      <c r="H66" s="18">
        <f ca="1">ROUNDDOWN(表3[[#This Row],[日期]]-TODAY(),1)</f>
        <v>-51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-47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207</v>
      </c>
      <c r="G68" s="19"/>
      <c r="H68" s="18">
        <f ca="1">ROUNDDOWN(表3[[#This Row],[日期]]-TODAY(),1)</f>
        <v>-48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-47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263</v>
      </c>
      <c r="G70" s="19" t="s">
        <v>143</v>
      </c>
      <c r="H70" s="18">
        <f ca="1">ROUNDDOWN(表3[[#This Row],[日期]]-TODAY(),1)</f>
        <v>-46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263</v>
      </c>
      <c r="G71" s="19"/>
      <c r="H71" s="18">
        <f ca="1">ROUNDDOWN(表3[[#This Row],[日期]]-TODAY(),1)</f>
        <v>-44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263</v>
      </c>
      <c r="G72" s="19" t="s">
        <v>153</v>
      </c>
      <c r="H72" s="18">
        <f ca="1">ROUNDDOWN(表3[[#This Row],[日期]]-TODAY(),1)</f>
        <v>-44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263</v>
      </c>
      <c r="G73" s="19" t="s">
        <v>161</v>
      </c>
      <c r="H73" s="18">
        <f ca="1">ROUNDDOWN(表3[[#This Row],[日期]]-TODAY(),1)</f>
        <v>-44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263</v>
      </c>
      <c r="G74" s="19"/>
      <c r="H74" s="18">
        <f ca="1">ROUNDDOWN(表3[[#This Row],[日期]]-TODAY(),1)</f>
        <v>-44</v>
      </c>
    </row>
    <row r="75" spans="1:8" hidden="1" x14ac:dyDescent="0.2">
      <c r="A75" s="19" t="s">
        <v>312</v>
      </c>
      <c r="B75" s="41">
        <v>43600</v>
      </c>
      <c r="C75" s="11">
        <v>11</v>
      </c>
      <c r="D75" s="12" t="s">
        <v>313</v>
      </c>
      <c r="E75" s="10">
        <v>43599</v>
      </c>
      <c r="F75" s="8" t="s">
        <v>263</v>
      </c>
      <c r="G75" s="19"/>
      <c r="H75" s="18">
        <f ca="1">ROUNDDOWN(表3[[#This Row],[日期]]-TODAY(),1)</f>
        <v>-43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263</v>
      </c>
      <c r="G76" s="19" t="s">
        <v>146</v>
      </c>
      <c r="H76" s="18">
        <f ca="1">ROUNDDOWN(表3[[#This Row],[日期]]-TODAY(),1)</f>
        <v>-43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263</v>
      </c>
      <c r="G77" s="19"/>
      <c r="H77" s="18">
        <f ca="1">ROUNDDOWN(表3[[#This Row],[日期]]-TODAY(),1)</f>
        <v>-43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263</v>
      </c>
      <c r="G78" s="19"/>
      <c r="H78" s="18">
        <f ca="1">ROUNDDOWN(表3[[#This Row],[日期]]-TODAY(),1)</f>
        <v>-43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263</v>
      </c>
      <c r="G79" s="19"/>
      <c r="H79" s="18">
        <f ca="1">ROUNDDOWN(表3[[#This Row],[日期]]-TODAY(),1)</f>
        <v>-42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259</v>
      </c>
      <c r="E80" s="10">
        <v>43600</v>
      </c>
      <c r="F80" s="8" t="s">
        <v>263</v>
      </c>
      <c r="G80" s="19"/>
      <c r="H80" s="18">
        <f ca="1">ROUNDDOWN(表3[[#This Row],[日期]]-TODAY(),1)</f>
        <v>-42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207</v>
      </c>
      <c r="G81" s="19" t="s">
        <v>29</v>
      </c>
      <c r="H81" s="18">
        <f ca="1">ROUNDDOWN(表3[[#This Row],[日期]]-TODAY(),1)</f>
        <v>-61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207</v>
      </c>
      <c r="G82" s="19" t="s">
        <v>31</v>
      </c>
      <c r="H82" s="18">
        <f ca="1">ROUNDDOWN(表3[[#This Row],[日期]]-TODAY(),1)</f>
        <v>-51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207</v>
      </c>
      <c r="G83" s="19"/>
      <c r="H83" s="18">
        <f ca="1">ROUNDDOWN(表3[[#This Row],[日期]]-TODAY(),1)</f>
        <v>-51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207</v>
      </c>
      <c r="G84" s="19" t="s">
        <v>43</v>
      </c>
      <c r="H84" s="18">
        <f ca="1">ROUNDDOWN(表3[[#This Row],[日期]]-TODAY(),1)</f>
        <v>-51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207</v>
      </c>
      <c r="G85" s="19"/>
      <c r="H85" s="18">
        <f ca="1">ROUNDDOWN(表3[[#This Row],[日期]]-TODAY(),1)</f>
        <v>-51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207</v>
      </c>
      <c r="G86" s="19"/>
      <c r="H86" s="18">
        <f ca="1">ROUNDDOWN(表3[[#This Row],[日期]]-TODAY(),1)</f>
        <v>-51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207</v>
      </c>
      <c r="G87" s="19"/>
      <c r="H87" s="18">
        <f ca="1">ROUNDDOWN(表3[[#This Row],[日期]]-TODAY(),1)</f>
        <v>-51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207</v>
      </c>
      <c r="G88" s="19"/>
      <c r="H88" s="18">
        <f ca="1">ROUNDDOWN(表3[[#This Row],[日期]]-TODAY(),1)</f>
        <v>-50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207</v>
      </c>
      <c r="G89" s="19" t="s">
        <v>32</v>
      </c>
      <c r="H89" s="18">
        <f ca="1">ROUNDDOWN(表3[[#This Row],[日期]]-TODAY(),1)</f>
        <v>-50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207</v>
      </c>
      <c r="G90" s="19"/>
      <c r="H90" s="18">
        <f ca="1">ROUNDDOWN(表3[[#This Row],[日期]]-TODAY(),1)</f>
        <v>-50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195</v>
      </c>
      <c r="E91" s="10">
        <v>43594</v>
      </c>
      <c r="F91" s="8" t="s">
        <v>207</v>
      </c>
      <c r="G91" s="19"/>
      <c r="H91" s="18">
        <f ca="1">ROUNDDOWN(表3[[#This Row],[日期]]-TODAY(),1)</f>
        <v>-48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196</v>
      </c>
      <c r="E92" s="10">
        <v>43594</v>
      </c>
      <c r="F92" s="8" t="s">
        <v>207</v>
      </c>
      <c r="G92" s="19"/>
      <c r="H92" s="18">
        <f ca="1">ROUNDDOWN(表3[[#This Row],[日期]]-TODAY(),1)</f>
        <v>-48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197</v>
      </c>
      <c r="E93" s="10">
        <v>43594</v>
      </c>
      <c r="F93" s="8" t="s">
        <v>207</v>
      </c>
      <c r="G93" s="19"/>
      <c r="H93" s="18">
        <f ca="1">ROUNDDOWN(表3[[#This Row],[日期]]-TODAY(),1)</f>
        <v>-48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198</v>
      </c>
      <c r="E94" s="10">
        <v>43594</v>
      </c>
      <c r="F94" s="8" t="s">
        <v>207</v>
      </c>
      <c r="G94" s="19"/>
      <c r="H94" s="18">
        <f ca="1">ROUNDDOWN(表3[[#This Row],[日期]]-TODAY(),1)</f>
        <v>-48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207</v>
      </c>
      <c r="G95" s="19"/>
      <c r="H95" s="18">
        <f ca="1">ROUNDDOWN(表3[[#This Row],[日期]]-TODAY(),1)</f>
        <v>-57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207</v>
      </c>
      <c r="G96" s="19"/>
      <c r="H96" s="18">
        <f ca="1">ROUNDDOWN(表3[[#This Row],[日期]]-TODAY(),1)</f>
        <v>-50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207</v>
      </c>
      <c r="G97" s="19" t="s">
        <v>137</v>
      </c>
      <c r="H97" s="18">
        <f ca="1">ROUNDDOWN(表3[[#This Row],[日期]]-TODAY(),1)</f>
        <v>-48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207</v>
      </c>
      <c r="G98" s="19"/>
      <c r="H98" s="18">
        <f ca="1">ROUNDDOWN(表3[[#This Row],[日期]]-TODAY(),1)</f>
        <v>-48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207</v>
      </c>
      <c r="G99" s="19"/>
      <c r="H99" s="18">
        <f ca="1">ROUNDDOWN(表3[[#This Row],[日期]]-TODAY(),1)</f>
        <v>-48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207</v>
      </c>
      <c r="G100" s="19" t="s">
        <v>143</v>
      </c>
      <c r="H100" s="18">
        <f ca="1">ROUNDDOWN(表3[[#This Row],[日期]]-TODAY(),1)</f>
        <v>-48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207</v>
      </c>
      <c r="G101" s="19"/>
      <c r="H101" s="18">
        <f ca="1">ROUNDDOWN(表3[[#This Row],[日期]]-TODAY(),1)</f>
        <v>-48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207</v>
      </c>
      <c r="G102" s="19" t="s">
        <v>153</v>
      </c>
      <c r="H102" s="18">
        <f ca="1">ROUNDDOWN(表3[[#This Row],[日期]]-TODAY(),1)</f>
        <v>-47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174</v>
      </c>
      <c r="E103" s="10">
        <v>43595</v>
      </c>
      <c r="F103" s="8" t="s">
        <v>207</v>
      </c>
      <c r="G103" s="19" t="s">
        <v>161</v>
      </c>
      <c r="H103" s="18">
        <f ca="1">ROUNDDOWN(表3[[#This Row],[日期]]-TODAY(),1)</f>
        <v>-47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207</v>
      </c>
      <c r="G104" s="19"/>
      <c r="H104" s="18">
        <f ca="1">ROUNDDOWN(表3[[#This Row],[日期]]-TODAY(),1)</f>
        <v>-47</v>
      </c>
    </row>
    <row r="105" spans="1:8" hidden="1" x14ac:dyDescent="0.2">
      <c r="A105" s="19" t="s">
        <v>217</v>
      </c>
      <c r="B105" s="41">
        <v>43600</v>
      </c>
      <c r="C105" s="11">
        <v>11</v>
      </c>
      <c r="D105" s="12" t="s">
        <v>215</v>
      </c>
      <c r="E105" s="10">
        <v>43595</v>
      </c>
      <c r="F105" s="8" t="s">
        <v>1</v>
      </c>
      <c r="G105" s="19"/>
      <c r="H105" s="18">
        <f ca="1">ROUNDDOWN(表3[[#This Row],[日期]]-TODAY(),1)</f>
        <v>-47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262</v>
      </c>
      <c r="G106" s="19" t="s">
        <v>146</v>
      </c>
      <c r="H106" s="18">
        <f ca="1">ROUNDDOWN(表3[[#This Row],[日期]]-TODAY(),1)</f>
        <v>-47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226</v>
      </c>
      <c r="G107" s="19"/>
      <c r="H107" s="18">
        <f ca="1">ROUNDDOWN(表3[[#This Row],[日期]]-TODAY(),1)</f>
        <v>-47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263</v>
      </c>
      <c r="G108" s="19"/>
      <c r="H108" s="18">
        <f ca="1">ROUNDDOWN(表3[[#This Row],[日期]]-TODAY(),1)</f>
        <v>-44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263</v>
      </c>
      <c r="G109" s="19"/>
      <c r="H109" s="18">
        <f ca="1">ROUNDDOWN(表3[[#This Row],[日期]]-TODAY(),1)</f>
        <v>-43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259</v>
      </c>
      <c r="E110" s="10">
        <v>43600</v>
      </c>
      <c r="F110" s="8" t="s">
        <v>263</v>
      </c>
      <c r="G110" s="19"/>
      <c r="H110" s="18">
        <f ca="1">ROUNDDOWN(表3[[#This Row],[日期]]-TODAY(),1)</f>
        <v>-42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310</v>
      </c>
      <c r="G111" s="19" t="s">
        <v>29</v>
      </c>
      <c r="H111" s="18">
        <f ca="1">ROUNDDOWN(表3[[#This Row],[日期]]-TODAY(),1)</f>
        <v>-61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310</v>
      </c>
      <c r="G112" s="19" t="s">
        <v>31</v>
      </c>
      <c r="H112" s="18">
        <f ca="1">ROUNDDOWN(表3[[#This Row],[日期]]-TODAY(),1)</f>
        <v>-51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310</v>
      </c>
      <c r="G113" s="19"/>
      <c r="H113" s="18">
        <f ca="1">ROUNDDOWN(表3[[#This Row],[日期]]-TODAY(),1)</f>
        <v>-51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310</v>
      </c>
      <c r="G114" s="19" t="s">
        <v>43</v>
      </c>
      <c r="H114" s="18">
        <f ca="1">ROUNDDOWN(表3[[#This Row],[日期]]-TODAY(),1)</f>
        <v>-51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310</v>
      </c>
      <c r="G115" s="19"/>
      <c r="H115" s="18">
        <f ca="1">ROUNDDOWN(表3[[#This Row],[日期]]-TODAY(),1)</f>
        <v>-51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310</v>
      </c>
      <c r="G116" s="19"/>
      <c r="H116" s="18">
        <f ca="1">ROUNDDOWN(表3[[#This Row],[日期]]-TODAY(),1)</f>
        <v>-51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311</v>
      </c>
      <c r="G117" s="19"/>
      <c r="H117" s="18">
        <f ca="1">ROUNDDOWN(表3[[#This Row],[日期]]-TODAY(),1)</f>
        <v>-50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310</v>
      </c>
      <c r="G118" s="19"/>
      <c r="H118" s="18">
        <f ca="1">ROUNDDOWN(表3[[#This Row],[日期]]-TODAY(),1)</f>
        <v>-50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310</v>
      </c>
      <c r="G119" s="19" t="s">
        <v>32</v>
      </c>
      <c r="H119" s="18">
        <f ca="1">ROUNDDOWN(表3[[#This Row],[日期]]-TODAY(),1)</f>
        <v>-50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310</v>
      </c>
      <c r="G120" s="19"/>
      <c r="H120" s="18">
        <f ca="1">ROUNDDOWN(表3[[#This Row],[日期]]-TODAY(),1)</f>
        <v>-50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310</v>
      </c>
      <c r="G121" s="19" t="s">
        <v>34</v>
      </c>
      <c r="H121" s="18">
        <f ca="1">ROUNDDOWN(表3[[#This Row],[日期]]-TODAY(),1)</f>
        <v>-44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310</v>
      </c>
      <c r="G122" s="19"/>
      <c r="H122" s="18">
        <f ca="1">ROUNDDOWN(表3[[#This Row],[日期]]-TODAY(),1)</f>
        <v>-44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310</v>
      </c>
      <c r="G123" s="19"/>
      <c r="H123" s="18">
        <f ca="1">ROUNDDOWN(表3[[#This Row],[日期]]-TODAY(),1)</f>
        <v>-44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310</v>
      </c>
      <c r="G124" s="19"/>
      <c r="H124" s="18">
        <f ca="1">ROUNDDOWN(表3[[#This Row],[日期]]-TODAY(),1)</f>
        <v>-44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310</v>
      </c>
      <c r="G125" s="19"/>
      <c r="H125" s="18">
        <f ca="1">ROUNDDOWN(表3[[#This Row],[日期]]-TODAY(),1)</f>
        <v>-44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310</v>
      </c>
      <c r="G126" s="19"/>
      <c r="H126" s="18">
        <f ca="1">ROUNDDOWN(表3[[#This Row],[日期]]-TODAY(),1)</f>
        <v>-44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310</v>
      </c>
      <c r="G127" s="19"/>
      <c r="H127" s="18">
        <f ca="1">ROUNDDOWN(表3[[#This Row],[日期]]-TODAY(),1)</f>
        <v>-44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310</v>
      </c>
      <c r="G128" s="19"/>
      <c r="H128" s="18">
        <f ca="1">ROUNDDOWN(表3[[#This Row],[日期]]-TODAY(),1)</f>
        <v>-44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310</v>
      </c>
      <c r="G129" s="19" t="s">
        <v>36</v>
      </c>
      <c r="H129" s="18">
        <f ca="1">ROUNDDOWN(表3[[#This Row],[日期]]-TODAY(),1)</f>
        <v>-43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310</v>
      </c>
      <c r="G130" s="19"/>
      <c r="H130" s="18">
        <f ca="1">ROUNDDOWN(表3[[#This Row],[日期]]-TODAY(),1)</f>
        <v>-43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310</v>
      </c>
      <c r="G131" s="19"/>
      <c r="H131" s="18">
        <f ca="1">ROUNDDOWN(表3[[#This Row],[日期]]-TODAY(),1)</f>
        <v>-43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310</v>
      </c>
      <c r="G132" s="19"/>
      <c r="H132" s="18">
        <f ca="1">ROUNDDOWN(表3[[#This Row],[日期]]-TODAY(),1)</f>
        <v>-43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310</v>
      </c>
      <c r="G133" s="19" t="s">
        <v>43</v>
      </c>
      <c r="H133" s="18">
        <f ca="1">ROUNDDOWN(表3[[#This Row],[日期]]-TODAY(),1)</f>
        <v>-43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310</v>
      </c>
      <c r="G134" s="19" t="s">
        <v>161</v>
      </c>
      <c r="H134" s="18">
        <f ca="1">ROUNDDOWN(表3[[#This Row],[日期]]-TODAY(),1)</f>
        <v>-43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310</v>
      </c>
      <c r="G135" s="19" t="s">
        <v>43</v>
      </c>
      <c r="H135" s="18">
        <f ca="1">ROUNDDOWN(表3[[#This Row],[日期]]-TODAY(),1)</f>
        <v>-43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310</v>
      </c>
      <c r="G136" s="19"/>
      <c r="H136" s="18">
        <f ca="1">ROUNDDOWN(表3[[#This Row],[日期]]-TODAY(),1)</f>
        <v>-43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310</v>
      </c>
      <c r="G137" s="19"/>
      <c r="H137" s="18">
        <f ca="1">ROUNDDOWN(表3[[#This Row],[日期]]-TODAY(),1)</f>
        <v>-43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310</v>
      </c>
      <c r="G138" s="19"/>
      <c r="H138" s="18">
        <f ca="1">ROUNDDOWN(表3[[#This Row],[日期]]-TODAY(),1)</f>
        <v>-43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310</v>
      </c>
      <c r="G139" s="19"/>
      <c r="H139" s="18">
        <f ca="1">ROUNDDOWN(表3[[#This Row],[日期]]-TODAY(),1)</f>
        <v>-43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310</v>
      </c>
      <c r="G140" s="19"/>
      <c r="H140" s="18">
        <f ca="1">ROUNDDOWN(表3[[#This Row],[日期]]-TODAY(),1)</f>
        <v>-43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310</v>
      </c>
      <c r="G141" s="19" t="s">
        <v>66</v>
      </c>
      <c r="H141" s="18">
        <f ca="1">ROUNDDOWN(表3[[#This Row],[日期]]-TODAY(),1)</f>
        <v>-43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310</v>
      </c>
      <c r="G142" s="19"/>
      <c r="H142" s="18">
        <f ca="1">ROUNDDOWN(表3[[#This Row],[日期]]-TODAY(),1)</f>
        <v>-43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310</v>
      </c>
      <c r="G143" s="19" t="s">
        <v>32</v>
      </c>
      <c r="H143" s="18">
        <f ca="1">ROUNDDOWN(表3[[#This Row],[日期]]-TODAY(),1)</f>
        <v>-43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310</v>
      </c>
      <c r="G144" s="19" t="s">
        <v>43</v>
      </c>
      <c r="H144" s="18">
        <f ca="1">ROUNDDOWN(表3[[#This Row],[日期]]-TODAY(),1)</f>
        <v>-43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310</v>
      </c>
      <c r="G145" s="19"/>
      <c r="H145" s="18">
        <f ca="1">ROUNDDOWN(表3[[#This Row],[日期]]-TODAY(),1)</f>
        <v>-43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310</v>
      </c>
      <c r="G146" s="19" t="s">
        <v>73</v>
      </c>
      <c r="H146" s="18">
        <f ca="1">ROUNDDOWN(表3[[#This Row],[日期]]-TODAY(),1)</f>
        <v>-43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310</v>
      </c>
      <c r="G147" s="19"/>
      <c r="H147" s="18">
        <f ca="1">ROUNDDOWN(表3[[#This Row],[日期]]-TODAY(),1)</f>
        <v>-43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310</v>
      </c>
      <c r="G148" s="19"/>
      <c r="H148" s="18">
        <f ca="1">ROUNDDOWN(表3[[#This Row],[日期]]-TODAY(),1)</f>
        <v>-42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311</v>
      </c>
      <c r="G149" s="19"/>
      <c r="H149" s="18">
        <f ca="1">ROUNDDOWN(表3[[#This Row],[日期]]-TODAY(),1)</f>
        <v>-42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310</v>
      </c>
      <c r="G150" s="19"/>
      <c r="H150" s="18">
        <f ca="1">ROUNDDOWN(表3[[#This Row],[日期]]-TODAY(),1)</f>
        <v>-42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310</v>
      </c>
      <c r="G151" s="19"/>
      <c r="H151" s="18">
        <f ca="1">ROUNDDOWN(表3[[#This Row],[日期]]-TODAY(),1)</f>
        <v>-42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310</v>
      </c>
      <c r="G152" s="19"/>
      <c r="H152" s="18">
        <f ca="1">ROUNDDOWN(表3[[#This Row],[日期]]-TODAY(),1)</f>
        <v>-42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445</v>
      </c>
      <c r="E153" s="10">
        <v>43602</v>
      </c>
      <c r="F153" s="8" t="s">
        <v>447</v>
      </c>
      <c r="G153" s="19"/>
      <c r="H153" s="18">
        <f ca="1">ROUNDDOWN(表3[[#This Row],[日期]]-TODAY(),1)</f>
        <v>-40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310</v>
      </c>
      <c r="G154" s="19"/>
      <c r="H154" s="18">
        <f ca="1">ROUNDDOWN(表3[[#This Row],[日期]]-TODAY(),1)</f>
        <v>-40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310</v>
      </c>
      <c r="G155" s="19"/>
      <c r="H155" s="18">
        <f ca="1">ROUNDDOWN(表3[[#This Row],[日期]]-TODAY(),1)</f>
        <v>-40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310</v>
      </c>
      <c r="G156" s="19" t="s">
        <v>132</v>
      </c>
      <c r="H156" s="18">
        <f ca="1">ROUNDDOWN(表3[[#This Row],[日期]]-TODAY(),1)</f>
        <v>-37</v>
      </c>
    </row>
    <row r="157" spans="1:8" hidden="1" x14ac:dyDescent="0.2">
      <c r="A157" s="19" t="s">
        <v>175</v>
      </c>
      <c r="B157" s="41">
        <v>43602</v>
      </c>
      <c r="C157" s="11">
        <v>1</v>
      </c>
      <c r="D157" s="12" t="s">
        <v>176</v>
      </c>
      <c r="E157" s="10">
        <v>43592</v>
      </c>
      <c r="F157" s="8" t="s">
        <v>207</v>
      </c>
      <c r="G157" s="19"/>
      <c r="H157" s="18">
        <f ca="1">ROUNDDOWN(表3[[#This Row],[日期]]-TODAY(),1)</f>
        <v>-50</v>
      </c>
    </row>
    <row r="158" spans="1:8" hidden="1" x14ac:dyDescent="0.2">
      <c r="A158" s="19" t="s">
        <v>175</v>
      </c>
      <c r="B158" s="41">
        <v>43602</v>
      </c>
      <c r="C158" s="11">
        <v>2</v>
      </c>
      <c r="D158" s="12" t="s">
        <v>177</v>
      </c>
      <c r="E158" s="10">
        <v>43592</v>
      </c>
      <c r="F158" s="8" t="s">
        <v>207</v>
      </c>
      <c r="G158" s="19"/>
      <c r="H158" s="18">
        <f ca="1">ROUNDDOWN(表3[[#This Row],[日期]]-TODAY(),1)</f>
        <v>-50</v>
      </c>
    </row>
    <row r="159" spans="1:8" hidden="1" x14ac:dyDescent="0.2">
      <c r="A159" s="19" t="s">
        <v>175</v>
      </c>
      <c r="B159" s="41">
        <v>43602</v>
      </c>
      <c r="C159" s="11">
        <v>3</v>
      </c>
      <c r="D159" s="12" t="s">
        <v>178</v>
      </c>
      <c r="E159" s="10">
        <v>43593</v>
      </c>
      <c r="F159" s="8" t="s">
        <v>207</v>
      </c>
      <c r="G159" s="19"/>
      <c r="H159" s="18">
        <f ca="1">ROUNDDOWN(表3[[#This Row],[日期]]-TODAY(),1)</f>
        <v>-49</v>
      </c>
    </row>
    <row r="160" spans="1:8" hidden="1" x14ac:dyDescent="0.2">
      <c r="A160" s="19" t="s">
        <v>175</v>
      </c>
      <c r="B160" s="41">
        <v>43602</v>
      </c>
      <c r="C160" s="11">
        <v>4</v>
      </c>
      <c r="D160" s="12" t="s">
        <v>179</v>
      </c>
      <c r="E160" s="10">
        <v>43593</v>
      </c>
      <c r="F160" s="8" t="s">
        <v>207</v>
      </c>
      <c r="G160" s="19"/>
      <c r="H160" s="18">
        <f ca="1">ROUNDDOWN(表3[[#This Row],[日期]]-TODAY(),1)</f>
        <v>-49</v>
      </c>
    </row>
    <row r="161" spans="1:8" hidden="1" x14ac:dyDescent="0.2">
      <c r="A161" s="19" t="s">
        <v>175</v>
      </c>
      <c r="B161" s="41">
        <v>43602</v>
      </c>
      <c r="C161" s="11">
        <v>5</v>
      </c>
      <c r="D161" s="12" t="s">
        <v>180</v>
      </c>
      <c r="E161" s="10">
        <v>43598</v>
      </c>
      <c r="F161" s="8" t="s">
        <v>263</v>
      </c>
      <c r="G161" s="19"/>
      <c r="H161" s="18">
        <f ca="1">ROUNDDOWN(表3[[#This Row],[日期]]-TODAY(),1)</f>
        <v>-44</v>
      </c>
    </row>
    <row r="162" spans="1:8" hidden="1" x14ac:dyDescent="0.2">
      <c r="A162" s="19" t="s">
        <v>175</v>
      </c>
      <c r="B162" s="41">
        <v>43602</v>
      </c>
      <c r="C162" s="11">
        <v>6</v>
      </c>
      <c r="D162" s="12" t="s">
        <v>186</v>
      </c>
      <c r="E162" s="10">
        <v>43598</v>
      </c>
      <c r="F162" s="8" t="s">
        <v>263</v>
      </c>
      <c r="G162" s="19"/>
      <c r="H162" s="18">
        <f ca="1">ROUNDDOWN(表3[[#This Row],[日期]]-TODAY(),1)</f>
        <v>-44</v>
      </c>
    </row>
    <row r="163" spans="1:8" hidden="1" x14ac:dyDescent="0.2">
      <c r="A163" s="19" t="s">
        <v>175</v>
      </c>
      <c r="B163" s="41">
        <v>43602</v>
      </c>
      <c r="C163" s="11">
        <v>7</v>
      </c>
      <c r="D163" s="12" t="s">
        <v>181</v>
      </c>
      <c r="E163" s="10">
        <v>43598</v>
      </c>
      <c r="F163" s="8" t="s">
        <v>263</v>
      </c>
      <c r="G163" s="19"/>
      <c r="H163" s="18">
        <f ca="1">ROUNDDOWN(表3[[#This Row],[日期]]-TODAY(),1)</f>
        <v>-44</v>
      </c>
    </row>
    <row r="164" spans="1:8" hidden="1" x14ac:dyDescent="0.2">
      <c r="A164" s="19" t="s">
        <v>175</v>
      </c>
      <c r="B164" s="41">
        <v>43602</v>
      </c>
      <c r="C164" s="11">
        <v>8</v>
      </c>
      <c r="D164" s="12" t="s">
        <v>182</v>
      </c>
      <c r="E164" s="10">
        <v>43598</v>
      </c>
      <c r="F164" s="8" t="s">
        <v>263</v>
      </c>
      <c r="G164" s="19"/>
      <c r="H164" s="18">
        <f ca="1">ROUNDDOWN(表3[[#This Row],[日期]]-TODAY(),1)</f>
        <v>-44</v>
      </c>
    </row>
    <row r="165" spans="1:8" hidden="1" x14ac:dyDescent="0.2">
      <c r="A165" s="19" t="s">
        <v>175</v>
      </c>
      <c r="B165" s="41">
        <v>43602</v>
      </c>
      <c r="C165" s="11">
        <v>9</v>
      </c>
      <c r="D165" s="12" t="s">
        <v>319</v>
      </c>
      <c r="E165" s="10">
        <v>43598</v>
      </c>
      <c r="F165" s="8" t="s">
        <v>263</v>
      </c>
      <c r="G165" s="19"/>
      <c r="H165" s="18">
        <f ca="1">ROUNDDOWN(表3[[#This Row],[日期]]-TODAY(),1)</f>
        <v>-44</v>
      </c>
    </row>
    <row r="166" spans="1:8" hidden="1" x14ac:dyDescent="0.2">
      <c r="A166" s="19" t="s">
        <v>175</v>
      </c>
      <c r="B166" s="41">
        <v>43602</v>
      </c>
      <c r="C166" s="11">
        <v>10</v>
      </c>
      <c r="D166" s="12" t="s">
        <v>320</v>
      </c>
      <c r="E166" s="10">
        <v>43599</v>
      </c>
      <c r="F166" s="8" t="s">
        <v>263</v>
      </c>
      <c r="G166" s="19"/>
      <c r="H166" s="18">
        <f ca="1">ROUNDDOWN(表3[[#This Row],[日期]]-TODAY(),1)</f>
        <v>-43</v>
      </c>
    </row>
    <row r="167" spans="1:8" hidden="1" x14ac:dyDescent="0.2">
      <c r="A167" s="19" t="s">
        <v>175</v>
      </c>
      <c r="B167" s="41">
        <v>43602</v>
      </c>
      <c r="C167" s="11">
        <v>11</v>
      </c>
      <c r="D167" s="12" t="s">
        <v>187</v>
      </c>
      <c r="E167" s="10">
        <v>43598</v>
      </c>
      <c r="F167" s="8" t="s">
        <v>263</v>
      </c>
      <c r="G167" s="19"/>
      <c r="H167" s="18">
        <f ca="1">ROUNDDOWN(表3[[#This Row],[日期]]-TODAY(),1)</f>
        <v>-44</v>
      </c>
    </row>
    <row r="168" spans="1:8" hidden="1" x14ac:dyDescent="0.2">
      <c r="A168" s="19" t="s">
        <v>175</v>
      </c>
      <c r="B168" s="41">
        <v>43602</v>
      </c>
      <c r="C168" s="11">
        <v>12</v>
      </c>
      <c r="D168" s="12" t="s">
        <v>188</v>
      </c>
      <c r="E168" s="10">
        <v>43598</v>
      </c>
      <c r="F168" s="8" t="s">
        <v>263</v>
      </c>
      <c r="G168" s="19"/>
      <c r="H168" s="18">
        <f ca="1">ROUNDDOWN(表3[[#This Row],[日期]]-TODAY(),1)</f>
        <v>-44</v>
      </c>
    </row>
    <row r="169" spans="1:8" hidden="1" x14ac:dyDescent="0.2">
      <c r="A169" s="19" t="s">
        <v>175</v>
      </c>
      <c r="B169" s="41">
        <v>43602</v>
      </c>
      <c r="C169" s="11">
        <v>13</v>
      </c>
      <c r="D169" s="12" t="s">
        <v>183</v>
      </c>
      <c r="E169" s="10">
        <v>43599</v>
      </c>
      <c r="F169" s="8" t="s">
        <v>263</v>
      </c>
      <c r="G169" s="19"/>
      <c r="H169" s="18">
        <f ca="1">ROUNDDOWN(表3[[#This Row],[日期]]-TODAY(),1)</f>
        <v>-43</v>
      </c>
    </row>
    <row r="170" spans="1:8" hidden="1" x14ac:dyDescent="0.2">
      <c r="A170" s="19" t="s">
        <v>175</v>
      </c>
      <c r="B170" s="41">
        <v>43602</v>
      </c>
      <c r="C170" s="11">
        <v>14</v>
      </c>
      <c r="D170" s="12" t="s">
        <v>189</v>
      </c>
      <c r="E170" s="10">
        <v>43599</v>
      </c>
      <c r="F170" s="8" t="s">
        <v>263</v>
      </c>
      <c r="G170" s="19"/>
      <c r="H170" s="18">
        <f ca="1">ROUNDDOWN(表3[[#This Row],[日期]]-TODAY(),1)</f>
        <v>-43</v>
      </c>
    </row>
    <row r="171" spans="1:8" hidden="1" x14ac:dyDescent="0.2">
      <c r="A171" s="19" t="s">
        <v>175</v>
      </c>
      <c r="B171" s="41">
        <v>43602</v>
      </c>
      <c r="C171" s="11">
        <v>15</v>
      </c>
      <c r="D171" s="12" t="s">
        <v>190</v>
      </c>
      <c r="E171" s="10">
        <v>43599</v>
      </c>
      <c r="F171" s="8" t="s">
        <v>263</v>
      </c>
      <c r="G171" s="19"/>
      <c r="H171" s="18">
        <f ca="1">ROUNDDOWN(表3[[#This Row],[日期]]-TODAY(),1)</f>
        <v>-43</v>
      </c>
    </row>
    <row r="172" spans="1:8" hidden="1" x14ac:dyDescent="0.2">
      <c r="A172" s="19" t="s">
        <v>175</v>
      </c>
      <c r="B172" s="41">
        <v>43602</v>
      </c>
      <c r="C172" s="11">
        <v>16</v>
      </c>
      <c r="D172" s="12" t="s">
        <v>184</v>
      </c>
      <c r="E172" s="10">
        <v>43599</v>
      </c>
      <c r="F172" s="8" t="s">
        <v>263</v>
      </c>
      <c r="G172" s="19"/>
      <c r="H172" s="18">
        <f ca="1">ROUNDDOWN(表3[[#This Row],[日期]]-TODAY(),1)</f>
        <v>-43</v>
      </c>
    </row>
    <row r="173" spans="1:8" hidden="1" x14ac:dyDescent="0.2">
      <c r="A173" s="19" t="s">
        <v>175</v>
      </c>
      <c r="B173" s="41">
        <v>43602</v>
      </c>
      <c r="C173" s="11">
        <v>17</v>
      </c>
      <c r="D173" s="12" t="s">
        <v>323</v>
      </c>
      <c r="E173" s="10">
        <v>43599</v>
      </c>
      <c r="F173" s="8" t="s">
        <v>263</v>
      </c>
      <c r="G173" s="19"/>
      <c r="H173" s="18">
        <f ca="1">ROUNDDOWN(表3[[#This Row],[日期]]-TODAY(),1)</f>
        <v>-43</v>
      </c>
    </row>
    <row r="174" spans="1:8" hidden="1" x14ac:dyDescent="0.2">
      <c r="A174" s="19" t="s">
        <v>175</v>
      </c>
      <c r="B174" s="41">
        <v>43602</v>
      </c>
      <c r="C174" s="11">
        <v>18</v>
      </c>
      <c r="D174" s="12" t="s">
        <v>321</v>
      </c>
      <c r="E174" s="10">
        <v>43600</v>
      </c>
      <c r="F174" s="8" t="s">
        <v>263</v>
      </c>
      <c r="G174" s="19"/>
      <c r="H174" s="18">
        <f ca="1">ROUNDDOWN(表3[[#This Row],[日期]]-TODAY(),1)</f>
        <v>-42</v>
      </c>
    </row>
    <row r="175" spans="1:8" hidden="1" x14ac:dyDescent="0.2">
      <c r="A175" s="19" t="s">
        <v>175</v>
      </c>
      <c r="B175" s="41">
        <v>43602</v>
      </c>
      <c r="C175" s="11">
        <v>19</v>
      </c>
      <c r="D175" s="12" t="s">
        <v>185</v>
      </c>
      <c r="E175" s="10">
        <v>43605</v>
      </c>
      <c r="F175" s="8" t="s">
        <v>263</v>
      </c>
      <c r="G175" s="19"/>
      <c r="H175" s="18">
        <f ca="1">ROUNDDOWN(表3[[#This Row],[日期]]-TODAY(),1)</f>
        <v>-37</v>
      </c>
    </row>
    <row r="176" spans="1:8" hidden="1" x14ac:dyDescent="0.2">
      <c r="A176" s="19" t="s">
        <v>175</v>
      </c>
      <c r="B176" s="41">
        <v>43602</v>
      </c>
      <c r="C176" s="11">
        <v>20</v>
      </c>
      <c r="D176" s="12" t="s">
        <v>322</v>
      </c>
      <c r="E176" s="10">
        <v>43607</v>
      </c>
      <c r="F176" s="8" t="s">
        <v>263</v>
      </c>
      <c r="G176" s="19"/>
      <c r="H176" s="18">
        <f ca="1">ROUNDDOWN(表3[[#This Row],[日期]]-TODAY(),1)</f>
        <v>-35</v>
      </c>
    </row>
    <row r="177" spans="1:8" hidden="1" x14ac:dyDescent="0.2">
      <c r="A177" s="19" t="s">
        <v>175</v>
      </c>
      <c r="B177" s="41">
        <v>43602</v>
      </c>
      <c r="C177" s="11">
        <v>21</v>
      </c>
      <c r="D177" s="12" t="s">
        <v>459</v>
      </c>
      <c r="E177" s="10">
        <v>43612</v>
      </c>
      <c r="F177" s="8" t="s">
        <v>263</v>
      </c>
      <c r="G177" s="19"/>
      <c r="H177" s="18">
        <f ca="1">ROUNDDOWN(表3[[#This Row],[日期]]-TODAY(),1)</f>
        <v>-30</v>
      </c>
    </row>
    <row r="178" spans="1:8" hidden="1" x14ac:dyDescent="0.2">
      <c r="A178" s="19" t="s">
        <v>175</v>
      </c>
      <c r="B178" s="41">
        <v>43602</v>
      </c>
      <c r="C178" s="11">
        <v>22</v>
      </c>
      <c r="D178" s="12" t="s">
        <v>633</v>
      </c>
      <c r="E178" s="10">
        <v>43636</v>
      </c>
      <c r="F178" s="8" t="s">
        <v>1</v>
      </c>
      <c r="G178" s="19"/>
      <c r="H178" s="18">
        <f ca="1">ROUNDDOWN(表3[[#This Row],[日期]]-TODAY(),1)</f>
        <v>-6</v>
      </c>
    </row>
    <row r="179" spans="1:8" hidden="1" x14ac:dyDescent="0.2">
      <c r="A179" s="20" t="s">
        <v>242</v>
      </c>
      <c r="B179" s="42">
        <v>43605</v>
      </c>
      <c r="C179" s="15">
        <v>1</v>
      </c>
      <c r="D179" s="12" t="s">
        <v>424</v>
      </c>
      <c r="E179" s="16">
        <v>43605</v>
      </c>
      <c r="F179" s="17" t="s">
        <v>263</v>
      </c>
      <c r="G179" s="20" t="s">
        <v>237</v>
      </c>
      <c r="H179" s="18">
        <f ca="1">ROUNDDOWN(表3[[#This Row],[日期]]-TODAY(),1)</f>
        <v>-37</v>
      </c>
    </row>
    <row r="180" spans="1:8" hidden="1" x14ac:dyDescent="0.2">
      <c r="A180" s="20" t="s">
        <v>242</v>
      </c>
      <c r="B180" s="42">
        <v>43605</v>
      </c>
      <c r="C180" s="15">
        <v>2</v>
      </c>
      <c r="D180" s="12" t="s">
        <v>425</v>
      </c>
      <c r="E180" s="16">
        <v>43605</v>
      </c>
      <c r="F180" s="17" t="s">
        <v>263</v>
      </c>
      <c r="G180" s="20" t="s">
        <v>237</v>
      </c>
      <c r="H180" s="18">
        <f ca="1">ROUNDDOWN(表3[[#This Row],[日期]]-TODAY(),1)</f>
        <v>-37</v>
      </c>
    </row>
    <row r="181" spans="1:8" hidden="1" x14ac:dyDescent="0.2">
      <c r="A181" s="20" t="s">
        <v>242</v>
      </c>
      <c r="B181" s="42">
        <v>43605</v>
      </c>
      <c r="C181" s="15">
        <v>3</v>
      </c>
      <c r="D181" s="12" t="s">
        <v>238</v>
      </c>
      <c r="E181" s="16">
        <v>43605</v>
      </c>
      <c r="F181" s="17" t="s">
        <v>263</v>
      </c>
      <c r="G181" s="20" t="s">
        <v>237</v>
      </c>
      <c r="H181" s="18">
        <f ca="1">ROUNDDOWN(表3[[#This Row],[日期]]-TODAY(),1)</f>
        <v>-37</v>
      </c>
    </row>
    <row r="182" spans="1:8" hidden="1" x14ac:dyDescent="0.2">
      <c r="A182" s="20" t="s">
        <v>242</v>
      </c>
      <c r="B182" s="42">
        <v>43605</v>
      </c>
      <c r="C182" s="15">
        <v>4</v>
      </c>
      <c r="D182" s="12" t="s">
        <v>238</v>
      </c>
      <c r="E182" s="16">
        <v>43607</v>
      </c>
      <c r="F182" s="17" t="s">
        <v>263</v>
      </c>
      <c r="G182" s="20" t="s">
        <v>240</v>
      </c>
      <c r="H182" s="18">
        <f ca="1">ROUNDDOWN(表3[[#This Row],[日期]]-TODAY(),1)</f>
        <v>-35</v>
      </c>
    </row>
    <row r="183" spans="1:8" hidden="1" x14ac:dyDescent="0.2">
      <c r="A183" s="20" t="s">
        <v>242</v>
      </c>
      <c r="B183" s="42">
        <v>43605</v>
      </c>
      <c r="C183" s="15">
        <v>5</v>
      </c>
      <c r="D183" s="12" t="s">
        <v>228</v>
      </c>
      <c r="E183" s="16">
        <v>43609</v>
      </c>
      <c r="F183" s="17" t="s">
        <v>263</v>
      </c>
      <c r="G183" s="20" t="s">
        <v>233</v>
      </c>
      <c r="H183" s="18">
        <f ca="1">ROUNDDOWN(表3[[#This Row],[日期]]-TODAY(),1)</f>
        <v>-33</v>
      </c>
    </row>
    <row r="184" spans="1:8" hidden="1" x14ac:dyDescent="0.2">
      <c r="A184" s="20" t="s">
        <v>242</v>
      </c>
      <c r="B184" s="42">
        <v>43605</v>
      </c>
      <c r="C184" s="15">
        <v>6</v>
      </c>
      <c r="D184" s="12" t="s">
        <v>238</v>
      </c>
      <c r="E184" s="16">
        <v>43609</v>
      </c>
      <c r="F184" s="17" t="s">
        <v>263</v>
      </c>
      <c r="G184" s="20" t="s">
        <v>233</v>
      </c>
      <c r="H184" s="18">
        <f ca="1">ROUNDDOWN(表3[[#This Row],[日期]]-TODAY(),1)</f>
        <v>-33</v>
      </c>
    </row>
    <row r="185" spans="1:8" hidden="1" x14ac:dyDescent="0.2">
      <c r="A185" s="20" t="s">
        <v>242</v>
      </c>
      <c r="B185" s="42">
        <v>43605</v>
      </c>
      <c r="C185" s="15">
        <v>7</v>
      </c>
      <c r="D185" s="12" t="s">
        <v>241</v>
      </c>
      <c r="E185" s="16">
        <v>43609</v>
      </c>
      <c r="F185" s="17" t="s">
        <v>263</v>
      </c>
      <c r="G185" s="20" t="s">
        <v>233</v>
      </c>
      <c r="H185" s="18">
        <f ca="1">ROUNDDOWN(表3[[#This Row],[日期]]-TODAY(),1)</f>
        <v>-33</v>
      </c>
    </row>
    <row r="186" spans="1:8" hidden="1" x14ac:dyDescent="0.2">
      <c r="A186" s="19" t="s">
        <v>249</v>
      </c>
      <c r="B186" s="41">
        <v>43607</v>
      </c>
      <c r="C186" s="11">
        <v>1</v>
      </c>
      <c r="D186" s="12" t="s">
        <v>250</v>
      </c>
      <c r="E186" s="10">
        <v>43595</v>
      </c>
      <c r="F186" s="8" t="s">
        <v>252</v>
      </c>
      <c r="G186" s="19"/>
      <c r="H186" s="18">
        <f ca="1">ROUNDDOWN(表3[[#This Row],[日期]]-TODAY(),1)</f>
        <v>-47</v>
      </c>
    </row>
    <row r="187" spans="1:8" hidden="1" x14ac:dyDescent="0.2">
      <c r="A187" s="19" t="s">
        <v>249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258</v>
      </c>
      <c r="G187" s="19"/>
      <c r="H187" s="18">
        <f ca="1">ROUNDDOWN(表3[[#This Row],[日期]]-TODAY(),1)</f>
        <v>-47</v>
      </c>
    </row>
    <row r="188" spans="1:8" hidden="1" x14ac:dyDescent="0.2">
      <c r="A188" s="19" t="s">
        <v>249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263</v>
      </c>
      <c r="G188" s="19"/>
      <c r="H188" s="18">
        <f ca="1">ROUNDDOWN(表3[[#This Row],[日期]]-TODAY(),1)</f>
        <v>-43</v>
      </c>
    </row>
    <row r="189" spans="1:8" hidden="1" x14ac:dyDescent="0.2">
      <c r="A189" s="19" t="s">
        <v>249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263</v>
      </c>
      <c r="G189" s="19" t="s">
        <v>137</v>
      </c>
      <c r="H189" s="18">
        <f ca="1">ROUNDDOWN(表3[[#This Row],[日期]]-TODAY(),1)</f>
        <v>-41</v>
      </c>
    </row>
    <row r="190" spans="1:8" hidden="1" x14ac:dyDescent="0.2">
      <c r="A190" s="19" t="s">
        <v>249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263</v>
      </c>
      <c r="G190" s="19"/>
      <c r="H190" s="18">
        <f ca="1">ROUNDDOWN(表3[[#This Row],[日期]]-TODAY(),1)</f>
        <v>-40</v>
      </c>
    </row>
    <row r="191" spans="1:8" hidden="1" x14ac:dyDescent="0.2">
      <c r="A191" s="19" t="s">
        <v>249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263</v>
      </c>
      <c r="G191" s="19"/>
      <c r="H191" s="18">
        <f ca="1">ROUNDDOWN(表3[[#This Row],[日期]]-TODAY(),1)</f>
        <v>-40</v>
      </c>
    </row>
    <row r="192" spans="1:8" hidden="1" x14ac:dyDescent="0.2">
      <c r="A192" s="19" t="s">
        <v>249</v>
      </c>
      <c r="B192" s="41">
        <v>43607</v>
      </c>
      <c r="C192" s="11">
        <v>7</v>
      </c>
      <c r="D192" s="12" t="s">
        <v>253</v>
      </c>
      <c r="E192" s="10">
        <v>43602</v>
      </c>
      <c r="F192" s="8" t="s">
        <v>263</v>
      </c>
      <c r="G192" s="19" t="s">
        <v>143</v>
      </c>
      <c r="H192" s="18">
        <f ca="1">ROUNDDOWN(表3[[#This Row],[日期]]-TODAY(),1)</f>
        <v>-40</v>
      </c>
    </row>
    <row r="193" spans="1:8" hidden="1" x14ac:dyDescent="0.2">
      <c r="A193" s="19" t="s">
        <v>249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263</v>
      </c>
      <c r="G193" s="19"/>
      <c r="H193" s="18">
        <f ca="1">ROUNDDOWN(表3[[#This Row],[日期]]-TODAY(),1)</f>
        <v>-40</v>
      </c>
    </row>
    <row r="194" spans="1:8" hidden="1" x14ac:dyDescent="0.2">
      <c r="A194" s="19" t="s">
        <v>249</v>
      </c>
      <c r="B194" s="41">
        <v>43607</v>
      </c>
      <c r="C194" s="11">
        <v>9</v>
      </c>
      <c r="D194" s="12" t="s">
        <v>199</v>
      </c>
      <c r="E194" s="10">
        <v>43605</v>
      </c>
      <c r="F194" s="8" t="s">
        <v>263</v>
      </c>
      <c r="G194" s="19" t="s">
        <v>153</v>
      </c>
      <c r="H194" s="18">
        <f ca="1">ROUNDDOWN(表3[[#This Row],[日期]]-TODAY(),1)</f>
        <v>-37</v>
      </c>
    </row>
    <row r="195" spans="1:8" hidden="1" x14ac:dyDescent="0.2">
      <c r="A195" s="19" t="s">
        <v>249</v>
      </c>
      <c r="B195" s="41">
        <v>43607</v>
      </c>
      <c r="C195" s="11">
        <v>10</v>
      </c>
      <c r="D195" s="12" t="s">
        <v>397</v>
      </c>
      <c r="E195" s="10">
        <v>43605</v>
      </c>
      <c r="F195" s="8" t="s">
        <v>263</v>
      </c>
      <c r="G195" s="19" t="s">
        <v>200</v>
      </c>
      <c r="H195" s="18">
        <f ca="1">ROUNDDOWN(表3[[#This Row],[日期]]-TODAY(),1)</f>
        <v>-37</v>
      </c>
    </row>
    <row r="196" spans="1:8" hidden="1" x14ac:dyDescent="0.2">
      <c r="A196" s="19" t="s">
        <v>249</v>
      </c>
      <c r="B196" s="41">
        <v>43607</v>
      </c>
      <c r="C196" s="11">
        <v>12</v>
      </c>
      <c r="D196" s="12" t="s">
        <v>215</v>
      </c>
      <c r="E196" s="10">
        <v>43605</v>
      </c>
      <c r="F196" s="8" t="s">
        <v>263</v>
      </c>
      <c r="G196" s="19"/>
      <c r="H196" s="18">
        <f ca="1">ROUNDDOWN(表3[[#This Row],[日期]]-TODAY(),1)</f>
        <v>-37</v>
      </c>
    </row>
    <row r="197" spans="1:8" hidden="1" x14ac:dyDescent="0.2">
      <c r="A197" s="19" t="s">
        <v>249</v>
      </c>
      <c r="B197" s="41">
        <v>43607</v>
      </c>
      <c r="C197" s="11">
        <v>13</v>
      </c>
      <c r="D197" s="12" t="s">
        <v>264</v>
      </c>
      <c r="E197" s="10">
        <v>43605</v>
      </c>
      <c r="F197" s="8" t="s">
        <v>263</v>
      </c>
      <c r="G197" s="19" t="s">
        <v>146</v>
      </c>
      <c r="H197" s="18">
        <f ca="1">ROUNDDOWN(表3[[#This Row],[日期]]-TODAY(),1)</f>
        <v>-37</v>
      </c>
    </row>
    <row r="198" spans="1:8" hidden="1" x14ac:dyDescent="0.2">
      <c r="A198" s="19" t="s">
        <v>249</v>
      </c>
      <c r="B198" s="41">
        <v>43607</v>
      </c>
      <c r="C198" s="11">
        <v>14</v>
      </c>
      <c r="D198" s="12" t="s">
        <v>464</v>
      </c>
      <c r="E198" s="10">
        <v>43605</v>
      </c>
      <c r="F198" s="8" t="s">
        <v>263</v>
      </c>
      <c r="G198" s="19"/>
      <c r="H198" s="18">
        <f ca="1">ROUNDDOWN(表3[[#This Row],[日期]]-TODAY(),1)</f>
        <v>-37</v>
      </c>
    </row>
    <row r="199" spans="1:8" hidden="1" x14ac:dyDescent="0.2">
      <c r="A199" s="19" t="s">
        <v>249</v>
      </c>
      <c r="B199" s="41">
        <v>43607</v>
      </c>
      <c r="C199" s="11">
        <v>15</v>
      </c>
      <c r="D199" s="12" t="s">
        <v>465</v>
      </c>
      <c r="E199" s="10">
        <v>43607</v>
      </c>
      <c r="F199" s="8" t="s">
        <v>263</v>
      </c>
      <c r="G199" s="19"/>
      <c r="H199" s="18">
        <f ca="1">ROUNDDOWN(表3[[#This Row],[日期]]-TODAY(),1)</f>
        <v>-35</v>
      </c>
    </row>
    <row r="200" spans="1:8" hidden="1" x14ac:dyDescent="0.2">
      <c r="A200" s="19" t="s">
        <v>249</v>
      </c>
      <c r="B200" s="41">
        <v>43607</v>
      </c>
      <c r="C200" s="11">
        <v>16</v>
      </c>
      <c r="D200" s="12" t="s">
        <v>466</v>
      </c>
      <c r="E200" s="10">
        <v>43608</v>
      </c>
      <c r="F200" s="8" t="s">
        <v>263</v>
      </c>
      <c r="G200" s="19"/>
      <c r="H200" s="18">
        <f ca="1">ROUNDDOWN(表3[[#This Row],[日期]]-TODAY(),1)</f>
        <v>-34</v>
      </c>
    </row>
    <row r="201" spans="1:8" hidden="1" x14ac:dyDescent="0.2">
      <c r="A201" s="19" t="s">
        <v>249</v>
      </c>
      <c r="B201" s="41">
        <v>43607</v>
      </c>
      <c r="C201" s="11">
        <v>17</v>
      </c>
      <c r="D201" s="12" t="s">
        <v>463</v>
      </c>
      <c r="E201" s="10">
        <v>43609</v>
      </c>
      <c r="F201" s="8" t="s">
        <v>263</v>
      </c>
      <c r="G201" s="19"/>
      <c r="H201" s="18">
        <f ca="1">ROUNDDOWN(表3[[#This Row],[日期]]-TODAY(),1)</f>
        <v>-33</v>
      </c>
    </row>
    <row r="202" spans="1:8" hidden="1" x14ac:dyDescent="0.2">
      <c r="A202" s="19" t="s">
        <v>249</v>
      </c>
      <c r="B202" s="41">
        <v>43607</v>
      </c>
      <c r="C202" s="11">
        <v>18</v>
      </c>
      <c r="D202" s="12" t="s">
        <v>259</v>
      </c>
      <c r="E202" s="10">
        <v>43612</v>
      </c>
      <c r="F202" s="8" t="s">
        <v>263</v>
      </c>
      <c r="G202" s="19"/>
      <c r="H202" s="18">
        <f ca="1">ROUNDDOWN(表3[[#This Row],[日期]]-TODAY(),1)</f>
        <v>-30</v>
      </c>
    </row>
    <row r="203" spans="1:8" hidden="1" x14ac:dyDescent="0.2">
      <c r="A203" s="19" t="s">
        <v>201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207</v>
      </c>
      <c r="G203" s="19"/>
      <c r="H203" s="18">
        <f ca="1">ROUNDDOWN(表3[[#This Row],[日期]]-TODAY(),1)</f>
        <v>-48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207</v>
      </c>
      <c r="G204" s="19"/>
      <c r="H204" s="18">
        <f ca="1">ROUNDDOWN(表3[[#This Row],[日期]]-TODAY(),1)</f>
        <v>-48</v>
      </c>
    </row>
    <row r="205" spans="1:8" hidden="1" x14ac:dyDescent="0.2">
      <c r="A205" s="19" t="s">
        <v>202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207</v>
      </c>
      <c r="G205" s="19"/>
      <c r="H205" s="18">
        <f ca="1">ROUNDDOWN(表3[[#This Row],[日期]]-TODAY(),1)</f>
        <v>-48</v>
      </c>
    </row>
    <row r="206" spans="1:8" hidden="1" x14ac:dyDescent="0.2">
      <c r="A206" s="19" t="s">
        <v>202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263</v>
      </c>
      <c r="G206" s="19" t="s">
        <v>137</v>
      </c>
      <c r="H206" s="18">
        <f ca="1">ROUNDDOWN(表3[[#This Row],[日期]]-TODAY(),1)</f>
        <v>-41</v>
      </c>
    </row>
    <row r="207" spans="1:8" hidden="1" x14ac:dyDescent="0.2">
      <c r="A207" s="19" t="s">
        <v>201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263</v>
      </c>
      <c r="G207" s="19"/>
      <c r="H207" s="18">
        <f ca="1">ROUNDDOWN(表3[[#This Row],[日期]]-TODAY(),1)</f>
        <v>-41</v>
      </c>
    </row>
    <row r="208" spans="1:8" hidden="1" x14ac:dyDescent="0.2">
      <c r="A208" s="19" t="s">
        <v>201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263</v>
      </c>
      <c r="G208" s="19"/>
      <c r="H208" s="18">
        <f ca="1">ROUNDDOWN(表3[[#This Row],[日期]]-TODAY(),1)</f>
        <v>-41</v>
      </c>
    </row>
    <row r="209" spans="1:8" hidden="1" x14ac:dyDescent="0.2">
      <c r="A209" s="19" t="s">
        <v>201</v>
      </c>
      <c r="B209" s="41">
        <v>43607</v>
      </c>
      <c r="C209" s="11">
        <v>7</v>
      </c>
      <c r="D209" s="12" t="s">
        <v>405</v>
      </c>
      <c r="E209" s="10">
        <v>43601</v>
      </c>
      <c r="F209" s="8" t="s">
        <v>263</v>
      </c>
      <c r="G209" s="19" t="s">
        <v>143</v>
      </c>
      <c r="H209" s="18">
        <f ca="1">ROUNDDOWN(表3[[#This Row],[日期]]-TODAY(),1)</f>
        <v>-41</v>
      </c>
    </row>
    <row r="210" spans="1:8" hidden="1" x14ac:dyDescent="0.2">
      <c r="A210" s="19" t="s">
        <v>202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263</v>
      </c>
      <c r="G210" s="19"/>
      <c r="H210" s="18">
        <f ca="1">ROUNDDOWN(表3[[#This Row],[日期]]-TODAY(),1)</f>
        <v>-41</v>
      </c>
    </row>
    <row r="211" spans="1:8" hidden="1" x14ac:dyDescent="0.2">
      <c r="A211" s="19" t="s">
        <v>202</v>
      </c>
      <c r="B211" s="41">
        <v>43607</v>
      </c>
      <c r="C211" s="11">
        <v>9</v>
      </c>
      <c r="D211" s="12" t="s">
        <v>199</v>
      </c>
      <c r="E211" s="10">
        <v>43602</v>
      </c>
      <c r="F211" s="8" t="s">
        <v>263</v>
      </c>
      <c r="G211" s="19" t="s">
        <v>153</v>
      </c>
      <c r="H211" s="18">
        <f ca="1">ROUNDDOWN(表3[[#This Row],[日期]]-TODAY(),1)</f>
        <v>-40</v>
      </c>
    </row>
    <row r="212" spans="1:8" hidden="1" x14ac:dyDescent="0.2">
      <c r="A212" s="19" t="s">
        <v>202</v>
      </c>
      <c r="B212" s="41">
        <v>43607</v>
      </c>
      <c r="C212" s="11">
        <v>10</v>
      </c>
      <c r="D212" s="12" t="s">
        <v>204</v>
      </c>
      <c r="E212" s="10">
        <v>43602</v>
      </c>
      <c r="F212" s="8" t="s">
        <v>263</v>
      </c>
      <c r="G212" s="19" t="s">
        <v>200</v>
      </c>
      <c r="H212" s="18">
        <f ca="1">ROUNDDOWN(表3[[#This Row],[日期]]-TODAY(),1)</f>
        <v>-40</v>
      </c>
    </row>
    <row r="213" spans="1:8" hidden="1" x14ac:dyDescent="0.2">
      <c r="A213" s="19" t="s">
        <v>202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263</v>
      </c>
      <c r="G213" s="19"/>
      <c r="H213" s="18">
        <f ca="1">ROUNDDOWN(表3[[#This Row],[日期]]-TODAY(),1)</f>
        <v>-40</v>
      </c>
    </row>
    <row r="214" spans="1:8" hidden="1" x14ac:dyDescent="0.2">
      <c r="A214" s="19" t="s">
        <v>202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263</v>
      </c>
      <c r="G214" s="19" t="s">
        <v>146</v>
      </c>
      <c r="H214" s="18">
        <f ca="1">ROUNDDOWN(表3[[#This Row],[日期]]-TODAY(),1)</f>
        <v>-40</v>
      </c>
    </row>
    <row r="215" spans="1:8" hidden="1" x14ac:dyDescent="0.2">
      <c r="A215" s="19" t="s">
        <v>202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263</v>
      </c>
      <c r="G215" s="19"/>
      <c r="H215" s="18">
        <f ca="1">ROUNDDOWN(表3[[#This Row],[日期]]-TODAY(),1)</f>
        <v>-37</v>
      </c>
    </row>
    <row r="216" spans="1:8" hidden="1" x14ac:dyDescent="0.2">
      <c r="A216" s="19" t="s">
        <v>201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263</v>
      </c>
      <c r="G216" s="19"/>
      <c r="H216" s="18">
        <f ca="1">ROUNDDOWN(表3[[#This Row],[日期]]-TODAY(),1)</f>
        <v>-37</v>
      </c>
    </row>
    <row r="217" spans="1:8" hidden="1" x14ac:dyDescent="0.2">
      <c r="A217" s="19" t="s">
        <v>202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263</v>
      </c>
      <c r="G217" s="19"/>
      <c r="H217" s="18">
        <f ca="1">ROUNDDOWN(表3[[#This Row],[日期]]-TODAY(),1)</f>
        <v>-36</v>
      </c>
    </row>
    <row r="218" spans="1:8" hidden="1" x14ac:dyDescent="0.2">
      <c r="A218" s="19" t="s">
        <v>202</v>
      </c>
      <c r="B218" s="41">
        <v>43607</v>
      </c>
      <c r="C218" s="11">
        <v>16</v>
      </c>
      <c r="D218" s="12" t="s">
        <v>259</v>
      </c>
      <c r="E218" s="10">
        <v>43607</v>
      </c>
      <c r="F218" s="8" t="s">
        <v>263</v>
      </c>
      <c r="G218" s="19"/>
      <c r="H218" s="18">
        <f ca="1">ROUNDDOWN(表3[[#This Row],[日期]]-TODAY(),1)</f>
        <v>-35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218</v>
      </c>
      <c r="E219" s="10">
        <v>43580</v>
      </c>
      <c r="F219" s="8" t="s">
        <v>263</v>
      </c>
      <c r="G219" s="19"/>
      <c r="H219" s="18">
        <f ca="1">ROUNDDOWN(表3[[#This Row],[日期]]-TODAY(),1)</f>
        <v>-62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219</v>
      </c>
      <c r="E220" s="10">
        <v>43580</v>
      </c>
      <c r="F220" s="8" t="s">
        <v>265</v>
      </c>
      <c r="G220" s="19"/>
      <c r="H220" s="18">
        <f ca="1">ROUNDDOWN(表3[[#This Row],[日期]]-TODAY(),1)</f>
        <v>-62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220</v>
      </c>
      <c r="E221" s="10">
        <v>43580</v>
      </c>
      <c r="F221" s="8" t="s">
        <v>265</v>
      </c>
      <c r="G221" s="19" t="s">
        <v>221</v>
      </c>
      <c r="H221" s="18">
        <f ca="1">ROUNDDOWN(表3[[#This Row],[日期]]-TODAY(),1)</f>
        <v>-62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222</v>
      </c>
      <c r="E222" s="10">
        <v>43580</v>
      </c>
      <c r="F222" s="8" t="s">
        <v>265</v>
      </c>
      <c r="G222" s="19"/>
      <c r="H222" s="18">
        <f ca="1">ROUNDDOWN(表3[[#This Row],[日期]]-TODAY(),1)</f>
        <v>-62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265</v>
      </c>
      <c r="G223" s="19"/>
      <c r="H223" s="18">
        <f ca="1">ROUNDDOWN(表3[[#This Row],[日期]]-TODAY(),1)</f>
        <v>-48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275</v>
      </c>
      <c r="E224" s="10">
        <v>43599</v>
      </c>
      <c r="F224" s="8" t="s">
        <v>263</v>
      </c>
      <c r="G224" s="19" t="s">
        <v>267</v>
      </c>
      <c r="H224" s="18">
        <f ca="1">ROUNDDOWN(表3[[#This Row],[日期]]-TODAY(),1)</f>
        <v>-43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404</v>
      </c>
      <c r="E225" s="10">
        <v>43599</v>
      </c>
      <c r="F225" s="8" t="s">
        <v>263</v>
      </c>
      <c r="G225" s="19"/>
      <c r="H225" s="18">
        <f ca="1">ROUNDDOWN(表3[[#This Row],[日期]]-TODAY(),1)</f>
        <v>-43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273</v>
      </c>
      <c r="E226" s="10">
        <v>43599</v>
      </c>
      <c r="F226" s="8" t="s">
        <v>263</v>
      </c>
      <c r="G226" s="19"/>
      <c r="H226" s="18">
        <f ca="1">ROUNDDOWN(表3[[#This Row],[日期]]-TODAY(),1)</f>
        <v>-43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276</v>
      </c>
      <c r="E227" s="10">
        <v>43599</v>
      </c>
      <c r="F227" s="8" t="s">
        <v>263</v>
      </c>
      <c r="G227" s="19" t="s">
        <v>43</v>
      </c>
      <c r="H227" s="18">
        <f ca="1">ROUNDDOWN(表3[[#This Row],[日期]]-TODAY(),1)</f>
        <v>-43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269</v>
      </c>
      <c r="E228" s="10">
        <v>43600</v>
      </c>
      <c r="F228" s="8" t="s">
        <v>263</v>
      </c>
      <c r="G228" s="19" t="s">
        <v>32</v>
      </c>
      <c r="H228" s="18">
        <f ca="1">ROUNDDOWN(表3[[#This Row],[日期]]-TODAY(),1)</f>
        <v>-42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271</v>
      </c>
      <c r="E229" s="10">
        <v>43601</v>
      </c>
      <c r="F229" s="8" t="s">
        <v>263</v>
      </c>
      <c r="G229" s="19" t="s">
        <v>43</v>
      </c>
      <c r="H229" s="18">
        <f ca="1">ROUNDDOWN(表3[[#This Row],[日期]]-TODAY(),1)</f>
        <v>-41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324</v>
      </c>
      <c r="E230" s="10">
        <v>43601</v>
      </c>
      <c r="F230" s="8" t="s">
        <v>263</v>
      </c>
      <c r="G230" s="19" t="s">
        <v>396</v>
      </c>
      <c r="H230" s="18">
        <f ca="1">ROUNDDOWN(表3[[#This Row],[日期]]-TODAY(),1)</f>
        <v>-41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284</v>
      </c>
      <c r="E231" s="10">
        <v>43602</v>
      </c>
      <c r="F231" s="8" t="s">
        <v>263</v>
      </c>
      <c r="G231" s="19" t="s">
        <v>282</v>
      </c>
      <c r="H231" s="18">
        <f ca="1">ROUNDDOWN(表3[[#This Row],[日期]]-TODAY(),1)</f>
        <v>-40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403</v>
      </c>
      <c r="E232" s="10">
        <v>43602</v>
      </c>
      <c r="F232" s="8" t="s">
        <v>263</v>
      </c>
      <c r="G232" s="19"/>
      <c r="H232" s="18">
        <f ca="1">ROUNDDOWN(表3[[#This Row],[日期]]-TODAY(),1)</f>
        <v>-40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288</v>
      </c>
      <c r="E233" s="10">
        <v>43602</v>
      </c>
      <c r="F233" s="8" t="s">
        <v>263</v>
      </c>
      <c r="G233" s="19"/>
      <c r="H233" s="18">
        <f ca="1">ROUNDDOWN(表3[[#This Row],[日期]]-TODAY(),1)</f>
        <v>-40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302</v>
      </c>
      <c r="E234" s="10">
        <v>43605</v>
      </c>
      <c r="F234" s="8" t="s">
        <v>263</v>
      </c>
      <c r="G234" s="19"/>
      <c r="H234" s="18">
        <f ca="1">ROUNDDOWN(表3[[#This Row],[日期]]-TODAY(),1)</f>
        <v>-37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304</v>
      </c>
      <c r="E235" s="10">
        <v>43605</v>
      </c>
      <c r="F235" s="8" t="s">
        <v>263</v>
      </c>
      <c r="G235" s="19"/>
      <c r="H235" s="18">
        <f ca="1">ROUNDDOWN(表3[[#This Row],[日期]]-TODAY(),1)</f>
        <v>-37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306</v>
      </c>
      <c r="E236" s="10">
        <v>43605</v>
      </c>
      <c r="F236" s="8" t="s">
        <v>263</v>
      </c>
      <c r="G236" s="19"/>
      <c r="H236" s="18">
        <f ca="1">ROUNDDOWN(表3[[#This Row],[日期]]-TODAY(),1)</f>
        <v>-37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290</v>
      </c>
      <c r="E237" s="10">
        <v>43602</v>
      </c>
      <c r="F237" s="8" t="s">
        <v>263</v>
      </c>
      <c r="G237" s="19"/>
      <c r="H237" s="18">
        <f ca="1">ROUNDDOWN(表3[[#This Row],[日期]]-TODAY(),1)</f>
        <v>-40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292</v>
      </c>
      <c r="E238" s="10">
        <v>43602</v>
      </c>
      <c r="F238" s="8" t="s">
        <v>263</v>
      </c>
      <c r="G238" s="19"/>
      <c r="H238" s="18">
        <f ca="1">ROUNDDOWN(表3[[#This Row],[日期]]-TODAY(),1)</f>
        <v>-40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294</v>
      </c>
      <c r="E239" s="10">
        <v>43605</v>
      </c>
      <c r="F239" s="8" t="s">
        <v>263</v>
      </c>
      <c r="G239" s="19"/>
      <c r="H239" s="18">
        <f ca="1">ROUNDDOWN(表3[[#This Row],[日期]]-TODAY(),1)</f>
        <v>-37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296</v>
      </c>
      <c r="E240" s="10">
        <v>43605</v>
      </c>
      <c r="F240" s="8" t="s">
        <v>263</v>
      </c>
      <c r="G240" s="19"/>
      <c r="H240" s="18">
        <f ca="1">ROUNDDOWN(表3[[#This Row],[日期]]-TODAY(),1)</f>
        <v>-37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298</v>
      </c>
      <c r="E241" s="10">
        <v>43606</v>
      </c>
      <c r="F241" s="8" t="s">
        <v>263</v>
      </c>
      <c r="G241" s="19"/>
      <c r="H241" s="18">
        <f ca="1">ROUNDDOWN(表3[[#This Row],[日期]]-TODAY(),1)</f>
        <v>-36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300</v>
      </c>
      <c r="E242" s="10">
        <v>43607</v>
      </c>
      <c r="F242" s="8" t="s">
        <v>263</v>
      </c>
      <c r="G242" s="19"/>
      <c r="H242" s="18">
        <f ca="1">ROUNDDOWN(表3[[#This Row],[日期]]-TODAY(),1)</f>
        <v>-35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456</v>
      </c>
      <c r="E243" s="10">
        <v>43607</v>
      </c>
      <c r="F243" s="8" t="s">
        <v>263</v>
      </c>
      <c r="G243" s="19"/>
      <c r="H243" s="18">
        <f ca="1">ROUNDDOWN(表3[[#This Row],[日期]]-TODAY(),1)</f>
        <v>-35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482</v>
      </c>
      <c r="E244" s="10">
        <v>43608</v>
      </c>
      <c r="F244" s="8" t="s">
        <v>263</v>
      </c>
      <c r="G244" s="19"/>
      <c r="H244" s="18">
        <f ca="1">ROUNDDOWN(表3[[#This Row],[日期]]-TODAY(),1)</f>
        <v>-34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227</v>
      </c>
      <c r="G245" s="19" t="s">
        <v>29</v>
      </c>
      <c r="H245" s="18">
        <f ca="1">ROUNDDOWN(表3[[#This Row],[日期]]-TODAY(),1)</f>
        <v>-47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224</v>
      </c>
      <c r="E246" s="10">
        <v>43595</v>
      </c>
      <c r="F246" s="8" t="s">
        <v>226</v>
      </c>
      <c r="G246" s="19"/>
      <c r="H246" s="18">
        <f ca="1">ROUNDDOWN(表3[[#This Row],[日期]]-TODAY(),1)</f>
        <v>-47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263</v>
      </c>
      <c r="G247" s="19" t="s">
        <v>31</v>
      </c>
      <c r="H247" s="18">
        <f ca="1">ROUNDDOWN(表3[[#This Row],[日期]]-TODAY(),1)</f>
        <v>-44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263</v>
      </c>
      <c r="G248" s="19"/>
      <c r="H248" s="18">
        <f ca="1">ROUNDDOWN(表3[[#This Row],[日期]]-TODAY(),1)</f>
        <v>-44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263</v>
      </c>
      <c r="G249" s="19" t="s">
        <v>43</v>
      </c>
      <c r="H249" s="18">
        <f ca="1">ROUNDDOWN(表3[[#This Row],[日期]]-TODAY(),1)</f>
        <v>-43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263</v>
      </c>
      <c r="G250" s="19"/>
      <c r="H250" s="18">
        <f ca="1">ROUNDDOWN(表3[[#This Row],[日期]]-TODAY(),1)</f>
        <v>-43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263</v>
      </c>
      <c r="G251" s="19"/>
      <c r="H251" s="18">
        <f ca="1">ROUNDDOWN(表3[[#This Row],[日期]]-TODAY(),1)</f>
        <v>-43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263</v>
      </c>
      <c r="G252" s="19"/>
      <c r="H252" s="18">
        <f ca="1">ROUNDDOWN(表3[[#This Row],[日期]]-TODAY(),1)</f>
        <v>-43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263</v>
      </c>
      <c r="G253" s="19"/>
      <c r="H253" s="18">
        <f ca="1">ROUNDDOWN(表3[[#This Row],[日期]]-TODAY(),1)</f>
        <v>-43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263</v>
      </c>
      <c r="G254" s="19" t="s">
        <v>32</v>
      </c>
      <c r="H254" s="18">
        <f ca="1">ROUNDDOWN(表3[[#This Row],[日期]]-TODAY(),1)</f>
        <v>-42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263</v>
      </c>
      <c r="G255" s="19"/>
      <c r="H255" s="18">
        <f ca="1">ROUNDDOWN(表3[[#This Row],[日期]]-TODAY(),1)</f>
        <v>-42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263</v>
      </c>
      <c r="G256" s="19" t="s">
        <v>34</v>
      </c>
      <c r="H256" s="18">
        <f ca="1">ROUNDDOWN(表3[[#This Row],[日期]]-TODAY(),1)</f>
        <v>-37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263</v>
      </c>
      <c r="G257" s="19"/>
      <c r="H257" s="18">
        <f ca="1">ROUNDDOWN(表3[[#This Row],[日期]]-TODAY(),1)</f>
        <v>-37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263</v>
      </c>
      <c r="G258" s="19"/>
      <c r="H258" s="18">
        <f ca="1">ROUNDDOWN(表3[[#This Row],[日期]]-TODAY(),1)</f>
        <v>-37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263</v>
      </c>
      <c r="G259" s="19"/>
      <c r="H259" s="18">
        <f ca="1">ROUNDDOWN(表3[[#This Row],[日期]]-TODAY(),1)</f>
        <v>-37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263</v>
      </c>
      <c r="G260" s="19"/>
      <c r="H260" s="18">
        <f ca="1">ROUNDDOWN(表3[[#This Row],[日期]]-TODAY(),1)</f>
        <v>-37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263</v>
      </c>
      <c r="G261" s="19"/>
      <c r="H261" s="18">
        <f ca="1">ROUNDDOWN(表3[[#This Row],[日期]]-TODAY(),1)</f>
        <v>-37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263</v>
      </c>
      <c r="G262" s="19"/>
      <c r="H262" s="18">
        <f ca="1">ROUNDDOWN(表3[[#This Row],[日期]]-TODAY(),1)</f>
        <v>-37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263</v>
      </c>
      <c r="G263" s="19"/>
      <c r="H263" s="18">
        <f ca="1">ROUNDDOWN(表3[[#This Row],[日期]]-TODAY(),1)</f>
        <v>-37</v>
      </c>
    </row>
    <row r="264" spans="1:8" hidden="1" x14ac:dyDescent="0.2">
      <c r="A264" s="19" t="s">
        <v>408</v>
      </c>
      <c r="B264" s="41">
        <v>43609</v>
      </c>
      <c r="C264" s="11">
        <v>20.100000000000001</v>
      </c>
      <c r="D264" s="12" t="s">
        <v>409</v>
      </c>
      <c r="E264" s="10">
        <v>43602</v>
      </c>
      <c r="F264" s="8" t="s">
        <v>263</v>
      </c>
      <c r="G264" s="19"/>
      <c r="H264" s="18">
        <f ca="1">ROUNDDOWN(表3[[#This Row],[日期]]-TODAY(),1)</f>
        <v>-40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436</v>
      </c>
      <c r="E265" s="10">
        <v>43606</v>
      </c>
      <c r="F265" s="8" t="s">
        <v>263</v>
      </c>
      <c r="G265" s="19" t="s">
        <v>36</v>
      </c>
      <c r="H265" s="18">
        <f ca="1">ROUNDDOWN(表3[[#This Row],[日期]]-TODAY(),1)</f>
        <v>-36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263</v>
      </c>
      <c r="G266" s="19"/>
      <c r="H266" s="18">
        <f ca="1">ROUNDDOWN(表3[[#This Row],[日期]]-TODAY(),1)</f>
        <v>-36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263</v>
      </c>
      <c r="G267" s="19"/>
      <c r="H267" s="18">
        <f ca="1">ROUNDDOWN(表3[[#This Row],[日期]]-TODAY(),1)</f>
        <v>-36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263</v>
      </c>
      <c r="G268" s="19"/>
      <c r="H268" s="18">
        <f ca="1">ROUNDDOWN(表3[[#This Row],[日期]]-TODAY(),1)</f>
        <v>-36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263</v>
      </c>
      <c r="G269" s="19" t="s">
        <v>43</v>
      </c>
      <c r="H269" s="18">
        <f ca="1">ROUNDDOWN(表3[[#This Row],[日期]]-TODAY(),1)</f>
        <v>-36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398</v>
      </c>
      <c r="E270" s="10">
        <v>43606</v>
      </c>
      <c r="F270" s="8" t="s">
        <v>263</v>
      </c>
      <c r="G270" s="19" t="s">
        <v>200</v>
      </c>
      <c r="H270" s="18">
        <f ca="1">ROUNDDOWN(表3[[#This Row],[日期]]-TODAY(),1)</f>
        <v>-36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263</v>
      </c>
      <c r="G271" s="19"/>
      <c r="H271" s="18">
        <f ca="1">ROUNDDOWN(表3[[#This Row],[日期]]-TODAY(),1)</f>
        <v>-36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263</v>
      </c>
      <c r="G272" s="19"/>
      <c r="H272" s="18">
        <f ca="1">ROUNDDOWN(表3[[#This Row],[日期]]-TODAY(),1)</f>
        <v>-36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263</v>
      </c>
      <c r="G273" s="19"/>
      <c r="H273" s="18">
        <f ca="1">ROUNDDOWN(表3[[#This Row],[日期]]-TODAY(),1)</f>
        <v>-36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263</v>
      </c>
      <c r="G274" s="19"/>
      <c r="H274" s="18">
        <f ca="1">ROUNDDOWN(表3[[#This Row],[日期]]-TODAY(),1)</f>
        <v>-36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224</v>
      </c>
      <c r="E275" s="10">
        <v>43606</v>
      </c>
      <c r="F275" s="8" t="s">
        <v>263</v>
      </c>
      <c r="G275" s="19"/>
      <c r="H275" s="18">
        <f ca="1">ROUNDDOWN(表3[[#This Row],[日期]]-TODAY(),1)</f>
        <v>-36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263</v>
      </c>
      <c r="G276" s="19" t="s">
        <v>43</v>
      </c>
      <c r="H276" s="18">
        <f ca="1">ROUNDDOWN(表3[[#This Row],[日期]]-TODAY(),1)</f>
        <v>-36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263</v>
      </c>
      <c r="G277" s="19"/>
      <c r="H277" s="18">
        <f ca="1">ROUNDDOWN(表3[[#This Row],[日期]]-TODAY(),1)</f>
        <v>-36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263</v>
      </c>
      <c r="G278" s="19" t="s">
        <v>66</v>
      </c>
      <c r="H278" s="18">
        <f ca="1">ROUNDDOWN(表3[[#This Row],[日期]]-TODAY(),1)</f>
        <v>-36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263</v>
      </c>
      <c r="G279" s="19"/>
      <c r="H279" s="18">
        <f ca="1">ROUNDDOWN(表3[[#This Row],[日期]]-TODAY(),1)</f>
        <v>-36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437</v>
      </c>
      <c r="E280" s="10">
        <v>43606</v>
      </c>
      <c r="F280" s="8" t="s">
        <v>263</v>
      </c>
      <c r="G280" s="19" t="s">
        <v>32</v>
      </c>
      <c r="H280" s="18">
        <f ca="1">ROUNDDOWN(表3[[#This Row],[日期]]-TODAY(),1)</f>
        <v>-36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438</v>
      </c>
      <c r="E281" s="10">
        <v>43606</v>
      </c>
      <c r="F281" s="8" t="s">
        <v>263</v>
      </c>
      <c r="G281" s="19" t="s">
        <v>43</v>
      </c>
      <c r="H281" s="18">
        <f ca="1">ROUNDDOWN(表3[[#This Row],[日期]]-TODAY(),1)</f>
        <v>-36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172</v>
      </c>
      <c r="E282" s="10">
        <v>43606</v>
      </c>
      <c r="F282" s="8" t="s">
        <v>263</v>
      </c>
      <c r="G282" s="19"/>
      <c r="H282" s="18">
        <f ca="1">ROUNDDOWN(表3[[#This Row],[日期]]-TODAY(),1)</f>
        <v>-36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263</v>
      </c>
      <c r="G283" s="19" t="s">
        <v>73</v>
      </c>
      <c r="H283" s="18">
        <f ca="1">ROUNDDOWN(表3[[#This Row],[日期]]-TODAY(),1)</f>
        <v>-36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263</v>
      </c>
      <c r="G284" s="19"/>
      <c r="H284" s="18">
        <f ca="1">ROUNDDOWN(表3[[#This Row],[日期]]-TODAY(),1)</f>
        <v>-36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263</v>
      </c>
      <c r="G285" s="19"/>
      <c r="H285" s="18">
        <f ca="1">ROUNDDOWN(表3[[#This Row],[日期]]-TODAY(),1)</f>
        <v>-35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263</v>
      </c>
      <c r="G286" s="19"/>
      <c r="H286" s="18">
        <f ca="1">ROUNDDOWN(表3[[#This Row],[日期]]-TODAY(),1)</f>
        <v>-35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263</v>
      </c>
      <c r="G287" s="19"/>
      <c r="H287" s="18">
        <f ca="1">ROUNDDOWN(表3[[#This Row],[日期]]-TODAY(),1)</f>
        <v>-35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263</v>
      </c>
      <c r="G288" s="19"/>
      <c r="H288" s="18">
        <f ca="1">ROUNDDOWN(表3[[#This Row],[日期]]-TODAY(),1)</f>
        <v>-35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263</v>
      </c>
      <c r="G289" s="19"/>
      <c r="H289" s="18">
        <f ca="1">ROUNDDOWN(表3[[#This Row],[日期]]-TODAY(),1)</f>
        <v>-34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263</v>
      </c>
      <c r="G290" s="19"/>
      <c r="H290" s="18">
        <f ca="1">ROUNDDOWN(表3[[#This Row],[日期]]-TODAY(),1)</f>
        <v>-30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263</v>
      </c>
      <c r="G291" s="19"/>
      <c r="H291" s="18">
        <f ca="1">ROUNDDOWN(表3[[#This Row],[日期]]-TODAY(),1)</f>
        <v>-30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446</v>
      </c>
      <c r="E292" s="10">
        <v>43610</v>
      </c>
      <c r="F292" s="8" t="s">
        <v>263</v>
      </c>
      <c r="G292" s="19"/>
      <c r="H292" s="18">
        <f ca="1">ROUNDDOWN(表3[[#This Row],[日期]]-TODAY(),1)</f>
        <v>-32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263</v>
      </c>
      <c r="G293" s="19" t="s">
        <v>132</v>
      </c>
      <c r="H293" s="18">
        <f ca="1">ROUNDDOWN(表3[[#This Row],[日期]]-TODAY(),1)</f>
        <v>-30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603</v>
      </c>
      <c r="E294" s="10">
        <v>43621</v>
      </c>
      <c r="F294" s="8" t="s">
        <v>263</v>
      </c>
      <c r="G294" s="19"/>
      <c r="H294" s="18">
        <f ca="1">ROUNDDOWN(表3[[#This Row],[日期]]-TODAY(),1)</f>
        <v>-21</v>
      </c>
    </row>
    <row r="295" spans="1:8" hidden="1" x14ac:dyDescent="0.2">
      <c r="A295" s="19" t="s">
        <v>242</v>
      </c>
      <c r="B295" s="41">
        <v>43612</v>
      </c>
      <c r="C295" s="11">
        <v>1</v>
      </c>
      <c r="D295" s="12" t="s">
        <v>424</v>
      </c>
      <c r="E295" s="10">
        <v>43612</v>
      </c>
      <c r="F295" s="8" t="s">
        <v>263</v>
      </c>
      <c r="G295" s="19" t="s">
        <v>237</v>
      </c>
      <c r="H295" s="18">
        <f ca="1">ROUNDDOWN(表3[[#This Row],[日期]]-TODAY(),1)</f>
        <v>-30</v>
      </c>
    </row>
    <row r="296" spans="1:8" hidden="1" x14ac:dyDescent="0.2">
      <c r="A296" s="19" t="s">
        <v>242</v>
      </c>
      <c r="B296" s="41">
        <v>43612</v>
      </c>
      <c r="C296" s="11">
        <v>2</v>
      </c>
      <c r="D296" s="12" t="s">
        <v>425</v>
      </c>
      <c r="E296" s="10">
        <v>43612</v>
      </c>
      <c r="F296" s="8" t="s">
        <v>263</v>
      </c>
      <c r="G296" s="19" t="s">
        <v>237</v>
      </c>
      <c r="H296" s="18">
        <f ca="1">ROUNDDOWN(表3[[#This Row],[日期]]-TODAY(),1)</f>
        <v>-30</v>
      </c>
    </row>
    <row r="297" spans="1:8" hidden="1" x14ac:dyDescent="0.2">
      <c r="A297" s="19" t="s">
        <v>242</v>
      </c>
      <c r="B297" s="41">
        <v>43612</v>
      </c>
      <c r="C297" s="11">
        <v>3</v>
      </c>
      <c r="D297" s="12" t="s">
        <v>238</v>
      </c>
      <c r="E297" s="10">
        <v>43612</v>
      </c>
      <c r="F297" s="8" t="s">
        <v>263</v>
      </c>
      <c r="G297" s="19" t="s">
        <v>237</v>
      </c>
      <c r="H297" s="18">
        <f ca="1">ROUNDDOWN(表3[[#This Row],[日期]]-TODAY(),1)</f>
        <v>-30</v>
      </c>
    </row>
    <row r="298" spans="1:8" hidden="1" x14ac:dyDescent="0.2">
      <c r="A298" s="19" t="s">
        <v>242</v>
      </c>
      <c r="B298" s="41">
        <v>43612</v>
      </c>
      <c r="C298" s="11">
        <v>4</v>
      </c>
      <c r="D298" s="12" t="s">
        <v>238</v>
      </c>
      <c r="E298" s="10">
        <v>43614</v>
      </c>
      <c r="F298" s="8" t="s">
        <v>263</v>
      </c>
      <c r="G298" s="19" t="s">
        <v>240</v>
      </c>
      <c r="H298" s="18">
        <f ca="1">ROUNDDOWN(表3[[#This Row],[日期]]-TODAY(),1)</f>
        <v>-28</v>
      </c>
    </row>
    <row r="299" spans="1:8" hidden="1" x14ac:dyDescent="0.2">
      <c r="A299" s="19" t="s">
        <v>242</v>
      </c>
      <c r="B299" s="41">
        <v>43612</v>
      </c>
      <c r="C299" s="11">
        <v>5</v>
      </c>
      <c r="D299" s="12" t="s">
        <v>228</v>
      </c>
      <c r="E299" s="10">
        <v>43616</v>
      </c>
      <c r="F299" s="8" t="s">
        <v>263</v>
      </c>
      <c r="G299" s="19" t="s">
        <v>233</v>
      </c>
      <c r="H299" s="18">
        <f ca="1">ROUNDDOWN(表3[[#This Row],[日期]]-TODAY(),1)</f>
        <v>-26</v>
      </c>
    </row>
    <row r="300" spans="1:8" hidden="1" x14ac:dyDescent="0.2">
      <c r="A300" s="19" t="s">
        <v>242</v>
      </c>
      <c r="B300" s="41">
        <v>43612</v>
      </c>
      <c r="C300" s="11">
        <v>6</v>
      </c>
      <c r="D300" s="12" t="s">
        <v>238</v>
      </c>
      <c r="E300" s="10">
        <v>43616</v>
      </c>
      <c r="F300" s="8" t="s">
        <v>263</v>
      </c>
      <c r="G300" s="19" t="s">
        <v>233</v>
      </c>
      <c r="H300" s="18">
        <f ca="1">ROUNDDOWN(表3[[#This Row],[日期]]-TODAY(),1)</f>
        <v>-26</v>
      </c>
    </row>
    <row r="301" spans="1:8" hidden="1" x14ac:dyDescent="0.2">
      <c r="A301" s="19" t="s">
        <v>242</v>
      </c>
      <c r="B301" s="41">
        <v>43612</v>
      </c>
      <c r="C301" s="11">
        <v>7</v>
      </c>
      <c r="D301" s="12" t="s">
        <v>241</v>
      </c>
      <c r="E301" s="10">
        <v>43616</v>
      </c>
      <c r="F301" s="8" t="s">
        <v>263</v>
      </c>
      <c r="G301" s="19" t="s">
        <v>233</v>
      </c>
      <c r="H301" s="18">
        <f ca="1">ROUNDDOWN(表3[[#This Row],[日期]]-TODAY(),1)</f>
        <v>-26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226</v>
      </c>
      <c r="G302" s="19" t="s">
        <v>29</v>
      </c>
      <c r="H302" s="18">
        <f ca="1">ROUNDDOWN(表3[[#This Row],[日期]]-TODAY(),1)</f>
        <v>-47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224</v>
      </c>
      <c r="E303" s="10">
        <v>43599</v>
      </c>
      <c r="F303" s="8" t="s">
        <v>226</v>
      </c>
      <c r="G303" s="19"/>
      <c r="H303" s="18">
        <f ca="1">ROUNDDOWN(表3[[#This Row],[日期]]-TODAY(),1)</f>
        <v>-43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263</v>
      </c>
      <c r="G304" s="19" t="s">
        <v>31</v>
      </c>
      <c r="H304" s="18">
        <f ca="1">ROUNDDOWN(表3[[#This Row],[日期]]-TODAY(),1)</f>
        <v>-43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263</v>
      </c>
      <c r="G305" s="19"/>
      <c r="H305" s="18">
        <f ca="1">ROUNDDOWN(表3[[#This Row],[日期]]-TODAY(),1)</f>
        <v>-43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263</v>
      </c>
      <c r="G306" s="19" t="s">
        <v>43</v>
      </c>
      <c r="H306" s="18">
        <f ca="1">ROUNDDOWN(表3[[#This Row],[日期]]-TODAY(),1)</f>
        <v>-43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263</v>
      </c>
      <c r="G307" s="19"/>
      <c r="H307" s="18">
        <f ca="1">ROUNDDOWN(表3[[#This Row],[日期]]-TODAY(),1)</f>
        <v>-43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263</v>
      </c>
      <c r="G308" s="19"/>
      <c r="H308" s="18">
        <f ca="1">ROUNDDOWN(表3[[#This Row],[日期]]-TODAY(),1)</f>
        <v>-43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263</v>
      </c>
      <c r="G309" s="19"/>
      <c r="H309" s="18">
        <f ca="1">ROUNDDOWN(表3[[#This Row],[日期]]-TODAY(),1)</f>
        <v>-43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263</v>
      </c>
      <c r="G310" s="19"/>
      <c r="H310" s="18">
        <f ca="1">ROUNDDOWN(表3[[#This Row],[日期]]-TODAY(),1)</f>
        <v>-43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263</v>
      </c>
      <c r="G311" s="19" t="s">
        <v>32</v>
      </c>
      <c r="H311" s="18">
        <f ca="1">ROUNDDOWN(表3[[#This Row],[日期]]-TODAY(),1)</f>
        <v>-42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263</v>
      </c>
      <c r="G312" s="19"/>
      <c r="H312" s="18">
        <f ca="1">ROUNDDOWN(表3[[#This Row],[日期]]-TODAY(),1)</f>
        <v>-42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439</v>
      </c>
      <c r="E313" s="10">
        <v>43608</v>
      </c>
      <c r="F313" s="8" t="s">
        <v>263</v>
      </c>
      <c r="G313" s="19" t="s">
        <v>34</v>
      </c>
      <c r="H313" s="18">
        <f ca="1">ROUNDDOWN(表3[[#This Row],[日期]]-TODAY(),1)</f>
        <v>-34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263</v>
      </c>
      <c r="G314" s="19"/>
      <c r="H314" s="18">
        <f ca="1">ROUNDDOWN(表3[[#This Row],[日期]]-TODAY(),1)</f>
        <v>-34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263</v>
      </c>
      <c r="G315" s="19"/>
      <c r="H315" s="18">
        <f ca="1">ROUNDDOWN(表3[[#This Row],[日期]]-TODAY(),1)</f>
        <v>-34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263</v>
      </c>
      <c r="G316" s="19"/>
      <c r="H316" s="18">
        <f ca="1">ROUNDDOWN(表3[[#This Row],[日期]]-TODAY(),1)</f>
        <v>-34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263</v>
      </c>
      <c r="G317" s="19"/>
      <c r="H317" s="18">
        <f ca="1">ROUNDDOWN(表3[[#This Row],[日期]]-TODAY(),1)</f>
        <v>-34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263</v>
      </c>
      <c r="G318" s="19"/>
      <c r="H318" s="18">
        <f ca="1">ROUNDDOWN(表3[[#This Row],[日期]]-TODAY(),1)</f>
        <v>-34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263</v>
      </c>
      <c r="G319" s="19"/>
      <c r="H319" s="18">
        <f ca="1">ROUNDDOWN(表3[[#This Row],[日期]]-TODAY(),1)</f>
        <v>-34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263</v>
      </c>
      <c r="G320" s="19"/>
      <c r="H320" s="18">
        <f ca="1">ROUNDDOWN(表3[[#This Row],[日期]]-TODAY(),1)</f>
        <v>-34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440</v>
      </c>
      <c r="E321" s="10">
        <v>43609</v>
      </c>
      <c r="F321" s="8" t="s">
        <v>263</v>
      </c>
      <c r="G321" s="19" t="s">
        <v>36</v>
      </c>
      <c r="H321" s="18">
        <f ca="1">ROUNDDOWN(表3[[#This Row],[日期]]-TODAY(),1)</f>
        <v>-33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263</v>
      </c>
      <c r="G322" s="19"/>
      <c r="H322" s="18">
        <f ca="1">ROUNDDOWN(表3[[#This Row],[日期]]-TODAY(),1)</f>
        <v>-33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263</v>
      </c>
      <c r="G323" s="19"/>
      <c r="H323" s="18">
        <f ca="1">ROUNDDOWN(表3[[#This Row],[日期]]-TODAY(),1)</f>
        <v>-33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263</v>
      </c>
      <c r="G324" s="19"/>
      <c r="H324" s="18">
        <f ca="1">ROUNDDOWN(表3[[#This Row],[日期]]-TODAY(),1)</f>
        <v>-33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263</v>
      </c>
      <c r="G325" s="19" t="s">
        <v>43</v>
      </c>
      <c r="H325" s="18">
        <f ca="1">ROUNDDOWN(表3[[#This Row],[日期]]-TODAY(),1)</f>
        <v>-33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399</v>
      </c>
      <c r="E326" s="10">
        <v>43609</v>
      </c>
      <c r="F326" s="8" t="s">
        <v>263</v>
      </c>
      <c r="G326" s="19" t="s">
        <v>200</v>
      </c>
      <c r="H326" s="18">
        <f ca="1">ROUNDDOWN(表3[[#This Row],[日期]]-TODAY(),1)</f>
        <v>-33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263</v>
      </c>
      <c r="G327" s="19"/>
      <c r="H327" s="18">
        <f ca="1">ROUNDDOWN(表3[[#This Row],[日期]]-TODAY(),1)</f>
        <v>-33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263</v>
      </c>
      <c r="G328" s="19"/>
      <c r="H328" s="18">
        <f ca="1">ROUNDDOWN(表3[[#This Row],[日期]]-TODAY(),1)</f>
        <v>-33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263</v>
      </c>
      <c r="G329" s="19"/>
      <c r="H329" s="18">
        <f ca="1">ROUNDDOWN(表3[[#This Row],[日期]]-TODAY(),1)</f>
        <v>-33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263</v>
      </c>
      <c r="G330" s="19"/>
      <c r="H330" s="18">
        <f ca="1">ROUNDDOWN(表3[[#This Row],[日期]]-TODAY(),1)</f>
        <v>-33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224</v>
      </c>
      <c r="E331" s="10">
        <v>43609</v>
      </c>
      <c r="F331" s="8" t="s">
        <v>263</v>
      </c>
      <c r="G331" s="19"/>
      <c r="H331" s="18">
        <f ca="1">ROUNDDOWN(表3[[#This Row],[日期]]-TODAY(),1)</f>
        <v>-33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263</v>
      </c>
      <c r="G332" s="19" t="s">
        <v>43</v>
      </c>
      <c r="H332" s="18">
        <f ca="1">ROUNDDOWN(表3[[#This Row],[日期]]-TODAY(),1)</f>
        <v>-33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263</v>
      </c>
      <c r="G333" s="19"/>
      <c r="H333" s="18">
        <f ca="1">ROUNDDOWN(表3[[#This Row],[日期]]-TODAY(),1)</f>
        <v>-33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263</v>
      </c>
      <c r="G334" s="19" t="s">
        <v>66</v>
      </c>
      <c r="H334" s="18">
        <f ca="1">ROUNDDOWN(表3[[#This Row],[日期]]-TODAY(),1)</f>
        <v>-33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263</v>
      </c>
      <c r="G335" s="19"/>
      <c r="H335" s="18">
        <f ca="1">ROUNDDOWN(表3[[#This Row],[日期]]-TODAY(),1)</f>
        <v>-33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441</v>
      </c>
      <c r="E336" s="10">
        <v>43609</v>
      </c>
      <c r="F336" s="8" t="s">
        <v>263</v>
      </c>
      <c r="G336" s="19" t="s">
        <v>32</v>
      </c>
      <c r="H336" s="18">
        <f ca="1">ROUNDDOWN(表3[[#This Row],[日期]]-TODAY(),1)</f>
        <v>-33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462</v>
      </c>
      <c r="E337" s="10">
        <v>43610</v>
      </c>
      <c r="F337" s="8" t="s">
        <v>263</v>
      </c>
      <c r="G337" s="19" t="s">
        <v>43</v>
      </c>
      <c r="H337" s="18">
        <f ca="1">ROUNDDOWN(表3[[#This Row],[日期]]-TODAY(),1)</f>
        <v>-32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263</v>
      </c>
      <c r="G338" s="19"/>
      <c r="H338" s="18">
        <f ca="1">ROUNDDOWN(表3[[#This Row],[日期]]-TODAY(),1)</f>
        <v>-33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263</v>
      </c>
      <c r="G339" s="19"/>
      <c r="H339" s="18">
        <f ca="1">ROUNDDOWN(表3[[#This Row],[日期]]-TODAY(),1)</f>
        <v>-32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263</v>
      </c>
      <c r="G340" s="19"/>
      <c r="H340" s="18">
        <f ca="1">ROUNDDOWN(表3[[#This Row],[日期]]-TODAY(),1)</f>
        <v>-32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172</v>
      </c>
      <c r="E341" s="10">
        <v>43610</v>
      </c>
      <c r="F341" s="8" t="s">
        <v>263</v>
      </c>
      <c r="G341" s="19"/>
      <c r="H341" s="18">
        <f ca="1">ROUNDDOWN(表3[[#This Row],[日期]]-TODAY(),1)</f>
        <v>-32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263</v>
      </c>
      <c r="G342" s="19" t="s">
        <v>73</v>
      </c>
      <c r="H342" s="18">
        <f ca="1">ROUNDDOWN(表3[[#This Row],[日期]]-TODAY(),1)</f>
        <v>-32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263</v>
      </c>
      <c r="G343" s="19"/>
      <c r="H343" s="18">
        <f ca="1">ROUNDDOWN(表3[[#This Row],[日期]]-TODAY(),1)</f>
        <v>-32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263</v>
      </c>
      <c r="G344" s="19"/>
      <c r="H344" s="18">
        <f ca="1">ROUNDDOWN(表3[[#This Row],[日期]]-TODAY(),1)</f>
        <v>-30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263</v>
      </c>
      <c r="G345" s="19"/>
      <c r="H345" s="18">
        <f ca="1">ROUNDDOWN(表3[[#This Row],[日期]]-TODAY(),1)</f>
        <v>-30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519</v>
      </c>
      <c r="E346" s="10">
        <v>43614</v>
      </c>
      <c r="F346" s="8" t="s">
        <v>263</v>
      </c>
      <c r="G346" s="19"/>
      <c r="H346" s="18">
        <f ca="1">ROUNDDOWN(表3[[#This Row],[日期]]-TODAY(),1)</f>
        <v>-28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263</v>
      </c>
      <c r="G347" s="19"/>
      <c r="H347" s="18">
        <f ca="1">ROUNDDOWN(表3[[#This Row],[日期]]-TODAY(),1)</f>
        <v>-30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263</v>
      </c>
      <c r="G348" s="19"/>
      <c r="H348" s="18">
        <f ca="1">ROUNDDOWN(表3[[#This Row],[日期]]-TODAY(),1)</f>
        <v>-30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606</v>
      </c>
      <c r="E349" s="10">
        <v>43621</v>
      </c>
      <c r="F349" s="8" t="s">
        <v>263</v>
      </c>
      <c r="G349" s="19"/>
      <c r="H349" s="18">
        <f ca="1">ROUNDDOWN(表3[[#This Row],[日期]]-TODAY(),1)</f>
        <v>-21</v>
      </c>
    </row>
    <row r="350" spans="1:8" hidden="1" x14ac:dyDescent="0.2">
      <c r="A350" s="19" t="s">
        <v>326</v>
      </c>
      <c r="B350" s="41">
        <v>43613</v>
      </c>
      <c r="C350" s="11">
        <v>1</v>
      </c>
      <c r="D350" s="12" t="s">
        <v>381</v>
      </c>
      <c r="E350" s="10">
        <v>43600</v>
      </c>
      <c r="F350" s="8" t="s">
        <v>393</v>
      </c>
      <c r="G350" s="19"/>
      <c r="H350" s="18">
        <f ca="1">ROUNDDOWN(表3[[#This Row],[日期]]-TODAY(),1)</f>
        <v>-42</v>
      </c>
    </row>
    <row r="351" spans="1:8" hidden="1" x14ac:dyDescent="0.2">
      <c r="A351" s="19" t="s">
        <v>326</v>
      </c>
      <c r="B351" s="41">
        <v>43613</v>
      </c>
      <c r="C351" s="11">
        <v>2</v>
      </c>
      <c r="D351" s="12" t="s">
        <v>382</v>
      </c>
      <c r="E351" s="10">
        <v>43600</v>
      </c>
      <c r="F351" s="8" t="s">
        <v>393</v>
      </c>
      <c r="G351" s="19"/>
      <c r="H351" s="18">
        <f ca="1">ROUNDDOWN(表3[[#This Row],[日期]]-TODAY(),1)</f>
        <v>-42</v>
      </c>
    </row>
    <row r="352" spans="1:8" hidden="1" x14ac:dyDescent="0.2">
      <c r="A352" s="19" t="s">
        <v>326</v>
      </c>
      <c r="B352" s="41">
        <v>43613</v>
      </c>
      <c r="C352" s="11">
        <v>3</v>
      </c>
      <c r="D352" s="12" t="s">
        <v>383</v>
      </c>
      <c r="E352" s="10">
        <v>43601</v>
      </c>
      <c r="F352" s="8" t="s">
        <v>263</v>
      </c>
      <c r="G352" s="19"/>
      <c r="H352" s="18">
        <f ca="1">ROUNDDOWN(表3[[#This Row],[日期]]-TODAY(),1)</f>
        <v>-41</v>
      </c>
    </row>
    <row r="353" spans="1:8" hidden="1" x14ac:dyDescent="0.2">
      <c r="A353" s="19" t="s">
        <v>326</v>
      </c>
      <c r="B353" s="41">
        <v>43613</v>
      </c>
      <c r="C353" s="11">
        <v>4</v>
      </c>
      <c r="D353" s="12" t="s">
        <v>384</v>
      </c>
      <c r="E353" s="10">
        <v>43601</v>
      </c>
      <c r="F353" s="8" t="s">
        <v>263</v>
      </c>
      <c r="G353" s="19"/>
      <c r="H353" s="18">
        <f ca="1">ROUNDDOWN(表3[[#This Row],[日期]]-TODAY(),1)</f>
        <v>-41</v>
      </c>
    </row>
    <row r="354" spans="1:8" hidden="1" x14ac:dyDescent="0.2">
      <c r="A354" s="19" t="s">
        <v>326</v>
      </c>
      <c r="B354" s="41">
        <v>43613</v>
      </c>
      <c r="C354" s="11">
        <v>5</v>
      </c>
      <c r="D354" s="12" t="s">
        <v>385</v>
      </c>
      <c r="E354" s="10">
        <v>43607</v>
      </c>
      <c r="F354" s="8" t="s">
        <v>263</v>
      </c>
      <c r="G354" s="19"/>
      <c r="H354" s="18">
        <f ca="1">ROUNDDOWN(表3[[#This Row],[日期]]-TODAY(),1)</f>
        <v>-35</v>
      </c>
    </row>
    <row r="355" spans="1:8" hidden="1" x14ac:dyDescent="0.2">
      <c r="A355" s="19" t="s">
        <v>326</v>
      </c>
      <c r="B355" s="41">
        <v>43613</v>
      </c>
      <c r="C355" s="11">
        <v>6</v>
      </c>
      <c r="D355" s="12" t="s">
        <v>478</v>
      </c>
      <c r="E355" s="10">
        <v>43607</v>
      </c>
      <c r="F355" s="8" t="s">
        <v>263</v>
      </c>
      <c r="G355" s="19"/>
      <c r="H355" s="18">
        <f ca="1">ROUNDDOWN(表3[[#This Row],[日期]]-TODAY(),1)</f>
        <v>-35</v>
      </c>
    </row>
    <row r="356" spans="1:8" hidden="1" x14ac:dyDescent="0.2">
      <c r="A356" s="19" t="s">
        <v>326</v>
      </c>
      <c r="B356" s="41">
        <v>43613</v>
      </c>
      <c r="C356" s="11">
        <v>7</v>
      </c>
      <c r="D356" s="12" t="s">
        <v>479</v>
      </c>
      <c r="E356" s="10">
        <v>43608</v>
      </c>
      <c r="F356" s="8" t="s">
        <v>263</v>
      </c>
      <c r="G356" s="19"/>
      <c r="H356" s="18">
        <f ca="1">ROUNDDOWN(表3[[#This Row],[日期]]-TODAY(),1)</f>
        <v>-34</v>
      </c>
    </row>
    <row r="357" spans="1:8" hidden="1" x14ac:dyDescent="0.2">
      <c r="A357" s="19" t="s">
        <v>326</v>
      </c>
      <c r="B357" s="41">
        <v>43613</v>
      </c>
      <c r="C357" s="11">
        <v>8</v>
      </c>
      <c r="D357" s="12" t="s">
        <v>480</v>
      </c>
      <c r="E357" s="10">
        <v>43608</v>
      </c>
      <c r="F357" s="8" t="s">
        <v>263</v>
      </c>
      <c r="G357" s="19"/>
      <c r="H357" s="18">
        <f ca="1">ROUNDDOWN(表3[[#This Row],[日期]]-TODAY(),1)</f>
        <v>-34</v>
      </c>
    </row>
    <row r="358" spans="1:8" hidden="1" x14ac:dyDescent="0.2">
      <c r="A358" s="19" t="s">
        <v>326</v>
      </c>
      <c r="B358" s="41">
        <v>43613</v>
      </c>
      <c r="C358" s="11">
        <v>9</v>
      </c>
      <c r="D358" s="12" t="s">
        <v>386</v>
      </c>
      <c r="E358" s="10">
        <v>43609</v>
      </c>
      <c r="F358" s="8" t="s">
        <v>263</v>
      </c>
      <c r="G358" s="19" t="s">
        <v>394</v>
      </c>
      <c r="H358" s="18">
        <f ca="1">ROUNDDOWN(表3[[#This Row],[日期]]-TODAY(),1)</f>
        <v>-33</v>
      </c>
    </row>
    <row r="359" spans="1:8" hidden="1" x14ac:dyDescent="0.2">
      <c r="A359" s="19" t="s">
        <v>326</v>
      </c>
      <c r="B359" s="41">
        <v>43613</v>
      </c>
      <c r="C359" s="11">
        <v>10</v>
      </c>
      <c r="D359" s="12" t="s">
        <v>387</v>
      </c>
      <c r="E359" s="10">
        <v>43609</v>
      </c>
      <c r="F359" s="8" t="s">
        <v>263</v>
      </c>
      <c r="G359" s="19"/>
      <c r="H359" s="18">
        <f ca="1">ROUNDDOWN(表3[[#This Row],[日期]]-TODAY(),1)</f>
        <v>-33</v>
      </c>
    </row>
    <row r="360" spans="1:8" hidden="1" x14ac:dyDescent="0.2">
      <c r="A360" s="19" t="s">
        <v>326</v>
      </c>
      <c r="B360" s="41">
        <v>43613</v>
      </c>
      <c r="C360" s="11">
        <v>11</v>
      </c>
      <c r="D360" s="12" t="s">
        <v>395</v>
      </c>
      <c r="E360" s="10">
        <v>43609</v>
      </c>
      <c r="F360" s="8" t="s">
        <v>263</v>
      </c>
      <c r="G360" s="19"/>
      <c r="H360" s="18">
        <f ca="1">ROUNDDOWN(表3[[#This Row],[日期]]-TODAY(),1)</f>
        <v>-33</v>
      </c>
    </row>
    <row r="361" spans="1:8" hidden="1" x14ac:dyDescent="0.2">
      <c r="A361" s="19" t="s">
        <v>326</v>
      </c>
      <c r="B361" s="41">
        <v>43613</v>
      </c>
      <c r="C361" s="11">
        <v>12</v>
      </c>
      <c r="D361" s="12" t="s">
        <v>388</v>
      </c>
      <c r="E361" s="10">
        <v>43609</v>
      </c>
      <c r="F361" s="8" t="s">
        <v>263</v>
      </c>
      <c r="G361" s="19"/>
      <c r="H361" s="18">
        <f ca="1">ROUNDDOWN(表3[[#This Row],[日期]]-TODAY(),1)</f>
        <v>-33</v>
      </c>
    </row>
    <row r="362" spans="1:8" hidden="1" x14ac:dyDescent="0.2">
      <c r="A362" s="19" t="s">
        <v>326</v>
      </c>
      <c r="B362" s="41">
        <v>43613</v>
      </c>
      <c r="C362" s="11">
        <v>13</v>
      </c>
      <c r="D362" s="12" t="s">
        <v>389</v>
      </c>
      <c r="E362" s="10">
        <v>43609</v>
      </c>
      <c r="F362" s="8" t="s">
        <v>263</v>
      </c>
      <c r="G362" s="19"/>
      <c r="H362" s="18">
        <f ca="1">ROUNDDOWN(表3[[#This Row],[日期]]-TODAY(),1)</f>
        <v>-33</v>
      </c>
    </row>
    <row r="363" spans="1:8" hidden="1" x14ac:dyDescent="0.2">
      <c r="A363" s="19" t="s">
        <v>326</v>
      </c>
      <c r="B363" s="41">
        <v>43613</v>
      </c>
      <c r="C363" s="11">
        <v>14</v>
      </c>
      <c r="D363" s="12" t="s">
        <v>390</v>
      </c>
      <c r="E363" s="10">
        <v>43609</v>
      </c>
      <c r="F363" s="8" t="s">
        <v>263</v>
      </c>
      <c r="G363" s="19"/>
      <c r="H363" s="18">
        <f ca="1">ROUNDDOWN(表3[[#This Row],[日期]]-TODAY(),1)</f>
        <v>-33</v>
      </c>
    </row>
    <row r="364" spans="1:8" hidden="1" x14ac:dyDescent="0.2">
      <c r="A364" s="19" t="s">
        <v>326</v>
      </c>
      <c r="B364" s="41">
        <v>43613</v>
      </c>
      <c r="C364" s="11">
        <v>15</v>
      </c>
      <c r="D364" s="12" t="s">
        <v>391</v>
      </c>
      <c r="E364" s="10">
        <v>43609</v>
      </c>
      <c r="F364" s="8" t="s">
        <v>263</v>
      </c>
      <c r="G364" s="19"/>
      <c r="H364" s="18">
        <f ca="1">ROUNDDOWN(表3[[#This Row],[日期]]-TODAY(),1)</f>
        <v>-33</v>
      </c>
    </row>
    <row r="365" spans="1:8" hidden="1" x14ac:dyDescent="0.2">
      <c r="A365" s="19" t="s">
        <v>326</v>
      </c>
      <c r="B365" s="41">
        <v>43613</v>
      </c>
      <c r="C365" s="11">
        <v>16</v>
      </c>
      <c r="D365" s="12" t="s">
        <v>392</v>
      </c>
      <c r="E365" s="10">
        <v>43609</v>
      </c>
      <c r="F365" s="8" t="s">
        <v>263</v>
      </c>
      <c r="G365" s="19"/>
      <c r="H365" s="18">
        <f ca="1">ROUNDDOWN(表3[[#This Row],[日期]]-TODAY(),1)</f>
        <v>-33</v>
      </c>
    </row>
    <row r="366" spans="1:8" hidden="1" x14ac:dyDescent="0.2">
      <c r="A366" s="19" t="s">
        <v>326</v>
      </c>
      <c r="B366" s="41">
        <v>43613</v>
      </c>
      <c r="C366" s="11">
        <v>17</v>
      </c>
      <c r="D366" s="12" t="s">
        <v>495</v>
      </c>
      <c r="E366" s="10">
        <v>43610</v>
      </c>
      <c r="F366" s="8" t="s">
        <v>263</v>
      </c>
      <c r="G366" s="19"/>
      <c r="H366" s="18">
        <f ca="1">ROUNDDOWN(表3[[#This Row],[日期]]-TODAY(),1)</f>
        <v>-32</v>
      </c>
    </row>
    <row r="367" spans="1:8" hidden="1" x14ac:dyDescent="0.2">
      <c r="A367" s="19" t="s">
        <v>326</v>
      </c>
      <c r="B367" s="41">
        <v>43613</v>
      </c>
      <c r="C367" s="11">
        <v>18</v>
      </c>
      <c r="D367" s="12" t="s">
        <v>497</v>
      </c>
      <c r="E367" s="10">
        <v>43610</v>
      </c>
      <c r="F367" s="8" t="s">
        <v>263</v>
      </c>
      <c r="G367" s="19"/>
      <c r="H367" s="18">
        <f ca="1">ROUNDDOWN(表3[[#This Row],[日期]]-TODAY(),1)</f>
        <v>-32</v>
      </c>
    </row>
    <row r="368" spans="1:8" hidden="1" x14ac:dyDescent="0.2">
      <c r="A368" s="19" t="s">
        <v>326</v>
      </c>
      <c r="B368" s="41">
        <v>43613</v>
      </c>
      <c r="C368" s="11">
        <v>19</v>
      </c>
      <c r="D368" s="12" t="s">
        <v>496</v>
      </c>
      <c r="E368" s="10">
        <v>43610</v>
      </c>
      <c r="F368" s="8" t="s">
        <v>263</v>
      </c>
      <c r="G368" s="19"/>
      <c r="H368" s="18">
        <f ca="1">ROUNDDOWN(表3[[#This Row],[日期]]-TODAY(),1)</f>
        <v>-32</v>
      </c>
    </row>
    <row r="369" spans="1:8" hidden="1" x14ac:dyDescent="0.2">
      <c r="A369" s="19" t="s">
        <v>326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263</v>
      </c>
      <c r="G369" s="19"/>
      <c r="H369" s="18">
        <f ca="1">ROUNDDOWN(表3[[#This Row],[日期]]-TODAY(),1)</f>
        <v>-32</v>
      </c>
    </row>
    <row r="370" spans="1:8" hidden="1" x14ac:dyDescent="0.2">
      <c r="A370" s="19" t="s">
        <v>326</v>
      </c>
      <c r="B370" s="41">
        <v>43613</v>
      </c>
      <c r="C370" s="11">
        <v>21</v>
      </c>
      <c r="D370" s="12" t="s">
        <v>498</v>
      </c>
      <c r="E370" s="10">
        <v>43612</v>
      </c>
      <c r="F370" s="8" t="s">
        <v>263</v>
      </c>
      <c r="G370" s="19"/>
      <c r="H370" s="18">
        <f ca="1">ROUNDDOWN(表3[[#This Row],[日期]]-TODAY(),1)</f>
        <v>-30</v>
      </c>
    </row>
    <row r="371" spans="1:8" hidden="1" x14ac:dyDescent="0.2">
      <c r="A371" s="19" t="s">
        <v>326</v>
      </c>
      <c r="B371" s="41">
        <v>43613</v>
      </c>
      <c r="C371" s="11">
        <v>22</v>
      </c>
      <c r="D371" s="12" t="s">
        <v>331</v>
      </c>
      <c r="E371" s="10">
        <v>43614</v>
      </c>
      <c r="F371" s="8" t="s">
        <v>263</v>
      </c>
      <c r="G371" s="19"/>
      <c r="H371" s="18">
        <f ca="1">ROUNDDOWN(表3[[#This Row],[日期]]-TODAY(),1)</f>
        <v>-28</v>
      </c>
    </row>
    <row r="372" spans="1:8" hidden="1" x14ac:dyDescent="0.2">
      <c r="A372" s="19" t="s">
        <v>326</v>
      </c>
      <c r="B372" s="41">
        <v>43613</v>
      </c>
      <c r="C372" s="11">
        <v>23</v>
      </c>
      <c r="D372" s="12" t="s">
        <v>602</v>
      </c>
      <c r="E372" s="10">
        <v>43621</v>
      </c>
      <c r="F372" s="8" t="s">
        <v>263</v>
      </c>
      <c r="G372" s="19"/>
      <c r="H372" s="18">
        <f ca="1">ROUNDDOWN(表3[[#This Row],[日期]]-TODAY(),1)</f>
        <v>-21</v>
      </c>
    </row>
    <row r="373" spans="1:8" hidden="1" x14ac:dyDescent="0.2">
      <c r="A373" s="19" t="s">
        <v>326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263</v>
      </c>
      <c r="G373" s="19"/>
      <c r="H373" s="18">
        <f ca="1">ROUNDDOWN(表3[[#This Row],[日期]]-TODAY(),1)</f>
        <v>-28</v>
      </c>
    </row>
    <row r="374" spans="1:8" hidden="1" x14ac:dyDescent="0.2">
      <c r="A374" s="19" t="s">
        <v>326</v>
      </c>
      <c r="B374" s="41">
        <v>43613</v>
      </c>
      <c r="C374" s="11">
        <v>25</v>
      </c>
      <c r="D374" s="12" t="s">
        <v>633</v>
      </c>
      <c r="E374" s="10">
        <v>43636</v>
      </c>
      <c r="F374" s="8" t="s">
        <v>1</v>
      </c>
      <c r="G374" s="19"/>
      <c r="H374" s="18">
        <f ca="1">ROUNDDOWN(表3[[#This Row],[日期]]-TODAY(),1)</f>
        <v>-6</v>
      </c>
    </row>
    <row r="375" spans="1:8" hidden="1" x14ac:dyDescent="0.2">
      <c r="A375" s="19" t="s">
        <v>423</v>
      </c>
      <c r="B375" s="41">
        <v>43614</v>
      </c>
      <c r="C375" s="11">
        <v>1</v>
      </c>
      <c r="D375" s="12" t="s">
        <v>421</v>
      </c>
      <c r="E375" s="10">
        <v>43602</v>
      </c>
      <c r="F375" s="8" t="s">
        <v>263</v>
      </c>
      <c r="G375" s="19"/>
      <c r="H375" s="18">
        <f ca="1">ROUNDDOWN(表3[[#This Row],[日期]]-TODAY(),1)</f>
        <v>-40</v>
      </c>
    </row>
    <row r="376" spans="1:8" hidden="1" x14ac:dyDescent="0.2">
      <c r="A376" s="19" t="s">
        <v>423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263</v>
      </c>
      <c r="G376" s="19"/>
      <c r="H376" s="18">
        <f ca="1">ROUNDDOWN(表3[[#This Row],[日期]]-TODAY(),1)</f>
        <v>-36</v>
      </c>
    </row>
    <row r="377" spans="1:8" hidden="1" x14ac:dyDescent="0.2">
      <c r="A377" s="19" t="s">
        <v>423</v>
      </c>
      <c r="B377" s="41">
        <v>43614</v>
      </c>
      <c r="C377" s="11">
        <v>3</v>
      </c>
      <c r="D377" s="12" t="s">
        <v>422</v>
      </c>
      <c r="E377" s="10">
        <v>43606</v>
      </c>
      <c r="F377" s="8" t="s">
        <v>263</v>
      </c>
      <c r="G377" s="19"/>
      <c r="H377" s="18">
        <f ca="1">ROUNDDOWN(表3[[#This Row],[日期]]-TODAY(),1)</f>
        <v>-36</v>
      </c>
    </row>
    <row r="378" spans="1:8" hidden="1" x14ac:dyDescent="0.2">
      <c r="A378" s="19" t="s">
        <v>423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263</v>
      </c>
      <c r="G378" s="19" t="s">
        <v>137</v>
      </c>
      <c r="H378" s="18">
        <f ca="1">ROUNDDOWN(表3[[#This Row],[日期]]-TODAY(),1)</f>
        <v>-34</v>
      </c>
    </row>
    <row r="379" spans="1:8" hidden="1" x14ac:dyDescent="0.2">
      <c r="A379" s="19" t="s">
        <v>423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263</v>
      </c>
      <c r="G379" s="19"/>
      <c r="H379" s="18">
        <f ca="1">ROUNDDOWN(表3[[#This Row],[日期]]-TODAY(),1)</f>
        <v>-34</v>
      </c>
    </row>
    <row r="380" spans="1:8" hidden="1" x14ac:dyDescent="0.2">
      <c r="A380" s="19" t="s">
        <v>423</v>
      </c>
      <c r="B380" s="41">
        <v>43614</v>
      </c>
      <c r="C380" s="11">
        <v>6</v>
      </c>
      <c r="D380" s="12" t="s">
        <v>484</v>
      </c>
      <c r="E380" s="10">
        <v>43609</v>
      </c>
      <c r="F380" s="8" t="s">
        <v>263</v>
      </c>
      <c r="G380" s="19"/>
      <c r="H380" s="18">
        <f ca="1">ROUNDDOWN(表3[[#This Row],[日期]]-TODAY(),1)</f>
        <v>-33</v>
      </c>
    </row>
    <row r="381" spans="1:8" hidden="1" x14ac:dyDescent="0.2">
      <c r="A381" s="19" t="s">
        <v>423</v>
      </c>
      <c r="B381" s="41">
        <v>43614</v>
      </c>
      <c r="C381" s="11">
        <v>7</v>
      </c>
      <c r="D381" s="12" t="s">
        <v>333</v>
      </c>
      <c r="E381" s="10">
        <v>43609</v>
      </c>
      <c r="F381" s="8" t="s">
        <v>263</v>
      </c>
      <c r="G381" s="19" t="s">
        <v>143</v>
      </c>
      <c r="H381" s="18">
        <f ca="1">ROUNDDOWN(表3[[#This Row],[日期]]-TODAY(),1)</f>
        <v>-33</v>
      </c>
    </row>
    <row r="382" spans="1:8" hidden="1" x14ac:dyDescent="0.2">
      <c r="A382" s="19" t="s">
        <v>423</v>
      </c>
      <c r="B382" s="41">
        <v>43614</v>
      </c>
      <c r="C382" s="11">
        <v>8</v>
      </c>
      <c r="D382" s="12" t="s">
        <v>485</v>
      </c>
      <c r="E382" s="10">
        <v>43612</v>
      </c>
      <c r="F382" s="8" t="s">
        <v>263</v>
      </c>
      <c r="G382" s="19"/>
      <c r="H382" s="18">
        <f ca="1">ROUNDDOWN(表3[[#This Row],[日期]]-TODAY(),1)</f>
        <v>-30</v>
      </c>
    </row>
    <row r="383" spans="1:8" hidden="1" x14ac:dyDescent="0.2">
      <c r="A383" s="19" t="s">
        <v>423</v>
      </c>
      <c r="B383" s="41">
        <v>43614</v>
      </c>
      <c r="C383" s="11">
        <v>9</v>
      </c>
      <c r="D383" s="12" t="s">
        <v>335</v>
      </c>
      <c r="E383" s="10">
        <v>43611</v>
      </c>
      <c r="F383" s="8" t="s">
        <v>263</v>
      </c>
      <c r="G383" s="19"/>
      <c r="H383" s="18">
        <f ca="1">ROUNDDOWN(表3[[#This Row],[日期]]-TODAY(),1)</f>
        <v>-31</v>
      </c>
    </row>
    <row r="384" spans="1:8" hidden="1" x14ac:dyDescent="0.2">
      <c r="A384" s="19" t="s">
        <v>423</v>
      </c>
      <c r="B384" s="41">
        <v>43614</v>
      </c>
      <c r="C384" s="11">
        <v>10</v>
      </c>
      <c r="D384" s="12" t="s">
        <v>337</v>
      </c>
      <c r="E384" s="10">
        <v>43612</v>
      </c>
      <c r="F384" s="8" t="s">
        <v>263</v>
      </c>
      <c r="G384" s="19"/>
      <c r="H384" s="18">
        <f ca="1">ROUNDDOWN(表3[[#This Row],[日期]]-TODAY(),1)</f>
        <v>-30</v>
      </c>
    </row>
    <row r="385" spans="1:8" hidden="1" x14ac:dyDescent="0.2">
      <c r="A385" s="19" t="s">
        <v>423</v>
      </c>
      <c r="B385" s="41">
        <v>43614</v>
      </c>
      <c r="C385" s="11">
        <v>11</v>
      </c>
      <c r="D385" s="12" t="s">
        <v>334</v>
      </c>
      <c r="E385" s="10">
        <v>43612</v>
      </c>
      <c r="F385" s="8" t="s">
        <v>263</v>
      </c>
      <c r="G385" s="19" t="s">
        <v>153</v>
      </c>
      <c r="H385" s="18">
        <f ca="1">ROUNDDOWN(表3[[#This Row],[日期]]-TODAY(),1)</f>
        <v>-30</v>
      </c>
    </row>
    <row r="386" spans="1:8" hidden="1" x14ac:dyDescent="0.2">
      <c r="A386" s="19" t="s">
        <v>423</v>
      </c>
      <c r="B386" s="41">
        <v>43614</v>
      </c>
      <c r="C386" s="11">
        <v>12</v>
      </c>
      <c r="D386" s="12" t="s">
        <v>215</v>
      </c>
      <c r="E386" s="10">
        <v>43612</v>
      </c>
      <c r="F386" s="8" t="s">
        <v>263</v>
      </c>
      <c r="G386" s="19"/>
      <c r="H386" s="18">
        <f ca="1">ROUNDDOWN(表3[[#This Row],[日期]]-TODAY(),1)</f>
        <v>-30</v>
      </c>
    </row>
    <row r="387" spans="1:8" hidden="1" x14ac:dyDescent="0.2">
      <c r="A387" s="19" t="s">
        <v>423</v>
      </c>
      <c r="B387" s="41">
        <v>43614</v>
      </c>
      <c r="C387" s="11">
        <v>13</v>
      </c>
      <c r="D387" s="12" t="s">
        <v>338</v>
      </c>
      <c r="E387" s="10">
        <v>43612</v>
      </c>
      <c r="F387" s="8" t="s">
        <v>263</v>
      </c>
      <c r="G387" s="19"/>
      <c r="H387" s="18">
        <f ca="1">ROUNDDOWN(表3[[#This Row],[日期]]-TODAY(),1)</f>
        <v>-30</v>
      </c>
    </row>
    <row r="388" spans="1:8" hidden="1" x14ac:dyDescent="0.2">
      <c r="A388" s="19" t="s">
        <v>423</v>
      </c>
      <c r="B388" s="41">
        <v>43614</v>
      </c>
      <c r="C388" s="11">
        <v>14</v>
      </c>
      <c r="D388" s="12" t="s">
        <v>339</v>
      </c>
      <c r="E388" s="10">
        <v>43612</v>
      </c>
      <c r="F388" s="8" t="s">
        <v>263</v>
      </c>
      <c r="G388" s="19"/>
      <c r="H388" s="18">
        <f ca="1">ROUNDDOWN(表3[[#This Row],[日期]]-TODAY(),1)</f>
        <v>-30</v>
      </c>
    </row>
    <row r="389" spans="1:8" hidden="1" x14ac:dyDescent="0.2">
      <c r="A389" s="19" t="s">
        <v>423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263</v>
      </c>
      <c r="G389" s="19"/>
      <c r="H389" s="18">
        <f ca="1">ROUNDDOWN(表3[[#This Row],[日期]]-TODAY(),1)</f>
        <v>-30</v>
      </c>
    </row>
    <row r="390" spans="1:8" hidden="1" x14ac:dyDescent="0.2">
      <c r="A390" s="19" t="s">
        <v>423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263</v>
      </c>
      <c r="G390" s="19"/>
      <c r="H390" s="18">
        <f ca="1">ROUNDDOWN(表3[[#This Row],[日期]]-TODAY(),1)</f>
        <v>-27</v>
      </c>
    </row>
    <row r="391" spans="1:8" hidden="1" x14ac:dyDescent="0.2">
      <c r="A391" s="19" t="s">
        <v>423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263</v>
      </c>
      <c r="G391" s="19"/>
      <c r="H391" s="18">
        <f ca="1">ROUNDDOWN(表3[[#This Row],[日期]]-TODAY(),1)</f>
        <v>-27</v>
      </c>
    </row>
    <row r="392" spans="1:8" hidden="1" x14ac:dyDescent="0.2">
      <c r="A392" s="19" t="s">
        <v>423</v>
      </c>
      <c r="B392" s="41">
        <v>43614</v>
      </c>
      <c r="C392" s="11">
        <v>18</v>
      </c>
      <c r="D392" s="12" t="s">
        <v>251</v>
      </c>
      <c r="E392" s="10">
        <v>43617</v>
      </c>
      <c r="F392" s="8" t="s">
        <v>263</v>
      </c>
      <c r="G392" s="19"/>
      <c r="H392" s="18">
        <f ca="1">ROUNDDOWN(表3[[#This Row],[日期]]-TODAY(),1)</f>
        <v>-25</v>
      </c>
    </row>
    <row r="393" spans="1:8" hidden="1" x14ac:dyDescent="0.2">
      <c r="A393" s="19" t="s">
        <v>423</v>
      </c>
      <c r="B393" s="41">
        <v>43614</v>
      </c>
      <c r="C393" s="11">
        <v>19</v>
      </c>
      <c r="D393" s="12" t="s">
        <v>259</v>
      </c>
      <c r="E393" s="10">
        <v>43617</v>
      </c>
      <c r="F393" s="8" t="s">
        <v>263</v>
      </c>
      <c r="G393" s="19"/>
      <c r="H393" s="18">
        <f ca="1">ROUNDDOWN(表3[[#This Row],[日期]]-TODAY(),1)</f>
        <v>-25</v>
      </c>
    </row>
    <row r="394" spans="1:8" hidden="1" x14ac:dyDescent="0.2">
      <c r="A394" s="19" t="s">
        <v>340</v>
      </c>
      <c r="B394" s="41">
        <v>43614</v>
      </c>
      <c r="C394" s="11">
        <v>1</v>
      </c>
      <c r="D394" s="12" t="s">
        <v>343</v>
      </c>
      <c r="E394" s="10">
        <v>43600</v>
      </c>
      <c r="F394" s="8" t="s">
        <v>263</v>
      </c>
      <c r="G394" s="19"/>
      <c r="H394" s="18">
        <f ca="1">ROUNDDOWN(表3[[#This Row],[日期]]-TODAY(),1)</f>
        <v>-42</v>
      </c>
    </row>
    <row r="395" spans="1:8" hidden="1" x14ac:dyDescent="0.2">
      <c r="A395" s="19" t="s">
        <v>341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263</v>
      </c>
      <c r="G395" s="19"/>
      <c r="H395" s="18">
        <f ca="1">ROUNDDOWN(表3[[#This Row],[日期]]-TODAY(),1)</f>
        <v>-42</v>
      </c>
    </row>
    <row r="396" spans="1:8" hidden="1" x14ac:dyDescent="0.2">
      <c r="A396" s="19" t="s">
        <v>340</v>
      </c>
      <c r="B396" s="41">
        <v>43614</v>
      </c>
      <c r="C396" s="11">
        <v>3</v>
      </c>
      <c r="D396" s="12" t="s">
        <v>344</v>
      </c>
      <c r="E396" s="10">
        <v>43602</v>
      </c>
      <c r="F396" s="8" t="s">
        <v>263</v>
      </c>
      <c r="G396" s="19"/>
      <c r="H396" s="18">
        <f ca="1">ROUNDDOWN(表3[[#This Row],[日期]]-TODAY(),1)</f>
        <v>-40</v>
      </c>
    </row>
    <row r="397" spans="1:8" hidden="1" x14ac:dyDescent="0.2">
      <c r="A397" s="19" t="s">
        <v>340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263</v>
      </c>
      <c r="G397" s="19" t="s">
        <v>137</v>
      </c>
      <c r="H397" s="18">
        <f ca="1">ROUNDDOWN(表3[[#This Row],[日期]]-TODAY(),1)</f>
        <v>-34</v>
      </c>
    </row>
    <row r="398" spans="1:8" hidden="1" x14ac:dyDescent="0.2">
      <c r="A398" s="19" t="s">
        <v>340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263</v>
      </c>
      <c r="G398" s="19"/>
      <c r="H398" s="18">
        <f ca="1">ROUNDDOWN(表3[[#This Row],[日期]]-TODAY(),1)</f>
        <v>-34</v>
      </c>
    </row>
    <row r="399" spans="1:8" hidden="1" x14ac:dyDescent="0.2">
      <c r="A399" s="19" t="s">
        <v>340</v>
      </c>
      <c r="B399" s="41">
        <v>43614</v>
      </c>
      <c r="C399" s="11">
        <v>6</v>
      </c>
      <c r="D399" s="12" t="s">
        <v>484</v>
      </c>
      <c r="E399" s="10">
        <v>43608</v>
      </c>
      <c r="F399" s="8" t="s">
        <v>263</v>
      </c>
      <c r="G399" s="19"/>
      <c r="H399" s="18">
        <f ca="1">ROUNDDOWN(表3[[#This Row],[日期]]-TODAY(),1)</f>
        <v>-34</v>
      </c>
    </row>
    <row r="400" spans="1:8" hidden="1" x14ac:dyDescent="0.2">
      <c r="A400" s="19" t="s">
        <v>340</v>
      </c>
      <c r="B400" s="41">
        <v>43614</v>
      </c>
      <c r="C400" s="11">
        <v>7</v>
      </c>
      <c r="D400" s="12" t="s">
        <v>333</v>
      </c>
      <c r="E400" s="10">
        <v>43608</v>
      </c>
      <c r="F400" s="8" t="s">
        <v>263</v>
      </c>
      <c r="G400" s="19" t="s">
        <v>143</v>
      </c>
      <c r="H400" s="18">
        <f ca="1">ROUNDDOWN(表3[[#This Row],[日期]]-TODAY(),1)</f>
        <v>-34</v>
      </c>
    </row>
    <row r="401" spans="1:8" hidden="1" x14ac:dyDescent="0.2">
      <c r="A401" s="19" t="s">
        <v>340</v>
      </c>
      <c r="B401" s="41">
        <v>43614</v>
      </c>
      <c r="C401" s="11">
        <v>8</v>
      </c>
      <c r="D401" s="12" t="s">
        <v>485</v>
      </c>
      <c r="E401" s="10">
        <v>43608</v>
      </c>
      <c r="F401" s="8" t="s">
        <v>263</v>
      </c>
      <c r="G401" s="19"/>
      <c r="H401" s="18">
        <f ca="1">ROUNDDOWN(表3[[#This Row],[日期]]-TODAY(),1)</f>
        <v>-34</v>
      </c>
    </row>
    <row r="402" spans="1:8" hidden="1" x14ac:dyDescent="0.2">
      <c r="A402" s="19" t="s">
        <v>340</v>
      </c>
      <c r="B402" s="41">
        <v>43614</v>
      </c>
      <c r="C402" s="11">
        <v>9</v>
      </c>
      <c r="D402" s="12" t="s">
        <v>334</v>
      </c>
      <c r="E402" s="10">
        <v>43609</v>
      </c>
      <c r="F402" s="8" t="s">
        <v>263</v>
      </c>
      <c r="G402" s="19" t="s">
        <v>153</v>
      </c>
      <c r="H402" s="18">
        <f ca="1">ROUNDDOWN(表3[[#This Row],[日期]]-TODAY(),1)</f>
        <v>-33</v>
      </c>
    </row>
    <row r="403" spans="1:8" hidden="1" x14ac:dyDescent="0.2">
      <c r="A403" s="19" t="s">
        <v>341</v>
      </c>
      <c r="B403" s="41">
        <v>43614</v>
      </c>
      <c r="C403" s="11">
        <v>12</v>
      </c>
      <c r="D403" s="12" t="s">
        <v>215</v>
      </c>
      <c r="E403" s="10">
        <v>43609</v>
      </c>
      <c r="F403" s="8" t="s">
        <v>263</v>
      </c>
      <c r="G403" s="19"/>
      <c r="H403" s="18">
        <f ca="1">ROUNDDOWN(表3[[#This Row],[日期]]-TODAY(),1)</f>
        <v>-33</v>
      </c>
    </row>
    <row r="404" spans="1:8" hidden="1" x14ac:dyDescent="0.2">
      <c r="A404" s="19" t="s">
        <v>341</v>
      </c>
      <c r="B404" s="41">
        <v>43614</v>
      </c>
      <c r="C404" s="11">
        <v>13</v>
      </c>
      <c r="D404" s="12" t="s">
        <v>338</v>
      </c>
      <c r="E404" s="10">
        <v>43609</v>
      </c>
      <c r="F404" s="8" t="s">
        <v>263</v>
      </c>
      <c r="G404" s="19" t="s">
        <v>336</v>
      </c>
      <c r="H404" s="18">
        <f ca="1">ROUNDDOWN(表3[[#This Row],[日期]]-TODAY(),1)</f>
        <v>-33</v>
      </c>
    </row>
    <row r="405" spans="1:8" hidden="1" x14ac:dyDescent="0.2">
      <c r="A405" s="19" t="s">
        <v>340</v>
      </c>
      <c r="B405" s="41">
        <v>43614</v>
      </c>
      <c r="C405" s="11">
        <v>14</v>
      </c>
      <c r="D405" s="12" t="s">
        <v>339</v>
      </c>
      <c r="E405" s="10">
        <v>43609</v>
      </c>
      <c r="F405" s="8" t="s">
        <v>263</v>
      </c>
      <c r="G405" s="19" t="s">
        <v>336</v>
      </c>
      <c r="H405" s="18">
        <f ca="1">ROUNDDOWN(表3[[#This Row],[日期]]-TODAY(),1)</f>
        <v>-33</v>
      </c>
    </row>
    <row r="406" spans="1:8" hidden="1" x14ac:dyDescent="0.2">
      <c r="A406" s="19" t="s">
        <v>340</v>
      </c>
      <c r="B406" s="41">
        <v>43614</v>
      </c>
      <c r="C406" s="11">
        <v>15</v>
      </c>
      <c r="D406" s="12" t="s">
        <v>335</v>
      </c>
      <c r="E406" s="10">
        <v>43609</v>
      </c>
      <c r="F406" s="8" t="s">
        <v>263</v>
      </c>
      <c r="G406" s="19" t="s">
        <v>336</v>
      </c>
      <c r="H406" s="18">
        <f ca="1">ROUNDDOWN(表3[[#This Row],[日期]]-TODAY(),1)</f>
        <v>-33</v>
      </c>
    </row>
    <row r="407" spans="1:8" hidden="1" x14ac:dyDescent="0.2">
      <c r="A407" s="19" t="s">
        <v>340</v>
      </c>
      <c r="B407" s="41">
        <v>43614</v>
      </c>
      <c r="C407" s="11">
        <v>16</v>
      </c>
      <c r="D407" s="12" t="s">
        <v>337</v>
      </c>
      <c r="E407" s="10">
        <v>43610</v>
      </c>
      <c r="F407" s="8" t="s">
        <v>263</v>
      </c>
      <c r="G407" s="19" t="s">
        <v>336</v>
      </c>
      <c r="H407" s="18">
        <f ca="1">ROUNDDOWN(表3[[#This Row],[日期]]-TODAY(),1)</f>
        <v>-32</v>
      </c>
    </row>
    <row r="408" spans="1:8" hidden="1" x14ac:dyDescent="0.2">
      <c r="A408" s="19" t="s">
        <v>340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263</v>
      </c>
      <c r="G408" s="19"/>
      <c r="H408" s="18">
        <f ca="1">ROUNDDOWN(表3[[#This Row],[日期]]-TODAY(),1)</f>
        <v>-32</v>
      </c>
    </row>
    <row r="409" spans="1:8" hidden="1" x14ac:dyDescent="0.2">
      <c r="A409" s="19" t="s">
        <v>341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263</v>
      </c>
      <c r="G409" s="19"/>
      <c r="H409" s="18">
        <f ca="1">ROUNDDOWN(表3[[#This Row],[日期]]-TODAY(),1)</f>
        <v>-30</v>
      </c>
    </row>
    <row r="410" spans="1:8" hidden="1" x14ac:dyDescent="0.2">
      <c r="A410" s="19" t="s">
        <v>340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263</v>
      </c>
      <c r="G410" s="19"/>
      <c r="H410" s="18">
        <f ca="1">ROUNDDOWN(表3[[#This Row],[日期]]-TODAY(),1)</f>
        <v>-28</v>
      </c>
    </row>
    <row r="411" spans="1:8" hidden="1" x14ac:dyDescent="0.2">
      <c r="A411" s="19" t="s">
        <v>341</v>
      </c>
      <c r="B411" s="41">
        <v>43614</v>
      </c>
      <c r="C411" s="11">
        <v>20</v>
      </c>
      <c r="D411" s="12" t="s">
        <v>251</v>
      </c>
      <c r="E411" s="10">
        <v>43615</v>
      </c>
      <c r="F411" s="8" t="s">
        <v>263</v>
      </c>
      <c r="G411" s="19"/>
      <c r="H411" s="18">
        <f ca="1">ROUNDDOWN(表3[[#This Row],[日期]]-TODAY(),1)</f>
        <v>-27</v>
      </c>
    </row>
    <row r="412" spans="1:8" hidden="1" x14ac:dyDescent="0.2">
      <c r="A412" s="19" t="s">
        <v>340</v>
      </c>
      <c r="B412" s="41">
        <v>43614</v>
      </c>
      <c r="C412" s="11">
        <v>21</v>
      </c>
      <c r="D412" s="12" t="s">
        <v>259</v>
      </c>
      <c r="E412" s="10">
        <v>43613</v>
      </c>
      <c r="F412" s="8" t="s">
        <v>263</v>
      </c>
      <c r="G412" s="19"/>
      <c r="H412" s="18">
        <f ca="1">ROUNDDOWN(表3[[#This Row],[日期]]-TODAY(),1)</f>
        <v>-29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218</v>
      </c>
      <c r="E413" s="10">
        <v>43580</v>
      </c>
      <c r="F413" s="8" t="s">
        <v>265</v>
      </c>
      <c r="G413" s="19"/>
      <c r="H413" s="18">
        <f ca="1">ROUNDDOWN(表3[[#This Row],[日期]]-TODAY(),1)</f>
        <v>-62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219</v>
      </c>
      <c r="E414" s="10">
        <v>43580</v>
      </c>
      <c r="F414" s="8" t="s">
        <v>265</v>
      </c>
      <c r="G414" s="19"/>
      <c r="H414" s="18">
        <f ca="1">ROUNDDOWN(表3[[#This Row],[日期]]-TODAY(),1)</f>
        <v>-62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220</v>
      </c>
      <c r="E415" s="10">
        <v>43580</v>
      </c>
      <c r="F415" s="8" t="s">
        <v>265</v>
      </c>
      <c r="G415" s="19" t="s">
        <v>221</v>
      </c>
      <c r="H415" s="18">
        <f ca="1">ROUNDDOWN(表3[[#This Row],[日期]]-TODAY(),1)</f>
        <v>-62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222</v>
      </c>
      <c r="E416" s="10">
        <v>43580</v>
      </c>
      <c r="F416" s="8" t="s">
        <v>265</v>
      </c>
      <c r="G416" s="19"/>
      <c r="H416" s="18">
        <f ca="1">ROUNDDOWN(表3[[#This Row],[日期]]-TODAY(),1)</f>
        <v>-62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265</v>
      </c>
      <c r="G417" s="19"/>
      <c r="H417" s="18">
        <f ca="1">ROUNDDOWN(表3[[#This Row],[日期]]-TODAY(),1)</f>
        <v>-48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275</v>
      </c>
      <c r="E418" s="10">
        <v>43607</v>
      </c>
      <c r="F418" s="8" t="s">
        <v>263</v>
      </c>
      <c r="G418" s="19" t="s">
        <v>267</v>
      </c>
      <c r="H418" s="18">
        <f ca="1">ROUNDDOWN(表3[[#This Row],[日期]]-TODAY(),1)</f>
        <v>-35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404</v>
      </c>
      <c r="E419" s="10">
        <v>43607</v>
      </c>
      <c r="F419" s="8" t="s">
        <v>263</v>
      </c>
      <c r="G419" s="19"/>
      <c r="H419" s="18">
        <f ca="1">ROUNDDOWN(表3[[#This Row],[日期]]-TODAY(),1)</f>
        <v>-35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273</v>
      </c>
      <c r="E420" s="10">
        <v>43607</v>
      </c>
      <c r="F420" s="8" t="s">
        <v>263</v>
      </c>
      <c r="G420" s="19"/>
      <c r="H420" s="18">
        <f ca="1">ROUNDDOWN(表3[[#This Row],[日期]]-TODAY(),1)</f>
        <v>-35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458</v>
      </c>
      <c r="E421" s="10">
        <v>43607</v>
      </c>
      <c r="F421" s="8" t="s">
        <v>263</v>
      </c>
      <c r="G421" s="19" t="s">
        <v>43</v>
      </c>
      <c r="H421" s="18">
        <f ca="1">ROUNDDOWN(表3[[#This Row],[日期]]-TODAY(),1)</f>
        <v>-35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269</v>
      </c>
      <c r="E422" s="10">
        <v>43608</v>
      </c>
      <c r="F422" s="8" t="s">
        <v>263</v>
      </c>
      <c r="G422" s="19" t="s">
        <v>32</v>
      </c>
      <c r="H422" s="18">
        <f ca="1">ROUNDDOWN(表3[[#This Row],[日期]]-TODAY(),1)</f>
        <v>-34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271</v>
      </c>
      <c r="E423" s="10">
        <v>43608</v>
      </c>
      <c r="F423" s="8" t="s">
        <v>263</v>
      </c>
      <c r="G423" s="19" t="s">
        <v>43</v>
      </c>
      <c r="H423" s="18">
        <f ca="1">ROUNDDOWN(表3[[#This Row],[日期]]-TODAY(),1)</f>
        <v>-34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281</v>
      </c>
      <c r="E424" s="10">
        <v>43608</v>
      </c>
      <c r="F424" s="8" t="s">
        <v>263</v>
      </c>
      <c r="G424" s="19" t="s">
        <v>279</v>
      </c>
      <c r="H424" s="18">
        <f ca="1">ROUNDDOWN(表3[[#This Row],[日期]]-TODAY(),1)</f>
        <v>-34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284</v>
      </c>
      <c r="E425" s="10">
        <v>43609</v>
      </c>
      <c r="F425" s="8" t="s">
        <v>263</v>
      </c>
      <c r="G425" s="19" t="s">
        <v>282</v>
      </c>
      <c r="H425" s="18">
        <f ca="1">ROUNDDOWN(表3[[#This Row],[日期]]-TODAY(),1)</f>
        <v>-33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286</v>
      </c>
      <c r="E426" s="10">
        <v>43609</v>
      </c>
      <c r="F426" s="8" t="s">
        <v>263</v>
      </c>
      <c r="G426" s="19"/>
      <c r="H426" s="18">
        <f ca="1">ROUNDDOWN(表3[[#This Row],[日期]]-TODAY(),1)</f>
        <v>-33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288</v>
      </c>
      <c r="E427" s="10">
        <v>43609</v>
      </c>
      <c r="F427" s="8" t="s">
        <v>263</v>
      </c>
      <c r="G427" s="19"/>
      <c r="H427" s="18">
        <f ca="1">ROUNDDOWN(表3[[#This Row],[日期]]-TODAY(),1)</f>
        <v>-33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302</v>
      </c>
      <c r="E428" s="10">
        <v>43609</v>
      </c>
      <c r="F428" s="8" t="s">
        <v>263</v>
      </c>
      <c r="G428" s="19"/>
      <c r="H428" s="18">
        <f ca="1">ROUNDDOWN(表3[[#This Row],[日期]]-TODAY(),1)</f>
        <v>-33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304</v>
      </c>
      <c r="E429" s="10">
        <v>43609</v>
      </c>
      <c r="F429" s="8" t="s">
        <v>263</v>
      </c>
      <c r="G429" s="19"/>
      <c r="H429" s="18">
        <f ca="1">ROUNDDOWN(表3[[#This Row],[日期]]-TODAY(),1)</f>
        <v>-33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306</v>
      </c>
      <c r="E430" s="10">
        <v>43609</v>
      </c>
      <c r="F430" s="8" t="s">
        <v>263</v>
      </c>
      <c r="G430" s="19"/>
      <c r="H430" s="18">
        <f ca="1">ROUNDDOWN(表3[[#This Row],[日期]]-TODAY(),1)</f>
        <v>-33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290</v>
      </c>
      <c r="E431" s="10">
        <v>43609</v>
      </c>
      <c r="F431" s="8" t="s">
        <v>263</v>
      </c>
      <c r="G431" s="19"/>
      <c r="H431" s="18">
        <f ca="1">ROUNDDOWN(表3[[#This Row],[日期]]-TODAY(),1)</f>
        <v>-33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292</v>
      </c>
      <c r="E432" s="10">
        <v>43610</v>
      </c>
      <c r="F432" s="8" t="s">
        <v>263</v>
      </c>
      <c r="G432" s="19"/>
      <c r="H432" s="18">
        <f ca="1">ROUNDDOWN(表3[[#This Row],[日期]]-TODAY(),1)</f>
        <v>-32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294</v>
      </c>
      <c r="E433" s="10">
        <v>43610</v>
      </c>
      <c r="F433" s="8" t="s">
        <v>263</v>
      </c>
      <c r="G433" s="19"/>
      <c r="H433" s="18">
        <f ca="1">ROUNDDOWN(表3[[#This Row],[日期]]-TODAY(),1)</f>
        <v>-32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296</v>
      </c>
      <c r="E434" s="10">
        <v>43612</v>
      </c>
      <c r="F434" s="8" t="s">
        <v>263</v>
      </c>
      <c r="G434" s="19"/>
      <c r="H434" s="18">
        <f ca="1">ROUNDDOWN(表3[[#This Row],[日期]]-TODAY(),1)</f>
        <v>-30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298</v>
      </c>
      <c r="E435" s="10">
        <v>43614</v>
      </c>
      <c r="F435" s="8" t="s">
        <v>263</v>
      </c>
      <c r="G435" s="19"/>
      <c r="H435" s="18">
        <f ca="1">ROUNDDOWN(表3[[#This Row],[日期]]-TODAY(),1)</f>
        <v>-28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300</v>
      </c>
      <c r="E436" s="10">
        <v>43615</v>
      </c>
      <c r="F436" s="8" t="s">
        <v>263</v>
      </c>
      <c r="G436" s="19"/>
      <c r="H436" s="18">
        <f ca="1">ROUNDDOWN(表3[[#This Row],[日期]]-TODAY(),1)</f>
        <v>-27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330</v>
      </c>
      <c r="E437" s="10">
        <v>43614</v>
      </c>
      <c r="F437" s="8" t="s">
        <v>263</v>
      </c>
      <c r="G437" s="19"/>
      <c r="H437" s="18">
        <f ca="1">ROUNDDOWN(表3[[#This Row],[日期]]-TODAY(),1)</f>
        <v>-28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481</v>
      </c>
      <c r="E438" s="10">
        <v>43615</v>
      </c>
      <c r="F438" s="8" t="s">
        <v>263</v>
      </c>
      <c r="G438" s="19"/>
      <c r="H438" s="18">
        <f ca="1">ROUNDDOWN(表3[[#This Row],[日期]]-TODAY(),1)</f>
        <v>-27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263</v>
      </c>
      <c r="G439" s="19" t="s">
        <v>29</v>
      </c>
      <c r="H439" s="18">
        <f ca="1">ROUNDDOWN(表3[[#This Row],[日期]]-TODAY(),1)</f>
        <v>-40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224</v>
      </c>
      <c r="E440" s="10">
        <v>43602</v>
      </c>
      <c r="F440" s="8" t="s">
        <v>263</v>
      </c>
      <c r="G440" s="19"/>
      <c r="H440" s="18">
        <f ca="1">ROUNDDOWN(表3[[#This Row],[日期]]-TODAY(),1)</f>
        <v>-40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263</v>
      </c>
      <c r="G441" s="19" t="s">
        <v>31</v>
      </c>
      <c r="H441" s="18">
        <f ca="1">ROUNDDOWN(表3[[#This Row],[日期]]-TODAY(),1)</f>
        <v>-37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263</v>
      </c>
      <c r="G442" s="19"/>
      <c r="H442" s="18">
        <f ca="1">ROUNDDOWN(表3[[#This Row],[日期]]-TODAY(),1)</f>
        <v>-37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263</v>
      </c>
      <c r="G443" s="19" t="s">
        <v>43</v>
      </c>
      <c r="H443" s="18">
        <f ca="1">ROUNDDOWN(表3[[#This Row],[日期]]-TODAY(),1)</f>
        <v>-36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263</v>
      </c>
      <c r="G444" s="19"/>
      <c r="H444" s="18">
        <f ca="1">ROUNDDOWN(表3[[#This Row],[日期]]-TODAY(),1)</f>
        <v>-36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263</v>
      </c>
      <c r="G445" s="19"/>
      <c r="H445" s="18">
        <f ca="1">ROUNDDOWN(表3[[#This Row],[日期]]-TODAY(),1)</f>
        <v>-36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263</v>
      </c>
      <c r="G446" s="19"/>
      <c r="H446" s="18">
        <f ca="1">ROUNDDOWN(表3[[#This Row],[日期]]-TODAY(),1)</f>
        <v>-36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263</v>
      </c>
      <c r="G447" s="19"/>
      <c r="H447" s="18">
        <f ca="1">ROUNDDOWN(表3[[#This Row],[日期]]-TODAY(),1)</f>
        <v>-36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263</v>
      </c>
      <c r="G448" s="19" t="s">
        <v>32</v>
      </c>
      <c r="H448" s="18">
        <f ca="1">ROUNDDOWN(表3[[#This Row],[日期]]-TODAY(),1)</f>
        <v>-35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263</v>
      </c>
      <c r="G449" s="19"/>
      <c r="H449" s="18">
        <f ca="1">ROUNDDOWN(表3[[#This Row],[日期]]-TODAY(),1)</f>
        <v>-35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443</v>
      </c>
      <c r="E450" s="10">
        <v>43612</v>
      </c>
      <c r="F450" s="8" t="s">
        <v>263</v>
      </c>
      <c r="G450" s="19" t="s">
        <v>34</v>
      </c>
      <c r="H450" s="18">
        <f ca="1">ROUNDDOWN(表3[[#This Row],[日期]]-TODAY(),1)</f>
        <v>-30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263</v>
      </c>
      <c r="G451" s="19"/>
      <c r="H451" s="18">
        <f ca="1">ROUNDDOWN(表3[[#This Row],[日期]]-TODAY(),1)</f>
        <v>-30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263</v>
      </c>
      <c r="G452" s="19"/>
      <c r="H452" s="18">
        <f ca="1">ROUNDDOWN(表3[[#This Row],[日期]]-TODAY(),1)</f>
        <v>-30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263</v>
      </c>
      <c r="G453" s="19"/>
      <c r="H453" s="18">
        <f ca="1">ROUNDDOWN(表3[[#This Row],[日期]]-TODAY(),1)</f>
        <v>-30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263</v>
      </c>
      <c r="G454" s="19"/>
      <c r="H454" s="18">
        <f ca="1">ROUNDDOWN(表3[[#This Row],[日期]]-TODAY(),1)</f>
        <v>-30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263</v>
      </c>
      <c r="G455" s="19"/>
      <c r="H455" s="18">
        <f ca="1">ROUNDDOWN(表3[[#This Row],[日期]]-TODAY(),1)</f>
        <v>-30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263</v>
      </c>
      <c r="G456" s="19"/>
      <c r="H456" s="18">
        <f ca="1">ROUNDDOWN(表3[[#This Row],[日期]]-TODAY(),1)</f>
        <v>-30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263</v>
      </c>
      <c r="G457" s="19"/>
      <c r="H457" s="18">
        <f ca="1">ROUNDDOWN(表3[[#This Row],[日期]]-TODAY(),1)</f>
        <v>-30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436</v>
      </c>
      <c r="E458" s="10">
        <v>43613</v>
      </c>
      <c r="F458" s="8" t="s">
        <v>263</v>
      </c>
      <c r="G458" s="19" t="s">
        <v>36</v>
      </c>
      <c r="H458" s="18">
        <f ca="1">ROUNDDOWN(表3[[#This Row],[日期]]-TODAY(),1)</f>
        <v>-29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263</v>
      </c>
      <c r="G459" s="19"/>
      <c r="H459" s="18">
        <f ca="1">ROUNDDOWN(表3[[#This Row],[日期]]-TODAY(),1)</f>
        <v>-29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263</v>
      </c>
      <c r="G460" s="19"/>
      <c r="H460" s="18">
        <f ca="1">ROUNDDOWN(表3[[#This Row],[日期]]-TODAY(),1)</f>
        <v>-29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263</v>
      </c>
      <c r="G461" s="19"/>
      <c r="H461" s="18">
        <f ca="1">ROUNDDOWN(表3[[#This Row],[日期]]-TODAY(),1)</f>
        <v>-29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508</v>
      </c>
      <c r="E462" s="10">
        <v>43613</v>
      </c>
      <c r="F462" s="8" t="s">
        <v>263</v>
      </c>
      <c r="G462" s="19" t="s">
        <v>43</v>
      </c>
      <c r="H462" s="18">
        <f ca="1">ROUNDDOWN(表3[[#This Row],[日期]]-TODAY(),1)</f>
        <v>-29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225</v>
      </c>
      <c r="E463" s="10">
        <v>43613</v>
      </c>
      <c r="F463" s="8" t="s">
        <v>263</v>
      </c>
      <c r="G463" s="19" t="s">
        <v>200</v>
      </c>
      <c r="H463" s="18">
        <f ca="1">ROUNDDOWN(表3[[#This Row],[日期]]-TODAY(),1)</f>
        <v>-29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263</v>
      </c>
      <c r="G464" s="19"/>
      <c r="H464" s="18">
        <f ca="1">ROUNDDOWN(表3[[#This Row],[日期]]-TODAY(),1)</f>
        <v>-29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263</v>
      </c>
      <c r="G465" s="19"/>
      <c r="H465" s="18">
        <f ca="1">ROUNDDOWN(表3[[#This Row],[日期]]-TODAY(),1)</f>
        <v>-29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263</v>
      </c>
      <c r="G466" s="19"/>
      <c r="H466" s="18">
        <f ca="1">ROUNDDOWN(表3[[#This Row],[日期]]-TODAY(),1)</f>
        <v>-29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263</v>
      </c>
      <c r="G467" s="19"/>
      <c r="H467" s="18">
        <f ca="1">ROUNDDOWN(表3[[#This Row],[日期]]-TODAY(),1)</f>
        <v>-29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224</v>
      </c>
      <c r="E468" s="10">
        <v>43613</v>
      </c>
      <c r="F468" s="8" t="s">
        <v>263</v>
      </c>
      <c r="G468" s="19"/>
      <c r="H468" s="18">
        <f ca="1">ROUNDDOWN(表3[[#This Row],[日期]]-TODAY(),1)</f>
        <v>-29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330</v>
      </c>
      <c r="E469" s="10">
        <v>43613</v>
      </c>
      <c r="F469" s="8" t="s">
        <v>263</v>
      </c>
      <c r="G469" s="27" t="s">
        <v>521</v>
      </c>
      <c r="H469" s="18">
        <f ca="1">ROUNDDOWN(表3[[#This Row],[日期]]-TODAY(),1)</f>
        <v>-29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263</v>
      </c>
      <c r="G470" s="19" t="s">
        <v>43</v>
      </c>
      <c r="H470" s="18">
        <f ca="1">ROUNDDOWN(表3[[#This Row],[日期]]-TODAY(),1)</f>
        <v>-29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263</v>
      </c>
      <c r="G471" s="19"/>
      <c r="H471" s="18">
        <f ca="1">ROUNDDOWN(表3[[#This Row],[日期]]-TODAY(),1)</f>
        <v>-29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263</v>
      </c>
      <c r="G472" s="19" t="s">
        <v>66</v>
      </c>
      <c r="H472" s="18">
        <f ca="1">ROUNDDOWN(表3[[#This Row],[日期]]-TODAY(),1)</f>
        <v>-29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263</v>
      </c>
      <c r="G473" s="19"/>
      <c r="H473" s="18">
        <f ca="1">ROUNDDOWN(表3[[#This Row],[日期]]-TODAY(),1)</f>
        <v>-29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441</v>
      </c>
      <c r="E474" s="10">
        <v>43613</v>
      </c>
      <c r="F474" s="8" t="s">
        <v>263</v>
      </c>
      <c r="G474" s="19" t="s">
        <v>32</v>
      </c>
      <c r="H474" s="18">
        <f ca="1">ROUNDDOWN(表3[[#This Row],[日期]]-TODAY(),1)</f>
        <v>-29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442</v>
      </c>
      <c r="E475" s="10">
        <v>43613</v>
      </c>
      <c r="F475" s="8" t="s">
        <v>263</v>
      </c>
      <c r="G475" s="19" t="s">
        <v>43</v>
      </c>
      <c r="H475" s="18">
        <f ca="1">ROUNDDOWN(表3[[#This Row],[日期]]-TODAY(),1)</f>
        <v>-29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172</v>
      </c>
      <c r="E476" s="10">
        <v>43613</v>
      </c>
      <c r="F476" s="8" t="s">
        <v>263</v>
      </c>
      <c r="G476" s="19"/>
      <c r="H476" s="18">
        <f ca="1">ROUNDDOWN(表3[[#This Row],[日期]]-TODAY(),1)</f>
        <v>-29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263</v>
      </c>
      <c r="G477" s="19" t="s">
        <v>73</v>
      </c>
      <c r="H477" s="18">
        <f ca="1">ROUNDDOWN(表3[[#This Row],[日期]]-TODAY(),1)</f>
        <v>-29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263</v>
      </c>
      <c r="G478" s="19"/>
      <c r="H478" s="18">
        <f ca="1">ROUNDDOWN(表3[[#This Row],[日期]]-TODAY(),1)</f>
        <v>-29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263</v>
      </c>
      <c r="G479" s="19"/>
      <c r="H479" s="18">
        <f ca="1">ROUNDDOWN(表3[[#This Row],[日期]]-TODAY(),1)</f>
        <v>-28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263</v>
      </c>
      <c r="G480" s="19"/>
      <c r="H480" s="18">
        <f ca="1">ROUNDDOWN(表3[[#This Row],[日期]]-TODAY(),1)</f>
        <v>-28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263</v>
      </c>
      <c r="G481" s="19"/>
      <c r="H481" s="18">
        <f ca="1">ROUNDDOWN(表3[[#This Row],[日期]]-TODAY(),1)</f>
        <v>-28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263</v>
      </c>
      <c r="G482" s="19"/>
      <c r="H482" s="18">
        <f ca="1">ROUNDDOWN(表3[[#This Row],[日期]]-TODAY(),1)</f>
        <v>-27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263</v>
      </c>
      <c r="G483" s="19"/>
      <c r="H483" s="18">
        <f ca="1">ROUNDDOWN(表3[[#This Row],[日期]]-TODAY(),1)</f>
        <v>-27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331</v>
      </c>
      <c r="E484" s="10">
        <v>43617</v>
      </c>
      <c r="F484" s="8" t="s">
        <v>263</v>
      </c>
      <c r="G484" s="19"/>
      <c r="H484" s="18">
        <f ca="1">ROUNDDOWN(表3[[#This Row],[日期]]-TODAY(),1)</f>
        <v>-25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263</v>
      </c>
      <c r="G485" s="19" t="s">
        <v>132</v>
      </c>
      <c r="H485" s="18">
        <f ca="1">ROUNDDOWN(表3[[#This Row],[日期]]-TODAY(),1)</f>
        <v>-16</v>
      </c>
    </row>
    <row r="486" spans="1:8" hidden="1" x14ac:dyDescent="0.2">
      <c r="A486" s="19" t="s">
        <v>244</v>
      </c>
      <c r="B486" s="41">
        <v>43617</v>
      </c>
      <c r="C486" s="11">
        <v>1</v>
      </c>
      <c r="D486" s="12" t="s">
        <v>548</v>
      </c>
      <c r="E486" s="10">
        <v>43621</v>
      </c>
      <c r="F486" s="8" t="s">
        <v>263</v>
      </c>
      <c r="G486" s="19" t="s">
        <v>549</v>
      </c>
      <c r="H486" s="18">
        <f ca="1">ROUNDDOWN(表3[[#This Row],[日期]]-TODAY(),1)</f>
        <v>-21</v>
      </c>
    </row>
    <row r="487" spans="1:8" hidden="1" x14ac:dyDescent="0.2">
      <c r="A487" s="19" t="s">
        <v>244</v>
      </c>
      <c r="B487" s="41">
        <v>43617</v>
      </c>
      <c r="C487" s="11">
        <v>2</v>
      </c>
      <c r="D487" s="12" t="s">
        <v>550</v>
      </c>
      <c r="E487" s="10">
        <v>43643</v>
      </c>
      <c r="F487" s="8" t="s">
        <v>551</v>
      </c>
      <c r="G487" s="19"/>
      <c r="H487" s="18">
        <f ca="1">ROUNDDOWN(表3[[#This Row],[日期]]-TODAY(),1)</f>
        <v>1</v>
      </c>
    </row>
    <row r="488" spans="1:8" hidden="1" x14ac:dyDescent="0.2">
      <c r="A488" s="19" t="s">
        <v>244</v>
      </c>
      <c r="B488" s="41">
        <v>43617</v>
      </c>
      <c r="C488" s="11">
        <v>3</v>
      </c>
      <c r="D488" s="12" t="s">
        <v>229</v>
      </c>
      <c r="E488" s="10">
        <v>43643</v>
      </c>
      <c r="F488" s="8" t="s">
        <v>209</v>
      </c>
      <c r="G488" s="19" t="s">
        <v>231</v>
      </c>
      <c r="H488" s="18">
        <f ca="1">ROUNDDOWN(表3[[#This Row],[日期]]-TODAY(),1)</f>
        <v>1</v>
      </c>
    </row>
    <row r="489" spans="1:8" hidden="1" x14ac:dyDescent="0.2">
      <c r="A489" s="19" t="s">
        <v>244</v>
      </c>
      <c r="B489" s="41">
        <v>43617</v>
      </c>
      <c r="C489" s="11">
        <v>4</v>
      </c>
      <c r="D489" s="12" t="s">
        <v>246</v>
      </c>
      <c r="E489" s="10">
        <v>43641</v>
      </c>
      <c r="F489" s="8" t="s">
        <v>263</v>
      </c>
      <c r="G489" s="19" t="s">
        <v>231</v>
      </c>
      <c r="H489" s="18">
        <f ca="1">ROUNDDOWN(表3[[#This Row],[日期]]-TODAY(),1)</f>
        <v>-1</v>
      </c>
    </row>
    <row r="490" spans="1:8" hidden="1" x14ac:dyDescent="0.2">
      <c r="A490" s="19" t="s">
        <v>244</v>
      </c>
      <c r="B490" s="41">
        <v>43617</v>
      </c>
      <c r="C490" s="11">
        <v>5</v>
      </c>
      <c r="D490" s="12" t="s">
        <v>589</v>
      </c>
      <c r="E490" s="10">
        <v>43644</v>
      </c>
      <c r="F490" s="8" t="s">
        <v>592</v>
      </c>
      <c r="G490" s="19"/>
      <c r="H490" s="18">
        <f ca="1">ROUNDDOWN(表3[[#This Row],[日期]]-TODAY(),1)</f>
        <v>2</v>
      </c>
    </row>
    <row r="491" spans="1:8" hidden="1" x14ac:dyDescent="0.2">
      <c r="A491" s="19" t="s">
        <v>244</v>
      </c>
      <c r="B491" s="41">
        <v>43617</v>
      </c>
      <c r="C491" s="11">
        <v>6</v>
      </c>
      <c r="D491" s="28" t="s">
        <v>727</v>
      </c>
      <c r="E491" s="10">
        <v>43644</v>
      </c>
      <c r="F491" s="8" t="s">
        <v>728</v>
      </c>
      <c r="G491" s="19" t="s">
        <v>729</v>
      </c>
      <c r="H491" s="18">
        <f ca="1">ROUNDDOWN(表3[[#This Row],[日期]]-TODAY(),1)</f>
        <v>2</v>
      </c>
    </row>
    <row r="492" spans="1:8" hidden="1" x14ac:dyDescent="0.2">
      <c r="A492" s="19" t="s">
        <v>242</v>
      </c>
      <c r="B492" s="41">
        <v>43619</v>
      </c>
      <c r="C492" s="11">
        <v>1</v>
      </c>
      <c r="D492" s="28" t="s">
        <v>424</v>
      </c>
      <c r="E492" s="10">
        <v>43619</v>
      </c>
      <c r="F492" s="8" t="s">
        <v>263</v>
      </c>
      <c r="G492" s="19" t="s">
        <v>237</v>
      </c>
      <c r="H492" s="18">
        <f ca="1">ROUNDDOWN(表3[[#This Row],[日期]]-TODAY(),1)</f>
        <v>-23</v>
      </c>
    </row>
    <row r="493" spans="1:8" hidden="1" x14ac:dyDescent="0.2">
      <c r="A493" s="19" t="s">
        <v>242</v>
      </c>
      <c r="B493" s="41">
        <v>43619</v>
      </c>
      <c r="C493" s="23">
        <v>2</v>
      </c>
      <c r="D493" s="24" t="s">
        <v>425</v>
      </c>
      <c r="E493" s="25">
        <v>43619</v>
      </c>
      <c r="F493" s="26" t="s">
        <v>263</v>
      </c>
      <c r="G493" s="22" t="s">
        <v>237</v>
      </c>
      <c r="H493" s="21">
        <f ca="1">ROUNDDOWN(表3[[#This Row],[日期]]-TODAY(),1)</f>
        <v>-23</v>
      </c>
    </row>
    <row r="494" spans="1:8" hidden="1" x14ac:dyDescent="0.2">
      <c r="A494" s="22" t="s">
        <v>242</v>
      </c>
      <c r="B494" s="43">
        <v>43619</v>
      </c>
      <c r="C494" s="23">
        <v>3</v>
      </c>
      <c r="D494" s="24" t="s">
        <v>238</v>
      </c>
      <c r="E494" s="25">
        <v>43619</v>
      </c>
      <c r="F494" s="26" t="s">
        <v>263</v>
      </c>
      <c r="G494" s="22" t="s">
        <v>237</v>
      </c>
      <c r="H494" s="21">
        <f ca="1">ROUNDDOWN(表3[[#This Row],[日期]]-TODAY(),1)</f>
        <v>-23</v>
      </c>
    </row>
    <row r="495" spans="1:8" hidden="1" x14ac:dyDescent="0.2">
      <c r="A495" s="22" t="s">
        <v>242</v>
      </c>
      <c r="B495" s="43">
        <v>43619</v>
      </c>
      <c r="C495" s="23">
        <v>4</v>
      </c>
      <c r="D495" s="24" t="s">
        <v>238</v>
      </c>
      <c r="E495" s="25">
        <v>43621</v>
      </c>
      <c r="F495" s="26" t="s">
        <v>263</v>
      </c>
      <c r="G495" s="22" t="s">
        <v>240</v>
      </c>
      <c r="H495" s="21">
        <f ca="1">ROUNDDOWN(表3[[#This Row],[日期]]-TODAY(),1)</f>
        <v>-21</v>
      </c>
    </row>
    <row r="496" spans="1:8" hidden="1" x14ac:dyDescent="0.2">
      <c r="A496" s="19" t="s">
        <v>242</v>
      </c>
      <c r="B496" s="41">
        <v>43619</v>
      </c>
      <c r="C496" s="11">
        <v>5</v>
      </c>
      <c r="D496" s="12" t="s">
        <v>228</v>
      </c>
      <c r="E496" s="10">
        <v>43626</v>
      </c>
      <c r="F496" s="8" t="s">
        <v>263</v>
      </c>
      <c r="G496" s="19" t="s">
        <v>233</v>
      </c>
      <c r="H496" s="18">
        <f ca="1">ROUNDDOWN(表3[[#This Row],[日期]]-TODAY(),1)</f>
        <v>-16</v>
      </c>
    </row>
    <row r="497" spans="1:8" hidden="1" x14ac:dyDescent="0.2">
      <c r="A497" s="19" t="s">
        <v>242</v>
      </c>
      <c r="B497" s="41">
        <v>43619</v>
      </c>
      <c r="C497" s="11">
        <v>6</v>
      </c>
      <c r="D497" s="19" t="s">
        <v>588</v>
      </c>
      <c r="E497" s="10">
        <v>43623</v>
      </c>
      <c r="F497" s="8" t="s">
        <v>263</v>
      </c>
      <c r="G497" s="19" t="s">
        <v>233</v>
      </c>
      <c r="H497" s="18">
        <f ca="1">ROUNDDOWN(表3[[#This Row],[日期]]-TODAY(),1)</f>
        <v>-19</v>
      </c>
    </row>
    <row r="498" spans="1:8" hidden="1" x14ac:dyDescent="0.2">
      <c r="A498" s="19" t="s">
        <v>242</v>
      </c>
      <c r="B498" s="41">
        <v>43619</v>
      </c>
      <c r="C498" s="11">
        <v>7</v>
      </c>
      <c r="D498" s="19" t="s">
        <v>776</v>
      </c>
      <c r="E498" s="10">
        <v>43622</v>
      </c>
      <c r="F498" s="8" t="s">
        <v>263</v>
      </c>
      <c r="G498" s="19" t="s">
        <v>233</v>
      </c>
      <c r="H498" s="18">
        <f ca="1">ROUNDDOWN(表3[[#This Row],[日期]]-TODAY(),1)</f>
        <v>-20</v>
      </c>
    </row>
    <row r="499" spans="1:8" hidden="1" x14ac:dyDescent="0.2">
      <c r="A499" s="19" t="s">
        <v>509</v>
      </c>
      <c r="B499" s="41">
        <v>43621</v>
      </c>
      <c r="C499" s="11">
        <v>1</v>
      </c>
      <c r="D499" s="12" t="s">
        <v>421</v>
      </c>
      <c r="E499" s="10">
        <v>43609</v>
      </c>
      <c r="F499" s="8" t="s">
        <v>263</v>
      </c>
      <c r="G499" s="19"/>
      <c r="H499" s="18">
        <f ca="1">ROUNDDOWN(表3[[#This Row],[日期]]-TODAY(),1)</f>
        <v>-33</v>
      </c>
    </row>
    <row r="500" spans="1:8" hidden="1" x14ac:dyDescent="0.2">
      <c r="A500" s="19" t="s">
        <v>509</v>
      </c>
      <c r="B500" s="41">
        <v>43621</v>
      </c>
      <c r="C500" s="11">
        <v>2</v>
      </c>
      <c r="D500" s="12" t="s">
        <v>422</v>
      </c>
      <c r="E500" s="10">
        <v>43614</v>
      </c>
      <c r="F500" s="8" t="s">
        <v>263</v>
      </c>
      <c r="G500" s="19"/>
      <c r="H500" s="18">
        <f ca="1">ROUNDDOWN(表3[[#This Row],[日期]]-TODAY(),1)</f>
        <v>-28</v>
      </c>
    </row>
    <row r="501" spans="1:8" hidden="1" x14ac:dyDescent="0.2">
      <c r="A501" s="19" t="s">
        <v>509</v>
      </c>
      <c r="B501" s="41">
        <v>43621</v>
      </c>
      <c r="C501" s="11">
        <v>3</v>
      </c>
      <c r="D501" s="12" t="s">
        <v>21</v>
      </c>
      <c r="E501" s="10">
        <v>43613</v>
      </c>
      <c r="F501" s="8" t="s">
        <v>263</v>
      </c>
      <c r="G501" s="19"/>
      <c r="H501" s="18">
        <f ca="1">ROUNDDOWN(表3[[#This Row],[日期]]-TODAY(),1)</f>
        <v>-29</v>
      </c>
    </row>
    <row r="502" spans="1:8" hidden="1" x14ac:dyDescent="0.2">
      <c r="A502" s="19" t="s">
        <v>509</v>
      </c>
      <c r="B502" s="41">
        <v>43621</v>
      </c>
      <c r="C502" s="11">
        <v>4</v>
      </c>
      <c r="D502" s="12" t="s">
        <v>149</v>
      </c>
      <c r="E502" s="10">
        <v>43615</v>
      </c>
      <c r="F502" s="8" t="s">
        <v>263</v>
      </c>
      <c r="G502" s="19" t="s">
        <v>137</v>
      </c>
      <c r="H502" s="18">
        <f ca="1">ROUNDDOWN(表3[[#This Row],[日期]]-TODAY(),1)</f>
        <v>-27</v>
      </c>
    </row>
    <row r="503" spans="1:8" hidden="1" x14ac:dyDescent="0.2">
      <c r="A503" s="19" t="s">
        <v>509</v>
      </c>
      <c r="B503" s="41">
        <v>43621</v>
      </c>
      <c r="C503" s="11">
        <v>5</v>
      </c>
      <c r="D503" s="12" t="s">
        <v>140</v>
      </c>
      <c r="E503" s="10">
        <v>43615</v>
      </c>
      <c r="F503" s="8" t="s">
        <v>263</v>
      </c>
      <c r="G503" s="19"/>
      <c r="H503" s="18">
        <f ca="1">ROUNDDOWN(表3[[#This Row],[日期]]-TODAY(),1)</f>
        <v>-27</v>
      </c>
    </row>
    <row r="504" spans="1:8" hidden="1" x14ac:dyDescent="0.2">
      <c r="A504" s="19" t="s">
        <v>510</v>
      </c>
      <c r="B504" s="41">
        <v>43621</v>
      </c>
      <c r="C504" s="11">
        <v>6</v>
      </c>
      <c r="D504" s="12" t="s">
        <v>139</v>
      </c>
      <c r="E504" s="10">
        <v>43615</v>
      </c>
      <c r="F504" s="8" t="s">
        <v>263</v>
      </c>
      <c r="G504" s="19"/>
      <c r="H504" s="18">
        <f ca="1">ROUNDDOWN(表3[[#This Row],[日期]]-TODAY(),1)</f>
        <v>-27</v>
      </c>
    </row>
    <row r="505" spans="1:8" hidden="1" x14ac:dyDescent="0.2">
      <c r="A505" s="19" t="s">
        <v>509</v>
      </c>
      <c r="B505" s="41">
        <v>43621</v>
      </c>
      <c r="C505" s="11">
        <v>7</v>
      </c>
      <c r="D505" s="12" t="s">
        <v>333</v>
      </c>
      <c r="E505" s="10">
        <v>43616</v>
      </c>
      <c r="F505" s="8" t="s">
        <v>263</v>
      </c>
      <c r="G505" s="19" t="s">
        <v>143</v>
      </c>
      <c r="H505" s="18">
        <f ca="1">ROUNDDOWN(表3[[#This Row],[日期]]-TODAY(),1)</f>
        <v>-26</v>
      </c>
    </row>
    <row r="506" spans="1:8" hidden="1" x14ac:dyDescent="0.2">
      <c r="A506" s="19" t="s">
        <v>509</v>
      </c>
      <c r="B506" s="41">
        <v>43621</v>
      </c>
      <c r="C506" s="11">
        <v>8</v>
      </c>
      <c r="D506" s="12" t="s">
        <v>486</v>
      </c>
      <c r="E506" s="10">
        <v>43620</v>
      </c>
      <c r="F506" s="8" t="s">
        <v>263</v>
      </c>
      <c r="G506" s="19"/>
      <c r="H506" s="18">
        <f ca="1">ROUNDDOWN(表3[[#This Row],[日期]]-TODAY(),1)</f>
        <v>-22</v>
      </c>
    </row>
    <row r="507" spans="1:8" hidden="1" x14ac:dyDescent="0.2">
      <c r="A507" s="19" t="s">
        <v>509</v>
      </c>
      <c r="B507" s="41">
        <v>43621</v>
      </c>
      <c r="C507" s="11">
        <v>9</v>
      </c>
      <c r="D507" s="12" t="s">
        <v>511</v>
      </c>
      <c r="E507" s="10">
        <v>43616</v>
      </c>
      <c r="F507" s="8" t="s">
        <v>263</v>
      </c>
      <c r="G507" s="19" t="s">
        <v>336</v>
      </c>
      <c r="H507" s="18">
        <f ca="1">ROUNDDOWN(表3[[#This Row],[日期]]-TODAY(),1)</f>
        <v>-26</v>
      </c>
    </row>
    <row r="508" spans="1:8" hidden="1" x14ac:dyDescent="0.2">
      <c r="A508" s="19" t="s">
        <v>510</v>
      </c>
      <c r="B508" s="41">
        <v>43621</v>
      </c>
      <c r="C508" s="11">
        <v>10</v>
      </c>
      <c r="D508" s="12" t="s">
        <v>334</v>
      </c>
      <c r="E508" s="10">
        <v>43619</v>
      </c>
      <c r="F508" s="8" t="s">
        <v>263</v>
      </c>
      <c r="G508" s="19" t="s">
        <v>153</v>
      </c>
      <c r="H508" s="18">
        <f ca="1">ROUNDDOWN(表3[[#This Row],[日期]]-TODAY(),1)</f>
        <v>-23</v>
      </c>
    </row>
    <row r="509" spans="1:8" hidden="1" x14ac:dyDescent="0.2">
      <c r="A509" s="19" t="s">
        <v>509</v>
      </c>
      <c r="B509" s="41">
        <v>43621</v>
      </c>
      <c r="C509" s="11">
        <v>11</v>
      </c>
      <c r="D509" s="12" t="s">
        <v>215</v>
      </c>
      <c r="E509" s="10">
        <v>43619</v>
      </c>
      <c r="F509" s="8" t="s">
        <v>263</v>
      </c>
      <c r="G509" s="19"/>
      <c r="H509" s="18">
        <f ca="1">ROUNDDOWN(表3[[#This Row],[日期]]-TODAY(),1)</f>
        <v>-23</v>
      </c>
    </row>
    <row r="510" spans="1:8" hidden="1" x14ac:dyDescent="0.2">
      <c r="A510" s="19" t="s">
        <v>509</v>
      </c>
      <c r="B510" s="41">
        <v>43621</v>
      </c>
      <c r="C510" s="11">
        <v>12</v>
      </c>
      <c r="D510" s="12" t="s">
        <v>337</v>
      </c>
      <c r="E510" s="10">
        <v>43620</v>
      </c>
      <c r="F510" s="8" t="s">
        <v>263</v>
      </c>
      <c r="G510" s="19" t="s">
        <v>336</v>
      </c>
      <c r="H510" s="18">
        <f ca="1">ROUNDDOWN(表3[[#This Row],[日期]]-TODAY(),1)</f>
        <v>-22</v>
      </c>
    </row>
    <row r="511" spans="1:8" hidden="1" x14ac:dyDescent="0.2">
      <c r="A511" s="19" t="s">
        <v>509</v>
      </c>
      <c r="B511" s="41">
        <v>43621</v>
      </c>
      <c r="C511" s="11">
        <v>13</v>
      </c>
      <c r="D511" s="12" t="s">
        <v>338</v>
      </c>
      <c r="E511" s="10">
        <v>43620</v>
      </c>
      <c r="F511" s="8" t="s">
        <v>263</v>
      </c>
      <c r="G511" s="19" t="s">
        <v>336</v>
      </c>
      <c r="H511" s="18">
        <f ca="1">ROUNDDOWN(表3[[#This Row],[日期]]-TODAY(),1)</f>
        <v>-22</v>
      </c>
    </row>
    <row r="512" spans="1:8" hidden="1" x14ac:dyDescent="0.2">
      <c r="A512" s="19" t="s">
        <v>509</v>
      </c>
      <c r="B512" s="41">
        <v>43621</v>
      </c>
      <c r="C512" s="11">
        <v>14</v>
      </c>
      <c r="D512" s="12" t="s">
        <v>339</v>
      </c>
      <c r="E512" s="10">
        <v>43620</v>
      </c>
      <c r="F512" s="8" t="s">
        <v>263</v>
      </c>
      <c r="G512" s="19" t="s">
        <v>336</v>
      </c>
      <c r="H512" s="18">
        <f ca="1">ROUNDDOWN(表3[[#This Row],[日期]]-TODAY(),1)</f>
        <v>-22</v>
      </c>
    </row>
    <row r="513" spans="1:8" hidden="1" x14ac:dyDescent="0.2">
      <c r="A513" s="19" t="s">
        <v>509</v>
      </c>
      <c r="B513" s="41">
        <v>43621</v>
      </c>
      <c r="C513" s="11">
        <v>15</v>
      </c>
      <c r="D513" s="12" t="s">
        <v>87</v>
      </c>
      <c r="E513" s="10">
        <v>43620</v>
      </c>
      <c r="F513" s="8" t="s">
        <v>263</v>
      </c>
      <c r="G513" s="19"/>
      <c r="H513" s="18">
        <f ca="1">ROUNDDOWN(表3[[#This Row],[日期]]-TODAY(),1)</f>
        <v>-22</v>
      </c>
    </row>
    <row r="514" spans="1:8" hidden="1" x14ac:dyDescent="0.2">
      <c r="A514" s="22" t="s">
        <v>509</v>
      </c>
      <c r="B514" s="43">
        <v>43621</v>
      </c>
      <c r="C514" s="23">
        <v>16</v>
      </c>
      <c r="D514" s="24" t="s">
        <v>89</v>
      </c>
      <c r="E514" s="25">
        <v>43621</v>
      </c>
      <c r="F514" s="26" t="s">
        <v>263</v>
      </c>
      <c r="G514" s="22"/>
      <c r="H514" s="21">
        <f ca="1">ROUNDDOWN(表3[[#This Row],[日期]]-TODAY(),1)</f>
        <v>-21</v>
      </c>
    </row>
    <row r="515" spans="1:8" hidden="1" x14ac:dyDescent="0.2">
      <c r="A515" s="22" t="s">
        <v>509</v>
      </c>
      <c r="B515" s="43">
        <v>43621</v>
      </c>
      <c r="C515" s="23">
        <v>17</v>
      </c>
      <c r="D515" s="24" t="s">
        <v>91</v>
      </c>
      <c r="E515" s="25">
        <v>43623</v>
      </c>
      <c r="F515" s="26" t="s">
        <v>263</v>
      </c>
      <c r="G515" s="22"/>
      <c r="H515" s="21">
        <f ca="1">ROUNDDOWN(表3[[#This Row],[日期]]-TODAY(),1)</f>
        <v>-19</v>
      </c>
    </row>
    <row r="516" spans="1:8" hidden="1" x14ac:dyDescent="0.2">
      <c r="A516" s="22" t="s">
        <v>509</v>
      </c>
      <c r="B516" s="43">
        <v>43621</v>
      </c>
      <c r="C516" s="23">
        <v>18</v>
      </c>
      <c r="D516" s="24" t="s">
        <v>251</v>
      </c>
      <c r="E516" s="25">
        <v>43624</v>
      </c>
      <c r="F516" s="26" t="s">
        <v>263</v>
      </c>
      <c r="G516" s="22"/>
      <c r="H516" s="21">
        <f ca="1">ROUNDDOWN(表3[[#This Row],[日期]]-TODAY(),1)</f>
        <v>-18</v>
      </c>
    </row>
    <row r="517" spans="1:8" hidden="1" x14ac:dyDescent="0.2">
      <c r="A517" s="22" t="s">
        <v>509</v>
      </c>
      <c r="B517" s="43">
        <v>43621</v>
      </c>
      <c r="C517" s="23">
        <v>19</v>
      </c>
      <c r="D517" s="24" t="s">
        <v>259</v>
      </c>
      <c r="E517" s="25">
        <v>43626</v>
      </c>
      <c r="F517" s="26" t="s">
        <v>263</v>
      </c>
      <c r="G517" s="22"/>
      <c r="H517" s="21">
        <f ca="1">ROUNDDOWN(表3[[#This Row],[日期]]-TODAY(),1)</f>
        <v>-16</v>
      </c>
    </row>
    <row r="518" spans="1:8" hidden="1" x14ac:dyDescent="0.2">
      <c r="A518" s="19" t="s">
        <v>2</v>
      </c>
      <c r="B518" s="41">
        <v>43621</v>
      </c>
      <c r="C518" s="11">
        <v>1</v>
      </c>
      <c r="D518" s="12" t="s">
        <v>523</v>
      </c>
      <c r="E518" s="10">
        <v>43612</v>
      </c>
      <c r="F518" s="8" t="s">
        <v>522</v>
      </c>
      <c r="G518" s="19" t="s">
        <v>29</v>
      </c>
      <c r="H518" s="18">
        <f ca="1">ROUNDDOWN(表3[[#This Row],[日期]]-TODAY(),1)</f>
        <v>-30</v>
      </c>
    </row>
    <row r="519" spans="1:8" hidden="1" x14ac:dyDescent="0.2">
      <c r="A519" s="19" t="s">
        <v>2</v>
      </c>
      <c r="B519" s="41">
        <v>43621</v>
      </c>
      <c r="C519" s="11">
        <v>2</v>
      </c>
      <c r="D519" s="12" t="s">
        <v>224</v>
      </c>
      <c r="E519" s="10">
        <v>43612</v>
      </c>
      <c r="F519" s="8" t="s">
        <v>522</v>
      </c>
      <c r="G519" s="19"/>
      <c r="H519" s="18">
        <f ca="1">ROUNDDOWN(表3[[#This Row],[日期]]-TODAY(),1)</f>
        <v>-30</v>
      </c>
    </row>
    <row r="520" spans="1:8" hidden="1" x14ac:dyDescent="0.2">
      <c r="A520" s="19" t="s">
        <v>2</v>
      </c>
      <c r="B520" s="41">
        <v>43621</v>
      </c>
      <c r="C520" s="11">
        <v>3</v>
      </c>
      <c r="D520" s="12" t="s">
        <v>60</v>
      </c>
      <c r="E520" s="10">
        <v>43612</v>
      </c>
      <c r="F520" s="8" t="s">
        <v>522</v>
      </c>
      <c r="G520" s="19" t="s">
        <v>31</v>
      </c>
      <c r="H520" s="18">
        <f ca="1">ROUNDDOWN(表3[[#This Row],[日期]]-TODAY(),1)</f>
        <v>-30</v>
      </c>
    </row>
    <row r="521" spans="1:8" hidden="1" x14ac:dyDescent="0.2">
      <c r="A521" s="19" t="s">
        <v>2</v>
      </c>
      <c r="B521" s="41">
        <v>43621</v>
      </c>
      <c r="C521" s="11">
        <v>4</v>
      </c>
      <c r="D521" s="12" t="s">
        <v>61</v>
      </c>
      <c r="E521" s="10">
        <v>43612</v>
      </c>
      <c r="F521" s="8" t="s">
        <v>528</v>
      </c>
      <c r="G521" s="19"/>
      <c r="H521" s="18">
        <f ca="1">ROUNDDOWN(表3[[#This Row],[日期]]-TODAY(),1)</f>
        <v>-30</v>
      </c>
    </row>
    <row r="522" spans="1:8" hidden="1" x14ac:dyDescent="0.2">
      <c r="A522" s="19" t="s">
        <v>2</v>
      </c>
      <c r="B522" s="41">
        <v>43621</v>
      </c>
      <c r="C522" s="11">
        <v>5</v>
      </c>
      <c r="D522" s="12" t="s">
        <v>62</v>
      </c>
      <c r="E522" s="10">
        <v>43612</v>
      </c>
      <c r="F522" s="8" t="s">
        <v>522</v>
      </c>
      <c r="G522" s="19" t="s">
        <v>43</v>
      </c>
      <c r="H522" s="18">
        <f ca="1">ROUNDDOWN(表3[[#This Row],[日期]]-TODAY(),1)</f>
        <v>-30</v>
      </c>
    </row>
    <row r="523" spans="1:8" hidden="1" x14ac:dyDescent="0.2">
      <c r="A523" s="19" t="s">
        <v>2</v>
      </c>
      <c r="B523" s="41">
        <v>43621</v>
      </c>
      <c r="C523" s="11">
        <v>6</v>
      </c>
      <c r="D523" s="12" t="s">
        <v>19</v>
      </c>
      <c r="E523" s="10">
        <v>43612</v>
      </c>
      <c r="F523" s="8" t="s">
        <v>522</v>
      </c>
      <c r="G523" s="19"/>
      <c r="H523" s="18">
        <f ca="1">ROUNDDOWN(表3[[#This Row],[日期]]-TODAY(),1)</f>
        <v>-30</v>
      </c>
    </row>
    <row r="524" spans="1:8" hidden="1" x14ac:dyDescent="0.2">
      <c r="A524" s="19" t="s">
        <v>2</v>
      </c>
      <c r="B524" s="41">
        <v>43621</v>
      </c>
      <c r="C524" s="11">
        <v>7</v>
      </c>
      <c r="D524" s="12" t="s">
        <v>21</v>
      </c>
      <c r="E524" s="10">
        <v>43612</v>
      </c>
      <c r="F524" s="8" t="s">
        <v>522</v>
      </c>
      <c r="G524" s="19"/>
      <c r="H524" s="18">
        <f ca="1">ROUNDDOWN(表3[[#This Row],[日期]]-TODAY(),1)</f>
        <v>-30</v>
      </c>
    </row>
    <row r="525" spans="1:8" hidden="1" x14ac:dyDescent="0.2">
      <c r="A525" s="19" t="s">
        <v>2</v>
      </c>
      <c r="B525" s="41">
        <v>43621</v>
      </c>
      <c r="C525" s="11">
        <v>8</v>
      </c>
      <c r="D525" s="12" t="s">
        <v>7</v>
      </c>
      <c r="E525" s="10">
        <v>43612</v>
      </c>
      <c r="F525" s="8" t="s">
        <v>522</v>
      </c>
      <c r="G525" s="19"/>
      <c r="H525" s="18">
        <f ca="1">ROUNDDOWN(表3[[#This Row],[日期]]-TODAY(),1)</f>
        <v>-30</v>
      </c>
    </row>
    <row r="526" spans="1:8" hidden="1" x14ac:dyDescent="0.2">
      <c r="A526" s="19" t="s">
        <v>2</v>
      </c>
      <c r="B526" s="41">
        <v>43621</v>
      </c>
      <c r="C526" s="11">
        <v>9</v>
      </c>
      <c r="D526" s="12" t="s">
        <v>9</v>
      </c>
      <c r="E526" s="10">
        <v>43612</v>
      </c>
      <c r="F526" s="8" t="s">
        <v>522</v>
      </c>
      <c r="G526" s="19"/>
      <c r="H526" s="18">
        <f ca="1">ROUNDDOWN(表3[[#This Row],[日期]]-TODAY(),1)</f>
        <v>-30</v>
      </c>
    </row>
    <row r="527" spans="1:8" hidden="1" x14ac:dyDescent="0.2">
      <c r="A527" s="19" t="s">
        <v>2</v>
      </c>
      <c r="B527" s="41">
        <v>43621</v>
      </c>
      <c r="C527" s="11">
        <v>10</v>
      </c>
      <c r="D527" s="12" t="s">
        <v>11</v>
      </c>
      <c r="E527" s="10">
        <v>43613</v>
      </c>
      <c r="F527" s="8" t="s">
        <v>263</v>
      </c>
      <c r="G527" s="19" t="s">
        <v>32</v>
      </c>
      <c r="H527" s="18">
        <f ca="1">ROUNDDOWN(表3[[#This Row],[日期]]-TODAY(),1)</f>
        <v>-29</v>
      </c>
    </row>
    <row r="528" spans="1:8" hidden="1" x14ac:dyDescent="0.2">
      <c r="A528" s="19" t="s">
        <v>2</v>
      </c>
      <c r="B528" s="41">
        <v>43621</v>
      </c>
      <c r="C528" s="11">
        <v>11</v>
      </c>
      <c r="D528" s="12" t="s">
        <v>58</v>
      </c>
      <c r="E528" s="10">
        <v>43613</v>
      </c>
      <c r="F528" s="8" t="s">
        <v>263</v>
      </c>
      <c r="G528" s="19"/>
      <c r="H528" s="18">
        <f ca="1">ROUNDDOWN(表3[[#This Row],[日期]]-TODAY(),1)</f>
        <v>-29</v>
      </c>
    </row>
    <row r="529" spans="1:8" hidden="1" x14ac:dyDescent="0.2">
      <c r="A529" s="19" t="s">
        <v>2</v>
      </c>
      <c r="B529" s="41">
        <v>43621</v>
      </c>
      <c r="C529" s="11">
        <v>12</v>
      </c>
      <c r="D529" s="12" t="s">
        <v>524</v>
      </c>
      <c r="E529" s="10">
        <v>43615</v>
      </c>
      <c r="F529" s="8" t="s">
        <v>263</v>
      </c>
      <c r="G529" s="19" t="s">
        <v>34</v>
      </c>
      <c r="H529" s="18">
        <f ca="1">ROUNDDOWN(表3[[#This Row],[日期]]-TODAY(),1)</f>
        <v>-27</v>
      </c>
    </row>
    <row r="530" spans="1:8" hidden="1" x14ac:dyDescent="0.2">
      <c r="A530" s="19" t="s">
        <v>2</v>
      </c>
      <c r="B530" s="41">
        <v>43621</v>
      </c>
      <c r="C530" s="11">
        <v>13</v>
      </c>
      <c r="D530" s="12" t="s">
        <v>39</v>
      </c>
      <c r="E530" s="10">
        <v>43615</v>
      </c>
      <c r="F530" s="8" t="s">
        <v>263</v>
      </c>
      <c r="G530" s="19"/>
      <c r="H530" s="18">
        <f ca="1">ROUNDDOWN(表3[[#This Row],[日期]]-TODAY(),1)</f>
        <v>-27</v>
      </c>
    </row>
    <row r="531" spans="1:8" hidden="1" x14ac:dyDescent="0.2">
      <c r="A531" s="19" t="s">
        <v>2</v>
      </c>
      <c r="B531" s="41">
        <v>43621</v>
      </c>
      <c r="C531" s="11">
        <v>14</v>
      </c>
      <c r="D531" s="12" t="s">
        <v>23</v>
      </c>
      <c r="E531" s="10">
        <v>43615</v>
      </c>
      <c r="F531" s="8" t="s">
        <v>263</v>
      </c>
      <c r="G531" s="19"/>
      <c r="H531" s="18">
        <f ca="1">ROUNDDOWN(表3[[#This Row],[日期]]-TODAY(),1)</f>
        <v>-27</v>
      </c>
    </row>
    <row r="532" spans="1:8" hidden="1" x14ac:dyDescent="0.2">
      <c r="A532" s="19" t="s">
        <v>2</v>
      </c>
      <c r="B532" s="41">
        <v>43621</v>
      </c>
      <c r="C532" s="11">
        <v>15</v>
      </c>
      <c r="D532" s="12" t="s">
        <v>25</v>
      </c>
      <c r="E532" s="10">
        <v>43615</v>
      </c>
      <c r="F532" s="8" t="s">
        <v>263</v>
      </c>
      <c r="G532" s="19"/>
      <c r="H532" s="18">
        <f ca="1">ROUNDDOWN(表3[[#This Row],[日期]]-TODAY(),1)</f>
        <v>-27</v>
      </c>
    </row>
    <row r="533" spans="1:8" hidden="1" x14ac:dyDescent="0.2">
      <c r="A533" s="19" t="s">
        <v>2</v>
      </c>
      <c r="B533" s="41">
        <v>43621</v>
      </c>
      <c r="C533" s="11">
        <v>16</v>
      </c>
      <c r="D533" s="12" t="s">
        <v>13</v>
      </c>
      <c r="E533" s="10">
        <v>43615</v>
      </c>
      <c r="F533" s="8" t="s">
        <v>263</v>
      </c>
      <c r="G533" s="19"/>
      <c r="H533" s="18">
        <f ca="1">ROUNDDOWN(表3[[#This Row],[日期]]-TODAY(),1)</f>
        <v>-27</v>
      </c>
    </row>
    <row r="534" spans="1:8" hidden="1" x14ac:dyDescent="0.2">
      <c r="A534" s="19" t="s">
        <v>2</v>
      </c>
      <c r="B534" s="41">
        <v>43621</v>
      </c>
      <c r="C534" s="11">
        <v>17</v>
      </c>
      <c r="D534" s="12" t="s">
        <v>15</v>
      </c>
      <c r="E534" s="10">
        <v>43615</v>
      </c>
      <c r="F534" s="8" t="s">
        <v>263</v>
      </c>
      <c r="G534" s="19"/>
      <c r="H534" s="18">
        <f ca="1">ROUNDDOWN(表3[[#This Row],[日期]]-TODAY(),1)</f>
        <v>-27</v>
      </c>
    </row>
    <row r="535" spans="1:8" hidden="1" x14ac:dyDescent="0.2">
      <c r="A535" s="19" t="s">
        <v>2</v>
      </c>
      <c r="B535" s="41">
        <v>43621</v>
      </c>
      <c r="C535" s="11">
        <v>18</v>
      </c>
      <c r="D535" s="12" t="s">
        <v>17</v>
      </c>
      <c r="E535" s="10">
        <v>43615</v>
      </c>
      <c r="F535" s="8" t="s">
        <v>263</v>
      </c>
      <c r="G535" s="19"/>
      <c r="H535" s="18">
        <f ca="1">ROUNDDOWN(表3[[#This Row],[日期]]-TODAY(),1)</f>
        <v>-27</v>
      </c>
    </row>
    <row r="536" spans="1:8" hidden="1" x14ac:dyDescent="0.2">
      <c r="A536" s="22" t="s">
        <v>2</v>
      </c>
      <c r="B536" s="43">
        <v>43621</v>
      </c>
      <c r="C536" s="23">
        <v>19</v>
      </c>
      <c r="D536" s="24" t="s">
        <v>56</v>
      </c>
      <c r="E536" s="25">
        <v>43615</v>
      </c>
      <c r="F536" s="26" t="s">
        <v>263</v>
      </c>
      <c r="G536" s="22"/>
      <c r="H536" s="21">
        <f ca="1">ROUNDDOWN(表3[[#This Row],[日期]]-TODAY(),1)</f>
        <v>-27</v>
      </c>
    </row>
    <row r="537" spans="1:8" hidden="1" x14ac:dyDescent="0.2">
      <c r="A537" s="19" t="s">
        <v>2</v>
      </c>
      <c r="B537" s="41">
        <v>43621</v>
      </c>
      <c r="C537" s="11">
        <v>20</v>
      </c>
      <c r="D537" s="12" t="s">
        <v>525</v>
      </c>
      <c r="E537" s="10">
        <v>43616</v>
      </c>
      <c r="F537" s="8" t="s">
        <v>263</v>
      </c>
      <c r="G537" s="19" t="s">
        <v>36</v>
      </c>
      <c r="H537" s="18">
        <f ca="1">ROUNDDOWN(表3[[#This Row],[日期]]-TODAY(),1)</f>
        <v>-26</v>
      </c>
    </row>
    <row r="538" spans="1:8" hidden="1" x14ac:dyDescent="0.2">
      <c r="A538" s="19" t="s">
        <v>2</v>
      </c>
      <c r="B538" s="41">
        <v>43621</v>
      </c>
      <c r="C538" s="11">
        <v>21</v>
      </c>
      <c r="D538" s="12" t="s">
        <v>38</v>
      </c>
      <c r="E538" s="10">
        <v>43616</v>
      </c>
      <c r="F538" s="8" t="s">
        <v>263</v>
      </c>
      <c r="G538" s="19"/>
      <c r="H538" s="18">
        <f ca="1">ROUNDDOWN(表3[[#This Row],[日期]]-TODAY(),1)</f>
        <v>-26</v>
      </c>
    </row>
    <row r="539" spans="1:8" hidden="1" x14ac:dyDescent="0.2">
      <c r="A539" s="19" t="s">
        <v>2</v>
      </c>
      <c r="B539" s="41">
        <v>43621</v>
      </c>
      <c r="C539" s="11">
        <v>22</v>
      </c>
      <c r="D539" s="12" t="s">
        <v>41</v>
      </c>
      <c r="E539" s="10">
        <v>43616</v>
      </c>
      <c r="F539" s="8" t="s">
        <v>263</v>
      </c>
      <c r="G539" s="19"/>
      <c r="H539" s="18">
        <f ca="1">ROUNDDOWN(表3[[#This Row],[日期]]-TODAY(),1)</f>
        <v>-26</v>
      </c>
    </row>
    <row r="540" spans="1:8" hidden="1" x14ac:dyDescent="0.2">
      <c r="A540" s="19" t="s">
        <v>2</v>
      </c>
      <c r="B540" s="41">
        <v>43621</v>
      </c>
      <c r="C540" s="11">
        <v>23</v>
      </c>
      <c r="D540" s="12" t="s">
        <v>508</v>
      </c>
      <c r="E540" s="10">
        <v>43616</v>
      </c>
      <c r="F540" s="8" t="s">
        <v>263</v>
      </c>
      <c r="G540" s="19" t="s">
        <v>43</v>
      </c>
      <c r="H540" s="18">
        <f ca="1">ROUNDDOWN(表3[[#This Row],[日期]]-TODAY(),1)</f>
        <v>-26</v>
      </c>
    </row>
    <row r="541" spans="1:8" hidden="1" x14ac:dyDescent="0.2">
      <c r="A541" s="19" t="s">
        <v>2</v>
      </c>
      <c r="B541" s="41">
        <v>43621</v>
      </c>
      <c r="C541" s="11">
        <v>24</v>
      </c>
      <c r="D541" s="12" t="s">
        <v>225</v>
      </c>
      <c r="E541" s="10">
        <v>43616</v>
      </c>
      <c r="F541" s="8" t="s">
        <v>263</v>
      </c>
      <c r="G541" s="19" t="s">
        <v>200</v>
      </c>
      <c r="H541" s="18">
        <f ca="1">ROUNDDOWN(表3[[#This Row],[日期]]-TODAY(),1)</f>
        <v>-26</v>
      </c>
    </row>
    <row r="542" spans="1:8" hidden="1" x14ac:dyDescent="0.2">
      <c r="A542" s="19" t="s">
        <v>2</v>
      </c>
      <c r="B542" s="41">
        <v>43621</v>
      </c>
      <c r="C542" s="11">
        <v>25</v>
      </c>
      <c r="D542" s="12" t="s">
        <v>63</v>
      </c>
      <c r="E542" s="10">
        <v>43616</v>
      </c>
      <c r="F542" s="8" t="s">
        <v>263</v>
      </c>
      <c r="G542" s="19"/>
      <c r="H542" s="18">
        <f ca="1">ROUNDDOWN(表3[[#This Row],[日期]]-TODAY(),1)</f>
        <v>-26</v>
      </c>
    </row>
    <row r="543" spans="1:8" hidden="1" x14ac:dyDescent="0.2">
      <c r="A543" s="22" t="s">
        <v>2</v>
      </c>
      <c r="B543" s="43">
        <v>43621</v>
      </c>
      <c r="C543" s="23">
        <v>26</v>
      </c>
      <c r="D543" s="24" t="s">
        <v>45</v>
      </c>
      <c r="E543" s="25">
        <v>43616</v>
      </c>
      <c r="F543" s="26" t="s">
        <v>263</v>
      </c>
      <c r="G543" s="22"/>
      <c r="H543" s="21">
        <f ca="1">ROUNDDOWN(表3[[#This Row],[日期]]-TODAY(),1)</f>
        <v>-26</v>
      </c>
    </row>
    <row r="544" spans="1:8" hidden="1" x14ac:dyDescent="0.2">
      <c r="A544" s="19" t="s">
        <v>2</v>
      </c>
      <c r="B544" s="41">
        <v>43621</v>
      </c>
      <c r="C544" s="11">
        <v>27</v>
      </c>
      <c r="D544" s="12" t="s">
        <v>81</v>
      </c>
      <c r="E544" s="10">
        <v>43616</v>
      </c>
      <c r="F544" s="8" t="s">
        <v>263</v>
      </c>
      <c r="G544" s="19"/>
      <c r="H544" s="18">
        <f ca="1">ROUNDDOWN(表3[[#This Row],[日期]]-TODAY(),1)</f>
        <v>-26</v>
      </c>
    </row>
    <row r="545" spans="1:8" hidden="1" x14ac:dyDescent="0.2">
      <c r="A545" s="19" t="s">
        <v>2</v>
      </c>
      <c r="B545" s="41">
        <v>43621</v>
      </c>
      <c r="C545" s="11">
        <v>28</v>
      </c>
      <c r="D545" s="12" t="s">
        <v>77</v>
      </c>
      <c r="E545" s="10">
        <v>43616</v>
      </c>
      <c r="F545" s="8" t="s">
        <v>263</v>
      </c>
      <c r="G545" s="19"/>
      <c r="H545" s="18">
        <f ca="1">ROUNDDOWN(表3[[#This Row],[日期]]-TODAY(),1)</f>
        <v>-26</v>
      </c>
    </row>
    <row r="546" spans="1:8" hidden="1" x14ac:dyDescent="0.2">
      <c r="A546" s="19" t="s">
        <v>2</v>
      </c>
      <c r="B546" s="41">
        <v>43621</v>
      </c>
      <c r="C546" s="11">
        <v>29</v>
      </c>
      <c r="D546" s="12" t="s">
        <v>79</v>
      </c>
      <c r="E546" s="10">
        <v>43616</v>
      </c>
      <c r="F546" s="8" t="s">
        <v>263</v>
      </c>
      <c r="G546" s="19"/>
      <c r="H546" s="18">
        <f ca="1">ROUNDDOWN(表3[[#This Row],[日期]]-TODAY(),1)</f>
        <v>-26</v>
      </c>
    </row>
    <row r="547" spans="1:8" hidden="1" x14ac:dyDescent="0.2">
      <c r="A547" s="19" t="s">
        <v>2</v>
      </c>
      <c r="B547" s="41">
        <v>43621</v>
      </c>
      <c r="C547" s="11">
        <v>30</v>
      </c>
      <c r="D547" s="12" t="s">
        <v>224</v>
      </c>
      <c r="E547" s="10">
        <v>43616</v>
      </c>
      <c r="F547" s="8" t="s">
        <v>263</v>
      </c>
      <c r="G547" s="19"/>
      <c r="H547" s="18">
        <f ca="1">ROUNDDOWN(表3[[#This Row],[日期]]-TODAY(),1)</f>
        <v>-26</v>
      </c>
    </row>
    <row r="548" spans="1:8" hidden="1" x14ac:dyDescent="0.2">
      <c r="A548" s="19" t="s">
        <v>2</v>
      </c>
      <c r="B548" s="41">
        <v>43621</v>
      </c>
      <c r="C548" s="11">
        <v>31</v>
      </c>
      <c r="D548" s="12" t="s">
        <v>49</v>
      </c>
      <c r="E548" s="10">
        <v>43616</v>
      </c>
      <c r="F548" s="8" t="s">
        <v>263</v>
      </c>
      <c r="G548" s="19" t="s">
        <v>43</v>
      </c>
      <c r="H548" s="18">
        <f ca="1">ROUNDDOWN(表3[[#This Row],[日期]]-TODAY(),1)</f>
        <v>-26</v>
      </c>
    </row>
    <row r="549" spans="1:8" hidden="1" x14ac:dyDescent="0.2">
      <c r="A549" s="19" t="s">
        <v>2</v>
      </c>
      <c r="B549" s="41">
        <v>43621</v>
      </c>
      <c r="C549" s="11">
        <v>32</v>
      </c>
      <c r="D549" s="12" t="s">
        <v>54</v>
      </c>
      <c r="E549" s="10">
        <v>43616</v>
      </c>
      <c r="F549" s="8" t="s">
        <v>263</v>
      </c>
      <c r="G549" s="19"/>
      <c r="H549" s="18">
        <f ca="1">ROUNDDOWN(表3[[#This Row],[日期]]-TODAY(),1)</f>
        <v>-26</v>
      </c>
    </row>
    <row r="550" spans="1:8" hidden="1" x14ac:dyDescent="0.2">
      <c r="A550" s="19" t="s">
        <v>2</v>
      </c>
      <c r="B550" s="41">
        <v>43621</v>
      </c>
      <c r="C550" s="11">
        <v>33</v>
      </c>
      <c r="D550" s="12" t="s">
        <v>69</v>
      </c>
      <c r="E550" s="10">
        <v>43616</v>
      </c>
      <c r="F550" s="8" t="s">
        <v>263</v>
      </c>
      <c r="G550" s="19" t="s">
        <v>66</v>
      </c>
      <c r="H550" s="18">
        <f ca="1">ROUNDDOWN(表3[[#This Row],[日期]]-TODAY(),1)</f>
        <v>-26</v>
      </c>
    </row>
    <row r="551" spans="1:8" hidden="1" x14ac:dyDescent="0.2">
      <c r="A551" s="19" t="s">
        <v>2</v>
      </c>
      <c r="B551" s="41">
        <v>43621</v>
      </c>
      <c r="C551" s="11">
        <v>34</v>
      </c>
      <c r="D551" s="12" t="s">
        <v>64</v>
      </c>
      <c r="E551" s="10">
        <v>43616</v>
      </c>
      <c r="F551" s="8" t="s">
        <v>263</v>
      </c>
      <c r="G551" s="19"/>
      <c r="H551" s="18">
        <f ca="1">ROUNDDOWN(表3[[#This Row],[日期]]-TODAY(),1)</f>
        <v>-26</v>
      </c>
    </row>
    <row r="552" spans="1:8" hidden="1" x14ac:dyDescent="0.2">
      <c r="A552" s="19" t="s">
        <v>2</v>
      </c>
      <c r="B552" s="41">
        <v>43621</v>
      </c>
      <c r="C552" s="11">
        <v>35</v>
      </c>
      <c r="D552" s="12" t="s">
        <v>526</v>
      </c>
      <c r="E552" s="10">
        <v>43616</v>
      </c>
      <c r="F552" s="8" t="s">
        <v>263</v>
      </c>
      <c r="G552" s="19" t="s">
        <v>32</v>
      </c>
      <c r="H552" s="18">
        <f ca="1">ROUNDDOWN(表3[[#This Row],[日期]]-TODAY(),1)</f>
        <v>-26</v>
      </c>
    </row>
    <row r="553" spans="1:8" hidden="1" x14ac:dyDescent="0.2">
      <c r="A553" s="19" t="s">
        <v>2</v>
      </c>
      <c r="B553" s="41">
        <v>43621</v>
      </c>
      <c r="C553" s="11">
        <v>36</v>
      </c>
      <c r="D553" s="12" t="s">
        <v>527</v>
      </c>
      <c r="E553" s="10">
        <v>43617</v>
      </c>
      <c r="F553" s="8" t="s">
        <v>263</v>
      </c>
      <c r="G553" s="19" t="s">
        <v>43</v>
      </c>
      <c r="H553" s="18">
        <f ca="1">ROUNDDOWN(表3[[#This Row],[日期]]-TODAY(),1)</f>
        <v>-25</v>
      </c>
    </row>
    <row r="554" spans="1:8" hidden="1" x14ac:dyDescent="0.2">
      <c r="A554" s="19" t="s">
        <v>2</v>
      </c>
      <c r="B554" s="41">
        <v>43621</v>
      </c>
      <c r="C554" s="11">
        <v>37</v>
      </c>
      <c r="D554" s="12" t="s">
        <v>75</v>
      </c>
      <c r="E554" s="10">
        <v>43616</v>
      </c>
      <c r="F554" s="8" t="s">
        <v>263</v>
      </c>
      <c r="G554" s="19"/>
      <c r="H554" s="18">
        <f ca="1">ROUNDDOWN(表3[[#This Row],[日期]]-TODAY(),1)</f>
        <v>-26</v>
      </c>
    </row>
    <row r="555" spans="1:8" hidden="1" x14ac:dyDescent="0.2">
      <c r="A555" s="19" t="s">
        <v>2</v>
      </c>
      <c r="B555" s="41">
        <v>43621</v>
      </c>
      <c r="C555" s="11">
        <v>38</v>
      </c>
      <c r="D555" s="12" t="s">
        <v>83</v>
      </c>
      <c r="E555" s="10">
        <v>43618</v>
      </c>
      <c r="F555" s="8" t="s">
        <v>263</v>
      </c>
      <c r="G555" s="19"/>
      <c r="H555" s="18">
        <f ca="1">ROUNDDOWN(表3[[#This Row],[日期]]-TODAY(),1)</f>
        <v>-24</v>
      </c>
    </row>
    <row r="556" spans="1:8" hidden="1" x14ac:dyDescent="0.2">
      <c r="A556" s="19" t="s">
        <v>2</v>
      </c>
      <c r="B556" s="41">
        <v>43621</v>
      </c>
      <c r="C556" s="11">
        <v>39</v>
      </c>
      <c r="D556" s="12" t="s">
        <v>85</v>
      </c>
      <c r="E556" s="10">
        <v>43618</v>
      </c>
      <c r="F556" s="8" t="s">
        <v>263</v>
      </c>
      <c r="G556" s="19"/>
      <c r="H556" s="18">
        <f ca="1">ROUNDDOWN(表3[[#This Row],[日期]]-TODAY(),1)</f>
        <v>-24</v>
      </c>
    </row>
    <row r="557" spans="1:8" hidden="1" x14ac:dyDescent="0.2">
      <c r="A557" s="19" t="s">
        <v>2</v>
      </c>
      <c r="B557" s="41">
        <v>43621</v>
      </c>
      <c r="C557" s="11">
        <v>40</v>
      </c>
      <c r="D557" s="12" t="s">
        <v>172</v>
      </c>
      <c r="E557" s="10">
        <v>43618</v>
      </c>
      <c r="F557" s="8" t="s">
        <v>263</v>
      </c>
      <c r="G557" s="19"/>
      <c r="H557" s="18">
        <f ca="1">ROUNDDOWN(表3[[#This Row],[日期]]-TODAY(),1)</f>
        <v>-24</v>
      </c>
    </row>
    <row r="558" spans="1:8" hidden="1" x14ac:dyDescent="0.2">
      <c r="A558" s="19" t="s">
        <v>2</v>
      </c>
      <c r="B558" s="41">
        <v>43621</v>
      </c>
      <c r="C558" s="11">
        <v>41</v>
      </c>
      <c r="D558" s="12" t="s">
        <v>71</v>
      </c>
      <c r="E558" s="10">
        <v>43618</v>
      </c>
      <c r="F558" s="8" t="s">
        <v>263</v>
      </c>
      <c r="G558" s="19" t="s">
        <v>73</v>
      </c>
      <c r="H558" s="18">
        <f ca="1">ROUNDDOWN(表3[[#This Row],[日期]]-TODAY(),1)</f>
        <v>-24</v>
      </c>
    </row>
    <row r="559" spans="1:8" hidden="1" x14ac:dyDescent="0.2">
      <c r="A559" s="19" t="s">
        <v>2</v>
      </c>
      <c r="B559" s="41">
        <v>43621</v>
      </c>
      <c r="C559" s="11">
        <v>42</v>
      </c>
      <c r="D559" s="12" t="s">
        <v>87</v>
      </c>
      <c r="E559" s="10">
        <v>43618</v>
      </c>
      <c r="F559" s="8" t="s">
        <v>263</v>
      </c>
      <c r="G559" s="19"/>
      <c r="H559" s="18">
        <f ca="1">ROUNDDOWN(表3[[#This Row],[日期]]-TODAY(),1)</f>
        <v>-24</v>
      </c>
    </row>
    <row r="560" spans="1:8" hidden="1" x14ac:dyDescent="0.2">
      <c r="A560" s="19" t="s">
        <v>2</v>
      </c>
      <c r="B560" s="41">
        <v>43621</v>
      </c>
      <c r="C560" s="11">
        <v>43</v>
      </c>
      <c r="D560" s="12" t="s">
        <v>89</v>
      </c>
      <c r="E560" s="10">
        <v>43620</v>
      </c>
      <c r="F560" s="8" t="s">
        <v>263</v>
      </c>
      <c r="G560" s="19"/>
      <c r="H560" s="18">
        <f ca="1">ROUNDDOWN(表3[[#This Row],[日期]]-TODAY(),1)</f>
        <v>-22</v>
      </c>
    </row>
    <row r="561" spans="1:8" hidden="1" x14ac:dyDescent="0.2">
      <c r="A561" s="19" t="s">
        <v>2</v>
      </c>
      <c r="B561" s="41">
        <v>43621</v>
      </c>
      <c r="C561" s="11">
        <v>44</v>
      </c>
      <c r="D561" s="12" t="s">
        <v>91</v>
      </c>
      <c r="E561" s="10">
        <v>43621</v>
      </c>
      <c r="F561" s="8" t="s">
        <v>263</v>
      </c>
      <c r="G561" s="19"/>
      <c r="H561" s="18">
        <f ca="1">ROUNDDOWN(表3[[#This Row],[日期]]-TODAY(),1)</f>
        <v>-21</v>
      </c>
    </row>
    <row r="562" spans="1:8" hidden="1" x14ac:dyDescent="0.2">
      <c r="A562" s="19" t="s">
        <v>2</v>
      </c>
      <c r="B562" s="41">
        <v>43621</v>
      </c>
      <c r="C562" s="11">
        <v>45</v>
      </c>
      <c r="D562" s="12" t="s">
        <v>635</v>
      </c>
      <c r="E562" s="10">
        <v>43621</v>
      </c>
      <c r="F562" s="8" t="s">
        <v>263</v>
      </c>
      <c r="G562" s="19"/>
      <c r="H562" s="18">
        <f ca="1">ROUNDDOWN(表3[[#This Row],[日期]]-TODAY(),1)</f>
        <v>-21</v>
      </c>
    </row>
    <row r="563" spans="1:8" hidden="1" x14ac:dyDescent="0.2">
      <c r="A563" s="19" t="s">
        <v>2</v>
      </c>
      <c r="B563" s="41">
        <v>43621</v>
      </c>
      <c r="C563" s="11">
        <v>46</v>
      </c>
      <c r="D563" s="12" t="s">
        <v>331</v>
      </c>
      <c r="E563" s="10">
        <v>43624</v>
      </c>
      <c r="F563" s="8" t="s">
        <v>263</v>
      </c>
      <c r="G563" s="19"/>
      <c r="H563" s="18">
        <f ca="1">ROUNDDOWN(表3[[#This Row],[日期]]-TODAY(),1)</f>
        <v>-18</v>
      </c>
    </row>
    <row r="564" spans="1:8" hidden="1" x14ac:dyDescent="0.2">
      <c r="A564" s="19" t="s">
        <v>2</v>
      </c>
      <c r="B564" s="41">
        <v>43621</v>
      </c>
      <c r="C564" s="11">
        <v>47</v>
      </c>
      <c r="D564" s="12" t="s">
        <v>95</v>
      </c>
      <c r="E564" s="10">
        <v>43626</v>
      </c>
      <c r="F564" s="8" t="s">
        <v>263</v>
      </c>
      <c r="G564" s="19" t="s">
        <v>132</v>
      </c>
      <c r="H564" s="18">
        <f ca="1">ROUNDDOWN(表3[[#This Row],[日期]]-TODAY(),1)</f>
        <v>-16</v>
      </c>
    </row>
    <row r="565" spans="1:8" hidden="1" x14ac:dyDescent="0.2">
      <c r="A565" s="19" t="s">
        <v>487</v>
      </c>
      <c r="B565" s="41">
        <v>43621</v>
      </c>
      <c r="C565" s="11">
        <v>1</v>
      </c>
      <c r="D565" s="12" t="s">
        <v>421</v>
      </c>
      <c r="E565" s="10">
        <v>43608</v>
      </c>
      <c r="F565" s="8" t="s">
        <v>263</v>
      </c>
      <c r="G565" s="19"/>
      <c r="H565" s="18">
        <f ca="1">ROUNDDOWN(表3[[#This Row],[日期]]-TODAY(),1)</f>
        <v>-34</v>
      </c>
    </row>
    <row r="566" spans="1:8" hidden="1" x14ac:dyDescent="0.2">
      <c r="A566" s="19" t="s">
        <v>487</v>
      </c>
      <c r="B566" s="41">
        <v>43621</v>
      </c>
      <c r="C566" s="11">
        <v>2</v>
      </c>
      <c r="D566" s="12" t="s">
        <v>422</v>
      </c>
      <c r="E566" s="10">
        <v>43612</v>
      </c>
      <c r="F566" s="8" t="s">
        <v>263</v>
      </c>
      <c r="G566" s="19"/>
      <c r="H566" s="18">
        <f ca="1">ROUNDDOWN(表3[[#This Row],[日期]]-TODAY(),1)</f>
        <v>-30</v>
      </c>
    </row>
    <row r="567" spans="1:8" hidden="1" x14ac:dyDescent="0.2">
      <c r="A567" s="19" t="s">
        <v>487</v>
      </c>
      <c r="B567" s="41">
        <v>43621</v>
      </c>
      <c r="C567" s="11">
        <v>3</v>
      </c>
      <c r="D567" s="12" t="s">
        <v>21</v>
      </c>
      <c r="E567" s="10">
        <v>43612</v>
      </c>
      <c r="F567" s="8" t="s">
        <v>263</v>
      </c>
      <c r="G567" s="19"/>
      <c r="H567" s="18">
        <f ca="1">ROUNDDOWN(表3[[#This Row],[日期]]-TODAY(),1)</f>
        <v>-30</v>
      </c>
    </row>
    <row r="568" spans="1:8" hidden="1" x14ac:dyDescent="0.2">
      <c r="A568" s="19" t="s">
        <v>487</v>
      </c>
      <c r="B568" s="41">
        <v>43621</v>
      </c>
      <c r="C568" s="11">
        <v>4</v>
      </c>
      <c r="D568" s="12" t="s">
        <v>149</v>
      </c>
      <c r="E568" s="10">
        <v>43615</v>
      </c>
      <c r="F568" s="8" t="s">
        <v>263</v>
      </c>
      <c r="G568" s="19" t="s">
        <v>137</v>
      </c>
      <c r="H568" s="18">
        <f ca="1">ROUNDDOWN(表3[[#This Row],[日期]]-TODAY(),1)</f>
        <v>-27</v>
      </c>
    </row>
    <row r="569" spans="1:8" hidden="1" x14ac:dyDescent="0.2">
      <c r="A569" s="19" t="s">
        <v>487</v>
      </c>
      <c r="B569" s="41">
        <v>43621</v>
      </c>
      <c r="C569" s="11">
        <v>5</v>
      </c>
      <c r="D569" s="12" t="s">
        <v>140</v>
      </c>
      <c r="E569" s="10">
        <v>43615</v>
      </c>
      <c r="F569" s="8" t="s">
        <v>263</v>
      </c>
      <c r="G569" s="19"/>
      <c r="H569" s="18">
        <f ca="1">ROUNDDOWN(表3[[#This Row],[日期]]-TODAY(),1)</f>
        <v>-27</v>
      </c>
    </row>
    <row r="570" spans="1:8" hidden="1" x14ac:dyDescent="0.2">
      <c r="A570" s="19" t="s">
        <v>488</v>
      </c>
      <c r="B570" s="41">
        <v>43621</v>
      </c>
      <c r="C570" s="11">
        <v>6</v>
      </c>
      <c r="D570" s="12" t="s">
        <v>139</v>
      </c>
      <c r="E570" s="10">
        <v>43615</v>
      </c>
      <c r="F570" s="8" t="s">
        <v>263</v>
      </c>
      <c r="G570" s="19"/>
      <c r="H570" s="18">
        <f ca="1">ROUNDDOWN(表3[[#This Row],[日期]]-TODAY(),1)</f>
        <v>-27</v>
      </c>
    </row>
    <row r="571" spans="1:8" hidden="1" x14ac:dyDescent="0.2">
      <c r="A571" s="22" t="s">
        <v>487</v>
      </c>
      <c r="B571" s="43">
        <v>43621</v>
      </c>
      <c r="C571" s="23">
        <v>7</v>
      </c>
      <c r="D571" s="24" t="s">
        <v>333</v>
      </c>
      <c r="E571" s="25">
        <v>43616</v>
      </c>
      <c r="F571" s="26" t="s">
        <v>263</v>
      </c>
      <c r="G571" s="22" t="s">
        <v>143</v>
      </c>
      <c r="H571" s="21">
        <f ca="1">ROUNDDOWN(表3[[#This Row],[日期]]-TODAY(),1)</f>
        <v>-26</v>
      </c>
    </row>
    <row r="572" spans="1:8" hidden="1" x14ac:dyDescent="0.2">
      <c r="A572" s="19" t="s">
        <v>489</v>
      </c>
      <c r="B572" s="41">
        <v>43621</v>
      </c>
      <c r="C572" s="11">
        <v>8</v>
      </c>
      <c r="D572" s="12" t="s">
        <v>486</v>
      </c>
      <c r="E572" s="10">
        <v>43620</v>
      </c>
      <c r="F572" s="8" t="s">
        <v>263</v>
      </c>
      <c r="G572" s="19"/>
      <c r="H572" s="18">
        <f ca="1">ROUNDDOWN(表3[[#This Row],[日期]]-TODAY(),1)</f>
        <v>-22</v>
      </c>
    </row>
    <row r="573" spans="1:8" hidden="1" x14ac:dyDescent="0.2">
      <c r="A573" s="19" t="s">
        <v>487</v>
      </c>
      <c r="B573" s="41">
        <v>43621</v>
      </c>
      <c r="C573" s="11">
        <v>9</v>
      </c>
      <c r="D573" s="12" t="s">
        <v>334</v>
      </c>
      <c r="E573" s="10">
        <v>43616</v>
      </c>
      <c r="F573" s="8" t="s">
        <v>263</v>
      </c>
      <c r="G573" s="19" t="s">
        <v>153</v>
      </c>
      <c r="H573" s="18">
        <f ca="1">ROUNDDOWN(表3[[#This Row],[日期]]-TODAY(),1)</f>
        <v>-26</v>
      </c>
    </row>
    <row r="574" spans="1:8" hidden="1" x14ac:dyDescent="0.2">
      <c r="A574" s="19" t="s">
        <v>489</v>
      </c>
      <c r="B574" s="41">
        <v>43621</v>
      </c>
      <c r="C574" s="11">
        <v>10</v>
      </c>
      <c r="D574" s="12" t="s">
        <v>215</v>
      </c>
      <c r="E574" s="10">
        <v>43616</v>
      </c>
      <c r="F574" s="8" t="s">
        <v>263</v>
      </c>
      <c r="G574" s="19"/>
      <c r="H574" s="18">
        <f ca="1">ROUNDDOWN(表3[[#This Row],[日期]]-TODAY(),1)</f>
        <v>-26</v>
      </c>
    </row>
    <row r="575" spans="1:8" hidden="1" x14ac:dyDescent="0.2">
      <c r="A575" s="19" t="s">
        <v>487</v>
      </c>
      <c r="B575" s="41">
        <v>43621</v>
      </c>
      <c r="C575" s="11">
        <v>11</v>
      </c>
      <c r="D575" s="12" t="s">
        <v>338</v>
      </c>
      <c r="E575" s="10">
        <v>43616</v>
      </c>
      <c r="F575" s="8" t="s">
        <v>263</v>
      </c>
      <c r="G575" s="19" t="s">
        <v>336</v>
      </c>
      <c r="H575" s="18">
        <f ca="1">ROUNDDOWN(表3[[#This Row],[日期]]-TODAY(),1)</f>
        <v>-26</v>
      </c>
    </row>
    <row r="576" spans="1:8" hidden="1" x14ac:dyDescent="0.2">
      <c r="A576" s="19" t="s">
        <v>487</v>
      </c>
      <c r="B576" s="41">
        <v>43621</v>
      </c>
      <c r="C576" s="11">
        <v>12</v>
      </c>
      <c r="D576" s="12" t="s">
        <v>339</v>
      </c>
      <c r="E576" s="10">
        <v>43616</v>
      </c>
      <c r="F576" s="8" t="s">
        <v>263</v>
      </c>
      <c r="G576" s="19" t="s">
        <v>336</v>
      </c>
      <c r="H576" s="18">
        <f ca="1">ROUNDDOWN(表3[[#This Row],[日期]]-TODAY(),1)</f>
        <v>-26</v>
      </c>
    </row>
    <row r="577" spans="1:8" hidden="1" x14ac:dyDescent="0.2">
      <c r="A577" s="19" t="s">
        <v>487</v>
      </c>
      <c r="B577" s="41">
        <v>43621</v>
      </c>
      <c r="C577" s="11">
        <v>13</v>
      </c>
      <c r="D577" s="12" t="s">
        <v>335</v>
      </c>
      <c r="E577" s="10">
        <v>43616</v>
      </c>
      <c r="F577" s="8" t="s">
        <v>263</v>
      </c>
      <c r="G577" s="19" t="s">
        <v>336</v>
      </c>
      <c r="H577" s="18">
        <f ca="1">ROUNDDOWN(表3[[#This Row],[日期]]-TODAY(),1)</f>
        <v>-26</v>
      </c>
    </row>
    <row r="578" spans="1:8" hidden="1" x14ac:dyDescent="0.2">
      <c r="A578" s="19" t="s">
        <v>487</v>
      </c>
      <c r="B578" s="41">
        <v>43621</v>
      </c>
      <c r="C578" s="11">
        <v>14</v>
      </c>
      <c r="D578" s="12" t="s">
        <v>337</v>
      </c>
      <c r="E578" s="10">
        <v>43616</v>
      </c>
      <c r="F578" s="8" t="s">
        <v>263</v>
      </c>
      <c r="G578" s="19" t="s">
        <v>336</v>
      </c>
      <c r="H578" s="18">
        <f ca="1">ROUNDDOWN(表3[[#This Row],[日期]]-TODAY(),1)</f>
        <v>-26</v>
      </c>
    </row>
    <row r="579" spans="1:8" hidden="1" x14ac:dyDescent="0.2">
      <c r="A579" s="19" t="s">
        <v>487</v>
      </c>
      <c r="B579" s="41">
        <v>43621</v>
      </c>
      <c r="C579" s="11">
        <v>15</v>
      </c>
      <c r="D579" s="12" t="s">
        <v>87</v>
      </c>
      <c r="E579" s="10">
        <v>43616</v>
      </c>
      <c r="F579" s="8" t="s">
        <v>263</v>
      </c>
      <c r="G579" s="19"/>
      <c r="H579" s="18">
        <f ca="1">ROUNDDOWN(表3[[#This Row],[日期]]-TODAY(),1)</f>
        <v>-26</v>
      </c>
    </row>
    <row r="580" spans="1:8" hidden="1" x14ac:dyDescent="0.2">
      <c r="A580" s="19" t="s">
        <v>487</v>
      </c>
      <c r="B580" s="41">
        <v>43621</v>
      </c>
      <c r="C580" s="11">
        <v>16</v>
      </c>
      <c r="D580" s="12" t="s">
        <v>89</v>
      </c>
      <c r="E580" s="10">
        <v>43619</v>
      </c>
      <c r="F580" s="8" t="s">
        <v>263</v>
      </c>
      <c r="G580" s="19"/>
      <c r="H580" s="18">
        <f ca="1">ROUNDDOWN(表3[[#This Row],[日期]]-TODAY(),1)</f>
        <v>-23</v>
      </c>
    </row>
    <row r="581" spans="1:8" hidden="1" x14ac:dyDescent="0.2">
      <c r="A581" s="19" t="s">
        <v>487</v>
      </c>
      <c r="B581" s="41">
        <v>43621</v>
      </c>
      <c r="C581" s="11">
        <v>17</v>
      </c>
      <c r="D581" s="12" t="s">
        <v>91</v>
      </c>
      <c r="E581" s="10">
        <v>43621</v>
      </c>
      <c r="F581" s="8" t="s">
        <v>263</v>
      </c>
      <c r="G581" s="19"/>
      <c r="H581" s="18">
        <f ca="1">ROUNDDOWN(表3[[#This Row],[日期]]-TODAY(),1)</f>
        <v>-21</v>
      </c>
    </row>
    <row r="582" spans="1:8" hidden="1" x14ac:dyDescent="0.2">
      <c r="A582" s="19" t="s">
        <v>489</v>
      </c>
      <c r="B582" s="41">
        <v>43621</v>
      </c>
      <c r="C582" s="11">
        <v>18</v>
      </c>
      <c r="D582" s="12" t="s">
        <v>251</v>
      </c>
      <c r="E582" s="10">
        <v>43622</v>
      </c>
      <c r="F582" s="8" t="s">
        <v>263</v>
      </c>
      <c r="G582" s="19"/>
      <c r="H582" s="18">
        <f ca="1">ROUNDDOWN(表3[[#This Row],[日期]]-TODAY(),1)</f>
        <v>-20</v>
      </c>
    </row>
    <row r="583" spans="1:8" hidden="1" x14ac:dyDescent="0.2">
      <c r="A583" s="19" t="s">
        <v>487</v>
      </c>
      <c r="B583" s="41">
        <v>43621</v>
      </c>
      <c r="C583" s="11">
        <v>19</v>
      </c>
      <c r="D583" s="12" t="s">
        <v>259</v>
      </c>
      <c r="E583" s="10">
        <v>43626</v>
      </c>
      <c r="F583" s="8" t="s">
        <v>263</v>
      </c>
      <c r="G583" s="19"/>
      <c r="H583" s="18">
        <f ca="1">ROUNDDOWN(表3[[#This Row],[日期]]-TODAY(),1)</f>
        <v>-16</v>
      </c>
    </row>
    <row r="584" spans="1:8" hidden="1" x14ac:dyDescent="0.2">
      <c r="A584" s="19" t="s">
        <v>2</v>
      </c>
      <c r="B584" s="41">
        <v>43623</v>
      </c>
      <c r="C584" s="11">
        <v>1</v>
      </c>
      <c r="D584" s="12" t="s">
        <v>523</v>
      </c>
      <c r="E584" s="10">
        <v>43612</v>
      </c>
      <c r="F584" s="8" t="s">
        <v>522</v>
      </c>
      <c r="G584" s="19" t="s">
        <v>29</v>
      </c>
      <c r="H584" s="18">
        <f ca="1">ROUNDDOWN(表3[[#This Row],[日期]]-TODAY(),1)</f>
        <v>-30</v>
      </c>
    </row>
    <row r="585" spans="1:8" hidden="1" x14ac:dyDescent="0.2">
      <c r="A585" s="19" t="s">
        <v>2</v>
      </c>
      <c r="B585" s="41">
        <v>43623</v>
      </c>
      <c r="C585" s="11">
        <v>2</v>
      </c>
      <c r="D585" s="12" t="s">
        <v>224</v>
      </c>
      <c r="E585" s="10">
        <v>43612</v>
      </c>
      <c r="F585" s="8" t="s">
        <v>522</v>
      </c>
      <c r="G585" s="19"/>
      <c r="H585" s="18">
        <f ca="1">ROUNDDOWN(表3[[#This Row],[日期]]-TODAY(),1)</f>
        <v>-30</v>
      </c>
    </row>
    <row r="586" spans="1:8" hidden="1" x14ac:dyDescent="0.2">
      <c r="A586" s="19" t="s">
        <v>2</v>
      </c>
      <c r="B586" s="41">
        <v>43623</v>
      </c>
      <c r="C586" s="11">
        <v>3</v>
      </c>
      <c r="D586" s="12" t="s">
        <v>60</v>
      </c>
      <c r="E586" s="10">
        <v>43612</v>
      </c>
      <c r="F586" s="8" t="s">
        <v>522</v>
      </c>
      <c r="G586" s="19" t="s">
        <v>31</v>
      </c>
      <c r="H586" s="18">
        <f ca="1">ROUNDDOWN(表3[[#This Row],[日期]]-TODAY(),1)</f>
        <v>-30</v>
      </c>
    </row>
    <row r="587" spans="1:8" hidden="1" x14ac:dyDescent="0.2">
      <c r="A587" s="19" t="s">
        <v>2</v>
      </c>
      <c r="B587" s="41">
        <v>43623</v>
      </c>
      <c r="C587" s="11">
        <v>4</v>
      </c>
      <c r="D587" s="12" t="s">
        <v>61</v>
      </c>
      <c r="E587" s="10">
        <v>43612</v>
      </c>
      <c r="F587" s="8" t="s">
        <v>528</v>
      </c>
      <c r="G587" s="19"/>
      <c r="H587" s="18">
        <f ca="1">ROUNDDOWN(表3[[#This Row],[日期]]-TODAY(),1)</f>
        <v>-30</v>
      </c>
    </row>
    <row r="588" spans="1:8" hidden="1" x14ac:dyDescent="0.2">
      <c r="A588" s="19" t="s">
        <v>2</v>
      </c>
      <c r="B588" s="41">
        <v>43623</v>
      </c>
      <c r="C588" s="11">
        <v>5</v>
      </c>
      <c r="D588" s="12" t="s">
        <v>62</v>
      </c>
      <c r="E588" s="10">
        <v>43612</v>
      </c>
      <c r="F588" s="8" t="s">
        <v>522</v>
      </c>
      <c r="G588" s="19" t="s">
        <v>43</v>
      </c>
      <c r="H588" s="18">
        <f ca="1">ROUNDDOWN(表3[[#This Row],[日期]]-TODAY(),1)</f>
        <v>-30</v>
      </c>
    </row>
    <row r="589" spans="1:8" hidden="1" x14ac:dyDescent="0.2">
      <c r="A589" s="19" t="s">
        <v>2</v>
      </c>
      <c r="B589" s="41">
        <v>43623</v>
      </c>
      <c r="C589" s="11">
        <v>6</v>
      </c>
      <c r="D589" s="12" t="s">
        <v>19</v>
      </c>
      <c r="E589" s="10">
        <v>43612</v>
      </c>
      <c r="F589" s="8" t="s">
        <v>522</v>
      </c>
      <c r="G589" s="19"/>
      <c r="H589" s="18">
        <f ca="1">ROUNDDOWN(表3[[#This Row],[日期]]-TODAY(),1)</f>
        <v>-30</v>
      </c>
    </row>
    <row r="590" spans="1:8" hidden="1" x14ac:dyDescent="0.2">
      <c r="A590" s="19" t="s">
        <v>2</v>
      </c>
      <c r="B590" s="41">
        <v>43623</v>
      </c>
      <c r="C590" s="11">
        <v>7</v>
      </c>
      <c r="D590" s="12" t="s">
        <v>21</v>
      </c>
      <c r="E590" s="10">
        <v>43612</v>
      </c>
      <c r="F590" s="8" t="s">
        <v>522</v>
      </c>
      <c r="G590" s="19"/>
      <c r="H590" s="18">
        <f ca="1">ROUNDDOWN(表3[[#This Row],[日期]]-TODAY(),1)</f>
        <v>-30</v>
      </c>
    </row>
    <row r="591" spans="1:8" hidden="1" x14ac:dyDescent="0.2">
      <c r="A591" s="19" t="s">
        <v>2</v>
      </c>
      <c r="B591" s="41">
        <v>43623</v>
      </c>
      <c r="C591" s="11">
        <v>8</v>
      </c>
      <c r="D591" s="12" t="s">
        <v>7</v>
      </c>
      <c r="E591" s="10">
        <v>43612</v>
      </c>
      <c r="F591" s="8" t="s">
        <v>522</v>
      </c>
      <c r="G591" s="19"/>
      <c r="H591" s="18">
        <f ca="1">ROUNDDOWN(表3[[#This Row],[日期]]-TODAY(),1)</f>
        <v>-30</v>
      </c>
    </row>
    <row r="592" spans="1:8" hidden="1" x14ac:dyDescent="0.2">
      <c r="A592" s="19" t="s">
        <v>2</v>
      </c>
      <c r="B592" s="41">
        <v>43623</v>
      </c>
      <c r="C592" s="11">
        <v>9</v>
      </c>
      <c r="D592" s="12" t="s">
        <v>9</v>
      </c>
      <c r="E592" s="10">
        <v>43612</v>
      </c>
      <c r="F592" s="8" t="s">
        <v>522</v>
      </c>
      <c r="G592" s="19"/>
      <c r="H592" s="18">
        <f ca="1">ROUNDDOWN(表3[[#This Row],[日期]]-TODAY(),1)</f>
        <v>-30</v>
      </c>
    </row>
    <row r="593" spans="1:8" hidden="1" x14ac:dyDescent="0.2">
      <c r="A593" s="19" t="s">
        <v>2</v>
      </c>
      <c r="B593" s="41">
        <v>43623</v>
      </c>
      <c r="C593" s="11">
        <v>10</v>
      </c>
      <c r="D593" s="12" t="s">
        <v>11</v>
      </c>
      <c r="E593" s="10">
        <v>43613</v>
      </c>
      <c r="F593" s="8" t="s">
        <v>263</v>
      </c>
      <c r="G593" s="19" t="s">
        <v>32</v>
      </c>
      <c r="H593" s="18">
        <f ca="1">ROUNDDOWN(表3[[#This Row],[日期]]-TODAY(),1)</f>
        <v>-29</v>
      </c>
    </row>
    <row r="594" spans="1:8" hidden="1" x14ac:dyDescent="0.2">
      <c r="A594" s="19" t="s">
        <v>2</v>
      </c>
      <c r="B594" s="41">
        <v>43623</v>
      </c>
      <c r="C594" s="11">
        <v>11</v>
      </c>
      <c r="D594" s="12" t="s">
        <v>58</v>
      </c>
      <c r="E594" s="10">
        <v>43613</v>
      </c>
      <c r="F594" s="8" t="s">
        <v>263</v>
      </c>
      <c r="G594" s="19"/>
      <c r="H594" s="18">
        <f ca="1">ROUNDDOWN(表3[[#This Row],[日期]]-TODAY(),1)</f>
        <v>-29</v>
      </c>
    </row>
    <row r="595" spans="1:8" hidden="1" x14ac:dyDescent="0.2">
      <c r="A595" s="22" t="s">
        <v>2</v>
      </c>
      <c r="B595" s="43">
        <v>43623</v>
      </c>
      <c r="C595" s="23">
        <v>12</v>
      </c>
      <c r="D595" s="24" t="s">
        <v>524</v>
      </c>
      <c r="E595" s="10">
        <v>43619</v>
      </c>
      <c r="F595" s="26" t="s">
        <v>263</v>
      </c>
      <c r="G595" s="22" t="s">
        <v>34</v>
      </c>
      <c r="H595" s="21">
        <f ca="1">ROUNDDOWN(表3[[#This Row],[日期]]-TODAY(),1)</f>
        <v>-23</v>
      </c>
    </row>
    <row r="596" spans="1:8" hidden="1" x14ac:dyDescent="0.2">
      <c r="A596" s="19" t="s">
        <v>2</v>
      </c>
      <c r="B596" s="41">
        <v>43623</v>
      </c>
      <c r="C596" s="23">
        <v>13</v>
      </c>
      <c r="D596" s="24" t="s">
        <v>39</v>
      </c>
      <c r="E596" s="10">
        <v>43619</v>
      </c>
      <c r="F596" s="26" t="s">
        <v>263</v>
      </c>
      <c r="G596" s="22"/>
      <c r="H596" s="21">
        <f ca="1">ROUNDDOWN(表3[[#This Row],[日期]]-TODAY(),1)</f>
        <v>-23</v>
      </c>
    </row>
    <row r="597" spans="1:8" hidden="1" x14ac:dyDescent="0.2">
      <c r="A597" s="19" t="s">
        <v>2</v>
      </c>
      <c r="B597" s="41">
        <v>43623</v>
      </c>
      <c r="C597" s="11">
        <v>14</v>
      </c>
      <c r="D597" s="12" t="s">
        <v>23</v>
      </c>
      <c r="E597" s="10">
        <v>43619</v>
      </c>
      <c r="F597" s="8" t="s">
        <v>263</v>
      </c>
      <c r="G597" s="19"/>
      <c r="H597" s="18">
        <f ca="1">ROUNDDOWN(表3[[#This Row],[日期]]-TODAY(),1)</f>
        <v>-23</v>
      </c>
    </row>
    <row r="598" spans="1:8" hidden="1" x14ac:dyDescent="0.2">
      <c r="A598" s="19" t="s">
        <v>2</v>
      </c>
      <c r="B598" s="41">
        <v>43623</v>
      </c>
      <c r="C598" s="11">
        <v>15</v>
      </c>
      <c r="D598" s="12" t="s">
        <v>25</v>
      </c>
      <c r="E598" s="10">
        <v>43619</v>
      </c>
      <c r="F598" s="8" t="s">
        <v>263</v>
      </c>
      <c r="G598" s="19"/>
      <c r="H598" s="18">
        <f ca="1">ROUNDDOWN(表3[[#This Row],[日期]]-TODAY(),1)</f>
        <v>-23</v>
      </c>
    </row>
    <row r="599" spans="1:8" hidden="1" x14ac:dyDescent="0.2">
      <c r="A599" s="19" t="s">
        <v>2</v>
      </c>
      <c r="B599" s="41">
        <v>43623</v>
      </c>
      <c r="C599" s="11">
        <v>16</v>
      </c>
      <c r="D599" s="12" t="s">
        <v>13</v>
      </c>
      <c r="E599" s="10">
        <v>43619</v>
      </c>
      <c r="F599" s="8" t="s">
        <v>263</v>
      </c>
      <c r="G599" s="19"/>
      <c r="H599" s="18">
        <f ca="1">ROUNDDOWN(表3[[#This Row],[日期]]-TODAY(),1)</f>
        <v>-23</v>
      </c>
    </row>
    <row r="600" spans="1:8" hidden="1" x14ac:dyDescent="0.2">
      <c r="A600" s="19" t="s">
        <v>2</v>
      </c>
      <c r="B600" s="41">
        <v>43623</v>
      </c>
      <c r="C600" s="11">
        <v>17</v>
      </c>
      <c r="D600" s="12" t="s">
        <v>15</v>
      </c>
      <c r="E600" s="10">
        <v>43619</v>
      </c>
      <c r="F600" s="8" t="s">
        <v>263</v>
      </c>
      <c r="G600" s="19"/>
      <c r="H600" s="18">
        <f ca="1">ROUNDDOWN(表3[[#This Row],[日期]]-TODAY(),1)</f>
        <v>-23</v>
      </c>
    </row>
    <row r="601" spans="1:8" hidden="1" x14ac:dyDescent="0.2">
      <c r="A601" s="19" t="s">
        <v>2</v>
      </c>
      <c r="B601" s="41">
        <v>43623</v>
      </c>
      <c r="C601" s="11">
        <v>18</v>
      </c>
      <c r="D601" s="12" t="s">
        <v>17</v>
      </c>
      <c r="E601" s="10">
        <v>43619</v>
      </c>
      <c r="F601" s="8" t="s">
        <v>263</v>
      </c>
      <c r="G601" s="19"/>
      <c r="H601" s="18">
        <f ca="1">ROUNDDOWN(表3[[#This Row],[日期]]-TODAY(),1)</f>
        <v>-23</v>
      </c>
    </row>
    <row r="602" spans="1:8" hidden="1" x14ac:dyDescent="0.2">
      <c r="A602" s="19" t="s">
        <v>2</v>
      </c>
      <c r="B602" s="41">
        <v>43623</v>
      </c>
      <c r="C602" s="11">
        <v>19</v>
      </c>
      <c r="D602" s="12" t="s">
        <v>56</v>
      </c>
      <c r="E602" s="10">
        <v>43619</v>
      </c>
      <c r="F602" s="8" t="s">
        <v>263</v>
      </c>
      <c r="G602" s="19"/>
      <c r="H602" s="18">
        <f ca="1">ROUNDDOWN(表3[[#This Row],[日期]]-TODAY(),1)</f>
        <v>-23</v>
      </c>
    </row>
    <row r="603" spans="1:8" hidden="1" x14ac:dyDescent="0.2">
      <c r="A603" s="19" t="s">
        <v>2</v>
      </c>
      <c r="B603" s="41">
        <v>43623</v>
      </c>
      <c r="C603" s="11">
        <v>20</v>
      </c>
      <c r="D603" s="12" t="s">
        <v>525</v>
      </c>
      <c r="E603" s="10">
        <v>43620</v>
      </c>
      <c r="F603" s="8" t="s">
        <v>263</v>
      </c>
      <c r="G603" s="19" t="s">
        <v>36</v>
      </c>
      <c r="H603" s="18">
        <f ca="1">ROUNDDOWN(表3[[#This Row],[日期]]-TODAY(),1)</f>
        <v>-22</v>
      </c>
    </row>
    <row r="604" spans="1:8" hidden="1" x14ac:dyDescent="0.2">
      <c r="A604" s="19" t="s">
        <v>2</v>
      </c>
      <c r="B604" s="41">
        <v>43623</v>
      </c>
      <c r="C604" s="11">
        <v>21</v>
      </c>
      <c r="D604" s="12" t="s">
        <v>38</v>
      </c>
      <c r="E604" s="10">
        <v>43620</v>
      </c>
      <c r="F604" s="8" t="s">
        <v>263</v>
      </c>
      <c r="G604" s="19"/>
      <c r="H604" s="18">
        <f ca="1">ROUNDDOWN(表3[[#This Row],[日期]]-TODAY(),1)</f>
        <v>-22</v>
      </c>
    </row>
    <row r="605" spans="1:8" hidden="1" x14ac:dyDescent="0.2">
      <c r="A605" s="19" t="s">
        <v>2</v>
      </c>
      <c r="B605" s="41">
        <v>43623</v>
      </c>
      <c r="C605" s="11">
        <v>22</v>
      </c>
      <c r="D605" s="12" t="s">
        <v>41</v>
      </c>
      <c r="E605" s="10">
        <v>43620</v>
      </c>
      <c r="F605" s="8" t="s">
        <v>263</v>
      </c>
      <c r="G605" s="19"/>
      <c r="H605" s="18">
        <f ca="1">ROUNDDOWN(表3[[#This Row],[日期]]-TODAY(),1)</f>
        <v>-22</v>
      </c>
    </row>
    <row r="606" spans="1:8" hidden="1" x14ac:dyDescent="0.2">
      <c r="A606" s="19" t="s">
        <v>2</v>
      </c>
      <c r="B606" s="41">
        <v>43623</v>
      </c>
      <c r="C606" s="11">
        <v>23</v>
      </c>
      <c r="D606" s="12" t="s">
        <v>508</v>
      </c>
      <c r="E606" s="10">
        <v>43620</v>
      </c>
      <c r="F606" s="8" t="s">
        <v>263</v>
      </c>
      <c r="G606" s="19" t="s">
        <v>43</v>
      </c>
      <c r="H606" s="18">
        <f ca="1">ROUNDDOWN(表3[[#This Row],[日期]]-TODAY(),1)</f>
        <v>-22</v>
      </c>
    </row>
    <row r="607" spans="1:8" hidden="1" x14ac:dyDescent="0.2">
      <c r="A607" s="19" t="s">
        <v>2</v>
      </c>
      <c r="B607" s="41">
        <v>43623</v>
      </c>
      <c r="C607" s="11">
        <v>24</v>
      </c>
      <c r="D607" s="12" t="s">
        <v>225</v>
      </c>
      <c r="E607" s="10">
        <v>43620</v>
      </c>
      <c r="F607" s="8" t="s">
        <v>263</v>
      </c>
      <c r="G607" s="19" t="s">
        <v>200</v>
      </c>
      <c r="H607" s="18">
        <f ca="1">ROUNDDOWN(表3[[#This Row],[日期]]-TODAY(),1)</f>
        <v>-22</v>
      </c>
    </row>
    <row r="608" spans="1:8" hidden="1" x14ac:dyDescent="0.2">
      <c r="A608" s="19" t="s">
        <v>2</v>
      </c>
      <c r="B608" s="41">
        <v>43623</v>
      </c>
      <c r="C608" s="11">
        <v>25</v>
      </c>
      <c r="D608" s="12" t="s">
        <v>63</v>
      </c>
      <c r="E608" s="10">
        <v>43620</v>
      </c>
      <c r="F608" s="8" t="s">
        <v>263</v>
      </c>
      <c r="G608" s="19"/>
      <c r="H608" s="18">
        <f ca="1">ROUNDDOWN(表3[[#This Row],[日期]]-TODAY(),1)</f>
        <v>-22</v>
      </c>
    </row>
    <row r="609" spans="1:8" hidden="1" x14ac:dyDescent="0.2">
      <c r="A609" s="19" t="s">
        <v>2</v>
      </c>
      <c r="B609" s="41">
        <v>43623</v>
      </c>
      <c r="C609" s="11">
        <v>26</v>
      </c>
      <c r="D609" s="12" t="s">
        <v>45</v>
      </c>
      <c r="E609" s="10">
        <v>43620</v>
      </c>
      <c r="F609" s="8" t="s">
        <v>263</v>
      </c>
      <c r="G609" s="19"/>
      <c r="H609" s="18">
        <f ca="1">ROUNDDOWN(表3[[#This Row],[日期]]-TODAY(),1)</f>
        <v>-22</v>
      </c>
    </row>
    <row r="610" spans="1:8" hidden="1" x14ac:dyDescent="0.2">
      <c r="A610" s="19" t="s">
        <v>2</v>
      </c>
      <c r="B610" s="41">
        <v>43623</v>
      </c>
      <c r="C610" s="11">
        <v>27</v>
      </c>
      <c r="D610" s="12" t="s">
        <v>81</v>
      </c>
      <c r="E610" s="10">
        <v>43620</v>
      </c>
      <c r="F610" s="8" t="s">
        <v>263</v>
      </c>
      <c r="G610" s="19"/>
      <c r="H610" s="18">
        <f ca="1">ROUNDDOWN(表3[[#This Row],[日期]]-TODAY(),1)</f>
        <v>-22</v>
      </c>
    </row>
    <row r="611" spans="1:8" hidden="1" x14ac:dyDescent="0.2">
      <c r="A611" s="19" t="s">
        <v>2</v>
      </c>
      <c r="B611" s="41">
        <v>43623</v>
      </c>
      <c r="C611" s="11">
        <v>28</v>
      </c>
      <c r="D611" s="12" t="s">
        <v>77</v>
      </c>
      <c r="E611" s="10">
        <v>43620</v>
      </c>
      <c r="F611" s="8" t="s">
        <v>263</v>
      </c>
      <c r="G611" s="19"/>
      <c r="H611" s="18">
        <f ca="1">ROUNDDOWN(表3[[#This Row],[日期]]-TODAY(),1)</f>
        <v>-22</v>
      </c>
    </row>
    <row r="612" spans="1:8" hidden="1" x14ac:dyDescent="0.2">
      <c r="A612" s="19" t="s">
        <v>2</v>
      </c>
      <c r="B612" s="41">
        <v>43623</v>
      </c>
      <c r="C612" s="11">
        <v>29</v>
      </c>
      <c r="D612" s="12" t="s">
        <v>79</v>
      </c>
      <c r="E612" s="10">
        <v>43620</v>
      </c>
      <c r="F612" s="8" t="s">
        <v>263</v>
      </c>
      <c r="G612" s="19"/>
      <c r="H612" s="18">
        <f ca="1">ROUNDDOWN(表3[[#This Row],[日期]]-TODAY(),1)</f>
        <v>-22</v>
      </c>
    </row>
    <row r="613" spans="1:8" hidden="1" x14ac:dyDescent="0.2">
      <c r="A613" s="19" t="s">
        <v>2</v>
      </c>
      <c r="B613" s="41">
        <v>43623</v>
      </c>
      <c r="C613" s="11">
        <v>31</v>
      </c>
      <c r="D613" s="12" t="s">
        <v>49</v>
      </c>
      <c r="E613" s="10">
        <v>43620</v>
      </c>
      <c r="F613" s="8" t="s">
        <v>263</v>
      </c>
      <c r="G613" s="19" t="s">
        <v>43</v>
      </c>
      <c r="H613" s="18">
        <f ca="1">ROUNDDOWN(表3[[#This Row],[日期]]-TODAY(),1)</f>
        <v>-22</v>
      </c>
    </row>
    <row r="614" spans="1:8" hidden="1" x14ac:dyDescent="0.2">
      <c r="A614" s="19" t="s">
        <v>2</v>
      </c>
      <c r="B614" s="41">
        <v>43623</v>
      </c>
      <c r="C614" s="11">
        <v>32</v>
      </c>
      <c r="D614" s="12" t="s">
        <v>54</v>
      </c>
      <c r="E614" s="10">
        <v>43622</v>
      </c>
      <c r="F614" s="8" t="s">
        <v>263</v>
      </c>
      <c r="G614" s="19"/>
      <c r="H614" s="18">
        <f ca="1">ROUNDDOWN(表3[[#This Row],[日期]]-TODAY(),1)</f>
        <v>-20</v>
      </c>
    </row>
    <row r="615" spans="1:8" hidden="1" x14ac:dyDescent="0.2">
      <c r="A615" s="19" t="s">
        <v>2</v>
      </c>
      <c r="B615" s="41">
        <v>43623</v>
      </c>
      <c r="C615" s="11">
        <v>33</v>
      </c>
      <c r="D615" s="12" t="s">
        <v>69</v>
      </c>
      <c r="E615" s="10">
        <v>43620</v>
      </c>
      <c r="F615" s="8" t="s">
        <v>263</v>
      </c>
      <c r="G615" s="19" t="s">
        <v>66</v>
      </c>
      <c r="H615" s="18">
        <f ca="1">ROUNDDOWN(表3[[#This Row],[日期]]-TODAY(),1)</f>
        <v>-22</v>
      </c>
    </row>
    <row r="616" spans="1:8" hidden="1" x14ac:dyDescent="0.2">
      <c r="A616" s="19" t="s">
        <v>2</v>
      </c>
      <c r="B616" s="41">
        <v>43623</v>
      </c>
      <c r="C616" s="11">
        <v>34</v>
      </c>
      <c r="D616" s="12" t="s">
        <v>64</v>
      </c>
      <c r="E616" s="10">
        <v>43620</v>
      </c>
      <c r="F616" s="8" t="s">
        <v>263</v>
      </c>
      <c r="G616" s="19"/>
      <c r="H616" s="18">
        <f ca="1">ROUNDDOWN(表3[[#This Row],[日期]]-TODAY(),1)</f>
        <v>-22</v>
      </c>
    </row>
    <row r="617" spans="1:8" hidden="1" x14ac:dyDescent="0.2">
      <c r="A617" s="19" t="s">
        <v>2</v>
      </c>
      <c r="B617" s="41">
        <v>43623</v>
      </c>
      <c r="C617" s="11">
        <v>35</v>
      </c>
      <c r="D617" s="12" t="s">
        <v>526</v>
      </c>
      <c r="E617" s="10">
        <v>43620</v>
      </c>
      <c r="F617" s="8" t="s">
        <v>263</v>
      </c>
      <c r="G617" s="19" t="s">
        <v>32</v>
      </c>
      <c r="H617" s="18">
        <f ca="1">ROUNDDOWN(表3[[#This Row],[日期]]-TODAY(),1)</f>
        <v>-22</v>
      </c>
    </row>
    <row r="618" spans="1:8" hidden="1" x14ac:dyDescent="0.2">
      <c r="A618" s="19" t="s">
        <v>2</v>
      </c>
      <c r="B618" s="41">
        <v>43623</v>
      </c>
      <c r="C618" s="11">
        <v>36</v>
      </c>
      <c r="D618" s="12" t="s">
        <v>527</v>
      </c>
      <c r="E618" s="10">
        <v>43620</v>
      </c>
      <c r="F618" s="8" t="s">
        <v>263</v>
      </c>
      <c r="G618" s="19" t="s">
        <v>43</v>
      </c>
      <c r="H618" s="18">
        <f ca="1">ROUNDDOWN(表3[[#This Row],[日期]]-TODAY(),1)</f>
        <v>-22</v>
      </c>
    </row>
    <row r="619" spans="1:8" hidden="1" x14ac:dyDescent="0.2">
      <c r="A619" s="19" t="s">
        <v>2</v>
      </c>
      <c r="B619" s="41">
        <v>43623</v>
      </c>
      <c r="C619" s="11">
        <v>37</v>
      </c>
      <c r="D619" s="12" t="s">
        <v>172</v>
      </c>
      <c r="E619" s="10">
        <v>43620</v>
      </c>
      <c r="F619" s="8" t="s">
        <v>263</v>
      </c>
      <c r="G619" s="19"/>
      <c r="H619" s="18">
        <f ca="1">ROUNDDOWN(表3[[#This Row],[日期]]-TODAY(),1)</f>
        <v>-22</v>
      </c>
    </row>
    <row r="620" spans="1:8" hidden="1" x14ac:dyDescent="0.2">
      <c r="A620" s="19" t="s">
        <v>2</v>
      </c>
      <c r="B620" s="41">
        <v>43623</v>
      </c>
      <c r="C620" s="11">
        <v>38</v>
      </c>
      <c r="D620" s="12" t="s">
        <v>71</v>
      </c>
      <c r="E620" s="10">
        <v>43620</v>
      </c>
      <c r="F620" s="8" t="s">
        <v>263</v>
      </c>
      <c r="G620" s="19" t="s">
        <v>73</v>
      </c>
      <c r="H620" s="18">
        <f ca="1">ROUNDDOWN(表3[[#This Row],[日期]]-TODAY(),1)</f>
        <v>-22</v>
      </c>
    </row>
    <row r="621" spans="1:8" hidden="1" x14ac:dyDescent="0.2">
      <c r="A621" s="19" t="s">
        <v>2</v>
      </c>
      <c r="B621" s="41">
        <v>43623</v>
      </c>
      <c r="C621" s="11">
        <v>39</v>
      </c>
      <c r="D621" s="12" t="s">
        <v>75</v>
      </c>
      <c r="E621" s="10">
        <v>43620</v>
      </c>
      <c r="F621" s="8" t="s">
        <v>263</v>
      </c>
      <c r="G621" s="19"/>
      <c r="H621" s="18">
        <f ca="1">ROUNDDOWN(表3[[#This Row],[日期]]-TODAY(),1)</f>
        <v>-22</v>
      </c>
    </row>
    <row r="622" spans="1:8" hidden="1" x14ac:dyDescent="0.2">
      <c r="A622" s="19" t="s">
        <v>2</v>
      </c>
      <c r="B622" s="41">
        <v>43623</v>
      </c>
      <c r="C622" s="11">
        <v>40</v>
      </c>
      <c r="D622" s="12" t="s">
        <v>83</v>
      </c>
      <c r="E622" s="10">
        <v>43621</v>
      </c>
      <c r="F622" s="8" t="s">
        <v>263</v>
      </c>
      <c r="G622" s="19"/>
      <c r="H622" s="18">
        <f ca="1">ROUNDDOWN(表3[[#This Row],[日期]]-TODAY(),1)</f>
        <v>-21</v>
      </c>
    </row>
    <row r="623" spans="1:8" hidden="1" x14ac:dyDescent="0.2">
      <c r="A623" s="19" t="s">
        <v>2</v>
      </c>
      <c r="B623" s="41">
        <v>43623</v>
      </c>
      <c r="C623" s="11">
        <v>41</v>
      </c>
      <c r="D623" s="12" t="s">
        <v>85</v>
      </c>
      <c r="E623" s="10">
        <v>43621</v>
      </c>
      <c r="F623" s="8" t="s">
        <v>263</v>
      </c>
      <c r="G623" s="19"/>
      <c r="H623" s="18">
        <f ca="1">ROUNDDOWN(表3[[#This Row],[日期]]-TODAY(),1)</f>
        <v>-21</v>
      </c>
    </row>
    <row r="624" spans="1:8" hidden="1" x14ac:dyDescent="0.2">
      <c r="A624" s="19" t="s">
        <v>2</v>
      </c>
      <c r="B624" s="41">
        <v>43623</v>
      </c>
      <c r="C624" s="11">
        <v>42</v>
      </c>
      <c r="D624" s="12" t="s">
        <v>87</v>
      </c>
      <c r="E624" s="10">
        <v>43621</v>
      </c>
      <c r="F624" s="8" t="s">
        <v>263</v>
      </c>
      <c r="G624" s="19"/>
      <c r="H624" s="18">
        <f ca="1">ROUNDDOWN(表3[[#This Row],[日期]]-TODAY(),1)</f>
        <v>-21</v>
      </c>
    </row>
    <row r="625" spans="1:8" hidden="1" x14ac:dyDescent="0.2">
      <c r="A625" s="19" t="s">
        <v>2</v>
      </c>
      <c r="B625" s="41">
        <v>43623</v>
      </c>
      <c r="C625" s="11">
        <v>43</v>
      </c>
      <c r="D625" s="12" t="s">
        <v>89</v>
      </c>
      <c r="E625" s="10">
        <v>43622</v>
      </c>
      <c r="F625" s="8" t="s">
        <v>263</v>
      </c>
      <c r="G625" s="19"/>
      <c r="H625" s="18">
        <f ca="1">ROUNDDOWN(表3[[#This Row],[日期]]-TODAY(),1)</f>
        <v>-20</v>
      </c>
    </row>
    <row r="626" spans="1:8" hidden="1" x14ac:dyDescent="0.2">
      <c r="A626" s="19" t="s">
        <v>2</v>
      </c>
      <c r="B626" s="41">
        <v>43623</v>
      </c>
      <c r="C626" s="11">
        <v>44</v>
      </c>
      <c r="D626" s="12" t="s">
        <v>91</v>
      </c>
      <c r="E626" s="10">
        <v>43623</v>
      </c>
      <c r="F626" s="8" t="s">
        <v>263</v>
      </c>
      <c r="G626" s="19"/>
      <c r="H626" s="18">
        <f ca="1">ROUNDDOWN(表3[[#This Row],[日期]]-TODAY(),1)</f>
        <v>-19</v>
      </c>
    </row>
    <row r="627" spans="1:8" hidden="1" x14ac:dyDescent="0.2">
      <c r="A627" s="19" t="s">
        <v>2</v>
      </c>
      <c r="B627" s="41">
        <v>43623</v>
      </c>
      <c r="C627" s="11">
        <v>45</v>
      </c>
      <c r="D627" s="12" t="s">
        <v>635</v>
      </c>
      <c r="E627" s="10">
        <v>43626</v>
      </c>
      <c r="F627" s="8" t="s">
        <v>263</v>
      </c>
      <c r="G627" s="19"/>
      <c r="H627" s="18">
        <f ca="1">ROUNDDOWN(表3[[#This Row],[日期]]-TODAY(),1)</f>
        <v>-16</v>
      </c>
    </row>
    <row r="628" spans="1:8" hidden="1" x14ac:dyDescent="0.2">
      <c r="A628" s="19" t="s">
        <v>2</v>
      </c>
      <c r="B628" s="41">
        <v>43623</v>
      </c>
      <c r="C628" s="11">
        <v>46</v>
      </c>
      <c r="D628" s="12" t="s">
        <v>331</v>
      </c>
      <c r="E628" s="10">
        <v>43624</v>
      </c>
      <c r="F628" s="8" t="s">
        <v>263</v>
      </c>
      <c r="G628" s="19"/>
      <c r="H628" s="18">
        <f ca="1">ROUNDDOWN(表3[[#This Row],[日期]]-TODAY(),1)</f>
        <v>-18</v>
      </c>
    </row>
    <row r="629" spans="1:8" hidden="1" x14ac:dyDescent="0.2">
      <c r="A629" s="19" t="s">
        <v>2</v>
      </c>
      <c r="B629" s="41">
        <v>43623</v>
      </c>
      <c r="C629" s="11">
        <v>47</v>
      </c>
      <c r="D629" s="12" t="s">
        <v>95</v>
      </c>
      <c r="E629" s="10">
        <v>43626</v>
      </c>
      <c r="F629" s="8" t="s">
        <v>263</v>
      </c>
      <c r="G629" s="19" t="s">
        <v>132</v>
      </c>
      <c r="H629" s="18">
        <f ca="1">ROUNDDOWN(表3[[#This Row],[日期]]-TODAY(),1)</f>
        <v>-16</v>
      </c>
    </row>
    <row r="630" spans="1:8" hidden="1" x14ac:dyDescent="0.2">
      <c r="A630" s="19" t="s">
        <v>326</v>
      </c>
      <c r="B630" s="41">
        <v>43623</v>
      </c>
      <c r="C630" s="11">
        <v>1</v>
      </c>
      <c r="D630" s="12" t="s">
        <v>381</v>
      </c>
      <c r="E630" s="10">
        <v>43607</v>
      </c>
      <c r="F630" s="8" t="s">
        <v>263</v>
      </c>
      <c r="G630" s="19"/>
      <c r="H630" s="18">
        <f ca="1">ROUNDDOWN(表3[[#This Row],[日期]]-TODAY(),1)</f>
        <v>-35</v>
      </c>
    </row>
    <row r="631" spans="1:8" hidden="1" x14ac:dyDescent="0.2">
      <c r="A631" s="19" t="s">
        <v>326</v>
      </c>
      <c r="B631" s="41">
        <v>43623</v>
      </c>
      <c r="C631" s="11">
        <v>2</v>
      </c>
      <c r="D631" s="12" t="s">
        <v>382</v>
      </c>
      <c r="E631" s="10">
        <v>43612</v>
      </c>
      <c r="F631" s="8" t="s">
        <v>522</v>
      </c>
      <c r="G631" s="19"/>
      <c r="H631" s="18">
        <f ca="1">ROUNDDOWN(表3[[#This Row],[日期]]-TODAY(),1)</f>
        <v>-30</v>
      </c>
    </row>
    <row r="632" spans="1:8" hidden="1" x14ac:dyDescent="0.2">
      <c r="A632" s="19" t="s">
        <v>326</v>
      </c>
      <c r="B632" s="41">
        <v>43623</v>
      </c>
      <c r="C632" s="11">
        <v>3</v>
      </c>
      <c r="D632" s="12" t="s">
        <v>383</v>
      </c>
      <c r="E632" s="10">
        <v>43613</v>
      </c>
      <c r="F632" s="8" t="s">
        <v>263</v>
      </c>
      <c r="G632" s="19"/>
      <c r="H632" s="18">
        <f ca="1">ROUNDDOWN(表3[[#This Row],[日期]]-TODAY(),1)</f>
        <v>-29</v>
      </c>
    </row>
    <row r="633" spans="1:8" hidden="1" x14ac:dyDescent="0.2">
      <c r="A633" s="19" t="s">
        <v>326</v>
      </c>
      <c r="B633" s="41">
        <v>43623</v>
      </c>
      <c r="C633" s="11">
        <v>4</v>
      </c>
      <c r="D633" s="12" t="s">
        <v>384</v>
      </c>
      <c r="E633" s="10">
        <v>43613</v>
      </c>
      <c r="F633" s="8" t="s">
        <v>263</v>
      </c>
      <c r="G633" s="19"/>
      <c r="H633" s="18">
        <f ca="1">ROUNDDOWN(表3[[#This Row],[日期]]-TODAY(),1)</f>
        <v>-29</v>
      </c>
    </row>
    <row r="634" spans="1:8" hidden="1" x14ac:dyDescent="0.2">
      <c r="A634" s="19" t="s">
        <v>326</v>
      </c>
      <c r="B634" s="41">
        <v>43623</v>
      </c>
      <c r="C634" s="11">
        <v>5</v>
      </c>
      <c r="D634" s="12" t="s">
        <v>385</v>
      </c>
      <c r="E634" s="10">
        <v>43615</v>
      </c>
      <c r="F634" s="8" t="s">
        <v>263</v>
      </c>
      <c r="G634" s="19"/>
      <c r="H634" s="18">
        <f ca="1">ROUNDDOWN(表3[[#This Row],[日期]]-TODAY(),1)</f>
        <v>-27</v>
      </c>
    </row>
    <row r="635" spans="1:8" hidden="1" x14ac:dyDescent="0.2">
      <c r="A635" s="19" t="s">
        <v>326</v>
      </c>
      <c r="B635" s="41">
        <v>43623</v>
      </c>
      <c r="C635" s="11">
        <v>6</v>
      </c>
      <c r="D635" s="12" t="s">
        <v>512</v>
      </c>
      <c r="E635" s="10">
        <v>43615</v>
      </c>
      <c r="F635" s="8" t="s">
        <v>263</v>
      </c>
      <c r="G635" s="19"/>
      <c r="H635" s="18">
        <f ca="1">ROUNDDOWN(表3[[#This Row],[日期]]-TODAY(),1)</f>
        <v>-27</v>
      </c>
    </row>
    <row r="636" spans="1:8" hidden="1" x14ac:dyDescent="0.2">
      <c r="A636" s="19" t="s">
        <v>326</v>
      </c>
      <c r="B636" s="41">
        <v>43623</v>
      </c>
      <c r="C636" s="11">
        <v>7</v>
      </c>
      <c r="D636" s="12" t="s">
        <v>513</v>
      </c>
      <c r="E636" s="10">
        <v>43615</v>
      </c>
      <c r="F636" s="8" t="s">
        <v>263</v>
      </c>
      <c r="G636" s="19"/>
      <c r="H636" s="18">
        <f ca="1">ROUNDDOWN(表3[[#This Row],[日期]]-TODAY(),1)</f>
        <v>-27</v>
      </c>
    </row>
    <row r="637" spans="1:8" hidden="1" x14ac:dyDescent="0.2">
      <c r="A637" s="19" t="s">
        <v>326</v>
      </c>
      <c r="B637" s="41">
        <v>43623</v>
      </c>
      <c r="C637" s="11">
        <v>8</v>
      </c>
      <c r="D637" s="12" t="s">
        <v>514</v>
      </c>
      <c r="E637" s="10">
        <v>43616</v>
      </c>
      <c r="F637" s="8" t="s">
        <v>263</v>
      </c>
      <c r="G637" s="19"/>
      <c r="H637" s="18">
        <f ca="1">ROUNDDOWN(表3[[#This Row],[日期]]-TODAY(),1)</f>
        <v>-26</v>
      </c>
    </row>
    <row r="638" spans="1:8" hidden="1" x14ac:dyDescent="0.2">
      <c r="A638" s="19" t="s">
        <v>326</v>
      </c>
      <c r="B638" s="41">
        <v>43623</v>
      </c>
      <c r="C638" s="11">
        <v>9</v>
      </c>
      <c r="D638" s="12" t="s">
        <v>386</v>
      </c>
      <c r="E638" s="10">
        <v>43619</v>
      </c>
      <c r="F638" s="8" t="s">
        <v>263</v>
      </c>
      <c r="G638" s="19" t="s">
        <v>515</v>
      </c>
      <c r="H638" s="18">
        <f ca="1">ROUNDDOWN(表3[[#This Row],[日期]]-TODAY(),1)</f>
        <v>-23</v>
      </c>
    </row>
    <row r="639" spans="1:8" hidden="1" x14ac:dyDescent="0.2">
      <c r="A639" s="19" t="s">
        <v>326</v>
      </c>
      <c r="B639" s="41">
        <v>43623</v>
      </c>
      <c r="C639" s="11">
        <v>10</v>
      </c>
      <c r="D639" s="12" t="s">
        <v>387</v>
      </c>
      <c r="E639" s="10">
        <v>43619</v>
      </c>
      <c r="F639" s="8" t="s">
        <v>263</v>
      </c>
      <c r="G639" s="19"/>
      <c r="H639" s="18">
        <f ca="1">ROUNDDOWN(表3[[#This Row],[日期]]-TODAY(),1)</f>
        <v>-23</v>
      </c>
    </row>
    <row r="640" spans="1:8" hidden="1" x14ac:dyDescent="0.2">
      <c r="A640" s="19" t="s">
        <v>326</v>
      </c>
      <c r="B640" s="41">
        <v>43623</v>
      </c>
      <c r="C640" s="11">
        <v>11</v>
      </c>
      <c r="D640" s="12" t="s">
        <v>516</v>
      </c>
      <c r="E640" s="10">
        <v>43619</v>
      </c>
      <c r="F640" s="8" t="s">
        <v>263</v>
      </c>
      <c r="G640" s="19"/>
      <c r="H640" s="18">
        <f ca="1">ROUNDDOWN(表3[[#This Row],[日期]]-TODAY(),1)</f>
        <v>-23</v>
      </c>
    </row>
    <row r="641" spans="1:8" hidden="1" x14ac:dyDescent="0.2">
      <c r="A641" s="19" t="s">
        <v>326</v>
      </c>
      <c r="B641" s="41">
        <v>43623</v>
      </c>
      <c r="C641" s="11">
        <v>12</v>
      </c>
      <c r="D641" s="12" t="s">
        <v>388</v>
      </c>
      <c r="E641" s="10">
        <v>43619</v>
      </c>
      <c r="F641" s="8" t="s">
        <v>263</v>
      </c>
      <c r="G641" s="19"/>
      <c r="H641" s="18">
        <f ca="1">ROUNDDOWN(表3[[#This Row],[日期]]-TODAY(),1)</f>
        <v>-23</v>
      </c>
    </row>
    <row r="642" spans="1:8" hidden="1" x14ac:dyDescent="0.2">
      <c r="A642" s="22" t="s">
        <v>326</v>
      </c>
      <c r="B642" s="43">
        <v>43623</v>
      </c>
      <c r="C642" s="23">
        <v>13</v>
      </c>
      <c r="D642" s="24" t="s">
        <v>390</v>
      </c>
      <c r="E642" s="25">
        <v>43622</v>
      </c>
      <c r="F642" s="26" t="s">
        <v>263</v>
      </c>
      <c r="G642" s="22"/>
      <c r="H642" s="21">
        <f ca="1">ROUNDDOWN(表3[[#This Row],[日期]]-TODAY(),1)</f>
        <v>-20</v>
      </c>
    </row>
    <row r="643" spans="1:8" hidden="1" x14ac:dyDescent="0.2">
      <c r="A643" s="19" t="s">
        <v>326</v>
      </c>
      <c r="B643" s="41">
        <v>43623</v>
      </c>
      <c r="C643" s="11">
        <v>14</v>
      </c>
      <c r="D643" s="12" t="s">
        <v>392</v>
      </c>
      <c r="E643" s="10">
        <v>43622</v>
      </c>
      <c r="F643" s="8" t="s">
        <v>263</v>
      </c>
      <c r="G643" s="19"/>
      <c r="H643" s="18">
        <f ca="1">ROUNDDOWN(表3[[#This Row],[日期]]-TODAY(),1)</f>
        <v>-20</v>
      </c>
    </row>
    <row r="644" spans="1:8" hidden="1" x14ac:dyDescent="0.2">
      <c r="A644" s="19" t="s">
        <v>326</v>
      </c>
      <c r="B644" s="41">
        <v>43623</v>
      </c>
      <c r="C644" s="11">
        <v>15</v>
      </c>
      <c r="D644" s="12" t="s">
        <v>389</v>
      </c>
      <c r="E644" s="10">
        <v>43619</v>
      </c>
      <c r="F644" s="8" t="s">
        <v>263</v>
      </c>
      <c r="G644" s="19"/>
      <c r="H644" s="18">
        <f ca="1">ROUNDDOWN(表3[[#This Row],[日期]]-TODAY(),1)</f>
        <v>-23</v>
      </c>
    </row>
    <row r="645" spans="1:8" hidden="1" x14ac:dyDescent="0.2">
      <c r="A645" s="19" t="s">
        <v>326</v>
      </c>
      <c r="B645" s="41">
        <v>43623</v>
      </c>
      <c r="C645" s="11">
        <v>16</v>
      </c>
      <c r="D645" s="12" t="s">
        <v>338</v>
      </c>
      <c r="E645" s="10">
        <v>43619</v>
      </c>
      <c r="F645" s="8" t="s">
        <v>263</v>
      </c>
      <c r="G645" s="19"/>
      <c r="H645" s="18">
        <f ca="1">ROUNDDOWN(表3[[#This Row],[日期]]-TODAY(),1)</f>
        <v>-23</v>
      </c>
    </row>
    <row r="646" spans="1:8" hidden="1" x14ac:dyDescent="0.2">
      <c r="A646" s="19" t="s">
        <v>326</v>
      </c>
      <c r="B646" s="41">
        <v>43623</v>
      </c>
      <c r="C646" s="11">
        <v>17</v>
      </c>
      <c r="D646" s="12" t="s">
        <v>71</v>
      </c>
      <c r="E646" s="10">
        <v>43619</v>
      </c>
      <c r="F646" s="8" t="s">
        <v>263</v>
      </c>
      <c r="G646" s="19"/>
      <c r="H646" s="18">
        <f ca="1">ROUNDDOWN(表3[[#This Row],[日期]]-TODAY(),1)</f>
        <v>-23</v>
      </c>
    </row>
    <row r="647" spans="1:8" hidden="1" x14ac:dyDescent="0.2">
      <c r="A647" s="19" t="s">
        <v>326</v>
      </c>
      <c r="B647" s="41">
        <v>43623</v>
      </c>
      <c r="C647" s="11">
        <v>18</v>
      </c>
      <c r="D647" s="12" t="s">
        <v>391</v>
      </c>
      <c r="E647" s="10">
        <v>43619</v>
      </c>
      <c r="F647" s="8" t="s">
        <v>263</v>
      </c>
      <c r="G647" s="19"/>
      <c r="H647" s="18">
        <f ca="1">ROUNDDOWN(表3[[#This Row],[日期]]-TODAY(),1)</f>
        <v>-23</v>
      </c>
    </row>
    <row r="648" spans="1:8" hidden="1" x14ac:dyDescent="0.2">
      <c r="A648" s="19" t="s">
        <v>326</v>
      </c>
      <c r="B648" s="41">
        <v>43623</v>
      </c>
      <c r="C648" s="11">
        <v>19</v>
      </c>
      <c r="D648" s="12" t="s">
        <v>517</v>
      </c>
      <c r="E648" s="10">
        <v>43620</v>
      </c>
      <c r="F648" s="8" t="s">
        <v>263</v>
      </c>
      <c r="G648" s="19"/>
      <c r="H648" s="18">
        <f ca="1">ROUNDDOWN(表3[[#This Row],[日期]]-TODAY(),1)</f>
        <v>-22</v>
      </c>
    </row>
    <row r="649" spans="1:8" hidden="1" x14ac:dyDescent="0.2">
      <c r="A649" s="19" t="s">
        <v>326</v>
      </c>
      <c r="B649" s="41">
        <v>43623</v>
      </c>
      <c r="C649" s="11">
        <v>20</v>
      </c>
      <c r="D649" s="12" t="s">
        <v>85</v>
      </c>
      <c r="E649" s="10">
        <v>43620</v>
      </c>
      <c r="F649" s="8" t="s">
        <v>263</v>
      </c>
      <c r="G649" s="19"/>
      <c r="H649" s="18">
        <f ca="1">ROUNDDOWN(表3[[#This Row],[日期]]-TODAY(),1)</f>
        <v>-22</v>
      </c>
    </row>
    <row r="650" spans="1:8" hidden="1" x14ac:dyDescent="0.2">
      <c r="A650" s="19" t="s">
        <v>326</v>
      </c>
      <c r="B650" s="41">
        <v>43623</v>
      </c>
      <c r="C650" s="11">
        <v>21</v>
      </c>
      <c r="D650" s="12" t="s">
        <v>518</v>
      </c>
      <c r="E650" s="10">
        <v>43623</v>
      </c>
      <c r="F650" s="8" t="s">
        <v>263</v>
      </c>
      <c r="G650" s="19"/>
      <c r="H650" s="18">
        <f ca="1">ROUNDDOWN(表3[[#This Row],[日期]]-TODAY(),1)</f>
        <v>-19</v>
      </c>
    </row>
    <row r="651" spans="1:8" hidden="1" x14ac:dyDescent="0.2">
      <c r="A651" s="19" t="s">
        <v>326</v>
      </c>
      <c r="B651" s="41">
        <v>43623</v>
      </c>
      <c r="C651" s="11">
        <v>22</v>
      </c>
      <c r="D651" s="12" t="s">
        <v>331</v>
      </c>
      <c r="E651" s="10">
        <v>43624</v>
      </c>
      <c r="F651" s="8" t="s">
        <v>263</v>
      </c>
      <c r="G651" s="19"/>
      <c r="H651" s="18">
        <f ca="1">ROUNDDOWN(表3[[#This Row],[日期]]-TODAY(),1)</f>
        <v>-18</v>
      </c>
    </row>
    <row r="652" spans="1:8" hidden="1" x14ac:dyDescent="0.2">
      <c r="A652" s="19" t="s">
        <v>326</v>
      </c>
      <c r="B652" s="41">
        <v>43623</v>
      </c>
      <c r="C652" s="11">
        <v>23</v>
      </c>
      <c r="D652" s="12" t="s">
        <v>633</v>
      </c>
      <c r="E652" s="10">
        <v>43636</v>
      </c>
      <c r="F652" s="8" t="s">
        <v>1</v>
      </c>
      <c r="G652" s="19"/>
      <c r="H652" s="18">
        <f ca="1">ROUNDDOWN(表3[[#This Row],[日期]]-TODAY(),1)</f>
        <v>-6</v>
      </c>
    </row>
    <row r="653" spans="1:8" hidden="1" x14ac:dyDescent="0.2">
      <c r="A653" s="19" t="s">
        <v>326</v>
      </c>
      <c r="B653" s="41">
        <v>43623</v>
      </c>
      <c r="C653" s="11">
        <v>24</v>
      </c>
      <c r="D653" s="28" t="s">
        <v>95</v>
      </c>
      <c r="E653" s="10">
        <v>43626</v>
      </c>
      <c r="F653" s="8" t="s">
        <v>263</v>
      </c>
      <c r="G653" s="19"/>
      <c r="H653" s="18">
        <f ca="1">ROUNDDOWN(表3[[#This Row],[日期]]-TODAY(),1)</f>
        <v>-16</v>
      </c>
    </row>
    <row r="654" spans="1:8" hidden="1" x14ac:dyDescent="0.2">
      <c r="A654" s="19" t="s">
        <v>784</v>
      </c>
      <c r="B654" s="41">
        <v>43625</v>
      </c>
      <c r="C654" s="11">
        <v>1</v>
      </c>
      <c r="D654" s="28" t="s">
        <v>608</v>
      </c>
      <c r="E654" s="10">
        <v>43620</v>
      </c>
      <c r="F654" s="8" t="s">
        <v>609</v>
      </c>
      <c r="G654" s="19"/>
      <c r="H654" s="18">
        <f ca="1">ROUNDDOWN(表3[[#This Row],[日期]]-TODAY(),1)</f>
        <v>-22</v>
      </c>
    </row>
    <row r="655" spans="1:8" hidden="1" x14ac:dyDescent="0.2">
      <c r="A655" s="19" t="s">
        <v>784</v>
      </c>
      <c r="B655" s="41">
        <v>43625</v>
      </c>
      <c r="C655" s="11">
        <v>2</v>
      </c>
      <c r="D655" s="12" t="s">
        <v>611</v>
      </c>
      <c r="E655" s="10">
        <v>43620</v>
      </c>
      <c r="F655" s="8" t="s">
        <v>609</v>
      </c>
      <c r="G655" s="19"/>
      <c r="H655" s="18">
        <f ca="1">ROUNDDOWN(表3[[#This Row],[日期]]-TODAY(),1)</f>
        <v>-22</v>
      </c>
    </row>
    <row r="656" spans="1:8" hidden="1" x14ac:dyDescent="0.2">
      <c r="A656" s="19" t="s">
        <v>784</v>
      </c>
      <c r="B656" s="41">
        <v>43625</v>
      </c>
      <c r="C656" s="11">
        <v>3</v>
      </c>
      <c r="D656" s="12" t="s">
        <v>613</v>
      </c>
      <c r="E656" s="10">
        <v>43620</v>
      </c>
      <c r="F656" s="8" t="s">
        <v>609</v>
      </c>
      <c r="G656" s="19"/>
      <c r="H656" s="18">
        <f ca="1">ROUNDDOWN(表3[[#This Row],[日期]]-TODAY(),1)</f>
        <v>-22</v>
      </c>
    </row>
    <row r="657" spans="1:8" hidden="1" x14ac:dyDescent="0.2">
      <c r="A657" s="19" t="s">
        <v>784</v>
      </c>
      <c r="B657" s="41">
        <v>43625</v>
      </c>
      <c r="C657" s="11">
        <v>4</v>
      </c>
      <c r="D657" s="12" t="s">
        <v>615</v>
      </c>
      <c r="E657" s="10">
        <v>43620</v>
      </c>
      <c r="F657" s="8" t="s">
        <v>616</v>
      </c>
      <c r="G657" s="19"/>
      <c r="H657" s="18">
        <f ca="1">ROUNDDOWN(表3[[#This Row],[日期]]-TODAY(),1)</f>
        <v>-22</v>
      </c>
    </row>
    <row r="658" spans="1:8" hidden="1" x14ac:dyDescent="0.2">
      <c r="A658" s="19" t="s">
        <v>784</v>
      </c>
      <c r="B658" s="41">
        <v>43625</v>
      </c>
      <c r="C658" s="11">
        <v>5</v>
      </c>
      <c r="D658" s="12" t="s">
        <v>618</v>
      </c>
      <c r="E658" s="10">
        <v>43620</v>
      </c>
      <c r="F658" s="8" t="s">
        <v>609</v>
      </c>
      <c r="G658" s="19"/>
      <c r="H658" s="18">
        <f ca="1">ROUNDDOWN(表3[[#This Row],[日期]]-TODAY(),1)</f>
        <v>-22</v>
      </c>
    </row>
    <row r="659" spans="1:8" hidden="1" x14ac:dyDescent="0.2">
      <c r="A659" s="19" t="s">
        <v>784</v>
      </c>
      <c r="B659" s="41">
        <v>43625</v>
      </c>
      <c r="C659" s="11">
        <v>6</v>
      </c>
      <c r="D659" s="12" t="s">
        <v>620</v>
      </c>
      <c r="E659" s="10">
        <v>43622</v>
      </c>
      <c r="F659" s="8" t="s">
        <v>263</v>
      </c>
      <c r="G659" s="19" t="s">
        <v>629</v>
      </c>
      <c r="H659" s="18">
        <f ca="1">ROUNDDOWN(表3[[#This Row],[日期]]-TODAY(),1)</f>
        <v>-20</v>
      </c>
    </row>
    <row r="660" spans="1:8" hidden="1" x14ac:dyDescent="0.2">
      <c r="A660" s="19" t="s">
        <v>784</v>
      </c>
      <c r="B660" s="41">
        <v>43625</v>
      </c>
      <c r="C660" s="11">
        <v>7</v>
      </c>
      <c r="D660" s="12" t="s">
        <v>622</v>
      </c>
      <c r="E660" s="10">
        <v>43622</v>
      </c>
      <c r="F660" s="8" t="s">
        <v>263</v>
      </c>
      <c r="G660" s="19"/>
      <c r="H660" s="18">
        <f ca="1">ROUNDDOWN(表3[[#This Row],[日期]]-TODAY(),1)</f>
        <v>-20</v>
      </c>
    </row>
    <row r="661" spans="1:8" hidden="1" x14ac:dyDescent="0.2">
      <c r="A661" s="19" t="s">
        <v>784</v>
      </c>
      <c r="B661" s="41">
        <v>43625</v>
      </c>
      <c r="C661" s="11">
        <v>8</v>
      </c>
      <c r="D661" s="12" t="s">
        <v>624</v>
      </c>
      <c r="E661" s="10">
        <v>43622</v>
      </c>
      <c r="F661" s="8" t="s">
        <v>263</v>
      </c>
      <c r="G661" s="19"/>
      <c r="H661" s="18">
        <f ca="1">ROUNDDOWN(表3[[#This Row],[日期]]-TODAY(),1)</f>
        <v>-20</v>
      </c>
    </row>
    <row r="662" spans="1:8" hidden="1" x14ac:dyDescent="0.2">
      <c r="A662" s="19" t="s">
        <v>784</v>
      </c>
      <c r="B662" s="41">
        <v>43625</v>
      </c>
      <c r="C662" s="11">
        <v>9</v>
      </c>
      <c r="D662" s="12" t="s">
        <v>626</v>
      </c>
      <c r="E662" s="10">
        <v>43626</v>
      </c>
      <c r="F662" s="8" t="s">
        <v>263</v>
      </c>
      <c r="G662" s="19"/>
      <c r="H662" s="18">
        <f ca="1">ROUNDDOWN(表3[[#This Row],[日期]]-TODAY(),1)</f>
        <v>-16</v>
      </c>
    </row>
    <row r="663" spans="1:8" hidden="1" x14ac:dyDescent="0.2">
      <c r="A663" s="19" t="s">
        <v>784</v>
      </c>
      <c r="B663" s="41">
        <v>43625</v>
      </c>
      <c r="C663" s="11">
        <v>10</v>
      </c>
      <c r="D663" s="12" t="s">
        <v>628</v>
      </c>
      <c r="E663" s="10">
        <v>43626</v>
      </c>
      <c r="F663" s="8" t="s">
        <v>263</v>
      </c>
      <c r="G663" s="19"/>
      <c r="H663" s="18">
        <f ca="1">ROUNDDOWN(表3[[#This Row],[日期]]-TODAY(),1)</f>
        <v>-16</v>
      </c>
    </row>
    <row r="664" spans="1:8" hidden="1" x14ac:dyDescent="0.2">
      <c r="A664" s="19" t="s">
        <v>242</v>
      </c>
      <c r="B664" s="41">
        <v>43626</v>
      </c>
      <c r="C664" s="11">
        <v>1</v>
      </c>
      <c r="D664" s="12" t="s">
        <v>424</v>
      </c>
      <c r="E664" s="10">
        <v>43626</v>
      </c>
      <c r="F664" s="8" t="s">
        <v>263</v>
      </c>
      <c r="G664" s="19" t="s">
        <v>237</v>
      </c>
      <c r="H664" s="18">
        <f ca="1">ROUNDDOWN(表3[[#This Row],[日期]]-TODAY(),1)</f>
        <v>-16</v>
      </c>
    </row>
    <row r="665" spans="1:8" hidden="1" x14ac:dyDescent="0.2">
      <c r="A665" s="19" t="s">
        <v>242</v>
      </c>
      <c r="B665" s="41">
        <v>43626</v>
      </c>
      <c r="C665" s="11">
        <v>2</v>
      </c>
      <c r="D665" s="12" t="s">
        <v>425</v>
      </c>
      <c r="E665" s="10">
        <v>43626</v>
      </c>
      <c r="F665" s="8" t="s">
        <v>263</v>
      </c>
      <c r="G665" s="19" t="s">
        <v>237</v>
      </c>
      <c r="H665" s="18">
        <f ca="1">ROUNDDOWN(表3[[#This Row],[日期]]-TODAY(),1)</f>
        <v>-16</v>
      </c>
    </row>
    <row r="666" spans="1:8" hidden="1" x14ac:dyDescent="0.2">
      <c r="A666" s="19" t="s">
        <v>242</v>
      </c>
      <c r="B666" s="41">
        <v>43626</v>
      </c>
      <c r="C666" s="11">
        <v>3</v>
      </c>
      <c r="D666" s="12" t="s">
        <v>238</v>
      </c>
      <c r="E666" s="10">
        <v>43626</v>
      </c>
      <c r="F666" s="8" t="s">
        <v>263</v>
      </c>
      <c r="G666" s="19" t="s">
        <v>237</v>
      </c>
      <c r="H666" s="18">
        <f ca="1">ROUNDDOWN(表3[[#This Row],[日期]]-TODAY(),1)</f>
        <v>-16</v>
      </c>
    </row>
    <row r="667" spans="1:8" hidden="1" x14ac:dyDescent="0.2">
      <c r="A667" s="19" t="s">
        <v>242</v>
      </c>
      <c r="B667" s="41">
        <v>43626</v>
      </c>
      <c r="C667" s="11">
        <v>4</v>
      </c>
      <c r="D667" s="12" t="s">
        <v>238</v>
      </c>
      <c r="E667" s="10">
        <v>43628</v>
      </c>
      <c r="F667" s="8" t="s">
        <v>263</v>
      </c>
      <c r="G667" s="19" t="s">
        <v>240</v>
      </c>
      <c r="H667" s="18">
        <f ca="1">ROUNDDOWN(表3[[#This Row],[日期]]-TODAY(),1)</f>
        <v>-14</v>
      </c>
    </row>
    <row r="668" spans="1:8" hidden="1" x14ac:dyDescent="0.2">
      <c r="A668" s="19" t="s">
        <v>242</v>
      </c>
      <c r="B668" s="41">
        <v>43626</v>
      </c>
      <c r="C668" s="11">
        <v>5</v>
      </c>
      <c r="D668" s="12" t="s">
        <v>228</v>
      </c>
      <c r="E668" s="10">
        <v>43630</v>
      </c>
      <c r="F668" s="8" t="s">
        <v>263</v>
      </c>
      <c r="G668" s="19" t="s">
        <v>233</v>
      </c>
      <c r="H668" s="18">
        <f ca="1">ROUNDDOWN(表3[[#This Row],[日期]]-TODAY(),1)</f>
        <v>-12</v>
      </c>
    </row>
    <row r="669" spans="1:8" hidden="1" x14ac:dyDescent="0.2">
      <c r="A669" s="19" t="s">
        <v>242</v>
      </c>
      <c r="B669" s="41">
        <v>43626</v>
      </c>
      <c r="C669" s="11">
        <v>6</v>
      </c>
      <c r="D669" s="19" t="s">
        <v>588</v>
      </c>
      <c r="E669" s="10">
        <v>43630</v>
      </c>
      <c r="F669" s="8" t="s">
        <v>263</v>
      </c>
      <c r="G669" s="19" t="s">
        <v>233</v>
      </c>
      <c r="H669" s="18">
        <f ca="1">ROUNDDOWN(表3[[#This Row],[日期]]-TODAY(),1)</f>
        <v>-12</v>
      </c>
    </row>
    <row r="670" spans="1:8" hidden="1" x14ac:dyDescent="0.2">
      <c r="A670" s="19" t="s">
        <v>242</v>
      </c>
      <c r="B670" s="41">
        <v>43626</v>
      </c>
      <c r="C670" s="11">
        <v>7</v>
      </c>
      <c r="D670" s="19" t="s">
        <v>775</v>
      </c>
      <c r="E670" s="10">
        <v>43630</v>
      </c>
      <c r="F670" s="8" t="s">
        <v>263</v>
      </c>
      <c r="G670" s="19" t="s">
        <v>233</v>
      </c>
      <c r="H670" s="18">
        <f ca="1">ROUNDDOWN(表3[[#This Row],[日期]]-TODAY(),1)</f>
        <v>-12</v>
      </c>
    </row>
    <row r="671" spans="1:8" hidden="1" x14ac:dyDescent="0.2">
      <c r="A671" s="19" t="s">
        <v>242</v>
      </c>
      <c r="B671" s="41">
        <v>43626</v>
      </c>
      <c r="C671" s="11">
        <v>8</v>
      </c>
      <c r="D671" s="12" t="s">
        <v>875</v>
      </c>
      <c r="E671" s="10">
        <v>43631</v>
      </c>
      <c r="F671" s="8" t="s">
        <v>263</v>
      </c>
      <c r="G671" s="19"/>
      <c r="H671" s="18">
        <f ca="1">ROUNDDOWN(表3[[#This Row],[日期]]-TODAY(),1)</f>
        <v>-11</v>
      </c>
    </row>
    <row r="672" spans="1:8" hidden="1" x14ac:dyDescent="0.2">
      <c r="A672" s="19" t="s">
        <v>784</v>
      </c>
      <c r="B672" s="41">
        <v>43628</v>
      </c>
      <c r="C672" s="11">
        <v>1</v>
      </c>
      <c r="D672" s="12" t="s">
        <v>607</v>
      </c>
      <c r="E672" s="10">
        <v>43620</v>
      </c>
      <c r="F672" s="8" t="s">
        <v>609</v>
      </c>
      <c r="G672" s="19"/>
      <c r="H672" s="18">
        <f ca="1">ROUNDDOWN(表3[[#This Row],[日期]]-TODAY(),1)</f>
        <v>-22</v>
      </c>
    </row>
    <row r="673" spans="1:8" hidden="1" x14ac:dyDescent="0.2">
      <c r="A673" s="19" t="s">
        <v>784</v>
      </c>
      <c r="B673" s="41">
        <v>43628</v>
      </c>
      <c r="C673" s="11">
        <v>2</v>
      </c>
      <c r="D673" s="12" t="s">
        <v>610</v>
      </c>
      <c r="E673" s="10">
        <v>43620</v>
      </c>
      <c r="F673" s="8" t="s">
        <v>609</v>
      </c>
      <c r="G673" s="19"/>
      <c r="H673" s="18">
        <f ca="1">ROUNDDOWN(表3[[#This Row],[日期]]-TODAY(),1)</f>
        <v>-22</v>
      </c>
    </row>
    <row r="674" spans="1:8" hidden="1" x14ac:dyDescent="0.2">
      <c r="A674" s="19" t="s">
        <v>784</v>
      </c>
      <c r="B674" s="41">
        <v>43628</v>
      </c>
      <c r="C674" s="11">
        <v>3</v>
      </c>
      <c r="D674" s="12" t="s">
        <v>612</v>
      </c>
      <c r="E674" s="10">
        <v>43620</v>
      </c>
      <c r="F674" s="8" t="s">
        <v>609</v>
      </c>
      <c r="G674" s="19"/>
      <c r="H674" s="18">
        <f ca="1">ROUNDDOWN(表3[[#This Row],[日期]]-TODAY(),1)</f>
        <v>-22</v>
      </c>
    </row>
    <row r="675" spans="1:8" hidden="1" x14ac:dyDescent="0.2">
      <c r="A675" s="19" t="s">
        <v>784</v>
      </c>
      <c r="B675" s="41">
        <v>43628</v>
      </c>
      <c r="C675" s="11">
        <v>4</v>
      </c>
      <c r="D675" s="12" t="s">
        <v>614</v>
      </c>
      <c r="E675" s="10">
        <v>43620</v>
      </c>
      <c r="F675" s="8" t="s">
        <v>609</v>
      </c>
      <c r="G675" s="19"/>
      <c r="H675" s="18">
        <f ca="1">ROUNDDOWN(表3[[#This Row],[日期]]-TODAY(),1)</f>
        <v>-22</v>
      </c>
    </row>
    <row r="676" spans="1:8" hidden="1" x14ac:dyDescent="0.2">
      <c r="A676" s="19" t="s">
        <v>784</v>
      </c>
      <c r="B676" s="41">
        <v>43628</v>
      </c>
      <c r="C676" s="11">
        <v>5</v>
      </c>
      <c r="D676" s="12" t="s">
        <v>617</v>
      </c>
      <c r="E676" s="10">
        <v>43620</v>
      </c>
      <c r="F676" s="8" t="s">
        <v>609</v>
      </c>
      <c r="G676" s="19"/>
      <c r="H676" s="18">
        <f ca="1">ROUNDDOWN(表3[[#This Row],[日期]]-TODAY(),1)</f>
        <v>-22</v>
      </c>
    </row>
    <row r="677" spans="1:8" hidden="1" x14ac:dyDescent="0.2">
      <c r="A677" s="19" t="s">
        <v>784</v>
      </c>
      <c r="B677" s="41">
        <v>43628</v>
      </c>
      <c r="C677" s="11">
        <v>6</v>
      </c>
      <c r="D677" s="12" t="s">
        <v>619</v>
      </c>
      <c r="E677" s="10">
        <v>43626</v>
      </c>
      <c r="F677" s="8" t="s">
        <v>263</v>
      </c>
      <c r="G677" s="19" t="s">
        <v>629</v>
      </c>
      <c r="H677" s="18">
        <f ca="1">ROUNDDOWN(表3[[#This Row],[日期]]-TODAY(),1)</f>
        <v>-16</v>
      </c>
    </row>
    <row r="678" spans="1:8" hidden="1" x14ac:dyDescent="0.2">
      <c r="A678" s="19" t="s">
        <v>784</v>
      </c>
      <c r="B678" s="41">
        <v>43628</v>
      </c>
      <c r="C678" s="11">
        <v>7</v>
      </c>
      <c r="D678" s="12" t="s">
        <v>621</v>
      </c>
      <c r="E678" s="10">
        <v>43626</v>
      </c>
      <c r="F678" s="8" t="s">
        <v>263</v>
      </c>
      <c r="G678" s="19"/>
      <c r="H678" s="18">
        <f ca="1">ROUNDDOWN(表3[[#This Row],[日期]]-TODAY(),1)</f>
        <v>-16</v>
      </c>
    </row>
    <row r="679" spans="1:8" hidden="1" x14ac:dyDescent="0.2">
      <c r="A679" s="19" t="s">
        <v>784</v>
      </c>
      <c r="B679" s="41">
        <v>43628</v>
      </c>
      <c r="C679" s="11">
        <v>8</v>
      </c>
      <c r="D679" s="28" t="s">
        <v>623</v>
      </c>
      <c r="E679" s="10">
        <v>43626</v>
      </c>
      <c r="F679" s="8" t="s">
        <v>263</v>
      </c>
      <c r="G679" s="19"/>
      <c r="H679" s="18">
        <f ca="1">ROUNDDOWN(表3[[#This Row],[日期]]-TODAY(),1)</f>
        <v>-16</v>
      </c>
    </row>
    <row r="680" spans="1:8" hidden="1" x14ac:dyDescent="0.2">
      <c r="A680" s="19" t="s">
        <v>784</v>
      </c>
      <c r="B680" s="41">
        <v>43628</v>
      </c>
      <c r="C680" s="11">
        <v>9</v>
      </c>
      <c r="D680" s="28" t="s">
        <v>625</v>
      </c>
      <c r="E680" s="10">
        <v>43629</v>
      </c>
      <c r="F680" s="8" t="s">
        <v>263</v>
      </c>
      <c r="G680" s="19"/>
      <c r="H680" s="18">
        <f ca="1">ROUNDDOWN(表3[[#This Row],[日期]]-TODAY(),1)</f>
        <v>-13</v>
      </c>
    </row>
    <row r="681" spans="1:8" hidden="1" x14ac:dyDescent="0.2">
      <c r="A681" s="19" t="s">
        <v>784</v>
      </c>
      <c r="B681" s="41">
        <v>43628</v>
      </c>
      <c r="C681" s="11">
        <v>10</v>
      </c>
      <c r="D681" s="12" t="s">
        <v>627</v>
      </c>
      <c r="E681" s="10">
        <v>43629</v>
      </c>
      <c r="F681" s="8" t="s">
        <v>263</v>
      </c>
      <c r="G681" s="19"/>
      <c r="H681" s="18">
        <f ca="1">ROUNDDOWN(表3[[#This Row],[日期]]-TODAY(),1)</f>
        <v>-13</v>
      </c>
    </row>
    <row r="682" spans="1:8" hidden="1" x14ac:dyDescent="0.2">
      <c r="A682" s="19" t="s">
        <v>580</v>
      </c>
      <c r="B682" s="41">
        <v>43628</v>
      </c>
      <c r="C682" s="11">
        <v>1</v>
      </c>
      <c r="D682" s="12" t="s">
        <v>421</v>
      </c>
      <c r="E682" s="10">
        <v>43616</v>
      </c>
      <c r="F682" s="8" t="s">
        <v>583</v>
      </c>
      <c r="G682" s="19"/>
      <c r="H682" s="18">
        <f ca="1">ROUNDDOWN(表3[[#This Row],[日期]]-TODAY(),1)</f>
        <v>-26</v>
      </c>
    </row>
    <row r="683" spans="1:8" hidden="1" x14ac:dyDescent="0.2">
      <c r="A683" s="19" t="s">
        <v>581</v>
      </c>
      <c r="B683" s="41">
        <v>43628</v>
      </c>
      <c r="C683" s="11">
        <v>2</v>
      </c>
      <c r="D683" s="12" t="s">
        <v>422</v>
      </c>
      <c r="E683" s="10">
        <v>43620</v>
      </c>
      <c r="F683" s="8" t="s">
        <v>263</v>
      </c>
      <c r="G683" s="19"/>
      <c r="H683" s="18">
        <f ca="1">ROUNDDOWN(表3[[#This Row],[日期]]-TODAY(),1)</f>
        <v>-22</v>
      </c>
    </row>
    <row r="684" spans="1:8" hidden="1" x14ac:dyDescent="0.2">
      <c r="A684" s="19" t="s">
        <v>582</v>
      </c>
      <c r="B684" s="41">
        <v>43628</v>
      </c>
      <c r="C684" s="11">
        <v>3</v>
      </c>
      <c r="D684" s="12" t="s">
        <v>21</v>
      </c>
      <c r="E684" s="10">
        <v>43620</v>
      </c>
      <c r="F684" s="8" t="s">
        <v>263</v>
      </c>
      <c r="G684" s="19"/>
      <c r="H684" s="18">
        <f ca="1">ROUNDDOWN(表3[[#This Row],[日期]]-TODAY(),1)</f>
        <v>-22</v>
      </c>
    </row>
    <row r="685" spans="1:8" hidden="1" x14ac:dyDescent="0.2">
      <c r="A685" s="19" t="s">
        <v>580</v>
      </c>
      <c r="B685" s="41">
        <v>43628</v>
      </c>
      <c r="C685" s="11">
        <v>4</v>
      </c>
      <c r="D685" s="12" t="s">
        <v>149</v>
      </c>
      <c r="E685" s="10">
        <v>43622</v>
      </c>
      <c r="F685" s="8" t="s">
        <v>263</v>
      </c>
      <c r="G685" s="19" t="s">
        <v>137</v>
      </c>
      <c r="H685" s="18">
        <f ca="1">ROUNDDOWN(表3[[#This Row],[日期]]-TODAY(),1)</f>
        <v>-20</v>
      </c>
    </row>
    <row r="686" spans="1:8" hidden="1" x14ac:dyDescent="0.2">
      <c r="A686" s="19" t="s">
        <v>582</v>
      </c>
      <c r="B686" s="41">
        <v>43628</v>
      </c>
      <c r="C686" s="11">
        <v>5</v>
      </c>
      <c r="D686" s="12" t="s">
        <v>140</v>
      </c>
      <c r="E686" s="10">
        <v>43622</v>
      </c>
      <c r="F686" s="8" t="s">
        <v>263</v>
      </c>
      <c r="G686" s="19"/>
      <c r="H686" s="18">
        <f ca="1">ROUNDDOWN(表3[[#This Row],[日期]]-TODAY(),1)</f>
        <v>-20</v>
      </c>
    </row>
    <row r="687" spans="1:8" hidden="1" x14ac:dyDescent="0.2">
      <c r="A687" s="19" t="s">
        <v>582</v>
      </c>
      <c r="B687" s="41">
        <v>43628</v>
      </c>
      <c r="C687" s="11">
        <v>6</v>
      </c>
      <c r="D687" s="12" t="s">
        <v>586</v>
      </c>
      <c r="E687" s="10">
        <v>43622</v>
      </c>
      <c r="F687" s="8" t="s">
        <v>263</v>
      </c>
      <c r="G687" s="19"/>
      <c r="H687" s="18">
        <f ca="1">ROUNDDOWN(表3[[#This Row],[日期]]-TODAY(),1)</f>
        <v>-20</v>
      </c>
    </row>
    <row r="688" spans="1:8" hidden="1" x14ac:dyDescent="0.2">
      <c r="A688" s="19" t="s">
        <v>582</v>
      </c>
      <c r="B688" s="41">
        <v>43628</v>
      </c>
      <c r="C688" s="11">
        <v>7</v>
      </c>
      <c r="D688" s="12" t="s">
        <v>333</v>
      </c>
      <c r="E688" s="10">
        <v>43626</v>
      </c>
      <c r="F688" s="8" t="s">
        <v>263</v>
      </c>
      <c r="G688" s="19" t="s">
        <v>143</v>
      </c>
      <c r="H688" s="18">
        <f ca="1">ROUNDDOWN(表3[[#This Row],[日期]]-TODAY(),1)</f>
        <v>-16</v>
      </c>
    </row>
    <row r="689" spans="1:8" hidden="1" x14ac:dyDescent="0.2">
      <c r="A689" s="22" t="s">
        <v>155</v>
      </c>
      <c r="B689" s="43">
        <v>43628</v>
      </c>
      <c r="C689" s="23">
        <v>7.1</v>
      </c>
      <c r="D689" s="24" t="s">
        <v>661</v>
      </c>
      <c r="E689" s="25">
        <v>43626</v>
      </c>
      <c r="F689" s="26" t="s">
        <v>263</v>
      </c>
      <c r="G689" s="22"/>
      <c r="H689" s="21">
        <f ca="1">ROUNDDOWN(表3[[#This Row],[日期]]-TODAY(),1)</f>
        <v>-16</v>
      </c>
    </row>
    <row r="690" spans="1:8" hidden="1" x14ac:dyDescent="0.2">
      <c r="A690" s="22" t="s">
        <v>582</v>
      </c>
      <c r="B690" s="43">
        <v>43628</v>
      </c>
      <c r="C690" s="23">
        <v>8</v>
      </c>
      <c r="D690" s="28" t="s">
        <v>486</v>
      </c>
      <c r="E690" s="25">
        <v>43626</v>
      </c>
      <c r="F690" s="26" t="s">
        <v>263</v>
      </c>
      <c r="G690" s="22"/>
      <c r="H690" s="21">
        <f ca="1">ROUNDDOWN(表3[[#This Row],[日期]]-TODAY(),1)</f>
        <v>-16</v>
      </c>
    </row>
    <row r="691" spans="1:8" hidden="1" x14ac:dyDescent="0.2">
      <c r="A691" s="19" t="s">
        <v>582</v>
      </c>
      <c r="B691" s="41">
        <v>43628</v>
      </c>
      <c r="C691" s="11">
        <v>9</v>
      </c>
      <c r="D691" s="12" t="s">
        <v>334</v>
      </c>
      <c r="E691" s="10">
        <v>43626</v>
      </c>
      <c r="F691" s="8" t="s">
        <v>263</v>
      </c>
      <c r="G691" s="19" t="s">
        <v>153</v>
      </c>
      <c r="H691" s="18">
        <f ca="1">ROUNDDOWN(表3[[#This Row],[日期]]-TODAY(),1)</f>
        <v>-16</v>
      </c>
    </row>
    <row r="692" spans="1:8" hidden="1" x14ac:dyDescent="0.2">
      <c r="A692" s="19" t="s">
        <v>582</v>
      </c>
      <c r="B692" s="41">
        <v>43628</v>
      </c>
      <c r="C692" s="11">
        <v>9</v>
      </c>
      <c r="D692" s="12" t="s">
        <v>215</v>
      </c>
      <c r="E692" s="10">
        <v>43626</v>
      </c>
      <c r="F692" s="8" t="s">
        <v>263</v>
      </c>
      <c r="G692" s="19"/>
      <c r="H692" s="18">
        <f ca="1">ROUNDDOWN(表3[[#This Row],[日期]]-TODAY(),1)</f>
        <v>-16</v>
      </c>
    </row>
    <row r="693" spans="1:8" hidden="1" x14ac:dyDescent="0.2">
      <c r="A693" s="22" t="s">
        <v>582</v>
      </c>
      <c r="B693" s="43">
        <v>43628</v>
      </c>
      <c r="C693" s="23">
        <v>9</v>
      </c>
      <c r="D693" s="24" t="s">
        <v>335</v>
      </c>
      <c r="E693" s="25">
        <v>43626</v>
      </c>
      <c r="F693" s="26" t="s">
        <v>263</v>
      </c>
      <c r="G693" s="22" t="s">
        <v>336</v>
      </c>
      <c r="H693" s="21">
        <f ca="1">ROUNDDOWN(表3[[#This Row],[日期]]-TODAY(),1)</f>
        <v>-16</v>
      </c>
    </row>
    <row r="694" spans="1:8" hidden="1" x14ac:dyDescent="0.2">
      <c r="A694" s="22" t="s">
        <v>582</v>
      </c>
      <c r="B694" s="43">
        <v>43628</v>
      </c>
      <c r="C694" s="23">
        <v>9</v>
      </c>
      <c r="D694" s="24" t="s">
        <v>337</v>
      </c>
      <c r="E694" s="25">
        <v>43626</v>
      </c>
      <c r="F694" s="26" t="s">
        <v>263</v>
      </c>
      <c r="G694" s="22" t="s">
        <v>336</v>
      </c>
      <c r="H694" s="21">
        <f ca="1">ROUNDDOWN(表3[[#This Row],[日期]]-TODAY(),1)</f>
        <v>-16</v>
      </c>
    </row>
    <row r="695" spans="1:8" hidden="1" x14ac:dyDescent="0.2">
      <c r="A695" s="19" t="s">
        <v>582</v>
      </c>
      <c r="B695" s="41">
        <v>43628</v>
      </c>
      <c r="C695" s="11">
        <v>9</v>
      </c>
      <c r="D695" s="12" t="s">
        <v>338</v>
      </c>
      <c r="E695" s="10">
        <v>43626</v>
      </c>
      <c r="F695" s="8" t="s">
        <v>263</v>
      </c>
      <c r="G695" s="19" t="s">
        <v>336</v>
      </c>
      <c r="H695" s="18">
        <f ca="1">ROUNDDOWN(表3[[#This Row],[日期]]-TODAY(),1)</f>
        <v>-16</v>
      </c>
    </row>
    <row r="696" spans="1:8" hidden="1" x14ac:dyDescent="0.2">
      <c r="A696" s="19" t="s">
        <v>582</v>
      </c>
      <c r="B696" s="41">
        <v>43628</v>
      </c>
      <c r="C696" s="11">
        <v>9</v>
      </c>
      <c r="D696" s="12" t="s">
        <v>339</v>
      </c>
      <c r="E696" s="10">
        <v>43626</v>
      </c>
      <c r="F696" s="8" t="s">
        <v>263</v>
      </c>
      <c r="G696" s="19" t="s">
        <v>336</v>
      </c>
      <c r="H696" s="18">
        <f ca="1">ROUNDDOWN(表3[[#This Row],[日期]]-TODAY(),1)</f>
        <v>-16</v>
      </c>
    </row>
    <row r="697" spans="1:8" hidden="1" x14ac:dyDescent="0.2">
      <c r="A697" s="19" t="s">
        <v>582</v>
      </c>
      <c r="B697" s="41">
        <v>43628</v>
      </c>
      <c r="C697" s="11">
        <v>15</v>
      </c>
      <c r="D697" s="12" t="s">
        <v>87</v>
      </c>
      <c r="E697" s="10">
        <v>43626</v>
      </c>
      <c r="F697" s="8" t="s">
        <v>263</v>
      </c>
      <c r="G697" s="19"/>
      <c r="H697" s="18">
        <f ca="1">ROUNDDOWN(表3[[#This Row],[日期]]-TODAY(),1)</f>
        <v>-16</v>
      </c>
    </row>
    <row r="698" spans="1:8" hidden="1" x14ac:dyDescent="0.2">
      <c r="A698" s="19" t="s">
        <v>580</v>
      </c>
      <c r="B698" s="41">
        <v>43628</v>
      </c>
      <c r="C698" s="11">
        <v>16</v>
      </c>
      <c r="D698" s="12" t="s">
        <v>89</v>
      </c>
      <c r="E698" s="10">
        <v>43627</v>
      </c>
      <c r="F698" s="8" t="s">
        <v>263</v>
      </c>
      <c r="G698" s="19"/>
      <c r="H698" s="18">
        <f ca="1">ROUNDDOWN(表3[[#This Row],[日期]]-TODAY(),1)</f>
        <v>-15</v>
      </c>
    </row>
    <row r="699" spans="1:8" hidden="1" x14ac:dyDescent="0.2">
      <c r="A699" s="19" t="s">
        <v>582</v>
      </c>
      <c r="B699" s="41">
        <v>43628</v>
      </c>
      <c r="C699" s="11">
        <v>17</v>
      </c>
      <c r="D699" s="12" t="s">
        <v>91</v>
      </c>
      <c r="E699" s="10">
        <v>43628</v>
      </c>
      <c r="F699" s="8" t="s">
        <v>263</v>
      </c>
      <c r="G699" s="19"/>
      <c r="H699" s="18">
        <f ca="1">ROUNDDOWN(表3[[#This Row],[日期]]-TODAY(),1)</f>
        <v>-14</v>
      </c>
    </row>
    <row r="700" spans="1:8" hidden="1" x14ac:dyDescent="0.2">
      <c r="A700" s="19" t="s">
        <v>582</v>
      </c>
      <c r="B700" s="41">
        <v>43628</v>
      </c>
      <c r="C700" s="11">
        <v>18</v>
      </c>
      <c r="D700" s="12" t="s">
        <v>787</v>
      </c>
      <c r="E700" s="10">
        <v>43629</v>
      </c>
      <c r="F700" s="8" t="s">
        <v>263</v>
      </c>
      <c r="G700" s="19"/>
      <c r="H700" s="18">
        <f ca="1">ROUNDDOWN(表3[[#This Row],[日期]]-TODAY(),1)</f>
        <v>-13</v>
      </c>
    </row>
    <row r="701" spans="1:8" hidden="1" x14ac:dyDescent="0.2">
      <c r="A701" s="19" t="s">
        <v>581</v>
      </c>
      <c r="B701" s="41">
        <v>43628</v>
      </c>
      <c r="C701" s="11">
        <v>19</v>
      </c>
      <c r="D701" s="12" t="s">
        <v>259</v>
      </c>
      <c r="E701" s="10">
        <v>43629</v>
      </c>
      <c r="F701" s="8" t="s">
        <v>263</v>
      </c>
      <c r="G701" s="19"/>
      <c r="H701" s="18">
        <f ca="1">ROUNDDOWN(表3[[#This Row],[日期]]-TODAY(),1)</f>
        <v>-13</v>
      </c>
    </row>
    <row r="702" spans="1:8" hidden="1" x14ac:dyDescent="0.2">
      <c r="A702" s="19" t="s">
        <v>2</v>
      </c>
      <c r="B702" s="41">
        <v>43628</v>
      </c>
      <c r="C702" s="11">
        <v>1</v>
      </c>
      <c r="D702" s="12" t="s">
        <v>523</v>
      </c>
      <c r="E702" s="10">
        <v>43616</v>
      </c>
      <c r="F702" s="8" t="s">
        <v>578</v>
      </c>
      <c r="G702" s="19" t="s">
        <v>29</v>
      </c>
      <c r="H702" s="18">
        <f ca="1">ROUNDDOWN(表3[[#This Row],[日期]]-TODAY(),1)</f>
        <v>-26</v>
      </c>
    </row>
    <row r="703" spans="1:8" hidden="1" x14ac:dyDescent="0.2">
      <c r="A703" s="19" t="s">
        <v>2</v>
      </c>
      <c r="B703" s="41">
        <v>43628</v>
      </c>
      <c r="C703" s="11">
        <v>2</v>
      </c>
      <c r="D703" s="12" t="s">
        <v>224</v>
      </c>
      <c r="E703" s="10">
        <v>43616</v>
      </c>
      <c r="F703" s="8" t="s">
        <v>263</v>
      </c>
      <c r="G703" s="19"/>
      <c r="H703" s="18">
        <f ca="1">ROUNDDOWN(表3[[#This Row],[日期]]-TODAY(),1)</f>
        <v>-26</v>
      </c>
    </row>
    <row r="704" spans="1:8" hidden="1" x14ac:dyDescent="0.2">
      <c r="A704" s="19" t="s">
        <v>2</v>
      </c>
      <c r="B704" s="41">
        <v>43628</v>
      </c>
      <c r="C704" s="11">
        <v>3</v>
      </c>
      <c r="D704" s="12" t="s">
        <v>60</v>
      </c>
      <c r="E704" s="10">
        <v>43616</v>
      </c>
      <c r="F704" s="8" t="s">
        <v>263</v>
      </c>
      <c r="G704" s="19" t="s">
        <v>31</v>
      </c>
      <c r="H704" s="18">
        <f ca="1">ROUNDDOWN(表3[[#This Row],[日期]]-TODAY(),1)</f>
        <v>-26</v>
      </c>
    </row>
    <row r="705" spans="1:8" hidden="1" x14ac:dyDescent="0.2">
      <c r="A705" s="19" t="s">
        <v>2</v>
      </c>
      <c r="B705" s="41">
        <v>43628</v>
      </c>
      <c r="C705" s="11">
        <v>4</v>
      </c>
      <c r="D705" s="12" t="s">
        <v>61</v>
      </c>
      <c r="E705" s="10">
        <v>43616</v>
      </c>
      <c r="F705" s="8" t="s">
        <v>263</v>
      </c>
      <c r="G705" s="19"/>
      <c r="H705" s="18">
        <f ca="1">ROUNDDOWN(表3[[#This Row],[日期]]-TODAY(),1)</f>
        <v>-26</v>
      </c>
    </row>
    <row r="706" spans="1:8" hidden="1" x14ac:dyDescent="0.2">
      <c r="A706" s="19" t="s">
        <v>2</v>
      </c>
      <c r="B706" s="41">
        <v>43628</v>
      </c>
      <c r="C706" s="11">
        <v>5</v>
      </c>
      <c r="D706" s="12" t="s">
        <v>62</v>
      </c>
      <c r="E706" s="10">
        <v>43620</v>
      </c>
      <c r="F706" s="8" t="s">
        <v>263</v>
      </c>
      <c r="G706" s="19" t="s">
        <v>43</v>
      </c>
      <c r="H706" s="18">
        <f ca="1">ROUNDDOWN(表3[[#This Row],[日期]]-TODAY(),1)</f>
        <v>-22</v>
      </c>
    </row>
    <row r="707" spans="1:8" hidden="1" x14ac:dyDescent="0.2">
      <c r="A707" s="19" t="s">
        <v>2</v>
      </c>
      <c r="B707" s="41">
        <v>43628</v>
      </c>
      <c r="C707" s="11">
        <v>6</v>
      </c>
      <c r="D707" s="12" t="s">
        <v>19</v>
      </c>
      <c r="E707" s="10">
        <v>43620</v>
      </c>
      <c r="F707" s="8" t="s">
        <v>263</v>
      </c>
      <c r="G707" s="19"/>
      <c r="H707" s="18">
        <f ca="1">ROUNDDOWN(表3[[#This Row],[日期]]-TODAY(),1)</f>
        <v>-22</v>
      </c>
    </row>
    <row r="708" spans="1:8" hidden="1" x14ac:dyDescent="0.2">
      <c r="A708" s="19" t="s">
        <v>2</v>
      </c>
      <c r="B708" s="41">
        <v>43628</v>
      </c>
      <c r="C708" s="11">
        <v>7</v>
      </c>
      <c r="D708" s="12" t="s">
        <v>21</v>
      </c>
      <c r="E708" s="10">
        <v>43620</v>
      </c>
      <c r="F708" s="8" t="s">
        <v>263</v>
      </c>
      <c r="G708" s="19"/>
      <c r="H708" s="18">
        <f ca="1">ROUNDDOWN(表3[[#This Row],[日期]]-TODAY(),1)</f>
        <v>-22</v>
      </c>
    </row>
    <row r="709" spans="1:8" hidden="1" x14ac:dyDescent="0.2">
      <c r="A709" s="19" t="s">
        <v>2</v>
      </c>
      <c r="B709" s="41">
        <v>43628</v>
      </c>
      <c r="C709" s="11">
        <v>8</v>
      </c>
      <c r="D709" s="12" t="s">
        <v>7</v>
      </c>
      <c r="E709" s="10">
        <v>43620</v>
      </c>
      <c r="F709" s="8" t="s">
        <v>263</v>
      </c>
      <c r="G709" s="19"/>
      <c r="H709" s="18">
        <f ca="1">ROUNDDOWN(表3[[#This Row],[日期]]-TODAY(),1)</f>
        <v>-22</v>
      </c>
    </row>
    <row r="710" spans="1:8" hidden="1" x14ac:dyDescent="0.2">
      <c r="A710" s="19" t="s">
        <v>2</v>
      </c>
      <c r="B710" s="41">
        <v>43628</v>
      </c>
      <c r="C710" s="11">
        <v>9</v>
      </c>
      <c r="D710" s="12" t="s">
        <v>9</v>
      </c>
      <c r="E710" s="10">
        <v>43620</v>
      </c>
      <c r="F710" s="8" t="s">
        <v>263</v>
      </c>
      <c r="G710" s="19"/>
      <c r="H710" s="18">
        <f ca="1">ROUNDDOWN(表3[[#This Row],[日期]]-TODAY(),1)</f>
        <v>-22</v>
      </c>
    </row>
    <row r="711" spans="1:8" hidden="1" x14ac:dyDescent="0.2">
      <c r="A711" s="19" t="s">
        <v>2</v>
      </c>
      <c r="B711" s="41">
        <v>43628</v>
      </c>
      <c r="C711" s="11">
        <v>10</v>
      </c>
      <c r="D711" s="12" t="s">
        <v>11</v>
      </c>
      <c r="E711" s="10">
        <v>43621</v>
      </c>
      <c r="F711" s="8" t="s">
        <v>263</v>
      </c>
      <c r="G711" s="19" t="s">
        <v>32</v>
      </c>
      <c r="H711" s="18">
        <f ca="1">ROUNDDOWN(表3[[#This Row],[日期]]-TODAY(),1)</f>
        <v>-21</v>
      </c>
    </row>
    <row r="712" spans="1:8" hidden="1" x14ac:dyDescent="0.2">
      <c r="A712" s="19" t="s">
        <v>2</v>
      </c>
      <c r="B712" s="41">
        <v>43628</v>
      </c>
      <c r="C712" s="11">
        <v>11</v>
      </c>
      <c r="D712" s="12" t="s">
        <v>58</v>
      </c>
      <c r="E712" s="10">
        <v>43621</v>
      </c>
      <c r="F712" s="8" t="s">
        <v>263</v>
      </c>
      <c r="G712" s="19"/>
      <c r="H712" s="18">
        <f ca="1">ROUNDDOWN(表3[[#This Row],[日期]]-TODAY(),1)</f>
        <v>-21</v>
      </c>
    </row>
    <row r="713" spans="1:8" hidden="1" x14ac:dyDescent="0.2">
      <c r="A713" s="22" t="s">
        <v>2</v>
      </c>
      <c r="B713" s="43">
        <v>43628</v>
      </c>
      <c r="C713" s="23">
        <v>12</v>
      </c>
      <c r="D713" s="28" t="s">
        <v>524</v>
      </c>
      <c r="E713" s="25">
        <v>43621</v>
      </c>
      <c r="F713" s="26" t="s">
        <v>263</v>
      </c>
      <c r="G713" s="22" t="s">
        <v>34</v>
      </c>
      <c r="H713" s="21">
        <f ca="1">ROUNDDOWN(表3[[#This Row],[日期]]-TODAY(),1)</f>
        <v>-21</v>
      </c>
    </row>
    <row r="714" spans="1:8" hidden="1" x14ac:dyDescent="0.2">
      <c r="A714" s="22" t="s">
        <v>2</v>
      </c>
      <c r="B714" s="43">
        <v>43628</v>
      </c>
      <c r="C714" s="23">
        <v>13</v>
      </c>
      <c r="D714" s="28" t="s">
        <v>39</v>
      </c>
      <c r="E714" s="25">
        <v>43621</v>
      </c>
      <c r="F714" s="26" t="s">
        <v>263</v>
      </c>
      <c r="G714" s="22"/>
      <c r="H714" s="21">
        <f ca="1">ROUNDDOWN(表3[[#This Row],[日期]]-TODAY(),1)</f>
        <v>-21</v>
      </c>
    </row>
    <row r="715" spans="1:8" hidden="1" x14ac:dyDescent="0.2">
      <c r="A715" s="19" t="s">
        <v>2</v>
      </c>
      <c r="B715" s="41">
        <v>43628</v>
      </c>
      <c r="C715" s="11">
        <v>14</v>
      </c>
      <c r="D715" s="12" t="s">
        <v>23</v>
      </c>
      <c r="E715" s="10">
        <v>43621</v>
      </c>
      <c r="F715" s="8" t="s">
        <v>263</v>
      </c>
      <c r="G715" s="19"/>
      <c r="H715" s="18">
        <f ca="1">ROUNDDOWN(表3[[#This Row],[日期]]-TODAY(),1)</f>
        <v>-21</v>
      </c>
    </row>
    <row r="716" spans="1:8" hidden="1" x14ac:dyDescent="0.2">
      <c r="A716" s="19" t="s">
        <v>2</v>
      </c>
      <c r="B716" s="41">
        <v>43628</v>
      </c>
      <c r="C716" s="11">
        <v>15</v>
      </c>
      <c r="D716" s="12" t="s">
        <v>25</v>
      </c>
      <c r="E716" s="10">
        <v>43621</v>
      </c>
      <c r="F716" s="8" t="s">
        <v>263</v>
      </c>
      <c r="G716" s="19"/>
      <c r="H716" s="18">
        <f ca="1">ROUNDDOWN(表3[[#This Row],[日期]]-TODAY(),1)</f>
        <v>-21</v>
      </c>
    </row>
    <row r="717" spans="1:8" hidden="1" x14ac:dyDescent="0.2">
      <c r="A717" s="19" t="s">
        <v>2</v>
      </c>
      <c r="B717" s="41">
        <v>43628</v>
      </c>
      <c r="C717" s="11">
        <v>16</v>
      </c>
      <c r="D717" s="12" t="s">
        <v>13</v>
      </c>
      <c r="E717" s="10">
        <v>43621</v>
      </c>
      <c r="F717" s="8" t="s">
        <v>263</v>
      </c>
      <c r="G717" s="19"/>
      <c r="H717" s="18">
        <f ca="1">ROUNDDOWN(表3[[#This Row],[日期]]-TODAY(),1)</f>
        <v>-21</v>
      </c>
    </row>
    <row r="718" spans="1:8" hidden="1" x14ac:dyDescent="0.2">
      <c r="A718" s="19" t="s">
        <v>2</v>
      </c>
      <c r="B718" s="41">
        <v>43628</v>
      </c>
      <c r="C718" s="11">
        <v>17</v>
      </c>
      <c r="D718" s="12" t="s">
        <v>15</v>
      </c>
      <c r="E718" s="10">
        <v>43621</v>
      </c>
      <c r="F718" s="8" t="s">
        <v>263</v>
      </c>
      <c r="G718" s="19"/>
      <c r="H718" s="18">
        <f ca="1">ROUNDDOWN(表3[[#This Row],[日期]]-TODAY(),1)</f>
        <v>-21</v>
      </c>
    </row>
    <row r="719" spans="1:8" hidden="1" x14ac:dyDescent="0.2">
      <c r="A719" s="19" t="s">
        <v>2</v>
      </c>
      <c r="B719" s="41">
        <v>43628</v>
      </c>
      <c r="C719" s="11">
        <v>18</v>
      </c>
      <c r="D719" s="12" t="s">
        <v>17</v>
      </c>
      <c r="E719" s="10">
        <v>43621</v>
      </c>
      <c r="F719" s="8" t="s">
        <v>263</v>
      </c>
      <c r="G719" s="19"/>
      <c r="H719" s="18">
        <f ca="1">ROUNDDOWN(表3[[#This Row],[日期]]-TODAY(),1)</f>
        <v>-21</v>
      </c>
    </row>
    <row r="720" spans="1:8" hidden="1" x14ac:dyDescent="0.2">
      <c r="A720" s="19" t="s">
        <v>2</v>
      </c>
      <c r="B720" s="41">
        <v>43628</v>
      </c>
      <c r="C720" s="11">
        <v>19</v>
      </c>
      <c r="D720" s="12" t="s">
        <v>56</v>
      </c>
      <c r="E720" s="10">
        <v>43621</v>
      </c>
      <c r="F720" s="8" t="s">
        <v>263</v>
      </c>
      <c r="G720" s="19"/>
      <c r="H720" s="18">
        <f ca="1">ROUNDDOWN(表3[[#This Row],[日期]]-TODAY(),1)</f>
        <v>-21</v>
      </c>
    </row>
    <row r="721" spans="1:8" hidden="1" x14ac:dyDescent="0.2">
      <c r="A721" s="19" t="s">
        <v>2</v>
      </c>
      <c r="B721" s="41">
        <v>43628</v>
      </c>
      <c r="C721" s="11">
        <v>20</v>
      </c>
      <c r="D721" s="12" t="s">
        <v>525</v>
      </c>
      <c r="E721" s="10">
        <v>43622</v>
      </c>
      <c r="F721" s="8" t="s">
        <v>263</v>
      </c>
      <c r="G721" s="19" t="s">
        <v>36</v>
      </c>
      <c r="H721" s="18">
        <f ca="1">ROUNDDOWN(表3[[#This Row],[日期]]-TODAY(),1)</f>
        <v>-20</v>
      </c>
    </row>
    <row r="722" spans="1:8" hidden="1" x14ac:dyDescent="0.2">
      <c r="A722" s="19" t="s">
        <v>2</v>
      </c>
      <c r="B722" s="41">
        <v>43628</v>
      </c>
      <c r="C722" s="11">
        <v>21</v>
      </c>
      <c r="D722" s="12" t="s">
        <v>38</v>
      </c>
      <c r="E722" s="10">
        <v>43622</v>
      </c>
      <c r="F722" s="8" t="s">
        <v>263</v>
      </c>
      <c r="G722" s="19"/>
      <c r="H722" s="18">
        <f ca="1">ROUNDDOWN(表3[[#This Row],[日期]]-TODAY(),1)</f>
        <v>-20</v>
      </c>
    </row>
    <row r="723" spans="1:8" hidden="1" x14ac:dyDescent="0.2">
      <c r="A723" s="19" t="s">
        <v>2</v>
      </c>
      <c r="B723" s="41">
        <v>43628</v>
      </c>
      <c r="C723" s="11">
        <v>22</v>
      </c>
      <c r="D723" s="12" t="s">
        <v>41</v>
      </c>
      <c r="E723" s="10">
        <v>43622</v>
      </c>
      <c r="F723" s="8" t="s">
        <v>263</v>
      </c>
      <c r="G723" s="19"/>
      <c r="H723" s="18">
        <f ca="1">ROUNDDOWN(表3[[#This Row],[日期]]-TODAY(),1)</f>
        <v>-20</v>
      </c>
    </row>
    <row r="724" spans="1:8" hidden="1" x14ac:dyDescent="0.2">
      <c r="A724" s="19" t="s">
        <v>2</v>
      </c>
      <c r="B724" s="41">
        <v>43628</v>
      </c>
      <c r="C724" s="11">
        <v>23</v>
      </c>
      <c r="D724" s="12" t="s">
        <v>508</v>
      </c>
      <c r="E724" s="10">
        <v>43622</v>
      </c>
      <c r="F724" s="8" t="s">
        <v>263</v>
      </c>
      <c r="G724" s="19" t="s">
        <v>43</v>
      </c>
      <c r="H724" s="18">
        <f ca="1">ROUNDDOWN(表3[[#This Row],[日期]]-TODAY(),1)</f>
        <v>-20</v>
      </c>
    </row>
    <row r="725" spans="1:8" hidden="1" x14ac:dyDescent="0.2">
      <c r="A725" s="19" t="s">
        <v>2</v>
      </c>
      <c r="B725" s="41">
        <v>43628</v>
      </c>
      <c r="C725" s="11">
        <v>24</v>
      </c>
      <c r="D725" s="12" t="s">
        <v>225</v>
      </c>
      <c r="E725" s="10">
        <v>43622</v>
      </c>
      <c r="F725" s="8" t="s">
        <v>263</v>
      </c>
      <c r="G725" s="19" t="s">
        <v>200</v>
      </c>
      <c r="H725" s="18">
        <f ca="1">ROUNDDOWN(表3[[#This Row],[日期]]-TODAY(),1)</f>
        <v>-20</v>
      </c>
    </row>
    <row r="726" spans="1:8" hidden="1" x14ac:dyDescent="0.2">
      <c r="A726" s="19" t="s">
        <v>2</v>
      </c>
      <c r="B726" s="41">
        <v>43628</v>
      </c>
      <c r="C726" s="11">
        <v>25</v>
      </c>
      <c r="D726" s="12" t="s">
        <v>63</v>
      </c>
      <c r="E726" s="10">
        <v>43622</v>
      </c>
      <c r="F726" s="8" t="s">
        <v>263</v>
      </c>
      <c r="G726" s="19"/>
      <c r="H726" s="18">
        <f ca="1">ROUNDDOWN(表3[[#This Row],[日期]]-TODAY(),1)</f>
        <v>-20</v>
      </c>
    </row>
    <row r="727" spans="1:8" hidden="1" x14ac:dyDescent="0.2">
      <c r="A727" s="19" t="s">
        <v>2</v>
      </c>
      <c r="B727" s="41">
        <v>43628</v>
      </c>
      <c r="C727" s="11">
        <v>26</v>
      </c>
      <c r="D727" s="12" t="s">
        <v>45</v>
      </c>
      <c r="E727" s="10">
        <v>43622</v>
      </c>
      <c r="F727" s="8" t="s">
        <v>263</v>
      </c>
      <c r="G727" s="19"/>
      <c r="H727" s="18">
        <f ca="1">ROUNDDOWN(表3[[#This Row],[日期]]-TODAY(),1)</f>
        <v>-20</v>
      </c>
    </row>
    <row r="728" spans="1:8" hidden="1" x14ac:dyDescent="0.2">
      <c r="A728" s="19" t="s">
        <v>2</v>
      </c>
      <c r="B728" s="41">
        <v>43628</v>
      </c>
      <c r="C728" s="11">
        <v>27</v>
      </c>
      <c r="D728" s="12" t="s">
        <v>81</v>
      </c>
      <c r="E728" s="10">
        <v>43622</v>
      </c>
      <c r="F728" s="8" t="s">
        <v>263</v>
      </c>
      <c r="G728" s="19"/>
      <c r="H728" s="18">
        <f ca="1">ROUNDDOWN(表3[[#This Row],[日期]]-TODAY(),1)</f>
        <v>-20</v>
      </c>
    </row>
    <row r="729" spans="1:8" hidden="1" x14ac:dyDescent="0.2">
      <c r="A729" s="19" t="s">
        <v>2</v>
      </c>
      <c r="B729" s="41">
        <v>43628</v>
      </c>
      <c r="C729" s="11">
        <v>28</v>
      </c>
      <c r="D729" s="12" t="s">
        <v>77</v>
      </c>
      <c r="E729" s="10">
        <v>43622</v>
      </c>
      <c r="F729" s="8" t="s">
        <v>263</v>
      </c>
      <c r="G729" s="19"/>
      <c r="H729" s="18">
        <f ca="1">ROUNDDOWN(表3[[#This Row],[日期]]-TODAY(),1)</f>
        <v>-20</v>
      </c>
    </row>
    <row r="730" spans="1:8" hidden="1" x14ac:dyDescent="0.2">
      <c r="A730" s="19" t="s">
        <v>2</v>
      </c>
      <c r="B730" s="41">
        <v>43628</v>
      </c>
      <c r="C730" s="11">
        <v>29</v>
      </c>
      <c r="D730" s="12" t="s">
        <v>79</v>
      </c>
      <c r="E730" s="10">
        <v>43622</v>
      </c>
      <c r="F730" s="8" t="s">
        <v>263</v>
      </c>
      <c r="G730" s="19"/>
      <c r="H730" s="18">
        <f ca="1">ROUNDDOWN(表3[[#This Row],[日期]]-TODAY(),1)</f>
        <v>-20</v>
      </c>
    </row>
    <row r="731" spans="1:8" hidden="1" x14ac:dyDescent="0.2">
      <c r="A731" s="19" t="s">
        <v>2</v>
      </c>
      <c r="B731" s="41">
        <v>43628</v>
      </c>
      <c r="C731" s="11">
        <v>30</v>
      </c>
      <c r="D731" s="12" t="s">
        <v>224</v>
      </c>
      <c r="E731" s="10">
        <v>43622</v>
      </c>
      <c r="F731" s="8" t="s">
        <v>263</v>
      </c>
      <c r="G731" s="19"/>
      <c r="H731" s="18">
        <f ca="1">ROUNDDOWN(表3[[#This Row],[日期]]-TODAY(),1)</f>
        <v>-20</v>
      </c>
    </row>
    <row r="732" spans="1:8" hidden="1" x14ac:dyDescent="0.2">
      <c r="A732" s="19" t="s">
        <v>2</v>
      </c>
      <c r="B732" s="41">
        <v>43628</v>
      </c>
      <c r="C732" s="11">
        <v>31</v>
      </c>
      <c r="D732" s="12" t="s">
        <v>49</v>
      </c>
      <c r="E732" s="10">
        <v>43622</v>
      </c>
      <c r="F732" s="8" t="s">
        <v>263</v>
      </c>
      <c r="G732" s="19" t="s">
        <v>43</v>
      </c>
      <c r="H732" s="18">
        <f ca="1">ROUNDDOWN(表3[[#This Row],[日期]]-TODAY(),1)</f>
        <v>-20</v>
      </c>
    </row>
    <row r="733" spans="1:8" hidden="1" x14ac:dyDescent="0.2">
      <c r="A733" s="19" t="s">
        <v>2</v>
      </c>
      <c r="B733" s="41">
        <v>43628</v>
      </c>
      <c r="C733" s="11">
        <v>32</v>
      </c>
      <c r="D733" s="12" t="s">
        <v>54</v>
      </c>
      <c r="E733" s="10">
        <v>43622</v>
      </c>
      <c r="F733" s="8" t="s">
        <v>263</v>
      </c>
      <c r="G733" s="19"/>
      <c r="H733" s="18">
        <f ca="1">ROUNDDOWN(表3[[#This Row],[日期]]-TODAY(),1)</f>
        <v>-20</v>
      </c>
    </row>
    <row r="734" spans="1:8" hidden="1" x14ac:dyDescent="0.2">
      <c r="A734" s="19" t="s">
        <v>2</v>
      </c>
      <c r="B734" s="41">
        <v>43628</v>
      </c>
      <c r="C734" s="11">
        <v>33</v>
      </c>
      <c r="D734" s="12" t="s">
        <v>69</v>
      </c>
      <c r="E734" s="10">
        <v>43622</v>
      </c>
      <c r="F734" s="8" t="s">
        <v>263</v>
      </c>
      <c r="G734" s="19" t="s">
        <v>66</v>
      </c>
      <c r="H734" s="18">
        <f ca="1">ROUNDDOWN(表3[[#This Row],[日期]]-TODAY(),1)</f>
        <v>-20</v>
      </c>
    </row>
    <row r="735" spans="1:8" hidden="1" x14ac:dyDescent="0.2">
      <c r="A735" s="19" t="s">
        <v>2</v>
      </c>
      <c r="B735" s="41">
        <v>43628</v>
      </c>
      <c r="C735" s="11">
        <v>34</v>
      </c>
      <c r="D735" s="12" t="s">
        <v>64</v>
      </c>
      <c r="E735" s="10">
        <v>43622</v>
      </c>
      <c r="F735" s="8" t="s">
        <v>263</v>
      </c>
      <c r="G735" s="19"/>
      <c r="H735" s="18">
        <f ca="1">ROUNDDOWN(表3[[#This Row],[日期]]-TODAY(),1)</f>
        <v>-20</v>
      </c>
    </row>
    <row r="736" spans="1:8" hidden="1" x14ac:dyDescent="0.2">
      <c r="A736" s="19" t="s">
        <v>2</v>
      </c>
      <c r="B736" s="41">
        <v>43628</v>
      </c>
      <c r="C736" s="11">
        <v>35</v>
      </c>
      <c r="D736" s="12" t="s">
        <v>526</v>
      </c>
      <c r="E736" s="10">
        <v>43622</v>
      </c>
      <c r="F736" s="8" t="s">
        <v>263</v>
      </c>
      <c r="G736" s="19" t="s">
        <v>32</v>
      </c>
      <c r="H736" s="18">
        <f ca="1">ROUNDDOWN(表3[[#This Row],[日期]]-TODAY(),1)</f>
        <v>-20</v>
      </c>
    </row>
    <row r="737" spans="1:8" hidden="1" x14ac:dyDescent="0.2">
      <c r="A737" s="19" t="s">
        <v>2</v>
      </c>
      <c r="B737" s="41">
        <v>43628</v>
      </c>
      <c r="C737" s="11">
        <v>36</v>
      </c>
      <c r="D737" s="12" t="s">
        <v>527</v>
      </c>
      <c r="E737" s="10">
        <v>43623</v>
      </c>
      <c r="F737" s="8" t="s">
        <v>263</v>
      </c>
      <c r="G737" s="19" t="s">
        <v>43</v>
      </c>
      <c r="H737" s="18">
        <f ca="1">ROUNDDOWN(表3[[#This Row],[日期]]-TODAY(),1)</f>
        <v>-19</v>
      </c>
    </row>
    <row r="738" spans="1:8" hidden="1" x14ac:dyDescent="0.2">
      <c r="A738" s="19" t="s">
        <v>2</v>
      </c>
      <c r="B738" s="41">
        <v>43628</v>
      </c>
      <c r="C738" s="11">
        <v>37</v>
      </c>
      <c r="D738" s="12" t="s">
        <v>75</v>
      </c>
      <c r="E738" s="10">
        <v>43622</v>
      </c>
      <c r="F738" s="8" t="s">
        <v>263</v>
      </c>
      <c r="G738" s="19"/>
      <c r="H738" s="18">
        <f ca="1">ROUNDDOWN(表3[[#This Row],[日期]]-TODAY(),1)</f>
        <v>-20</v>
      </c>
    </row>
    <row r="739" spans="1:8" hidden="1" x14ac:dyDescent="0.2">
      <c r="A739" s="19" t="s">
        <v>2</v>
      </c>
      <c r="B739" s="41">
        <v>43628</v>
      </c>
      <c r="C739" s="11">
        <v>38</v>
      </c>
      <c r="D739" s="12" t="s">
        <v>83</v>
      </c>
      <c r="E739" s="10">
        <v>43625</v>
      </c>
      <c r="F739" s="8" t="s">
        <v>263</v>
      </c>
      <c r="G739" s="19"/>
      <c r="H739" s="18">
        <f ca="1">ROUNDDOWN(表3[[#This Row],[日期]]-TODAY(),1)</f>
        <v>-17</v>
      </c>
    </row>
    <row r="740" spans="1:8" hidden="1" x14ac:dyDescent="0.2">
      <c r="A740" s="19" t="s">
        <v>2</v>
      </c>
      <c r="B740" s="41">
        <v>43628</v>
      </c>
      <c r="C740" s="11">
        <v>39</v>
      </c>
      <c r="D740" s="12" t="s">
        <v>85</v>
      </c>
      <c r="E740" s="10">
        <v>43626</v>
      </c>
      <c r="F740" s="8" t="s">
        <v>263</v>
      </c>
      <c r="G740" s="19"/>
      <c r="H740" s="18">
        <f ca="1">ROUNDDOWN(表3[[#This Row],[日期]]-TODAY(),1)</f>
        <v>-16</v>
      </c>
    </row>
    <row r="741" spans="1:8" hidden="1" x14ac:dyDescent="0.2">
      <c r="A741" s="19" t="s">
        <v>2</v>
      </c>
      <c r="B741" s="41">
        <v>43628</v>
      </c>
      <c r="C741" s="11">
        <v>40</v>
      </c>
      <c r="D741" s="12" t="s">
        <v>172</v>
      </c>
      <c r="E741" s="10">
        <v>43626</v>
      </c>
      <c r="F741" s="8" t="s">
        <v>263</v>
      </c>
      <c r="G741" s="19"/>
      <c r="H741" s="18">
        <f ca="1">ROUNDDOWN(表3[[#This Row],[日期]]-TODAY(),1)</f>
        <v>-16</v>
      </c>
    </row>
    <row r="742" spans="1:8" hidden="1" x14ac:dyDescent="0.2">
      <c r="A742" s="19" t="s">
        <v>2</v>
      </c>
      <c r="B742" s="41">
        <v>43628</v>
      </c>
      <c r="C742" s="11">
        <v>41</v>
      </c>
      <c r="D742" s="12" t="s">
        <v>71</v>
      </c>
      <c r="E742" s="10">
        <v>43626</v>
      </c>
      <c r="F742" s="8" t="s">
        <v>263</v>
      </c>
      <c r="G742" s="19" t="s">
        <v>73</v>
      </c>
      <c r="H742" s="18">
        <f ca="1">ROUNDDOWN(表3[[#This Row],[日期]]-TODAY(),1)</f>
        <v>-16</v>
      </c>
    </row>
    <row r="743" spans="1:8" hidden="1" x14ac:dyDescent="0.2">
      <c r="A743" s="19" t="s">
        <v>2</v>
      </c>
      <c r="B743" s="41">
        <v>43628</v>
      </c>
      <c r="C743" s="11">
        <v>42</v>
      </c>
      <c r="D743" s="12" t="s">
        <v>87</v>
      </c>
      <c r="E743" s="10">
        <v>43626</v>
      </c>
      <c r="F743" s="8" t="s">
        <v>263</v>
      </c>
      <c r="G743" s="19"/>
      <c r="H743" s="18">
        <f ca="1">ROUNDDOWN(表3[[#This Row],[日期]]-TODAY(),1)</f>
        <v>-16</v>
      </c>
    </row>
    <row r="744" spans="1:8" hidden="1" x14ac:dyDescent="0.2">
      <c r="A744" s="19" t="s">
        <v>2</v>
      </c>
      <c r="B744" s="41">
        <v>43628</v>
      </c>
      <c r="C744" s="11">
        <v>43</v>
      </c>
      <c r="D744" s="12" t="s">
        <v>89</v>
      </c>
      <c r="E744" s="10">
        <v>43627</v>
      </c>
      <c r="F744" s="8" t="s">
        <v>263</v>
      </c>
      <c r="G744" s="19"/>
      <c r="H744" s="18">
        <f ca="1">ROUNDDOWN(表3[[#This Row],[日期]]-TODAY(),1)</f>
        <v>-15</v>
      </c>
    </row>
    <row r="745" spans="1:8" hidden="1" x14ac:dyDescent="0.2">
      <c r="A745" s="19" t="s">
        <v>2</v>
      </c>
      <c r="B745" s="41">
        <v>43628</v>
      </c>
      <c r="C745" s="11">
        <v>44</v>
      </c>
      <c r="D745" s="12" t="s">
        <v>91</v>
      </c>
      <c r="E745" s="10">
        <v>43628</v>
      </c>
      <c r="F745" s="8" t="s">
        <v>263</v>
      </c>
      <c r="G745" s="19"/>
      <c r="H745" s="18">
        <f ca="1">ROUNDDOWN(表3[[#This Row],[日期]]-TODAY(),1)</f>
        <v>-14</v>
      </c>
    </row>
    <row r="746" spans="1:8" hidden="1" x14ac:dyDescent="0.2">
      <c r="A746" s="19" t="s">
        <v>2</v>
      </c>
      <c r="B746" s="41">
        <v>43628</v>
      </c>
      <c r="C746" s="11">
        <v>45</v>
      </c>
      <c r="D746" s="12" t="s">
        <v>635</v>
      </c>
      <c r="E746" s="10">
        <v>43629</v>
      </c>
      <c r="F746" s="8" t="s">
        <v>263</v>
      </c>
      <c r="G746" s="19"/>
      <c r="H746" s="18">
        <f ca="1">ROUNDDOWN(表3[[#This Row],[日期]]-TODAY(),1)</f>
        <v>-13</v>
      </c>
    </row>
    <row r="747" spans="1:8" hidden="1" x14ac:dyDescent="0.2">
      <c r="A747" s="19" t="s">
        <v>2</v>
      </c>
      <c r="B747" s="41">
        <v>43628</v>
      </c>
      <c r="C747" s="11">
        <v>46</v>
      </c>
      <c r="D747" s="12" t="s">
        <v>331</v>
      </c>
      <c r="E747" s="10">
        <v>43629</v>
      </c>
      <c r="F747" s="8" t="s">
        <v>263</v>
      </c>
      <c r="G747" s="19"/>
      <c r="H747" s="18">
        <f ca="1">ROUNDDOWN(表3[[#This Row],[日期]]-TODAY(),1)</f>
        <v>-13</v>
      </c>
    </row>
    <row r="748" spans="1:8" hidden="1" x14ac:dyDescent="0.2">
      <c r="A748" s="19" t="s">
        <v>2</v>
      </c>
      <c r="B748" s="41">
        <v>43628</v>
      </c>
      <c r="C748" s="11">
        <v>46.1</v>
      </c>
      <c r="D748" s="12" t="s">
        <v>807</v>
      </c>
      <c r="E748" s="10">
        <v>43629</v>
      </c>
      <c r="F748" s="8" t="s">
        <v>263</v>
      </c>
      <c r="G748" s="19"/>
      <c r="H748" s="18">
        <f ca="1">ROUNDDOWN(表3[[#This Row],[日期]]-TODAY(),1)</f>
        <v>-13</v>
      </c>
    </row>
    <row r="749" spans="1:8" hidden="1" x14ac:dyDescent="0.2">
      <c r="A749" s="19" t="s">
        <v>2</v>
      </c>
      <c r="B749" s="41">
        <v>43628</v>
      </c>
      <c r="C749" s="11">
        <v>47</v>
      </c>
      <c r="D749" s="12" t="s">
        <v>808</v>
      </c>
      <c r="E749" s="10">
        <v>43629</v>
      </c>
      <c r="F749" s="8" t="s">
        <v>263</v>
      </c>
      <c r="G749" s="19" t="s">
        <v>132</v>
      </c>
      <c r="H749" s="18">
        <f ca="1">ROUNDDOWN(表3[[#This Row],[日期]]-TODAY(),1)</f>
        <v>-13</v>
      </c>
    </row>
    <row r="750" spans="1:8" hidden="1" x14ac:dyDescent="0.2">
      <c r="A750" s="19" t="s">
        <v>567</v>
      </c>
      <c r="B750" s="41">
        <v>43628</v>
      </c>
      <c r="C750" s="11">
        <v>1</v>
      </c>
      <c r="D750" s="12" t="s">
        <v>421</v>
      </c>
      <c r="E750" s="10">
        <v>43614</v>
      </c>
      <c r="F750" s="8" t="s">
        <v>569</v>
      </c>
      <c r="G750" s="19"/>
      <c r="H750" s="18">
        <f ca="1">ROUNDDOWN(表3[[#This Row],[日期]]-TODAY(),1)</f>
        <v>-28</v>
      </c>
    </row>
    <row r="751" spans="1:8" hidden="1" x14ac:dyDescent="0.2">
      <c r="A751" s="19" t="s">
        <v>567</v>
      </c>
      <c r="B751" s="41">
        <v>43628</v>
      </c>
      <c r="C751" s="11">
        <v>2</v>
      </c>
      <c r="D751" s="12" t="s">
        <v>422</v>
      </c>
      <c r="E751" s="10">
        <v>43614</v>
      </c>
      <c r="F751" s="8" t="s">
        <v>569</v>
      </c>
      <c r="G751" s="19"/>
      <c r="H751" s="18">
        <f ca="1">ROUNDDOWN(表3[[#This Row],[日期]]-TODAY(),1)</f>
        <v>-28</v>
      </c>
    </row>
    <row r="752" spans="1:8" hidden="1" x14ac:dyDescent="0.2">
      <c r="A752" s="19" t="s">
        <v>567</v>
      </c>
      <c r="B752" s="41">
        <v>43628</v>
      </c>
      <c r="C752" s="11">
        <v>3</v>
      </c>
      <c r="D752" s="12" t="s">
        <v>21</v>
      </c>
      <c r="E752" s="10">
        <v>43615</v>
      </c>
      <c r="F752" s="8" t="s">
        <v>263</v>
      </c>
      <c r="G752" s="19"/>
      <c r="H752" s="18">
        <f ca="1">ROUNDDOWN(表3[[#This Row],[日期]]-TODAY(),1)</f>
        <v>-27</v>
      </c>
    </row>
    <row r="753" spans="1:8" hidden="1" x14ac:dyDescent="0.2">
      <c r="A753" s="19" t="s">
        <v>567</v>
      </c>
      <c r="B753" s="41">
        <v>43628</v>
      </c>
      <c r="C753" s="11">
        <v>4</v>
      </c>
      <c r="D753" s="12" t="s">
        <v>149</v>
      </c>
      <c r="E753" s="10">
        <v>43621</v>
      </c>
      <c r="F753" s="8" t="s">
        <v>263</v>
      </c>
      <c r="G753" s="19" t="s">
        <v>137</v>
      </c>
      <c r="H753" s="18">
        <f ca="1">ROUNDDOWN(表3[[#This Row],[日期]]-TODAY(),1)</f>
        <v>-21</v>
      </c>
    </row>
    <row r="754" spans="1:8" hidden="1" x14ac:dyDescent="0.2">
      <c r="A754" s="19" t="s">
        <v>567</v>
      </c>
      <c r="B754" s="41">
        <v>43628</v>
      </c>
      <c r="C754" s="11">
        <v>5</v>
      </c>
      <c r="D754" s="12" t="s">
        <v>140</v>
      </c>
      <c r="E754" s="10">
        <v>43621</v>
      </c>
      <c r="F754" s="8" t="s">
        <v>263</v>
      </c>
      <c r="G754" s="19"/>
      <c r="H754" s="18">
        <f ca="1">ROUNDDOWN(表3[[#This Row],[日期]]-TODAY(),1)</f>
        <v>-21</v>
      </c>
    </row>
    <row r="755" spans="1:8" hidden="1" x14ac:dyDescent="0.2">
      <c r="A755" s="19" t="s">
        <v>567</v>
      </c>
      <c r="B755" s="41">
        <v>43628</v>
      </c>
      <c r="C755" s="11">
        <v>6</v>
      </c>
      <c r="D755" s="12" t="s">
        <v>566</v>
      </c>
      <c r="E755" s="10">
        <v>43621</v>
      </c>
      <c r="F755" s="8" t="s">
        <v>263</v>
      </c>
      <c r="G755" s="19"/>
      <c r="H755" s="18">
        <f ca="1">ROUNDDOWN(表3[[#This Row],[日期]]-TODAY(),1)</f>
        <v>-21</v>
      </c>
    </row>
    <row r="756" spans="1:8" hidden="1" x14ac:dyDescent="0.2">
      <c r="A756" s="19" t="s">
        <v>567</v>
      </c>
      <c r="B756" s="41">
        <v>43628</v>
      </c>
      <c r="C756" s="11">
        <v>7</v>
      </c>
      <c r="D756" s="12" t="s">
        <v>333</v>
      </c>
      <c r="E756" s="10">
        <v>43621</v>
      </c>
      <c r="F756" s="8" t="s">
        <v>263</v>
      </c>
      <c r="G756" s="19" t="s">
        <v>143</v>
      </c>
      <c r="H756" s="18">
        <f ca="1">ROUNDDOWN(表3[[#This Row],[日期]]-TODAY(),1)</f>
        <v>-21</v>
      </c>
    </row>
    <row r="757" spans="1:8" hidden="1" x14ac:dyDescent="0.2">
      <c r="A757" s="19" t="s">
        <v>567</v>
      </c>
      <c r="B757" s="41">
        <v>43628</v>
      </c>
      <c r="C757" s="11">
        <v>8</v>
      </c>
      <c r="D757" s="12" t="s">
        <v>486</v>
      </c>
      <c r="E757" s="10">
        <v>43621</v>
      </c>
      <c r="F757" s="8" t="s">
        <v>263</v>
      </c>
      <c r="G757" s="19"/>
      <c r="H757" s="18">
        <f ca="1">ROUNDDOWN(表3[[#This Row],[日期]]-TODAY(),1)</f>
        <v>-21</v>
      </c>
    </row>
    <row r="758" spans="1:8" hidden="1" x14ac:dyDescent="0.2">
      <c r="A758" s="19" t="s">
        <v>567</v>
      </c>
      <c r="B758" s="41">
        <v>43628</v>
      </c>
      <c r="C758" s="11">
        <v>9</v>
      </c>
      <c r="D758" s="12" t="s">
        <v>334</v>
      </c>
      <c r="E758" s="10">
        <v>43622</v>
      </c>
      <c r="F758" s="8" t="s">
        <v>263</v>
      </c>
      <c r="G758" s="19" t="s">
        <v>153</v>
      </c>
      <c r="H758" s="18">
        <f ca="1">ROUNDDOWN(表3[[#This Row],[日期]]-TODAY(),1)</f>
        <v>-20</v>
      </c>
    </row>
    <row r="759" spans="1:8" hidden="1" x14ac:dyDescent="0.2">
      <c r="A759" s="19" t="s">
        <v>568</v>
      </c>
      <c r="B759" s="41">
        <v>43628</v>
      </c>
      <c r="C759" s="11">
        <v>10</v>
      </c>
      <c r="D759" s="12" t="s">
        <v>215</v>
      </c>
      <c r="E759" s="10">
        <v>43622</v>
      </c>
      <c r="F759" s="8" t="s">
        <v>263</v>
      </c>
      <c r="G759" s="19"/>
      <c r="H759" s="18">
        <f ca="1">ROUNDDOWN(表3[[#This Row],[日期]]-TODAY(),1)</f>
        <v>-20</v>
      </c>
    </row>
    <row r="760" spans="1:8" hidden="1" x14ac:dyDescent="0.2">
      <c r="A760" s="19" t="s">
        <v>567</v>
      </c>
      <c r="B760" s="41">
        <v>43628</v>
      </c>
      <c r="C760" s="11">
        <v>11</v>
      </c>
      <c r="D760" s="12" t="s">
        <v>338</v>
      </c>
      <c r="E760" s="10">
        <v>43622</v>
      </c>
      <c r="F760" s="8" t="s">
        <v>263</v>
      </c>
      <c r="G760" s="19" t="s">
        <v>336</v>
      </c>
      <c r="H760" s="18">
        <f ca="1">ROUNDDOWN(表3[[#This Row],[日期]]-TODAY(),1)</f>
        <v>-20</v>
      </c>
    </row>
    <row r="761" spans="1:8" hidden="1" x14ac:dyDescent="0.2">
      <c r="A761" s="22" t="s">
        <v>567</v>
      </c>
      <c r="B761" s="43">
        <v>43628</v>
      </c>
      <c r="C761" s="23">
        <v>12</v>
      </c>
      <c r="D761" s="24" t="s">
        <v>339</v>
      </c>
      <c r="E761" s="25">
        <v>43622</v>
      </c>
      <c r="F761" s="26" t="s">
        <v>263</v>
      </c>
      <c r="G761" s="22" t="s">
        <v>336</v>
      </c>
      <c r="H761" s="21">
        <f ca="1">ROUNDDOWN(表3[[#This Row],[日期]]-TODAY(),1)</f>
        <v>-20</v>
      </c>
    </row>
    <row r="762" spans="1:8" hidden="1" x14ac:dyDescent="0.2">
      <c r="A762" s="19" t="s">
        <v>567</v>
      </c>
      <c r="B762" s="41">
        <v>43628</v>
      </c>
      <c r="C762" s="11">
        <v>13</v>
      </c>
      <c r="D762" s="12" t="s">
        <v>335</v>
      </c>
      <c r="E762" s="10">
        <v>43622</v>
      </c>
      <c r="F762" s="8" t="s">
        <v>263</v>
      </c>
      <c r="G762" s="19" t="s">
        <v>336</v>
      </c>
      <c r="H762" s="18">
        <f ca="1">ROUNDDOWN(表3[[#This Row],[日期]]-TODAY(),1)</f>
        <v>-20</v>
      </c>
    </row>
    <row r="763" spans="1:8" hidden="1" x14ac:dyDescent="0.2">
      <c r="A763" s="19" t="s">
        <v>567</v>
      </c>
      <c r="B763" s="41">
        <v>43628</v>
      </c>
      <c r="C763" s="11">
        <v>14</v>
      </c>
      <c r="D763" s="12" t="s">
        <v>337</v>
      </c>
      <c r="E763" s="10">
        <v>43626</v>
      </c>
      <c r="F763" s="8" t="s">
        <v>263</v>
      </c>
      <c r="G763" s="19" t="s">
        <v>336</v>
      </c>
      <c r="H763" s="18">
        <f ca="1">ROUNDDOWN(表3[[#This Row],[日期]]-TODAY(),1)</f>
        <v>-16</v>
      </c>
    </row>
    <row r="764" spans="1:8" hidden="1" x14ac:dyDescent="0.2">
      <c r="A764" s="19" t="s">
        <v>567</v>
      </c>
      <c r="B764" s="41">
        <v>43628</v>
      </c>
      <c r="C764" s="11">
        <v>15</v>
      </c>
      <c r="D764" s="12" t="s">
        <v>87</v>
      </c>
      <c r="E764" s="10">
        <v>43626</v>
      </c>
      <c r="F764" s="8" t="s">
        <v>263</v>
      </c>
      <c r="G764" s="19"/>
      <c r="H764" s="18">
        <f ca="1">ROUNDDOWN(表3[[#This Row],[日期]]-TODAY(),1)</f>
        <v>-16</v>
      </c>
    </row>
    <row r="765" spans="1:8" hidden="1" x14ac:dyDescent="0.2">
      <c r="A765" s="19" t="s">
        <v>567</v>
      </c>
      <c r="B765" s="41">
        <v>43628</v>
      </c>
      <c r="C765" s="11">
        <v>16</v>
      </c>
      <c r="D765" s="12" t="s">
        <v>89</v>
      </c>
      <c r="E765" s="10">
        <v>43626</v>
      </c>
      <c r="F765" s="8" t="s">
        <v>263</v>
      </c>
      <c r="G765" s="19"/>
      <c r="H765" s="18">
        <f ca="1">ROUNDDOWN(表3[[#This Row],[日期]]-TODAY(),1)</f>
        <v>-16</v>
      </c>
    </row>
    <row r="766" spans="1:8" hidden="1" x14ac:dyDescent="0.2">
      <c r="A766" s="19" t="s">
        <v>567</v>
      </c>
      <c r="B766" s="41">
        <v>43628</v>
      </c>
      <c r="C766" s="11">
        <v>17</v>
      </c>
      <c r="D766" s="12" t="s">
        <v>91</v>
      </c>
      <c r="E766" s="10">
        <v>43627</v>
      </c>
      <c r="F766" s="8" t="s">
        <v>263</v>
      </c>
      <c r="G766" s="19"/>
      <c r="H766" s="18">
        <f ca="1">ROUNDDOWN(表3[[#This Row],[日期]]-TODAY(),1)</f>
        <v>-15</v>
      </c>
    </row>
    <row r="767" spans="1:8" hidden="1" x14ac:dyDescent="0.2">
      <c r="A767" s="19" t="s">
        <v>567</v>
      </c>
      <c r="B767" s="41">
        <v>43628</v>
      </c>
      <c r="C767" s="11">
        <v>18</v>
      </c>
      <c r="D767" s="12" t="s">
        <v>786</v>
      </c>
      <c r="E767" s="10">
        <v>43628</v>
      </c>
      <c r="F767" s="8" t="s">
        <v>263</v>
      </c>
      <c r="G767" s="19"/>
      <c r="H767" s="18">
        <f ca="1">ROUNDDOWN(表3[[#This Row],[日期]]-TODAY(),1)</f>
        <v>-14</v>
      </c>
    </row>
    <row r="768" spans="1:8" hidden="1" x14ac:dyDescent="0.2">
      <c r="A768" s="19" t="s">
        <v>567</v>
      </c>
      <c r="B768" s="41">
        <v>43628</v>
      </c>
      <c r="C768" s="11">
        <v>20</v>
      </c>
      <c r="D768" s="12" t="s">
        <v>259</v>
      </c>
      <c r="E768" s="10">
        <v>43628</v>
      </c>
      <c r="F768" s="8" t="s">
        <v>795</v>
      </c>
      <c r="G768" s="19"/>
      <c r="H768" s="18">
        <f ca="1">ROUNDDOWN(表3[[#This Row],[日期]]-TODAY(),1)</f>
        <v>-14</v>
      </c>
    </row>
    <row r="769" spans="1:8" hidden="1" x14ac:dyDescent="0.2">
      <c r="A769" s="19" t="s">
        <v>2</v>
      </c>
      <c r="B769" s="41">
        <v>43630</v>
      </c>
      <c r="C769" s="11">
        <v>1</v>
      </c>
      <c r="D769" s="12" t="s">
        <v>523</v>
      </c>
      <c r="E769" s="10">
        <v>43616</v>
      </c>
      <c r="F769" s="8" t="s">
        <v>579</v>
      </c>
      <c r="G769" s="19" t="s">
        <v>29</v>
      </c>
      <c r="H769" s="18">
        <f ca="1">ROUNDDOWN(表3[[#This Row],[日期]]-TODAY(),1)</f>
        <v>-26</v>
      </c>
    </row>
    <row r="770" spans="1:8" hidden="1" x14ac:dyDescent="0.2">
      <c r="A770" s="19" t="s">
        <v>2</v>
      </c>
      <c r="B770" s="41">
        <v>43630</v>
      </c>
      <c r="C770" s="11">
        <v>2</v>
      </c>
      <c r="D770" s="12" t="s">
        <v>224</v>
      </c>
      <c r="E770" s="10">
        <v>43616</v>
      </c>
      <c r="F770" s="8" t="s">
        <v>263</v>
      </c>
      <c r="G770" s="19"/>
      <c r="H770" s="18">
        <f ca="1">ROUNDDOWN(表3[[#This Row],[日期]]-TODAY(),1)</f>
        <v>-26</v>
      </c>
    </row>
    <row r="771" spans="1:8" hidden="1" x14ac:dyDescent="0.2">
      <c r="A771" s="19" t="s">
        <v>2</v>
      </c>
      <c r="B771" s="41">
        <v>43630</v>
      </c>
      <c r="C771" s="11">
        <v>3</v>
      </c>
      <c r="D771" s="12" t="s">
        <v>60</v>
      </c>
      <c r="E771" s="10">
        <v>43616</v>
      </c>
      <c r="F771" s="8" t="s">
        <v>263</v>
      </c>
      <c r="G771" s="19" t="s">
        <v>31</v>
      </c>
      <c r="H771" s="18">
        <f ca="1">ROUNDDOWN(表3[[#This Row],[日期]]-TODAY(),1)</f>
        <v>-26</v>
      </c>
    </row>
    <row r="772" spans="1:8" hidden="1" x14ac:dyDescent="0.2">
      <c r="A772" s="19" t="s">
        <v>2</v>
      </c>
      <c r="B772" s="41">
        <v>43630</v>
      </c>
      <c r="C772" s="11">
        <v>4</v>
      </c>
      <c r="D772" s="12" t="s">
        <v>61</v>
      </c>
      <c r="E772" s="10">
        <v>43616</v>
      </c>
      <c r="F772" s="8" t="s">
        <v>263</v>
      </c>
      <c r="G772" s="19"/>
      <c r="H772" s="18">
        <f ca="1">ROUNDDOWN(表3[[#This Row],[日期]]-TODAY(),1)</f>
        <v>-26</v>
      </c>
    </row>
    <row r="773" spans="1:8" hidden="1" x14ac:dyDescent="0.2">
      <c r="A773" s="19" t="s">
        <v>2</v>
      </c>
      <c r="B773" s="41">
        <v>43630</v>
      </c>
      <c r="C773" s="11">
        <v>5</v>
      </c>
      <c r="D773" s="12" t="s">
        <v>62</v>
      </c>
      <c r="E773" s="10">
        <v>43620</v>
      </c>
      <c r="F773" s="8" t="s">
        <v>263</v>
      </c>
      <c r="G773" s="19" t="s">
        <v>43</v>
      </c>
      <c r="H773" s="18">
        <f ca="1">ROUNDDOWN(表3[[#This Row],[日期]]-TODAY(),1)</f>
        <v>-22</v>
      </c>
    </row>
    <row r="774" spans="1:8" hidden="1" x14ac:dyDescent="0.2">
      <c r="A774" s="19" t="s">
        <v>2</v>
      </c>
      <c r="B774" s="41">
        <v>43630</v>
      </c>
      <c r="C774" s="11">
        <v>6</v>
      </c>
      <c r="D774" s="12" t="s">
        <v>19</v>
      </c>
      <c r="E774" s="10">
        <v>43620</v>
      </c>
      <c r="F774" s="8" t="s">
        <v>263</v>
      </c>
      <c r="G774" s="19"/>
      <c r="H774" s="18">
        <f ca="1">ROUNDDOWN(表3[[#This Row],[日期]]-TODAY(),1)</f>
        <v>-22</v>
      </c>
    </row>
    <row r="775" spans="1:8" hidden="1" x14ac:dyDescent="0.2">
      <c r="A775" s="19" t="s">
        <v>2</v>
      </c>
      <c r="B775" s="41">
        <v>43630</v>
      </c>
      <c r="C775" s="11">
        <v>7</v>
      </c>
      <c r="D775" s="12" t="s">
        <v>21</v>
      </c>
      <c r="E775" s="10">
        <v>43620</v>
      </c>
      <c r="F775" s="8" t="s">
        <v>263</v>
      </c>
      <c r="G775" s="19"/>
      <c r="H775" s="18">
        <f ca="1">ROUNDDOWN(表3[[#This Row],[日期]]-TODAY(),1)</f>
        <v>-22</v>
      </c>
    </row>
    <row r="776" spans="1:8" hidden="1" x14ac:dyDescent="0.2">
      <c r="A776" s="19" t="s">
        <v>2</v>
      </c>
      <c r="B776" s="41">
        <v>43630</v>
      </c>
      <c r="C776" s="11">
        <v>8</v>
      </c>
      <c r="D776" s="12" t="s">
        <v>600</v>
      </c>
      <c r="E776" s="10">
        <v>43620</v>
      </c>
      <c r="F776" s="8" t="s">
        <v>263</v>
      </c>
      <c r="G776" s="19"/>
      <c r="H776" s="18">
        <f ca="1">ROUNDDOWN(表3[[#This Row],[日期]]-TODAY(),1)</f>
        <v>-22</v>
      </c>
    </row>
    <row r="777" spans="1:8" hidden="1" x14ac:dyDescent="0.2">
      <c r="A777" s="19" t="s">
        <v>2</v>
      </c>
      <c r="B777" s="41">
        <v>43630</v>
      </c>
      <c r="C777" s="11">
        <v>9</v>
      </c>
      <c r="D777" s="12" t="s">
        <v>9</v>
      </c>
      <c r="E777" s="10">
        <v>43620</v>
      </c>
      <c r="F777" s="8" t="s">
        <v>263</v>
      </c>
      <c r="G777" s="19"/>
      <c r="H777" s="18">
        <f ca="1">ROUNDDOWN(表3[[#This Row],[日期]]-TODAY(),1)</f>
        <v>-22</v>
      </c>
    </row>
    <row r="778" spans="1:8" hidden="1" x14ac:dyDescent="0.2">
      <c r="A778" s="19" t="s">
        <v>2</v>
      </c>
      <c r="B778" s="41">
        <v>43630</v>
      </c>
      <c r="C778" s="11">
        <v>10</v>
      </c>
      <c r="D778" s="12" t="s">
        <v>11</v>
      </c>
      <c r="E778" s="10">
        <v>43621</v>
      </c>
      <c r="F778" s="8" t="s">
        <v>263</v>
      </c>
      <c r="G778" s="19" t="s">
        <v>32</v>
      </c>
      <c r="H778" s="18">
        <f ca="1">ROUNDDOWN(表3[[#This Row],[日期]]-TODAY(),1)</f>
        <v>-21</v>
      </c>
    </row>
    <row r="779" spans="1:8" hidden="1" x14ac:dyDescent="0.2">
      <c r="A779" s="19" t="s">
        <v>2</v>
      </c>
      <c r="B779" s="41">
        <v>43630</v>
      </c>
      <c r="C779" s="11">
        <v>11</v>
      </c>
      <c r="D779" s="12" t="s">
        <v>58</v>
      </c>
      <c r="E779" s="10">
        <v>43621</v>
      </c>
      <c r="F779" s="8" t="s">
        <v>263</v>
      </c>
      <c r="G779" s="19"/>
      <c r="H779" s="18">
        <f ca="1">ROUNDDOWN(表3[[#This Row],[日期]]-TODAY(),1)</f>
        <v>-21</v>
      </c>
    </row>
    <row r="780" spans="1:8" hidden="1" x14ac:dyDescent="0.2">
      <c r="A780" s="19" t="s">
        <v>2</v>
      </c>
      <c r="B780" s="41">
        <v>43630</v>
      </c>
      <c r="C780" s="11">
        <v>12</v>
      </c>
      <c r="D780" s="12" t="s">
        <v>524</v>
      </c>
      <c r="E780" s="10">
        <v>43626</v>
      </c>
      <c r="F780" s="8" t="s">
        <v>263</v>
      </c>
      <c r="G780" s="19" t="s">
        <v>34</v>
      </c>
      <c r="H780" s="18">
        <f ca="1">ROUNDDOWN(表3[[#This Row],[日期]]-TODAY(),1)</f>
        <v>-16</v>
      </c>
    </row>
    <row r="781" spans="1:8" hidden="1" x14ac:dyDescent="0.2">
      <c r="A781" s="19" t="s">
        <v>2</v>
      </c>
      <c r="B781" s="41">
        <v>43630</v>
      </c>
      <c r="C781" s="11">
        <v>13</v>
      </c>
      <c r="D781" s="12" t="s">
        <v>725</v>
      </c>
      <c r="E781" s="10">
        <v>43626</v>
      </c>
      <c r="F781" s="8" t="s">
        <v>263</v>
      </c>
      <c r="G781" s="19"/>
      <c r="H781" s="18">
        <f ca="1">ROUNDDOWN(表3[[#This Row],[日期]]-TODAY(),1)</f>
        <v>-16</v>
      </c>
    </row>
    <row r="782" spans="1:8" hidden="1" x14ac:dyDescent="0.2">
      <c r="A782" s="19" t="s">
        <v>2</v>
      </c>
      <c r="B782" s="41">
        <v>43630</v>
      </c>
      <c r="C782" s="11">
        <v>14</v>
      </c>
      <c r="D782" s="12" t="s">
        <v>23</v>
      </c>
      <c r="E782" s="10">
        <v>43626</v>
      </c>
      <c r="F782" s="8" t="s">
        <v>263</v>
      </c>
      <c r="G782" s="19"/>
      <c r="H782" s="18">
        <f ca="1">ROUNDDOWN(表3[[#This Row],[日期]]-TODAY(),1)</f>
        <v>-16</v>
      </c>
    </row>
    <row r="783" spans="1:8" hidden="1" x14ac:dyDescent="0.2">
      <c r="A783" s="19" t="s">
        <v>2</v>
      </c>
      <c r="B783" s="41">
        <v>43630</v>
      </c>
      <c r="C783" s="11">
        <v>15</v>
      </c>
      <c r="D783" s="12" t="s">
        <v>25</v>
      </c>
      <c r="E783" s="10">
        <v>43626</v>
      </c>
      <c r="F783" s="8" t="s">
        <v>263</v>
      </c>
      <c r="G783" s="19"/>
      <c r="H783" s="18">
        <f ca="1">ROUNDDOWN(表3[[#This Row],[日期]]-TODAY(),1)</f>
        <v>-16</v>
      </c>
    </row>
    <row r="784" spans="1:8" hidden="1" x14ac:dyDescent="0.2">
      <c r="A784" s="19" t="s">
        <v>2</v>
      </c>
      <c r="B784" s="41">
        <v>43630</v>
      </c>
      <c r="C784" s="11">
        <v>16</v>
      </c>
      <c r="D784" s="12" t="s">
        <v>13</v>
      </c>
      <c r="E784" s="10">
        <v>43626</v>
      </c>
      <c r="F784" s="8" t="s">
        <v>263</v>
      </c>
      <c r="G784" s="19"/>
      <c r="H784" s="18">
        <f ca="1">ROUNDDOWN(表3[[#This Row],[日期]]-TODAY(),1)</f>
        <v>-16</v>
      </c>
    </row>
    <row r="785" spans="1:8" hidden="1" x14ac:dyDescent="0.2">
      <c r="A785" s="19" t="s">
        <v>2</v>
      </c>
      <c r="B785" s="41">
        <v>43630</v>
      </c>
      <c r="C785" s="11">
        <v>17</v>
      </c>
      <c r="D785" s="12" t="s">
        <v>15</v>
      </c>
      <c r="E785" s="10">
        <v>43626</v>
      </c>
      <c r="F785" s="8" t="s">
        <v>263</v>
      </c>
      <c r="G785" s="19"/>
      <c r="H785" s="18">
        <f ca="1">ROUNDDOWN(表3[[#This Row],[日期]]-TODAY(),1)</f>
        <v>-16</v>
      </c>
    </row>
    <row r="786" spans="1:8" hidden="1" x14ac:dyDescent="0.2">
      <c r="A786" s="19" t="s">
        <v>2</v>
      </c>
      <c r="B786" s="41">
        <v>43630</v>
      </c>
      <c r="C786" s="11">
        <v>18</v>
      </c>
      <c r="D786" s="12" t="s">
        <v>17</v>
      </c>
      <c r="E786" s="10">
        <v>43626</v>
      </c>
      <c r="F786" s="8" t="s">
        <v>263</v>
      </c>
      <c r="G786" s="19"/>
      <c r="H786" s="18">
        <f ca="1">ROUNDDOWN(表3[[#This Row],[日期]]-TODAY(),1)</f>
        <v>-16</v>
      </c>
    </row>
    <row r="787" spans="1:8" hidden="1" x14ac:dyDescent="0.2">
      <c r="A787" s="19" t="s">
        <v>2</v>
      </c>
      <c r="B787" s="41">
        <v>43630</v>
      </c>
      <c r="C787" s="11">
        <v>19</v>
      </c>
      <c r="D787" s="12" t="s">
        <v>56</v>
      </c>
      <c r="E787" s="10">
        <v>43626</v>
      </c>
      <c r="F787" s="8" t="s">
        <v>263</v>
      </c>
      <c r="G787" s="19"/>
      <c r="H787" s="18">
        <f ca="1">ROUNDDOWN(表3[[#This Row],[日期]]-TODAY(),1)</f>
        <v>-16</v>
      </c>
    </row>
    <row r="788" spans="1:8" hidden="1" x14ac:dyDescent="0.2">
      <c r="A788" s="19" t="s">
        <v>2</v>
      </c>
      <c r="B788" s="41">
        <v>43630</v>
      </c>
      <c r="C788" s="11">
        <v>20</v>
      </c>
      <c r="D788" s="12" t="s">
        <v>525</v>
      </c>
      <c r="E788" s="10">
        <v>43627</v>
      </c>
      <c r="F788" s="8" t="s">
        <v>263</v>
      </c>
      <c r="G788" s="19" t="s">
        <v>36</v>
      </c>
      <c r="H788" s="18">
        <f ca="1">ROUNDDOWN(表3[[#This Row],[日期]]-TODAY(),1)</f>
        <v>-15</v>
      </c>
    </row>
    <row r="789" spans="1:8" hidden="1" x14ac:dyDescent="0.2">
      <c r="A789" s="19" t="s">
        <v>2</v>
      </c>
      <c r="B789" s="41">
        <v>43630</v>
      </c>
      <c r="C789" s="11">
        <v>21</v>
      </c>
      <c r="D789" s="12" t="s">
        <v>38</v>
      </c>
      <c r="E789" s="10">
        <v>43627</v>
      </c>
      <c r="F789" s="8" t="s">
        <v>263</v>
      </c>
      <c r="G789" s="19"/>
      <c r="H789" s="18">
        <f ca="1">ROUNDDOWN(表3[[#This Row],[日期]]-TODAY(),1)</f>
        <v>-15</v>
      </c>
    </row>
    <row r="790" spans="1:8" hidden="1" x14ac:dyDescent="0.2">
      <c r="A790" s="19" t="s">
        <v>2</v>
      </c>
      <c r="B790" s="41">
        <v>43630</v>
      </c>
      <c r="C790" s="11">
        <v>22</v>
      </c>
      <c r="D790" s="12" t="s">
        <v>41</v>
      </c>
      <c r="E790" s="10">
        <v>43627</v>
      </c>
      <c r="F790" s="8" t="s">
        <v>263</v>
      </c>
      <c r="G790" s="19"/>
      <c r="H790" s="18">
        <f ca="1">ROUNDDOWN(表3[[#This Row],[日期]]-TODAY(),1)</f>
        <v>-15</v>
      </c>
    </row>
    <row r="791" spans="1:8" hidden="1" x14ac:dyDescent="0.2">
      <c r="A791" s="19" t="s">
        <v>2</v>
      </c>
      <c r="B791" s="41">
        <v>43630</v>
      </c>
      <c r="C791" s="11">
        <v>23</v>
      </c>
      <c r="D791" s="12" t="s">
        <v>508</v>
      </c>
      <c r="E791" s="10">
        <v>43627</v>
      </c>
      <c r="F791" s="8" t="s">
        <v>263</v>
      </c>
      <c r="G791" s="19" t="s">
        <v>43</v>
      </c>
      <c r="H791" s="18">
        <f ca="1">ROUNDDOWN(表3[[#This Row],[日期]]-TODAY(),1)</f>
        <v>-15</v>
      </c>
    </row>
    <row r="792" spans="1:8" hidden="1" x14ac:dyDescent="0.2">
      <c r="A792" s="19" t="s">
        <v>2</v>
      </c>
      <c r="B792" s="41">
        <v>43630</v>
      </c>
      <c r="C792" s="11">
        <v>24</v>
      </c>
      <c r="D792" s="12" t="s">
        <v>225</v>
      </c>
      <c r="E792" s="10">
        <v>43627</v>
      </c>
      <c r="F792" s="8" t="s">
        <v>263</v>
      </c>
      <c r="G792" s="19" t="s">
        <v>200</v>
      </c>
      <c r="H792" s="18">
        <f ca="1">ROUNDDOWN(表3[[#This Row],[日期]]-TODAY(),1)</f>
        <v>-15</v>
      </c>
    </row>
    <row r="793" spans="1:8" hidden="1" x14ac:dyDescent="0.2">
      <c r="A793" s="19" t="s">
        <v>2</v>
      </c>
      <c r="B793" s="41">
        <v>43630</v>
      </c>
      <c r="C793" s="11">
        <v>25</v>
      </c>
      <c r="D793" s="12" t="s">
        <v>63</v>
      </c>
      <c r="E793" s="10">
        <v>43627</v>
      </c>
      <c r="F793" s="8" t="s">
        <v>263</v>
      </c>
      <c r="G793" s="19"/>
      <c r="H793" s="18">
        <f ca="1">ROUNDDOWN(表3[[#This Row],[日期]]-TODAY(),1)</f>
        <v>-15</v>
      </c>
    </row>
    <row r="794" spans="1:8" hidden="1" x14ac:dyDescent="0.2">
      <c r="A794" s="19" t="s">
        <v>2</v>
      </c>
      <c r="B794" s="41">
        <v>43630</v>
      </c>
      <c r="C794" s="11">
        <v>26</v>
      </c>
      <c r="D794" s="12" t="s">
        <v>45</v>
      </c>
      <c r="E794" s="10">
        <v>43627</v>
      </c>
      <c r="F794" s="8" t="s">
        <v>263</v>
      </c>
      <c r="G794" s="19"/>
      <c r="H794" s="18">
        <f ca="1">ROUNDDOWN(表3[[#This Row],[日期]]-TODAY(),1)</f>
        <v>-15</v>
      </c>
    </row>
    <row r="795" spans="1:8" hidden="1" x14ac:dyDescent="0.2">
      <c r="A795" s="19" t="s">
        <v>2</v>
      </c>
      <c r="B795" s="41">
        <v>43630</v>
      </c>
      <c r="C795" s="11">
        <v>27</v>
      </c>
      <c r="D795" s="12" t="s">
        <v>81</v>
      </c>
      <c r="E795" s="10">
        <v>43627</v>
      </c>
      <c r="F795" s="8" t="s">
        <v>263</v>
      </c>
      <c r="G795" s="19"/>
      <c r="H795" s="18">
        <f ca="1">ROUNDDOWN(表3[[#This Row],[日期]]-TODAY(),1)</f>
        <v>-15</v>
      </c>
    </row>
    <row r="796" spans="1:8" hidden="1" x14ac:dyDescent="0.2">
      <c r="A796" s="19" t="s">
        <v>2</v>
      </c>
      <c r="B796" s="41">
        <v>43630</v>
      </c>
      <c r="C796" s="11">
        <v>28</v>
      </c>
      <c r="D796" s="12" t="s">
        <v>77</v>
      </c>
      <c r="E796" s="10">
        <v>43627</v>
      </c>
      <c r="F796" s="8" t="s">
        <v>263</v>
      </c>
      <c r="G796" s="19"/>
      <c r="H796" s="18">
        <f ca="1">ROUNDDOWN(表3[[#This Row],[日期]]-TODAY(),1)</f>
        <v>-15</v>
      </c>
    </row>
    <row r="797" spans="1:8" hidden="1" x14ac:dyDescent="0.2">
      <c r="A797" s="19" t="s">
        <v>2</v>
      </c>
      <c r="B797" s="41">
        <v>43630</v>
      </c>
      <c r="C797" s="11">
        <v>29</v>
      </c>
      <c r="D797" s="12" t="s">
        <v>79</v>
      </c>
      <c r="E797" s="10">
        <v>43627</v>
      </c>
      <c r="F797" s="8" t="s">
        <v>263</v>
      </c>
      <c r="G797" s="19"/>
      <c r="H797" s="18">
        <f ca="1">ROUNDDOWN(表3[[#This Row],[日期]]-TODAY(),1)</f>
        <v>-15</v>
      </c>
    </row>
    <row r="798" spans="1:8" hidden="1" x14ac:dyDescent="0.2">
      <c r="A798" s="19" t="s">
        <v>2</v>
      </c>
      <c r="B798" s="41">
        <v>43630</v>
      </c>
      <c r="C798" s="11">
        <v>30</v>
      </c>
      <c r="D798" s="12" t="s">
        <v>224</v>
      </c>
      <c r="E798" s="10">
        <v>43627</v>
      </c>
      <c r="F798" s="8" t="s">
        <v>263</v>
      </c>
      <c r="G798" s="19"/>
      <c r="H798" s="18">
        <f ca="1">ROUNDDOWN(表3[[#This Row],[日期]]-TODAY(),1)</f>
        <v>-15</v>
      </c>
    </row>
    <row r="799" spans="1:8" hidden="1" x14ac:dyDescent="0.2">
      <c r="A799" s="19" t="s">
        <v>2</v>
      </c>
      <c r="B799" s="41">
        <v>43630</v>
      </c>
      <c r="C799" s="11">
        <v>31</v>
      </c>
      <c r="D799" s="12" t="s">
        <v>49</v>
      </c>
      <c r="E799" s="10">
        <v>43627</v>
      </c>
      <c r="F799" s="8" t="s">
        <v>263</v>
      </c>
      <c r="G799" s="19" t="s">
        <v>43</v>
      </c>
      <c r="H799" s="18">
        <f ca="1">ROUNDDOWN(表3[[#This Row],[日期]]-TODAY(),1)</f>
        <v>-15</v>
      </c>
    </row>
    <row r="800" spans="1:8" hidden="1" x14ac:dyDescent="0.2">
      <c r="A800" s="19" t="s">
        <v>2</v>
      </c>
      <c r="B800" s="41">
        <v>43630</v>
      </c>
      <c r="C800" s="11">
        <v>32</v>
      </c>
      <c r="D800" s="12" t="s">
        <v>54</v>
      </c>
      <c r="E800" s="10">
        <v>43627</v>
      </c>
      <c r="F800" s="8" t="s">
        <v>263</v>
      </c>
      <c r="G800" s="19"/>
      <c r="H800" s="18">
        <f ca="1">ROUNDDOWN(表3[[#This Row],[日期]]-TODAY(),1)</f>
        <v>-15</v>
      </c>
    </row>
    <row r="801" spans="1:8" hidden="1" x14ac:dyDescent="0.2">
      <c r="A801" s="19" t="s">
        <v>2</v>
      </c>
      <c r="B801" s="41">
        <v>43630</v>
      </c>
      <c r="C801" s="11">
        <v>33</v>
      </c>
      <c r="D801" s="12" t="s">
        <v>69</v>
      </c>
      <c r="E801" s="10">
        <v>43628</v>
      </c>
      <c r="F801" s="8" t="s">
        <v>263</v>
      </c>
      <c r="G801" s="19" t="s">
        <v>66</v>
      </c>
      <c r="H801" s="18">
        <f ca="1">ROUNDDOWN(表3[[#This Row],[日期]]-TODAY(),1)</f>
        <v>-14</v>
      </c>
    </row>
    <row r="802" spans="1:8" hidden="1" x14ac:dyDescent="0.2">
      <c r="A802" s="19" t="s">
        <v>2</v>
      </c>
      <c r="B802" s="41">
        <v>43630</v>
      </c>
      <c r="C802" s="11">
        <v>34</v>
      </c>
      <c r="D802" s="12" t="s">
        <v>64</v>
      </c>
      <c r="E802" s="10">
        <v>43628</v>
      </c>
      <c r="F802" s="8" t="s">
        <v>263</v>
      </c>
      <c r="G802" s="19"/>
      <c r="H802" s="18">
        <f ca="1">ROUNDDOWN(表3[[#This Row],[日期]]-TODAY(),1)</f>
        <v>-14</v>
      </c>
    </row>
    <row r="803" spans="1:8" hidden="1" x14ac:dyDescent="0.2">
      <c r="A803" s="19" t="s">
        <v>2</v>
      </c>
      <c r="B803" s="41">
        <v>43630</v>
      </c>
      <c r="C803" s="11">
        <v>35</v>
      </c>
      <c r="D803" s="12" t="s">
        <v>526</v>
      </c>
      <c r="E803" s="10">
        <v>43628</v>
      </c>
      <c r="F803" s="8" t="s">
        <v>263</v>
      </c>
      <c r="G803" s="19" t="s">
        <v>32</v>
      </c>
      <c r="H803" s="18">
        <f ca="1">ROUNDDOWN(表3[[#This Row],[日期]]-TODAY(),1)</f>
        <v>-14</v>
      </c>
    </row>
    <row r="804" spans="1:8" hidden="1" x14ac:dyDescent="0.2">
      <c r="A804" s="19" t="s">
        <v>2</v>
      </c>
      <c r="B804" s="41">
        <v>43630</v>
      </c>
      <c r="C804" s="11">
        <v>36</v>
      </c>
      <c r="D804" s="12" t="s">
        <v>527</v>
      </c>
      <c r="E804" s="10">
        <v>43628</v>
      </c>
      <c r="F804" s="8" t="s">
        <v>263</v>
      </c>
      <c r="G804" s="19" t="s">
        <v>43</v>
      </c>
      <c r="H804" s="18">
        <f ca="1">ROUNDDOWN(表3[[#This Row],[日期]]-TODAY(),1)</f>
        <v>-14</v>
      </c>
    </row>
    <row r="805" spans="1:8" hidden="1" x14ac:dyDescent="0.2">
      <c r="A805" s="19" t="s">
        <v>2</v>
      </c>
      <c r="B805" s="41">
        <v>43630</v>
      </c>
      <c r="C805" s="11">
        <v>37</v>
      </c>
      <c r="D805" s="12" t="s">
        <v>172</v>
      </c>
      <c r="E805" s="10">
        <v>43628</v>
      </c>
      <c r="F805" s="8" t="s">
        <v>263</v>
      </c>
      <c r="G805" s="19"/>
      <c r="H805" s="18">
        <f ca="1">ROUNDDOWN(表3[[#This Row],[日期]]-TODAY(),1)</f>
        <v>-14</v>
      </c>
    </row>
    <row r="806" spans="1:8" hidden="1" x14ac:dyDescent="0.2">
      <c r="A806" s="19" t="s">
        <v>2</v>
      </c>
      <c r="B806" s="41">
        <v>43630</v>
      </c>
      <c r="C806" s="11">
        <v>38</v>
      </c>
      <c r="D806" s="12" t="s">
        <v>71</v>
      </c>
      <c r="E806" s="10">
        <v>43628</v>
      </c>
      <c r="F806" s="8" t="s">
        <v>263</v>
      </c>
      <c r="G806" s="19" t="s">
        <v>73</v>
      </c>
      <c r="H806" s="18">
        <f ca="1">ROUNDDOWN(表3[[#This Row],[日期]]-TODAY(),1)</f>
        <v>-14</v>
      </c>
    </row>
    <row r="807" spans="1:8" hidden="1" x14ac:dyDescent="0.2">
      <c r="A807" s="22" t="s">
        <v>2</v>
      </c>
      <c r="B807" s="43">
        <v>43630</v>
      </c>
      <c r="C807" s="23">
        <v>39</v>
      </c>
      <c r="D807" s="24" t="s">
        <v>75</v>
      </c>
      <c r="E807" s="25">
        <v>43628</v>
      </c>
      <c r="F807" s="26" t="s">
        <v>263</v>
      </c>
      <c r="G807" s="22"/>
      <c r="H807" s="21">
        <f ca="1">ROUNDDOWN(表3[[#This Row],[日期]]-TODAY(),1)</f>
        <v>-14</v>
      </c>
    </row>
    <row r="808" spans="1:8" hidden="1" x14ac:dyDescent="0.2">
      <c r="A808" s="19" t="s">
        <v>2</v>
      </c>
      <c r="B808" s="41">
        <v>43630</v>
      </c>
      <c r="C808" s="11">
        <v>40</v>
      </c>
      <c r="D808" s="12" t="s">
        <v>83</v>
      </c>
      <c r="E808" s="10">
        <v>43629</v>
      </c>
      <c r="F808" s="8" t="s">
        <v>263</v>
      </c>
      <c r="G808" s="19"/>
      <c r="H808" s="18">
        <f ca="1">ROUNDDOWN(表3[[#This Row],[日期]]-TODAY(),1)</f>
        <v>-13</v>
      </c>
    </row>
    <row r="809" spans="1:8" hidden="1" x14ac:dyDescent="0.2">
      <c r="A809" s="19" t="s">
        <v>2</v>
      </c>
      <c r="B809" s="41">
        <v>43630</v>
      </c>
      <c r="C809" s="11">
        <v>41</v>
      </c>
      <c r="D809" s="12" t="s">
        <v>85</v>
      </c>
      <c r="E809" s="10">
        <v>43629</v>
      </c>
      <c r="F809" s="8" t="s">
        <v>263</v>
      </c>
      <c r="G809" s="19"/>
      <c r="H809" s="18">
        <f ca="1">ROUNDDOWN(表3[[#This Row],[日期]]-TODAY(),1)</f>
        <v>-13</v>
      </c>
    </row>
    <row r="810" spans="1:8" hidden="1" x14ac:dyDescent="0.2">
      <c r="A810" s="19" t="s">
        <v>2</v>
      </c>
      <c r="B810" s="41">
        <v>43630</v>
      </c>
      <c r="C810" s="11">
        <v>42</v>
      </c>
      <c r="D810" s="12" t="s">
        <v>87</v>
      </c>
      <c r="E810" s="10">
        <v>43629</v>
      </c>
      <c r="F810" s="8" t="s">
        <v>263</v>
      </c>
      <c r="G810" s="19"/>
      <c r="H810" s="18">
        <f ca="1">ROUNDDOWN(表3[[#This Row],[日期]]-TODAY(),1)</f>
        <v>-13</v>
      </c>
    </row>
    <row r="811" spans="1:8" hidden="1" x14ac:dyDescent="0.2">
      <c r="A811" s="19" t="s">
        <v>2</v>
      </c>
      <c r="B811" s="41">
        <v>43630</v>
      </c>
      <c r="C811" s="11">
        <v>43</v>
      </c>
      <c r="D811" s="12" t="s">
        <v>89</v>
      </c>
      <c r="E811" s="10">
        <v>43629</v>
      </c>
      <c r="F811" s="8" t="s">
        <v>263</v>
      </c>
      <c r="G811" s="19"/>
      <c r="H811" s="18">
        <f ca="1">ROUNDDOWN(表3[[#This Row],[日期]]-TODAY(),1)</f>
        <v>-13</v>
      </c>
    </row>
    <row r="812" spans="1:8" hidden="1" x14ac:dyDescent="0.2">
      <c r="A812" s="19" t="s">
        <v>2</v>
      </c>
      <c r="B812" s="41">
        <v>43630</v>
      </c>
      <c r="C812" s="11">
        <v>44</v>
      </c>
      <c r="D812" s="12" t="s">
        <v>91</v>
      </c>
      <c r="E812" s="10">
        <v>43629</v>
      </c>
      <c r="F812" s="8" t="s">
        <v>263</v>
      </c>
      <c r="G812" s="19"/>
      <c r="H812" s="18">
        <f ca="1">ROUNDDOWN(表3[[#This Row],[日期]]-TODAY(),1)</f>
        <v>-13</v>
      </c>
    </row>
    <row r="813" spans="1:8" hidden="1" x14ac:dyDescent="0.2">
      <c r="A813" s="19" t="s">
        <v>2</v>
      </c>
      <c r="B813" s="41">
        <v>43630</v>
      </c>
      <c r="C813" s="11">
        <v>45</v>
      </c>
      <c r="D813" s="12" t="s">
        <v>635</v>
      </c>
      <c r="E813" s="10">
        <v>43629</v>
      </c>
      <c r="F813" s="8" t="s">
        <v>263</v>
      </c>
      <c r="G813" s="19"/>
      <c r="H813" s="18">
        <f ca="1">ROUNDDOWN(表3[[#This Row],[日期]]-TODAY(),1)</f>
        <v>-13</v>
      </c>
    </row>
    <row r="814" spans="1:8" hidden="1" x14ac:dyDescent="0.2">
      <c r="A814" s="19" t="s">
        <v>2</v>
      </c>
      <c r="B814" s="41">
        <v>43630</v>
      </c>
      <c r="C814" s="11">
        <v>46</v>
      </c>
      <c r="D814" s="12" t="s">
        <v>331</v>
      </c>
      <c r="E814" s="10">
        <v>43633</v>
      </c>
      <c r="F814" s="8" t="s">
        <v>263</v>
      </c>
      <c r="G814" s="19"/>
      <c r="H814" s="18">
        <f ca="1">ROUNDDOWN(表3[[#This Row],[日期]]-TODAY(),1)</f>
        <v>-9</v>
      </c>
    </row>
    <row r="815" spans="1:8" hidden="1" x14ac:dyDescent="0.2">
      <c r="A815" s="19" t="s">
        <v>2</v>
      </c>
      <c r="B815" s="41">
        <v>43630</v>
      </c>
      <c r="C815" s="11">
        <v>47</v>
      </c>
      <c r="D815" s="12" t="s">
        <v>95</v>
      </c>
      <c r="E815" s="10">
        <v>43635</v>
      </c>
      <c r="F815" s="8" t="s">
        <v>263</v>
      </c>
      <c r="G815" s="19" t="s">
        <v>132</v>
      </c>
      <c r="H815" s="18">
        <f ca="1">ROUNDDOWN(表3[[#This Row],[日期]]-TODAY(),1)</f>
        <v>-7</v>
      </c>
    </row>
    <row r="816" spans="1:8" hidden="1" x14ac:dyDescent="0.2">
      <c r="A816" s="19" t="s">
        <v>784</v>
      </c>
      <c r="B816" s="41">
        <v>43632</v>
      </c>
      <c r="C816" s="11">
        <v>1</v>
      </c>
      <c r="D816" s="12" t="s">
        <v>607</v>
      </c>
      <c r="E816" s="10">
        <v>43620</v>
      </c>
      <c r="F816" s="8" t="s">
        <v>609</v>
      </c>
      <c r="G816" s="19"/>
      <c r="H816" s="18">
        <f ca="1">ROUNDDOWN(表3[[#This Row],[日期]]-TODAY(),1)</f>
        <v>-22</v>
      </c>
    </row>
    <row r="817" spans="1:8" hidden="1" x14ac:dyDescent="0.2">
      <c r="A817" s="19" t="s">
        <v>784</v>
      </c>
      <c r="B817" s="41">
        <v>43632</v>
      </c>
      <c r="C817" s="11">
        <v>2</v>
      </c>
      <c r="D817" s="12" t="s">
        <v>610</v>
      </c>
      <c r="E817" s="10">
        <v>43620</v>
      </c>
      <c r="F817" s="8" t="s">
        <v>609</v>
      </c>
      <c r="G817" s="19"/>
      <c r="H817" s="18">
        <f ca="1">ROUNDDOWN(表3[[#This Row],[日期]]-TODAY(),1)</f>
        <v>-22</v>
      </c>
    </row>
    <row r="818" spans="1:8" hidden="1" x14ac:dyDescent="0.2">
      <c r="A818" s="19" t="s">
        <v>784</v>
      </c>
      <c r="B818" s="41">
        <v>43632</v>
      </c>
      <c r="C818" s="11">
        <v>3</v>
      </c>
      <c r="D818" s="12" t="s">
        <v>612</v>
      </c>
      <c r="E818" s="10">
        <v>43620</v>
      </c>
      <c r="F818" s="8" t="s">
        <v>609</v>
      </c>
      <c r="G818" s="19"/>
      <c r="H818" s="18">
        <f ca="1">ROUNDDOWN(表3[[#This Row],[日期]]-TODAY(),1)</f>
        <v>-22</v>
      </c>
    </row>
    <row r="819" spans="1:8" hidden="1" x14ac:dyDescent="0.2">
      <c r="A819" s="19" t="s">
        <v>784</v>
      </c>
      <c r="B819" s="41">
        <v>43632</v>
      </c>
      <c r="C819" s="11">
        <v>4</v>
      </c>
      <c r="D819" s="12" t="s">
        <v>614</v>
      </c>
      <c r="E819" s="10">
        <v>43620</v>
      </c>
      <c r="F819" s="8" t="s">
        <v>609</v>
      </c>
      <c r="G819" s="19"/>
      <c r="H819" s="18">
        <f ca="1">ROUNDDOWN(表3[[#This Row],[日期]]-TODAY(),1)</f>
        <v>-22</v>
      </c>
    </row>
    <row r="820" spans="1:8" hidden="1" x14ac:dyDescent="0.2">
      <c r="A820" s="19" t="s">
        <v>784</v>
      </c>
      <c r="B820" s="41">
        <v>43632</v>
      </c>
      <c r="C820" s="11">
        <v>5</v>
      </c>
      <c r="D820" s="12" t="s">
        <v>617</v>
      </c>
      <c r="E820" s="10">
        <v>43620</v>
      </c>
      <c r="F820" s="8" t="s">
        <v>609</v>
      </c>
      <c r="G820" s="19"/>
      <c r="H820" s="18">
        <f ca="1">ROUNDDOWN(表3[[#This Row],[日期]]-TODAY(),1)</f>
        <v>-22</v>
      </c>
    </row>
    <row r="821" spans="1:8" hidden="1" x14ac:dyDescent="0.2">
      <c r="A821" s="19" t="s">
        <v>784</v>
      </c>
      <c r="B821" s="41">
        <v>43632</v>
      </c>
      <c r="C821" s="11">
        <v>6</v>
      </c>
      <c r="D821" s="12" t="s">
        <v>619</v>
      </c>
      <c r="E821" s="10">
        <v>43630</v>
      </c>
      <c r="F821" s="8" t="s">
        <v>263</v>
      </c>
      <c r="G821" s="19" t="s">
        <v>629</v>
      </c>
      <c r="H821" s="18">
        <f ca="1">ROUNDDOWN(表3[[#This Row],[日期]]-TODAY(),1)</f>
        <v>-12</v>
      </c>
    </row>
    <row r="822" spans="1:8" hidden="1" x14ac:dyDescent="0.2">
      <c r="A822" s="19" t="s">
        <v>784</v>
      </c>
      <c r="B822" s="41">
        <v>43632</v>
      </c>
      <c r="C822" s="11">
        <v>7</v>
      </c>
      <c r="D822" s="12" t="s">
        <v>621</v>
      </c>
      <c r="E822" s="10">
        <v>43630</v>
      </c>
      <c r="F822" s="8" t="s">
        <v>263</v>
      </c>
      <c r="G822" s="19"/>
      <c r="H822" s="18">
        <f ca="1">ROUNDDOWN(表3[[#This Row],[日期]]-TODAY(),1)</f>
        <v>-12</v>
      </c>
    </row>
    <row r="823" spans="1:8" hidden="1" x14ac:dyDescent="0.2">
      <c r="A823" s="19" t="s">
        <v>784</v>
      </c>
      <c r="B823" s="41">
        <v>43632</v>
      </c>
      <c r="C823" s="11">
        <v>8</v>
      </c>
      <c r="D823" s="12" t="s">
        <v>623</v>
      </c>
      <c r="E823" s="10">
        <v>43630</v>
      </c>
      <c r="F823" s="8" t="s">
        <v>263</v>
      </c>
      <c r="G823" s="19"/>
      <c r="H823" s="18">
        <f ca="1">ROUNDDOWN(表3[[#This Row],[日期]]-TODAY(),1)</f>
        <v>-12</v>
      </c>
    </row>
    <row r="824" spans="1:8" hidden="1" x14ac:dyDescent="0.2">
      <c r="A824" s="19" t="s">
        <v>784</v>
      </c>
      <c r="B824" s="41">
        <v>43632</v>
      </c>
      <c r="C824" s="11">
        <v>9</v>
      </c>
      <c r="D824" s="12" t="s">
        <v>625</v>
      </c>
      <c r="E824" s="10">
        <v>43633</v>
      </c>
      <c r="F824" s="8" t="s">
        <v>263</v>
      </c>
      <c r="G824" s="19"/>
      <c r="H824" s="18">
        <f ca="1">ROUNDDOWN(表3[[#This Row],[日期]]-TODAY(),1)</f>
        <v>-9</v>
      </c>
    </row>
    <row r="825" spans="1:8" hidden="1" x14ac:dyDescent="0.2">
      <c r="A825" s="19" t="s">
        <v>752</v>
      </c>
      <c r="B825" s="41">
        <v>43632</v>
      </c>
      <c r="C825" s="11">
        <v>9.1</v>
      </c>
      <c r="D825" s="12" t="s">
        <v>951</v>
      </c>
      <c r="E825" s="10">
        <v>43635</v>
      </c>
      <c r="F825" s="8" t="s">
        <v>263</v>
      </c>
      <c r="G825" s="19"/>
      <c r="H825" s="18">
        <f ca="1">ROUNDDOWN(表3[[#This Row],[日期]]-TODAY(),1)</f>
        <v>-7</v>
      </c>
    </row>
    <row r="826" spans="1:8" hidden="1" x14ac:dyDescent="0.2">
      <c r="A826" s="22" t="s">
        <v>784</v>
      </c>
      <c r="B826" s="43">
        <v>43632</v>
      </c>
      <c r="C826" s="23">
        <v>10</v>
      </c>
      <c r="D826" s="24" t="s">
        <v>627</v>
      </c>
      <c r="E826" s="25">
        <v>43633</v>
      </c>
      <c r="F826" s="26" t="s">
        <v>263</v>
      </c>
      <c r="G826" s="22"/>
      <c r="H826" s="21">
        <f ca="1">ROUNDDOWN(表3[[#This Row],[日期]]-TODAY(),1)</f>
        <v>-9</v>
      </c>
    </row>
    <row r="827" spans="1:8" hidden="1" x14ac:dyDescent="0.2">
      <c r="A827" s="19" t="s">
        <v>242</v>
      </c>
      <c r="B827" s="41">
        <v>43633</v>
      </c>
      <c r="C827" s="23">
        <v>1</v>
      </c>
      <c r="D827" s="24" t="s">
        <v>980</v>
      </c>
      <c r="E827" s="25">
        <v>43633</v>
      </c>
      <c r="F827" s="26" t="s">
        <v>982</v>
      </c>
      <c r="G827" s="22" t="s">
        <v>237</v>
      </c>
      <c r="H827" s="21">
        <f ca="1">ROUNDDOWN(表3[[#This Row],[日期]]-TODAY(),1)</f>
        <v>-9</v>
      </c>
    </row>
    <row r="828" spans="1:8" hidden="1" x14ac:dyDescent="0.2">
      <c r="A828" s="22" t="s">
        <v>242</v>
      </c>
      <c r="B828" s="43">
        <v>43633</v>
      </c>
      <c r="C828" s="23">
        <v>2</v>
      </c>
      <c r="D828" s="24" t="s">
        <v>974</v>
      </c>
      <c r="E828" s="25">
        <v>43633</v>
      </c>
      <c r="F828" s="26" t="s">
        <v>263</v>
      </c>
      <c r="G828" s="22" t="s">
        <v>237</v>
      </c>
      <c r="H828" s="21">
        <f ca="1">ROUNDDOWN(表3[[#This Row],[日期]]-TODAY(),1)</f>
        <v>-9</v>
      </c>
    </row>
    <row r="829" spans="1:8" hidden="1" x14ac:dyDescent="0.2">
      <c r="A829" s="22" t="s">
        <v>242</v>
      </c>
      <c r="B829" s="43">
        <v>43633</v>
      </c>
      <c r="C829" s="23">
        <v>3</v>
      </c>
      <c r="D829" s="24" t="s">
        <v>971</v>
      </c>
      <c r="E829" s="25">
        <v>43633</v>
      </c>
      <c r="F829" s="26" t="s">
        <v>263</v>
      </c>
      <c r="G829" s="22" t="s">
        <v>975</v>
      </c>
      <c r="H829" s="21">
        <f ca="1">ROUNDDOWN(表3[[#This Row],[日期]]-TODAY(),1)</f>
        <v>-9</v>
      </c>
    </row>
    <row r="830" spans="1:8" hidden="1" x14ac:dyDescent="0.2">
      <c r="A830" s="22" t="s">
        <v>242</v>
      </c>
      <c r="B830" s="43">
        <v>43633</v>
      </c>
      <c r="C830" s="23">
        <v>4</v>
      </c>
      <c r="D830" s="24" t="s">
        <v>971</v>
      </c>
      <c r="E830" s="25">
        <v>43635</v>
      </c>
      <c r="F830" s="26" t="s">
        <v>263</v>
      </c>
      <c r="G830" s="22" t="s">
        <v>983</v>
      </c>
      <c r="H830" s="21">
        <f ca="1">ROUNDDOWN(表3[[#This Row],[日期]]-TODAY(),1)</f>
        <v>-7</v>
      </c>
    </row>
    <row r="831" spans="1:8" hidden="1" x14ac:dyDescent="0.2">
      <c r="A831" s="19" t="s">
        <v>242</v>
      </c>
      <c r="B831" s="43">
        <v>43633</v>
      </c>
      <c r="C831" s="11">
        <v>4.0999999999999996</v>
      </c>
      <c r="D831" s="12" t="s">
        <v>1179</v>
      </c>
      <c r="E831" s="10">
        <v>43637</v>
      </c>
      <c r="F831" s="8" t="s">
        <v>263</v>
      </c>
      <c r="G831" s="19" t="s">
        <v>1095</v>
      </c>
      <c r="H831" s="18">
        <f ca="1">ROUNDDOWN(表3[[#This Row],[日期]]-TODAY(),1)</f>
        <v>-5</v>
      </c>
    </row>
    <row r="832" spans="1:8" hidden="1" x14ac:dyDescent="0.2">
      <c r="A832" s="19" t="s">
        <v>242</v>
      </c>
      <c r="B832" s="43">
        <v>43633</v>
      </c>
      <c r="C832" s="11">
        <v>5</v>
      </c>
      <c r="D832" s="12" t="s">
        <v>978</v>
      </c>
      <c r="E832" s="10">
        <v>43636</v>
      </c>
      <c r="F832" s="8" t="s">
        <v>263</v>
      </c>
      <c r="G832" s="19" t="s">
        <v>976</v>
      </c>
      <c r="H832" s="18">
        <f ca="1">ROUNDDOWN(表3[[#This Row],[日期]]-TODAY(),1)</f>
        <v>-6</v>
      </c>
    </row>
    <row r="833" spans="1:8" hidden="1" x14ac:dyDescent="0.2">
      <c r="A833" s="22" t="s">
        <v>242</v>
      </c>
      <c r="B833" s="43">
        <v>43633</v>
      </c>
      <c r="C833" s="23">
        <v>6</v>
      </c>
      <c r="D833" s="24" t="s">
        <v>424</v>
      </c>
      <c r="E833" s="25">
        <v>43637</v>
      </c>
      <c r="F833" s="26" t="s">
        <v>263</v>
      </c>
      <c r="G833" s="22" t="s">
        <v>233</v>
      </c>
      <c r="H833" s="21">
        <f ca="1">ROUNDDOWN(表3[[#This Row],[日期]]-TODAY(),1)</f>
        <v>-5</v>
      </c>
    </row>
    <row r="834" spans="1:8" hidden="1" x14ac:dyDescent="0.2">
      <c r="A834" s="22" t="s">
        <v>242</v>
      </c>
      <c r="B834" s="43">
        <v>43633</v>
      </c>
      <c r="C834" s="23">
        <v>7</v>
      </c>
      <c r="D834" s="24" t="s">
        <v>972</v>
      </c>
      <c r="E834" s="25">
        <v>43637</v>
      </c>
      <c r="F834" s="26" t="s">
        <v>263</v>
      </c>
      <c r="G834" s="22" t="s">
        <v>233</v>
      </c>
      <c r="H834" s="21">
        <f ca="1">ROUNDDOWN(表3[[#This Row],[日期]]-TODAY(),1)</f>
        <v>-5</v>
      </c>
    </row>
    <row r="835" spans="1:8" hidden="1" x14ac:dyDescent="0.2">
      <c r="A835" s="22" t="s">
        <v>242</v>
      </c>
      <c r="B835" s="43">
        <v>43633</v>
      </c>
      <c r="C835" s="23">
        <v>8</v>
      </c>
      <c r="D835" s="24" t="s">
        <v>228</v>
      </c>
      <c r="E835" s="25">
        <v>43637</v>
      </c>
      <c r="F835" s="26" t="s">
        <v>263</v>
      </c>
      <c r="G835" s="19" t="s">
        <v>233</v>
      </c>
      <c r="H835" s="21">
        <f ca="1">ROUNDDOWN(表3[[#This Row],[日期]]-TODAY(),1)</f>
        <v>-5</v>
      </c>
    </row>
    <row r="836" spans="1:8" hidden="1" x14ac:dyDescent="0.2">
      <c r="A836" s="22" t="s">
        <v>242</v>
      </c>
      <c r="B836" s="43">
        <v>43633</v>
      </c>
      <c r="C836" s="23">
        <v>9</v>
      </c>
      <c r="D836" s="24" t="s">
        <v>971</v>
      </c>
      <c r="E836" s="25">
        <v>43637</v>
      </c>
      <c r="F836" s="26" t="s">
        <v>263</v>
      </c>
      <c r="G836" s="22" t="s">
        <v>233</v>
      </c>
      <c r="H836" s="21">
        <f ca="1">ROUNDDOWN(表3[[#This Row],[日期]]-TODAY(),1)</f>
        <v>-5</v>
      </c>
    </row>
    <row r="837" spans="1:8" hidden="1" x14ac:dyDescent="0.2">
      <c r="A837" s="22" t="s">
        <v>242</v>
      </c>
      <c r="B837" s="43">
        <v>43633</v>
      </c>
      <c r="C837" s="23">
        <v>10</v>
      </c>
      <c r="D837" s="24" t="s">
        <v>970</v>
      </c>
      <c r="E837" s="25">
        <v>43637</v>
      </c>
      <c r="F837" s="26" t="s">
        <v>263</v>
      </c>
      <c r="G837" s="22" t="s">
        <v>233</v>
      </c>
      <c r="H837" s="21">
        <f ca="1">ROUNDDOWN(表3[[#This Row],[日期]]-TODAY(),1)</f>
        <v>-5</v>
      </c>
    </row>
    <row r="838" spans="1:8" hidden="1" x14ac:dyDescent="0.2">
      <c r="A838" s="22" t="s">
        <v>242</v>
      </c>
      <c r="B838" s="43">
        <v>43633</v>
      </c>
      <c r="C838" s="23">
        <v>11</v>
      </c>
      <c r="D838" s="24" t="s">
        <v>973</v>
      </c>
      <c r="E838" s="25">
        <v>43637</v>
      </c>
      <c r="F838" s="26" t="s">
        <v>263</v>
      </c>
      <c r="G838" s="22" t="s">
        <v>233</v>
      </c>
      <c r="H838" s="21">
        <f ca="1">ROUNDDOWN(表3[[#This Row],[日期]]-TODAY(),1)</f>
        <v>-5</v>
      </c>
    </row>
    <row r="839" spans="1:8" hidden="1" x14ac:dyDescent="0.2">
      <c r="A839" s="22" t="s">
        <v>242</v>
      </c>
      <c r="B839" s="43">
        <v>43633</v>
      </c>
      <c r="C839" s="23">
        <v>12</v>
      </c>
      <c r="D839" s="24" t="s">
        <v>1061</v>
      </c>
      <c r="E839" s="25">
        <v>43637</v>
      </c>
      <c r="F839" s="26" t="s">
        <v>263</v>
      </c>
      <c r="G839" s="22" t="s">
        <v>233</v>
      </c>
      <c r="H839" s="21">
        <f ca="1">ROUNDDOWN(表3[[#This Row],[日期]]-TODAY(),1)</f>
        <v>-5</v>
      </c>
    </row>
    <row r="840" spans="1:8" hidden="1" x14ac:dyDescent="0.2">
      <c r="A840" s="19" t="s">
        <v>242</v>
      </c>
      <c r="B840" s="41">
        <v>43633</v>
      </c>
      <c r="C840" s="11">
        <v>13</v>
      </c>
      <c r="D840" s="12" t="s">
        <v>1060</v>
      </c>
      <c r="E840" s="10">
        <v>43637</v>
      </c>
      <c r="F840" s="8" t="s">
        <v>263</v>
      </c>
      <c r="G840" s="19" t="s">
        <v>233</v>
      </c>
      <c r="H840" s="18">
        <f ca="1">ROUNDDOWN(表3[[#This Row],[日期]]-TODAY(),1)</f>
        <v>-5</v>
      </c>
    </row>
    <row r="841" spans="1:8" hidden="1" x14ac:dyDescent="0.2">
      <c r="A841" s="19" t="s">
        <v>242</v>
      </c>
      <c r="B841" s="41">
        <v>43633</v>
      </c>
      <c r="C841" s="11">
        <v>14</v>
      </c>
      <c r="D841" s="12" t="s">
        <v>1062</v>
      </c>
      <c r="E841" s="10">
        <v>43637</v>
      </c>
      <c r="F841" s="8" t="s">
        <v>263</v>
      </c>
      <c r="G841" s="19" t="s">
        <v>233</v>
      </c>
      <c r="H841" s="18">
        <f ca="1">ROUNDDOWN(表3[[#This Row],[日期]]-TODAY(),1)</f>
        <v>-5</v>
      </c>
    </row>
    <row r="842" spans="1:8" hidden="1" x14ac:dyDescent="0.2">
      <c r="A842" s="19" t="s">
        <v>242</v>
      </c>
      <c r="B842" s="41">
        <v>43633</v>
      </c>
      <c r="C842" s="11">
        <v>15</v>
      </c>
      <c r="D842" s="12" t="s">
        <v>1063</v>
      </c>
      <c r="E842" s="10">
        <v>43637</v>
      </c>
      <c r="F842" s="8" t="s">
        <v>263</v>
      </c>
      <c r="G842" s="19" t="s">
        <v>233</v>
      </c>
      <c r="H842" s="18">
        <f ca="1">ROUNDDOWN(表3[[#This Row],[日期]]-TODAY(),1)</f>
        <v>-5</v>
      </c>
    </row>
    <row r="843" spans="1:8" hidden="1" x14ac:dyDescent="0.2">
      <c r="A843" s="19" t="s">
        <v>242</v>
      </c>
      <c r="B843" s="41">
        <v>43633</v>
      </c>
      <c r="C843" s="11">
        <v>16</v>
      </c>
      <c r="D843" s="12" t="s">
        <v>1064</v>
      </c>
      <c r="E843" s="10">
        <v>43637</v>
      </c>
      <c r="F843" s="8" t="s">
        <v>263</v>
      </c>
      <c r="G843" s="19" t="s">
        <v>233</v>
      </c>
      <c r="H843" s="18">
        <f ca="1">ROUNDDOWN(表3[[#This Row],[日期]]-TODAY(),1)</f>
        <v>-5</v>
      </c>
    </row>
    <row r="844" spans="1:8" hidden="1" x14ac:dyDescent="0.2">
      <c r="A844" s="19" t="s">
        <v>242</v>
      </c>
      <c r="B844" s="41">
        <v>43633</v>
      </c>
      <c r="C844" s="11">
        <v>17</v>
      </c>
      <c r="D844" s="12" t="s">
        <v>1065</v>
      </c>
      <c r="E844" s="10">
        <v>43637</v>
      </c>
      <c r="F844" s="8" t="s">
        <v>263</v>
      </c>
      <c r="G844" s="19" t="s">
        <v>233</v>
      </c>
      <c r="H844" s="18">
        <f ca="1">ROUNDDOWN(表3[[#This Row],[日期]]-TODAY(),1)</f>
        <v>-5</v>
      </c>
    </row>
    <row r="845" spans="1:8" hidden="1" x14ac:dyDescent="0.2">
      <c r="A845" s="19" t="s">
        <v>784</v>
      </c>
      <c r="B845" s="41">
        <v>43635</v>
      </c>
      <c r="C845" s="11">
        <v>1</v>
      </c>
      <c r="D845" s="12" t="s">
        <v>607</v>
      </c>
      <c r="E845" s="10">
        <v>43620</v>
      </c>
      <c r="F845" s="8" t="s">
        <v>1</v>
      </c>
      <c r="G845" s="19"/>
      <c r="H845" s="18">
        <f ca="1">ROUNDDOWN(表3[[#This Row],[日期]]-TODAY(),1)</f>
        <v>-22</v>
      </c>
    </row>
    <row r="846" spans="1:8" hidden="1" x14ac:dyDescent="0.2">
      <c r="A846" s="19" t="s">
        <v>785</v>
      </c>
      <c r="B846" s="41">
        <v>43635</v>
      </c>
      <c r="C846" s="11">
        <v>2</v>
      </c>
      <c r="D846" s="12" t="s">
        <v>610</v>
      </c>
      <c r="E846" s="10">
        <v>43620</v>
      </c>
      <c r="F846" s="8" t="s">
        <v>1</v>
      </c>
      <c r="G846" s="19"/>
      <c r="H846" s="18">
        <f ca="1">ROUNDDOWN(表3[[#This Row],[日期]]-TODAY(),1)</f>
        <v>-22</v>
      </c>
    </row>
    <row r="847" spans="1:8" hidden="1" x14ac:dyDescent="0.2">
      <c r="A847" s="19" t="s">
        <v>784</v>
      </c>
      <c r="B847" s="41">
        <v>43635</v>
      </c>
      <c r="C847" s="11">
        <v>3</v>
      </c>
      <c r="D847" s="12" t="s">
        <v>612</v>
      </c>
      <c r="E847" s="10">
        <v>43620</v>
      </c>
      <c r="F847" s="8" t="s">
        <v>1</v>
      </c>
      <c r="G847" s="19"/>
      <c r="H847" s="18">
        <f ca="1">ROUNDDOWN(表3[[#This Row],[日期]]-TODAY(),1)</f>
        <v>-22</v>
      </c>
    </row>
    <row r="848" spans="1:8" hidden="1" x14ac:dyDescent="0.2">
      <c r="A848" s="19" t="s">
        <v>784</v>
      </c>
      <c r="B848" s="41">
        <v>43635</v>
      </c>
      <c r="C848" s="11">
        <v>4</v>
      </c>
      <c r="D848" s="12" t="s">
        <v>669</v>
      </c>
      <c r="E848" s="10">
        <v>43626</v>
      </c>
      <c r="F848" s="8" t="s">
        <v>263</v>
      </c>
      <c r="G848" s="19"/>
      <c r="H848" s="18">
        <f ca="1">ROUNDDOWN(表3[[#This Row],[日期]]-TODAY(),1)</f>
        <v>-16</v>
      </c>
    </row>
    <row r="849" spans="1:8" hidden="1" x14ac:dyDescent="0.2">
      <c r="A849" s="22" t="s">
        <v>784</v>
      </c>
      <c r="B849" s="43">
        <v>43635</v>
      </c>
      <c r="C849" s="23">
        <v>5</v>
      </c>
      <c r="D849" s="24" t="s">
        <v>617</v>
      </c>
      <c r="E849" s="25">
        <v>43628</v>
      </c>
      <c r="F849" s="26" t="s">
        <v>263</v>
      </c>
      <c r="G849" s="22"/>
      <c r="H849" s="21">
        <f ca="1">ROUNDDOWN(表3[[#This Row],[日期]]-TODAY(),1)</f>
        <v>-14</v>
      </c>
    </row>
    <row r="850" spans="1:8" hidden="1" x14ac:dyDescent="0.2">
      <c r="A850" s="19" t="s">
        <v>784</v>
      </c>
      <c r="B850" s="41">
        <v>43635</v>
      </c>
      <c r="C850" s="11">
        <v>6</v>
      </c>
      <c r="D850" s="12" t="s">
        <v>619</v>
      </c>
      <c r="E850" s="10">
        <v>43633</v>
      </c>
      <c r="F850" s="8" t="s">
        <v>263</v>
      </c>
      <c r="G850" s="19" t="s">
        <v>630</v>
      </c>
      <c r="H850" s="18">
        <f ca="1">ROUNDDOWN(表3[[#This Row],[日期]]-TODAY(),1)</f>
        <v>-9</v>
      </c>
    </row>
    <row r="851" spans="1:8" hidden="1" x14ac:dyDescent="0.2">
      <c r="A851" s="19" t="s">
        <v>784</v>
      </c>
      <c r="B851" s="41">
        <v>43635</v>
      </c>
      <c r="C851" s="11">
        <v>7</v>
      </c>
      <c r="D851" s="12" t="s">
        <v>621</v>
      </c>
      <c r="E851" s="10">
        <v>43633</v>
      </c>
      <c r="F851" s="8" t="s">
        <v>263</v>
      </c>
      <c r="G851" s="19"/>
      <c r="H851" s="18">
        <f ca="1">ROUNDDOWN(表3[[#This Row],[日期]]-TODAY(),1)</f>
        <v>-9</v>
      </c>
    </row>
    <row r="852" spans="1:8" hidden="1" x14ac:dyDescent="0.2">
      <c r="A852" s="19" t="s">
        <v>784</v>
      </c>
      <c r="B852" s="41">
        <v>43635</v>
      </c>
      <c r="C852" s="11">
        <v>8</v>
      </c>
      <c r="D852" s="12" t="s">
        <v>623</v>
      </c>
      <c r="E852" s="10">
        <v>43633</v>
      </c>
      <c r="F852" s="8" t="s">
        <v>263</v>
      </c>
      <c r="G852" s="19"/>
      <c r="H852" s="18">
        <f ca="1">ROUNDDOWN(表3[[#This Row],[日期]]-TODAY(),1)</f>
        <v>-9</v>
      </c>
    </row>
    <row r="853" spans="1:8" hidden="1" x14ac:dyDescent="0.2">
      <c r="A853" s="19" t="s">
        <v>784</v>
      </c>
      <c r="B853" s="41">
        <v>43635</v>
      </c>
      <c r="C853" s="11">
        <v>9</v>
      </c>
      <c r="D853" s="12" t="s">
        <v>625</v>
      </c>
      <c r="E853" s="10">
        <v>43636</v>
      </c>
      <c r="F853" s="8" t="s">
        <v>263</v>
      </c>
      <c r="G853" s="19"/>
      <c r="H853" s="18">
        <f ca="1">ROUNDDOWN(表3[[#This Row],[日期]]-TODAY(),1)</f>
        <v>-6</v>
      </c>
    </row>
    <row r="854" spans="1:8" hidden="1" x14ac:dyDescent="0.2">
      <c r="A854" s="19" t="s">
        <v>784</v>
      </c>
      <c r="B854" s="41">
        <v>43635</v>
      </c>
      <c r="C854" s="11">
        <v>10</v>
      </c>
      <c r="D854" s="12" t="s">
        <v>627</v>
      </c>
      <c r="E854" s="10">
        <v>43636</v>
      </c>
      <c r="F854" s="8" t="s">
        <v>263</v>
      </c>
      <c r="G854" s="19"/>
      <c r="H854" s="18">
        <f ca="1">ROUNDDOWN(表3[[#This Row],[日期]]-TODAY(),1)</f>
        <v>-6</v>
      </c>
    </row>
    <row r="855" spans="1:8" hidden="1" x14ac:dyDescent="0.2">
      <c r="A855" s="19" t="s">
        <v>654</v>
      </c>
      <c r="B855" s="41">
        <v>43635</v>
      </c>
      <c r="C855" s="11">
        <v>1</v>
      </c>
      <c r="D855" s="12" t="s">
        <v>421</v>
      </c>
      <c r="E855" s="10">
        <v>43622</v>
      </c>
      <c r="F855" s="8" t="s">
        <v>656</v>
      </c>
      <c r="G855" s="19"/>
      <c r="H855" s="18">
        <f ca="1">ROUNDDOWN(表3[[#This Row],[日期]]-TODAY(),1)</f>
        <v>-20</v>
      </c>
    </row>
    <row r="856" spans="1:8" hidden="1" x14ac:dyDescent="0.2">
      <c r="A856" s="19" t="s">
        <v>654</v>
      </c>
      <c r="B856" s="41">
        <v>43635</v>
      </c>
      <c r="C856" s="11">
        <v>2</v>
      </c>
      <c r="D856" s="12" t="s">
        <v>422</v>
      </c>
      <c r="E856" s="10">
        <v>43627</v>
      </c>
      <c r="F856" s="8" t="s">
        <v>263</v>
      </c>
      <c r="G856" s="19"/>
      <c r="H856" s="18">
        <f ca="1">ROUNDDOWN(表3[[#This Row],[日期]]-TODAY(),1)</f>
        <v>-15</v>
      </c>
    </row>
    <row r="857" spans="1:8" hidden="1" x14ac:dyDescent="0.2">
      <c r="A857" s="19" t="s">
        <v>654</v>
      </c>
      <c r="B857" s="41">
        <v>43635</v>
      </c>
      <c r="C857" s="11">
        <v>3</v>
      </c>
      <c r="D857" s="12" t="s">
        <v>21</v>
      </c>
      <c r="E857" s="10">
        <v>43627</v>
      </c>
      <c r="F857" s="8" t="s">
        <v>263</v>
      </c>
      <c r="G857" s="19"/>
      <c r="H857" s="18">
        <f ca="1">ROUNDDOWN(表3[[#This Row],[日期]]-TODAY(),1)</f>
        <v>-15</v>
      </c>
    </row>
    <row r="858" spans="1:8" hidden="1" x14ac:dyDescent="0.2">
      <c r="A858" s="19" t="s">
        <v>654</v>
      </c>
      <c r="B858" s="41">
        <v>43635</v>
      </c>
      <c r="C858" s="11">
        <v>4</v>
      </c>
      <c r="D858" s="12" t="s">
        <v>149</v>
      </c>
      <c r="E858" s="10">
        <v>43630</v>
      </c>
      <c r="F858" s="8" t="s">
        <v>263</v>
      </c>
      <c r="G858" s="19" t="s">
        <v>137</v>
      </c>
      <c r="H858" s="18">
        <f ca="1">ROUNDDOWN(表3[[#This Row],[日期]]-TODAY(),1)</f>
        <v>-12</v>
      </c>
    </row>
    <row r="859" spans="1:8" hidden="1" x14ac:dyDescent="0.2">
      <c r="A859" s="22" t="s">
        <v>654</v>
      </c>
      <c r="B859" s="43">
        <v>43635</v>
      </c>
      <c r="C859" s="23">
        <v>5</v>
      </c>
      <c r="D859" s="24" t="s">
        <v>140</v>
      </c>
      <c r="E859" s="25">
        <v>43630</v>
      </c>
      <c r="F859" s="26" t="s">
        <v>263</v>
      </c>
      <c r="G859" s="22"/>
      <c r="H859" s="21">
        <f ca="1">ROUNDDOWN(表3[[#This Row],[日期]]-TODAY(),1)</f>
        <v>-12</v>
      </c>
    </row>
    <row r="860" spans="1:8" hidden="1" x14ac:dyDescent="0.2">
      <c r="A860" s="19" t="s">
        <v>655</v>
      </c>
      <c r="B860" s="41">
        <v>43635</v>
      </c>
      <c r="C860" s="11">
        <v>6</v>
      </c>
      <c r="D860" s="12" t="s">
        <v>566</v>
      </c>
      <c r="E860" s="10">
        <v>43630</v>
      </c>
      <c r="F860" s="8" t="s">
        <v>263</v>
      </c>
      <c r="G860" s="19"/>
      <c r="H860" s="18">
        <f ca="1">ROUNDDOWN(表3[[#This Row],[日期]]-TODAY(),1)</f>
        <v>-12</v>
      </c>
    </row>
    <row r="861" spans="1:8" hidden="1" x14ac:dyDescent="0.2">
      <c r="A861" s="19" t="s">
        <v>655</v>
      </c>
      <c r="B861" s="41">
        <v>43635</v>
      </c>
      <c r="C861" s="11">
        <v>7</v>
      </c>
      <c r="D861" s="12" t="s">
        <v>333</v>
      </c>
      <c r="E861" s="10">
        <v>43633</v>
      </c>
      <c r="F861" s="8" t="s">
        <v>263</v>
      </c>
      <c r="G861" s="19" t="s">
        <v>143</v>
      </c>
      <c r="H861" s="18">
        <f ca="1">ROUNDDOWN(表3[[#This Row],[日期]]-TODAY(),1)</f>
        <v>-9</v>
      </c>
    </row>
    <row r="862" spans="1:8" hidden="1" x14ac:dyDescent="0.2">
      <c r="A862" s="19" t="s">
        <v>654</v>
      </c>
      <c r="B862" s="41">
        <v>43635</v>
      </c>
      <c r="C862" s="11">
        <v>8</v>
      </c>
      <c r="D862" s="12" t="s">
        <v>486</v>
      </c>
      <c r="E862" s="10">
        <v>43633</v>
      </c>
      <c r="F862" s="8" t="s">
        <v>263</v>
      </c>
      <c r="G862" s="19"/>
      <c r="H862" s="18">
        <f ca="1">ROUNDDOWN(表3[[#This Row],[日期]]-TODAY(),1)</f>
        <v>-9</v>
      </c>
    </row>
    <row r="863" spans="1:8" hidden="1" x14ac:dyDescent="0.2">
      <c r="A863" s="19" t="s">
        <v>654</v>
      </c>
      <c r="B863" s="41">
        <v>43635</v>
      </c>
      <c r="C863" s="11">
        <v>9</v>
      </c>
      <c r="D863" s="12" t="s">
        <v>335</v>
      </c>
      <c r="E863" s="10">
        <v>43630</v>
      </c>
      <c r="F863" s="8" t="s">
        <v>263</v>
      </c>
      <c r="G863" s="19" t="s">
        <v>336</v>
      </c>
      <c r="H863" s="18">
        <f ca="1">ROUNDDOWN(表3[[#This Row],[日期]]-TODAY(),1)</f>
        <v>-12</v>
      </c>
    </row>
    <row r="864" spans="1:8" hidden="1" x14ac:dyDescent="0.2">
      <c r="A864" s="19" t="s">
        <v>655</v>
      </c>
      <c r="B864" s="41">
        <v>43635</v>
      </c>
      <c r="C864" s="11">
        <v>10</v>
      </c>
      <c r="D864" s="12" t="s">
        <v>337</v>
      </c>
      <c r="E864" s="10">
        <v>43633</v>
      </c>
      <c r="F864" s="8" t="s">
        <v>263</v>
      </c>
      <c r="G864" s="19" t="s">
        <v>336</v>
      </c>
      <c r="H864" s="18">
        <f ca="1">ROUNDDOWN(表3[[#This Row],[日期]]-TODAY(),1)</f>
        <v>-9</v>
      </c>
    </row>
    <row r="865" spans="1:8" hidden="1" x14ac:dyDescent="0.2">
      <c r="A865" s="19" t="s">
        <v>655</v>
      </c>
      <c r="B865" s="41">
        <v>43635</v>
      </c>
      <c r="C865" s="11">
        <v>11</v>
      </c>
      <c r="D865" s="12" t="s">
        <v>965</v>
      </c>
      <c r="E865" s="10">
        <v>43633</v>
      </c>
      <c r="F865" s="8" t="s">
        <v>263</v>
      </c>
      <c r="G865" s="19" t="s">
        <v>153</v>
      </c>
      <c r="H865" s="18">
        <f ca="1">ROUNDDOWN(表3[[#This Row],[日期]]-TODAY(),1)</f>
        <v>-9</v>
      </c>
    </row>
    <row r="866" spans="1:8" hidden="1" x14ac:dyDescent="0.2">
      <c r="A866" s="19" t="s">
        <v>655</v>
      </c>
      <c r="B866" s="41">
        <v>43635</v>
      </c>
      <c r="C866" s="11">
        <v>12</v>
      </c>
      <c r="D866" s="12" t="s">
        <v>215</v>
      </c>
      <c r="E866" s="10">
        <v>43633</v>
      </c>
      <c r="F866" s="8" t="s">
        <v>263</v>
      </c>
      <c r="G866" s="19"/>
      <c r="H866" s="18">
        <f ca="1">ROUNDDOWN(表3[[#This Row],[日期]]-TODAY(),1)</f>
        <v>-9</v>
      </c>
    </row>
    <row r="867" spans="1:8" hidden="1" x14ac:dyDescent="0.2">
      <c r="A867" s="19" t="s">
        <v>655</v>
      </c>
      <c r="B867" s="41">
        <v>43635</v>
      </c>
      <c r="C867" s="11">
        <v>13</v>
      </c>
      <c r="D867" s="12" t="s">
        <v>338</v>
      </c>
      <c r="E867" s="10">
        <v>43633</v>
      </c>
      <c r="F867" s="8" t="s">
        <v>263</v>
      </c>
      <c r="G867" s="19" t="s">
        <v>336</v>
      </c>
      <c r="H867" s="18">
        <f ca="1">ROUNDDOWN(表3[[#This Row],[日期]]-TODAY(),1)</f>
        <v>-9</v>
      </c>
    </row>
    <row r="868" spans="1:8" hidden="1" x14ac:dyDescent="0.2">
      <c r="A868" s="19" t="s">
        <v>655</v>
      </c>
      <c r="B868" s="41">
        <v>43635</v>
      </c>
      <c r="C868" s="11">
        <v>14</v>
      </c>
      <c r="D868" s="12" t="s">
        <v>339</v>
      </c>
      <c r="E868" s="10">
        <v>43633</v>
      </c>
      <c r="F868" s="8" t="s">
        <v>263</v>
      </c>
      <c r="G868" s="19" t="s">
        <v>336</v>
      </c>
      <c r="H868" s="18">
        <f ca="1">ROUNDDOWN(表3[[#This Row],[日期]]-TODAY(),1)</f>
        <v>-9</v>
      </c>
    </row>
    <row r="869" spans="1:8" hidden="1" x14ac:dyDescent="0.2">
      <c r="A869" s="22" t="s">
        <v>654</v>
      </c>
      <c r="B869" s="43">
        <v>43635</v>
      </c>
      <c r="C869" s="23">
        <v>15</v>
      </c>
      <c r="D869" s="24" t="s">
        <v>87</v>
      </c>
      <c r="E869" s="25">
        <v>43633</v>
      </c>
      <c r="F869" s="26" t="s">
        <v>263</v>
      </c>
      <c r="G869" s="22"/>
      <c r="H869" s="21">
        <f ca="1">ROUNDDOWN(表3[[#This Row],[日期]]-TODAY(),1)</f>
        <v>-9</v>
      </c>
    </row>
    <row r="870" spans="1:8" hidden="1" x14ac:dyDescent="0.2">
      <c r="A870" s="22" t="s">
        <v>654</v>
      </c>
      <c r="B870" s="43">
        <v>43635</v>
      </c>
      <c r="C870" s="23">
        <v>16</v>
      </c>
      <c r="D870" s="24" t="s">
        <v>89</v>
      </c>
      <c r="E870" s="25">
        <v>43633</v>
      </c>
      <c r="F870" s="26" t="s">
        <v>263</v>
      </c>
      <c r="G870" s="22"/>
      <c r="H870" s="21">
        <f ca="1">ROUNDDOWN(表3[[#This Row],[日期]]-TODAY(),1)</f>
        <v>-9</v>
      </c>
    </row>
    <row r="871" spans="1:8" hidden="1" x14ac:dyDescent="0.2">
      <c r="A871" s="22" t="s">
        <v>655</v>
      </c>
      <c r="B871" s="43">
        <v>43635</v>
      </c>
      <c r="C871" s="23">
        <v>17</v>
      </c>
      <c r="D871" s="24" t="s">
        <v>91</v>
      </c>
      <c r="E871" s="25">
        <v>43635</v>
      </c>
      <c r="F871" s="26" t="s">
        <v>263</v>
      </c>
      <c r="G871" s="22"/>
      <c r="H871" s="21">
        <f ca="1">ROUNDDOWN(表3[[#This Row],[日期]]-TODAY(),1)</f>
        <v>-7</v>
      </c>
    </row>
    <row r="872" spans="1:8" hidden="1" x14ac:dyDescent="0.2">
      <c r="A872" s="22" t="s">
        <v>654</v>
      </c>
      <c r="B872" s="43">
        <v>43635</v>
      </c>
      <c r="C872" s="23">
        <v>18</v>
      </c>
      <c r="D872" s="24" t="s">
        <v>1118</v>
      </c>
      <c r="E872" s="25">
        <v>43636</v>
      </c>
      <c r="F872" s="26" t="s">
        <v>263</v>
      </c>
      <c r="G872" s="22"/>
      <c r="H872" s="21">
        <f ca="1">ROUNDDOWN(表3[[#This Row],[日期]]-TODAY(),1)</f>
        <v>-6</v>
      </c>
    </row>
    <row r="873" spans="1:8" hidden="1" x14ac:dyDescent="0.2">
      <c r="A873" s="19" t="s">
        <v>654</v>
      </c>
      <c r="B873" s="41">
        <v>43635</v>
      </c>
      <c r="C873" s="11">
        <v>19</v>
      </c>
      <c r="D873" s="12" t="s">
        <v>259</v>
      </c>
      <c r="E873" s="10">
        <v>43635</v>
      </c>
      <c r="F873" s="8" t="s">
        <v>263</v>
      </c>
      <c r="G873" s="19"/>
      <c r="H873" s="18">
        <f ca="1">ROUNDDOWN(表3[[#This Row],[日期]]-TODAY(),1)</f>
        <v>-7</v>
      </c>
    </row>
    <row r="874" spans="1:8" hidden="1" x14ac:dyDescent="0.2">
      <c r="A874" s="19" t="s">
        <v>2</v>
      </c>
      <c r="B874" s="41">
        <v>43635</v>
      </c>
      <c r="C874" s="11">
        <v>1</v>
      </c>
      <c r="D874" s="12" t="s">
        <v>523</v>
      </c>
      <c r="E874" s="10">
        <v>43626</v>
      </c>
      <c r="F874" s="8" t="s">
        <v>677</v>
      </c>
      <c r="G874" s="19" t="s">
        <v>29</v>
      </c>
      <c r="H874" s="18">
        <f ca="1">ROUNDDOWN(表3[[#This Row],[日期]]-TODAY(),1)</f>
        <v>-16</v>
      </c>
    </row>
    <row r="875" spans="1:8" hidden="1" x14ac:dyDescent="0.2">
      <c r="A875" s="19" t="s">
        <v>2</v>
      </c>
      <c r="B875" s="41">
        <v>43635</v>
      </c>
      <c r="C875" s="11">
        <v>2</v>
      </c>
      <c r="D875" s="12" t="s">
        <v>224</v>
      </c>
      <c r="E875" s="10">
        <v>43626</v>
      </c>
      <c r="F875" s="8" t="s">
        <v>677</v>
      </c>
      <c r="G875" s="19"/>
      <c r="H875" s="18">
        <f ca="1">ROUNDDOWN(表3[[#This Row],[日期]]-TODAY(),1)</f>
        <v>-16</v>
      </c>
    </row>
    <row r="876" spans="1:8" hidden="1" x14ac:dyDescent="0.2">
      <c r="A876" s="19" t="s">
        <v>2</v>
      </c>
      <c r="B876" s="41">
        <v>43635</v>
      </c>
      <c r="C876" s="11">
        <v>3</v>
      </c>
      <c r="D876" s="12" t="s">
        <v>60</v>
      </c>
      <c r="E876" s="10">
        <v>43626</v>
      </c>
      <c r="F876" s="8" t="s">
        <v>677</v>
      </c>
      <c r="G876" s="19" t="s">
        <v>31</v>
      </c>
      <c r="H876" s="18">
        <f ca="1">ROUNDDOWN(表3[[#This Row],[日期]]-TODAY(),1)</f>
        <v>-16</v>
      </c>
    </row>
    <row r="877" spans="1:8" hidden="1" x14ac:dyDescent="0.2">
      <c r="A877" s="19" t="s">
        <v>2</v>
      </c>
      <c r="B877" s="41">
        <v>43635</v>
      </c>
      <c r="C877" s="11">
        <v>4</v>
      </c>
      <c r="D877" s="12" t="s">
        <v>61</v>
      </c>
      <c r="E877" s="10">
        <v>43626</v>
      </c>
      <c r="F877" s="8" t="s">
        <v>678</v>
      </c>
      <c r="G877" s="19"/>
      <c r="H877" s="18">
        <f ca="1">ROUNDDOWN(表3[[#This Row],[日期]]-TODAY(),1)</f>
        <v>-16</v>
      </c>
    </row>
    <row r="878" spans="1:8" hidden="1" x14ac:dyDescent="0.2">
      <c r="A878" s="19" t="s">
        <v>2</v>
      </c>
      <c r="B878" s="41">
        <v>43635</v>
      </c>
      <c r="C878" s="11">
        <v>5</v>
      </c>
      <c r="D878" s="12" t="s">
        <v>62</v>
      </c>
      <c r="E878" s="10">
        <v>43627</v>
      </c>
      <c r="F878" s="8" t="s">
        <v>678</v>
      </c>
      <c r="G878" s="19" t="s">
        <v>43</v>
      </c>
      <c r="H878" s="18">
        <f ca="1">ROUNDDOWN(表3[[#This Row],[日期]]-TODAY(),1)</f>
        <v>-15</v>
      </c>
    </row>
    <row r="879" spans="1:8" hidden="1" x14ac:dyDescent="0.2">
      <c r="A879" s="19" t="s">
        <v>2</v>
      </c>
      <c r="B879" s="41">
        <v>43635</v>
      </c>
      <c r="C879" s="11">
        <v>6</v>
      </c>
      <c r="D879" s="12" t="s">
        <v>19</v>
      </c>
      <c r="E879" s="10">
        <v>43627</v>
      </c>
      <c r="F879" s="8" t="s">
        <v>263</v>
      </c>
      <c r="G879" s="19"/>
      <c r="H879" s="18">
        <f ca="1">ROUNDDOWN(表3[[#This Row],[日期]]-TODAY(),1)</f>
        <v>-15</v>
      </c>
    </row>
    <row r="880" spans="1:8" hidden="1" x14ac:dyDescent="0.2">
      <c r="A880" s="19" t="s">
        <v>2</v>
      </c>
      <c r="B880" s="41">
        <v>43635</v>
      </c>
      <c r="C880" s="11">
        <v>7</v>
      </c>
      <c r="D880" s="12" t="s">
        <v>21</v>
      </c>
      <c r="E880" s="10">
        <v>43627</v>
      </c>
      <c r="F880" s="8" t="s">
        <v>263</v>
      </c>
      <c r="G880" s="19"/>
      <c r="H880" s="18">
        <f ca="1">ROUNDDOWN(表3[[#This Row],[日期]]-TODAY(),1)</f>
        <v>-15</v>
      </c>
    </row>
    <row r="881" spans="1:8" hidden="1" x14ac:dyDescent="0.2">
      <c r="A881" s="19" t="s">
        <v>2</v>
      </c>
      <c r="B881" s="41">
        <v>43635</v>
      </c>
      <c r="C881" s="11">
        <v>8</v>
      </c>
      <c r="D881" s="12" t="s">
        <v>7</v>
      </c>
      <c r="E881" s="10">
        <v>43627</v>
      </c>
      <c r="F881" s="8" t="s">
        <v>263</v>
      </c>
      <c r="G881" s="19"/>
      <c r="H881" s="18">
        <f ca="1">ROUNDDOWN(表3[[#This Row],[日期]]-TODAY(),1)</f>
        <v>-15</v>
      </c>
    </row>
    <row r="882" spans="1:8" hidden="1" x14ac:dyDescent="0.2">
      <c r="A882" s="19" t="s">
        <v>2</v>
      </c>
      <c r="B882" s="41">
        <v>43635</v>
      </c>
      <c r="C882" s="11">
        <v>9</v>
      </c>
      <c r="D882" s="12" t="s">
        <v>9</v>
      </c>
      <c r="E882" s="10">
        <v>43627</v>
      </c>
      <c r="F882" s="8" t="s">
        <v>263</v>
      </c>
      <c r="G882" s="19"/>
      <c r="H882" s="18">
        <f ca="1">ROUNDDOWN(表3[[#This Row],[日期]]-TODAY(),1)</f>
        <v>-15</v>
      </c>
    </row>
    <row r="883" spans="1:8" hidden="1" x14ac:dyDescent="0.2">
      <c r="A883" s="19" t="s">
        <v>2</v>
      </c>
      <c r="B883" s="41">
        <v>43635</v>
      </c>
      <c r="C883" s="11">
        <v>10</v>
      </c>
      <c r="D883" s="12" t="s">
        <v>11</v>
      </c>
      <c r="E883" s="10">
        <v>43628</v>
      </c>
      <c r="F883" s="8" t="s">
        <v>263</v>
      </c>
      <c r="G883" s="19" t="s">
        <v>32</v>
      </c>
      <c r="H883" s="18">
        <f ca="1">ROUNDDOWN(表3[[#This Row],[日期]]-TODAY(),1)</f>
        <v>-14</v>
      </c>
    </row>
    <row r="884" spans="1:8" hidden="1" x14ac:dyDescent="0.2">
      <c r="A884" s="19" t="s">
        <v>2</v>
      </c>
      <c r="B884" s="41">
        <v>43635</v>
      </c>
      <c r="C884" s="11">
        <v>11</v>
      </c>
      <c r="D884" s="12" t="s">
        <v>58</v>
      </c>
      <c r="E884" s="10">
        <v>43628</v>
      </c>
      <c r="F884" s="8" t="s">
        <v>263</v>
      </c>
      <c r="G884" s="19"/>
      <c r="H884" s="18">
        <f ca="1">ROUNDDOWN(表3[[#This Row],[日期]]-TODAY(),1)</f>
        <v>-14</v>
      </c>
    </row>
    <row r="885" spans="1:8" hidden="1" x14ac:dyDescent="0.2">
      <c r="A885" s="19" t="s">
        <v>2</v>
      </c>
      <c r="B885" s="41">
        <v>43635</v>
      </c>
      <c r="C885" s="11">
        <v>12</v>
      </c>
      <c r="D885" s="12" t="s">
        <v>524</v>
      </c>
      <c r="E885" s="10">
        <v>43629</v>
      </c>
      <c r="F885" s="8" t="s">
        <v>263</v>
      </c>
      <c r="G885" s="19" t="s">
        <v>34</v>
      </c>
      <c r="H885" s="18">
        <f ca="1">ROUNDDOWN(表3[[#This Row],[日期]]-TODAY(),1)</f>
        <v>-13</v>
      </c>
    </row>
    <row r="886" spans="1:8" hidden="1" x14ac:dyDescent="0.2">
      <c r="A886" s="19" t="s">
        <v>2</v>
      </c>
      <c r="B886" s="41">
        <v>43635</v>
      </c>
      <c r="C886" s="11">
        <v>13</v>
      </c>
      <c r="D886" s="12" t="s">
        <v>724</v>
      </c>
      <c r="E886" s="10">
        <v>43629</v>
      </c>
      <c r="F886" s="8" t="s">
        <v>263</v>
      </c>
      <c r="G886" s="19"/>
      <c r="H886" s="18">
        <f ca="1">ROUNDDOWN(表3[[#This Row],[日期]]-TODAY(),1)</f>
        <v>-13</v>
      </c>
    </row>
    <row r="887" spans="1:8" hidden="1" x14ac:dyDescent="0.2">
      <c r="A887" s="19" t="s">
        <v>2</v>
      </c>
      <c r="B887" s="41">
        <v>43635</v>
      </c>
      <c r="C887" s="11">
        <v>14</v>
      </c>
      <c r="D887" s="12" t="s">
        <v>23</v>
      </c>
      <c r="E887" s="10">
        <v>43629</v>
      </c>
      <c r="F887" s="8" t="s">
        <v>263</v>
      </c>
      <c r="G887" s="19"/>
      <c r="H887" s="18">
        <f ca="1">ROUNDDOWN(表3[[#This Row],[日期]]-TODAY(),1)</f>
        <v>-13</v>
      </c>
    </row>
    <row r="888" spans="1:8" hidden="1" x14ac:dyDescent="0.2">
      <c r="A888" s="19" t="s">
        <v>2</v>
      </c>
      <c r="B888" s="41">
        <v>43635</v>
      </c>
      <c r="C888" s="11">
        <v>15</v>
      </c>
      <c r="D888" s="12" t="s">
        <v>25</v>
      </c>
      <c r="E888" s="10">
        <v>43629</v>
      </c>
      <c r="F888" s="8" t="s">
        <v>263</v>
      </c>
      <c r="G888" s="19"/>
      <c r="H888" s="18">
        <f ca="1">ROUNDDOWN(表3[[#This Row],[日期]]-TODAY(),1)</f>
        <v>-13</v>
      </c>
    </row>
    <row r="889" spans="1:8" hidden="1" x14ac:dyDescent="0.2">
      <c r="A889" s="19" t="s">
        <v>2</v>
      </c>
      <c r="B889" s="41">
        <v>43635</v>
      </c>
      <c r="C889" s="11">
        <v>16</v>
      </c>
      <c r="D889" s="12" t="s">
        <v>13</v>
      </c>
      <c r="E889" s="10">
        <v>43629</v>
      </c>
      <c r="F889" s="8" t="s">
        <v>263</v>
      </c>
      <c r="G889" s="19"/>
      <c r="H889" s="18">
        <f ca="1">ROUNDDOWN(表3[[#This Row],[日期]]-TODAY(),1)</f>
        <v>-13</v>
      </c>
    </row>
    <row r="890" spans="1:8" hidden="1" x14ac:dyDescent="0.2">
      <c r="A890" s="19" t="s">
        <v>2</v>
      </c>
      <c r="B890" s="41">
        <v>43635</v>
      </c>
      <c r="C890" s="11">
        <v>17</v>
      </c>
      <c r="D890" s="12" t="s">
        <v>15</v>
      </c>
      <c r="E890" s="10">
        <v>43629</v>
      </c>
      <c r="F890" s="8" t="s">
        <v>263</v>
      </c>
      <c r="G890" s="19"/>
      <c r="H890" s="18">
        <f ca="1">ROUNDDOWN(表3[[#This Row],[日期]]-TODAY(),1)</f>
        <v>-13</v>
      </c>
    </row>
    <row r="891" spans="1:8" hidden="1" x14ac:dyDescent="0.2">
      <c r="A891" s="22" t="s">
        <v>2</v>
      </c>
      <c r="B891" s="43">
        <v>43635</v>
      </c>
      <c r="C891" s="23">
        <v>18</v>
      </c>
      <c r="D891" s="24" t="s">
        <v>17</v>
      </c>
      <c r="E891" s="25">
        <v>43629</v>
      </c>
      <c r="F891" s="26" t="s">
        <v>263</v>
      </c>
      <c r="G891" s="22"/>
      <c r="H891" s="21">
        <f ca="1">ROUNDDOWN(表3[[#This Row],[日期]]-TODAY(),1)</f>
        <v>-13</v>
      </c>
    </row>
    <row r="892" spans="1:8" hidden="1" x14ac:dyDescent="0.2">
      <c r="A892" s="19" t="s">
        <v>2</v>
      </c>
      <c r="B892" s="41">
        <v>43635</v>
      </c>
      <c r="C892" s="11">
        <v>19</v>
      </c>
      <c r="D892" s="12" t="s">
        <v>56</v>
      </c>
      <c r="E892" s="10">
        <v>43629</v>
      </c>
      <c r="F892" s="8" t="s">
        <v>263</v>
      </c>
      <c r="G892" s="19"/>
      <c r="H892" s="18">
        <f ca="1">ROUNDDOWN(表3[[#This Row],[日期]]-TODAY(),1)</f>
        <v>-13</v>
      </c>
    </row>
    <row r="893" spans="1:8" hidden="1" x14ac:dyDescent="0.2">
      <c r="A893" s="19" t="s">
        <v>2</v>
      </c>
      <c r="B893" s="41">
        <v>43635</v>
      </c>
      <c r="C893" s="11">
        <v>20</v>
      </c>
      <c r="D893" s="12" t="s">
        <v>525</v>
      </c>
      <c r="E893" s="10">
        <v>43630</v>
      </c>
      <c r="F893" s="8" t="s">
        <v>263</v>
      </c>
      <c r="G893" s="19" t="s">
        <v>36</v>
      </c>
      <c r="H893" s="18">
        <f ca="1">ROUNDDOWN(表3[[#This Row],[日期]]-TODAY(),1)</f>
        <v>-12</v>
      </c>
    </row>
    <row r="894" spans="1:8" hidden="1" x14ac:dyDescent="0.2">
      <c r="A894" s="19" t="s">
        <v>2</v>
      </c>
      <c r="B894" s="41">
        <v>43635</v>
      </c>
      <c r="C894" s="11">
        <v>21</v>
      </c>
      <c r="D894" s="12" t="s">
        <v>38</v>
      </c>
      <c r="E894" s="10">
        <v>43630</v>
      </c>
      <c r="F894" s="8" t="s">
        <v>263</v>
      </c>
      <c r="G894" s="19"/>
      <c r="H894" s="18">
        <f ca="1">ROUNDDOWN(表3[[#This Row],[日期]]-TODAY(),1)</f>
        <v>-12</v>
      </c>
    </row>
    <row r="895" spans="1:8" hidden="1" x14ac:dyDescent="0.2">
      <c r="A895" s="19" t="s">
        <v>2</v>
      </c>
      <c r="B895" s="41">
        <v>43635</v>
      </c>
      <c r="C895" s="11">
        <v>22</v>
      </c>
      <c r="D895" s="12" t="s">
        <v>41</v>
      </c>
      <c r="E895" s="10">
        <v>43630</v>
      </c>
      <c r="F895" s="8" t="s">
        <v>263</v>
      </c>
      <c r="G895" s="19"/>
      <c r="H895" s="18">
        <f ca="1">ROUNDDOWN(表3[[#This Row],[日期]]-TODAY(),1)</f>
        <v>-12</v>
      </c>
    </row>
    <row r="896" spans="1:8" hidden="1" x14ac:dyDescent="0.2">
      <c r="A896" s="19" t="s">
        <v>2</v>
      </c>
      <c r="B896" s="41">
        <v>43635</v>
      </c>
      <c r="C896" s="11">
        <v>23</v>
      </c>
      <c r="D896" s="12" t="s">
        <v>508</v>
      </c>
      <c r="E896" s="10">
        <v>43630</v>
      </c>
      <c r="F896" s="8" t="s">
        <v>263</v>
      </c>
      <c r="G896" s="19" t="s">
        <v>43</v>
      </c>
      <c r="H896" s="18">
        <f ca="1">ROUNDDOWN(表3[[#This Row],[日期]]-TODAY(),1)</f>
        <v>-12</v>
      </c>
    </row>
    <row r="897" spans="1:8" hidden="1" x14ac:dyDescent="0.2">
      <c r="A897" s="19" t="s">
        <v>2</v>
      </c>
      <c r="B897" s="41">
        <v>43635</v>
      </c>
      <c r="C897" s="11">
        <v>24</v>
      </c>
      <c r="D897" s="12" t="s">
        <v>225</v>
      </c>
      <c r="E897" s="10">
        <v>43630</v>
      </c>
      <c r="F897" s="8" t="s">
        <v>263</v>
      </c>
      <c r="G897" s="19" t="s">
        <v>200</v>
      </c>
      <c r="H897" s="18">
        <f ca="1">ROUNDDOWN(表3[[#This Row],[日期]]-TODAY(),1)</f>
        <v>-12</v>
      </c>
    </row>
    <row r="898" spans="1:8" hidden="1" x14ac:dyDescent="0.2">
      <c r="A898" s="19" t="s">
        <v>2</v>
      </c>
      <c r="B898" s="41">
        <v>43635</v>
      </c>
      <c r="C898" s="11">
        <v>25</v>
      </c>
      <c r="D898" s="12" t="s">
        <v>63</v>
      </c>
      <c r="E898" s="10">
        <v>43630</v>
      </c>
      <c r="F898" s="8" t="s">
        <v>263</v>
      </c>
      <c r="G898" s="19"/>
      <c r="H898" s="18">
        <f ca="1">ROUNDDOWN(表3[[#This Row],[日期]]-TODAY(),1)</f>
        <v>-12</v>
      </c>
    </row>
    <row r="899" spans="1:8" hidden="1" x14ac:dyDescent="0.2">
      <c r="A899" s="19" t="s">
        <v>2</v>
      </c>
      <c r="B899" s="41">
        <v>43635</v>
      </c>
      <c r="C899" s="11">
        <v>26</v>
      </c>
      <c r="D899" s="12" t="s">
        <v>876</v>
      </c>
      <c r="E899" s="10">
        <v>43630</v>
      </c>
      <c r="F899" s="8" t="s">
        <v>263</v>
      </c>
      <c r="G899" s="19"/>
      <c r="H899" s="18">
        <f ca="1">ROUNDDOWN(表3[[#This Row],[日期]]-TODAY(),1)</f>
        <v>-12</v>
      </c>
    </row>
    <row r="900" spans="1:8" hidden="1" x14ac:dyDescent="0.2">
      <c r="A900" s="19" t="s">
        <v>2</v>
      </c>
      <c r="B900" s="41">
        <v>43635</v>
      </c>
      <c r="C900" s="11">
        <v>27</v>
      </c>
      <c r="D900" s="12" t="s">
        <v>81</v>
      </c>
      <c r="E900" s="10">
        <v>43630</v>
      </c>
      <c r="F900" s="8" t="s">
        <v>263</v>
      </c>
      <c r="G900" s="19"/>
      <c r="H900" s="18">
        <f ca="1">ROUNDDOWN(表3[[#This Row],[日期]]-TODAY(),1)</f>
        <v>-12</v>
      </c>
    </row>
    <row r="901" spans="1:8" hidden="1" x14ac:dyDescent="0.2">
      <c r="A901" s="19" t="s">
        <v>2</v>
      </c>
      <c r="B901" s="41">
        <v>43635</v>
      </c>
      <c r="C901" s="11">
        <v>28</v>
      </c>
      <c r="D901" s="12" t="s">
        <v>77</v>
      </c>
      <c r="E901" s="10">
        <v>43630</v>
      </c>
      <c r="F901" s="8" t="s">
        <v>263</v>
      </c>
      <c r="G901" s="19"/>
      <c r="H901" s="18">
        <f ca="1">ROUNDDOWN(表3[[#This Row],[日期]]-TODAY(),1)</f>
        <v>-12</v>
      </c>
    </row>
    <row r="902" spans="1:8" hidden="1" x14ac:dyDescent="0.2">
      <c r="A902" s="19" t="s">
        <v>2</v>
      </c>
      <c r="B902" s="41">
        <v>43635</v>
      </c>
      <c r="C902" s="11">
        <v>29</v>
      </c>
      <c r="D902" s="12" t="s">
        <v>79</v>
      </c>
      <c r="E902" s="10">
        <v>43630</v>
      </c>
      <c r="F902" s="8" t="s">
        <v>263</v>
      </c>
      <c r="G902" s="19"/>
      <c r="H902" s="18">
        <f ca="1">ROUNDDOWN(表3[[#This Row],[日期]]-TODAY(),1)</f>
        <v>-12</v>
      </c>
    </row>
    <row r="903" spans="1:8" hidden="1" x14ac:dyDescent="0.2">
      <c r="A903" s="19" t="s">
        <v>2</v>
      </c>
      <c r="B903" s="41">
        <v>43635</v>
      </c>
      <c r="C903" s="11">
        <v>31</v>
      </c>
      <c r="D903" s="12" t="s">
        <v>49</v>
      </c>
      <c r="E903" s="10">
        <v>43630</v>
      </c>
      <c r="F903" s="8" t="s">
        <v>263</v>
      </c>
      <c r="G903" s="19" t="s">
        <v>43</v>
      </c>
      <c r="H903" s="18">
        <f ca="1">ROUNDDOWN(表3[[#This Row],[日期]]-TODAY(),1)</f>
        <v>-12</v>
      </c>
    </row>
    <row r="904" spans="1:8" hidden="1" x14ac:dyDescent="0.2">
      <c r="A904" s="19" t="s">
        <v>2</v>
      </c>
      <c r="B904" s="41">
        <v>43635</v>
      </c>
      <c r="C904" s="11">
        <v>32</v>
      </c>
      <c r="D904" s="12" t="s">
        <v>54</v>
      </c>
      <c r="E904" s="10">
        <v>43630</v>
      </c>
      <c r="F904" s="8" t="s">
        <v>263</v>
      </c>
      <c r="G904" s="19"/>
      <c r="H904" s="18">
        <f ca="1">ROUNDDOWN(表3[[#This Row],[日期]]-TODAY(),1)</f>
        <v>-12</v>
      </c>
    </row>
    <row r="905" spans="1:8" hidden="1" x14ac:dyDescent="0.2">
      <c r="A905" s="19" t="s">
        <v>2</v>
      </c>
      <c r="B905" s="41">
        <v>43635</v>
      </c>
      <c r="C905" s="11">
        <v>33</v>
      </c>
      <c r="D905" s="12" t="s">
        <v>69</v>
      </c>
      <c r="E905" s="10">
        <v>43630</v>
      </c>
      <c r="F905" s="8" t="s">
        <v>263</v>
      </c>
      <c r="G905" s="19" t="s">
        <v>66</v>
      </c>
      <c r="H905" s="18">
        <f ca="1">ROUNDDOWN(表3[[#This Row],[日期]]-TODAY(),1)</f>
        <v>-12</v>
      </c>
    </row>
    <row r="906" spans="1:8" hidden="1" x14ac:dyDescent="0.2">
      <c r="A906" s="19" t="s">
        <v>2</v>
      </c>
      <c r="B906" s="41">
        <v>43635</v>
      </c>
      <c r="C906" s="11">
        <v>34</v>
      </c>
      <c r="D906" s="12" t="s">
        <v>64</v>
      </c>
      <c r="E906" s="10">
        <v>43630</v>
      </c>
      <c r="F906" s="8" t="s">
        <v>263</v>
      </c>
      <c r="G906" s="19"/>
      <c r="H906" s="18">
        <f ca="1">ROUNDDOWN(表3[[#This Row],[日期]]-TODAY(),1)</f>
        <v>-12</v>
      </c>
    </row>
    <row r="907" spans="1:8" hidden="1" x14ac:dyDescent="0.2">
      <c r="A907" s="19" t="s">
        <v>2</v>
      </c>
      <c r="B907" s="41">
        <v>43635</v>
      </c>
      <c r="C907" s="11">
        <v>35</v>
      </c>
      <c r="D907" s="12" t="s">
        <v>526</v>
      </c>
      <c r="E907" s="10">
        <v>43630</v>
      </c>
      <c r="F907" s="8" t="s">
        <v>263</v>
      </c>
      <c r="G907" s="19" t="s">
        <v>32</v>
      </c>
      <c r="H907" s="18">
        <f ca="1">ROUNDDOWN(表3[[#This Row],[日期]]-TODAY(),1)</f>
        <v>-12</v>
      </c>
    </row>
    <row r="908" spans="1:8" hidden="1" x14ac:dyDescent="0.2">
      <c r="A908" s="19" t="s">
        <v>2</v>
      </c>
      <c r="B908" s="41">
        <v>43635</v>
      </c>
      <c r="C908" s="11">
        <v>36</v>
      </c>
      <c r="D908" s="12" t="s">
        <v>527</v>
      </c>
      <c r="E908" s="10">
        <v>43630</v>
      </c>
      <c r="F908" s="8" t="s">
        <v>263</v>
      </c>
      <c r="G908" s="19" t="s">
        <v>43</v>
      </c>
      <c r="H908" s="18">
        <f ca="1">ROUNDDOWN(表3[[#This Row],[日期]]-TODAY(),1)</f>
        <v>-12</v>
      </c>
    </row>
    <row r="909" spans="1:8" hidden="1" x14ac:dyDescent="0.2">
      <c r="A909" s="19" t="s">
        <v>2</v>
      </c>
      <c r="B909" s="41">
        <v>43635</v>
      </c>
      <c r="C909" s="11">
        <v>37</v>
      </c>
      <c r="D909" s="12" t="s">
        <v>75</v>
      </c>
      <c r="E909" s="10">
        <v>43630</v>
      </c>
      <c r="F909" s="8" t="s">
        <v>263</v>
      </c>
      <c r="G909" s="19"/>
      <c r="H909" s="18">
        <f ca="1">ROUNDDOWN(表3[[#This Row],[日期]]-TODAY(),1)</f>
        <v>-12</v>
      </c>
    </row>
    <row r="910" spans="1:8" hidden="1" x14ac:dyDescent="0.2">
      <c r="A910" s="22" t="s">
        <v>2</v>
      </c>
      <c r="B910" s="43">
        <v>43635</v>
      </c>
      <c r="C910" s="23">
        <v>38</v>
      </c>
      <c r="D910" s="24" t="s">
        <v>83</v>
      </c>
      <c r="E910" s="25">
        <v>43633</v>
      </c>
      <c r="F910" s="26" t="s">
        <v>263</v>
      </c>
      <c r="G910" s="22"/>
      <c r="H910" s="21">
        <f ca="1">ROUNDDOWN(表3[[#This Row],[日期]]-TODAY(),1)</f>
        <v>-9</v>
      </c>
    </row>
    <row r="911" spans="1:8" hidden="1" x14ac:dyDescent="0.2">
      <c r="A911" s="22" t="s">
        <v>2</v>
      </c>
      <c r="B911" s="43">
        <v>43635</v>
      </c>
      <c r="C911" s="23">
        <v>39</v>
      </c>
      <c r="D911" s="24" t="s">
        <v>85</v>
      </c>
      <c r="E911" s="25">
        <v>43633</v>
      </c>
      <c r="F911" s="26" t="s">
        <v>263</v>
      </c>
      <c r="G911" s="22"/>
      <c r="H911" s="21">
        <f ca="1">ROUNDDOWN(表3[[#This Row],[日期]]-TODAY(),1)</f>
        <v>-9</v>
      </c>
    </row>
    <row r="912" spans="1:8" hidden="1" x14ac:dyDescent="0.2">
      <c r="A912" s="19" t="s">
        <v>2</v>
      </c>
      <c r="B912" s="41">
        <v>43635</v>
      </c>
      <c r="C912" s="11">
        <v>40</v>
      </c>
      <c r="D912" s="12" t="s">
        <v>172</v>
      </c>
      <c r="E912" s="10">
        <v>43633</v>
      </c>
      <c r="F912" s="8" t="s">
        <v>263</v>
      </c>
      <c r="G912" s="19"/>
      <c r="H912" s="18">
        <f ca="1">ROUNDDOWN(表3[[#This Row],[日期]]-TODAY(),1)</f>
        <v>-9</v>
      </c>
    </row>
    <row r="913" spans="1:8" hidden="1" x14ac:dyDescent="0.2">
      <c r="A913" s="19" t="s">
        <v>2</v>
      </c>
      <c r="B913" s="41">
        <v>43635</v>
      </c>
      <c r="C913" s="11">
        <v>41</v>
      </c>
      <c r="D913" s="12" t="s">
        <v>71</v>
      </c>
      <c r="E913" s="10">
        <v>43633</v>
      </c>
      <c r="F913" s="8" t="s">
        <v>263</v>
      </c>
      <c r="G913" s="19" t="s">
        <v>73</v>
      </c>
      <c r="H913" s="18">
        <f ca="1">ROUNDDOWN(表3[[#This Row],[日期]]-TODAY(),1)</f>
        <v>-9</v>
      </c>
    </row>
    <row r="914" spans="1:8" hidden="1" x14ac:dyDescent="0.2">
      <c r="A914" s="19" t="s">
        <v>2</v>
      </c>
      <c r="B914" s="41">
        <v>43635</v>
      </c>
      <c r="C914" s="11">
        <v>42</v>
      </c>
      <c r="D914" s="12" t="s">
        <v>87</v>
      </c>
      <c r="E914" s="10">
        <v>43633</v>
      </c>
      <c r="F914" s="8" t="s">
        <v>263</v>
      </c>
      <c r="G914" s="19"/>
      <c r="H914" s="18">
        <f ca="1">ROUNDDOWN(表3[[#This Row],[日期]]-TODAY(),1)</f>
        <v>-9</v>
      </c>
    </row>
    <row r="915" spans="1:8" hidden="1" x14ac:dyDescent="0.2">
      <c r="A915" s="19" t="s">
        <v>2</v>
      </c>
      <c r="B915" s="41">
        <v>43635</v>
      </c>
      <c r="C915" s="11">
        <v>43</v>
      </c>
      <c r="D915" s="12" t="s">
        <v>89</v>
      </c>
      <c r="E915" s="10">
        <v>43634</v>
      </c>
      <c r="F915" s="8" t="s">
        <v>263</v>
      </c>
      <c r="G915" s="19"/>
      <c r="H915" s="18">
        <f ca="1">ROUNDDOWN(表3[[#This Row],[日期]]-TODAY(),1)</f>
        <v>-8</v>
      </c>
    </row>
    <row r="916" spans="1:8" hidden="1" x14ac:dyDescent="0.2">
      <c r="A916" s="19" t="s">
        <v>2</v>
      </c>
      <c r="B916" s="41">
        <v>43635</v>
      </c>
      <c r="C916" s="11">
        <v>44</v>
      </c>
      <c r="D916" s="12" t="s">
        <v>91</v>
      </c>
      <c r="E916" s="10">
        <v>43635</v>
      </c>
      <c r="F916" s="8" t="s">
        <v>263</v>
      </c>
      <c r="G916" s="19"/>
      <c r="H916" s="18">
        <f ca="1">ROUNDDOWN(表3[[#This Row],[日期]]-TODAY(),1)</f>
        <v>-7</v>
      </c>
    </row>
    <row r="917" spans="1:8" hidden="1" x14ac:dyDescent="0.2">
      <c r="A917" s="19" t="s">
        <v>2</v>
      </c>
      <c r="B917" s="41">
        <v>43635</v>
      </c>
      <c r="C917" s="11">
        <v>45</v>
      </c>
      <c r="D917" s="12" t="s">
        <v>1119</v>
      </c>
      <c r="E917" s="10">
        <v>43635</v>
      </c>
      <c r="F917" s="8" t="s">
        <v>263</v>
      </c>
      <c r="G917" s="19"/>
      <c r="H917" s="18">
        <f ca="1">ROUNDDOWN(表3[[#This Row],[日期]]-TODAY(),1)</f>
        <v>-7</v>
      </c>
    </row>
    <row r="918" spans="1:8" hidden="1" x14ac:dyDescent="0.2">
      <c r="A918" s="19" t="s">
        <v>2</v>
      </c>
      <c r="B918" s="41">
        <v>43635</v>
      </c>
      <c r="C918" s="11">
        <v>46</v>
      </c>
      <c r="D918" s="12" t="s">
        <v>331</v>
      </c>
      <c r="E918" s="10">
        <v>43637</v>
      </c>
      <c r="F918" s="8" t="s">
        <v>263</v>
      </c>
      <c r="G918" s="19"/>
      <c r="H918" s="18">
        <f ca="1">ROUNDDOWN(表3[[#This Row],[日期]]-TODAY(),1)</f>
        <v>-5</v>
      </c>
    </row>
    <row r="919" spans="1:8" hidden="1" x14ac:dyDescent="0.2">
      <c r="A919" s="19" t="s">
        <v>2</v>
      </c>
      <c r="B919" s="41">
        <v>43635</v>
      </c>
      <c r="C919" s="11">
        <v>47</v>
      </c>
      <c r="D919" s="12" t="s">
        <v>95</v>
      </c>
      <c r="E919" s="10">
        <v>43637</v>
      </c>
      <c r="F919" s="8" t="s">
        <v>263</v>
      </c>
      <c r="G919" s="19" t="s">
        <v>132</v>
      </c>
      <c r="H919" s="18">
        <f ca="1">ROUNDDOWN(表3[[#This Row],[日期]]-TODAY(),1)</f>
        <v>-5</v>
      </c>
    </row>
    <row r="920" spans="1:8" hidden="1" x14ac:dyDescent="0.2">
      <c r="A920" s="19" t="s">
        <v>649</v>
      </c>
      <c r="B920" s="41">
        <v>43635</v>
      </c>
      <c r="C920" s="11">
        <v>1</v>
      </c>
      <c r="D920" s="12" t="s">
        <v>421</v>
      </c>
      <c r="E920" s="10">
        <v>43622</v>
      </c>
      <c r="F920" s="8" t="s">
        <v>653</v>
      </c>
      <c r="G920" s="19"/>
      <c r="H920" s="18">
        <f ca="1">ROUNDDOWN(表3[[#This Row],[日期]]-TODAY(),1)</f>
        <v>-20</v>
      </c>
    </row>
    <row r="921" spans="1:8" hidden="1" x14ac:dyDescent="0.2">
      <c r="A921" s="19" t="s">
        <v>650</v>
      </c>
      <c r="B921" s="41">
        <v>43635</v>
      </c>
      <c r="C921" s="11">
        <v>2</v>
      </c>
      <c r="D921" s="12" t="s">
        <v>422</v>
      </c>
      <c r="E921" s="10">
        <v>43622</v>
      </c>
      <c r="F921" s="8" t="s">
        <v>263</v>
      </c>
      <c r="G921" s="19"/>
      <c r="H921" s="18">
        <f ca="1">ROUNDDOWN(表3[[#This Row],[日期]]-TODAY(),1)</f>
        <v>-20</v>
      </c>
    </row>
    <row r="922" spans="1:8" hidden="1" x14ac:dyDescent="0.2">
      <c r="A922" s="19" t="s">
        <v>651</v>
      </c>
      <c r="B922" s="41">
        <v>43635</v>
      </c>
      <c r="C922" s="11">
        <v>3</v>
      </c>
      <c r="D922" s="12" t="s">
        <v>21</v>
      </c>
      <c r="E922" s="10">
        <v>43626</v>
      </c>
      <c r="F922" s="8" t="s">
        <v>263</v>
      </c>
      <c r="G922" s="19"/>
      <c r="H922" s="18">
        <f ca="1">ROUNDDOWN(表3[[#This Row],[日期]]-TODAY(),1)</f>
        <v>-16</v>
      </c>
    </row>
    <row r="923" spans="1:8" hidden="1" x14ac:dyDescent="0.2">
      <c r="A923" s="19" t="s">
        <v>650</v>
      </c>
      <c r="B923" s="41">
        <v>43635</v>
      </c>
      <c r="C923" s="11">
        <v>4</v>
      </c>
      <c r="D923" s="12" t="s">
        <v>149</v>
      </c>
      <c r="E923" s="10">
        <v>43629</v>
      </c>
      <c r="F923" s="8" t="s">
        <v>263</v>
      </c>
      <c r="G923" s="19" t="s">
        <v>137</v>
      </c>
      <c r="H923" s="18">
        <f ca="1">ROUNDDOWN(表3[[#This Row],[日期]]-TODAY(),1)</f>
        <v>-13</v>
      </c>
    </row>
    <row r="924" spans="1:8" hidden="1" x14ac:dyDescent="0.2">
      <c r="A924" s="19" t="s">
        <v>652</v>
      </c>
      <c r="B924" s="41">
        <v>43635</v>
      </c>
      <c r="C924" s="11">
        <v>5</v>
      </c>
      <c r="D924" s="12" t="s">
        <v>140</v>
      </c>
      <c r="E924" s="10">
        <v>43629</v>
      </c>
      <c r="F924" s="8" t="s">
        <v>263</v>
      </c>
      <c r="G924" s="19"/>
      <c r="H924" s="18">
        <f ca="1">ROUNDDOWN(表3[[#This Row],[日期]]-TODAY(),1)</f>
        <v>-13</v>
      </c>
    </row>
    <row r="925" spans="1:8" hidden="1" x14ac:dyDescent="0.2">
      <c r="A925" s="19" t="s">
        <v>651</v>
      </c>
      <c r="B925" s="41">
        <v>43635</v>
      </c>
      <c r="C925" s="11">
        <v>6</v>
      </c>
      <c r="D925" s="12" t="s">
        <v>566</v>
      </c>
      <c r="E925" s="10">
        <v>43629</v>
      </c>
      <c r="F925" s="8" t="s">
        <v>263</v>
      </c>
      <c r="G925" s="19"/>
      <c r="H925" s="18">
        <f ca="1">ROUNDDOWN(表3[[#This Row],[日期]]-TODAY(),1)</f>
        <v>-13</v>
      </c>
    </row>
    <row r="926" spans="1:8" hidden="1" x14ac:dyDescent="0.2">
      <c r="A926" s="19" t="s">
        <v>650</v>
      </c>
      <c r="B926" s="41">
        <v>43635</v>
      </c>
      <c r="C926" s="11">
        <v>7</v>
      </c>
      <c r="D926" s="12" t="s">
        <v>333</v>
      </c>
      <c r="E926" s="10">
        <v>43629</v>
      </c>
      <c r="F926" s="8" t="s">
        <v>263</v>
      </c>
      <c r="G926" s="19" t="s">
        <v>143</v>
      </c>
      <c r="H926" s="18">
        <f ca="1">ROUNDDOWN(表3[[#This Row],[日期]]-TODAY(),1)</f>
        <v>-13</v>
      </c>
    </row>
    <row r="927" spans="1:8" hidden="1" x14ac:dyDescent="0.2">
      <c r="A927" s="19" t="s">
        <v>650</v>
      </c>
      <c r="B927" s="41">
        <v>43635</v>
      </c>
      <c r="C927" s="11">
        <v>8</v>
      </c>
      <c r="D927" s="12" t="s">
        <v>486</v>
      </c>
      <c r="E927" s="10">
        <v>43629</v>
      </c>
      <c r="F927" s="8" t="s">
        <v>263</v>
      </c>
      <c r="G927" s="19"/>
      <c r="H927" s="18">
        <f ca="1">ROUNDDOWN(表3[[#This Row],[日期]]-TODAY(),1)</f>
        <v>-13</v>
      </c>
    </row>
    <row r="928" spans="1:8" hidden="1" x14ac:dyDescent="0.2">
      <c r="A928" s="19" t="s">
        <v>650</v>
      </c>
      <c r="B928" s="41">
        <v>43635</v>
      </c>
      <c r="C928" s="11">
        <v>9</v>
      </c>
      <c r="D928" s="12" t="s">
        <v>965</v>
      </c>
      <c r="E928" s="10">
        <v>43630</v>
      </c>
      <c r="F928" s="8" t="s">
        <v>263</v>
      </c>
      <c r="G928" s="19" t="s">
        <v>153</v>
      </c>
      <c r="H928" s="18">
        <f ca="1">ROUNDDOWN(表3[[#This Row],[日期]]-TODAY(),1)</f>
        <v>-12</v>
      </c>
    </row>
    <row r="929" spans="1:8" hidden="1" x14ac:dyDescent="0.2">
      <c r="A929" s="19" t="s">
        <v>650</v>
      </c>
      <c r="B929" s="41">
        <v>43635</v>
      </c>
      <c r="C929" s="11">
        <v>10</v>
      </c>
      <c r="D929" s="12" t="s">
        <v>215</v>
      </c>
      <c r="E929" s="10">
        <v>43630</v>
      </c>
      <c r="F929" s="8" t="s">
        <v>263</v>
      </c>
      <c r="G929" s="19"/>
      <c r="H929" s="18">
        <f ca="1">ROUNDDOWN(表3[[#This Row],[日期]]-TODAY(),1)</f>
        <v>-12</v>
      </c>
    </row>
    <row r="930" spans="1:8" hidden="1" x14ac:dyDescent="0.2">
      <c r="A930" s="19" t="s">
        <v>649</v>
      </c>
      <c r="B930" s="41">
        <v>43635</v>
      </c>
      <c r="C930" s="11">
        <v>11</v>
      </c>
      <c r="D930" s="12" t="s">
        <v>338</v>
      </c>
      <c r="E930" s="10">
        <v>43630</v>
      </c>
      <c r="F930" s="8" t="s">
        <v>263</v>
      </c>
      <c r="G930" s="19" t="s">
        <v>336</v>
      </c>
      <c r="H930" s="18">
        <f ca="1">ROUNDDOWN(表3[[#This Row],[日期]]-TODAY(),1)</f>
        <v>-12</v>
      </c>
    </row>
    <row r="931" spans="1:8" hidden="1" x14ac:dyDescent="0.2">
      <c r="A931" s="19" t="s">
        <v>650</v>
      </c>
      <c r="B931" s="41">
        <v>43635</v>
      </c>
      <c r="C931" s="11">
        <v>12</v>
      </c>
      <c r="D931" s="12" t="s">
        <v>339</v>
      </c>
      <c r="E931" s="10">
        <v>43630</v>
      </c>
      <c r="F931" s="8" t="s">
        <v>263</v>
      </c>
      <c r="G931" s="19" t="s">
        <v>336</v>
      </c>
      <c r="H931" s="18">
        <f ca="1">ROUNDDOWN(表3[[#This Row],[日期]]-TODAY(),1)</f>
        <v>-12</v>
      </c>
    </row>
    <row r="932" spans="1:8" hidden="1" x14ac:dyDescent="0.2">
      <c r="A932" s="19" t="s">
        <v>650</v>
      </c>
      <c r="B932" s="41">
        <v>43635</v>
      </c>
      <c r="C932" s="11">
        <v>13</v>
      </c>
      <c r="D932" s="12" t="s">
        <v>335</v>
      </c>
      <c r="E932" s="10">
        <v>43630</v>
      </c>
      <c r="F932" s="8" t="s">
        <v>263</v>
      </c>
      <c r="G932" s="19" t="s">
        <v>336</v>
      </c>
      <c r="H932" s="18">
        <f ca="1">ROUNDDOWN(表3[[#This Row],[日期]]-TODAY(),1)</f>
        <v>-12</v>
      </c>
    </row>
    <row r="933" spans="1:8" hidden="1" x14ac:dyDescent="0.2">
      <c r="A933" s="19" t="s">
        <v>651</v>
      </c>
      <c r="B933" s="41">
        <v>43635</v>
      </c>
      <c r="C933" s="11">
        <v>14</v>
      </c>
      <c r="D933" s="12" t="s">
        <v>337</v>
      </c>
      <c r="E933" s="10">
        <v>43631</v>
      </c>
      <c r="F933" s="8" t="s">
        <v>263</v>
      </c>
      <c r="G933" s="19" t="s">
        <v>336</v>
      </c>
      <c r="H933" s="18">
        <f ca="1">ROUNDDOWN(表3[[#This Row],[日期]]-TODAY(),1)</f>
        <v>-11</v>
      </c>
    </row>
    <row r="934" spans="1:8" hidden="1" x14ac:dyDescent="0.2">
      <c r="A934" s="19" t="s">
        <v>650</v>
      </c>
      <c r="B934" s="41">
        <v>43635</v>
      </c>
      <c r="C934" s="11">
        <v>15</v>
      </c>
      <c r="D934" s="12" t="s">
        <v>87</v>
      </c>
      <c r="E934" s="10">
        <v>43631</v>
      </c>
      <c r="F934" s="8" t="s">
        <v>263</v>
      </c>
      <c r="G934" s="19"/>
      <c r="H934" s="18">
        <f ca="1">ROUNDDOWN(表3[[#This Row],[日期]]-TODAY(),1)</f>
        <v>-11</v>
      </c>
    </row>
    <row r="935" spans="1:8" hidden="1" x14ac:dyDescent="0.2">
      <c r="A935" s="19" t="s">
        <v>650</v>
      </c>
      <c r="B935" s="41">
        <v>43635</v>
      </c>
      <c r="C935" s="11">
        <v>16</v>
      </c>
      <c r="D935" s="12" t="s">
        <v>89</v>
      </c>
      <c r="E935" s="10">
        <v>43633</v>
      </c>
      <c r="F935" s="8" t="s">
        <v>263</v>
      </c>
      <c r="G935" s="19"/>
      <c r="H935" s="18">
        <f ca="1">ROUNDDOWN(表3[[#This Row],[日期]]-TODAY(),1)</f>
        <v>-9</v>
      </c>
    </row>
    <row r="936" spans="1:8" hidden="1" x14ac:dyDescent="0.2">
      <c r="A936" s="19" t="s">
        <v>650</v>
      </c>
      <c r="B936" s="41">
        <v>43635</v>
      </c>
      <c r="C936" s="11">
        <v>17</v>
      </c>
      <c r="D936" s="12" t="s">
        <v>91</v>
      </c>
      <c r="E936" s="10">
        <v>43634</v>
      </c>
      <c r="F936" s="8" t="s">
        <v>263</v>
      </c>
      <c r="G936" s="19"/>
      <c r="H936" s="18">
        <f ca="1">ROUNDDOWN(表3[[#This Row],[日期]]-TODAY(),1)</f>
        <v>-8</v>
      </c>
    </row>
    <row r="937" spans="1:8" hidden="1" x14ac:dyDescent="0.2">
      <c r="A937" s="19" t="s">
        <v>651</v>
      </c>
      <c r="B937" s="41">
        <v>43635</v>
      </c>
      <c r="C937" s="11">
        <v>18</v>
      </c>
      <c r="D937" s="12" t="s">
        <v>1001</v>
      </c>
      <c r="E937" s="10">
        <v>43636</v>
      </c>
      <c r="F937" s="8" t="s">
        <v>263</v>
      </c>
      <c r="G937" s="19"/>
      <c r="H937" s="18">
        <f ca="1">ROUNDDOWN(表3[[#This Row],[日期]]-TODAY(),1)</f>
        <v>-6</v>
      </c>
    </row>
    <row r="938" spans="1:8" hidden="1" x14ac:dyDescent="0.2">
      <c r="A938" s="19" t="s">
        <v>650</v>
      </c>
      <c r="B938" s="41">
        <v>43635</v>
      </c>
      <c r="C938" s="11">
        <v>19</v>
      </c>
      <c r="D938" s="12" t="s">
        <v>259</v>
      </c>
      <c r="E938" s="10">
        <v>43635</v>
      </c>
      <c r="F938" s="8" t="s">
        <v>263</v>
      </c>
      <c r="G938" s="19"/>
      <c r="H938" s="18">
        <f ca="1">ROUNDDOWN(表3[[#This Row],[日期]]-TODAY(),1)</f>
        <v>-7</v>
      </c>
    </row>
    <row r="939" spans="1:8" hidden="1" x14ac:dyDescent="0.2">
      <c r="A939" s="19" t="s">
        <v>162</v>
      </c>
      <c r="B939" s="41">
        <v>43635</v>
      </c>
      <c r="C939" s="11">
        <v>1</v>
      </c>
      <c r="D939" s="12" t="s">
        <v>218</v>
      </c>
      <c r="E939" s="10">
        <v>43595</v>
      </c>
      <c r="F939" s="8" t="s">
        <v>207</v>
      </c>
      <c r="G939" s="19"/>
      <c r="H939" s="18">
        <f ca="1">ROUNDDOWN(表3[[#This Row],[日期]]-TODAY(),1)</f>
        <v>-47</v>
      </c>
    </row>
    <row r="940" spans="1:8" hidden="1" x14ac:dyDescent="0.2">
      <c r="A940" s="19" t="s">
        <v>162</v>
      </c>
      <c r="B940" s="41">
        <v>43635</v>
      </c>
      <c r="C940" s="11">
        <v>2</v>
      </c>
      <c r="D940" s="12" t="s">
        <v>219</v>
      </c>
      <c r="E940" s="10">
        <v>43595</v>
      </c>
      <c r="F940" s="8" t="s">
        <v>207</v>
      </c>
      <c r="G940" s="19"/>
      <c r="H940" s="18">
        <f ca="1">ROUNDDOWN(表3[[#This Row],[日期]]-TODAY(),1)</f>
        <v>-47</v>
      </c>
    </row>
    <row r="941" spans="1:8" hidden="1" x14ac:dyDescent="0.2">
      <c r="A941" s="19" t="s">
        <v>162</v>
      </c>
      <c r="B941" s="41">
        <v>43635</v>
      </c>
      <c r="C941" s="11">
        <v>3</v>
      </c>
      <c r="D941" s="12" t="s">
        <v>220</v>
      </c>
      <c r="E941" s="10">
        <v>43595</v>
      </c>
      <c r="F941" s="8" t="s">
        <v>261</v>
      </c>
      <c r="G941" s="19" t="s">
        <v>221</v>
      </c>
      <c r="H941" s="18">
        <f ca="1">ROUNDDOWN(表3[[#This Row],[日期]]-TODAY(),1)</f>
        <v>-47</v>
      </c>
    </row>
    <row r="942" spans="1:8" hidden="1" x14ac:dyDescent="0.2">
      <c r="A942" s="19" t="s">
        <v>162</v>
      </c>
      <c r="B942" s="41">
        <v>43635</v>
      </c>
      <c r="C942" s="11">
        <v>4</v>
      </c>
      <c r="D942" s="12" t="s">
        <v>222</v>
      </c>
      <c r="E942" s="10">
        <v>43595</v>
      </c>
      <c r="F942" s="8" t="s">
        <v>261</v>
      </c>
      <c r="G942" s="19"/>
      <c r="H942" s="18">
        <f ca="1">ROUNDDOWN(表3[[#This Row],[日期]]-TODAY(),1)</f>
        <v>-47</v>
      </c>
    </row>
    <row r="943" spans="1:8" hidden="1" x14ac:dyDescent="0.2">
      <c r="A943" s="19" t="s">
        <v>162</v>
      </c>
      <c r="B943" s="41">
        <v>43635</v>
      </c>
      <c r="C943" s="11">
        <v>5</v>
      </c>
      <c r="D943" s="12" t="s">
        <v>39</v>
      </c>
      <c r="E943" s="10">
        <v>43596</v>
      </c>
      <c r="F943" s="8" t="s">
        <v>265</v>
      </c>
      <c r="G943" s="19"/>
      <c r="H943" s="18">
        <f ca="1">ROUNDDOWN(表3[[#This Row],[日期]]-TODAY(),1)</f>
        <v>-46</v>
      </c>
    </row>
    <row r="944" spans="1:8" hidden="1" x14ac:dyDescent="0.2">
      <c r="A944" s="19" t="s">
        <v>162</v>
      </c>
      <c r="B944" s="41">
        <v>43635</v>
      </c>
      <c r="C944" s="11">
        <v>5.0999999999999996</v>
      </c>
      <c r="D944" s="12" t="s">
        <v>520</v>
      </c>
      <c r="E944" s="10">
        <v>43614</v>
      </c>
      <c r="F944" s="8" t="s">
        <v>263</v>
      </c>
      <c r="G944" s="19"/>
      <c r="H944" s="18">
        <f ca="1">ROUNDDOWN(表3[[#This Row],[日期]]-TODAY(),1)</f>
        <v>-28</v>
      </c>
    </row>
    <row r="945" spans="1:8" hidden="1" x14ac:dyDescent="0.2">
      <c r="A945" s="19" t="s">
        <v>162</v>
      </c>
      <c r="B945" s="41">
        <v>43635</v>
      </c>
      <c r="C945" s="11">
        <v>5.2</v>
      </c>
      <c r="D945" s="12" t="s">
        <v>577</v>
      </c>
      <c r="E945" s="10">
        <v>43615</v>
      </c>
      <c r="F945" s="8" t="s">
        <v>263</v>
      </c>
      <c r="G945" s="19"/>
      <c r="H945" s="18">
        <f ca="1">ROUNDDOWN(表3[[#This Row],[日期]]-TODAY(),1)</f>
        <v>-27</v>
      </c>
    </row>
    <row r="946" spans="1:8" hidden="1" x14ac:dyDescent="0.2">
      <c r="A946" s="19" t="s">
        <v>162</v>
      </c>
      <c r="B946" s="41">
        <v>43635</v>
      </c>
      <c r="C946" s="11">
        <v>6</v>
      </c>
      <c r="D946" s="12" t="s">
        <v>275</v>
      </c>
      <c r="E946" s="10">
        <v>43628</v>
      </c>
      <c r="F946" s="8" t="s">
        <v>263</v>
      </c>
      <c r="G946" s="19" t="s">
        <v>267</v>
      </c>
      <c r="H946" s="18">
        <f ca="1">ROUNDDOWN(表3[[#This Row],[日期]]-TODAY(),1)</f>
        <v>-14</v>
      </c>
    </row>
    <row r="947" spans="1:8" hidden="1" x14ac:dyDescent="0.2">
      <c r="A947" s="19" t="s">
        <v>162</v>
      </c>
      <c r="B947" s="41">
        <v>43635</v>
      </c>
      <c r="C947" s="11">
        <v>7</v>
      </c>
      <c r="D947" s="12" t="s">
        <v>404</v>
      </c>
      <c r="E947" s="10">
        <v>43628</v>
      </c>
      <c r="F947" s="8" t="s">
        <v>263</v>
      </c>
      <c r="G947" s="19"/>
      <c r="H947" s="18">
        <f ca="1">ROUNDDOWN(表3[[#This Row],[日期]]-TODAY(),1)</f>
        <v>-14</v>
      </c>
    </row>
    <row r="948" spans="1:8" hidden="1" x14ac:dyDescent="0.2">
      <c r="A948" s="19" t="s">
        <v>162</v>
      </c>
      <c r="B948" s="41">
        <v>43635</v>
      </c>
      <c r="C948" s="11">
        <v>8</v>
      </c>
      <c r="D948" s="12" t="s">
        <v>273</v>
      </c>
      <c r="E948" s="10">
        <v>43628</v>
      </c>
      <c r="F948" s="8" t="s">
        <v>263</v>
      </c>
      <c r="G948" s="19"/>
      <c r="H948" s="18">
        <f ca="1">ROUNDDOWN(表3[[#This Row],[日期]]-TODAY(),1)</f>
        <v>-14</v>
      </c>
    </row>
    <row r="949" spans="1:8" hidden="1" x14ac:dyDescent="0.2">
      <c r="A949" s="19" t="s">
        <v>162</v>
      </c>
      <c r="B949" s="41">
        <v>43635</v>
      </c>
      <c r="C949" s="11">
        <v>9</v>
      </c>
      <c r="D949" s="12" t="s">
        <v>276</v>
      </c>
      <c r="E949" s="10">
        <v>43628</v>
      </c>
      <c r="F949" s="8" t="s">
        <v>263</v>
      </c>
      <c r="G949" s="19" t="s">
        <v>43</v>
      </c>
      <c r="H949" s="18">
        <f ca="1">ROUNDDOWN(表3[[#This Row],[日期]]-TODAY(),1)</f>
        <v>-14</v>
      </c>
    </row>
    <row r="950" spans="1:8" hidden="1" x14ac:dyDescent="0.2">
      <c r="A950" s="19" t="s">
        <v>162</v>
      </c>
      <c r="B950" s="41">
        <v>43635</v>
      </c>
      <c r="C950" s="11">
        <v>10</v>
      </c>
      <c r="D950" s="12" t="s">
        <v>269</v>
      </c>
      <c r="E950" s="10">
        <v>43628</v>
      </c>
      <c r="F950" s="8" t="s">
        <v>263</v>
      </c>
      <c r="G950" s="19" t="s">
        <v>32</v>
      </c>
      <c r="H950" s="18">
        <f ca="1">ROUNDDOWN(表3[[#This Row],[日期]]-TODAY(),1)</f>
        <v>-14</v>
      </c>
    </row>
    <row r="951" spans="1:8" hidden="1" x14ac:dyDescent="0.2">
      <c r="A951" s="19" t="s">
        <v>162</v>
      </c>
      <c r="B951" s="41">
        <v>43635</v>
      </c>
      <c r="C951" s="11">
        <v>11</v>
      </c>
      <c r="D951" s="12" t="s">
        <v>271</v>
      </c>
      <c r="E951" s="10">
        <v>43628</v>
      </c>
      <c r="F951" s="8" t="s">
        <v>263</v>
      </c>
      <c r="G951" s="19" t="s">
        <v>43</v>
      </c>
      <c r="H951" s="18">
        <f ca="1">ROUNDDOWN(表3[[#This Row],[日期]]-TODAY(),1)</f>
        <v>-14</v>
      </c>
    </row>
    <row r="952" spans="1:8" hidden="1" x14ac:dyDescent="0.2">
      <c r="A952" s="19" t="s">
        <v>162</v>
      </c>
      <c r="B952" s="41">
        <v>43635</v>
      </c>
      <c r="C952" s="11">
        <v>12</v>
      </c>
      <c r="D952" s="12" t="s">
        <v>327</v>
      </c>
      <c r="E952" s="10">
        <v>43629</v>
      </c>
      <c r="F952" s="8" t="s">
        <v>263</v>
      </c>
      <c r="G952" s="19" t="s">
        <v>279</v>
      </c>
      <c r="H952" s="18">
        <f ca="1">ROUNDDOWN(表3[[#This Row],[日期]]-TODAY(),1)</f>
        <v>-13</v>
      </c>
    </row>
    <row r="953" spans="1:8" hidden="1" x14ac:dyDescent="0.2">
      <c r="A953" s="19" t="s">
        <v>162</v>
      </c>
      <c r="B953" s="41">
        <v>43635</v>
      </c>
      <c r="C953" s="11">
        <v>13</v>
      </c>
      <c r="D953" s="12" t="s">
        <v>284</v>
      </c>
      <c r="E953" s="10">
        <v>43630</v>
      </c>
      <c r="F953" s="8" t="s">
        <v>263</v>
      </c>
      <c r="G953" s="19" t="s">
        <v>282</v>
      </c>
      <c r="H953" s="18">
        <f ca="1">ROUNDDOWN(表3[[#This Row],[日期]]-TODAY(),1)</f>
        <v>-12</v>
      </c>
    </row>
    <row r="954" spans="1:8" hidden="1" x14ac:dyDescent="0.2">
      <c r="A954" s="19" t="s">
        <v>162</v>
      </c>
      <c r="B954" s="41">
        <v>43635</v>
      </c>
      <c r="C954" s="11">
        <v>14</v>
      </c>
      <c r="D954" s="12" t="s">
        <v>286</v>
      </c>
      <c r="E954" s="10">
        <v>43630</v>
      </c>
      <c r="F954" s="8" t="s">
        <v>263</v>
      </c>
      <c r="G954" s="19"/>
      <c r="H954" s="18">
        <f ca="1">ROUNDDOWN(表3[[#This Row],[日期]]-TODAY(),1)</f>
        <v>-12</v>
      </c>
    </row>
    <row r="955" spans="1:8" hidden="1" x14ac:dyDescent="0.2">
      <c r="A955" s="19" t="s">
        <v>162</v>
      </c>
      <c r="B955" s="41">
        <v>43635</v>
      </c>
      <c r="C955" s="11">
        <v>15</v>
      </c>
      <c r="D955" s="12" t="s">
        <v>288</v>
      </c>
      <c r="E955" s="10">
        <v>43630</v>
      </c>
      <c r="F955" s="8" t="s">
        <v>263</v>
      </c>
      <c r="G955" s="19"/>
      <c r="H955" s="18">
        <f ca="1">ROUNDDOWN(表3[[#This Row],[日期]]-TODAY(),1)</f>
        <v>-12</v>
      </c>
    </row>
    <row r="956" spans="1:8" hidden="1" x14ac:dyDescent="0.2">
      <c r="A956" s="19" t="s">
        <v>162</v>
      </c>
      <c r="B956" s="41">
        <v>43635</v>
      </c>
      <c r="C956" s="11">
        <v>16</v>
      </c>
      <c r="D956" s="12" t="s">
        <v>302</v>
      </c>
      <c r="E956" s="10">
        <v>43633</v>
      </c>
      <c r="F956" s="8" t="s">
        <v>263</v>
      </c>
      <c r="G956" s="19"/>
      <c r="H956" s="18">
        <f ca="1">ROUNDDOWN(表3[[#This Row],[日期]]-TODAY(),1)</f>
        <v>-9</v>
      </c>
    </row>
    <row r="957" spans="1:8" hidden="1" x14ac:dyDescent="0.2">
      <c r="A957" s="22" t="s">
        <v>162</v>
      </c>
      <c r="B957" s="43">
        <v>43635</v>
      </c>
      <c r="C957" s="23">
        <v>17</v>
      </c>
      <c r="D957" s="24" t="s">
        <v>304</v>
      </c>
      <c r="E957" s="25">
        <v>43633</v>
      </c>
      <c r="F957" s="26" t="s">
        <v>263</v>
      </c>
      <c r="G957" s="22"/>
      <c r="H957" s="21">
        <f ca="1">ROUNDDOWN(表3[[#This Row],[日期]]-TODAY(),1)</f>
        <v>-9</v>
      </c>
    </row>
    <row r="958" spans="1:8" hidden="1" x14ac:dyDescent="0.2">
      <c r="A958" s="19" t="s">
        <v>162</v>
      </c>
      <c r="B958" s="41">
        <v>43635</v>
      </c>
      <c r="C958" s="11">
        <v>18</v>
      </c>
      <c r="D958" s="12" t="s">
        <v>306</v>
      </c>
      <c r="E958" s="10">
        <v>43633</v>
      </c>
      <c r="F958" s="8" t="s">
        <v>263</v>
      </c>
      <c r="G958" s="19"/>
      <c r="H958" s="18">
        <f ca="1">ROUNDDOWN(表3[[#This Row],[日期]]-TODAY(),1)</f>
        <v>-9</v>
      </c>
    </row>
    <row r="959" spans="1:8" hidden="1" x14ac:dyDescent="0.2">
      <c r="A959" s="19" t="s">
        <v>162</v>
      </c>
      <c r="B959" s="41">
        <v>43635</v>
      </c>
      <c r="C959" s="11">
        <v>19</v>
      </c>
      <c r="D959" s="12" t="s">
        <v>290</v>
      </c>
      <c r="E959" s="10">
        <v>43630</v>
      </c>
      <c r="F959" s="8" t="s">
        <v>263</v>
      </c>
      <c r="G959" s="19"/>
      <c r="H959" s="18">
        <f ca="1">ROUNDDOWN(表3[[#This Row],[日期]]-TODAY(),1)</f>
        <v>-12</v>
      </c>
    </row>
    <row r="960" spans="1:8" hidden="1" x14ac:dyDescent="0.2">
      <c r="A960" s="19" t="s">
        <v>162</v>
      </c>
      <c r="B960" s="41">
        <v>43635</v>
      </c>
      <c r="C960" s="11">
        <v>20</v>
      </c>
      <c r="D960" s="12" t="s">
        <v>292</v>
      </c>
      <c r="E960" s="10">
        <v>43630</v>
      </c>
      <c r="F960" s="8" t="s">
        <v>263</v>
      </c>
      <c r="G960" s="19"/>
      <c r="H960" s="18">
        <f ca="1">ROUNDDOWN(表3[[#This Row],[日期]]-TODAY(),1)</f>
        <v>-12</v>
      </c>
    </row>
    <row r="961" spans="1:8" hidden="1" x14ac:dyDescent="0.2">
      <c r="A961" s="19" t="s">
        <v>162</v>
      </c>
      <c r="B961" s="41">
        <v>43635</v>
      </c>
      <c r="C961" s="11">
        <v>21</v>
      </c>
      <c r="D961" s="12" t="s">
        <v>294</v>
      </c>
      <c r="E961" s="10">
        <v>43630</v>
      </c>
      <c r="F961" s="8" t="s">
        <v>263</v>
      </c>
      <c r="G961" s="19"/>
      <c r="H961" s="18">
        <f ca="1">ROUNDDOWN(表3[[#This Row],[日期]]-TODAY(),1)</f>
        <v>-12</v>
      </c>
    </row>
    <row r="962" spans="1:8" hidden="1" x14ac:dyDescent="0.2">
      <c r="A962" s="19" t="s">
        <v>162</v>
      </c>
      <c r="B962" s="41">
        <v>43635</v>
      </c>
      <c r="C962" s="11">
        <v>22</v>
      </c>
      <c r="D962" s="12" t="s">
        <v>296</v>
      </c>
      <c r="E962" s="10">
        <v>43633</v>
      </c>
      <c r="F962" s="8" t="s">
        <v>263</v>
      </c>
      <c r="G962" s="19"/>
      <c r="H962" s="18">
        <f ca="1">ROUNDDOWN(表3[[#This Row],[日期]]-TODAY(),1)</f>
        <v>-9</v>
      </c>
    </row>
    <row r="963" spans="1:8" hidden="1" x14ac:dyDescent="0.2">
      <c r="A963" s="19" t="s">
        <v>162</v>
      </c>
      <c r="B963" s="41">
        <v>43635</v>
      </c>
      <c r="C963" s="11">
        <v>23</v>
      </c>
      <c r="D963" s="12" t="s">
        <v>298</v>
      </c>
      <c r="E963" s="10">
        <v>43634</v>
      </c>
      <c r="F963" s="8" t="s">
        <v>263</v>
      </c>
      <c r="G963" s="19"/>
      <c r="H963" s="18">
        <f ca="1">ROUNDDOWN(表3[[#This Row],[日期]]-TODAY(),1)</f>
        <v>-8</v>
      </c>
    </row>
    <row r="964" spans="1:8" hidden="1" x14ac:dyDescent="0.2">
      <c r="A964" s="19" t="s">
        <v>162</v>
      </c>
      <c r="B964" s="41">
        <v>43635</v>
      </c>
      <c r="C964" s="11">
        <v>24</v>
      </c>
      <c r="D964" s="12" t="s">
        <v>300</v>
      </c>
      <c r="E964" s="10">
        <v>43636</v>
      </c>
      <c r="F964" s="8" t="s">
        <v>263</v>
      </c>
      <c r="G964" s="19"/>
      <c r="H964" s="18">
        <f ca="1">ROUNDDOWN(表3[[#This Row],[日期]]-TODAY(),1)</f>
        <v>-6</v>
      </c>
    </row>
    <row r="965" spans="1:8" hidden="1" x14ac:dyDescent="0.2">
      <c r="A965" s="19" t="s">
        <v>162</v>
      </c>
      <c r="B965" s="41">
        <v>43635</v>
      </c>
      <c r="C965" s="11">
        <v>25</v>
      </c>
      <c r="D965" s="12" t="s">
        <v>481</v>
      </c>
      <c r="E965" s="10">
        <v>43636</v>
      </c>
      <c r="F965" s="8" t="s">
        <v>263</v>
      </c>
      <c r="G965" s="19"/>
      <c r="H965" s="18">
        <f ca="1">ROUNDDOWN(表3[[#This Row],[日期]]-TODAY(),1)</f>
        <v>-6</v>
      </c>
    </row>
    <row r="966" spans="1:8" hidden="1" x14ac:dyDescent="0.2">
      <c r="A966" s="19" t="s">
        <v>162</v>
      </c>
      <c r="B966" s="41">
        <v>43635</v>
      </c>
      <c r="C966" s="11">
        <v>26</v>
      </c>
      <c r="D966" s="12" t="s">
        <v>634</v>
      </c>
      <c r="E966" s="10">
        <v>43636</v>
      </c>
      <c r="F966" s="8" t="s">
        <v>263</v>
      </c>
      <c r="G966" s="19"/>
      <c r="H966" s="18">
        <f ca="1">ROUNDDOWN(表3[[#This Row],[日期]]-TODAY(),1)</f>
        <v>-6</v>
      </c>
    </row>
    <row r="967" spans="1:8" hidden="1" x14ac:dyDescent="0.2">
      <c r="A967" s="19" t="s">
        <v>2</v>
      </c>
      <c r="B967" s="41">
        <v>43637</v>
      </c>
      <c r="C967" s="11">
        <v>1</v>
      </c>
      <c r="D967" s="12" t="s">
        <v>523</v>
      </c>
      <c r="E967" s="10">
        <v>43626</v>
      </c>
      <c r="F967" s="8" t="s">
        <v>677</v>
      </c>
      <c r="G967" s="19" t="s">
        <v>29</v>
      </c>
      <c r="H967" s="18">
        <f ca="1">ROUNDDOWN(表3[[#This Row],[日期]]-TODAY(),1)</f>
        <v>-16</v>
      </c>
    </row>
    <row r="968" spans="1:8" hidden="1" x14ac:dyDescent="0.2">
      <c r="A968" s="19" t="s">
        <v>2</v>
      </c>
      <c r="B968" s="41">
        <v>43637</v>
      </c>
      <c r="C968" s="11">
        <v>2</v>
      </c>
      <c r="D968" s="12" t="s">
        <v>224</v>
      </c>
      <c r="E968" s="10">
        <v>43626</v>
      </c>
      <c r="F968" s="8" t="s">
        <v>679</v>
      </c>
      <c r="G968" s="19"/>
      <c r="H968" s="18">
        <f ca="1">ROUNDDOWN(表3[[#This Row],[日期]]-TODAY(),1)</f>
        <v>-16</v>
      </c>
    </row>
    <row r="969" spans="1:8" hidden="1" x14ac:dyDescent="0.2">
      <c r="A969" s="19" t="s">
        <v>2</v>
      </c>
      <c r="B969" s="41">
        <v>43637</v>
      </c>
      <c r="C969" s="11">
        <v>3</v>
      </c>
      <c r="D969" s="12" t="s">
        <v>60</v>
      </c>
      <c r="E969" s="10">
        <v>43626</v>
      </c>
      <c r="F969" s="8" t="s">
        <v>677</v>
      </c>
      <c r="G969" s="19" t="s">
        <v>31</v>
      </c>
      <c r="H969" s="18">
        <f ca="1">ROUNDDOWN(表3[[#This Row],[日期]]-TODAY(),1)</f>
        <v>-16</v>
      </c>
    </row>
    <row r="970" spans="1:8" hidden="1" x14ac:dyDescent="0.2">
      <c r="A970" s="19" t="s">
        <v>2</v>
      </c>
      <c r="B970" s="41">
        <v>43637</v>
      </c>
      <c r="C970" s="11">
        <v>4</v>
      </c>
      <c r="D970" s="12" t="s">
        <v>61</v>
      </c>
      <c r="E970" s="10">
        <v>43626</v>
      </c>
      <c r="F970" s="8" t="s">
        <v>679</v>
      </c>
      <c r="G970" s="19"/>
      <c r="H970" s="18">
        <f ca="1">ROUNDDOWN(表3[[#This Row],[日期]]-TODAY(),1)</f>
        <v>-16</v>
      </c>
    </row>
    <row r="971" spans="1:8" hidden="1" x14ac:dyDescent="0.2">
      <c r="A971" s="19" t="s">
        <v>2</v>
      </c>
      <c r="B971" s="41">
        <v>43637</v>
      </c>
      <c r="C971" s="11">
        <v>5</v>
      </c>
      <c r="D971" s="12" t="s">
        <v>62</v>
      </c>
      <c r="E971" s="10">
        <v>43627</v>
      </c>
      <c r="F971" s="8" t="s">
        <v>679</v>
      </c>
      <c r="G971" s="19" t="s">
        <v>43</v>
      </c>
      <c r="H971" s="18">
        <f ca="1">ROUNDDOWN(表3[[#This Row],[日期]]-TODAY(),1)</f>
        <v>-15</v>
      </c>
    </row>
    <row r="972" spans="1:8" hidden="1" x14ac:dyDescent="0.2">
      <c r="A972" s="19" t="s">
        <v>2</v>
      </c>
      <c r="B972" s="41">
        <v>43637</v>
      </c>
      <c r="C972" s="11">
        <v>6</v>
      </c>
      <c r="D972" s="12" t="s">
        <v>19</v>
      </c>
      <c r="E972" s="10">
        <v>43627</v>
      </c>
      <c r="F972" s="8" t="s">
        <v>263</v>
      </c>
      <c r="G972" s="19"/>
      <c r="H972" s="18">
        <f ca="1">ROUNDDOWN(表3[[#This Row],[日期]]-TODAY(),1)</f>
        <v>-15</v>
      </c>
    </row>
    <row r="973" spans="1:8" hidden="1" x14ac:dyDescent="0.2">
      <c r="A973" s="19" t="s">
        <v>2</v>
      </c>
      <c r="B973" s="41">
        <v>43637</v>
      </c>
      <c r="C973" s="11">
        <v>7</v>
      </c>
      <c r="D973" s="12" t="s">
        <v>21</v>
      </c>
      <c r="E973" s="10">
        <v>43627</v>
      </c>
      <c r="F973" s="8" t="s">
        <v>263</v>
      </c>
      <c r="G973" s="19"/>
      <c r="H973" s="18">
        <f ca="1">ROUNDDOWN(表3[[#This Row],[日期]]-TODAY(),1)</f>
        <v>-15</v>
      </c>
    </row>
    <row r="974" spans="1:8" hidden="1" x14ac:dyDescent="0.2">
      <c r="A974" s="19" t="s">
        <v>2</v>
      </c>
      <c r="B974" s="41">
        <v>43637</v>
      </c>
      <c r="C974" s="11">
        <v>8</v>
      </c>
      <c r="D974" s="12" t="s">
        <v>7</v>
      </c>
      <c r="E974" s="10">
        <v>43627</v>
      </c>
      <c r="F974" s="8" t="s">
        <v>263</v>
      </c>
      <c r="G974" s="19"/>
      <c r="H974" s="18">
        <f ca="1">ROUNDDOWN(表3[[#This Row],[日期]]-TODAY(),1)</f>
        <v>-15</v>
      </c>
    </row>
    <row r="975" spans="1:8" hidden="1" x14ac:dyDescent="0.2">
      <c r="A975" s="19" t="s">
        <v>2</v>
      </c>
      <c r="B975" s="41">
        <v>43637</v>
      </c>
      <c r="C975" s="11">
        <v>9</v>
      </c>
      <c r="D975" s="12" t="s">
        <v>9</v>
      </c>
      <c r="E975" s="10">
        <v>43627</v>
      </c>
      <c r="F975" s="8" t="s">
        <v>263</v>
      </c>
      <c r="G975" s="19"/>
      <c r="H975" s="18">
        <f ca="1">ROUNDDOWN(表3[[#This Row],[日期]]-TODAY(),1)</f>
        <v>-15</v>
      </c>
    </row>
    <row r="976" spans="1:8" hidden="1" x14ac:dyDescent="0.2">
      <c r="A976" s="19" t="s">
        <v>2</v>
      </c>
      <c r="B976" s="41">
        <v>43637</v>
      </c>
      <c r="C976" s="11">
        <v>10</v>
      </c>
      <c r="D976" s="12" t="s">
        <v>11</v>
      </c>
      <c r="E976" s="10">
        <v>43628</v>
      </c>
      <c r="F976" s="8" t="s">
        <v>263</v>
      </c>
      <c r="G976" s="19" t="s">
        <v>32</v>
      </c>
      <c r="H976" s="18">
        <f ca="1">ROUNDDOWN(表3[[#This Row],[日期]]-TODAY(),1)</f>
        <v>-14</v>
      </c>
    </row>
    <row r="977" spans="1:8" hidden="1" x14ac:dyDescent="0.2">
      <c r="A977" s="19" t="s">
        <v>2</v>
      </c>
      <c r="B977" s="41">
        <v>43637</v>
      </c>
      <c r="C977" s="11">
        <v>11</v>
      </c>
      <c r="D977" s="12" t="s">
        <v>58</v>
      </c>
      <c r="E977" s="10">
        <v>43628</v>
      </c>
      <c r="F977" s="8" t="s">
        <v>263</v>
      </c>
      <c r="G977" s="19"/>
      <c r="H977" s="18">
        <f ca="1">ROUNDDOWN(表3[[#This Row],[日期]]-TODAY(),1)</f>
        <v>-14</v>
      </c>
    </row>
    <row r="978" spans="1:8" hidden="1" x14ac:dyDescent="0.2">
      <c r="A978" s="19" t="s">
        <v>2</v>
      </c>
      <c r="B978" s="41">
        <v>43637</v>
      </c>
      <c r="C978" s="11">
        <v>12</v>
      </c>
      <c r="D978" s="12" t="s">
        <v>524</v>
      </c>
      <c r="E978" s="10">
        <v>43633</v>
      </c>
      <c r="F978" s="8" t="s">
        <v>263</v>
      </c>
      <c r="G978" s="19" t="s">
        <v>34</v>
      </c>
      <c r="H978" s="18">
        <f ca="1">ROUNDDOWN(表3[[#This Row],[日期]]-TODAY(),1)</f>
        <v>-9</v>
      </c>
    </row>
    <row r="979" spans="1:8" hidden="1" x14ac:dyDescent="0.2">
      <c r="A979" s="19" t="s">
        <v>2</v>
      </c>
      <c r="B979" s="41">
        <v>43637</v>
      </c>
      <c r="C979" s="11">
        <v>13</v>
      </c>
      <c r="D979" s="12" t="s">
        <v>724</v>
      </c>
      <c r="E979" s="10">
        <v>43633</v>
      </c>
      <c r="F979" s="8" t="s">
        <v>263</v>
      </c>
      <c r="G979" s="19"/>
      <c r="H979" s="18">
        <f ca="1">ROUNDDOWN(表3[[#This Row],[日期]]-TODAY(),1)</f>
        <v>-9</v>
      </c>
    </row>
    <row r="980" spans="1:8" hidden="1" x14ac:dyDescent="0.2">
      <c r="A980" s="19" t="s">
        <v>2</v>
      </c>
      <c r="B980" s="41">
        <v>43637</v>
      </c>
      <c r="C980" s="11">
        <v>14</v>
      </c>
      <c r="D980" s="12" t="s">
        <v>23</v>
      </c>
      <c r="E980" s="10">
        <v>43633</v>
      </c>
      <c r="F980" s="8" t="s">
        <v>263</v>
      </c>
      <c r="G980" s="19"/>
      <c r="H980" s="18">
        <f ca="1">ROUNDDOWN(表3[[#This Row],[日期]]-TODAY(),1)</f>
        <v>-9</v>
      </c>
    </row>
    <row r="981" spans="1:8" hidden="1" x14ac:dyDescent="0.2">
      <c r="A981" s="19" t="s">
        <v>2</v>
      </c>
      <c r="B981" s="41">
        <v>43637</v>
      </c>
      <c r="C981" s="11">
        <v>15</v>
      </c>
      <c r="D981" s="12" t="s">
        <v>25</v>
      </c>
      <c r="E981" s="10">
        <v>43633</v>
      </c>
      <c r="F981" s="8" t="s">
        <v>263</v>
      </c>
      <c r="G981" s="19"/>
      <c r="H981" s="18">
        <f ca="1">ROUNDDOWN(表3[[#This Row],[日期]]-TODAY(),1)</f>
        <v>-9</v>
      </c>
    </row>
    <row r="982" spans="1:8" hidden="1" x14ac:dyDescent="0.2">
      <c r="A982" s="19" t="s">
        <v>2</v>
      </c>
      <c r="B982" s="41">
        <v>43637</v>
      </c>
      <c r="C982" s="11">
        <v>16</v>
      </c>
      <c r="D982" s="12" t="s">
        <v>13</v>
      </c>
      <c r="E982" s="10">
        <v>43633</v>
      </c>
      <c r="F982" s="8" t="s">
        <v>263</v>
      </c>
      <c r="G982" s="19"/>
      <c r="H982" s="18">
        <f ca="1">ROUNDDOWN(表3[[#This Row],[日期]]-TODAY(),1)</f>
        <v>-9</v>
      </c>
    </row>
    <row r="983" spans="1:8" hidden="1" x14ac:dyDescent="0.2">
      <c r="A983" s="19" t="s">
        <v>2</v>
      </c>
      <c r="B983" s="41">
        <v>43637</v>
      </c>
      <c r="C983" s="11">
        <v>17</v>
      </c>
      <c r="D983" s="12" t="s">
        <v>15</v>
      </c>
      <c r="E983" s="10">
        <v>43633</v>
      </c>
      <c r="F983" s="8" t="s">
        <v>263</v>
      </c>
      <c r="G983" s="19"/>
      <c r="H983" s="18">
        <f ca="1">ROUNDDOWN(表3[[#This Row],[日期]]-TODAY(),1)</f>
        <v>-9</v>
      </c>
    </row>
    <row r="984" spans="1:8" hidden="1" x14ac:dyDescent="0.2">
      <c r="A984" s="19" t="s">
        <v>2</v>
      </c>
      <c r="B984" s="41">
        <v>43637</v>
      </c>
      <c r="C984" s="11">
        <v>18</v>
      </c>
      <c r="D984" s="12" t="s">
        <v>17</v>
      </c>
      <c r="E984" s="10">
        <v>43633</v>
      </c>
      <c r="F984" s="8" t="s">
        <v>263</v>
      </c>
      <c r="G984" s="19"/>
      <c r="H984" s="18">
        <f ca="1">ROUNDDOWN(表3[[#This Row],[日期]]-TODAY(),1)</f>
        <v>-9</v>
      </c>
    </row>
    <row r="985" spans="1:8" hidden="1" x14ac:dyDescent="0.2">
      <c r="A985" s="19" t="s">
        <v>2</v>
      </c>
      <c r="B985" s="41">
        <v>43637</v>
      </c>
      <c r="C985" s="11">
        <v>19</v>
      </c>
      <c r="D985" s="12" t="s">
        <v>56</v>
      </c>
      <c r="E985" s="10">
        <v>43633</v>
      </c>
      <c r="F985" s="8" t="s">
        <v>263</v>
      </c>
      <c r="G985" s="19"/>
      <c r="H985" s="18">
        <f ca="1">ROUNDDOWN(表3[[#This Row],[日期]]-TODAY(),1)</f>
        <v>-9</v>
      </c>
    </row>
    <row r="986" spans="1:8" hidden="1" x14ac:dyDescent="0.2">
      <c r="A986" s="19" t="s">
        <v>2</v>
      </c>
      <c r="B986" s="41">
        <v>43637</v>
      </c>
      <c r="C986" s="11">
        <v>20</v>
      </c>
      <c r="D986" s="12" t="s">
        <v>998</v>
      </c>
      <c r="E986" s="10">
        <v>43634</v>
      </c>
      <c r="F986" s="8" t="s">
        <v>263</v>
      </c>
      <c r="G986" s="19" t="s">
        <v>36</v>
      </c>
      <c r="H986" s="18">
        <f ca="1">ROUNDDOWN(表3[[#This Row],[日期]]-TODAY(),1)</f>
        <v>-8</v>
      </c>
    </row>
    <row r="987" spans="1:8" hidden="1" x14ac:dyDescent="0.2">
      <c r="A987" s="19" t="s">
        <v>2</v>
      </c>
      <c r="B987" s="41">
        <v>43637</v>
      </c>
      <c r="C987" s="11">
        <v>21</v>
      </c>
      <c r="D987" s="12" t="s">
        <v>38</v>
      </c>
      <c r="E987" s="10">
        <v>43634</v>
      </c>
      <c r="F987" s="8" t="s">
        <v>263</v>
      </c>
      <c r="G987" s="19"/>
      <c r="H987" s="18">
        <f ca="1">ROUNDDOWN(表3[[#This Row],[日期]]-TODAY(),1)</f>
        <v>-8</v>
      </c>
    </row>
    <row r="988" spans="1:8" hidden="1" x14ac:dyDescent="0.2">
      <c r="A988" s="19" t="s">
        <v>2</v>
      </c>
      <c r="B988" s="41">
        <v>43637</v>
      </c>
      <c r="C988" s="11">
        <v>22</v>
      </c>
      <c r="D988" s="12" t="s">
        <v>41</v>
      </c>
      <c r="E988" s="10">
        <v>43634</v>
      </c>
      <c r="F988" s="8" t="s">
        <v>263</v>
      </c>
      <c r="G988" s="19"/>
      <c r="H988" s="18">
        <f ca="1">ROUNDDOWN(表3[[#This Row],[日期]]-TODAY(),1)</f>
        <v>-8</v>
      </c>
    </row>
    <row r="989" spans="1:8" hidden="1" x14ac:dyDescent="0.2">
      <c r="A989" s="19" t="s">
        <v>2</v>
      </c>
      <c r="B989" s="41">
        <v>43637</v>
      </c>
      <c r="C989" s="11">
        <v>23</v>
      </c>
      <c r="D989" s="12" t="s">
        <v>508</v>
      </c>
      <c r="E989" s="10">
        <v>43634</v>
      </c>
      <c r="F989" s="8" t="s">
        <v>263</v>
      </c>
      <c r="G989" s="19" t="s">
        <v>43</v>
      </c>
      <c r="H989" s="18">
        <f ca="1">ROUNDDOWN(表3[[#This Row],[日期]]-TODAY(),1)</f>
        <v>-8</v>
      </c>
    </row>
    <row r="990" spans="1:8" hidden="1" x14ac:dyDescent="0.2">
      <c r="A990" s="19" t="s">
        <v>2</v>
      </c>
      <c r="B990" s="41">
        <v>43637</v>
      </c>
      <c r="C990" s="11">
        <v>24</v>
      </c>
      <c r="D990" s="12" t="s">
        <v>225</v>
      </c>
      <c r="E990" s="10">
        <v>43634</v>
      </c>
      <c r="F990" s="8" t="s">
        <v>263</v>
      </c>
      <c r="G990" s="19" t="s">
        <v>200</v>
      </c>
      <c r="H990" s="18">
        <f ca="1">ROUNDDOWN(表3[[#This Row],[日期]]-TODAY(),1)</f>
        <v>-8</v>
      </c>
    </row>
    <row r="991" spans="1:8" hidden="1" x14ac:dyDescent="0.2">
      <c r="A991" s="19" t="s">
        <v>2</v>
      </c>
      <c r="B991" s="41">
        <v>43637</v>
      </c>
      <c r="C991" s="11">
        <v>25</v>
      </c>
      <c r="D991" s="12" t="s">
        <v>63</v>
      </c>
      <c r="E991" s="10">
        <v>43634</v>
      </c>
      <c r="F991" s="8" t="s">
        <v>263</v>
      </c>
      <c r="G991" s="19"/>
      <c r="H991" s="18">
        <f ca="1">ROUNDDOWN(表3[[#This Row],[日期]]-TODAY(),1)</f>
        <v>-8</v>
      </c>
    </row>
    <row r="992" spans="1:8" hidden="1" x14ac:dyDescent="0.2">
      <c r="A992" s="19" t="s">
        <v>2</v>
      </c>
      <c r="B992" s="41">
        <v>43637</v>
      </c>
      <c r="C992" s="11">
        <v>26</v>
      </c>
      <c r="D992" s="12" t="s">
        <v>45</v>
      </c>
      <c r="E992" s="10">
        <v>43634</v>
      </c>
      <c r="F992" s="8" t="s">
        <v>263</v>
      </c>
      <c r="G992" s="19"/>
      <c r="H992" s="18">
        <f ca="1">ROUNDDOWN(表3[[#This Row],[日期]]-TODAY(),1)</f>
        <v>-8</v>
      </c>
    </row>
    <row r="993" spans="1:8" hidden="1" x14ac:dyDescent="0.2">
      <c r="A993" s="19" t="s">
        <v>2</v>
      </c>
      <c r="B993" s="41">
        <v>43637</v>
      </c>
      <c r="C993" s="11">
        <v>27</v>
      </c>
      <c r="D993" s="12" t="s">
        <v>81</v>
      </c>
      <c r="E993" s="10">
        <v>43634</v>
      </c>
      <c r="F993" s="8" t="s">
        <v>263</v>
      </c>
      <c r="G993" s="19"/>
      <c r="H993" s="18">
        <f ca="1">ROUNDDOWN(表3[[#This Row],[日期]]-TODAY(),1)</f>
        <v>-8</v>
      </c>
    </row>
    <row r="994" spans="1:8" hidden="1" x14ac:dyDescent="0.2">
      <c r="A994" s="19" t="s">
        <v>2</v>
      </c>
      <c r="B994" s="41">
        <v>43637</v>
      </c>
      <c r="C994" s="11">
        <v>28</v>
      </c>
      <c r="D994" s="12" t="s">
        <v>77</v>
      </c>
      <c r="E994" s="10">
        <v>43634</v>
      </c>
      <c r="F994" s="8" t="s">
        <v>263</v>
      </c>
      <c r="G994" s="19"/>
      <c r="H994" s="18">
        <f ca="1">ROUNDDOWN(表3[[#This Row],[日期]]-TODAY(),1)</f>
        <v>-8</v>
      </c>
    </row>
    <row r="995" spans="1:8" hidden="1" x14ac:dyDescent="0.2">
      <c r="A995" s="19" t="s">
        <v>2</v>
      </c>
      <c r="B995" s="41">
        <v>43637</v>
      </c>
      <c r="C995" s="11">
        <v>29</v>
      </c>
      <c r="D995" s="12" t="s">
        <v>79</v>
      </c>
      <c r="E995" s="10">
        <v>43634</v>
      </c>
      <c r="F995" s="8" t="s">
        <v>263</v>
      </c>
      <c r="G995" s="19"/>
      <c r="H995" s="18">
        <f ca="1">ROUNDDOWN(表3[[#This Row],[日期]]-TODAY(),1)</f>
        <v>-8</v>
      </c>
    </row>
    <row r="996" spans="1:8" hidden="1" x14ac:dyDescent="0.2">
      <c r="A996" s="19" t="s">
        <v>2</v>
      </c>
      <c r="B996" s="41">
        <v>43637</v>
      </c>
      <c r="C996" s="11">
        <v>31</v>
      </c>
      <c r="D996" s="12" t="s">
        <v>49</v>
      </c>
      <c r="E996" s="10">
        <v>43634</v>
      </c>
      <c r="F996" s="8" t="s">
        <v>263</v>
      </c>
      <c r="G996" s="19" t="s">
        <v>43</v>
      </c>
      <c r="H996" s="18">
        <f ca="1">ROUNDDOWN(表3[[#This Row],[日期]]-TODAY(),1)</f>
        <v>-8</v>
      </c>
    </row>
    <row r="997" spans="1:8" hidden="1" x14ac:dyDescent="0.2">
      <c r="A997" s="19" t="s">
        <v>2</v>
      </c>
      <c r="B997" s="41">
        <v>43637</v>
      </c>
      <c r="C997" s="11">
        <v>32</v>
      </c>
      <c r="D997" s="12" t="s">
        <v>54</v>
      </c>
      <c r="E997" s="10">
        <v>43634</v>
      </c>
      <c r="F997" s="8" t="s">
        <v>263</v>
      </c>
      <c r="G997" s="19"/>
      <c r="H997" s="18">
        <f ca="1">ROUNDDOWN(表3[[#This Row],[日期]]-TODAY(),1)</f>
        <v>-8</v>
      </c>
    </row>
    <row r="998" spans="1:8" hidden="1" x14ac:dyDescent="0.2">
      <c r="A998" s="19" t="s">
        <v>2</v>
      </c>
      <c r="B998" s="41">
        <v>43637</v>
      </c>
      <c r="C998" s="11">
        <v>33</v>
      </c>
      <c r="D998" s="12" t="s">
        <v>69</v>
      </c>
      <c r="E998" s="10">
        <v>43634</v>
      </c>
      <c r="F998" s="8" t="s">
        <v>263</v>
      </c>
      <c r="G998" s="19" t="s">
        <v>66</v>
      </c>
      <c r="H998" s="18">
        <f ca="1">ROUNDDOWN(表3[[#This Row],[日期]]-TODAY(),1)</f>
        <v>-8</v>
      </c>
    </row>
    <row r="999" spans="1:8" hidden="1" x14ac:dyDescent="0.2">
      <c r="A999" s="19" t="s">
        <v>2</v>
      </c>
      <c r="B999" s="41">
        <v>43637</v>
      </c>
      <c r="C999" s="11">
        <v>34</v>
      </c>
      <c r="D999" s="12" t="s">
        <v>64</v>
      </c>
      <c r="E999" s="10">
        <v>43634</v>
      </c>
      <c r="F999" s="8" t="s">
        <v>263</v>
      </c>
      <c r="G999" s="19"/>
      <c r="H999" s="18">
        <f ca="1">ROUNDDOWN(表3[[#This Row],[日期]]-TODAY(),1)</f>
        <v>-8</v>
      </c>
    </row>
    <row r="1000" spans="1:8" hidden="1" x14ac:dyDescent="0.2">
      <c r="A1000" s="19" t="s">
        <v>2</v>
      </c>
      <c r="B1000" s="41">
        <v>43637</v>
      </c>
      <c r="C1000" s="11">
        <v>35</v>
      </c>
      <c r="D1000" s="12" t="s">
        <v>526</v>
      </c>
      <c r="E1000" s="10">
        <v>43634</v>
      </c>
      <c r="F1000" s="8" t="s">
        <v>263</v>
      </c>
      <c r="G1000" s="19" t="s">
        <v>32</v>
      </c>
      <c r="H1000" s="18">
        <f ca="1">ROUNDDOWN(表3[[#This Row],[日期]]-TODAY(),1)</f>
        <v>-8</v>
      </c>
    </row>
    <row r="1001" spans="1:8" hidden="1" x14ac:dyDescent="0.2">
      <c r="A1001" s="19" t="s">
        <v>2</v>
      </c>
      <c r="B1001" s="41">
        <v>43637</v>
      </c>
      <c r="C1001" s="11">
        <v>36</v>
      </c>
      <c r="D1001" s="12" t="s">
        <v>527</v>
      </c>
      <c r="E1001" s="10">
        <v>43634</v>
      </c>
      <c r="F1001" s="8" t="s">
        <v>263</v>
      </c>
      <c r="G1001" s="19" t="s">
        <v>43</v>
      </c>
      <c r="H1001" s="18">
        <f ca="1">ROUNDDOWN(表3[[#This Row],[日期]]-TODAY(),1)</f>
        <v>-8</v>
      </c>
    </row>
    <row r="1002" spans="1:8" hidden="1" x14ac:dyDescent="0.2">
      <c r="A1002" s="19" t="s">
        <v>2</v>
      </c>
      <c r="B1002" s="41">
        <v>43637</v>
      </c>
      <c r="C1002" s="11">
        <v>37</v>
      </c>
      <c r="D1002" s="12" t="s">
        <v>172</v>
      </c>
      <c r="E1002" s="10">
        <v>43634</v>
      </c>
      <c r="F1002" s="8" t="s">
        <v>263</v>
      </c>
      <c r="G1002" s="19"/>
      <c r="H1002" s="18">
        <f ca="1">ROUNDDOWN(表3[[#This Row],[日期]]-TODAY(),1)</f>
        <v>-8</v>
      </c>
    </row>
    <row r="1003" spans="1:8" hidden="1" x14ac:dyDescent="0.2">
      <c r="A1003" s="22" t="s">
        <v>2</v>
      </c>
      <c r="B1003" s="43">
        <v>43637</v>
      </c>
      <c r="C1003" s="23">
        <v>38</v>
      </c>
      <c r="D1003" s="24" t="s">
        <v>71</v>
      </c>
      <c r="E1003" s="25">
        <v>43634</v>
      </c>
      <c r="F1003" s="26" t="s">
        <v>263</v>
      </c>
      <c r="G1003" s="22" t="s">
        <v>73</v>
      </c>
      <c r="H1003" s="21">
        <f ca="1">ROUNDDOWN(表3[[#This Row],[日期]]-TODAY(),1)</f>
        <v>-8</v>
      </c>
    </row>
    <row r="1004" spans="1:8" hidden="1" x14ac:dyDescent="0.2">
      <c r="A1004" s="19" t="s">
        <v>2</v>
      </c>
      <c r="B1004" s="41">
        <v>43637</v>
      </c>
      <c r="C1004" s="11">
        <v>39</v>
      </c>
      <c r="D1004" s="12" t="s">
        <v>75</v>
      </c>
      <c r="E1004" s="10">
        <v>43634</v>
      </c>
      <c r="F1004" s="8" t="s">
        <v>263</v>
      </c>
      <c r="G1004" s="19"/>
      <c r="H1004" s="18">
        <f ca="1">ROUNDDOWN(表3[[#This Row],[日期]]-TODAY(),1)</f>
        <v>-8</v>
      </c>
    </row>
    <row r="1005" spans="1:8" hidden="1" x14ac:dyDescent="0.2">
      <c r="A1005" s="19" t="s">
        <v>2</v>
      </c>
      <c r="B1005" s="41">
        <v>43637</v>
      </c>
      <c r="C1005" s="11">
        <v>40</v>
      </c>
      <c r="D1005" s="12" t="s">
        <v>83</v>
      </c>
      <c r="E1005" s="10">
        <v>43635</v>
      </c>
      <c r="F1005" s="8" t="s">
        <v>263</v>
      </c>
      <c r="G1005" s="19"/>
      <c r="H1005" s="18">
        <f ca="1">ROUNDDOWN(表3[[#This Row],[日期]]-TODAY(),1)</f>
        <v>-7</v>
      </c>
    </row>
    <row r="1006" spans="1:8" hidden="1" x14ac:dyDescent="0.2">
      <c r="A1006" s="19" t="s">
        <v>2</v>
      </c>
      <c r="B1006" s="41">
        <v>43637</v>
      </c>
      <c r="C1006" s="11">
        <v>41</v>
      </c>
      <c r="D1006" s="12" t="s">
        <v>85</v>
      </c>
      <c r="E1006" s="10">
        <v>43635</v>
      </c>
      <c r="F1006" s="8" t="s">
        <v>263</v>
      </c>
      <c r="G1006" s="19"/>
      <c r="H1006" s="18">
        <f ca="1">ROUNDDOWN(表3[[#This Row],[日期]]-TODAY(),1)</f>
        <v>-7</v>
      </c>
    </row>
    <row r="1007" spans="1:8" hidden="1" x14ac:dyDescent="0.2">
      <c r="A1007" s="19" t="s">
        <v>2</v>
      </c>
      <c r="B1007" s="41">
        <v>43637</v>
      </c>
      <c r="C1007" s="11">
        <v>42</v>
      </c>
      <c r="D1007" s="12" t="s">
        <v>87</v>
      </c>
      <c r="E1007" s="10">
        <v>43635</v>
      </c>
      <c r="F1007" s="8" t="s">
        <v>263</v>
      </c>
      <c r="G1007" s="19"/>
      <c r="H1007" s="18">
        <f ca="1">ROUNDDOWN(表3[[#This Row],[日期]]-TODAY(),1)</f>
        <v>-7</v>
      </c>
    </row>
    <row r="1008" spans="1:8" hidden="1" x14ac:dyDescent="0.2">
      <c r="A1008" s="19" t="s">
        <v>2</v>
      </c>
      <c r="B1008" s="41">
        <v>43637</v>
      </c>
      <c r="C1008" s="11">
        <v>43</v>
      </c>
      <c r="D1008" s="12" t="s">
        <v>89</v>
      </c>
      <c r="E1008" s="10">
        <v>43636</v>
      </c>
      <c r="F1008" s="8" t="s">
        <v>263</v>
      </c>
      <c r="G1008" s="19"/>
      <c r="H1008" s="18">
        <f ca="1">ROUNDDOWN(表3[[#This Row],[日期]]-TODAY(),1)</f>
        <v>-6</v>
      </c>
    </row>
    <row r="1009" spans="1:8" hidden="1" x14ac:dyDescent="0.2">
      <c r="A1009" s="19" t="s">
        <v>2</v>
      </c>
      <c r="B1009" s="41">
        <v>43637</v>
      </c>
      <c r="C1009" s="11">
        <v>44</v>
      </c>
      <c r="D1009" s="12" t="s">
        <v>91</v>
      </c>
      <c r="E1009" s="10">
        <v>43636</v>
      </c>
      <c r="F1009" s="8" t="s">
        <v>263</v>
      </c>
      <c r="G1009" s="19"/>
      <c r="H1009" s="18">
        <f ca="1">ROUNDDOWN(表3[[#This Row],[日期]]-TODAY(),1)</f>
        <v>-6</v>
      </c>
    </row>
    <row r="1010" spans="1:8" hidden="1" x14ac:dyDescent="0.2">
      <c r="A1010" s="19" t="s">
        <v>2</v>
      </c>
      <c r="B1010" s="41">
        <v>43637</v>
      </c>
      <c r="C1010" s="11">
        <v>45</v>
      </c>
      <c r="D1010" s="12" t="s">
        <v>1119</v>
      </c>
      <c r="E1010" s="10">
        <v>43636</v>
      </c>
      <c r="F1010" s="8" t="s">
        <v>263</v>
      </c>
      <c r="G1010" s="19"/>
      <c r="H1010" s="18">
        <f ca="1">ROUNDDOWN(表3[[#This Row],[日期]]-TODAY(),1)</f>
        <v>-6</v>
      </c>
    </row>
    <row r="1011" spans="1:8" hidden="1" x14ac:dyDescent="0.2">
      <c r="A1011" s="19" t="s">
        <v>2</v>
      </c>
      <c r="B1011" s="41">
        <v>43637</v>
      </c>
      <c r="C1011" s="11">
        <v>46</v>
      </c>
      <c r="D1011" s="12" t="s">
        <v>331</v>
      </c>
      <c r="E1011" s="10">
        <v>43638</v>
      </c>
      <c r="F1011" s="8" t="s">
        <v>263</v>
      </c>
      <c r="G1011" s="19"/>
      <c r="H1011" s="18">
        <f ca="1">ROUNDDOWN(表3[[#This Row],[日期]]-TODAY(),1)</f>
        <v>-4</v>
      </c>
    </row>
    <row r="1012" spans="1:8" hidden="1" x14ac:dyDescent="0.2">
      <c r="A1012" s="19" t="s">
        <v>2</v>
      </c>
      <c r="B1012" s="41">
        <v>43637</v>
      </c>
      <c r="C1012" s="11">
        <v>47</v>
      </c>
      <c r="D1012" s="12" t="s">
        <v>95</v>
      </c>
      <c r="E1012" s="10">
        <v>43640</v>
      </c>
      <c r="F1012" s="8" t="s">
        <v>263</v>
      </c>
      <c r="G1012" s="19" t="s">
        <v>132</v>
      </c>
      <c r="H1012" s="18">
        <f ca="1">ROUNDDOWN(表3[[#This Row],[日期]]-TODAY(),1)</f>
        <v>-2</v>
      </c>
    </row>
    <row r="1013" spans="1:8" hidden="1" x14ac:dyDescent="0.2">
      <c r="A1013" s="19" t="s">
        <v>326</v>
      </c>
      <c r="B1013" s="41">
        <v>43637</v>
      </c>
      <c r="C1013" s="11">
        <v>1</v>
      </c>
      <c r="D1013" s="12" t="s">
        <v>705</v>
      </c>
      <c r="E1013" s="10">
        <v>43628</v>
      </c>
      <c r="F1013" s="8" t="s">
        <v>263</v>
      </c>
      <c r="G1013" s="19"/>
      <c r="H1013" s="18">
        <f ca="1">ROUNDDOWN(表3[[#This Row],[日期]]-TODAY(),1)</f>
        <v>-14</v>
      </c>
    </row>
    <row r="1014" spans="1:8" hidden="1" x14ac:dyDescent="0.2">
      <c r="A1014" s="19" t="s">
        <v>326</v>
      </c>
      <c r="B1014" s="41">
        <v>43637</v>
      </c>
      <c r="C1014" s="11">
        <v>2</v>
      </c>
      <c r="D1014" s="12" t="s">
        <v>699</v>
      </c>
      <c r="E1014" s="10">
        <v>43627</v>
      </c>
      <c r="F1014" s="8" t="s">
        <v>1</v>
      </c>
      <c r="G1014" s="19"/>
      <c r="H1014" s="18">
        <f ca="1">ROUNDDOWN(表3[[#This Row],[日期]]-TODAY(),1)</f>
        <v>-15</v>
      </c>
    </row>
    <row r="1015" spans="1:8" hidden="1" x14ac:dyDescent="0.2">
      <c r="A1015" s="19" t="s">
        <v>326</v>
      </c>
      <c r="B1015" s="41">
        <v>43637</v>
      </c>
      <c r="C1015" s="11">
        <v>3</v>
      </c>
      <c r="D1015" s="12" t="s">
        <v>701</v>
      </c>
      <c r="E1015" s="10">
        <v>43628</v>
      </c>
      <c r="F1015" s="8" t="s">
        <v>263</v>
      </c>
      <c r="G1015" s="19"/>
      <c r="H1015" s="18">
        <f ca="1">ROUNDDOWN(表3[[#This Row],[日期]]-TODAY(),1)</f>
        <v>-14</v>
      </c>
    </row>
    <row r="1016" spans="1:8" hidden="1" x14ac:dyDescent="0.2">
      <c r="A1016" s="19" t="s">
        <v>326</v>
      </c>
      <c r="B1016" s="41">
        <v>43637</v>
      </c>
      <c r="C1016" s="11">
        <v>4</v>
      </c>
      <c r="D1016" s="12" t="s">
        <v>703</v>
      </c>
      <c r="E1016" s="10">
        <v>43628</v>
      </c>
      <c r="F1016" s="8" t="s">
        <v>263</v>
      </c>
      <c r="G1016" s="19"/>
      <c r="H1016" s="18">
        <f ca="1">ROUNDDOWN(表3[[#This Row],[日期]]-TODAY(),1)</f>
        <v>-14</v>
      </c>
    </row>
    <row r="1017" spans="1:8" hidden="1" x14ac:dyDescent="0.2">
      <c r="A1017" s="19" t="s">
        <v>326</v>
      </c>
      <c r="B1017" s="41">
        <v>43637</v>
      </c>
      <c r="C1017" s="11">
        <v>5</v>
      </c>
      <c r="D1017" s="12" t="s">
        <v>384</v>
      </c>
      <c r="E1017" s="10">
        <v>43628</v>
      </c>
      <c r="F1017" s="8" t="s">
        <v>263</v>
      </c>
      <c r="G1017" s="19"/>
      <c r="H1017" s="18">
        <f ca="1">ROUNDDOWN(表3[[#This Row],[日期]]-TODAY(),1)</f>
        <v>-14</v>
      </c>
    </row>
    <row r="1018" spans="1:8" hidden="1" x14ac:dyDescent="0.2">
      <c r="A1018" s="19" t="s">
        <v>952</v>
      </c>
      <c r="B1018" s="41">
        <v>43637</v>
      </c>
      <c r="C1018" s="11">
        <v>5.0999999999999996</v>
      </c>
      <c r="D1018" s="12" t="s">
        <v>953</v>
      </c>
      <c r="E1018" s="10">
        <v>43633</v>
      </c>
      <c r="F1018" s="8" t="s">
        <v>1</v>
      </c>
      <c r="G1018" s="19"/>
      <c r="H1018" s="18">
        <f ca="1">ROUNDDOWN(表3[[#This Row],[日期]]-TODAY(),1)</f>
        <v>-9</v>
      </c>
    </row>
    <row r="1019" spans="1:8" hidden="1" x14ac:dyDescent="0.2">
      <c r="A1019" s="19" t="s">
        <v>326</v>
      </c>
      <c r="B1019" s="41">
        <v>43637</v>
      </c>
      <c r="C1019" s="11">
        <v>6</v>
      </c>
      <c r="D1019" s="12" t="s">
        <v>385</v>
      </c>
      <c r="E1019" s="10">
        <v>43634</v>
      </c>
      <c r="F1019" s="8" t="s">
        <v>263</v>
      </c>
      <c r="G1019" s="19"/>
      <c r="H1019" s="18">
        <f ca="1">ROUNDDOWN(表3[[#This Row],[日期]]-TODAY(),1)</f>
        <v>-8</v>
      </c>
    </row>
    <row r="1020" spans="1:8" hidden="1" x14ac:dyDescent="0.2">
      <c r="A1020" s="19" t="s">
        <v>326</v>
      </c>
      <c r="B1020" s="41">
        <v>43637</v>
      </c>
      <c r="C1020" s="11">
        <v>7</v>
      </c>
      <c r="D1020" s="12" t="s">
        <v>512</v>
      </c>
      <c r="E1020" s="10">
        <v>43634</v>
      </c>
      <c r="F1020" s="8" t="s">
        <v>263</v>
      </c>
      <c r="G1020" s="19"/>
      <c r="H1020" s="18">
        <f ca="1">ROUNDDOWN(表3[[#This Row],[日期]]-TODAY(),1)</f>
        <v>-8</v>
      </c>
    </row>
    <row r="1021" spans="1:8" hidden="1" x14ac:dyDescent="0.2">
      <c r="A1021" s="19" t="s">
        <v>326</v>
      </c>
      <c r="B1021" s="41">
        <v>43637</v>
      </c>
      <c r="C1021" s="11">
        <v>8</v>
      </c>
      <c r="D1021" s="12" t="s">
        <v>693</v>
      </c>
      <c r="E1021" s="10">
        <v>43634</v>
      </c>
      <c r="F1021" s="8" t="s">
        <v>263</v>
      </c>
      <c r="G1021" s="19" t="s">
        <v>515</v>
      </c>
      <c r="H1021" s="18">
        <f ca="1">ROUNDDOWN(表3[[#This Row],[日期]]-TODAY(),1)</f>
        <v>-8</v>
      </c>
    </row>
    <row r="1022" spans="1:8" hidden="1" x14ac:dyDescent="0.2">
      <c r="A1022" s="19" t="s">
        <v>326</v>
      </c>
      <c r="B1022" s="41">
        <v>43637</v>
      </c>
      <c r="C1022" s="11">
        <v>9</v>
      </c>
      <c r="D1022" s="12" t="s">
        <v>695</v>
      </c>
      <c r="E1022" s="10">
        <v>43634</v>
      </c>
      <c r="F1022" s="8" t="s">
        <v>263</v>
      </c>
      <c r="G1022" s="19"/>
      <c r="H1022" s="18">
        <f ca="1">ROUNDDOWN(表3[[#This Row],[日期]]-TODAY(),1)</f>
        <v>-8</v>
      </c>
    </row>
    <row r="1023" spans="1:8" hidden="1" x14ac:dyDescent="0.2">
      <c r="A1023" s="19" t="s">
        <v>326</v>
      </c>
      <c r="B1023" s="41">
        <v>43637</v>
      </c>
      <c r="C1023" s="11">
        <v>10</v>
      </c>
      <c r="D1023" s="12" t="s">
        <v>387</v>
      </c>
      <c r="E1023" s="10">
        <v>43634</v>
      </c>
      <c r="F1023" s="8" t="s">
        <v>263</v>
      </c>
      <c r="G1023" s="19"/>
      <c r="H1023" s="18">
        <f ca="1">ROUNDDOWN(表3[[#This Row],[日期]]-TODAY(),1)</f>
        <v>-8</v>
      </c>
    </row>
    <row r="1024" spans="1:8" hidden="1" x14ac:dyDescent="0.2">
      <c r="A1024" s="19" t="s">
        <v>326</v>
      </c>
      <c r="B1024" s="41">
        <v>43637</v>
      </c>
      <c r="C1024" s="11">
        <v>11</v>
      </c>
      <c r="D1024" s="12" t="s">
        <v>707</v>
      </c>
      <c r="E1024" s="10">
        <v>43634</v>
      </c>
      <c r="F1024" s="8" t="s">
        <v>263</v>
      </c>
      <c r="G1024" s="19"/>
      <c r="H1024" s="18">
        <f ca="1">ROUNDDOWN(表3[[#This Row],[日期]]-TODAY(),1)</f>
        <v>-8</v>
      </c>
    </row>
    <row r="1025" spans="1:8" hidden="1" x14ac:dyDescent="0.2">
      <c r="A1025" s="19" t="s">
        <v>326</v>
      </c>
      <c r="B1025" s="41">
        <v>43637</v>
      </c>
      <c r="C1025" s="11">
        <v>12</v>
      </c>
      <c r="D1025" s="12" t="s">
        <v>709</v>
      </c>
      <c r="E1025" s="10">
        <v>43635</v>
      </c>
      <c r="F1025" s="8" t="s">
        <v>263</v>
      </c>
      <c r="G1025" s="19"/>
      <c r="H1025" s="18">
        <f ca="1">ROUNDDOWN(表3[[#This Row],[日期]]-TODAY(),1)</f>
        <v>-7</v>
      </c>
    </row>
    <row r="1026" spans="1:8" hidden="1" x14ac:dyDescent="0.2">
      <c r="A1026" s="19" t="s">
        <v>326</v>
      </c>
      <c r="B1026" s="41">
        <v>43637</v>
      </c>
      <c r="C1026" s="11">
        <v>13</v>
      </c>
      <c r="D1026" s="12" t="s">
        <v>711</v>
      </c>
      <c r="E1026" s="10">
        <v>43634</v>
      </c>
      <c r="F1026" s="8" t="s">
        <v>263</v>
      </c>
      <c r="G1026" s="19"/>
      <c r="H1026" s="18">
        <f ca="1">ROUNDDOWN(表3[[#This Row],[日期]]-TODAY(),1)</f>
        <v>-8</v>
      </c>
    </row>
    <row r="1027" spans="1:8" hidden="1" x14ac:dyDescent="0.2">
      <c r="A1027" s="22" t="s">
        <v>326</v>
      </c>
      <c r="B1027" s="43">
        <v>43637</v>
      </c>
      <c r="C1027" s="23">
        <v>14</v>
      </c>
      <c r="D1027" s="24" t="s">
        <v>713</v>
      </c>
      <c r="E1027" s="25">
        <v>43634</v>
      </c>
      <c r="F1027" s="26" t="s">
        <v>263</v>
      </c>
      <c r="G1027" s="22"/>
      <c r="H1027" s="21">
        <f ca="1">ROUNDDOWN(表3[[#This Row],[日期]]-TODAY(),1)</f>
        <v>-8</v>
      </c>
    </row>
    <row r="1028" spans="1:8" hidden="1" x14ac:dyDescent="0.2">
      <c r="A1028" s="22" t="s">
        <v>326</v>
      </c>
      <c r="B1028" s="43">
        <v>43637</v>
      </c>
      <c r="C1028" s="23">
        <v>15</v>
      </c>
      <c r="D1028" s="24" t="s">
        <v>715</v>
      </c>
      <c r="E1028" s="25">
        <v>43634</v>
      </c>
      <c r="F1028" s="26" t="s">
        <v>263</v>
      </c>
      <c r="G1028" s="22"/>
      <c r="H1028" s="21">
        <f ca="1">ROUNDDOWN(表3[[#This Row],[日期]]-TODAY(),1)</f>
        <v>-8</v>
      </c>
    </row>
    <row r="1029" spans="1:8" hidden="1" x14ac:dyDescent="0.2">
      <c r="A1029" s="22" t="s">
        <v>326</v>
      </c>
      <c r="B1029" s="43">
        <v>43637</v>
      </c>
      <c r="C1029" s="23">
        <v>16</v>
      </c>
      <c r="D1029" s="24" t="s">
        <v>717</v>
      </c>
      <c r="E1029" s="25">
        <v>43634</v>
      </c>
      <c r="F1029" s="26" t="s">
        <v>263</v>
      </c>
      <c r="G1029" s="22"/>
      <c r="H1029" s="21">
        <f ca="1">ROUNDDOWN(表3[[#This Row],[日期]]-TODAY(),1)</f>
        <v>-8</v>
      </c>
    </row>
    <row r="1030" spans="1:8" hidden="1" x14ac:dyDescent="0.2">
      <c r="A1030" s="22" t="s">
        <v>326</v>
      </c>
      <c r="B1030" s="43">
        <v>43637</v>
      </c>
      <c r="C1030" s="23">
        <v>17</v>
      </c>
      <c r="D1030" s="24" t="s">
        <v>719</v>
      </c>
      <c r="E1030" s="25">
        <v>43634</v>
      </c>
      <c r="F1030" s="26" t="s">
        <v>263</v>
      </c>
      <c r="G1030" s="22"/>
      <c r="H1030" s="21">
        <f ca="1">ROUNDDOWN(表3[[#This Row],[日期]]-TODAY(),1)</f>
        <v>-8</v>
      </c>
    </row>
    <row r="1031" spans="1:8" hidden="1" x14ac:dyDescent="0.2">
      <c r="A1031" s="22" t="s">
        <v>326</v>
      </c>
      <c r="B1031" s="43">
        <v>43637</v>
      </c>
      <c r="C1031" s="23">
        <v>18</v>
      </c>
      <c r="D1031" s="24" t="s">
        <v>720</v>
      </c>
      <c r="E1031" s="25">
        <v>43634</v>
      </c>
      <c r="F1031" s="26" t="s">
        <v>263</v>
      </c>
      <c r="G1031" s="22"/>
      <c r="H1031" s="21">
        <f ca="1">ROUNDDOWN(表3[[#This Row],[日期]]-TODAY(),1)</f>
        <v>-8</v>
      </c>
    </row>
    <row r="1032" spans="1:8" hidden="1" x14ac:dyDescent="0.2">
      <c r="A1032" s="22" t="s">
        <v>326</v>
      </c>
      <c r="B1032" s="41">
        <v>43637</v>
      </c>
      <c r="C1032" s="23">
        <v>19</v>
      </c>
      <c r="D1032" s="24" t="s">
        <v>391</v>
      </c>
      <c r="E1032" s="25">
        <v>43634</v>
      </c>
      <c r="F1032" s="26" t="s">
        <v>263</v>
      </c>
      <c r="G1032" s="22"/>
      <c r="H1032" s="21">
        <f ca="1">ROUNDDOWN(表3[[#This Row],[日期]]-TODAY(),1)</f>
        <v>-8</v>
      </c>
    </row>
    <row r="1033" spans="1:8" hidden="1" x14ac:dyDescent="0.2">
      <c r="A1033" s="19" t="s">
        <v>326</v>
      </c>
      <c r="B1033" s="41">
        <v>43637</v>
      </c>
      <c r="C1033" s="11">
        <v>20</v>
      </c>
      <c r="D1033" s="12" t="s">
        <v>697</v>
      </c>
      <c r="E1033" s="10">
        <v>43635</v>
      </c>
      <c r="F1033" s="8" t="s">
        <v>263</v>
      </c>
      <c r="G1033" s="19"/>
      <c r="H1033" s="18">
        <f ca="1">ROUNDDOWN(表3[[#This Row],[日期]]-TODAY(),1)</f>
        <v>-7</v>
      </c>
    </row>
    <row r="1034" spans="1:8" hidden="1" x14ac:dyDescent="0.2">
      <c r="A1034" s="19" t="s">
        <v>326</v>
      </c>
      <c r="B1034" s="41">
        <v>43637</v>
      </c>
      <c r="C1034" s="11">
        <v>21</v>
      </c>
      <c r="D1034" s="12" t="s">
        <v>85</v>
      </c>
      <c r="E1034" s="10">
        <v>43635</v>
      </c>
      <c r="F1034" s="8" t="s">
        <v>263</v>
      </c>
      <c r="G1034" s="19"/>
      <c r="H1034" s="18">
        <f ca="1">ROUNDDOWN(表3[[#This Row],[日期]]-TODAY(),1)</f>
        <v>-7</v>
      </c>
    </row>
    <row r="1035" spans="1:8" hidden="1" x14ac:dyDescent="0.2">
      <c r="A1035" s="19" t="s">
        <v>326</v>
      </c>
      <c r="B1035" s="41">
        <v>43637</v>
      </c>
      <c r="C1035" s="11">
        <v>22</v>
      </c>
      <c r="D1035" s="12" t="s">
        <v>689</v>
      </c>
      <c r="E1035" s="10">
        <v>43635</v>
      </c>
      <c r="F1035" s="8" t="s">
        <v>263</v>
      </c>
      <c r="G1035" s="19"/>
      <c r="H1035" s="18">
        <f ca="1">ROUNDDOWN(表3[[#This Row],[日期]]-TODAY(),1)</f>
        <v>-7</v>
      </c>
    </row>
    <row r="1036" spans="1:8" hidden="1" x14ac:dyDescent="0.2">
      <c r="A1036" s="19" t="s">
        <v>326</v>
      </c>
      <c r="B1036" s="41">
        <v>43637</v>
      </c>
      <c r="C1036" s="11">
        <v>23</v>
      </c>
      <c r="D1036" s="12" t="s">
        <v>690</v>
      </c>
      <c r="E1036" s="10">
        <v>43636</v>
      </c>
      <c r="F1036" s="8" t="s">
        <v>263</v>
      </c>
      <c r="G1036" s="19"/>
      <c r="H1036" s="18">
        <f ca="1">ROUNDDOWN(表3[[#This Row],[日期]]-TODAY(),1)</f>
        <v>-6</v>
      </c>
    </row>
    <row r="1037" spans="1:8" hidden="1" x14ac:dyDescent="0.2">
      <c r="A1037" s="19" t="s">
        <v>326</v>
      </c>
      <c r="B1037" s="41">
        <v>43637</v>
      </c>
      <c r="C1037" s="11">
        <v>24</v>
      </c>
      <c r="D1037" s="12" t="s">
        <v>691</v>
      </c>
      <c r="E1037" s="10">
        <v>43636</v>
      </c>
      <c r="F1037" s="8" t="s">
        <v>263</v>
      </c>
      <c r="G1037" s="19"/>
      <c r="H1037" s="18">
        <f ca="1">ROUNDDOWN(表3[[#This Row],[日期]]-TODAY(),1)</f>
        <v>-6</v>
      </c>
    </row>
    <row r="1038" spans="1:8" hidden="1" x14ac:dyDescent="0.2">
      <c r="A1038" s="22" t="s">
        <v>326</v>
      </c>
      <c r="B1038" s="43">
        <v>43637</v>
      </c>
      <c r="C1038" s="23">
        <v>25</v>
      </c>
      <c r="D1038" s="24" t="s">
        <v>1127</v>
      </c>
      <c r="E1038" s="25">
        <v>43640</v>
      </c>
      <c r="F1038" s="26" t="s">
        <v>263</v>
      </c>
      <c r="G1038" s="22"/>
      <c r="H1038" s="21">
        <f ca="1">ROUNDDOWN(表3[[#This Row],[日期]]-TODAY(),1)</f>
        <v>-2</v>
      </c>
    </row>
    <row r="1039" spans="1:8" hidden="1" x14ac:dyDescent="0.2">
      <c r="A1039" s="22" t="s">
        <v>326</v>
      </c>
      <c r="B1039" s="43">
        <v>43637</v>
      </c>
      <c r="C1039" s="23">
        <v>26</v>
      </c>
      <c r="D1039" s="24" t="s">
        <v>1130</v>
      </c>
      <c r="E1039" s="25">
        <v>43640</v>
      </c>
      <c r="F1039" s="26" t="s">
        <v>263</v>
      </c>
      <c r="G1039" s="22"/>
      <c r="H1039" s="21">
        <f ca="1">ROUNDDOWN(表3[[#This Row],[日期]]-TODAY(),1)</f>
        <v>-2</v>
      </c>
    </row>
    <row r="1040" spans="1:8" hidden="1" x14ac:dyDescent="0.2">
      <c r="A1040" s="19" t="s">
        <v>326</v>
      </c>
      <c r="B1040" s="41">
        <v>43637</v>
      </c>
      <c r="C1040" s="11">
        <v>27</v>
      </c>
      <c r="D1040" s="12" t="s">
        <v>722</v>
      </c>
      <c r="E1040" s="10">
        <v>43640</v>
      </c>
      <c r="F1040" s="8" t="s">
        <v>263</v>
      </c>
      <c r="G1040" s="19"/>
      <c r="H1040" s="18">
        <f ca="1">ROUNDDOWN(表3[[#This Row],[日期]]-TODAY(),1)</f>
        <v>-2</v>
      </c>
    </row>
    <row r="1041" spans="1:8" hidden="1" x14ac:dyDescent="0.2">
      <c r="A1041" s="19" t="s">
        <v>326</v>
      </c>
      <c r="B1041" s="41">
        <v>43637</v>
      </c>
      <c r="C1041" s="11">
        <v>28</v>
      </c>
      <c r="D1041" s="12" t="s">
        <v>1264</v>
      </c>
      <c r="E1041" s="10">
        <v>43641</v>
      </c>
      <c r="F1041" s="8" t="s">
        <v>263</v>
      </c>
      <c r="G1041" s="19"/>
      <c r="H1041" s="18">
        <f ca="1">ROUNDDOWN(表3[[#This Row],[日期]]-TODAY(),1)</f>
        <v>-1</v>
      </c>
    </row>
    <row r="1042" spans="1:8" hidden="1" x14ac:dyDescent="0.2">
      <c r="A1042" s="19" t="s">
        <v>326</v>
      </c>
      <c r="B1042" s="41">
        <v>43637</v>
      </c>
      <c r="C1042" s="11">
        <v>29</v>
      </c>
      <c r="D1042" s="12" t="s">
        <v>331</v>
      </c>
      <c r="E1042" s="10">
        <v>43640</v>
      </c>
      <c r="F1042" s="8" t="s">
        <v>263</v>
      </c>
      <c r="G1042" s="19"/>
      <c r="H1042" s="18">
        <f ca="1">ROUNDDOWN(表3[[#This Row],[日期]]-TODAY(),1)</f>
        <v>-2</v>
      </c>
    </row>
    <row r="1043" spans="1:8" hidden="1" x14ac:dyDescent="0.2">
      <c r="A1043" s="19" t="s">
        <v>326</v>
      </c>
      <c r="B1043" s="41">
        <v>43637</v>
      </c>
      <c r="C1043" s="11">
        <v>30</v>
      </c>
      <c r="D1043" s="12" t="s">
        <v>95</v>
      </c>
      <c r="E1043" s="10">
        <v>43640</v>
      </c>
      <c r="F1043" s="8" t="s">
        <v>263</v>
      </c>
      <c r="G1043" s="19"/>
      <c r="H1043" s="18">
        <f ca="1">ROUNDDOWN(表3[[#This Row],[日期]]-TODAY(),1)</f>
        <v>-2</v>
      </c>
    </row>
    <row r="1044" spans="1:8" hidden="1" x14ac:dyDescent="0.2">
      <c r="A1044" s="19" t="s">
        <v>893</v>
      </c>
      <c r="B1044" s="41">
        <v>43639</v>
      </c>
      <c r="C1044" s="11">
        <v>1</v>
      </c>
      <c r="D1044" s="12" t="s">
        <v>607</v>
      </c>
      <c r="E1044" s="10">
        <v>43634</v>
      </c>
      <c r="F1044" s="8" t="s">
        <v>1090</v>
      </c>
      <c r="G1044" s="19"/>
      <c r="H1044" s="18">
        <f ca="1">ROUNDDOWN(表3[[#This Row],[日期]]-TODAY(),1)</f>
        <v>-8</v>
      </c>
    </row>
    <row r="1045" spans="1:8" hidden="1" x14ac:dyDescent="0.2">
      <c r="A1045" s="19" t="s">
        <v>893</v>
      </c>
      <c r="B1045" s="41">
        <v>43639</v>
      </c>
      <c r="C1045" s="11">
        <v>2</v>
      </c>
      <c r="D1045" s="12" t="s">
        <v>610</v>
      </c>
      <c r="E1045" s="10">
        <v>43634</v>
      </c>
      <c r="F1045" s="8" t="s">
        <v>1090</v>
      </c>
      <c r="G1045" s="19"/>
      <c r="H1045" s="18">
        <f ca="1">ROUNDDOWN(表3[[#This Row],[日期]]-TODAY(),1)</f>
        <v>-8</v>
      </c>
    </row>
    <row r="1046" spans="1:8" hidden="1" x14ac:dyDescent="0.2">
      <c r="A1046" s="19" t="s">
        <v>893</v>
      </c>
      <c r="B1046" s="41">
        <v>43639</v>
      </c>
      <c r="C1046" s="11">
        <v>3</v>
      </c>
      <c r="D1046" s="12" t="s">
        <v>612</v>
      </c>
      <c r="E1046" s="10">
        <v>43634</v>
      </c>
      <c r="F1046" s="8" t="s">
        <v>1090</v>
      </c>
      <c r="G1046" s="19"/>
      <c r="H1046" s="18">
        <f ca="1">ROUNDDOWN(表3[[#This Row],[日期]]-TODAY(),1)</f>
        <v>-8</v>
      </c>
    </row>
    <row r="1047" spans="1:8" hidden="1" x14ac:dyDescent="0.2">
      <c r="A1047" s="19" t="s">
        <v>893</v>
      </c>
      <c r="B1047" s="41">
        <v>43639</v>
      </c>
      <c r="C1047" s="11">
        <v>4</v>
      </c>
      <c r="D1047" s="12" t="s">
        <v>614</v>
      </c>
      <c r="E1047" s="10">
        <v>43634</v>
      </c>
      <c r="F1047" s="8" t="s">
        <v>1090</v>
      </c>
      <c r="G1047" s="19"/>
      <c r="H1047" s="18">
        <f ca="1">ROUNDDOWN(表3[[#This Row],[日期]]-TODAY(),1)</f>
        <v>-8</v>
      </c>
    </row>
    <row r="1048" spans="1:8" hidden="1" x14ac:dyDescent="0.2">
      <c r="A1048" s="19" t="s">
        <v>893</v>
      </c>
      <c r="B1048" s="41">
        <v>43639</v>
      </c>
      <c r="C1048" s="11">
        <v>5</v>
      </c>
      <c r="D1048" s="12" t="s">
        <v>617</v>
      </c>
      <c r="E1048" s="10">
        <v>43634</v>
      </c>
      <c r="F1048" s="8" t="s">
        <v>1090</v>
      </c>
      <c r="G1048" s="19"/>
      <c r="H1048" s="18">
        <f ca="1">ROUNDDOWN(表3[[#This Row],[日期]]-TODAY(),1)</f>
        <v>-8</v>
      </c>
    </row>
    <row r="1049" spans="1:8" hidden="1" x14ac:dyDescent="0.2">
      <c r="A1049" s="19" t="s">
        <v>893</v>
      </c>
      <c r="B1049" s="41">
        <v>43639</v>
      </c>
      <c r="C1049" s="11">
        <v>6</v>
      </c>
      <c r="D1049" s="12" t="s">
        <v>619</v>
      </c>
      <c r="E1049" s="10">
        <v>43637</v>
      </c>
      <c r="F1049" s="8" t="s">
        <v>263</v>
      </c>
      <c r="G1049" s="19" t="s">
        <v>629</v>
      </c>
      <c r="H1049" s="18">
        <f ca="1">ROUNDDOWN(表3[[#This Row],[日期]]-TODAY(),1)</f>
        <v>-5</v>
      </c>
    </row>
    <row r="1050" spans="1:8" hidden="1" x14ac:dyDescent="0.2">
      <c r="A1050" s="19" t="s">
        <v>893</v>
      </c>
      <c r="B1050" s="41">
        <v>43639</v>
      </c>
      <c r="C1050" s="11">
        <v>7</v>
      </c>
      <c r="D1050" s="12" t="s">
        <v>621</v>
      </c>
      <c r="E1050" s="10">
        <v>43637</v>
      </c>
      <c r="F1050" s="8" t="s">
        <v>263</v>
      </c>
      <c r="G1050" s="19"/>
      <c r="H1050" s="18">
        <f ca="1">ROUNDDOWN(表3[[#This Row],[日期]]-TODAY(),1)</f>
        <v>-5</v>
      </c>
    </row>
    <row r="1051" spans="1:8" hidden="1" x14ac:dyDescent="0.2">
      <c r="A1051" s="19" t="s">
        <v>893</v>
      </c>
      <c r="B1051" s="41">
        <v>43639</v>
      </c>
      <c r="C1051" s="11">
        <v>8</v>
      </c>
      <c r="D1051" s="12" t="s">
        <v>623</v>
      </c>
      <c r="E1051" s="10">
        <v>43637</v>
      </c>
      <c r="F1051" s="8" t="s">
        <v>263</v>
      </c>
      <c r="G1051" s="19"/>
      <c r="H1051" s="18">
        <f ca="1">ROUNDDOWN(表3[[#This Row],[日期]]-TODAY(),1)</f>
        <v>-5</v>
      </c>
    </row>
    <row r="1052" spans="1:8" hidden="1" x14ac:dyDescent="0.2">
      <c r="A1052" s="19" t="s">
        <v>893</v>
      </c>
      <c r="B1052" s="41">
        <v>43639</v>
      </c>
      <c r="C1052" s="11">
        <v>9</v>
      </c>
      <c r="D1052" s="12" t="s">
        <v>1091</v>
      </c>
      <c r="E1052" s="10">
        <v>43639</v>
      </c>
      <c r="F1052" s="8" t="s">
        <v>263</v>
      </c>
      <c r="G1052" s="19"/>
      <c r="H1052" s="18">
        <f ca="1">ROUNDDOWN(表3[[#This Row],[日期]]-TODAY(),1)</f>
        <v>-3</v>
      </c>
    </row>
    <row r="1053" spans="1:8" hidden="1" x14ac:dyDescent="0.2">
      <c r="A1053" s="19" t="s">
        <v>893</v>
      </c>
      <c r="B1053" s="41">
        <v>43639</v>
      </c>
      <c r="C1053" s="11">
        <v>10</v>
      </c>
      <c r="D1053" s="12" t="s">
        <v>627</v>
      </c>
      <c r="E1053" s="10">
        <v>43640</v>
      </c>
      <c r="F1053" s="8" t="s">
        <v>263</v>
      </c>
      <c r="G1053" s="19"/>
      <c r="H1053" s="18">
        <f ca="1">ROUNDDOWN(表3[[#This Row],[日期]]-TODAY(),1)</f>
        <v>-2</v>
      </c>
    </row>
    <row r="1054" spans="1:8" hidden="1" x14ac:dyDescent="0.2">
      <c r="A1054" s="19" t="s">
        <v>734</v>
      </c>
      <c r="B1054" s="41">
        <v>43642</v>
      </c>
      <c r="C1054" s="11">
        <v>1</v>
      </c>
      <c r="D1054" s="12" t="s">
        <v>421</v>
      </c>
      <c r="E1054" s="10">
        <v>43630</v>
      </c>
      <c r="F1054" s="8" t="s">
        <v>880</v>
      </c>
      <c r="G1054" s="19"/>
      <c r="H1054" s="18">
        <f ca="1">ROUNDDOWN(表3[[#This Row],[日期]]-TODAY(),1)</f>
        <v>-12</v>
      </c>
    </row>
    <row r="1055" spans="1:8" hidden="1" x14ac:dyDescent="0.2">
      <c r="A1055" s="19" t="s">
        <v>734</v>
      </c>
      <c r="B1055" s="41">
        <v>43642</v>
      </c>
      <c r="C1055" s="11">
        <v>2</v>
      </c>
      <c r="D1055" s="12" t="s">
        <v>422</v>
      </c>
      <c r="E1055" s="10">
        <v>43634</v>
      </c>
      <c r="F1055" s="8" t="s">
        <v>263</v>
      </c>
      <c r="G1055" s="19"/>
      <c r="H1055" s="18">
        <f ca="1">ROUNDDOWN(表3[[#This Row],[日期]]-TODAY(),1)</f>
        <v>-8</v>
      </c>
    </row>
    <row r="1056" spans="1:8" hidden="1" x14ac:dyDescent="0.2">
      <c r="A1056" s="19" t="s">
        <v>734</v>
      </c>
      <c r="B1056" s="41">
        <v>43642</v>
      </c>
      <c r="C1056" s="11">
        <v>3</v>
      </c>
      <c r="D1056" s="12" t="s">
        <v>21</v>
      </c>
      <c r="E1056" s="10">
        <v>43634</v>
      </c>
      <c r="F1056" s="8" t="s">
        <v>263</v>
      </c>
      <c r="G1056" s="19"/>
      <c r="H1056" s="18">
        <f ca="1">ROUNDDOWN(表3[[#This Row],[日期]]-TODAY(),1)</f>
        <v>-8</v>
      </c>
    </row>
    <row r="1057" spans="1:8" hidden="1" x14ac:dyDescent="0.2">
      <c r="A1057" s="19" t="s">
        <v>734</v>
      </c>
      <c r="B1057" s="41">
        <v>43642</v>
      </c>
      <c r="C1057" s="11">
        <v>4</v>
      </c>
      <c r="D1057" s="12" t="s">
        <v>149</v>
      </c>
      <c r="E1057" s="10">
        <v>43637</v>
      </c>
      <c r="F1057" s="8" t="s">
        <v>263</v>
      </c>
      <c r="G1057" s="19" t="s">
        <v>137</v>
      </c>
      <c r="H1057" s="18">
        <f ca="1">ROUNDDOWN(表3[[#This Row],[日期]]-TODAY(),1)</f>
        <v>-5</v>
      </c>
    </row>
    <row r="1058" spans="1:8" hidden="1" x14ac:dyDescent="0.2">
      <c r="A1058" s="22" t="s">
        <v>734</v>
      </c>
      <c r="B1058" s="43">
        <v>43642</v>
      </c>
      <c r="C1058" s="23">
        <v>5</v>
      </c>
      <c r="D1058" s="24" t="s">
        <v>140</v>
      </c>
      <c r="E1058" s="25">
        <v>43637</v>
      </c>
      <c r="F1058" s="26" t="s">
        <v>263</v>
      </c>
      <c r="G1058" s="22"/>
      <c r="H1058" s="21">
        <f ca="1">ROUNDDOWN(表3[[#This Row],[日期]]-TODAY(),1)</f>
        <v>-5</v>
      </c>
    </row>
    <row r="1059" spans="1:8" hidden="1" x14ac:dyDescent="0.2">
      <c r="A1059" s="22" t="s">
        <v>734</v>
      </c>
      <c r="B1059" s="43">
        <v>43642</v>
      </c>
      <c r="C1059" s="23">
        <v>6</v>
      </c>
      <c r="D1059" s="24" t="s">
        <v>883</v>
      </c>
      <c r="E1059" s="25">
        <v>43637</v>
      </c>
      <c r="F1059" s="26" t="s">
        <v>263</v>
      </c>
      <c r="G1059" s="22"/>
      <c r="H1059" s="21">
        <f ca="1">ROUNDDOWN(表3[[#This Row],[日期]]-TODAY(),1)</f>
        <v>-5</v>
      </c>
    </row>
    <row r="1060" spans="1:8" hidden="1" x14ac:dyDescent="0.2">
      <c r="A1060" s="19" t="s">
        <v>735</v>
      </c>
      <c r="B1060" s="41">
        <v>43642</v>
      </c>
      <c r="C1060" s="11">
        <v>7</v>
      </c>
      <c r="D1060" s="12" t="s">
        <v>335</v>
      </c>
      <c r="E1060" s="10">
        <v>43640</v>
      </c>
      <c r="F1060" s="8" t="s">
        <v>263</v>
      </c>
      <c r="G1060" s="19" t="s">
        <v>336</v>
      </c>
      <c r="H1060" s="18">
        <f ca="1">ROUNDDOWN(表3[[#This Row],[日期]]-TODAY(),1)</f>
        <v>-2</v>
      </c>
    </row>
    <row r="1061" spans="1:8" hidden="1" x14ac:dyDescent="0.2">
      <c r="A1061" s="19" t="s">
        <v>734</v>
      </c>
      <c r="B1061" s="41">
        <v>43642</v>
      </c>
      <c r="C1061" s="11">
        <v>8</v>
      </c>
      <c r="D1061" s="12" t="s">
        <v>337</v>
      </c>
      <c r="E1061" s="10">
        <v>43640</v>
      </c>
      <c r="F1061" s="8" t="s">
        <v>263</v>
      </c>
      <c r="G1061" s="19" t="s">
        <v>336</v>
      </c>
      <c r="H1061" s="18">
        <f ca="1">ROUNDDOWN(表3[[#This Row],[日期]]-TODAY(),1)</f>
        <v>-2</v>
      </c>
    </row>
    <row r="1062" spans="1:8" hidden="1" x14ac:dyDescent="0.2">
      <c r="A1062" s="19" t="s">
        <v>734</v>
      </c>
      <c r="B1062" s="41">
        <v>43642</v>
      </c>
      <c r="C1062" s="11">
        <v>9</v>
      </c>
      <c r="D1062" s="12" t="s">
        <v>965</v>
      </c>
      <c r="E1062" s="10">
        <v>43640</v>
      </c>
      <c r="F1062" s="8" t="s">
        <v>263</v>
      </c>
      <c r="G1062" s="19" t="s">
        <v>153</v>
      </c>
      <c r="H1062" s="18">
        <f ca="1">ROUNDDOWN(表3[[#This Row],[日期]]-TODAY(),1)</f>
        <v>-2</v>
      </c>
    </row>
    <row r="1063" spans="1:8" hidden="1" x14ac:dyDescent="0.2">
      <c r="A1063" s="19" t="s">
        <v>734</v>
      </c>
      <c r="B1063" s="41">
        <v>43642</v>
      </c>
      <c r="C1063" s="11">
        <v>10</v>
      </c>
      <c r="D1063" s="12" t="s">
        <v>333</v>
      </c>
      <c r="E1063" s="10">
        <v>43640</v>
      </c>
      <c r="F1063" s="8" t="s">
        <v>263</v>
      </c>
      <c r="G1063" s="19" t="s">
        <v>143</v>
      </c>
      <c r="H1063" s="18">
        <f ca="1">ROUNDDOWN(表3[[#This Row],[日期]]-TODAY(),1)</f>
        <v>-2</v>
      </c>
    </row>
    <row r="1064" spans="1:8" hidden="1" x14ac:dyDescent="0.2">
      <c r="A1064" s="19" t="s">
        <v>734</v>
      </c>
      <c r="B1064" s="41">
        <v>43642</v>
      </c>
      <c r="C1064" s="11">
        <v>11</v>
      </c>
      <c r="D1064" s="12" t="s">
        <v>995</v>
      </c>
      <c r="E1064" s="10">
        <v>43640</v>
      </c>
      <c r="F1064" s="8" t="s">
        <v>263</v>
      </c>
      <c r="G1064" s="19"/>
      <c r="H1064" s="18">
        <f ca="1">ROUNDDOWN(表3[[#This Row],[日期]]-TODAY(),1)</f>
        <v>-2</v>
      </c>
    </row>
    <row r="1065" spans="1:8" hidden="1" x14ac:dyDescent="0.2">
      <c r="A1065" s="19" t="s">
        <v>155</v>
      </c>
      <c r="B1065" s="41">
        <v>43642</v>
      </c>
      <c r="C1065" s="11">
        <v>12</v>
      </c>
      <c r="D1065" s="12" t="s">
        <v>996</v>
      </c>
      <c r="E1065" s="10">
        <v>43640</v>
      </c>
      <c r="F1065" s="8" t="s">
        <v>263</v>
      </c>
      <c r="G1065" s="19"/>
      <c r="H1065" s="18">
        <f ca="1">ROUNDDOWN(表3[[#This Row],[日期]]-TODAY(),1)</f>
        <v>-2</v>
      </c>
    </row>
    <row r="1066" spans="1:8" hidden="1" x14ac:dyDescent="0.2">
      <c r="A1066" s="19" t="s">
        <v>734</v>
      </c>
      <c r="B1066" s="41">
        <v>43642</v>
      </c>
      <c r="C1066" s="11">
        <v>13</v>
      </c>
      <c r="D1066" s="12" t="s">
        <v>215</v>
      </c>
      <c r="E1066" s="10">
        <v>43641</v>
      </c>
      <c r="F1066" s="8" t="s">
        <v>263</v>
      </c>
      <c r="G1066" s="19"/>
      <c r="H1066" s="18">
        <f ca="1">ROUNDDOWN(表3[[#This Row],[日期]]-TODAY(),1)</f>
        <v>-1</v>
      </c>
    </row>
    <row r="1067" spans="1:8" hidden="1" x14ac:dyDescent="0.2">
      <c r="A1067" s="19" t="s">
        <v>735</v>
      </c>
      <c r="B1067" s="41">
        <v>43642</v>
      </c>
      <c r="C1067" s="11">
        <v>14</v>
      </c>
      <c r="D1067" s="12" t="s">
        <v>338</v>
      </c>
      <c r="E1067" s="10">
        <v>43641</v>
      </c>
      <c r="F1067" s="8" t="s">
        <v>263</v>
      </c>
      <c r="G1067" s="19" t="s">
        <v>336</v>
      </c>
      <c r="H1067" s="18">
        <f ca="1">ROUNDDOWN(表3[[#This Row],[日期]]-TODAY(),1)</f>
        <v>-1</v>
      </c>
    </row>
    <row r="1068" spans="1:8" hidden="1" x14ac:dyDescent="0.2">
      <c r="A1068" s="19" t="s">
        <v>734</v>
      </c>
      <c r="B1068" s="41">
        <v>43642</v>
      </c>
      <c r="C1068" s="11">
        <v>15</v>
      </c>
      <c r="D1068" s="12" t="s">
        <v>339</v>
      </c>
      <c r="E1068" s="10">
        <v>43641</v>
      </c>
      <c r="F1068" s="8" t="s">
        <v>263</v>
      </c>
      <c r="G1068" s="19" t="s">
        <v>336</v>
      </c>
      <c r="H1068" s="18">
        <f ca="1">ROUNDDOWN(表3[[#This Row],[日期]]-TODAY(),1)</f>
        <v>-1</v>
      </c>
    </row>
    <row r="1069" spans="1:8" hidden="1" x14ac:dyDescent="0.2">
      <c r="A1069" s="22" t="s">
        <v>735</v>
      </c>
      <c r="B1069" s="43">
        <v>43642</v>
      </c>
      <c r="C1069" s="23">
        <v>16</v>
      </c>
      <c r="D1069" s="24" t="s">
        <v>87</v>
      </c>
      <c r="E1069" s="25">
        <v>43641</v>
      </c>
      <c r="F1069" s="26" t="s">
        <v>263</v>
      </c>
      <c r="G1069" s="22"/>
      <c r="H1069" s="21">
        <f ca="1">ROUNDDOWN(表3[[#This Row],[日期]]-TODAY(),1)</f>
        <v>-1</v>
      </c>
    </row>
    <row r="1070" spans="1:8" hidden="1" x14ac:dyDescent="0.2">
      <c r="A1070" s="19" t="s">
        <v>734</v>
      </c>
      <c r="B1070" s="41">
        <v>43642</v>
      </c>
      <c r="C1070" s="11">
        <v>17</v>
      </c>
      <c r="D1070" s="12" t="s">
        <v>89</v>
      </c>
      <c r="E1070" s="10">
        <v>43641</v>
      </c>
      <c r="F1070" s="8" t="s">
        <v>263</v>
      </c>
      <c r="G1070" s="19"/>
      <c r="H1070" s="18">
        <f ca="1">ROUNDDOWN(表3[[#This Row],[日期]]-TODAY(),1)</f>
        <v>-1</v>
      </c>
    </row>
    <row r="1071" spans="1:8" hidden="1" x14ac:dyDescent="0.2">
      <c r="A1071" s="19" t="s">
        <v>734</v>
      </c>
      <c r="B1071" s="41">
        <v>43642</v>
      </c>
      <c r="C1071" s="11">
        <v>18</v>
      </c>
      <c r="D1071" s="12" t="s">
        <v>91</v>
      </c>
      <c r="E1071" s="10">
        <v>43642</v>
      </c>
      <c r="F1071" s="8" t="s">
        <v>263</v>
      </c>
      <c r="G1071" s="19"/>
      <c r="H1071" s="18">
        <f ca="1">ROUNDDOWN(表3[[#This Row],[日期]]-TODAY(),1)</f>
        <v>0</v>
      </c>
    </row>
    <row r="1072" spans="1:8" hidden="1" x14ac:dyDescent="0.2">
      <c r="A1072" s="19" t="s">
        <v>734</v>
      </c>
      <c r="B1072" s="41">
        <v>43642</v>
      </c>
      <c r="C1072" s="11">
        <v>19</v>
      </c>
      <c r="D1072" s="12" t="s">
        <v>881</v>
      </c>
      <c r="E1072" s="10">
        <v>43643</v>
      </c>
      <c r="F1072" s="8" t="s">
        <v>209</v>
      </c>
      <c r="G1072" s="19"/>
      <c r="H1072" s="18">
        <f ca="1">ROUNDDOWN(表3[[#This Row],[日期]]-TODAY(),1)</f>
        <v>1</v>
      </c>
    </row>
    <row r="1073" spans="1:8" hidden="1" x14ac:dyDescent="0.2">
      <c r="A1073" s="19" t="s">
        <v>734</v>
      </c>
      <c r="B1073" s="41">
        <v>43642</v>
      </c>
      <c r="C1073" s="11">
        <v>20</v>
      </c>
      <c r="D1073" s="12" t="s">
        <v>259</v>
      </c>
      <c r="E1073" s="10">
        <v>43642</v>
      </c>
      <c r="F1073" s="8" t="s">
        <v>263</v>
      </c>
      <c r="G1073" s="19"/>
      <c r="H1073" s="18">
        <f ca="1">ROUNDDOWN(表3[[#This Row],[日期]]-TODAY(),1)</f>
        <v>0</v>
      </c>
    </row>
    <row r="1074" spans="1:8" hidden="1" x14ac:dyDescent="0.2">
      <c r="A1074" s="19" t="s">
        <v>2</v>
      </c>
      <c r="B1074" s="41">
        <v>43642</v>
      </c>
      <c r="C1074" s="11">
        <v>1</v>
      </c>
      <c r="D1074" s="12" t="s">
        <v>523</v>
      </c>
      <c r="E1074" s="10">
        <v>43633</v>
      </c>
      <c r="F1074" s="8" t="s">
        <v>1000</v>
      </c>
      <c r="G1074" s="19" t="s">
        <v>29</v>
      </c>
      <c r="H1074" s="18">
        <f ca="1">ROUNDDOWN(表3[[#This Row],[日期]]-TODAY(),1)</f>
        <v>-9</v>
      </c>
    </row>
    <row r="1075" spans="1:8" hidden="1" x14ac:dyDescent="0.2">
      <c r="A1075" s="19" t="s">
        <v>2</v>
      </c>
      <c r="B1075" s="41">
        <v>43642</v>
      </c>
      <c r="C1075" s="11">
        <v>2</v>
      </c>
      <c r="D1075" s="12" t="s">
        <v>224</v>
      </c>
      <c r="E1075" s="10">
        <v>43633</v>
      </c>
      <c r="F1075" s="8" t="s">
        <v>263</v>
      </c>
      <c r="G1075" s="19"/>
      <c r="H1075" s="18">
        <f ca="1">ROUNDDOWN(表3[[#This Row],[日期]]-TODAY(),1)</f>
        <v>-9</v>
      </c>
    </row>
    <row r="1076" spans="1:8" hidden="1" x14ac:dyDescent="0.2">
      <c r="A1076" s="19" t="s">
        <v>2</v>
      </c>
      <c r="B1076" s="41">
        <v>43642</v>
      </c>
      <c r="C1076" s="11">
        <v>3</v>
      </c>
      <c r="D1076" s="12" t="s">
        <v>60</v>
      </c>
      <c r="E1076" s="10">
        <v>43633</v>
      </c>
      <c r="F1076" s="8" t="s">
        <v>263</v>
      </c>
      <c r="G1076" s="19" t="s">
        <v>31</v>
      </c>
      <c r="H1076" s="18">
        <f ca="1">ROUNDDOWN(表3[[#This Row],[日期]]-TODAY(),1)</f>
        <v>-9</v>
      </c>
    </row>
    <row r="1077" spans="1:8" hidden="1" x14ac:dyDescent="0.2">
      <c r="A1077" s="19" t="s">
        <v>2</v>
      </c>
      <c r="B1077" s="41">
        <v>43642</v>
      </c>
      <c r="C1077" s="11">
        <v>4</v>
      </c>
      <c r="D1077" s="12" t="s">
        <v>61</v>
      </c>
      <c r="E1077" s="10">
        <v>43633</v>
      </c>
      <c r="F1077" s="8" t="s">
        <v>263</v>
      </c>
      <c r="G1077" s="19"/>
      <c r="H1077" s="18">
        <f ca="1">ROUNDDOWN(表3[[#This Row],[日期]]-TODAY(),1)</f>
        <v>-9</v>
      </c>
    </row>
    <row r="1078" spans="1:8" hidden="1" x14ac:dyDescent="0.2">
      <c r="A1078" s="19" t="s">
        <v>2</v>
      </c>
      <c r="B1078" s="41">
        <v>43642</v>
      </c>
      <c r="C1078" s="11">
        <v>5</v>
      </c>
      <c r="D1078" s="12" t="s">
        <v>62</v>
      </c>
      <c r="E1078" s="10">
        <v>43634</v>
      </c>
      <c r="F1078" s="8" t="s">
        <v>263</v>
      </c>
      <c r="G1078" s="19" t="s">
        <v>43</v>
      </c>
      <c r="H1078" s="18">
        <f ca="1">ROUNDDOWN(表3[[#This Row],[日期]]-TODAY(),1)</f>
        <v>-8</v>
      </c>
    </row>
    <row r="1079" spans="1:8" hidden="1" x14ac:dyDescent="0.2">
      <c r="A1079" s="22" t="s">
        <v>2</v>
      </c>
      <c r="B1079" s="43">
        <v>43642</v>
      </c>
      <c r="C1079" s="23">
        <v>6</v>
      </c>
      <c r="D1079" s="24" t="s">
        <v>19</v>
      </c>
      <c r="E1079" s="25">
        <v>43634</v>
      </c>
      <c r="F1079" s="26" t="s">
        <v>263</v>
      </c>
      <c r="G1079" s="22"/>
      <c r="H1079" s="21">
        <f ca="1">ROUNDDOWN(表3[[#This Row],[日期]]-TODAY(),1)</f>
        <v>-8</v>
      </c>
    </row>
    <row r="1080" spans="1:8" hidden="1" x14ac:dyDescent="0.2">
      <c r="A1080" s="22" t="s">
        <v>2</v>
      </c>
      <c r="B1080" s="43">
        <v>43642</v>
      </c>
      <c r="C1080" s="23">
        <v>7</v>
      </c>
      <c r="D1080" s="24" t="s">
        <v>21</v>
      </c>
      <c r="E1080" s="25">
        <v>43634</v>
      </c>
      <c r="F1080" s="26" t="s">
        <v>263</v>
      </c>
      <c r="G1080" s="22"/>
      <c r="H1080" s="21">
        <f ca="1">ROUNDDOWN(表3[[#This Row],[日期]]-TODAY(),1)</f>
        <v>-8</v>
      </c>
    </row>
    <row r="1081" spans="1:8" hidden="1" x14ac:dyDescent="0.2">
      <c r="A1081" s="22" t="s">
        <v>2</v>
      </c>
      <c r="B1081" s="43">
        <v>43642</v>
      </c>
      <c r="C1081" s="23">
        <v>8</v>
      </c>
      <c r="D1081" s="24" t="s">
        <v>7</v>
      </c>
      <c r="E1081" s="25">
        <v>43634</v>
      </c>
      <c r="F1081" s="26" t="s">
        <v>263</v>
      </c>
      <c r="G1081" s="22"/>
      <c r="H1081" s="21">
        <f ca="1">ROUNDDOWN(表3[[#This Row],[日期]]-TODAY(),1)</f>
        <v>-8</v>
      </c>
    </row>
    <row r="1082" spans="1:8" hidden="1" x14ac:dyDescent="0.2">
      <c r="A1082" s="19" t="s">
        <v>2</v>
      </c>
      <c r="B1082" s="41">
        <v>43642</v>
      </c>
      <c r="C1082" s="11">
        <v>9</v>
      </c>
      <c r="D1082" s="12" t="s">
        <v>9</v>
      </c>
      <c r="E1082" s="10">
        <v>43634</v>
      </c>
      <c r="F1082" s="8" t="s">
        <v>263</v>
      </c>
      <c r="G1082" s="19"/>
      <c r="H1082" s="18">
        <f ca="1">ROUNDDOWN(表3[[#This Row],[日期]]-TODAY(),1)</f>
        <v>-8</v>
      </c>
    </row>
    <row r="1083" spans="1:8" hidden="1" x14ac:dyDescent="0.2">
      <c r="A1083" s="19" t="s">
        <v>2</v>
      </c>
      <c r="B1083" s="41">
        <v>43642</v>
      </c>
      <c r="C1083" s="11">
        <v>10</v>
      </c>
      <c r="D1083" s="12" t="s">
        <v>11</v>
      </c>
      <c r="E1083" s="10">
        <v>43634</v>
      </c>
      <c r="F1083" s="8" t="s">
        <v>263</v>
      </c>
      <c r="G1083" s="19" t="s">
        <v>32</v>
      </c>
      <c r="H1083" s="18">
        <f ca="1">ROUNDDOWN(表3[[#This Row],[日期]]-TODAY(),1)</f>
        <v>-8</v>
      </c>
    </row>
    <row r="1084" spans="1:8" hidden="1" x14ac:dyDescent="0.2">
      <c r="A1084" s="19" t="s">
        <v>2</v>
      </c>
      <c r="B1084" s="41">
        <v>43642</v>
      </c>
      <c r="C1084" s="11">
        <v>11</v>
      </c>
      <c r="D1084" s="12" t="s">
        <v>58</v>
      </c>
      <c r="E1084" s="10">
        <v>43634</v>
      </c>
      <c r="F1084" s="8" t="s">
        <v>263</v>
      </c>
      <c r="G1084" s="19"/>
      <c r="H1084" s="18">
        <f ca="1">ROUNDDOWN(表3[[#This Row],[日期]]-TODAY(),1)</f>
        <v>-8</v>
      </c>
    </row>
    <row r="1085" spans="1:8" hidden="1" x14ac:dyDescent="0.2">
      <c r="A1085" s="19" t="s">
        <v>2</v>
      </c>
      <c r="B1085" s="41">
        <v>43642</v>
      </c>
      <c r="C1085" s="11">
        <v>12</v>
      </c>
      <c r="D1085" s="12" t="s">
        <v>524</v>
      </c>
      <c r="E1085" s="10">
        <v>43636</v>
      </c>
      <c r="F1085" s="8" t="s">
        <v>263</v>
      </c>
      <c r="G1085" s="19" t="s">
        <v>34</v>
      </c>
      <c r="H1085" s="18">
        <f ca="1">ROUNDDOWN(表3[[#This Row],[日期]]-TODAY(),1)</f>
        <v>-6</v>
      </c>
    </row>
    <row r="1086" spans="1:8" hidden="1" x14ac:dyDescent="0.2">
      <c r="A1086" s="19" t="s">
        <v>2</v>
      </c>
      <c r="B1086" s="41">
        <v>43642</v>
      </c>
      <c r="C1086" s="11">
        <v>13</v>
      </c>
      <c r="D1086" s="12" t="s">
        <v>39</v>
      </c>
      <c r="E1086" s="10">
        <v>43636</v>
      </c>
      <c r="F1086" s="8" t="s">
        <v>263</v>
      </c>
      <c r="G1086" s="19"/>
      <c r="H1086" s="18">
        <f ca="1">ROUNDDOWN(表3[[#This Row],[日期]]-TODAY(),1)</f>
        <v>-6</v>
      </c>
    </row>
    <row r="1087" spans="1:8" hidden="1" x14ac:dyDescent="0.2">
      <c r="A1087" s="19" t="s">
        <v>2</v>
      </c>
      <c r="B1087" s="41">
        <v>43642</v>
      </c>
      <c r="C1087" s="11">
        <v>14</v>
      </c>
      <c r="D1087" s="12" t="s">
        <v>23</v>
      </c>
      <c r="E1087" s="10">
        <v>43636</v>
      </c>
      <c r="F1087" s="8" t="s">
        <v>263</v>
      </c>
      <c r="G1087" s="19"/>
      <c r="H1087" s="18">
        <f ca="1">ROUNDDOWN(表3[[#This Row],[日期]]-TODAY(),1)</f>
        <v>-6</v>
      </c>
    </row>
    <row r="1088" spans="1:8" hidden="1" x14ac:dyDescent="0.2">
      <c r="A1088" s="19" t="s">
        <v>2</v>
      </c>
      <c r="B1088" s="41">
        <v>43642</v>
      </c>
      <c r="C1088" s="11">
        <v>15</v>
      </c>
      <c r="D1088" s="12" t="s">
        <v>25</v>
      </c>
      <c r="E1088" s="10">
        <v>43636</v>
      </c>
      <c r="F1088" s="8" t="s">
        <v>263</v>
      </c>
      <c r="G1088" s="19"/>
      <c r="H1088" s="18">
        <f ca="1">ROUNDDOWN(表3[[#This Row],[日期]]-TODAY(),1)</f>
        <v>-6</v>
      </c>
    </row>
    <row r="1089" spans="1:8" hidden="1" x14ac:dyDescent="0.2">
      <c r="A1089" s="19" t="s">
        <v>2</v>
      </c>
      <c r="B1089" s="41">
        <v>43642</v>
      </c>
      <c r="C1089" s="11">
        <v>16</v>
      </c>
      <c r="D1089" s="12" t="s">
        <v>13</v>
      </c>
      <c r="E1089" s="10">
        <v>43636</v>
      </c>
      <c r="F1089" s="8" t="s">
        <v>263</v>
      </c>
      <c r="G1089" s="19"/>
      <c r="H1089" s="18">
        <f ca="1">ROUNDDOWN(表3[[#This Row],[日期]]-TODAY(),1)</f>
        <v>-6</v>
      </c>
    </row>
    <row r="1090" spans="1:8" hidden="1" x14ac:dyDescent="0.2">
      <c r="A1090" s="22" t="s">
        <v>2</v>
      </c>
      <c r="B1090" s="43">
        <v>43642</v>
      </c>
      <c r="C1090" s="23">
        <v>17</v>
      </c>
      <c r="D1090" s="24" t="s">
        <v>15</v>
      </c>
      <c r="E1090" s="25">
        <v>43636</v>
      </c>
      <c r="F1090" s="26" t="s">
        <v>263</v>
      </c>
      <c r="G1090" s="22"/>
      <c r="H1090" s="21">
        <f ca="1">ROUNDDOWN(表3[[#This Row],[日期]]-TODAY(),1)</f>
        <v>-6</v>
      </c>
    </row>
    <row r="1091" spans="1:8" hidden="1" x14ac:dyDescent="0.2">
      <c r="A1091" s="19" t="s">
        <v>2</v>
      </c>
      <c r="B1091" s="41">
        <v>43642</v>
      </c>
      <c r="C1091" s="11">
        <v>18</v>
      </c>
      <c r="D1091" s="12" t="s">
        <v>17</v>
      </c>
      <c r="E1091" s="10">
        <v>43636</v>
      </c>
      <c r="F1091" s="8" t="s">
        <v>263</v>
      </c>
      <c r="G1091" s="19"/>
      <c r="H1091" s="18">
        <f ca="1">ROUNDDOWN(表3[[#This Row],[日期]]-TODAY(),1)</f>
        <v>-6</v>
      </c>
    </row>
    <row r="1092" spans="1:8" hidden="1" x14ac:dyDescent="0.2">
      <c r="A1092" s="19" t="s">
        <v>2</v>
      </c>
      <c r="B1092" s="41">
        <v>43642</v>
      </c>
      <c r="C1092" s="11">
        <v>19</v>
      </c>
      <c r="D1092" s="12" t="s">
        <v>56</v>
      </c>
      <c r="E1092" s="10">
        <v>43636</v>
      </c>
      <c r="F1092" s="8" t="s">
        <v>263</v>
      </c>
      <c r="G1092" s="19"/>
      <c r="H1092" s="18">
        <f ca="1">ROUNDDOWN(表3[[#This Row],[日期]]-TODAY(),1)</f>
        <v>-6</v>
      </c>
    </row>
    <row r="1093" spans="1:8" hidden="1" x14ac:dyDescent="0.2">
      <c r="A1093" s="19" t="s">
        <v>2</v>
      </c>
      <c r="B1093" s="41">
        <v>43642</v>
      </c>
      <c r="C1093" s="23">
        <v>20</v>
      </c>
      <c r="D1093" s="24" t="s">
        <v>997</v>
      </c>
      <c r="E1093" s="25">
        <v>43637</v>
      </c>
      <c r="F1093" s="26" t="s">
        <v>263</v>
      </c>
      <c r="G1093" s="22" t="s">
        <v>36</v>
      </c>
      <c r="H1093" s="21">
        <f ca="1">ROUNDDOWN(表3[[#This Row],[日期]]-TODAY(),1)</f>
        <v>-5</v>
      </c>
    </row>
    <row r="1094" spans="1:8" hidden="1" x14ac:dyDescent="0.2">
      <c r="A1094" s="19" t="s">
        <v>2</v>
      </c>
      <c r="B1094" s="41">
        <v>43642</v>
      </c>
      <c r="C1094" s="11">
        <v>21</v>
      </c>
      <c r="D1094" s="12" t="s">
        <v>38</v>
      </c>
      <c r="E1094" s="10">
        <v>43637</v>
      </c>
      <c r="F1094" s="8" t="s">
        <v>263</v>
      </c>
      <c r="G1094" s="19"/>
      <c r="H1094" s="18">
        <f ca="1">ROUNDDOWN(表3[[#This Row],[日期]]-TODAY(),1)</f>
        <v>-5</v>
      </c>
    </row>
    <row r="1095" spans="1:8" hidden="1" x14ac:dyDescent="0.2">
      <c r="A1095" s="19" t="s">
        <v>2</v>
      </c>
      <c r="B1095" s="41">
        <v>43642</v>
      </c>
      <c r="C1095" s="11">
        <v>22</v>
      </c>
      <c r="D1095" s="12" t="s">
        <v>41</v>
      </c>
      <c r="E1095" s="10">
        <v>43637</v>
      </c>
      <c r="F1095" s="8" t="s">
        <v>263</v>
      </c>
      <c r="G1095" s="19"/>
      <c r="H1095" s="18">
        <f ca="1">ROUNDDOWN(表3[[#This Row],[日期]]-TODAY(),1)</f>
        <v>-5</v>
      </c>
    </row>
    <row r="1096" spans="1:8" hidden="1" x14ac:dyDescent="0.2">
      <c r="A1096" s="19" t="s">
        <v>2</v>
      </c>
      <c r="B1096" s="41">
        <v>43642</v>
      </c>
      <c r="C1096" s="11">
        <v>23</v>
      </c>
      <c r="D1096" s="12" t="s">
        <v>508</v>
      </c>
      <c r="E1096" s="10">
        <v>43637</v>
      </c>
      <c r="F1096" s="8" t="s">
        <v>263</v>
      </c>
      <c r="G1096" s="19" t="s">
        <v>43</v>
      </c>
      <c r="H1096" s="18">
        <f ca="1">ROUNDDOWN(表3[[#This Row],[日期]]-TODAY(),1)</f>
        <v>-5</v>
      </c>
    </row>
    <row r="1097" spans="1:8" hidden="1" x14ac:dyDescent="0.2">
      <c r="A1097" s="19" t="s">
        <v>2</v>
      </c>
      <c r="B1097" s="41">
        <v>43642</v>
      </c>
      <c r="C1097" s="11">
        <v>24</v>
      </c>
      <c r="D1097" s="12" t="s">
        <v>225</v>
      </c>
      <c r="E1097" s="10">
        <v>43637</v>
      </c>
      <c r="F1097" s="8" t="s">
        <v>263</v>
      </c>
      <c r="G1097" s="19" t="s">
        <v>200</v>
      </c>
      <c r="H1097" s="18">
        <f ca="1">ROUNDDOWN(表3[[#This Row],[日期]]-TODAY(),1)</f>
        <v>-5</v>
      </c>
    </row>
    <row r="1098" spans="1:8" hidden="1" x14ac:dyDescent="0.2">
      <c r="A1098" s="19" t="s">
        <v>2</v>
      </c>
      <c r="B1098" s="41">
        <v>43642</v>
      </c>
      <c r="C1098" s="11">
        <v>25</v>
      </c>
      <c r="D1098" s="12" t="s">
        <v>63</v>
      </c>
      <c r="E1098" s="10">
        <v>43637</v>
      </c>
      <c r="F1098" s="8" t="s">
        <v>263</v>
      </c>
      <c r="G1098" s="19"/>
      <c r="H1098" s="18">
        <f ca="1">ROUNDDOWN(表3[[#This Row],[日期]]-TODAY(),1)</f>
        <v>-5</v>
      </c>
    </row>
    <row r="1099" spans="1:8" hidden="1" x14ac:dyDescent="0.2">
      <c r="A1099" s="19" t="s">
        <v>2</v>
      </c>
      <c r="B1099" s="41">
        <v>43642</v>
      </c>
      <c r="C1099" s="11">
        <v>26</v>
      </c>
      <c r="D1099" s="12" t="s">
        <v>999</v>
      </c>
      <c r="E1099" s="10">
        <v>43637</v>
      </c>
      <c r="F1099" s="8" t="s">
        <v>263</v>
      </c>
      <c r="G1099" s="19"/>
      <c r="H1099" s="18">
        <f ca="1">ROUNDDOWN(表3[[#This Row],[日期]]-TODAY(),1)</f>
        <v>-5</v>
      </c>
    </row>
    <row r="1100" spans="1:8" hidden="1" x14ac:dyDescent="0.2">
      <c r="A1100" s="19" t="s">
        <v>2</v>
      </c>
      <c r="B1100" s="41">
        <v>43642</v>
      </c>
      <c r="C1100" s="11">
        <v>27</v>
      </c>
      <c r="D1100" s="12" t="s">
        <v>81</v>
      </c>
      <c r="E1100" s="10">
        <v>43637</v>
      </c>
      <c r="F1100" s="8" t="s">
        <v>263</v>
      </c>
      <c r="G1100" s="19"/>
      <c r="H1100" s="18">
        <f ca="1">ROUNDDOWN(表3[[#This Row],[日期]]-TODAY(),1)</f>
        <v>-5</v>
      </c>
    </row>
    <row r="1101" spans="1:8" hidden="1" x14ac:dyDescent="0.2">
      <c r="A1101" s="19" t="s">
        <v>2</v>
      </c>
      <c r="B1101" s="41">
        <v>43642</v>
      </c>
      <c r="C1101" s="11">
        <v>28</v>
      </c>
      <c r="D1101" s="12" t="s">
        <v>77</v>
      </c>
      <c r="E1101" s="10">
        <v>43637</v>
      </c>
      <c r="F1101" s="8" t="s">
        <v>263</v>
      </c>
      <c r="G1101" s="19"/>
      <c r="H1101" s="18">
        <f ca="1">ROUNDDOWN(表3[[#This Row],[日期]]-TODAY(),1)</f>
        <v>-5</v>
      </c>
    </row>
    <row r="1102" spans="1:8" hidden="1" x14ac:dyDescent="0.2">
      <c r="A1102" s="19" t="s">
        <v>2</v>
      </c>
      <c r="B1102" s="41">
        <v>43642</v>
      </c>
      <c r="C1102" s="11">
        <v>29</v>
      </c>
      <c r="D1102" s="12" t="s">
        <v>79</v>
      </c>
      <c r="E1102" s="10">
        <v>43637</v>
      </c>
      <c r="F1102" s="8" t="s">
        <v>263</v>
      </c>
      <c r="G1102" s="19"/>
      <c r="H1102" s="18">
        <f ca="1">ROUNDDOWN(表3[[#This Row],[日期]]-TODAY(),1)</f>
        <v>-5</v>
      </c>
    </row>
    <row r="1103" spans="1:8" hidden="1" x14ac:dyDescent="0.2">
      <c r="A1103" s="19" t="s">
        <v>2</v>
      </c>
      <c r="B1103" s="41">
        <v>43642</v>
      </c>
      <c r="C1103" s="11">
        <v>31</v>
      </c>
      <c r="D1103" s="12" t="s">
        <v>49</v>
      </c>
      <c r="E1103" s="10">
        <v>43637</v>
      </c>
      <c r="F1103" s="8" t="s">
        <v>263</v>
      </c>
      <c r="G1103" s="19" t="s">
        <v>43</v>
      </c>
      <c r="H1103" s="18">
        <f ca="1">ROUNDDOWN(表3[[#This Row],[日期]]-TODAY(),1)</f>
        <v>-5</v>
      </c>
    </row>
    <row r="1104" spans="1:8" hidden="1" x14ac:dyDescent="0.2">
      <c r="A1104" s="19" t="s">
        <v>2</v>
      </c>
      <c r="B1104" s="41">
        <v>43642</v>
      </c>
      <c r="C1104" s="11">
        <v>32</v>
      </c>
      <c r="D1104" s="12" t="s">
        <v>54</v>
      </c>
      <c r="E1104" s="10">
        <v>43637</v>
      </c>
      <c r="F1104" s="8" t="s">
        <v>263</v>
      </c>
      <c r="G1104" s="19"/>
      <c r="H1104" s="18">
        <f ca="1">ROUNDDOWN(表3[[#This Row],[日期]]-TODAY(),1)</f>
        <v>-5</v>
      </c>
    </row>
    <row r="1105" spans="1:8" hidden="1" x14ac:dyDescent="0.2">
      <c r="A1105" s="19" t="s">
        <v>2</v>
      </c>
      <c r="B1105" s="41">
        <v>43642</v>
      </c>
      <c r="C1105" s="11">
        <v>33</v>
      </c>
      <c r="D1105" s="12" t="s">
        <v>69</v>
      </c>
      <c r="E1105" s="10">
        <v>43637</v>
      </c>
      <c r="F1105" s="8" t="s">
        <v>263</v>
      </c>
      <c r="G1105" s="19" t="s">
        <v>66</v>
      </c>
      <c r="H1105" s="18">
        <f ca="1">ROUNDDOWN(表3[[#This Row],[日期]]-TODAY(),1)</f>
        <v>-5</v>
      </c>
    </row>
    <row r="1106" spans="1:8" hidden="1" x14ac:dyDescent="0.2">
      <c r="A1106" s="19" t="s">
        <v>2</v>
      </c>
      <c r="B1106" s="41">
        <v>43642</v>
      </c>
      <c r="C1106" s="11">
        <v>34</v>
      </c>
      <c r="D1106" s="12" t="s">
        <v>64</v>
      </c>
      <c r="E1106" s="10">
        <v>43637</v>
      </c>
      <c r="F1106" s="8" t="s">
        <v>263</v>
      </c>
      <c r="G1106" s="19"/>
      <c r="H1106" s="18">
        <f ca="1">ROUNDDOWN(表3[[#This Row],[日期]]-TODAY(),1)</f>
        <v>-5</v>
      </c>
    </row>
    <row r="1107" spans="1:8" hidden="1" x14ac:dyDescent="0.2">
      <c r="A1107" s="19" t="s">
        <v>2</v>
      </c>
      <c r="B1107" s="41">
        <v>43642</v>
      </c>
      <c r="C1107" s="11">
        <v>35</v>
      </c>
      <c r="D1107" s="12" t="s">
        <v>526</v>
      </c>
      <c r="E1107" s="10">
        <v>43638</v>
      </c>
      <c r="F1107" s="8" t="s">
        <v>263</v>
      </c>
      <c r="G1107" s="19" t="s">
        <v>32</v>
      </c>
      <c r="H1107" s="18">
        <f ca="1">ROUNDDOWN(表3[[#This Row],[日期]]-TODAY(),1)</f>
        <v>-4</v>
      </c>
    </row>
    <row r="1108" spans="1:8" hidden="1" x14ac:dyDescent="0.2">
      <c r="A1108" s="19" t="s">
        <v>2</v>
      </c>
      <c r="B1108" s="41">
        <v>43642</v>
      </c>
      <c r="C1108" s="11">
        <v>36</v>
      </c>
      <c r="D1108" s="12" t="s">
        <v>527</v>
      </c>
      <c r="E1108" s="10">
        <v>43638</v>
      </c>
      <c r="F1108" s="8" t="s">
        <v>263</v>
      </c>
      <c r="G1108" s="19" t="s">
        <v>43</v>
      </c>
      <c r="H1108" s="18">
        <f ca="1">ROUNDDOWN(表3[[#This Row],[日期]]-TODAY(),1)</f>
        <v>-4</v>
      </c>
    </row>
    <row r="1109" spans="1:8" hidden="1" x14ac:dyDescent="0.2">
      <c r="A1109" s="19" t="s">
        <v>2</v>
      </c>
      <c r="B1109" s="41">
        <v>43642</v>
      </c>
      <c r="C1109" s="11">
        <v>37</v>
      </c>
      <c r="D1109" s="12" t="s">
        <v>75</v>
      </c>
      <c r="E1109" s="10">
        <v>43638</v>
      </c>
      <c r="F1109" s="8" t="s">
        <v>263</v>
      </c>
      <c r="G1109" s="19"/>
      <c r="H1109" s="18">
        <f ca="1">ROUNDDOWN(表3[[#This Row],[日期]]-TODAY(),1)</f>
        <v>-4</v>
      </c>
    </row>
    <row r="1110" spans="1:8" hidden="1" x14ac:dyDescent="0.2">
      <c r="A1110" s="19" t="s">
        <v>2</v>
      </c>
      <c r="B1110" s="41">
        <v>43642</v>
      </c>
      <c r="C1110" s="11">
        <v>38</v>
      </c>
      <c r="D1110" s="12" t="s">
        <v>83</v>
      </c>
      <c r="E1110" s="10">
        <v>43639</v>
      </c>
      <c r="F1110" s="8" t="s">
        <v>263</v>
      </c>
      <c r="G1110" s="19"/>
      <c r="H1110" s="18">
        <f ca="1">ROUNDDOWN(表3[[#This Row],[日期]]-TODAY(),1)</f>
        <v>-3</v>
      </c>
    </row>
    <row r="1111" spans="1:8" hidden="1" x14ac:dyDescent="0.2">
      <c r="A1111" s="19" t="s">
        <v>2</v>
      </c>
      <c r="B1111" s="41">
        <v>43642</v>
      </c>
      <c r="C1111" s="11">
        <v>39</v>
      </c>
      <c r="D1111" s="12" t="s">
        <v>85</v>
      </c>
      <c r="E1111" s="10">
        <v>43638</v>
      </c>
      <c r="F1111" s="8" t="s">
        <v>263</v>
      </c>
      <c r="G1111" s="19"/>
      <c r="H1111" s="18">
        <f ca="1">ROUNDDOWN(表3[[#This Row],[日期]]-TODAY(),1)</f>
        <v>-4</v>
      </c>
    </row>
    <row r="1112" spans="1:8" hidden="1" x14ac:dyDescent="0.2">
      <c r="A1112" s="19" t="s">
        <v>2</v>
      </c>
      <c r="B1112" s="41">
        <v>43642</v>
      </c>
      <c r="C1112" s="11">
        <v>40</v>
      </c>
      <c r="D1112" s="12" t="s">
        <v>172</v>
      </c>
      <c r="E1112" s="10">
        <v>43639</v>
      </c>
      <c r="F1112" s="8" t="s">
        <v>263</v>
      </c>
      <c r="G1112" s="19"/>
      <c r="H1112" s="18">
        <f ca="1">ROUNDDOWN(表3[[#This Row],[日期]]-TODAY(),1)</f>
        <v>-3</v>
      </c>
    </row>
    <row r="1113" spans="1:8" hidden="1" x14ac:dyDescent="0.2">
      <c r="A1113" s="19" t="s">
        <v>2</v>
      </c>
      <c r="B1113" s="41">
        <v>43642</v>
      </c>
      <c r="C1113" s="11">
        <v>41</v>
      </c>
      <c r="D1113" s="12" t="s">
        <v>71</v>
      </c>
      <c r="E1113" s="10">
        <v>43639</v>
      </c>
      <c r="F1113" s="8" t="s">
        <v>263</v>
      </c>
      <c r="G1113" s="19" t="s">
        <v>73</v>
      </c>
      <c r="H1113" s="18">
        <f ca="1">ROUNDDOWN(表3[[#This Row],[日期]]-TODAY(),1)</f>
        <v>-3</v>
      </c>
    </row>
    <row r="1114" spans="1:8" hidden="1" x14ac:dyDescent="0.2">
      <c r="A1114" s="19" t="s">
        <v>2</v>
      </c>
      <c r="B1114" s="41">
        <v>43642</v>
      </c>
      <c r="C1114" s="11">
        <v>42</v>
      </c>
      <c r="D1114" s="12" t="s">
        <v>87</v>
      </c>
      <c r="E1114" s="10">
        <v>43639</v>
      </c>
      <c r="F1114" s="8" t="s">
        <v>263</v>
      </c>
      <c r="G1114" s="19"/>
      <c r="H1114" s="18">
        <f ca="1">ROUNDDOWN(表3[[#This Row],[日期]]-TODAY(),1)</f>
        <v>-3</v>
      </c>
    </row>
    <row r="1115" spans="1:8" hidden="1" x14ac:dyDescent="0.2">
      <c r="A1115" s="19" t="s">
        <v>2</v>
      </c>
      <c r="B1115" s="41">
        <v>43642</v>
      </c>
      <c r="C1115" s="11">
        <v>43</v>
      </c>
      <c r="D1115" s="12" t="s">
        <v>89</v>
      </c>
      <c r="E1115" s="10">
        <v>43640</v>
      </c>
      <c r="F1115" s="8" t="s">
        <v>263</v>
      </c>
      <c r="G1115" s="19"/>
      <c r="H1115" s="18">
        <f ca="1">ROUNDDOWN(表3[[#This Row],[日期]]-TODAY(),1)</f>
        <v>-2</v>
      </c>
    </row>
    <row r="1116" spans="1:8" hidden="1" x14ac:dyDescent="0.2">
      <c r="A1116" s="19" t="s">
        <v>2</v>
      </c>
      <c r="B1116" s="41">
        <v>43642</v>
      </c>
      <c r="C1116" s="11">
        <v>44</v>
      </c>
      <c r="D1116" s="12" t="s">
        <v>91</v>
      </c>
      <c r="E1116" s="10">
        <v>43643</v>
      </c>
      <c r="F1116" s="8" t="s">
        <v>209</v>
      </c>
      <c r="G1116" s="19"/>
      <c r="H1116" s="18">
        <f ca="1">ROUNDDOWN(表3[[#This Row],[日期]]-TODAY(),1)</f>
        <v>1</v>
      </c>
    </row>
    <row r="1117" spans="1:8" hidden="1" x14ac:dyDescent="0.2">
      <c r="A1117" s="19" t="s">
        <v>2</v>
      </c>
      <c r="B1117" s="41">
        <v>43642</v>
      </c>
      <c r="C1117" s="11">
        <v>45</v>
      </c>
      <c r="D1117" s="12" t="s">
        <v>1119</v>
      </c>
      <c r="E1117" s="10">
        <v>43642</v>
      </c>
      <c r="F1117" s="8" t="s">
        <v>263</v>
      </c>
      <c r="G1117" s="19"/>
      <c r="H1117" s="18">
        <f ca="1">ROUNDDOWN(表3[[#This Row],[日期]]-TODAY(),1)</f>
        <v>0</v>
      </c>
    </row>
    <row r="1118" spans="1:8" hidden="1" x14ac:dyDescent="0.2">
      <c r="A1118" s="19" t="s">
        <v>2</v>
      </c>
      <c r="B1118" s="41">
        <v>43642</v>
      </c>
      <c r="C1118" s="11">
        <v>46</v>
      </c>
      <c r="D1118" s="12" t="s">
        <v>331</v>
      </c>
      <c r="E1118" s="10">
        <v>43644</v>
      </c>
      <c r="F1118" s="8" t="s">
        <v>209</v>
      </c>
      <c r="G1118" s="19"/>
      <c r="H1118" s="18">
        <f ca="1">ROUNDDOWN(表3[[#This Row],[日期]]-TODAY(),1)</f>
        <v>2</v>
      </c>
    </row>
    <row r="1119" spans="1:8" hidden="1" x14ac:dyDescent="0.2">
      <c r="A1119" s="19" t="s">
        <v>2</v>
      </c>
      <c r="B1119" s="41">
        <v>43642</v>
      </c>
      <c r="C1119" s="11">
        <v>47</v>
      </c>
      <c r="D1119" s="12" t="s">
        <v>95</v>
      </c>
      <c r="E1119" s="10">
        <v>43647</v>
      </c>
      <c r="F1119" s="8" t="s">
        <v>209</v>
      </c>
      <c r="G1119" s="19" t="s">
        <v>132</v>
      </c>
      <c r="H1119" s="18">
        <f ca="1">ROUNDDOWN(表3[[#This Row],[日期]]-TODAY(),1)</f>
        <v>5</v>
      </c>
    </row>
    <row r="1120" spans="1:8" hidden="1" x14ac:dyDescent="0.2">
      <c r="A1120" s="19" t="s">
        <v>800</v>
      </c>
      <c r="B1120" s="41">
        <v>43642</v>
      </c>
      <c r="C1120" s="11">
        <v>1</v>
      </c>
      <c r="D1120" s="12" t="s">
        <v>421</v>
      </c>
      <c r="E1120" s="10">
        <v>43629</v>
      </c>
      <c r="F1120" s="8" t="s">
        <v>803</v>
      </c>
      <c r="G1120" s="19"/>
      <c r="H1120" s="18">
        <f ca="1">ROUNDDOWN(表3[[#This Row],[日期]]-TODAY(),1)</f>
        <v>-13</v>
      </c>
    </row>
    <row r="1121" spans="1:8" hidden="1" x14ac:dyDescent="0.2">
      <c r="A1121" s="19" t="s">
        <v>801</v>
      </c>
      <c r="B1121" s="41">
        <v>43642</v>
      </c>
      <c r="C1121" s="11">
        <v>2</v>
      </c>
      <c r="D1121" s="12" t="s">
        <v>805</v>
      </c>
      <c r="E1121" s="10">
        <v>43629</v>
      </c>
      <c r="F1121" s="8" t="s">
        <v>263</v>
      </c>
      <c r="G1121" s="19"/>
      <c r="H1121" s="18">
        <f ca="1">ROUNDDOWN(表3[[#This Row],[日期]]-TODAY(),1)</f>
        <v>-13</v>
      </c>
    </row>
    <row r="1122" spans="1:8" hidden="1" x14ac:dyDescent="0.2">
      <c r="A1122" s="19" t="s">
        <v>800</v>
      </c>
      <c r="B1122" s="41">
        <v>43642</v>
      </c>
      <c r="C1122" s="11">
        <v>3</v>
      </c>
      <c r="D1122" s="12" t="s">
        <v>21</v>
      </c>
      <c r="E1122" s="10">
        <v>43629</v>
      </c>
      <c r="F1122" s="8" t="s">
        <v>263</v>
      </c>
      <c r="G1122" s="19"/>
      <c r="H1122" s="18">
        <f ca="1">ROUNDDOWN(表3[[#This Row],[日期]]-TODAY(),1)</f>
        <v>-13</v>
      </c>
    </row>
    <row r="1123" spans="1:8" hidden="1" x14ac:dyDescent="0.2">
      <c r="A1123" s="19" t="s">
        <v>802</v>
      </c>
      <c r="B1123" s="41">
        <v>43642</v>
      </c>
      <c r="C1123" s="11">
        <v>4</v>
      </c>
      <c r="D1123" s="12" t="s">
        <v>149</v>
      </c>
      <c r="E1123" s="10">
        <v>43636</v>
      </c>
      <c r="F1123" s="8" t="s">
        <v>263</v>
      </c>
      <c r="G1123" s="19" t="s">
        <v>137</v>
      </c>
      <c r="H1123" s="18">
        <f ca="1">ROUNDDOWN(表3[[#This Row],[日期]]-TODAY(),1)</f>
        <v>-6</v>
      </c>
    </row>
    <row r="1124" spans="1:8" hidden="1" x14ac:dyDescent="0.2">
      <c r="A1124" s="19" t="s">
        <v>801</v>
      </c>
      <c r="B1124" s="41">
        <v>43642</v>
      </c>
      <c r="C1124" s="11">
        <v>5</v>
      </c>
      <c r="D1124" s="12" t="s">
        <v>140</v>
      </c>
      <c r="E1124" s="10">
        <v>43636</v>
      </c>
      <c r="F1124" s="8" t="s">
        <v>263</v>
      </c>
      <c r="G1124" s="19"/>
      <c r="H1124" s="18">
        <f ca="1">ROUNDDOWN(表3[[#This Row],[日期]]-TODAY(),1)</f>
        <v>-6</v>
      </c>
    </row>
    <row r="1125" spans="1:8" hidden="1" x14ac:dyDescent="0.2">
      <c r="A1125" s="19" t="s">
        <v>801</v>
      </c>
      <c r="B1125" s="41">
        <v>43642</v>
      </c>
      <c r="C1125" s="11">
        <v>6</v>
      </c>
      <c r="D1125" s="12" t="s">
        <v>883</v>
      </c>
      <c r="E1125" s="10">
        <v>43636</v>
      </c>
      <c r="F1125" s="8" t="s">
        <v>263</v>
      </c>
      <c r="G1125" s="19"/>
      <c r="H1125" s="18">
        <f ca="1">ROUNDDOWN(表3[[#This Row],[日期]]-TODAY(),1)</f>
        <v>-6</v>
      </c>
    </row>
    <row r="1126" spans="1:8" hidden="1" x14ac:dyDescent="0.2">
      <c r="A1126" s="19" t="s">
        <v>800</v>
      </c>
      <c r="B1126" s="41">
        <v>43642</v>
      </c>
      <c r="C1126" s="11">
        <v>7</v>
      </c>
      <c r="D1126" s="12" t="s">
        <v>333</v>
      </c>
      <c r="E1126" s="10">
        <v>43636</v>
      </c>
      <c r="F1126" s="8" t="s">
        <v>263</v>
      </c>
      <c r="G1126" s="19" t="s">
        <v>143</v>
      </c>
      <c r="H1126" s="18">
        <f ca="1">ROUNDDOWN(表3[[#This Row],[日期]]-TODAY(),1)</f>
        <v>-6</v>
      </c>
    </row>
    <row r="1127" spans="1:8" hidden="1" x14ac:dyDescent="0.2">
      <c r="A1127" s="19" t="s">
        <v>800</v>
      </c>
      <c r="B1127" s="41">
        <v>43642</v>
      </c>
      <c r="C1127" s="11">
        <v>8</v>
      </c>
      <c r="D1127" s="12" t="s">
        <v>486</v>
      </c>
      <c r="E1127" s="10">
        <v>43637</v>
      </c>
      <c r="F1127" s="8" t="s">
        <v>263</v>
      </c>
      <c r="G1127" s="19"/>
      <c r="H1127" s="18">
        <f ca="1">ROUNDDOWN(表3[[#This Row],[日期]]-TODAY(),1)</f>
        <v>-5</v>
      </c>
    </row>
    <row r="1128" spans="1:8" hidden="1" x14ac:dyDescent="0.2">
      <c r="A1128" s="19" t="s">
        <v>800</v>
      </c>
      <c r="B1128" s="41">
        <v>43642</v>
      </c>
      <c r="C1128" s="11">
        <v>9</v>
      </c>
      <c r="D1128" s="12" t="s">
        <v>965</v>
      </c>
      <c r="E1128" s="10">
        <v>43637</v>
      </c>
      <c r="F1128" s="8" t="s">
        <v>263</v>
      </c>
      <c r="G1128" s="19" t="s">
        <v>153</v>
      </c>
      <c r="H1128" s="18">
        <f ca="1">ROUNDDOWN(表3[[#This Row],[日期]]-TODAY(),1)</f>
        <v>-5</v>
      </c>
    </row>
    <row r="1129" spans="1:8" hidden="1" x14ac:dyDescent="0.2">
      <c r="A1129" s="19" t="s">
        <v>801</v>
      </c>
      <c r="B1129" s="41">
        <v>43642</v>
      </c>
      <c r="C1129" s="11">
        <v>10</v>
      </c>
      <c r="D1129" s="12" t="s">
        <v>215</v>
      </c>
      <c r="E1129" s="10">
        <v>43637</v>
      </c>
      <c r="F1129" s="8" t="s">
        <v>263</v>
      </c>
      <c r="G1129" s="19"/>
      <c r="H1129" s="18">
        <f ca="1">ROUNDDOWN(表3[[#This Row],[日期]]-TODAY(),1)</f>
        <v>-5</v>
      </c>
    </row>
    <row r="1130" spans="1:8" hidden="1" x14ac:dyDescent="0.2">
      <c r="A1130" s="19" t="s">
        <v>800</v>
      </c>
      <c r="B1130" s="41">
        <v>43642</v>
      </c>
      <c r="C1130" s="11">
        <v>11</v>
      </c>
      <c r="D1130" s="12" t="s">
        <v>879</v>
      </c>
      <c r="E1130" s="10">
        <v>43637</v>
      </c>
      <c r="F1130" s="8" t="s">
        <v>263</v>
      </c>
      <c r="G1130" s="19" t="s">
        <v>336</v>
      </c>
      <c r="H1130" s="18">
        <f ca="1">ROUNDDOWN(表3[[#This Row],[日期]]-TODAY(),1)</f>
        <v>-5</v>
      </c>
    </row>
    <row r="1131" spans="1:8" hidden="1" x14ac:dyDescent="0.2">
      <c r="A1131" s="19" t="s">
        <v>801</v>
      </c>
      <c r="B1131" s="41">
        <v>43642</v>
      </c>
      <c r="C1131" s="11">
        <v>12</v>
      </c>
      <c r="D1131" s="12" t="s">
        <v>339</v>
      </c>
      <c r="E1131" s="10">
        <v>43637</v>
      </c>
      <c r="F1131" s="8" t="s">
        <v>263</v>
      </c>
      <c r="G1131" s="19" t="s">
        <v>336</v>
      </c>
      <c r="H1131" s="18">
        <f ca="1">ROUNDDOWN(表3[[#This Row],[日期]]-TODAY(),1)</f>
        <v>-5</v>
      </c>
    </row>
    <row r="1132" spans="1:8" hidden="1" x14ac:dyDescent="0.2">
      <c r="A1132" s="19" t="s">
        <v>800</v>
      </c>
      <c r="B1132" s="41">
        <v>43642</v>
      </c>
      <c r="C1132" s="11">
        <v>13</v>
      </c>
      <c r="D1132" s="12" t="s">
        <v>335</v>
      </c>
      <c r="E1132" s="10">
        <v>43637</v>
      </c>
      <c r="F1132" s="8" t="s">
        <v>263</v>
      </c>
      <c r="G1132" s="19" t="s">
        <v>336</v>
      </c>
      <c r="H1132" s="18">
        <f ca="1">ROUNDDOWN(表3[[#This Row],[日期]]-TODAY(),1)</f>
        <v>-5</v>
      </c>
    </row>
    <row r="1133" spans="1:8" hidden="1" x14ac:dyDescent="0.2">
      <c r="A1133" s="19" t="s">
        <v>802</v>
      </c>
      <c r="B1133" s="41">
        <v>43642</v>
      </c>
      <c r="C1133" s="11">
        <v>14</v>
      </c>
      <c r="D1133" s="12" t="s">
        <v>337</v>
      </c>
      <c r="E1133" s="10">
        <v>43638</v>
      </c>
      <c r="F1133" s="8" t="s">
        <v>263</v>
      </c>
      <c r="G1133" s="19" t="s">
        <v>336</v>
      </c>
      <c r="H1133" s="18">
        <f ca="1">ROUNDDOWN(表3[[#This Row],[日期]]-TODAY(),1)</f>
        <v>-4</v>
      </c>
    </row>
    <row r="1134" spans="1:8" hidden="1" x14ac:dyDescent="0.2">
      <c r="A1134" s="19" t="s">
        <v>800</v>
      </c>
      <c r="B1134" s="41">
        <v>43642</v>
      </c>
      <c r="C1134" s="11">
        <v>15</v>
      </c>
      <c r="D1134" s="12" t="s">
        <v>294</v>
      </c>
      <c r="E1134" s="10">
        <v>43638</v>
      </c>
      <c r="F1134" s="8" t="s">
        <v>263</v>
      </c>
      <c r="G1134" s="19"/>
      <c r="H1134" s="18">
        <f ca="1">ROUNDDOWN(表3[[#This Row],[日期]]-TODAY(),1)</f>
        <v>-4</v>
      </c>
    </row>
    <row r="1135" spans="1:8" hidden="1" x14ac:dyDescent="0.2">
      <c r="A1135" s="19" t="s">
        <v>801</v>
      </c>
      <c r="B1135" s="41">
        <v>43642</v>
      </c>
      <c r="C1135" s="11">
        <v>16</v>
      </c>
      <c r="D1135" s="12" t="s">
        <v>296</v>
      </c>
      <c r="E1135" s="10">
        <v>43640</v>
      </c>
      <c r="F1135" s="8" t="s">
        <v>263</v>
      </c>
      <c r="G1135" s="19"/>
      <c r="H1135" s="18">
        <f ca="1">ROUNDDOWN(表3[[#This Row],[日期]]-TODAY(),1)</f>
        <v>-2</v>
      </c>
    </row>
    <row r="1136" spans="1:8" hidden="1" x14ac:dyDescent="0.2">
      <c r="A1136" s="19" t="s">
        <v>800</v>
      </c>
      <c r="B1136" s="41">
        <v>43642</v>
      </c>
      <c r="C1136" s="11">
        <v>17</v>
      </c>
      <c r="D1136" s="12" t="s">
        <v>298</v>
      </c>
      <c r="E1136" s="10">
        <v>43641</v>
      </c>
      <c r="F1136" s="8" t="s">
        <v>263</v>
      </c>
      <c r="G1136" s="19"/>
      <c r="H1136" s="18">
        <f ca="1">ROUNDDOWN(表3[[#This Row],[日期]]-TODAY(),1)</f>
        <v>-1</v>
      </c>
    </row>
    <row r="1137" spans="1:8" hidden="1" x14ac:dyDescent="0.2">
      <c r="A1137" s="19" t="s">
        <v>801</v>
      </c>
      <c r="B1137" s="41">
        <v>43642</v>
      </c>
      <c r="C1137" s="11">
        <v>18</v>
      </c>
      <c r="D1137" s="12" t="s">
        <v>259</v>
      </c>
      <c r="E1137" s="10">
        <v>43642</v>
      </c>
      <c r="F1137" s="8" t="s">
        <v>263</v>
      </c>
      <c r="G1137" s="19"/>
      <c r="H1137" s="18">
        <f ca="1">ROUNDDOWN(表3[[#This Row],[日期]]-TODAY(),1)</f>
        <v>0</v>
      </c>
    </row>
    <row r="1138" spans="1:8" hidden="1" x14ac:dyDescent="0.2">
      <c r="A1138" s="19" t="s">
        <v>801</v>
      </c>
      <c r="B1138" s="41">
        <v>43642</v>
      </c>
      <c r="C1138" s="11">
        <v>19</v>
      </c>
      <c r="D1138" s="12" t="s">
        <v>331</v>
      </c>
      <c r="E1138" s="10">
        <v>43642</v>
      </c>
      <c r="F1138" s="8" t="s">
        <v>263</v>
      </c>
      <c r="G1138" s="19"/>
      <c r="H1138" s="18">
        <f ca="1">ROUNDDOWN(表3[[#This Row],[日期]]-TODAY(),1)</f>
        <v>0</v>
      </c>
    </row>
    <row r="1139" spans="1:8" hidden="1" x14ac:dyDescent="0.2">
      <c r="A1139" s="22" t="s">
        <v>2</v>
      </c>
      <c r="B1139" s="43">
        <v>43644</v>
      </c>
      <c r="C1139" s="23">
        <v>1</v>
      </c>
      <c r="D1139" s="24" t="s">
        <v>523</v>
      </c>
      <c r="E1139" s="25">
        <v>43633</v>
      </c>
      <c r="F1139" s="26" t="s">
        <v>1000</v>
      </c>
      <c r="G1139" s="22" t="s">
        <v>29</v>
      </c>
      <c r="H1139" s="21">
        <f ca="1">ROUNDDOWN(表3[[#This Row],[日期]]-TODAY(),1)</f>
        <v>-9</v>
      </c>
    </row>
    <row r="1140" spans="1:8" hidden="1" x14ac:dyDescent="0.2">
      <c r="A1140" s="19" t="s">
        <v>2</v>
      </c>
      <c r="B1140" s="41">
        <v>43644</v>
      </c>
      <c r="C1140" s="11">
        <v>2</v>
      </c>
      <c r="D1140" s="12" t="s">
        <v>224</v>
      </c>
      <c r="E1140" s="10">
        <v>43633</v>
      </c>
      <c r="F1140" s="8" t="s">
        <v>263</v>
      </c>
      <c r="G1140" s="19"/>
      <c r="H1140" s="18">
        <f ca="1">ROUNDDOWN(表3[[#This Row],[日期]]-TODAY(),1)</f>
        <v>-9</v>
      </c>
    </row>
    <row r="1141" spans="1:8" hidden="1" x14ac:dyDescent="0.2">
      <c r="A1141" s="19" t="s">
        <v>2</v>
      </c>
      <c r="B1141" s="41">
        <v>43644</v>
      </c>
      <c r="C1141" s="11">
        <v>3</v>
      </c>
      <c r="D1141" s="12" t="s">
        <v>60</v>
      </c>
      <c r="E1141" s="10">
        <v>43633</v>
      </c>
      <c r="F1141" s="8" t="s">
        <v>263</v>
      </c>
      <c r="G1141" s="19" t="s">
        <v>31</v>
      </c>
      <c r="H1141" s="18">
        <f ca="1">ROUNDDOWN(表3[[#This Row],[日期]]-TODAY(),1)</f>
        <v>-9</v>
      </c>
    </row>
    <row r="1142" spans="1:8" hidden="1" x14ac:dyDescent="0.2">
      <c r="A1142" s="19" t="s">
        <v>2</v>
      </c>
      <c r="B1142" s="41">
        <v>43644</v>
      </c>
      <c r="C1142" s="11">
        <v>4</v>
      </c>
      <c r="D1142" s="12" t="s">
        <v>61</v>
      </c>
      <c r="E1142" s="10">
        <v>43633</v>
      </c>
      <c r="F1142" s="8" t="s">
        <v>263</v>
      </c>
      <c r="G1142" s="19"/>
      <c r="H1142" s="18">
        <f ca="1">ROUNDDOWN(表3[[#This Row],[日期]]-TODAY(),1)</f>
        <v>-9</v>
      </c>
    </row>
    <row r="1143" spans="1:8" hidden="1" x14ac:dyDescent="0.2">
      <c r="A1143" s="19" t="s">
        <v>2</v>
      </c>
      <c r="B1143" s="41">
        <v>43644</v>
      </c>
      <c r="C1143" s="11">
        <v>5</v>
      </c>
      <c r="D1143" s="12" t="s">
        <v>62</v>
      </c>
      <c r="E1143" s="10">
        <v>43634</v>
      </c>
      <c r="F1143" s="8" t="s">
        <v>263</v>
      </c>
      <c r="G1143" s="19" t="s">
        <v>43</v>
      </c>
      <c r="H1143" s="18">
        <f ca="1">ROUNDDOWN(表3[[#This Row],[日期]]-TODAY(),1)</f>
        <v>-8</v>
      </c>
    </row>
    <row r="1144" spans="1:8" hidden="1" x14ac:dyDescent="0.2">
      <c r="A1144" s="19" t="s">
        <v>2</v>
      </c>
      <c r="B1144" s="41">
        <v>43644</v>
      </c>
      <c r="C1144" s="11">
        <v>6</v>
      </c>
      <c r="D1144" s="12" t="s">
        <v>19</v>
      </c>
      <c r="E1144" s="10">
        <v>43634</v>
      </c>
      <c r="F1144" s="8" t="s">
        <v>263</v>
      </c>
      <c r="G1144" s="19"/>
      <c r="H1144" s="18">
        <f ca="1">ROUNDDOWN(表3[[#This Row],[日期]]-TODAY(),1)</f>
        <v>-8</v>
      </c>
    </row>
    <row r="1145" spans="1:8" hidden="1" x14ac:dyDescent="0.2">
      <c r="A1145" s="19" t="s">
        <v>2</v>
      </c>
      <c r="B1145" s="41">
        <v>43644</v>
      </c>
      <c r="C1145" s="11">
        <v>7</v>
      </c>
      <c r="D1145" s="12" t="s">
        <v>21</v>
      </c>
      <c r="E1145" s="10">
        <v>43634</v>
      </c>
      <c r="F1145" s="8" t="s">
        <v>263</v>
      </c>
      <c r="G1145" s="19"/>
      <c r="H1145" s="18">
        <f ca="1">ROUNDDOWN(表3[[#This Row],[日期]]-TODAY(),1)</f>
        <v>-8</v>
      </c>
    </row>
    <row r="1146" spans="1:8" hidden="1" x14ac:dyDescent="0.2">
      <c r="A1146" s="19" t="s">
        <v>2</v>
      </c>
      <c r="B1146" s="41">
        <v>43644</v>
      </c>
      <c r="C1146" s="11">
        <v>8</v>
      </c>
      <c r="D1146" s="12" t="s">
        <v>7</v>
      </c>
      <c r="E1146" s="10">
        <v>43634</v>
      </c>
      <c r="F1146" s="8" t="s">
        <v>263</v>
      </c>
      <c r="G1146" s="19"/>
      <c r="H1146" s="18">
        <f ca="1">ROUNDDOWN(表3[[#This Row],[日期]]-TODAY(),1)</f>
        <v>-8</v>
      </c>
    </row>
    <row r="1147" spans="1:8" hidden="1" x14ac:dyDescent="0.2">
      <c r="A1147" s="19" t="s">
        <v>2</v>
      </c>
      <c r="B1147" s="41">
        <v>43644</v>
      </c>
      <c r="C1147" s="11">
        <v>9</v>
      </c>
      <c r="D1147" s="12" t="s">
        <v>9</v>
      </c>
      <c r="E1147" s="10">
        <v>43634</v>
      </c>
      <c r="F1147" s="8" t="s">
        <v>263</v>
      </c>
      <c r="G1147" s="19"/>
      <c r="H1147" s="18">
        <f ca="1">ROUNDDOWN(表3[[#This Row],[日期]]-TODAY(),1)</f>
        <v>-8</v>
      </c>
    </row>
    <row r="1148" spans="1:8" hidden="1" x14ac:dyDescent="0.2">
      <c r="A1148" s="19" t="s">
        <v>2</v>
      </c>
      <c r="B1148" s="41">
        <v>43644</v>
      </c>
      <c r="C1148" s="11">
        <v>9.1</v>
      </c>
      <c r="D1148" s="12" t="s">
        <v>1111</v>
      </c>
      <c r="E1148" s="10">
        <v>43635</v>
      </c>
      <c r="F1148" s="8" t="s">
        <v>263</v>
      </c>
      <c r="G1148" s="19"/>
      <c r="H1148" s="18">
        <f ca="1">ROUNDDOWN(表3[[#This Row],[日期]]-TODAY(),1)</f>
        <v>-7</v>
      </c>
    </row>
    <row r="1149" spans="1:8" hidden="1" x14ac:dyDescent="0.2">
      <c r="A1149" s="19" t="s">
        <v>2</v>
      </c>
      <c r="B1149" s="41">
        <v>43644</v>
      </c>
      <c r="C1149" s="11">
        <v>10</v>
      </c>
      <c r="D1149" s="12" t="s">
        <v>11</v>
      </c>
      <c r="E1149" s="10">
        <v>43635</v>
      </c>
      <c r="F1149" s="8" t="s">
        <v>263</v>
      </c>
      <c r="G1149" s="19" t="s">
        <v>32</v>
      </c>
      <c r="H1149" s="18">
        <f ca="1">ROUNDDOWN(表3[[#This Row],[日期]]-TODAY(),1)</f>
        <v>-7</v>
      </c>
    </row>
    <row r="1150" spans="1:8" hidden="1" x14ac:dyDescent="0.2">
      <c r="A1150" s="19" t="s">
        <v>2</v>
      </c>
      <c r="B1150" s="41">
        <v>43644</v>
      </c>
      <c r="C1150" s="11">
        <v>11</v>
      </c>
      <c r="D1150" s="12" t="s">
        <v>58</v>
      </c>
      <c r="E1150" s="10">
        <v>43635</v>
      </c>
      <c r="F1150" s="8" t="s">
        <v>263</v>
      </c>
      <c r="G1150" s="19"/>
      <c r="H1150" s="18">
        <f ca="1">ROUNDDOWN(表3[[#This Row],[日期]]-TODAY(),1)</f>
        <v>-7</v>
      </c>
    </row>
    <row r="1151" spans="1:8" hidden="1" x14ac:dyDescent="0.2">
      <c r="A1151" s="19" t="s">
        <v>2</v>
      </c>
      <c r="B1151" s="41">
        <v>43644</v>
      </c>
      <c r="C1151" s="11">
        <v>12</v>
      </c>
      <c r="D1151" s="12" t="s">
        <v>524</v>
      </c>
      <c r="E1151" s="10">
        <v>43640</v>
      </c>
      <c r="F1151" s="8" t="s">
        <v>263</v>
      </c>
      <c r="G1151" s="19" t="s">
        <v>34</v>
      </c>
      <c r="H1151" s="18">
        <f ca="1">ROUNDDOWN(表3[[#This Row],[日期]]-TODAY(),1)</f>
        <v>-2</v>
      </c>
    </row>
    <row r="1152" spans="1:8" hidden="1" x14ac:dyDescent="0.2">
      <c r="A1152" s="19" t="s">
        <v>2</v>
      </c>
      <c r="B1152" s="41">
        <v>43644</v>
      </c>
      <c r="C1152" s="11">
        <v>13</v>
      </c>
      <c r="D1152" s="12" t="s">
        <v>39</v>
      </c>
      <c r="E1152" s="10">
        <v>43640</v>
      </c>
      <c r="F1152" s="8" t="s">
        <v>263</v>
      </c>
      <c r="G1152" s="19"/>
      <c r="H1152" s="18">
        <f ca="1">ROUNDDOWN(表3[[#This Row],[日期]]-TODAY(),1)</f>
        <v>-2</v>
      </c>
    </row>
    <row r="1153" spans="1:8" hidden="1" x14ac:dyDescent="0.2">
      <c r="A1153" s="19" t="s">
        <v>2</v>
      </c>
      <c r="B1153" s="41">
        <v>43644</v>
      </c>
      <c r="C1153" s="11">
        <v>14</v>
      </c>
      <c r="D1153" s="12" t="s">
        <v>23</v>
      </c>
      <c r="E1153" s="10">
        <v>43640</v>
      </c>
      <c r="F1153" s="8" t="s">
        <v>263</v>
      </c>
      <c r="G1153" s="19"/>
      <c r="H1153" s="18">
        <f ca="1">ROUNDDOWN(表3[[#This Row],[日期]]-TODAY(),1)</f>
        <v>-2</v>
      </c>
    </row>
    <row r="1154" spans="1:8" hidden="1" x14ac:dyDescent="0.2">
      <c r="A1154" s="19" t="s">
        <v>2</v>
      </c>
      <c r="B1154" s="41">
        <v>43644</v>
      </c>
      <c r="C1154" s="11">
        <v>15</v>
      </c>
      <c r="D1154" s="12" t="s">
        <v>25</v>
      </c>
      <c r="E1154" s="10">
        <v>43640</v>
      </c>
      <c r="F1154" s="8" t="s">
        <v>263</v>
      </c>
      <c r="G1154" s="19"/>
      <c r="H1154" s="18">
        <f ca="1">ROUNDDOWN(表3[[#This Row],[日期]]-TODAY(),1)</f>
        <v>-2</v>
      </c>
    </row>
    <row r="1155" spans="1:8" hidden="1" x14ac:dyDescent="0.2">
      <c r="A1155" s="19" t="s">
        <v>2</v>
      </c>
      <c r="B1155" s="41">
        <v>43644</v>
      </c>
      <c r="C1155" s="11">
        <v>16</v>
      </c>
      <c r="D1155" s="12" t="s">
        <v>13</v>
      </c>
      <c r="E1155" s="10">
        <v>43640</v>
      </c>
      <c r="F1155" s="8" t="s">
        <v>263</v>
      </c>
      <c r="G1155" s="19"/>
      <c r="H1155" s="18">
        <f ca="1">ROUNDDOWN(表3[[#This Row],[日期]]-TODAY(),1)</f>
        <v>-2</v>
      </c>
    </row>
    <row r="1156" spans="1:8" hidden="1" x14ac:dyDescent="0.2">
      <c r="A1156" s="19" t="s">
        <v>2</v>
      </c>
      <c r="B1156" s="41">
        <v>43644</v>
      </c>
      <c r="C1156" s="11">
        <v>17</v>
      </c>
      <c r="D1156" s="12" t="s">
        <v>15</v>
      </c>
      <c r="E1156" s="10">
        <v>43640</v>
      </c>
      <c r="F1156" s="8" t="s">
        <v>263</v>
      </c>
      <c r="G1156" s="19"/>
      <c r="H1156" s="18">
        <f ca="1">ROUNDDOWN(表3[[#This Row],[日期]]-TODAY(),1)</f>
        <v>-2</v>
      </c>
    </row>
    <row r="1157" spans="1:8" hidden="1" x14ac:dyDescent="0.2">
      <c r="A1157" s="19" t="s">
        <v>2</v>
      </c>
      <c r="B1157" s="41">
        <v>43644</v>
      </c>
      <c r="C1157" s="11">
        <v>18</v>
      </c>
      <c r="D1157" s="12" t="s">
        <v>17</v>
      </c>
      <c r="E1157" s="10">
        <v>43640</v>
      </c>
      <c r="F1157" s="8" t="s">
        <v>263</v>
      </c>
      <c r="G1157" s="19"/>
      <c r="H1157" s="18">
        <f ca="1">ROUNDDOWN(表3[[#This Row],[日期]]-TODAY(),1)</f>
        <v>-2</v>
      </c>
    </row>
    <row r="1158" spans="1:8" hidden="1" x14ac:dyDescent="0.2">
      <c r="A1158" s="19" t="s">
        <v>2</v>
      </c>
      <c r="B1158" s="41">
        <v>43644</v>
      </c>
      <c r="C1158" s="11">
        <v>19</v>
      </c>
      <c r="D1158" s="12" t="s">
        <v>56</v>
      </c>
      <c r="E1158" s="10">
        <v>43640</v>
      </c>
      <c r="F1158" s="8" t="s">
        <v>263</v>
      </c>
      <c r="G1158" s="19"/>
      <c r="H1158" s="18">
        <f ca="1">ROUNDDOWN(表3[[#This Row],[日期]]-TODAY(),1)</f>
        <v>-2</v>
      </c>
    </row>
    <row r="1159" spans="1:8" hidden="1" x14ac:dyDescent="0.2">
      <c r="A1159" s="19" t="s">
        <v>2</v>
      </c>
      <c r="B1159" s="41">
        <v>43644</v>
      </c>
      <c r="C1159" s="11">
        <v>20</v>
      </c>
      <c r="D1159" s="12" t="s">
        <v>997</v>
      </c>
      <c r="E1159" s="10">
        <v>43641</v>
      </c>
      <c r="F1159" s="8" t="s">
        <v>263</v>
      </c>
      <c r="G1159" s="19" t="s">
        <v>36</v>
      </c>
      <c r="H1159" s="18">
        <f ca="1">ROUNDDOWN(表3[[#This Row],[日期]]-TODAY(),1)</f>
        <v>-1</v>
      </c>
    </row>
    <row r="1160" spans="1:8" hidden="1" x14ac:dyDescent="0.2">
      <c r="A1160" s="19" t="s">
        <v>2</v>
      </c>
      <c r="B1160" s="41">
        <v>43644</v>
      </c>
      <c r="C1160" s="11">
        <v>21</v>
      </c>
      <c r="D1160" s="12" t="s">
        <v>38</v>
      </c>
      <c r="E1160" s="10">
        <v>43641</v>
      </c>
      <c r="F1160" s="8" t="s">
        <v>263</v>
      </c>
      <c r="G1160" s="19"/>
      <c r="H1160" s="18">
        <f ca="1">ROUNDDOWN(表3[[#This Row],[日期]]-TODAY(),1)</f>
        <v>-1</v>
      </c>
    </row>
    <row r="1161" spans="1:8" hidden="1" x14ac:dyDescent="0.2">
      <c r="A1161" s="19" t="s">
        <v>2</v>
      </c>
      <c r="B1161" s="41">
        <v>43644</v>
      </c>
      <c r="C1161" s="11">
        <v>22</v>
      </c>
      <c r="D1161" s="12" t="s">
        <v>41</v>
      </c>
      <c r="E1161" s="10">
        <v>43641</v>
      </c>
      <c r="F1161" s="8" t="s">
        <v>263</v>
      </c>
      <c r="G1161" s="19"/>
      <c r="H1161" s="18">
        <f ca="1">ROUNDDOWN(表3[[#This Row],[日期]]-TODAY(),1)</f>
        <v>-1</v>
      </c>
    </row>
    <row r="1162" spans="1:8" hidden="1" x14ac:dyDescent="0.2">
      <c r="A1162" s="19" t="s">
        <v>2</v>
      </c>
      <c r="B1162" s="41">
        <v>43644</v>
      </c>
      <c r="C1162" s="11">
        <v>23</v>
      </c>
      <c r="D1162" s="12" t="s">
        <v>508</v>
      </c>
      <c r="E1162" s="10">
        <v>43641</v>
      </c>
      <c r="F1162" s="8" t="s">
        <v>263</v>
      </c>
      <c r="G1162" s="19" t="s">
        <v>43</v>
      </c>
      <c r="H1162" s="18">
        <f ca="1">ROUNDDOWN(表3[[#This Row],[日期]]-TODAY(),1)</f>
        <v>-1</v>
      </c>
    </row>
    <row r="1163" spans="1:8" hidden="1" x14ac:dyDescent="0.2">
      <c r="A1163" s="19" t="s">
        <v>2</v>
      </c>
      <c r="B1163" s="41">
        <v>43644</v>
      </c>
      <c r="C1163" s="11">
        <v>24</v>
      </c>
      <c r="D1163" s="12" t="s">
        <v>225</v>
      </c>
      <c r="E1163" s="10">
        <v>43641</v>
      </c>
      <c r="F1163" s="8" t="s">
        <v>263</v>
      </c>
      <c r="G1163" s="19" t="s">
        <v>200</v>
      </c>
      <c r="H1163" s="18">
        <f ca="1">ROUNDDOWN(表3[[#This Row],[日期]]-TODAY(),1)</f>
        <v>-1</v>
      </c>
    </row>
    <row r="1164" spans="1:8" hidden="1" x14ac:dyDescent="0.2">
      <c r="A1164" s="19" t="s">
        <v>2</v>
      </c>
      <c r="B1164" s="41">
        <v>43644</v>
      </c>
      <c r="C1164" s="11">
        <v>25</v>
      </c>
      <c r="D1164" s="12" t="s">
        <v>1199</v>
      </c>
      <c r="E1164" s="10">
        <v>43641</v>
      </c>
      <c r="F1164" s="8" t="s">
        <v>263</v>
      </c>
      <c r="G1164" s="19"/>
      <c r="H1164" s="18">
        <f ca="1">ROUNDDOWN(表3[[#This Row],[日期]]-TODAY(),1)</f>
        <v>-1</v>
      </c>
    </row>
    <row r="1165" spans="1:8" hidden="1" x14ac:dyDescent="0.2">
      <c r="A1165" s="19" t="s">
        <v>2</v>
      </c>
      <c r="B1165" s="41">
        <v>43644</v>
      </c>
      <c r="C1165" s="11">
        <v>26</v>
      </c>
      <c r="D1165" s="12" t="s">
        <v>999</v>
      </c>
      <c r="E1165" s="10">
        <v>43641</v>
      </c>
      <c r="F1165" s="8" t="s">
        <v>263</v>
      </c>
      <c r="G1165" s="19"/>
      <c r="H1165" s="18">
        <f ca="1">ROUNDDOWN(表3[[#This Row],[日期]]-TODAY(),1)</f>
        <v>-1</v>
      </c>
    </row>
    <row r="1166" spans="1:8" hidden="1" x14ac:dyDescent="0.2">
      <c r="A1166" s="19" t="s">
        <v>2</v>
      </c>
      <c r="B1166" s="41">
        <v>43644</v>
      </c>
      <c r="C1166" s="11">
        <v>27</v>
      </c>
      <c r="D1166" s="12" t="s">
        <v>81</v>
      </c>
      <c r="E1166" s="10">
        <v>43641</v>
      </c>
      <c r="F1166" s="8" t="s">
        <v>263</v>
      </c>
      <c r="G1166" s="19"/>
      <c r="H1166" s="18">
        <f ca="1">ROUNDDOWN(表3[[#This Row],[日期]]-TODAY(),1)</f>
        <v>-1</v>
      </c>
    </row>
    <row r="1167" spans="1:8" hidden="1" x14ac:dyDescent="0.2">
      <c r="A1167" s="19" t="s">
        <v>2</v>
      </c>
      <c r="B1167" s="41">
        <v>43644</v>
      </c>
      <c r="C1167" s="11">
        <v>28</v>
      </c>
      <c r="D1167" s="12" t="s">
        <v>77</v>
      </c>
      <c r="E1167" s="10">
        <v>43641</v>
      </c>
      <c r="F1167" s="8" t="s">
        <v>263</v>
      </c>
      <c r="G1167" s="19"/>
      <c r="H1167" s="18">
        <f ca="1">ROUNDDOWN(表3[[#This Row],[日期]]-TODAY(),1)</f>
        <v>-1</v>
      </c>
    </row>
    <row r="1168" spans="1:8" hidden="1" x14ac:dyDescent="0.2">
      <c r="A1168" s="19" t="s">
        <v>2</v>
      </c>
      <c r="B1168" s="41">
        <v>43644</v>
      </c>
      <c r="C1168" s="11">
        <v>29</v>
      </c>
      <c r="D1168" s="12" t="s">
        <v>79</v>
      </c>
      <c r="E1168" s="10">
        <v>43641</v>
      </c>
      <c r="F1168" s="8" t="s">
        <v>263</v>
      </c>
      <c r="G1168" s="19"/>
      <c r="H1168" s="18">
        <f ca="1">ROUNDDOWN(表3[[#This Row],[日期]]-TODAY(),1)</f>
        <v>-1</v>
      </c>
    </row>
    <row r="1169" spans="1:8" hidden="1" x14ac:dyDescent="0.2">
      <c r="A1169" s="19" t="s">
        <v>2</v>
      </c>
      <c r="B1169" s="41">
        <v>43644</v>
      </c>
      <c r="C1169" s="11">
        <v>31</v>
      </c>
      <c r="D1169" s="12" t="s">
        <v>49</v>
      </c>
      <c r="E1169" s="10">
        <v>43641</v>
      </c>
      <c r="F1169" s="8" t="s">
        <v>263</v>
      </c>
      <c r="G1169" s="19" t="s">
        <v>43</v>
      </c>
      <c r="H1169" s="18">
        <f ca="1">ROUNDDOWN(表3[[#This Row],[日期]]-TODAY(),1)</f>
        <v>-1</v>
      </c>
    </row>
    <row r="1170" spans="1:8" hidden="1" x14ac:dyDescent="0.2">
      <c r="A1170" s="19" t="s">
        <v>2</v>
      </c>
      <c r="B1170" s="41">
        <v>43644</v>
      </c>
      <c r="C1170" s="11">
        <v>32</v>
      </c>
      <c r="D1170" s="12" t="s">
        <v>54</v>
      </c>
      <c r="E1170" s="10">
        <v>43641</v>
      </c>
      <c r="F1170" s="8" t="s">
        <v>263</v>
      </c>
      <c r="G1170" s="19"/>
      <c r="H1170" s="18">
        <f ca="1">ROUNDDOWN(表3[[#This Row],[日期]]-TODAY(),1)</f>
        <v>-1</v>
      </c>
    </row>
    <row r="1171" spans="1:8" hidden="1" x14ac:dyDescent="0.2">
      <c r="A1171" s="19" t="s">
        <v>2</v>
      </c>
      <c r="B1171" s="41">
        <v>43644</v>
      </c>
      <c r="C1171" s="11">
        <v>33</v>
      </c>
      <c r="D1171" s="12" t="s">
        <v>69</v>
      </c>
      <c r="E1171" s="10">
        <v>43641</v>
      </c>
      <c r="F1171" s="8" t="s">
        <v>263</v>
      </c>
      <c r="G1171" s="19" t="s">
        <v>66</v>
      </c>
      <c r="H1171" s="18">
        <f ca="1">ROUNDDOWN(表3[[#This Row],[日期]]-TODAY(),1)</f>
        <v>-1</v>
      </c>
    </row>
    <row r="1172" spans="1:8" hidden="1" x14ac:dyDescent="0.2">
      <c r="A1172" s="19" t="s">
        <v>2</v>
      </c>
      <c r="B1172" s="41">
        <v>43644</v>
      </c>
      <c r="C1172" s="11">
        <v>34</v>
      </c>
      <c r="D1172" s="12" t="s">
        <v>64</v>
      </c>
      <c r="E1172" s="10">
        <v>43641</v>
      </c>
      <c r="F1172" s="8" t="s">
        <v>263</v>
      </c>
      <c r="G1172" s="19"/>
      <c r="H1172" s="18">
        <f ca="1">ROUNDDOWN(表3[[#This Row],[日期]]-TODAY(),1)</f>
        <v>-1</v>
      </c>
    </row>
    <row r="1173" spans="1:8" hidden="1" x14ac:dyDescent="0.2">
      <c r="A1173" s="19" t="s">
        <v>2</v>
      </c>
      <c r="B1173" s="41">
        <v>43644</v>
      </c>
      <c r="C1173" s="11">
        <v>35</v>
      </c>
      <c r="D1173" s="12" t="s">
        <v>526</v>
      </c>
      <c r="E1173" s="10">
        <v>43641</v>
      </c>
      <c r="F1173" s="8" t="s">
        <v>263</v>
      </c>
      <c r="G1173" s="19" t="s">
        <v>32</v>
      </c>
      <c r="H1173" s="18">
        <f ca="1">ROUNDDOWN(表3[[#This Row],[日期]]-TODAY(),1)</f>
        <v>-1</v>
      </c>
    </row>
    <row r="1174" spans="1:8" hidden="1" x14ac:dyDescent="0.2">
      <c r="A1174" s="19" t="s">
        <v>2</v>
      </c>
      <c r="B1174" s="41">
        <v>43644</v>
      </c>
      <c r="C1174" s="11">
        <v>36</v>
      </c>
      <c r="D1174" s="12" t="s">
        <v>527</v>
      </c>
      <c r="E1174" s="10">
        <v>43641</v>
      </c>
      <c r="F1174" s="8" t="s">
        <v>263</v>
      </c>
      <c r="G1174" s="19" t="s">
        <v>43</v>
      </c>
      <c r="H1174" s="18">
        <f ca="1">ROUNDDOWN(表3[[#This Row],[日期]]-TODAY(),1)</f>
        <v>-1</v>
      </c>
    </row>
    <row r="1175" spans="1:8" hidden="1" x14ac:dyDescent="0.2">
      <c r="A1175" s="19" t="s">
        <v>2</v>
      </c>
      <c r="B1175" s="41">
        <v>43644</v>
      </c>
      <c r="C1175" s="11">
        <v>37</v>
      </c>
      <c r="D1175" s="12" t="s">
        <v>172</v>
      </c>
      <c r="E1175" s="10">
        <v>43641</v>
      </c>
      <c r="F1175" s="8" t="s">
        <v>263</v>
      </c>
      <c r="G1175" s="19"/>
      <c r="H1175" s="18">
        <f ca="1">ROUNDDOWN(表3[[#This Row],[日期]]-TODAY(),1)</f>
        <v>-1</v>
      </c>
    </row>
    <row r="1176" spans="1:8" hidden="1" x14ac:dyDescent="0.2">
      <c r="A1176" s="19" t="s">
        <v>2</v>
      </c>
      <c r="B1176" s="41">
        <v>43644</v>
      </c>
      <c r="C1176" s="11">
        <v>38</v>
      </c>
      <c r="D1176" s="12" t="s">
        <v>71</v>
      </c>
      <c r="E1176" s="10">
        <v>43641</v>
      </c>
      <c r="F1176" s="8" t="s">
        <v>263</v>
      </c>
      <c r="G1176" s="19" t="s">
        <v>73</v>
      </c>
      <c r="H1176" s="18">
        <f ca="1">ROUNDDOWN(表3[[#This Row],[日期]]-TODAY(),1)</f>
        <v>-1</v>
      </c>
    </row>
    <row r="1177" spans="1:8" hidden="1" x14ac:dyDescent="0.2">
      <c r="A1177" s="19" t="s">
        <v>2</v>
      </c>
      <c r="B1177" s="41">
        <v>43644</v>
      </c>
      <c r="C1177" s="11">
        <v>39</v>
      </c>
      <c r="D1177" s="12" t="s">
        <v>75</v>
      </c>
      <c r="E1177" s="10">
        <v>43641</v>
      </c>
      <c r="F1177" s="8" t="s">
        <v>263</v>
      </c>
      <c r="G1177" s="19"/>
      <c r="H1177" s="18">
        <f ca="1">ROUNDDOWN(表3[[#This Row],[日期]]-TODAY(),1)</f>
        <v>-1</v>
      </c>
    </row>
    <row r="1178" spans="1:8" hidden="1" x14ac:dyDescent="0.2">
      <c r="A1178" s="19" t="s">
        <v>2</v>
      </c>
      <c r="B1178" s="41">
        <v>43644</v>
      </c>
      <c r="C1178" s="11">
        <v>40</v>
      </c>
      <c r="D1178" s="12" t="s">
        <v>83</v>
      </c>
      <c r="E1178" s="10">
        <v>43642</v>
      </c>
      <c r="F1178" s="8" t="s">
        <v>263</v>
      </c>
      <c r="G1178" s="19"/>
      <c r="H1178" s="18">
        <f ca="1">ROUNDDOWN(表3[[#This Row],[日期]]-TODAY(),1)</f>
        <v>0</v>
      </c>
    </row>
    <row r="1179" spans="1:8" hidden="1" x14ac:dyDescent="0.2">
      <c r="A1179" s="19" t="s">
        <v>2</v>
      </c>
      <c r="B1179" s="41">
        <v>43644</v>
      </c>
      <c r="C1179" s="11">
        <v>41</v>
      </c>
      <c r="D1179" s="12" t="s">
        <v>85</v>
      </c>
      <c r="E1179" s="10">
        <v>43642</v>
      </c>
      <c r="F1179" s="8" t="s">
        <v>263</v>
      </c>
      <c r="G1179" s="19"/>
      <c r="H1179" s="18">
        <f ca="1">ROUNDDOWN(表3[[#This Row],[日期]]-TODAY(),1)</f>
        <v>0</v>
      </c>
    </row>
    <row r="1180" spans="1:8" hidden="1" x14ac:dyDescent="0.2">
      <c r="A1180" s="19" t="s">
        <v>2</v>
      </c>
      <c r="B1180" s="41">
        <v>43644</v>
      </c>
      <c r="C1180" s="11">
        <v>42</v>
      </c>
      <c r="D1180" s="12" t="s">
        <v>87</v>
      </c>
      <c r="E1180" s="10">
        <v>43642</v>
      </c>
      <c r="F1180" s="8" t="s">
        <v>263</v>
      </c>
      <c r="G1180" s="19"/>
      <c r="H1180" s="18">
        <f ca="1">ROUNDDOWN(表3[[#This Row],[日期]]-TODAY(),1)</f>
        <v>0</v>
      </c>
    </row>
    <row r="1181" spans="1:8" hidden="1" x14ac:dyDescent="0.2">
      <c r="A1181" s="19" t="s">
        <v>2</v>
      </c>
      <c r="B1181" s="41">
        <v>43644</v>
      </c>
      <c r="C1181" s="11">
        <v>43</v>
      </c>
      <c r="D1181" s="12" t="s">
        <v>89</v>
      </c>
      <c r="E1181" s="10">
        <v>43642</v>
      </c>
      <c r="F1181" s="8" t="s">
        <v>263</v>
      </c>
      <c r="G1181" s="19"/>
      <c r="H1181" s="18">
        <f ca="1">ROUNDDOWN(表3[[#This Row],[日期]]-TODAY(),1)</f>
        <v>0</v>
      </c>
    </row>
    <row r="1182" spans="1:8" hidden="1" x14ac:dyDescent="0.2">
      <c r="A1182" s="19" t="s">
        <v>2</v>
      </c>
      <c r="B1182" s="41">
        <v>43644</v>
      </c>
      <c r="C1182" s="11">
        <v>44</v>
      </c>
      <c r="D1182" s="12" t="s">
        <v>91</v>
      </c>
      <c r="E1182" s="10">
        <v>43643</v>
      </c>
      <c r="F1182" s="8" t="s">
        <v>209</v>
      </c>
      <c r="G1182" s="19"/>
      <c r="H1182" s="18">
        <f ca="1">ROUNDDOWN(表3[[#This Row],[日期]]-TODAY(),1)</f>
        <v>1</v>
      </c>
    </row>
    <row r="1183" spans="1:8" hidden="1" x14ac:dyDescent="0.2">
      <c r="A1183" s="19" t="s">
        <v>2</v>
      </c>
      <c r="B1183" s="41">
        <v>43644</v>
      </c>
      <c r="C1183" s="11">
        <v>45</v>
      </c>
      <c r="D1183" s="12" t="s">
        <v>1119</v>
      </c>
      <c r="E1183" s="10">
        <v>43642</v>
      </c>
      <c r="F1183" s="8" t="s">
        <v>263</v>
      </c>
      <c r="G1183" s="19"/>
      <c r="H1183" s="18">
        <f ca="1">ROUNDDOWN(表3[[#This Row],[日期]]-TODAY(),1)</f>
        <v>0</v>
      </c>
    </row>
    <row r="1184" spans="1:8" hidden="1" x14ac:dyDescent="0.2">
      <c r="A1184" s="19" t="s">
        <v>2</v>
      </c>
      <c r="B1184" s="41">
        <v>43644</v>
      </c>
      <c r="C1184" s="11">
        <v>46</v>
      </c>
      <c r="D1184" s="12" t="s">
        <v>331</v>
      </c>
      <c r="E1184" s="10">
        <v>43644</v>
      </c>
      <c r="F1184" s="8" t="s">
        <v>209</v>
      </c>
      <c r="G1184" s="19"/>
      <c r="H1184" s="18">
        <f ca="1">ROUNDDOWN(表3[[#This Row],[日期]]-TODAY(),1)</f>
        <v>2</v>
      </c>
    </row>
    <row r="1185" spans="1:8" hidden="1" x14ac:dyDescent="0.2">
      <c r="A1185" s="22" t="s">
        <v>2</v>
      </c>
      <c r="B1185" s="43">
        <v>43644</v>
      </c>
      <c r="C1185" s="23">
        <v>47</v>
      </c>
      <c r="D1185" s="24" t="s">
        <v>95</v>
      </c>
      <c r="E1185" s="25">
        <v>43644</v>
      </c>
      <c r="F1185" s="26" t="s">
        <v>209</v>
      </c>
      <c r="G1185" s="22" t="s">
        <v>132</v>
      </c>
      <c r="H1185" s="21">
        <f ca="1">ROUNDDOWN(表3[[#This Row],[日期]]-TODAY(),1)</f>
        <v>2</v>
      </c>
    </row>
    <row r="1186" spans="1:8" hidden="1" x14ac:dyDescent="0.2">
      <c r="A1186" s="19" t="s">
        <v>1135</v>
      </c>
      <c r="B1186" s="41">
        <v>43649</v>
      </c>
      <c r="C1186" s="11">
        <v>1</v>
      </c>
      <c r="D1186" s="12" t="s">
        <v>421</v>
      </c>
      <c r="E1186" s="25">
        <v>43636</v>
      </c>
      <c r="F1186" s="8" t="s">
        <v>1145</v>
      </c>
      <c r="G1186" s="19"/>
      <c r="H1186" s="18">
        <f ca="1">ROUNDDOWN(表3[[#This Row],[日期]]-TODAY(),1)</f>
        <v>-6</v>
      </c>
    </row>
    <row r="1187" spans="1:8" hidden="1" x14ac:dyDescent="0.2">
      <c r="A1187" s="19" t="s">
        <v>1135</v>
      </c>
      <c r="B1187" s="41">
        <v>43649</v>
      </c>
      <c r="C1187" s="11">
        <v>2</v>
      </c>
      <c r="D1187" s="12" t="s">
        <v>1139</v>
      </c>
      <c r="E1187" s="25">
        <v>43636</v>
      </c>
      <c r="F1187" s="8" t="s">
        <v>1145</v>
      </c>
      <c r="G1187" s="19"/>
      <c r="H1187" s="18">
        <f ca="1">ROUNDDOWN(表3[[#This Row],[日期]]-TODAY(),1)</f>
        <v>-6</v>
      </c>
    </row>
    <row r="1188" spans="1:8" hidden="1" x14ac:dyDescent="0.2">
      <c r="A1188" s="19" t="s">
        <v>1135</v>
      </c>
      <c r="B1188" s="41">
        <v>43649</v>
      </c>
      <c r="C1188" s="11">
        <v>3</v>
      </c>
      <c r="D1188" s="12" t="s">
        <v>21</v>
      </c>
      <c r="E1188" s="25">
        <v>43636</v>
      </c>
      <c r="F1188" s="8" t="s">
        <v>1145</v>
      </c>
      <c r="G1188" s="19"/>
      <c r="H1188" s="18">
        <f ca="1">ROUNDDOWN(表3[[#This Row],[日期]]-TODAY(),1)</f>
        <v>-6</v>
      </c>
    </row>
    <row r="1189" spans="1:8" hidden="1" x14ac:dyDescent="0.2">
      <c r="A1189" s="19" t="s">
        <v>1135</v>
      </c>
      <c r="B1189" s="41">
        <v>43649</v>
      </c>
      <c r="C1189" s="11">
        <v>4</v>
      </c>
      <c r="D1189" s="12" t="s">
        <v>149</v>
      </c>
      <c r="E1189" s="25">
        <v>43643</v>
      </c>
      <c r="F1189" s="8" t="s">
        <v>209</v>
      </c>
      <c r="G1189" s="19" t="s">
        <v>137</v>
      </c>
      <c r="H1189" s="18">
        <f ca="1">ROUNDDOWN(表3[[#This Row],[日期]]-TODAY(),1)</f>
        <v>1</v>
      </c>
    </row>
    <row r="1190" spans="1:8" hidden="1" x14ac:dyDescent="0.2">
      <c r="A1190" s="19" t="s">
        <v>1135</v>
      </c>
      <c r="B1190" s="41">
        <v>43649</v>
      </c>
      <c r="C1190" s="11">
        <v>5</v>
      </c>
      <c r="D1190" s="12" t="s">
        <v>140</v>
      </c>
      <c r="E1190" s="25">
        <v>43643</v>
      </c>
      <c r="F1190" s="8" t="s">
        <v>209</v>
      </c>
      <c r="G1190" s="19"/>
      <c r="H1190" s="18">
        <f ca="1">ROUNDDOWN(表3[[#This Row],[日期]]-TODAY(),1)</f>
        <v>1</v>
      </c>
    </row>
    <row r="1191" spans="1:8" hidden="1" x14ac:dyDescent="0.2">
      <c r="A1191" s="22" t="s">
        <v>1135</v>
      </c>
      <c r="B1191" s="43">
        <v>43649</v>
      </c>
      <c r="C1191" s="23">
        <v>6</v>
      </c>
      <c r="D1191" s="24" t="s">
        <v>1140</v>
      </c>
      <c r="E1191" s="25">
        <v>43643</v>
      </c>
      <c r="F1191" s="26" t="s">
        <v>209</v>
      </c>
      <c r="G1191" s="22"/>
      <c r="H1191" s="21">
        <f ca="1">ROUNDDOWN(表3[[#This Row],[日期]]-TODAY(),1)</f>
        <v>1</v>
      </c>
    </row>
    <row r="1192" spans="1:8" hidden="1" x14ac:dyDescent="0.2">
      <c r="A1192" s="19" t="s">
        <v>1135</v>
      </c>
      <c r="B1192" s="41">
        <v>43649</v>
      </c>
      <c r="C1192" s="11">
        <v>7</v>
      </c>
      <c r="D1192" s="12" t="s">
        <v>333</v>
      </c>
      <c r="E1192" s="10">
        <v>43643</v>
      </c>
      <c r="F1192" s="8" t="s">
        <v>209</v>
      </c>
      <c r="G1192" s="19" t="s">
        <v>143</v>
      </c>
      <c r="H1192" s="18">
        <f ca="1">ROUNDDOWN(表3[[#This Row],[日期]]-TODAY(),1)</f>
        <v>1</v>
      </c>
    </row>
    <row r="1193" spans="1:8" hidden="1" x14ac:dyDescent="0.2">
      <c r="A1193" s="19" t="s">
        <v>1135</v>
      </c>
      <c r="B1193" s="41">
        <v>43649</v>
      </c>
      <c r="C1193" s="11">
        <v>8</v>
      </c>
      <c r="D1193" s="12" t="s">
        <v>1141</v>
      </c>
      <c r="E1193" s="10">
        <v>43643</v>
      </c>
      <c r="F1193" s="8" t="s">
        <v>209</v>
      </c>
      <c r="G1193" s="19"/>
      <c r="H1193" s="18">
        <f ca="1">ROUNDDOWN(表3[[#This Row],[日期]]-TODAY(),1)</f>
        <v>1</v>
      </c>
    </row>
    <row r="1194" spans="1:8" hidden="1" x14ac:dyDescent="0.2">
      <c r="A1194" s="19" t="s">
        <v>1135</v>
      </c>
      <c r="B1194" s="41">
        <v>43649</v>
      </c>
      <c r="C1194" s="11">
        <v>9</v>
      </c>
      <c r="D1194" s="12" t="s">
        <v>1142</v>
      </c>
      <c r="E1194" s="10">
        <v>43643</v>
      </c>
      <c r="F1194" s="8" t="s">
        <v>209</v>
      </c>
      <c r="G1194" s="19"/>
      <c r="H1194" s="18">
        <f ca="1">ROUNDDOWN(表3[[#This Row],[日期]]-TODAY(),1)</f>
        <v>1</v>
      </c>
    </row>
    <row r="1195" spans="1:8" hidden="1" x14ac:dyDescent="0.2">
      <c r="A1195" s="19" t="s">
        <v>1135</v>
      </c>
      <c r="B1195" s="41">
        <v>43649</v>
      </c>
      <c r="C1195" s="11">
        <v>10</v>
      </c>
      <c r="D1195" s="12" t="s">
        <v>1143</v>
      </c>
      <c r="E1195" s="10">
        <v>43643</v>
      </c>
      <c r="F1195" s="8" t="s">
        <v>209</v>
      </c>
      <c r="G1195" s="19" t="s">
        <v>153</v>
      </c>
      <c r="H1195" s="18">
        <f ca="1">ROUNDDOWN(表3[[#This Row],[日期]]-TODAY(),1)</f>
        <v>1</v>
      </c>
    </row>
    <row r="1196" spans="1:8" hidden="1" x14ac:dyDescent="0.2">
      <c r="A1196" s="19" t="s">
        <v>1135</v>
      </c>
      <c r="B1196" s="41">
        <v>43649</v>
      </c>
      <c r="C1196" s="11">
        <v>11</v>
      </c>
      <c r="D1196" s="12" t="s">
        <v>215</v>
      </c>
      <c r="E1196" s="10">
        <v>43643</v>
      </c>
      <c r="F1196" s="8" t="s">
        <v>209</v>
      </c>
      <c r="G1196" s="19"/>
      <c r="H1196" s="18">
        <f ca="1">ROUNDDOWN(表3[[#This Row],[日期]]-TODAY(),1)</f>
        <v>1</v>
      </c>
    </row>
    <row r="1197" spans="1:8" hidden="1" x14ac:dyDescent="0.2">
      <c r="A1197" s="19" t="s">
        <v>1135</v>
      </c>
      <c r="B1197" s="41">
        <v>43649</v>
      </c>
      <c r="C1197" s="11">
        <v>12</v>
      </c>
      <c r="D1197" s="12" t="s">
        <v>1144</v>
      </c>
      <c r="E1197" s="10">
        <v>43643</v>
      </c>
      <c r="F1197" s="8" t="s">
        <v>209</v>
      </c>
      <c r="G1197" s="19" t="s">
        <v>336</v>
      </c>
      <c r="H1197" s="18">
        <f ca="1">ROUNDDOWN(表3[[#This Row],[日期]]-TODAY(),1)</f>
        <v>1</v>
      </c>
    </row>
    <row r="1198" spans="1:8" hidden="1" x14ac:dyDescent="0.2">
      <c r="A1198" s="19" t="s">
        <v>1135</v>
      </c>
      <c r="B1198" s="41">
        <v>43649</v>
      </c>
      <c r="C1198" s="11">
        <v>13</v>
      </c>
      <c r="D1198" s="12" t="s">
        <v>339</v>
      </c>
      <c r="E1198" s="10">
        <v>43644</v>
      </c>
      <c r="F1198" s="8" t="s">
        <v>209</v>
      </c>
      <c r="G1198" s="19" t="s">
        <v>336</v>
      </c>
      <c r="H1198" s="18">
        <f ca="1">ROUNDDOWN(表3[[#This Row],[日期]]-TODAY(),1)</f>
        <v>2</v>
      </c>
    </row>
    <row r="1199" spans="1:8" hidden="1" x14ac:dyDescent="0.2">
      <c r="A1199" s="19" t="s">
        <v>1135</v>
      </c>
      <c r="B1199" s="41">
        <v>43649</v>
      </c>
      <c r="C1199" s="11">
        <v>14</v>
      </c>
      <c r="D1199" s="12" t="s">
        <v>335</v>
      </c>
      <c r="E1199" s="10">
        <v>43644</v>
      </c>
      <c r="F1199" s="8" t="s">
        <v>209</v>
      </c>
      <c r="G1199" s="19" t="s">
        <v>336</v>
      </c>
      <c r="H1199" s="18">
        <f ca="1">ROUNDDOWN(表3[[#This Row],[日期]]-TODAY(),1)</f>
        <v>2</v>
      </c>
    </row>
    <row r="1200" spans="1:8" hidden="1" x14ac:dyDescent="0.2">
      <c r="A1200" s="19" t="s">
        <v>1135</v>
      </c>
      <c r="B1200" s="41">
        <v>43649</v>
      </c>
      <c r="C1200" s="11">
        <v>15</v>
      </c>
      <c r="D1200" s="12" t="s">
        <v>337</v>
      </c>
      <c r="E1200" s="10">
        <v>43644</v>
      </c>
      <c r="F1200" s="8" t="s">
        <v>209</v>
      </c>
      <c r="G1200" s="19" t="s">
        <v>336</v>
      </c>
      <c r="H1200" s="18">
        <f ca="1">ROUNDDOWN(表3[[#This Row],[日期]]-TODAY(),1)</f>
        <v>2</v>
      </c>
    </row>
    <row r="1201" spans="1:8" hidden="1" x14ac:dyDescent="0.2">
      <c r="A1201" s="22" t="s">
        <v>1135</v>
      </c>
      <c r="B1201" s="43">
        <v>43649</v>
      </c>
      <c r="C1201" s="23">
        <v>16</v>
      </c>
      <c r="D1201" s="24" t="s">
        <v>294</v>
      </c>
      <c r="E1201" s="25">
        <v>43645</v>
      </c>
      <c r="F1201" s="26" t="s">
        <v>209</v>
      </c>
      <c r="G1201" s="22"/>
      <c r="H1201" s="21">
        <f ca="1">ROUNDDOWN(表3[[#This Row],[日期]]-TODAY(),1)</f>
        <v>3</v>
      </c>
    </row>
    <row r="1202" spans="1:8" hidden="1" x14ac:dyDescent="0.2">
      <c r="A1202" s="22" t="s">
        <v>1135</v>
      </c>
      <c r="B1202" s="43">
        <v>43649</v>
      </c>
      <c r="C1202" s="23">
        <v>17</v>
      </c>
      <c r="D1202" s="24" t="s">
        <v>296</v>
      </c>
      <c r="E1202" s="25">
        <v>43645</v>
      </c>
      <c r="F1202" s="26" t="s">
        <v>209</v>
      </c>
      <c r="G1202" s="22"/>
      <c r="H1202" s="21">
        <f ca="1">ROUNDDOWN(表3[[#This Row],[日期]]-TODAY(),1)</f>
        <v>3</v>
      </c>
    </row>
    <row r="1203" spans="1:8" hidden="1" x14ac:dyDescent="0.2">
      <c r="A1203" s="22" t="s">
        <v>1135</v>
      </c>
      <c r="B1203" s="43">
        <v>43649</v>
      </c>
      <c r="C1203" s="23">
        <v>18</v>
      </c>
      <c r="D1203" s="24" t="s">
        <v>298</v>
      </c>
      <c r="E1203" s="25">
        <v>43648</v>
      </c>
      <c r="F1203" s="26" t="s">
        <v>209</v>
      </c>
      <c r="G1203" s="22"/>
      <c r="H1203" s="21">
        <f ca="1">ROUNDDOWN(表3[[#This Row],[日期]]-TODAY(),1)</f>
        <v>6</v>
      </c>
    </row>
    <row r="1204" spans="1:8" hidden="1" x14ac:dyDescent="0.2">
      <c r="A1204" s="19" t="s">
        <v>1135</v>
      </c>
      <c r="B1204" s="41">
        <v>43649</v>
      </c>
      <c r="C1204" s="11">
        <v>19</v>
      </c>
      <c r="D1204" s="12" t="s">
        <v>259</v>
      </c>
      <c r="E1204" s="10">
        <v>43648</v>
      </c>
      <c r="F1204" s="8" t="s">
        <v>209</v>
      </c>
      <c r="G1204" s="19"/>
      <c r="H1204" s="18">
        <f ca="1">ROUNDDOWN(表3[[#This Row],[日期]]-TODAY(),1)</f>
        <v>6</v>
      </c>
    </row>
    <row r="1205" spans="1:8" hidden="1" x14ac:dyDescent="0.2">
      <c r="A1205" s="19" t="s">
        <v>1135</v>
      </c>
      <c r="B1205" s="41">
        <v>43649</v>
      </c>
      <c r="C1205" s="23">
        <v>20</v>
      </c>
      <c r="D1205" s="24" t="s">
        <v>331</v>
      </c>
      <c r="E1205" s="25">
        <v>43649</v>
      </c>
      <c r="F1205" s="26" t="s">
        <v>209</v>
      </c>
      <c r="G1205" s="22"/>
      <c r="H1205" s="21">
        <f ca="1">ROUNDDOWN(表3[[#This Row],[日期]]-TODAY(),1)</f>
        <v>7</v>
      </c>
    </row>
    <row r="1206" spans="1:8" hidden="1" x14ac:dyDescent="0.2">
      <c r="A1206" s="19" t="s">
        <v>913</v>
      </c>
      <c r="B1206" s="41">
        <v>43653</v>
      </c>
      <c r="C1206" s="11">
        <v>1</v>
      </c>
      <c r="D1206" s="12" t="s">
        <v>920</v>
      </c>
      <c r="E1206" s="10">
        <v>43630</v>
      </c>
      <c r="F1206" s="8" t="s">
        <v>927</v>
      </c>
      <c r="G1206" s="19"/>
      <c r="H1206" s="18">
        <f ca="1">ROUNDDOWN(表3[[#This Row],[日期]]-TODAY(),1)</f>
        <v>-12</v>
      </c>
    </row>
    <row r="1207" spans="1:8" hidden="1" x14ac:dyDescent="0.2">
      <c r="A1207" s="19" t="s">
        <v>913</v>
      </c>
      <c r="B1207" s="41">
        <v>43653</v>
      </c>
      <c r="C1207" s="11">
        <v>2</v>
      </c>
      <c r="D1207" s="12" t="s">
        <v>921</v>
      </c>
      <c r="E1207" s="10">
        <v>43630</v>
      </c>
      <c r="F1207" s="8" t="s">
        <v>927</v>
      </c>
      <c r="G1207" s="19"/>
      <c r="H1207" s="18">
        <f ca="1">ROUNDDOWN(表3[[#This Row],[日期]]-TODAY(),1)</f>
        <v>-12</v>
      </c>
    </row>
    <row r="1208" spans="1:8" hidden="1" x14ac:dyDescent="0.2">
      <c r="A1208" s="19" t="s">
        <v>913</v>
      </c>
      <c r="B1208" s="41">
        <v>43653</v>
      </c>
      <c r="C1208" s="11">
        <v>3</v>
      </c>
      <c r="D1208" s="12" t="s">
        <v>922</v>
      </c>
      <c r="E1208" s="10">
        <v>43633</v>
      </c>
      <c r="F1208" s="8" t="s">
        <v>263</v>
      </c>
      <c r="G1208" s="19" t="s">
        <v>928</v>
      </c>
      <c r="H1208" s="18">
        <f ca="1">ROUNDDOWN(表3[[#This Row],[日期]]-TODAY(),1)</f>
        <v>-9</v>
      </c>
    </row>
    <row r="1209" spans="1:8" hidden="1" x14ac:dyDescent="0.2">
      <c r="A1209" s="19" t="s">
        <v>913</v>
      </c>
      <c r="B1209" s="41">
        <v>43653</v>
      </c>
      <c r="C1209" s="11">
        <v>4</v>
      </c>
      <c r="D1209" s="12" t="s">
        <v>908</v>
      </c>
      <c r="E1209" s="10">
        <v>43647</v>
      </c>
      <c r="F1209" s="8" t="s">
        <v>209</v>
      </c>
      <c r="G1209" s="19" t="s">
        <v>929</v>
      </c>
      <c r="H1209" s="18">
        <f ca="1">ROUNDDOWN(表3[[#This Row],[日期]]-TODAY(),1)</f>
        <v>5</v>
      </c>
    </row>
    <row r="1210" spans="1:8" hidden="1" x14ac:dyDescent="0.2">
      <c r="A1210" s="19" t="s">
        <v>913</v>
      </c>
      <c r="B1210" s="41">
        <v>43653</v>
      </c>
      <c r="C1210" s="11">
        <v>5</v>
      </c>
      <c r="D1210" s="12" t="s">
        <v>924</v>
      </c>
      <c r="E1210" s="10">
        <v>43647</v>
      </c>
      <c r="F1210" s="8" t="s">
        <v>209</v>
      </c>
      <c r="G1210" s="19" t="s">
        <v>929</v>
      </c>
      <c r="H1210" s="18">
        <f ca="1">ROUNDDOWN(表3[[#This Row],[日期]]-TODAY(),1)</f>
        <v>5</v>
      </c>
    </row>
    <row r="1211" spans="1:8" hidden="1" x14ac:dyDescent="0.2">
      <c r="A1211" s="19" t="s">
        <v>913</v>
      </c>
      <c r="B1211" s="41">
        <v>43653</v>
      </c>
      <c r="C1211" s="11">
        <v>6</v>
      </c>
      <c r="D1211" s="12" t="s">
        <v>930</v>
      </c>
      <c r="E1211" s="10">
        <v>43651</v>
      </c>
      <c r="F1211" s="8" t="s">
        <v>209</v>
      </c>
      <c r="G1211" s="19" t="s">
        <v>929</v>
      </c>
      <c r="H1211" s="18">
        <f ca="1">ROUNDDOWN(表3[[#This Row],[日期]]-TODAY(),1)</f>
        <v>9</v>
      </c>
    </row>
    <row r="1212" spans="1:8" hidden="1" x14ac:dyDescent="0.2">
      <c r="A1212" s="19" t="s">
        <v>913</v>
      </c>
      <c r="B1212" s="41">
        <v>43653</v>
      </c>
      <c r="C1212" s="11">
        <v>7</v>
      </c>
      <c r="D1212" s="12" t="s">
        <v>931</v>
      </c>
      <c r="E1212" s="10">
        <v>43651</v>
      </c>
      <c r="F1212" s="8" t="s">
        <v>209</v>
      </c>
      <c r="G1212" s="19" t="s">
        <v>929</v>
      </c>
      <c r="H1212" s="18">
        <f ca="1">ROUNDDOWN(表3[[#This Row],[日期]]-TODAY(),1)</f>
        <v>9</v>
      </c>
    </row>
    <row r="1213" spans="1:8" hidden="1" x14ac:dyDescent="0.2">
      <c r="A1213" s="19" t="s">
        <v>913</v>
      </c>
      <c r="B1213" s="41">
        <v>43653</v>
      </c>
      <c r="C1213" s="11">
        <v>8</v>
      </c>
      <c r="D1213" s="12" t="s">
        <v>914</v>
      </c>
      <c r="E1213" s="10">
        <v>43651</v>
      </c>
      <c r="F1213" s="8" t="s">
        <v>209</v>
      </c>
      <c r="G1213" s="19" t="s">
        <v>929</v>
      </c>
      <c r="H1213" s="18">
        <f ca="1">ROUNDDOWN(表3[[#This Row],[日期]]-TODAY(),1)</f>
        <v>9</v>
      </c>
    </row>
    <row r="1214" spans="1:8" hidden="1" x14ac:dyDescent="0.2">
      <c r="A1214" s="19" t="s">
        <v>913</v>
      </c>
      <c r="B1214" s="41">
        <v>43653</v>
      </c>
      <c r="C1214" s="11">
        <v>9</v>
      </c>
      <c r="D1214" s="12" t="s">
        <v>915</v>
      </c>
      <c r="E1214" s="10">
        <v>43651</v>
      </c>
      <c r="F1214" s="8" t="s">
        <v>209</v>
      </c>
      <c r="G1214" s="19" t="s">
        <v>929</v>
      </c>
      <c r="H1214" s="18">
        <f ca="1">ROUNDDOWN(表3[[#This Row],[日期]]-TODAY(),1)</f>
        <v>9</v>
      </c>
    </row>
    <row r="1215" spans="1:8" hidden="1" x14ac:dyDescent="0.2">
      <c r="A1215" s="19" t="s">
        <v>913</v>
      </c>
      <c r="B1215" s="41">
        <v>43653</v>
      </c>
      <c r="C1215" s="11">
        <v>10</v>
      </c>
      <c r="D1215" s="12" t="s">
        <v>932</v>
      </c>
      <c r="E1215" s="10">
        <v>43657</v>
      </c>
      <c r="F1215" s="8" t="s">
        <v>209</v>
      </c>
      <c r="G1215" s="19" t="s">
        <v>929</v>
      </c>
      <c r="H1215" s="18">
        <f ca="1">ROUNDDOWN(表3[[#This Row],[日期]]-TODAY(),1)</f>
        <v>15</v>
      </c>
    </row>
    <row r="1216" spans="1:8" hidden="1" x14ac:dyDescent="0.2">
      <c r="A1216" s="19" t="s">
        <v>913</v>
      </c>
      <c r="B1216" s="41">
        <v>43664</v>
      </c>
      <c r="C1216" s="11">
        <v>1</v>
      </c>
      <c r="D1216" s="12" t="s">
        <v>920</v>
      </c>
      <c r="E1216" s="10">
        <v>43630</v>
      </c>
      <c r="F1216" s="8" t="s">
        <v>310</v>
      </c>
      <c r="G1216" s="19"/>
      <c r="H1216" s="18">
        <f ca="1">ROUNDDOWN(表3[[#This Row],[日期]]-TODAY(),1)</f>
        <v>-12</v>
      </c>
    </row>
    <row r="1217" spans="1:8" hidden="1" x14ac:dyDescent="0.2">
      <c r="A1217" s="19" t="s">
        <v>913</v>
      </c>
      <c r="B1217" s="41">
        <v>43664</v>
      </c>
      <c r="C1217" s="11">
        <v>2</v>
      </c>
      <c r="D1217" s="12" t="s">
        <v>921</v>
      </c>
      <c r="E1217" s="10">
        <v>43630</v>
      </c>
      <c r="F1217" s="8" t="s">
        <v>310</v>
      </c>
      <c r="G1217" s="19"/>
      <c r="H1217" s="18">
        <f ca="1">ROUNDDOWN(表3[[#This Row],[日期]]-TODAY(),1)</f>
        <v>-12</v>
      </c>
    </row>
    <row r="1218" spans="1:8" hidden="1" x14ac:dyDescent="0.2">
      <c r="A1218" s="19" t="s">
        <v>913</v>
      </c>
      <c r="B1218" s="41">
        <v>43664</v>
      </c>
      <c r="C1218" s="11">
        <v>3</v>
      </c>
      <c r="D1218" s="12" t="s">
        <v>922</v>
      </c>
      <c r="E1218" s="10">
        <v>43654</v>
      </c>
      <c r="F1218" s="8" t="s">
        <v>310</v>
      </c>
      <c r="G1218" s="19" t="s">
        <v>929</v>
      </c>
      <c r="H1218" s="18">
        <f ca="1">ROUNDDOWN(表3[[#This Row],[日期]]-TODAY(),1)</f>
        <v>12</v>
      </c>
    </row>
    <row r="1219" spans="1:8" hidden="1" x14ac:dyDescent="0.2">
      <c r="A1219" s="19" t="s">
        <v>913</v>
      </c>
      <c r="B1219" s="41">
        <v>43664</v>
      </c>
      <c r="C1219" s="11">
        <v>4</v>
      </c>
      <c r="D1219" s="12" t="s">
        <v>923</v>
      </c>
      <c r="E1219" s="10">
        <v>43654</v>
      </c>
      <c r="F1219" s="8" t="s">
        <v>310</v>
      </c>
      <c r="G1219" s="19" t="s">
        <v>929</v>
      </c>
      <c r="H1219" s="18">
        <f ca="1">ROUNDDOWN(表3[[#This Row],[日期]]-TODAY(),1)</f>
        <v>12</v>
      </c>
    </row>
    <row r="1220" spans="1:8" hidden="1" x14ac:dyDescent="0.2">
      <c r="A1220" s="19" t="s">
        <v>913</v>
      </c>
      <c r="B1220" s="41">
        <v>43664</v>
      </c>
      <c r="C1220" s="11">
        <v>5</v>
      </c>
      <c r="D1220" s="12" t="s">
        <v>924</v>
      </c>
      <c r="E1220" s="10">
        <v>43654</v>
      </c>
      <c r="F1220" s="8" t="s">
        <v>310</v>
      </c>
      <c r="G1220" s="19" t="s">
        <v>929</v>
      </c>
      <c r="H1220" s="18">
        <f ca="1">ROUNDDOWN(表3[[#This Row],[日期]]-TODAY(),1)</f>
        <v>12</v>
      </c>
    </row>
    <row r="1221" spans="1:8" hidden="1" x14ac:dyDescent="0.2">
      <c r="A1221" s="19" t="s">
        <v>913</v>
      </c>
      <c r="B1221" s="41">
        <v>43664</v>
      </c>
      <c r="C1221" s="11">
        <v>6</v>
      </c>
      <c r="D1221" s="12" t="s">
        <v>925</v>
      </c>
      <c r="E1221" s="10">
        <v>43657</v>
      </c>
      <c r="F1221" s="8" t="s">
        <v>310</v>
      </c>
      <c r="G1221" s="19" t="s">
        <v>929</v>
      </c>
      <c r="H1221" s="18">
        <f ca="1">ROUNDDOWN(表3[[#This Row],[日期]]-TODAY(),1)</f>
        <v>15</v>
      </c>
    </row>
    <row r="1222" spans="1:8" hidden="1" x14ac:dyDescent="0.2">
      <c r="A1222" s="19" t="s">
        <v>913</v>
      </c>
      <c r="B1222" s="41">
        <v>43664</v>
      </c>
      <c r="C1222" s="11">
        <v>7</v>
      </c>
      <c r="D1222" s="12" t="s">
        <v>926</v>
      </c>
      <c r="E1222" s="10">
        <v>43657</v>
      </c>
      <c r="F1222" s="8" t="s">
        <v>310</v>
      </c>
      <c r="G1222" s="19" t="s">
        <v>929</v>
      </c>
      <c r="H1222" s="18">
        <f ca="1">ROUNDDOWN(表3[[#This Row],[日期]]-TODAY(),1)</f>
        <v>15</v>
      </c>
    </row>
    <row r="1223" spans="1:8" hidden="1" x14ac:dyDescent="0.2">
      <c r="A1223" s="19" t="s">
        <v>913</v>
      </c>
      <c r="B1223" s="41">
        <v>43664</v>
      </c>
      <c r="C1223" s="11">
        <v>8</v>
      </c>
      <c r="D1223" s="12" t="s">
        <v>914</v>
      </c>
      <c r="E1223" s="10">
        <v>43657</v>
      </c>
      <c r="F1223" s="8" t="s">
        <v>310</v>
      </c>
      <c r="G1223" s="19" t="s">
        <v>929</v>
      </c>
      <c r="H1223" s="18">
        <f ca="1">ROUNDDOWN(表3[[#This Row],[日期]]-TODAY(),1)</f>
        <v>15</v>
      </c>
    </row>
    <row r="1224" spans="1:8" hidden="1" x14ac:dyDescent="0.2">
      <c r="A1224" s="19" t="s">
        <v>913</v>
      </c>
      <c r="B1224" s="41">
        <v>43664</v>
      </c>
      <c r="C1224" s="11">
        <v>9</v>
      </c>
      <c r="D1224" s="12" t="s">
        <v>915</v>
      </c>
      <c r="E1224" s="10">
        <v>43657</v>
      </c>
      <c r="F1224" s="8" t="s">
        <v>310</v>
      </c>
      <c r="G1224" s="19" t="s">
        <v>929</v>
      </c>
      <c r="H1224" s="18">
        <f ca="1">ROUNDDOWN(表3[[#This Row],[日期]]-TODAY(),1)</f>
        <v>15</v>
      </c>
    </row>
    <row r="1225" spans="1:8" hidden="1" x14ac:dyDescent="0.2">
      <c r="A1225" s="22" t="s">
        <v>913</v>
      </c>
      <c r="B1225" s="43">
        <v>43664</v>
      </c>
      <c r="C1225" s="23">
        <v>10</v>
      </c>
      <c r="D1225" s="24" t="s">
        <v>918</v>
      </c>
      <c r="E1225" s="25">
        <v>43664</v>
      </c>
      <c r="F1225" s="26" t="s">
        <v>310</v>
      </c>
      <c r="G1225" s="22" t="s">
        <v>929</v>
      </c>
      <c r="H1225" s="21">
        <f ca="1">ROUNDDOWN(表3[[#This Row],[日期]]-TODAY(),1)</f>
        <v>22</v>
      </c>
    </row>
    <row r="1226" spans="1:8" hidden="1" x14ac:dyDescent="0.2">
      <c r="A1226" s="19" t="s">
        <v>893</v>
      </c>
      <c r="B1226" s="41">
        <v>43642</v>
      </c>
      <c r="C1226" s="11">
        <v>1</v>
      </c>
      <c r="D1226" s="12" t="s">
        <v>607</v>
      </c>
      <c r="E1226" s="10">
        <v>43636</v>
      </c>
      <c r="F1226" s="8" t="s">
        <v>1145</v>
      </c>
      <c r="G1226" s="19"/>
      <c r="H1226" s="18">
        <f ca="1">ROUNDDOWN(表3[[#This Row],[日期]]-TODAY(),1)</f>
        <v>-6</v>
      </c>
    </row>
    <row r="1227" spans="1:8" hidden="1" x14ac:dyDescent="0.2">
      <c r="A1227" s="19" t="s">
        <v>893</v>
      </c>
      <c r="B1227" s="41">
        <v>43642</v>
      </c>
      <c r="C1227" s="11">
        <v>2</v>
      </c>
      <c r="D1227" s="12" t="s">
        <v>610</v>
      </c>
      <c r="E1227" s="10">
        <v>43636</v>
      </c>
      <c r="F1227" s="8" t="s">
        <v>1145</v>
      </c>
      <c r="G1227" s="19"/>
      <c r="H1227" s="18">
        <f ca="1">ROUNDDOWN(表3[[#This Row],[日期]]-TODAY(),1)</f>
        <v>-6</v>
      </c>
    </row>
    <row r="1228" spans="1:8" hidden="1" x14ac:dyDescent="0.2">
      <c r="A1228" s="19" t="s">
        <v>893</v>
      </c>
      <c r="B1228" s="41">
        <v>43642</v>
      </c>
      <c r="C1228" s="11">
        <v>3</v>
      </c>
      <c r="D1228" s="12" t="s">
        <v>612</v>
      </c>
      <c r="E1228" s="10">
        <v>43636</v>
      </c>
      <c r="F1228" s="8" t="s">
        <v>263</v>
      </c>
      <c r="G1228" s="19"/>
      <c r="H1228" s="18">
        <f ca="1">ROUNDDOWN(表3[[#This Row],[日期]]-TODAY(),1)</f>
        <v>-6</v>
      </c>
    </row>
    <row r="1229" spans="1:8" hidden="1" x14ac:dyDescent="0.2">
      <c r="A1229" s="19" t="s">
        <v>893</v>
      </c>
      <c r="B1229" s="41">
        <v>43642</v>
      </c>
      <c r="C1229" s="11">
        <v>4</v>
      </c>
      <c r="D1229" s="12" t="s">
        <v>614</v>
      </c>
      <c r="E1229" s="10">
        <v>43636</v>
      </c>
      <c r="F1229" s="8" t="s">
        <v>1145</v>
      </c>
      <c r="G1229" s="19"/>
      <c r="H1229" s="18">
        <f ca="1">ROUNDDOWN(表3[[#This Row],[日期]]-TODAY(),1)</f>
        <v>-6</v>
      </c>
    </row>
    <row r="1230" spans="1:8" hidden="1" x14ac:dyDescent="0.2">
      <c r="A1230" s="19" t="s">
        <v>893</v>
      </c>
      <c r="B1230" s="41">
        <v>43642</v>
      </c>
      <c r="C1230" s="11">
        <v>5</v>
      </c>
      <c r="D1230" s="12" t="s">
        <v>617</v>
      </c>
      <c r="E1230" s="10">
        <v>43636</v>
      </c>
      <c r="F1230" s="8" t="s">
        <v>263</v>
      </c>
      <c r="G1230" s="19"/>
      <c r="H1230" s="18">
        <f ca="1">ROUNDDOWN(表3[[#This Row],[日期]]-TODAY(),1)</f>
        <v>-6</v>
      </c>
    </row>
    <row r="1231" spans="1:8" hidden="1" x14ac:dyDescent="0.2">
      <c r="A1231" s="19" t="s">
        <v>893</v>
      </c>
      <c r="B1231" s="41">
        <v>43642</v>
      </c>
      <c r="C1231" s="11">
        <v>6</v>
      </c>
      <c r="D1231" s="12" t="s">
        <v>619</v>
      </c>
      <c r="E1231" s="10">
        <v>43640</v>
      </c>
      <c r="F1231" s="8" t="s">
        <v>263</v>
      </c>
      <c r="G1231" s="19" t="s">
        <v>629</v>
      </c>
      <c r="H1231" s="18">
        <f ca="1">ROUNDDOWN(表3[[#This Row],[日期]]-TODAY(),1)</f>
        <v>-2</v>
      </c>
    </row>
    <row r="1232" spans="1:8" hidden="1" x14ac:dyDescent="0.2">
      <c r="A1232" s="19" t="s">
        <v>893</v>
      </c>
      <c r="B1232" s="41">
        <v>43642</v>
      </c>
      <c r="C1232" s="11">
        <v>7</v>
      </c>
      <c r="D1232" s="12" t="s">
        <v>621</v>
      </c>
      <c r="E1232" s="10">
        <v>43640</v>
      </c>
      <c r="F1232" s="8" t="s">
        <v>263</v>
      </c>
      <c r="G1232" s="19"/>
      <c r="H1232" s="18">
        <f ca="1">ROUNDDOWN(表3[[#This Row],[日期]]-TODAY(),1)</f>
        <v>-2</v>
      </c>
    </row>
    <row r="1233" spans="1:8" hidden="1" x14ac:dyDescent="0.2">
      <c r="A1233" s="19" t="s">
        <v>893</v>
      </c>
      <c r="B1233" s="41">
        <v>43642</v>
      </c>
      <c r="C1233" s="11">
        <v>8</v>
      </c>
      <c r="D1233" s="12" t="s">
        <v>623</v>
      </c>
      <c r="E1233" s="10">
        <v>43640</v>
      </c>
      <c r="F1233" s="8" t="s">
        <v>263</v>
      </c>
      <c r="G1233" s="19"/>
      <c r="H1233" s="18">
        <f ca="1">ROUNDDOWN(表3[[#This Row],[日期]]-TODAY(),1)</f>
        <v>-2</v>
      </c>
    </row>
    <row r="1234" spans="1:8" hidden="1" x14ac:dyDescent="0.2">
      <c r="A1234" s="19" t="s">
        <v>893</v>
      </c>
      <c r="B1234" s="41">
        <v>43642</v>
      </c>
      <c r="C1234" s="11">
        <v>9</v>
      </c>
      <c r="D1234" s="12" t="s">
        <v>1157</v>
      </c>
      <c r="E1234" s="10">
        <v>43643</v>
      </c>
      <c r="F1234" s="8" t="s">
        <v>209</v>
      </c>
      <c r="G1234" s="19"/>
      <c r="H1234" s="18">
        <f ca="1">ROUNDDOWN(表3[[#This Row],[日期]]-TODAY(),1)</f>
        <v>1</v>
      </c>
    </row>
    <row r="1235" spans="1:8" hidden="1" x14ac:dyDescent="0.2">
      <c r="A1235" s="22" t="s">
        <v>893</v>
      </c>
      <c r="B1235" s="43">
        <v>43642</v>
      </c>
      <c r="C1235" s="23">
        <v>10</v>
      </c>
      <c r="D1235" s="24" t="s">
        <v>627</v>
      </c>
      <c r="E1235" s="25">
        <v>43643</v>
      </c>
      <c r="F1235" s="26" t="s">
        <v>209</v>
      </c>
      <c r="G1235" s="22"/>
      <c r="H1235" s="21">
        <f ca="1">ROUNDDOWN(表3[[#This Row],[日期]]-TODAY(),1)</f>
        <v>1</v>
      </c>
    </row>
    <row r="1236" spans="1:8" hidden="1" x14ac:dyDescent="0.2">
      <c r="A1236" s="22"/>
      <c r="B1236" s="43"/>
      <c r="C1236" s="23"/>
      <c r="D1236" s="24"/>
      <c r="E1236" s="25"/>
      <c r="F1236" s="26"/>
      <c r="G1236" s="22"/>
      <c r="H1236" s="21">
        <f ca="1">ROUNDDOWN(表3[[#This Row],[日期]]-TODAY(),1)</f>
        <v>-43642</v>
      </c>
    </row>
    <row r="1237" spans="1:8" hidden="1" x14ac:dyDescent="0.2">
      <c r="A1237" s="19" t="s">
        <v>242</v>
      </c>
      <c r="B1237" s="41">
        <v>43640</v>
      </c>
      <c r="C1237" s="11">
        <v>1</v>
      </c>
      <c r="D1237" s="12" t="s">
        <v>980</v>
      </c>
      <c r="E1237" s="10">
        <v>43640</v>
      </c>
      <c r="F1237" s="8" t="s">
        <v>263</v>
      </c>
      <c r="G1237" s="19" t="s">
        <v>237</v>
      </c>
      <c r="H1237" s="18">
        <f ca="1">ROUNDDOWN(表3[[#This Row],[日期]]-TODAY(),1)</f>
        <v>-2</v>
      </c>
    </row>
    <row r="1238" spans="1:8" hidden="1" x14ac:dyDescent="0.2">
      <c r="A1238" s="19" t="s">
        <v>242</v>
      </c>
      <c r="B1238" s="41">
        <v>43640</v>
      </c>
      <c r="C1238" s="11">
        <v>2</v>
      </c>
      <c r="D1238" s="12" t="s">
        <v>1187</v>
      </c>
      <c r="E1238" s="10">
        <v>43640</v>
      </c>
      <c r="F1238" s="8" t="s">
        <v>263</v>
      </c>
      <c r="G1238" s="19" t="s">
        <v>237</v>
      </c>
      <c r="H1238" s="18">
        <f ca="1">ROUNDDOWN(表3[[#This Row],[日期]]-TODAY(),1)</f>
        <v>-2</v>
      </c>
    </row>
    <row r="1239" spans="1:8" hidden="1" x14ac:dyDescent="0.2">
      <c r="A1239" s="19" t="s">
        <v>242</v>
      </c>
      <c r="B1239" s="41">
        <v>43640</v>
      </c>
      <c r="C1239" s="11">
        <v>3</v>
      </c>
      <c r="D1239" s="12" t="s">
        <v>974</v>
      </c>
      <c r="E1239" s="10">
        <v>43641</v>
      </c>
      <c r="F1239" s="8" t="s">
        <v>263</v>
      </c>
      <c r="G1239" s="19" t="s">
        <v>237</v>
      </c>
      <c r="H1239" s="18">
        <f ca="1">ROUNDDOWN(表3[[#This Row],[日期]]-TODAY(),1)</f>
        <v>-1</v>
      </c>
    </row>
    <row r="1240" spans="1:8" hidden="1" x14ac:dyDescent="0.2">
      <c r="A1240" s="19" t="s">
        <v>242</v>
      </c>
      <c r="B1240" s="41">
        <v>43640</v>
      </c>
      <c r="C1240" s="11">
        <v>4</v>
      </c>
      <c r="D1240" s="12" t="s">
        <v>971</v>
      </c>
      <c r="E1240" s="10">
        <v>43640</v>
      </c>
      <c r="F1240" s="8" t="s">
        <v>263</v>
      </c>
      <c r="G1240" s="19" t="s">
        <v>237</v>
      </c>
      <c r="H1240" s="18">
        <f ca="1">ROUNDDOWN(表3[[#This Row],[日期]]-TODAY(),1)</f>
        <v>-2</v>
      </c>
    </row>
    <row r="1241" spans="1:8" hidden="1" x14ac:dyDescent="0.2">
      <c r="A1241" s="19" t="s">
        <v>242</v>
      </c>
      <c r="B1241" s="41">
        <v>43640</v>
      </c>
      <c r="C1241" s="11">
        <v>5</v>
      </c>
      <c r="D1241" s="12" t="s">
        <v>971</v>
      </c>
      <c r="E1241" s="10">
        <v>43642</v>
      </c>
      <c r="F1241" s="8" t="s">
        <v>263</v>
      </c>
      <c r="G1241" s="19" t="s">
        <v>240</v>
      </c>
      <c r="H1241" s="18">
        <f ca="1">ROUNDDOWN(表3[[#This Row],[日期]]-TODAY(),1)</f>
        <v>0</v>
      </c>
    </row>
    <row r="1242" spans="1:8" hidden="1" x14ac:dyDescent="0.2">
      <c r="A1242" s="19" t="s">
        <v>242</v>
      </c>
      <c r="B1242" s="41">
        <v>43640</v>
      </c>
      <c r="C1242" s="11">
        <v>6</v>
      </c>
      <c r="D1242" s="12" t="s">
        <v>978</v>
      </c>
      <c r="E1242" s="10">
        <v>43643</v>
      </c>
      <c r="F1242" s="8" t="s">
        <v>209</v>
      </c>
      <c r="G1242" s="19" t="s">
        <v>976</v>
      </c>
      <c r="H1242" s="18">
        <f ca="1">ROUNDDOWN(表3[[#This Row],[日期]]-TODAY(),1)</f>
        <v>1</v>
      </c>
    </row>
    <row r="1243" spans="1:8" hidden="1" x14ac:dyDescent="0.2">
      <c r="A1243" s="19" t="s">
        <v>242</v>
      </c>
      <c r="B1243" s="41">
        <v>43640</v>
      </c>
      <c r="C1243" s="11">
        <v>7</v>
      </c>
      <c r="D1243" s="12" t="s">
        <v>1187</v>
      </c>
      <c r="E1243" s="10">
        <v>43643</v>
      </c>
      <c r="F1243" s="8" t="s">
        <v>209</v>
      </c>
      <c r="G1243" s="19" t="s">
        <v>976</v>
      </c>
      <c r="H1243" s="18">
        <f ca="1">ROUNDDOWN(表3[[#This Row],[日期]]-TODAY(),1)</f>
        <v>1</v>
      </c>
    </row>
    <row r="1244" spans="1:8" hidden="1" x14ac:dyDescent="0.2">
      <c r="A1244" s="19" t="s">
        <v>242</v>
      </c>
      <c r="B1244" s="41">
        <v>43640</v>
      </c>
      <c r="C1244" s="11">
        <v>8</v>
      </c>
      <c r="D1244" s="12" t="s">
        <v>972</v>
      </c>
      <c r="E1244" s="10">
        <v>43644</v>
      </c>
      <c r="F1244" s="8" t="s">
        <v>209</v>
      </c>
      <c r="G1244" s="19" t="s">
        <v>233</v>
      </c>
      <c r="H1244" s="18">
        <f ca="1">ROUNDDOWN(表3[[#This Row],[日期]]-TODAY(),1)</f>
        <v>2</v>
      </c>
    </row>
    <row r="1245" spans="1:8" hidden="1" x14ac:dyDescent="0.2">
      <c r="A1245" s="19" t="s">
        <v>242</v>
      </c>
      <c r="B1245" s="41">
        <v>43640</v>
      </c>
      <c r="C1245" s="11">
        <v>9</v>
      </c>
      <c r="D1245" s="12" t="s">
        <v>228</v>
      </c>
      <c r="E1245" s="10">
        <v>43644</v>
      </c>
      <c r="F1245" s="8" t="s">
        <v>209</v>
      </c>
      <c r="G1245" s="19" t="s">
        <v>233</v>
      </c>
      <c r="H1245" s="18">
        <f ca="1">ROUNDDOWN(表3[[#This Row],[日期]]-TODAY(),1)</f>
        <v>2</v>
      </c>
    </row>
    <row r="1246" spans="1:8" hidden="1" x14ac:dyDescent="0.2">
      <c r="A1246" s="19" t="s">
        <v>242</v>
      </c>
      <c r="B1246" s="41">
        <v>43640</v>
      </c>
      <c r="C1246" s="11">
        <v>10</v>
      </c>
      <c r="D1246" s="12" t="s">
        <v>971</v>
      </c>
      <c r="E1246" s="10">
        <v>43644</v>
      </c>
      <c r="F1246" s="8" t="s">
        <v>209</v>
      </c>
      <c r="G1246" s="19" t="s">
        <v>233</v>
      </c>
      <c r="H1246" s="18">
        <f ca="1">ROUNDDOWN(表3[[#This Row],[日期]]-TODAY(),1)</f>
        <v>2</v>
      </c>
    </row>
    <row r="1247" spans="1:8" hidden="1" x14ac:dyDescent="0.2">
      <c r="A1247" s="19" t="s">
        <v>242</v>
      </c>
      <c r="B1247" s="41">
        <v>43640</v>
      </c>
      <c r="C1247" s="11">
        <v>11</v>
      </c>
      <c r="D1247" s="12" t="s">
        <v>1283</v>
      </c>
      <c r="E1247" s="10">
        <v>43644</v>
      </c>
      <c r="F1247" s="8" t="s">
        <v>209</v>
      </c>
      <c r="G1247" s="19" t="s">
        <v>233</v>
      </c>
      <c r="H1247" s="18">
        <f ca="1">ROUNDDOWN(表3[[#This Row],[日期]]-TODAY(),1)</f>
        <v>2</v>
      </c>
    </row>
    <row r="1248" spans="1:8" hidden="1" x14ac:dyDescent="0.2">
      <c r="A1248" s="19" t="s">
        <v>242</v>
      </c>
      <c r="B1248" s="41">
        <v>43640</v>
      </c>
      <c r="C1248" s="11">
        <v>12</v>
      </c>
      <c r="D1248" s="12" t="s">
        <v>1188</v>
      </c>
      <c r="E1248" s="10">
        <v>43644</v>
      </c>
      <c r="F1248" s="8" t="s">
        <v>209</v>
      </c>
      <c r="G1248" s="19" t="s">
        <v>233</v>
      </c>
      <c r="H1248" s="18">
        <f ca="1">ROUNDDOWN(表3[[#This Row],[日期]]-TODAY(),1)</f>
        <v>2</v>
      </c>
    </row>
    <row r="1249" spans="1:8" hidden="1" x14ac:dyDescent="0.2">
      <c r="A1249" s="19" t="s">
        <v>242</v>
      </c>
      <c r="B1249" s="41">
        <v>43640</v>
      </c>
      <c r="C1249" s="11">
        <v>13</v>
      </c>
      <c r="D1249" s="12" t="s">
        <v>1189</v>
      </c>
      <c r="E1249" s="10">
        <v>43644</v>
      </c>
      <c r="F1249" s="8" t="s">
        <v>209</v>
      </c>
      <c r="G1249" s="19" t="s">
        <v>233</v>
      </c>
      <c r="H1249" s="18">
        <f ca="1">ROUNDDOWN(表3[[#This Row],[日期]]-TODAY(),1)</f>
        <v>2</v>
      </c>
    </row>
    <row r="1250" spans="1:8" hidden="1" x14ac:dyDescent="0.2">
      <c r="A1250" s="19" t="s">
        <v>242</v>
      </c>
      <c r="B1250" s="41">
        <v>43640</v>
      </c>
      <c r="C1250" s="11">
        <v>14</v>
      </c>
      <c r="D1250" s="12" t="s">
        <v>1190</v>
      </c>
      <c r="E1250" s="10">
        <v>43644</v>
      </c>
      <c r="F1250" s="8" t="s">
        <v>209</v>
      </c>
      <c r="G1250" s="19" t="s">
        <v>233</v>
      </c>
      <c r="H1250" s="18">
        <f ca="1">ROUNDDOWN(表3[[#This Row],[日期]]-TODAY(),1)</f>
        <v>2</v>
      </c>
    </row>
    <row r="1251" spans="1:8" hidden="1" x14ac:dyDescent="0.2">
      <c r="A1251" s="19" t="s">
        <v>242</v>
      </c>
      <c r="B1251" s="41">
        <v>43640</v>
      </c>
      <c r="C1251" s="11">
        <v>15</v>
      </c>
      <c r="D1251" s="12" t="s">
        <v>1191</v>
      </c>
      <c r="E1251" s="10">
        <v>43644</v>
      </c>
      <c r="F1251" s="8" t="s">
        <v>209</v>
      </c>
      <c r="G1251" s="19" t="s">
        <v>233</v>
      </c>
      <c r="H1251" s="18">
        <f ca="1">ROUNDDOWN(表3[[#This Row],[日期]]-TODAY(),1)</f>
        <v>2</v>
      </c>
    </row>
    <row r="1252" spans="1:8" hidden="1" x14ac:dyDescent="0.2">
      <c r="A1252" s="19" t="s">
        <v>242</v>
      </c>
      <c r="B1252" s="41">
        <v>43640</v>
      </c>
      <c r="C1252" s="11">
        <v>16</v>
      </c>
      <c r="D1252" s="12" t="s">
        <v>1192</v>
      </c>
      <c r="E1252" s="10">
        <v>43644</v>
      </c>
      <c r="F1252" s="8" t="s">
        <v>209</v>
      </c>
      <c r="G1252" s="19" t="s">
        <v>233</v>
      </c>
      <c r="H1252" s="18">
        <f ca="1">ROUNDDOWN(表3[[#This Row],[日期]]-TODAY(),1)</f>
        <v>2</v>
      </c>
    </row>
    <row r="1253" spans="1:8" hidden="1" x14ac:dyDescent="0.2">
      <c r="A1253" s="19" t="s">
        <v>242</v>
      </c>
      <c r="B1253" s="41">
        <v>43640</v>
      </c>
      <c r="C1253" s="11">
        <v>17</v>
      </c>
      <c r="D1253" s="12" t="s">
        <v>1193</v>
      </c>
      <c r="E1253" s="10">
        <v>43644</v>
      </c>
      <c r="F1253" s="8" t="s">
        <v>209</v>
      </c>
      <c r="G1253" s="19" t="s">
        <v>233</v>
      </c>
      <c r="H1253" s="18">
        <f ca="1">ROUNDDOWN(表3[[#This Row],[日期]]-TODAY(),1)</f>
        <v>2</v>
      </c>
    </row>
    <row r="1254" spans="1:8" hidden="1" x14ac:dyDescent="0.2">
      <c r="A1254" s="22" t="s">
        <v>242</v>
      </c>
      <c r="B1254" s="43">
        <v>43640</v>
      </c>
      <c r="C1254" s="23">
        <v>18</v>
      </c>
      <c r="D1254" s="24" t="s">
        <v>1194</v>
      </c>
      <c r="E1254" s="25">
        <v>43644</v>
      </c>
      <c r="F1254" s="26" t="s">
        <v>209</v>
      </c>
      <c r="G1254" s="22" t="s">
        <v>233</v>
      </c>
      <c r="H1254" s="21">
        <f ca="1">ROUNDDOWN(表3[[#This Row],[日期]]-TODAY(),1)</f>
        <v>2</v>
      </c>
    </row>
    <row r="1255" spans="1:8" hidden="1" x14ac:dyDescent="0.2">
      <c r="A1255" s="22" t="s">
        <v>244</v>
      </c>
      <c r="B1255" s="41">
        <v>43617</v>
      </c>
      <c r="C1255" s="11">
        <v>6</v>
      </c>
      <c r="D1255" s="24" t="s">
        <v>1225</v>
      </c>
      <c r="E1255" s="25">
        <v>43643</v>
      </c>
      <c r="F1255" s="26" t="s">
        <v>1226</v>
      </c>
      <c r="G1255" s="22"/>
      <c r="H1255" s="21">
        <f ca="1">ROUNDDOWN(表3[[#This Row],[日期]]-TODAY(),1)</f>
        <v>1</v>
      </c>
    </row>
    <row r="1256" spans="1:8" hidden="1" x14ac:dyDescent="0.2">
      <c r="A1256" s="19" t="s">
        <v>2</v>
      </c>
      <c r="B1256" s="41">
        <v>43649</v>
      </c>
      <c r="C1256" s="11">
        <v>1</v>
      </c>
      <c r="D1256" s="12" t="s">
        <v>1234</v>
      </c>
      <c r="E1256" s="10">
        <v>43640</v>
      </c>
      <c r="F1256" s="8" t="s">
        <v>263</v>
      </c>
      <c r="G1256" s="19" t="s">
        <v>29</v>
      </c>
      <c r="H1256" s="18">
        <f ca="1">ROUNDDOWN(表3[[#This Row],[日期]]-TODAY(),1)</f>
        <v>-2</v>
      </c>
    </row>
    <row r="1257" spans="1:8" hidden="1" x14ac:dyDescent="0.2">
      <c r="A1257" s="19" t="s">
        <v>2</v>
      </c>
      <c r="B1257" s="41">
        <v>43649</v>
      </c>
      <c r="C1257" s="11">
        <v>2</v>
      </c>
      <c r="D1257" s="12" t="s">
        <v>224</v>
      </c>
      <c r="E1257" s="10">
        <v>43641</v>
      </c>
      <c r="F1257" s="8" t="s">
        <v>263</v>
      </c>
      <c r="G1257" s="19"/>
      <c r="H1257" s="18">
        <f ca="1">ROUNDDOWN(表3[[#This Row],[日期]]-TODAY(),1)</f>
        <v>-1</v>
      </c>
    </row>
    <row r="1258" spans="1:8" hidden="1" x14ac:dyDescent="0.2">
      <c r="A1258" s="19" t="s">
        <v>2</v>
      </c>
      <c r="B1258" s="41">
        <v>43649</v>
      </c>
      <c r="C1258" s="11">
        <v>6</v>
      </c>
      <c r="D1258" s="12" t="s">
        <v>19</v>
      </c>
      <c r="E1258" s="10">
        <v>43641</v>
      </c>
      <c r="F1258" s="8" t="s">
        <v>263</v>
      </c>
      <c r="G1258" s="19"/>
      <c r="H1258" s="18">
        <f ca="1">ROUNDDOWN(表3[[#This Row],[日期]]-TODAY(),1)</f>
        <v>-1</v>
      </c>
    </row>
    <row r="1259" spans="1:8" hidden="1" x14ac:dyDescent="0.2">
      <c r="A1259" s="19" t="s">
        <v>2</v>
      </c>
      <c r="B1259" s="41">
        <v>43649</v>
      </c>
      <c r="C1259" s="11">
        <v>7</v>
      </c>
      <c r="D1259" s="12" t="s">
        <v>21</v>
      </c>
      <c r="E1259" s="10">
        <v>43641</v>
      </c>
      <c r="F1259" s="8" t="s">
        <v>263</v>
      </c>
      <c r="G1259" s="19"/>
      <c r="H1259" s="18">
        <f ca="1">ROUNDDOWN(表3[[#This Row],[日期]]-TODAY(),1)</f>
        <v>-1</v>
      </c>
    </row>
    <row r="1260" spans="1:8" hidden="1" x14ac:dyDescent="0.2">
      <c r="A1260" s="19" t="s">
        <v>2</v>
      </c>
      <c r="B1260" s="41">
        <v>43649</v>
      </c>
      <c r="C1260" s="11">
        <v>8</v>
      </c>
      <c r="D1260" s="12" t="s">
        <v>7</v>
      </c>
      <c r="E1260" s="10">
        <v>43641</v>
      </c>
      <c r="F1260" s="8" t="s">
        <v>263</v>
      </c>
      <c r="G1260" s="19"/>
      <c r="H1260" s="18">
        <f ca="1">ROUNDDOWN(表3[[#This Row],[日期]]-TODAY(),1)</f>
        <v>-1</v>
      </c>
    </row>
    <row r="1261" spans="1:8" hidden="1" x14ac:dyDescent="0.2">
      <c r="A1261" s="19" t="s">
        <v>2</v>
      </c>
      <c r="B1261" s="41">
        <v>43649</v>
      </c>
      <c r="C1261" s="11">
        <v>9</v>
      </c>
      <c r="D1261" s="12" t="s">
        <v>9</v>
      </c>
      <c r="E1261" s="10">
        <v>43641</v>
      </c>
      <c r="F1261" s="8" t="s">
        <v>263</v>
      </c>
      <c r="G1261" s="19"/>
      <c r="H1261" s="18">
        <f ca="1">ROUNDDOWN(表3[[#This Row],[日期]]-TODAY(),1)</f>
        <v>-1</v>
      </c>
    </row>
    <row r="1262" spans="1:8" hidden="1" x14ac:dyDescent="0.2">
      <c r="A1262" s="19" t="s">
        <v>2</v>
      </c>
      <c r="B1262" s="41">
        <v>43649</v>
      </c>
      <c r="C1262" s="11">
        <v>10</v>
      </c>
      <c r="D1262" s="12" t="s">
        <v>11</v>
      </c>
      <c r="E1262" s="10">
        <v>43641</v>
      </c>
      <c r="F1262" s="8" t="s">
        <v>263</v>
      </c>
      <c r="G1262" s="19" t="s">
        <v>32</v>
      </c>
      <c r="H1262" s="18">
        <f ca="1">ROUNDDOWN(表3[[#This Row],[日期]]-TODAY(),1)</f>
        <v>-1</v>
      </c>
    </row>
    <row r="1263" spans="1:8" hidden="1" x14ac:dyDescent="0.2">
      <c r="A1263" s="19" t="s">
        <v>2</v>
      </c>
      <c r="B1263" s="41">
        <v>43649</v>
      </c>
      <c r="C1263" s="11">
        <v>11</v>
      </c>
      <c r="D1263" s="12" t="s">
        <v>58</v>
      </c>
      <c r="E1263" s="10">
        <v>43641</v>
      </c>
      <c r="F1263" s="8" t="s">
        <v>263</v>
      </c>
      <c r="G1263" s="19"/>
      <c r="H1263" s="18">
        <f ca="1">ROUNDDOWN(表3[[#This Row],[日期]]-TODAY(),1)</f>
        <v>-1</v>
      </c>
    </row>
    <row r="1264" spans="1:8" hidden="1" x14ac:dyDescent="0.2">
      <c r="A1264" s="19" t="s">
        <v>2</v>
      </c>
      <c r="B1264" s="41">
        <v>43649</v>
      </c>
      <c r="C1264" s="11">
        <v>12</v>
      </c>
      <c r="D1264" s="12" t="s">
        <v>1235</v>
      </c>
      <c r="E1264" s="10">
        <v>43643</v>
      </c>
      <c r="F1264" s="8" t="s">
        <v>209</v>
      </c>
      <c r="G1264" s="19" t="s">
        <v>34</v>
      </c>
      <c r="H1264" s="18">
        <f ca="1">ROUNDDOWN(表3[[#This Row],[日期]]-TODAY(),1)</f>
        <v>1</v>
      </c>
    </row>
    <row r="1265" spans="1:8" hidden="1" x14ac:dyDescent="0.2">
      <c r="A1265" s="19" t="s">
        <v>2</v>
      </c>
      <c r="B1265" s="41">
        <v>43649</v>
      </c>
      <c r="C1265" s="11">
        <v>13</v>
      </c>
      <c r="D1265" s="12" t="s">
        <v>39</v>
      </c>
      <c r="E1265" s="10">
        <v>43643</v>
      </c>
      <c r="F1265" s="8" t="s">
        <v>209</v>
      </c>
      <c r="G1265" s="19"/>
      <c r="H1265" s="18">
        <f ca="1">ROUNDDOWN(表3[[#This Row],[日期]]-TODAY(),1)</f>
        <v>1</v>
      </c>
    </row>
    <row r="1266" spans="1:8" hidden="1" x14ac:dyDescent="0.2">
      <c r="A1266" s="19" t="s">
        <v>2</v>
      </c>
      <c r="B1266" s="41">
        <v>43649</v>
      </c>
      <c r="C1266" s="11">
        <v>14</v>
      </c>
      <c r="D1266" s="12" t="s">
        <v>23</v>
      </c>
      <c r="E1266" s="10">
        <v>43643</v>
      </c>
      <c r="F1266" s="8" t="s">
        <v>209</v>
      </c>
      <c r="G1266" s="19"/>
      <c r="H1266" s="18">
        <f ca="1">ROUNDDOWN(表3[[#This Row],[日期]]-TODAY(),1)</f>
        <v>1</v>
      </c>
    </row>
    <row r="1267" spans="1:8" hidden="1" x14ac:dyDescent="0.2">
      <c r="A1267" s="19" t="s">
        <v>2</v>
      </c>
      <c r="B1267" s="41">
        <v>43649</v>
      </c>
      <c r="C1267" s="11">
        <v>15</v>
      </c>
      <c r="D1267" s="12" t="s">
        <v>25</v>
      </c>
      <c r="E1267" s="10">
        <v>43643</v>
      </c>
      <c r="F1267" s="8" t="s">
        <v>209</v>
      </c>
      <c r="G1267" s="19"/>
      <c r="H1267" s="18">
        <f ca="1">ROUNDDOWN(表3[[#This Row],[日期]]-TODAY(),1)</f>
        <v>1</v>
      </c>
    </row>
    <row r="1268" spans="1:8" hidden="1" x14ac:dyDescent="0.2">
      <c r="A1268" s="19" t="s">
        <v>2</v>
      </c>
      <c r="B1268" s="41">
        <v>43649</v>
      </c>
      <c r="C1268" s="11">
        <v>16</v>
      </c>
      <c r="D1268" s="12" t="s">
        <v>13</v>
      </c>
      <c r="E1268" s="10">
        <v>43643</v>
      </c>
      <c r="F1268" s="8" t="s">
        <v>209</v>
      </c>
      <c r="G1268" s="19"/>
      <c r="H1268" s="18">
        <f ca="1">ROUNDDOWN(表3[[#This Row],[日期]]-TODAY(),1)</f>
        <v>1</v>
      </c>
    </row>
    <row r="1269" spans="1:8" hidden="1" x14ac:dyDescent="0.2">
      <c r="A1269" s="19" t="s">
        <v>2</v>
      </c>
      <c r="B1269" s="41">
        <v>43649</v>
      </c>
      <c r="C1269" s="11">
        <v>17</v>
      </c>
      <c r="D1269" s="12" t="s">
        <v>15</v>
      </c>
      <c r="E1269" s="10">
        <v>43643</v>
      </c>
      <c r="F1269" s="8" t="s">
        <v>209</v>
      </c>
      <c r="G1269" s="19"/>
      <c r="H1269" s="18">
        <f ca="1">ROUNDDOWN(表3[[#This Row],[日期]]-TODAY(),1)</f>
        <v>1</v>
      </c>
    </row>
    <row r="1270" spans="1:8" hidden="1" x14ac:dyDescent="0.2">
      <c r="A1270" s="19" t="s">
        <v>2</v>
      </c>
      <c r="B1270" s="41">
        <v>43649</v>
      </c>
      <c r="C1270" s="11">
        <v>18</v>
      </c>
      <c r="D1270" s="12" t="s">
        <v>17</v>
      </c>
      <c r="E1270" s="10">
        <v>43643</v>
      </c>
      <c r="F1270" s="8" t="s">
        <v>209</v>
      </c>
      <c r="G1270" s="19"/>
      <c r="H1270" s="18">
        <f ca="1">ROUNDDOWN(表3[[#This Row],[日期]]-TODAY(),1)</f>
        <v>1</v>
      </c>
    </row>
    <row r="1271" spans="1:8" hidden="1" x14ac:dyDescent="0.2">
      <c r="A1271" s="19" t="s">
        <v>2</v>
      </c>
      <c r="B1271" s="41">
        <v>43649</v>
      </c>
      <c r="C1271" s="11">
        <v>19</v>
      </c>
      <c r="D1271" s="12" t="s">
        <v>56</v>
      </c>
      <c r="E1271" s="10">
        <v>43643</v>
      </c>
      <c r="F1271" s="8" t="s">
        <v>209</v>
      </c>
      <c r="G1271" s="19"/>
      <c r="H1271" s="18">
        <f ca="1">ROUNDDOWN(表3[[#This Row],[日期]]-TODAY(),1)</f>
        <v>1</v>
      </c>
    </row>
    <row r="1272" spans="1:8" hidden="1" x14ac:dyDescent="0.2">
      <c r="A1272" s="19" t="s">
        <v>2</v>
      </c>
      <c r="B1272" s="41">
        <v>43649</v>
      </c>
      <c r="C1272" s="11">
        <v>20</v>
      </c>
      <c r="D1272" s="12" t="s">
        <v>1236</v>
      </c>
      <c r="E1272" s="10">
        <v>43644</v>
      </c>
      <c r="F1272" s="8" t="s">
        <v>209</v>
      </c>
      <c r="G1272" s="19" t="s">
        <v>36</v>
      </c>
      <c r="H1272" s="18">
        <f ca="1">ROUNDDOWN(表3[[#This Row],[日期]]-TODAY(),1)</f>
        <v>2</v>
      </c>
    </row>
    <row r="1273" spans="1:8" hidden="1" x14ac:dyDescent="0.2">
      <c r="A1273" s="19" t="s">
        <v>2</v>
      </c>
      <c r="B1273" s="41">
        <v>43649</v>
      </c>
      <c r="C1273" s="11">
        <v>21</v>
      </c>
      <c r="D1273" s="12" t="s">
        <v>38</v>
      </c>
      <c r="E1273" s="10">
        <v>43644</v>
      </c>
      <c r="F1273" s="8" t="s">
        <v>209</v>
      </c>
      <c r="G1273" s="19"/>
      <c r="H1273" s="18">
        <f ca="1">ROUNDDOWN(表3[[#This Row],[日期]]-TODAY(),1)</f>
        <v>2</v>
      </c>
    </row>
    <row r="1274" spans="1:8" hidden="1" x14ac:dyDescent="0.2">
      <c r="A1274" s="19" t="s">
        <v>2</v>
      </c>
      <c r="B1274" s="41">
        <v>43649</v>
      </c>
      <c r="C1274" s="11">
        <v>22</v>
      </c>
      <c r="D1274" s="12" t="s">
        <v>41</v>
      </c>
      <c r="E1274" s="10">
        <v>43644</v>
      </c>
      <c r="F1274" s="8" t="s">
        <v>209</v>
      </c>
      <c r="G1274" s="19"/>
      <c r="H1274" s="18">
        <f ca="1">ROUNDDOWN(表3[[#This Row],[日期]]-TODAY(),1)</f>
        <v>2</v>
      </c>
    </row>
    <row r="1275" spans="1:8" hidden="1" x14ac:dyDescent="0.2">
      <c r="A1275" s="19" t="s">
        <v>2</v>
      </c>
      <c r="B1275" s="41">
        <v>43649</v>
      </c>
      <c r="C1275" s="11">
        <v>23</v>
      </c>
      <c r="D1275" s="12" t="s">
        <v>1237</v>
      </c>
      <c r="E1275" s="10">
        <v>43644</v>
      </c>
      <c r="F1275" s="8" t="s">
        <v>209</v>
      </c>
      <c r="G1275" s="19" t="s">
        <v>43</v>
      </c>
      <c r="H1275" s="18">
        <f ca="1">ROUNDDOWN(表3[[#This Row],[日期]]-TODAY(),1)</f>
        <v>2</v>
      </c>
    </row>
    <row r="1276" spans="1:8" hidden="1" x14ac:dyDescent="0.2">
      <c r="A1276" s="19" t="s">
        <v>2</v>
      </c>
      <c r="B1276" s="41">
        <v>43649</v>
      </c>
      <c r="C1276" s="11">
        <v>24</v>
      </c>
      <c r="D1276" s="12" t="s">
        <v>225</v>
      </c>
      <c r="E1276" s="10">
        <v>43644</v>
      </c>
      <c r="F1276" s="8" t="s">
        <v>209</v>
      </c>
      <c r="G1276" s="19" t="s">
        <v>200</v>
      </c>
      <c r="H1276" s="18">
        <f ca="1">ROUNDDOWN(表3[[#This Row],[日期]]-TODAY(),1)</f>
        <v>2</v>
      </c>
    </row>
    <row r="1277" spans="1:8" hidden="1" x14ac:dyDescent="0.2">
      <c r="A1277" s="19" t="s">
        <v>2</v>
      </c>
      <c r="B1277" s="41">
        <v>43649</v>
      </c>
      <c r="C1277" s="11">
        <v>25</v>
      </c>
      <c r="D1277" s="12" t="s">
        <v>1238</v>
      </c>
      <c r="E1277" s="10">
        <v>43644</v>
      </c>
      <c r="F1277" s="8" t="s">
        <v>209</v>
      </c>
      <c r="G1277" s="19"/>
      <c r="H1277" s="18">
        <f ca="1">ROUNDDOWN(表3[[#This Row],[日期]]-TODAY(),1)</f>
        <v>2</v>
      </c>
    </row>
    <row r="1278" spans="1:8" hidden="1" x14ac:dyDescent="0.2">
      <c r="A1278" s="19" t="s">
        <v>2</v>
      </c>
      <c r="B1278" s="41">
        <v>43649</v>
      </c>
      <c r="C1278" s="11">
        <v>26</v>
      </c>
      <c r="D1278" s="12" t="s">
        <v>999</v>
      </c>
      <c r="E1278" s="10">
        <v>43644</v>
      </c>
      <c r="F1278" s="8" t="s">
        <v>209</v>
      </c>
      <c r="G1278" s="19"/>
      <c r="H1278" s="18">
        <f ca="1">ROUNDDOWN(表3[[#This Row],[日期]]-TODAY(),1)</f>
        <v>2</v>
      </c>
    </row>
    <row r="1279" spans="1:8" hidden="1" x14ac:dyDescent="0.2">
      <c r="A1279" s="19" t="s">
        <v>2</v>
      </c>
      <c r="B1279" s="41">
        <v>43649</v>
      </c>
      <c r="C1279" s="11">
        <v>27</v>
      </c>
      <c r="D1279" s="12" t="s">
        <v>81</v>
      </c>
      <c r="E1279" s="10">
        <v>43644</v>
      </c>
      <c r="F1279" s="8" t="s">
        <v>209</v>
      </c>
      <c r="G1279" s="19"/>
      <c r="H1279" s="18">
        <f ca="1">ROUNDDOWN(表3[[#This Row],[日期]]-TODAY(),1)</f>
        <v>2</v>
      </c>
    </row>
    <row r="1280" spans="1:8" hidden="1" x14ac:dyDescent="0.2">
      <c r="A1280" s="19" t="s">
        <v>2</v>
      </c>
      <c r="B1280" s="41">
        <v>43649</v>
      </c>
      <c r="C1280" s="11">
        <v>28</v>
      </c>
      <c r="D1280" s="12" t="s">
        <v>77</v>
      </c>
      <c r="E1280" s="10">
        <v>43644</v>
      </c>
      <c r="F1280" s="8" t="s">
        <v>209</v>
      </c>
      <c r="G1280" s="19"/>
      <c r="H1280" s="18">
        <f ca="1">ROUNDDOWN(表3[[#This Row],[日期]]-TODAY(),1)</f>
        <v>2</v>
      </c>
    </row>
    <row r="1281" spans="1:8" hidden="1" x14ac:dyDescent="0.2">
      <c r="A1281" s="19" t="s">
        <v>2</v>
      </c>
      <c r="B1281" s="41">
        <v>43649</v>
      </c>
      <c r="C1281" s="11">
        <v>29</v>
      </c>
      <c r="D1281" s="12" t="s">
        <v>79</v>
      </c>
      <c r="E1281" s="10">
        <v>43644</v>
      </c>
      <c r="F1281" s="8" t="s">
        <v>209</v>
      </c>
      <c r="G1281" s="19"/>
      <c r="H1281" s="18">
        <f ca="1">ROUNDDOWN(表3[[#This Row],[日期]]-TODAY(),1)</f>
        <v>2</v>
      </c>
    </row>
    <row r="1282" spans="1:8" hidden="1" x14ac:dyDescent="0.2">
      <c r="A1282" s="19" t="s">
        <v>2</v>
      </c>
      <c r="B1282" s="41">
        <v>43649</v>
      </c>
      <c r="C1282" s="11">
        <v>31</v>
      </c>
      <c r="D1282" s="12" t="s">
        <v>49</v>
      </c>
      <c r="E1282" s="10">
        <v>43644</v>
      </c>
      <c r="F1282" s="8" t="s">
        <v>209</v>
      </c>
      <c r="G1282" s="19" t="s">
        <v>43</v>
      </c>
      <c r="H1282" s="18">
        <f ca="1">ROUNDDOWN(表3[[#This Row],[日期]]-TODAY(),1)</f>
        <v>2</v>
      </c>
    </row>
    <row r="1283" spans="1:8" hidden="1" x14ac:dyDescent="0.2">
      <c r="A1283" s="19" t="s">
        <v>2</v>
      </c>
      <c r="B1283" s="41">
        <v>43649</v>
      </c>
      <c r="C1283" s="11">
        <v>32</v>
      </c>
      <c r="D1283" s="12" t="s">
        <v>54</v>
      </c>
      <c r="E1283" s="10">
        <v>43644</v>
      </c>
      <c r="F1283" s="8" t="s">
        <v>209</v>
      </c>
      <c r="G1283" s="19"/>
      <c r="H1283" s="18">
        <f ca="1">ROUNDDOWN(表3[[#This Row],[日期]]-TODAY(),1)</f>
        <v>2</v>
      </c>
    </row>
    <row r="1284" spans="1:8" hidden="1" x14ac:dyDescent="0.2">
      <c r="A1284" s="19" t="s">
        <v>2</v>
      </c>
      <c r="B1284" s="41">
        <v>43649</v>
      </c>
      <c r="C1284" s="11">
        <v>33</v>
      </c>
      <c r="D1284" s="12" t="s">
        <v>69</v>
      </c>
      <c r="E1284" s="10">
        <v>43644</v>
      </c>
      <c r="F1284" s="8" t="s">
        <v>209</v>
      </c>
      <c r="G1284" s="19" t="s">
        <v>66</v>
      </c>
      <c r="H1284" s="18">
        <f ca="1">ROUNDDOWN(表3[[#This Row],[日期]]-TODAY(),1)</f>
        <v>2</v>
      </c>
    </row>
    <row r="1285" spans="1:8" hidden="1" x14ac:dyDescent="0.2">
      <c r="A1285" s="19" t="s">
        <v>2</v>
      </c>
      <c r="B1285" s="41">
        <v>43649</v>
      </c>
      <c r="C1285" s="11">
        <v>34</v>
      </c>
      <c r="D1285" s="12" t="s">
        <v>64</v>
      </c>
      <c r="E1285" s="10">
        <v>43644</v>
      </c>
      <c r="F1285" s="8" t="s">
        <v>209</v>
      </c>
      <c r="G1285" s="19"/>
      <c r="H1285" s="18">
        <f ca="1">ROUNDDOWN(表3[[#This Row],[日期]]-TODAY(),1)</f>
        <v>2</v>
      </c>
    </row>
    <row r="1286" spans="1:8" hidden="1" x14ac:dyDescent="0.2">
      <c r="A1286" s="19" t="s">
        <v>2</v>
      </c>
      <c r="B1286" s="41">
        <v>43649</v>
      </c>
      <c r="C1286" s="11">
        <v>35</v>
      </c>
      <c r="D1286" s="12" t="s">
        <v>1239</v>
      </c>
      <c r="E1286" s="10">
        <v>43644</v>
      </c>
      <c r="F1286" s="8" t="s">
        <v>209</v>
      </c>
      <c r="G1286" s="19" t="s">
        <v>32</v>
      </c>
      <c r="H1286" s="18">
        <f ca="1">ROUNDDOWN(表3[[#This Row],[日期]]-TODAY(),1)</f>
        <v>2</v>
      </c>
    </row>
    <row r="1287" spans="1:8" hidden="1" x14ac:dyDescent="0.2">
      <c r="A1287" s="19" t="s">
        <v>2</v>
      </c>
      <c r="B1287" s="41">
        <v>43649</v>
      </c>
      <c r="C1287" s="11">
        <v>36</v>
      </c>
      <c r="D1287" s="12" t="s">
        <v>1240</v>
      </c>
      <c r="E1287" s="10">
        <v>43644</v>
      </c>
      <c r="F1287" s="8" t="s">
        <v>209</v>
      </c>
      <c r="G1287" s="19" t="s">
        <v>43</v>
      </c>
      <c r="H1287" s="18">
        <f ca="1">ROUNDDOWN(表3[[#This Row],[日期]]-TODAY(),1)</f>
        <v>2</v>
      </c>
    </row>
    <row r="1288" spans="1:8" hidden="1" x14ac:dyDescent="0.2">
      <c r="A1288" s="19" t="s">
        <v>2</v>
      </c>
      <c r="B1288" s="41">
        <v>43649</v>
      </c>
      <c r="C1288" s="11">
        <v>37</v>
      </c>
      <c r="D1288" s="12" t="s">
        <v>75</v>
      </c>
      <c r="E1288" s="10">
        <v>43644</v>
      </c>
      <c r="F1288" s="8" t="s">
        <v>209</v>
      </c>
      <c r="G1288" s="19"/>
      <c r="H1288" s="18">
        <f ca="1">ROUNDDOWN(表3[[#This Row],[日期]]-TODAY(),1)</f>
        <v>2</v>
      </c>
    </row>
    <row r="1289" spans="1:8" hidden="1" x14ac:dyDescent="0.2">
      <c r="A1289" s="19" t="s">
        <v>2</v>
      </c>
      <c r="B1289" s="41">
        <v>43649</v>
      </c>
      <c r="C1289" s="11">
        <v>38</v>
      </c>
      <c r="D1289" s="12" t="s">
        <v>83</v>
      </c>
      <c r="E1289" s="10">
        <v>43645</v>
      </c>
      <c r="F1289" s="8" t="s">
        <v>209</v>
      </c>
      <c r="G1289" s="19"/>
      <c r="H1289" s="18">
        <f ca="1">ROUNDDOWN(表3[[#This Row],[日期]]-TODAY(),1)</f>
        <v>3</v>
      </c>
    </row>
    <row r="1290" spans="1:8" hidden="1" x14ac:dyDescent="0.2">
      <c r="A1290" s="19" t="s">
        <v>2</v>
      </c>
      <c r="B1290" s="41">
        <v>43649</v>
      </c>
      <c r="C1290" s="11">
        <v>39</v>
      </c>
      <c r="D1290" s="12" t="s">
        <v>85</v>
      </c>
      <c r="E1290" s="10">
        <v>43645</v>
      </c>
      <c r="F1290" s="8" t="s">
        <v>209</v>
      </c>
      <c r="G1290" s="19"/>
      <c r="H1290" s="18">
        <f ca="1">ROUNDDOWN(表3[[#This Row],[日期]]-TODAY(),1)</f>
        <v>3</v>
      </c>
    </row>
    <row r="1291" spans="1:8" hidden="1" x14ac:dyDescent="0.2">
      <c r="A1291" s="19" t="s">
        <v>2</v>
      </c>
      <c r="B1291" s="41">
        <v>43649</v>
      </c>
      <c r="C1291" s="11">
        <v>40</v>
      </c>
      <c r="D1291" s="12" t="s">
        <v>1257</v>
      </c>
      <c r="E1291" s="10">
        <v>43645</v>
      </c>
      <c r="F1291" s="8" t="s">
        <v>209</v>
      </c>
      <c r="G1291" s="19"/>
      <c r="H1291" s="18">
        <f ca="1">ROUNDDOWN(表3[[#This Row],[日期]]-TODAY(),1)</f>
        <v>3</v>
      </c>
    </row>
    <row r="1292" spans="1:8" hidden="1" x14ac:dyDescent="0.2">
      <c r="A1292" s="19" t="s">
        <v>2</v>
      </c>
      <c r="B1292" s="41">
        <v>43649</v>
      </c>
      <c r="C1292" s="11">
        <v>41</v>
      </c>
      <c r="D1292" s="12" t="s">
        <v>71</v>
      </c>
      <c r="E1292" s="10">
        <v>43645</v>
      </c>
      <c r="F1292" s="8" t="s">
        <v>209</v>
      </c>
      <c r="G1292" s="19" t="s">
        <v>73</v>
      </c>
      <c r="H1292" s="18">
        <f ca="1">ROUNDDOWN(表3[[#This Row],[日期]]-TODAY(),1)</f>
        <v>3</v>
      </c>
    </row>
    <row r="1293" spans="1:8" hidden="1" x14ac:dyDescent="0.2">
      <c r="A1293" s="19" t="s">
        <v>2</v>
      </c>
      <c r="B1293" s="41">
        <v>43649</v>
      </c>
      <c r="C1293" s="11">
        <v>42</v>
      </c>
      <c r="D1293" s="12" t="s">
        <v>87</v>
      </c>
      <c r="E1293" s="10">
        <v>43645</v>
      </c>
      <c r="F1293" s="8" t="s">
        <v>209</v>
      </c>
      <c r="G1293" s="19"/>
      <c r="H1293" s="18">
        <f ca="1">ROUNDDOWN(表3[[#This Row],[日期]]-TODAY(),1)</f>
        <v>3</v>
      </c>
    </row>
    <row r="1294" spans="1:8" hidden="1" x14ac:dyDescent="0.2">
      <c r="A1294" s="19" t="s">
        <v>2</v>
      </c>
      <c r="B1294" s="41">
        <v>43649</v>
      </c>
      <c r="C1294" s="11">
        <v>43</v>
      </c>
      <c r="D1294" s="12" t="s">
        <v>89</v>
      </c>
      <c r="E1294" s="10">
        <v>43647</v>
      </c>
      <c r="F1294" s="8" t="s">
        <v>209</v>
      </c>
      <c r="G1294" s="19"/>
      <c r="H1294" s="18">
        <f ca="1">ROUNDDOWN(表3[[#This Row],[日期]]-TODAY(),1)</f>
        <v>5</v>
      </c>
    </row>
    <row r="1295" spans="1:8" hidden="1" x14ac:dyDescent="0.2">
      <c r="A1295" s="19" t="s">
        <v>2</v>
      </c>
      <c r="B1295" s="41">
        <v>43649</v>
      </c>
      <c r="C1295" s="11">
        <v>44</v>
      </c>
      <c r="D1295" s="12" t="s">
        <v>91</v>
      </c>
      <c r="E1295" s="10">
        <v>43648</v>
      </c>
      <c r="F1295" s="8" t="s">
        <v>209</v>
      </c>
      <c r="G1295" s="19"/>
      <c r="H1295" s="18">
        <f ca="1">ROUNDDOWN(表3[[#This Row],[日期]]-TODAY(),1)</f>
        <v>6</v>
      </c>
    </row>
    <row r="1296" spans="1:8" hidden="1" x14ac:dyDescent="0.2">
      <c r="A1296" s="19" t="s">
        <v>2</v>
      </c>
      <c r="B1296" s="41">
        <v>43649</v>
      </c>
      <c r="C1296" s="11">
        <v>45</v>
      </c>
      <c r="D1296" s="12" t="s">
        <v>1241</v>
      </c>
      <c r="E1296" s="10">
        <v>43648</v>
      </c>
      <c r="F1296" s="8" t="s">
        <v>209</v>
      </c>
      <c r="G1296" s="19"/>
      <c r="H1296" s="18">
        <f ca="1">ROUNDDOWN(表3[[#This Row],[日期]]-TODAY(),1)</f>
        <v>6</v>
      </c>
    </row>
    <row r="1297" spans="1:8" hidden="1" x14ac:dyDescent="0.2">
      <c r="A1297" s="19" t="s">
        <v>2</v>
      </c>
      <c r="B1297" s="41">
        <v>43649</v>
      </c>
      <c r="C1297" s="11">
        <v>46</v>
      </c>
      <c r="D1297" s="12" t="s">
        <v>331</v>
      </c>
      <c r="E1297" s="10">
        <v>43649</v>
      </c>
      <c r="F1297" s="8" t="s">
        <v>209</v>
      </c>
      <c r="G1297" s="19"/>
      <c r="H1297" s="18">
        <f ca="1">ROUNDDOWN(表3[[#This Row],[日期]]-TODAY(),1)</f>
        <v>7</v>
      </c>
    </row>
    <row r="1298" spans="1:8" hidden="1" x14ac:dyDescent="0.2">
      <c r="A1298" s="22" t="s">
        <v>2</v>
      </c>
      <c r="B1298" s="43">
        <v>43649</v>
      </c>
      <c r="C1298" s="23">
        <v>47</v>
      </c>
      <c r="D1298" s="24" t="s">
        <v>1242</v>
      </c>
      <c r="E1298" s="25">
        <v>43649</v>
      </c>
      <c r="F1298" s="26" t="s">
        <v>209</v>
      </c>
      <c r="G1298" s="22" t="s">
        <v>132</v>
      </c>
      <c r="H1298" s="21">
        <f ca="1">ROUNDDOWN(表3[[#This Row],[日期]]-TODAY(),1)</f>
        <v>7</v>
      </c>
    </row>
    <row r="1299" spans="1:8" hidden="1" x14ac:dyDescent="0.2">
      <c r="A1299" s="19" t="s">
        <v>2</v>
      </c>
      <c r="B1299" s="41">
        <v>43651</v>
      </c>
      <c r="C1299" s="11">
        <v>1</v>
      </c>
      <c r="D1299" s="12" t="s">
        <v>1234</v>
      </c>
      <c r="E1299" s="10">
        <v>43640</v>
      </c>
      <c r="F1299" s="8" t="s">
        <v>263</v>
      </c>
      <c r="G1299" s="19" t="s">
        <v>29</v>
      </c>
      <c r="H1299" s="18">
        <f ca="1">ROUNDDOWN(表3[[#This Row],[日期]]-TODAY(),1)</f>
        <v>-2</v>
      </c>
    </row>
    <row r="1300" spans="1:8" hidden="1" x14ac:dyDescent="0.2">
      <c r="A1300" s="19" t="s">
        <v>2</v>
      </c>
      <c r="B1300" s="41">
        <v>43651</v>
      </c>
      <c r="C1300" s="11">
        <v>2</v>
      </c>
      <c r="D1300" s="12" t="s">
        <v>224</v>
      </c>
      <c r="E1300" s="10">
        <v>43641</v>
      </c>
      <c r="F1300" s="8" t="s">
        <v>263</v>
      </c>
      <c r="G1300" s="19"/>
      <c r="H1300" s="18">
        <f ca="1">ROUNDDOWN(表3[[#This Row],[日期]]-TODAY(),1)</f>
        <v>-1</v>
      </c>
    </row>
    <row r="1301" spans="1:8" hidden="1" x14ac:dyDescent="0.2">
      <c r="A1301" s="19" t="s">
        <v>2</v>
      </c>
      <c r="B1301" s="41">
        <v>43651</v>
      </c>
      <c r="C1301" s="11">
        <v>6</v>
      </c>
      <c r="D1301" s="12" t="s">
        <v>19</v>
      </c>
      <c r="E1301" s="10">
        <v>43641</v>
      </c>
      <c r="F1301" s="8" t="s">
        <v>1260</v>
      </c>
      <c r="G1301" s="19"/>
      <c r="H1301" s="18">
        <f ca="1">ROUNDDOWN(表3[[#This Row],[日期]]-TODAY(),1)</f>
        <v>-1</v>
      </c>
    </row>
    <row r="1302" spans="1:8" hidden="1" x14ac:dyDescent="0.2">
      <c r="A1302" s="19" t="s">
        <v>2</v>
      </c>
      <c r="B1302" s="41">
        <v>43651</v>
      </c>
      <c r="C1302" s="11">
        <v>7</v>
      </c>
      <c r="D1302" s="12" t="s">
        <v>21</v>
      </c>
      <c r="E1302" s="10">
        <v>43641</v>
      </c>
      <c r="F1302" s="8" t="s">
        <v>1260</v>
      </c>
      <c r="G1302" s="19"/>
      <c r="H1302" s="18">
        <f ca="1">ROUNDDOWN(表3[[#This Row],[日期]]-TODAY(),1)</f>
        <v>-1</v>
      </c>
    </row>
    <row r="1303" spans="1:8" hidden="1" x14ac:dyDescent="0.2">
      <c r="A1303" s="19" t="s">
        <v>2</v>
      </c>
      <c r="B1303" s="41">
        <v>43651</v>
      </c>
      <c r="C1303" s="11">
        <v>8</v>
      </c>
      <c r="D1303" s="12" t="s">
        <v>7</v>
      </c>
      <c r="E1303" s="10">
        <v>43641</v>
      </c>
      <c r="F1303" s="8" t="s">
        <v>1260</v>
      </c>
      <c r="G1303" s="19"/>
      <c r="H1303" s="18">
        <f ca="1">ROUNDDOWN(表3[[#This Row],[日期]]-TODAY(),1)</f>
        <v>-1</v>
      </c>
    </row>
    <row r="1304" spans="1:8" hidden="1" x14ac:dyDescent="0.2">
      <c r="A1304" s="19" t="s">
        <v>2</v>
      </c>
      <c r="B1304" s="41">
        <v>43651</v>
      </c>
      <c r="C1304" s="11">
        <v>9</v>
      </c>
      <c r="D1304" s="12" t="s">
        <v>9</v>
      </c>
      <c r="E1304" s="10">
        <v>43641</v>
      </c>
      <c r="F1304" s="8" t="s">
        <v>1260</v>
      </c>
      <c r="G1304" s="19"/>
      <c r="H1304" s="18">
        <f ca="1">ROUNDDOWN(表3[[#This Row],[日期]]-TODAY(),1)</f>
        <v>-1</v>
      </c>
    </row>
    <row r="1305" spans="1:8" hidden="1" x14ac:dyDescent="0.2">
      <c r="A1305" s="19" t="s">
        <v>2</v>
      </c>
      <c r="B1305" s="41">
        <v>43651</v>
      </c>
      <c r="C1305" s="11">
        <v>10</v>
      </c>
      <c r="D1305" s="12" t="s">
        <v>11</v>
      </c>
      <c r="E1305" s="10">
        <v>43641</v>
      </c>
      <c r="F1305" s="8" t="s">
        <v>1260</v>
      </c>
      <c r="G1305" s="19" t="s">
        <v>32</v>
      </c>
      <c r="H1305" s="18">
        <f ca="1">ROUNDDOWN(表3[[#This Row],[日期]]-TODAY(),1)</f>
        <v>-1</v>
      </c>
    </row>
    <row r="1306" spans="1:8" hidden="1" x14ac:dyDescent="0.2">
      <c r="A1306" s="19" t="s">
        <v>2</v>
      </c>
      <c r="B1306" s="41">
        <v>43651</v>
      </c>
      <c r="C1306" s="11">
        <v>11</v>
      </c>
      <c r="D1306" s="12" t="s">
        <v>58</v>
      </c>
      <c r="E1306" s="10">
        <v>43641</v>
      </c>
      <c r="F1306" s="8" t="s">
        <v>1260</v>
      </c>
      <c r="G1306" s="19"/>
      <c r="H1306" s="18">
        <f ca="1">ROUNDDOWN(表3[[#This Row],[日期]]-TODAY(),1)</f>
        <v>-1</v>
      </c>
    </row>
    <row r="1307" spans="1:8" hidden="1" x14ac:dyDescent="0.2">
      <c r="A1307" s="19" t="s">
        <v>2</v>
      </c>
      <c r="B1307" s="41">
        <v>43651</v>
      </c>
      <c r="C1307" s="11">
        <v>12</v>
      </c>
      <c r="D1307" s="12" t="s">
        <v>1235</v>
      </c>
      <c r="E1307" s="10">
        <v>43644</v>
      </c>
      <c r="F1307" s="8" t="s">
        <v>209</v>
      </c>
      <c r="G1307" s="19" t="s">
        <v>34</v>
      </c>
      <c r="H1307" s="18">
        <f ca="1">ROUNDDOWN(表3[[#This Row],[日期]]-TODAY(),1)</f>
        <v>2</v>
      </c>
    </row>
    <row r="1308" spans="1:8" hidden="1" x14ac:dyDescent="0.2">
      <c r="A1308" s="19" t="s">
        <v>2</v>
      </c>
      <c r="B1308" s="41">
        <v>43651</v>
      </c>
      <c r="C1308" s="11">
        <v>13</v>
      </c>
      <c r="D1308" s="12" t="s">
        <v>39</v>
      </c>
      <c r="E1308" s="10">
        <v>43644</v>
      </c>
      <c r="F1308" s="8" t="s">
        <v>209</v>
      </c>
      <c r="G1308" s="19"/>
      <c r="H1308" s="18">
        <f ca="1">ROUNDDOWN(表3[[#This Row],[日期]]-TODAY(),1)</f>
        <v>2</v>
      </c>
    </row>
    <row r="1309" spans="1:8" hidden="1" x14ac:dyDescent="0.2">
      <c r="A1309" s="19" t="s">
        <v>2</v>
      </c>
      <c r="B1309" s="41">
        <v>43651</v>
      </c>
      <c r="C1309" s="11">
        <v>14</v>
      </c>
      <c r="D1309" s="12" t="s">
        <v>23</v>
      </c>
      <c r="E1309" s="10">
        <v>43644</v>
      </c>
      <c r="F1309" s="8" t="s">
        <v>209</v>
      </c>
      <c r="G1309" s="19"/>
      <c r="H1309" s="18">
        <f ca="1">ROUNDDOWN(表3[[#This Row],[日期]]-TODAY(),1)</f>
        <v>2</v>
      </c>
    </row>
    <row r="1310" spans="1:8" hidden="1" x14ac:dyDescent="0.2">
      <c r="A1310" s="19" t="s">
        <v>2</v>
      </c>
      <c r="B1310" s="41">
        <v>43651</v>
      </c>
      <c r="C1310" s="11">
        <v>15</v>
      </c>
      <c r="D1310" s="12" t="s">
        <v>25</v>
      </c>
      <c r="E1310" s="10">
        <v>43644</v>
      </c>
      <c r="F1310" s="8" t="s">
        <v>209</v>
      </c>
      <c r="G1310" s="19"/>
      <c r="H1310" s="18">
        <f ca="1">ROUNDDOWN(表3[[#This Row],[日期]]-TODAY(),1)</f>
        <v>2</v>
      </c>
    </row>
    <row r="1311" spans="1:8" hidden="1" x14ac:dyDescent="0.2">
      <c r="A1311" s="19" t="s">
        <v>2</v>
      </c>
      <c r="B1311" s="41">
        <v>43651</v>
      </c>
      <c r="C1311" s="11">
        <v>16</v>
      </c>
      <c r="D1311" s="12" t="s">
        <v>13</v>
      </c>
      <c r="E1311" s="10">
        <v>43644</v>
      </c>
      <c r="F1311" s="8" t="s">
        <v>209</v>
      </c>
      <c r="G1311" s="19"/>
      <c r="H1311" s="18">
        <f ca="1">ROUNDDOWN(表3[[#This Row],[日期]]-TODAY(),1)</f>
        <v>2</v>
      </c>
    </row>
    <row r="1312" spans="1:8" hidden="1" x14ac:dyDescent="0.2">
      <c r="A1312" s="19" t="s">
        <v>2</v>
      </c>
      <c r="B1312" s="41">
        <v>43651</v>
      </c>
      <c r="C1312" s="11">
        <v>17</v>
      </c>
      <c r="D1312" s="12" t="s">
        <v>15</v>
      </c>
      <c r="E1312" s="10">
        <v>43644</v>
      </c>
      <c r="F1312" s="8" t="s">
        <v>209</v>
      </c>
      <c r="G1312" s="19"/>
      <c r="H1312" s="18">
        <f ca="1">ROUNDDOWN(表3[[#This Row],[日期]]-TODAY(),1)</f>
        <v>2</v>
      </c>
    </row>
    <row r="1313" spans="1:8" hidden="1" x14ac:dyDescent="0.2">
      <c r="A1313" s="19" t="s">
        <v>2</v>
      </c>
      <c r="B1313" s="41">
        <v>43651</v>
      </c>
      <c r="C1313" s="11">
        <v>18</v>
      </c>
      <c r="D1313" s="12" t="s">
        <v>17</v>
      </c>
      <c r="E1313" s="10">
        <v>43644</v>
      </c>
      <c r="F1313" s="8" t="s">
        <v>209</v>
      </c>
      <c r="G1313" s="19"/>
      <c r="H1313" s="18">
        <f ca="1">ROUNDDOWN(表3[[#This Row],[日期]]-TODAY(),1)</f>
        <v>2</v>
      </c>
    </row>
    <row r="1314" spans="1:8" hidden="1" x14ac:dyDescent="0.2">
      <c r="A1314" s="19" t="s">
        <v>2</v>
      </c>
      <c r="B1314" s="41">
        <v>43651</v>
      </c>
      <c r="C1314" s="11">
        <v>19</v>
      </c>
      <c r="D1314" s="12" t="s">
        <v>56</v>
      </c>
      <c r="E1314" s="10">
        <v>43644</v>
      </c>
      <c r="F1314" s="8" t="s">
        <v>209</v>
      </c>
      <c r="G1314" s="19"/>
      <c r="H1314" s="18">
        <f ca="1">ROUNDDOWN(表3[[#This Row],[日期]]-TODAY(),1)</f>
        <v>2</v>
      </c>
    </row>
    <row r="1315" spans="1:8" hidden="1" x14ac:dyDescent="0.2">
      <c r="A1315" s="19" t="s">
        <v>2</v>
      </c>
      <c r="B1315" s="41">
        <v>43651</v>
      </c>
      <c r="C1315" s="11">
        <v>20</v>
      </c>
      <c r="D1315" s="12" t="s">
        <v>1236</v>
      </c>
      <c r="E1315" s="10">
        <v>43647</v>
      </c>
      <c r="F1315" s="8" t="s">
        <v>209</v>
      </c>
      <c r="G1315" s="19" t="s">
        <v>36</v>
      </c>
      <c r="H1315" s="18">
        <f ca="1">ROUNDDOWN(表3[[#This Row],[日期]]-TODAY(),1)</f>
        <v>5</v>
      </c>
    </row>
    <row r="1316" spans="1:8" hidden="1" x14ac:dyDescent="0.2">
      <c r="A1316" s="19" t="s">
        <v>2</v>
      </c>
      <c r="B1316" s="41">
        <v>43651</v>
      </c>
      <c r="C1316" s="11">
        <v>21</v>
      </c>
      <c r="D1316" s="12" t="s">
        <v>38</v>
      </c>
      <c r="E1316" s="10">
        <v>43647</v>
      </c>
      <c r="F1316" s="8" t="s">
        <v>209</v>
      </c>
      <c r="G1316" s="19"/>
      <c r="H1316" s="18">
        <f ca="1">ROUNDDOWN(表3[[#This Row],[日期]]-TODAY(),1)</f>
        <v>5</v>
      </c>
    </row>
    <row r="1317" spans="1:8" hidden="1" x14ac:dyDescent="0.2">
      <c r="A1317" s="19" t="s">
        <v>2</v>
      </c>
      <c r="B1317" s="41">
        <v>43651</v>
      </c>
      <c r="C1317" s="11">
        <v>22</v>
      </c>
      <c r="D1317" s="12" t="s">
        <v>41</v>
      </c>
      <c r="E1317" s="10">
        <v>43647</v>
      </c>
      <c r="F1317" s="8" t="s">
        <v>209</v>
      </c>
      <c r="G1317" s="19"/>
      <c r="H1317" s="18">
        <f ca="1">ROUNDDOWN(表3[[#This Row],[日期]]-TODAY(),1)</f>
        <v>5</v>
      </c>
    </row>
    <row r="1318" spans="1:8" hidden="1" x14ac:dyDescent="0.2">
      <c r="A1318" s="19" t="s">
        <v>2</v>
      </c>
      <c r="B1318" s="41">
        <v>43651</v>
      </c>
      <c r="C1318" s="11">
        <v>23</v>
      </c>
      <c r="D1318" s="12" t="s">
        <v>1237</v>
      </c>
      <c r="E1318" s="10">
        <v>43647</v>
      </c>
      <c r="F1318" s="8" t="s">
        <v>209</v>
      </c>
      <c r="G1318" s="19" t="s">
        <v>43</v>
      </c>
      <c r="H1318" s="18">
        <f ca="1">ROUNDDOWN(表3[[#This Row],[日期]]-TODAY(),1)</f>
        <v>5</v>
      </c>
    </row>
    <row r="1319" spans="1:8" hidden="1" x14ac:dyDescent="0.2">
      <c r="A1319" s="19" t="s">
        <v>2</v>
      </c>
      <c r="B1319" s="41">
        <v>43651</v>
      </c>
      <c r="C1319" s="11">
        <v>24</v>
      </c>
      <c r="D1319" s="12" t="s">
        <v>225</v>
      </c>
      <c r="E1319" s="10">
        <v>43647</v>
      </c>
      <c r="F1319" s="8" t="s">
        <v>209</v>
      </c>
      <c r="G1319" s="19" t="s">
        <v>200</v>
      </c>
      <c r="H1319" s="18">
        <f ca="1">ROUNDDOWN(表3[[#This Row],[日期]]-TODAY(),1)</f>
        <v>5</v>
      </c>
    </row>
    <row r="1320" spans="1:8" hidden="1" x14ac:dyDescent="0.2">
      <c r="A1320" s="19" t="s">
        <v>2</v>
      </c>
      <c r="B1320" s="41">
        <v>43651</v>
      </c>
      <c r="C1320" s="11">
        <v>25</v>
      </c>
      <c r="D1320" s="12" t="s">
        <v>1238</v>
      </c>
      <c r="E1320" s="10">
        <v>43647</v>
      </c>
      <c r="F1320" s="8" t="s">
        <v>209</v>
      </c>
      <c r="G1320" s="19"/>
      <c r="H1320" s="18">
        <f ca="1">ROUNDDOWN(表3[[#This Row],[日期]]-TODAY(),1)</f>
        <v>5</v>
      </c>
    </row>
    <row r="1321" spans="1:8" hidden="1" x14ac:dyDescent="0.2">
      <c r="A1321" s="19" t="s">
        <v>2</v>
      </c>
      <c r="B1321" s="41">
        <v>43651</v>
      </c>
      <c r="C1321" s="11">
        <v>26</v>
      </c>
      <c r="D1321" s="12" t="s">
        <v>999</v>
      </c>
      <c r="E1321" s="10">
        <v>43647</v>
      </c>
      <c r="F1321" s="8" t="s">
        <v>209</v>
      </c>
      <c r="G1321" s="19"/>
      <c r="H1321" s="18">
        <f ca="1">ROUNDDOWN(表3[[#This Row],[日期]]-TODAY(),1)</f>
        <v>5</v>
      </c>
    </row>
    <row r="1322" spans="1:8" hidden="1" x14ac:dyDescent="0.2">
      <c r="A1322" s="19" t="s">
        <v>2</v>
      </c>
      <c r="B1322" s="41">
        <v>43651</v>
      </c>
      <c r="C1322" s="11">
        <v>27</v>
      </c>
      <c r="D1322" s="12" t="s">
        <v>81</v>
      </c>
      <c r="E1322" s="10">
        <v>43647</v>
      </c>
      <c r="F1322" s="8" t="s">
        <v>209</v>
      </c>
      <c r="G1322" s="19"/>
      <c r="H1322" s="18">
        <f ca="1">ROUNDDOWN(表3[[#This Row],[日期]]-TODAY(),1)</f>
        <v>5</v>
      </c>
    </row>
    <row r="1323" spans="1:8" hidden="1" x14ac:dyDescent="0.2">
      <c r="A1323" s="19" t="s">
        <v>2</v>
      </c>
      <c r="B1323" s="41">
        <v>43651</v>
      </c>
      <c r="C1323" s="11">
        <v>28</v>
      </c>
      <c r="D1323" s="12" t="s">
        <v>77</v>
      </c>
      <c r="E1323" s="10">
        <v>43647</v>
      </c>
      <c r="F1323" s="8" t="s">
        <v>209</v>
      </c>
      <c r="G1323" s="19"/>
      <c r="H1323" s="18">
        <f ca="1">ROUNDDOWN(表3[[#This Row],[日期]]-TODAY(),1)</f>
        <v>5</v>
      </c>
    </row>
    <row r="1324" spans="1:8" hidden="1" x14ac:dyDescent="0.2">
      <c r="A1324" s="19" t="s">
        <v>2</v>
      </c>
      <c r="B1324" s="41">
        <v>43651</v>
      </c>
      <c r="C1324" s="11">
        <v>29</v>
      </c>
      <c r="D1324" s="12" t="s">
        <v>79</v>
      </c>
      <c r="E1324" s="10">
        <v>43647</v>
      </c>
      <c r="F1324" s="8" t="s">
        <v>209</v>
      </c>
      <c r="G1324" s="19"/>
      <c r="H1324" s="18">
        <f ca="1">ROUNDDOWN(表3[[#This Row],[日期]]-TODAY(),1)</f>
        <v>5</v>
      </c>
    </row>
    <row r="1325" spans="1:8" hidden="1" x14ac:dyDescent="0.2">
      <c r="A1325" s="19" t="s">
        <v>2</v>
      </c>
      <c r="B1325" s="41">
        <v>43651</v>
      </c>
      <c r="C1325" s="11">
        <v>31</v>
      </c>
      <c r="D1325" s="12" t="s">
        <v>49</v>
      </c>
      <c r="E1325" s="10">
        <v>43647</v>
      </c>
      <c r="F1325" s="8" t="s">
        <v>209</v>
      </c>
      <c r="G1325" s="19" t="s">
        <v>43</v>
      </c>
      <c r="H1325" s="18">
        <f ca="1">ROUNDDOWN(表3[[#This Row],[日期]]-TODAY(),1)</f>
        <v>5</v>
      </c>
    </row>
    <row r="1326" spans="1:8" hidden="1" x14ac:dyDescent="0.2">
      <c r="A1326" s="19" t="s">
        <v>2</v>
      </c>
      <c r="B1326" s="41">
        <v>43651</v>
      </c>
      <c r="C1326" s="11">
        <v>32</v>
      </c>
      <c r="D1326" s="12" t="s">
        <v>54</v>
      </c>
      <c r="E1326" s="10">
        <v>43647</v>
      </c>
      <c r="F1326" s="8" t="s">
        <v>209</v>
      </c>
      <c r="G1326" s="19"/>
      <c r="H1326" s="18">
        <f ca="1">ROUNDDOWN(表3[[#This Row],[日期]]-TODAY(),1)</f>
        <v>5</v>
      </c>
    </row>
    <row r="1327" spans="1:8" hidden="1" x14ac:dyDescent="0.2">
      <c r="A1327" s="19" t="s">
        <v>2</v>
      </c>
      <c r="B1327" s="41">
        <v>43651</v>
      </c>
      <c r="C1327" s="11">
        <v>33</v>
      </c>
      <c r="D1327" s="12" t="s">
        <v>69</v>
      </c>
      <c r="E1327" s="10">
        <v>43647</v>
      </c>
      <c r="F1327" s="8" t="s">
        <v>209</v>
      </c>
      <c r="G1327" s="19" t="s">
        <v>66</v>
      </c>
      <c r="H1327" s="18">
        <f ca="1">ROUNDDOWN(表3[[#This Row],[日期]]-TODAY(),1)</f>
        <v>5</v>
      </c>
    </row>
    <row r="1328" spans="1:8" hidden="1" x14ac:dyDescent="0.2">
      <c r="A1328" s="19" t="s">
        <v>2</v>
      </c>
      <c r="B1328" s="41">
        <v>43651</v>
      </c>
      <c r="C1328" s="11">
        <v>34</v>
      </c>
      <c r="D1328" s="12" t="s">
        <v>64</v>
      </c>
      <c r="E1328" s="10">
        <v>43647</v>
      </c>
      <c r="F1328" s="8" t="s">
        <v>209</v>
      </c>
      <c r="G1328" s="19"/>
      <c r="H1328" s="18">
        <f ca="1">ROUNDDOWN(表3[[#This Row],[日期]]-TODAY(),1)</f>
        <v>5</v>
      </c>
    </row>
    <row r="1329" spans="1:8" hidden="1" x14ac:dyDescent="0.2">
      <c r="A1329" s="19" t="s">
        <v>2</v>
      </c>
      <c r="B1329" s="41">
        <v>43651</v>
      </c>
      <c r="C1329" s="11">
        <v>35</v>
      </c>
      <c r="D1329" s="12" t="s">
        <v>1239</v>
      </c>
      <c r="E1329" s="10">
        <v>43647</v>
      </c>
      <c r="F1329" s="8" t="s">
        <v>209</v>
      </c>
      <c r="G1329" s="19" t="s">
        <v>32</v>
      </c>
      <c r="H1329" s="18">
        <f ca="1">ROUNDDOWN(表3[[#This Row],[日期]]-TODAY(),1)</f>
        <v>5</v>
      </c>
    </row>
    <row r="1330" spans="1:8" hidden="1" x14ac:dyDescent="0.2">
      <c r="A1330" s="19" t="s">
        <v>2</v>
      </c>
      <c r="B1330" s="41">
        <v>43651</v>
      </c>
      <c r="C1330" s="11">
        <v>36</v>
      </c>
      <c r="D1330" s="12" t="s">
        <v>1240</v>
      </c>
      <c r="E1330" s="10">
        <v>43647</v>
      </c>
      <c r="F1330" s="8" t="s">
        <v>209</v>
      </c>
      <c r="G1330" s="19" t="s">
        <v>43</v>
      </c>
      <c r="H1330" s="18">
        <f ca="1">ROUNDDOWN(表3[[#This Row],[日期]]-TODAY(),1)</f>
        <v>5</v>
      </c>
    </row>
    <row r="1331" spans="1:8" hidden="1" x14ac:dyDescent="0.2">
      <c r="A1331" s="19" t="s">
        <v>2</v>
      </c>
      <c r="B1331" s="41">
        <v>43651</v>
      </c>
      <c r="C1331" s="11">
        <v>37</v>
      </c>
      <c r="D1331" s="12" t="s">
        <v>1257</v>
      </c>
      <c r="E1331" s="10">
        <v>43647</v>
      </c>
      <c r="F1331" s="8" t="s">
        <v>209</v>
      </c>
      <c r="G1331" s="19"/>
      <c r="H1331" s="18">
        <f ca="1">ROUNDDOWN(表3[[#This Row],[日期]]-TODAY(),1)</f>
        <v>5</v>
      </c>
    </row>
    <row r="1332" spans="1:8" hidden="1" x14ac:dyDescent="0.2">
      <c r="A1332" s="19" t="s">
        <v>2</v>
      </c>
      <c r="B1332" s="41">
        <v>43651</v>
      </c>
      <c r="C1332" s="11">
        <v>38</v>
      </c>
      <c r="D1332" s="12" t="s">
        <v>71</v>
      </c>
      <c r="E1332" s="10">
        <v>43647</v>
      </c>
      <c r="F1332" s="8" t="s">
        <v>209</v>
      </c>
      <c r="G1332" s="19" t="s">
        <v>73</v>
      </c>
      <c r="H1332" s="18">
        <f ca="1">ROUNDDOWN(表3[[#This Row],[日期]]-TODAY(),1)</f>
        <v>5</v>
      </c>
    </row>
    <row r="1333" spans="1:8" hidden="1" x14ac:dyDescent="0.2">
      <c r="A1333" s="19" t="s">
        <v>2</v>
      </c>
      <c r="B1333" s="41">
        <v>43651</v>
      </c>
      <c r="C1333" s="11">
        <v>39</v>
      </c>
      <c r="D1333" s="12" t="s">
        <v>75</v>
      </c>
      <c r="E1333" s="10">
        <v>43647</v>
      </c>
      <c r="F1333" s="8" t="s">
        <v>209</v>
      </c>
      <c r="G1333" s="19"/>
      <c r="H1333" s="18">
        <f ca="1">ROUNDDOWN(表3[[#This Row],[日期]]-TODAY(),1)</f>
        <v>5</v>
      </c>
    </row>
    <row r="1334" spans="1:8" hidden="1" x14ac:dyDescent="0.2">
      <c r="A1334" s="19" t="s">
        <v>2</v>
      </c>
      <c r="B1334" s="41">
        <v>43651</v>
      </c>
      <c r="C1334" s="11">
        <v>40</v>
      </c>
      <c r="D1334" s="12" t="s">
        <v>83</v>
      </c>
      <c r="E1334" s="10">
        <v>43648</v>
      </c>
      <c r="F1334" s="8" t="s">
        <v>209</v>
      </c>
      <c r="G1334" s="19"/>
      <c r="H1334" s="18">
        <f ca="1">ROUNDDOWN(表3[[#This Row],[日期]]-TODAY(),1)</f>
        <v>6</v>
      </c>
    </row>
    <row r="1335" spans="1:8" hidden="1" x14ac:dyDescent="0.2">
      <c r="A1335" s="19" t="s">
        <v>2</v>
      </c>
      <c r="B1335" s="41">
        <v>43651</v>
      </c>
      <c r="C1335" s="11">
        <v>41</v>
      </c>
      <c r="D1335" s="12" t="s">
        <v>85</v>
      </c>
      <c r="E1335" s="10">
        <v>43648</v>
      </c>
      <c r="F1335" s="8" t="s">
        <v>209</v>
      </c>
      <c r="G1335" s="19"/>
      <c r="H1335" s="18">
        <f ca="1">ROUNDDOWN(表3[[#This Row],[日期]]-TODAY(),1)</f>
        <v>6</v>
      </c>
    </row>
    <row r="1336" spans="1:8" hidden="1" x14ac:dyDescent="0.2">
      <c r="A1336" s="19" t="s">
        <v>2</v>
      </c>
      <c r="B1336" s="41">
        <v>43651</v>
      </c>
      <c r="C1336" s="11">
        <v>42</v>
      </c>
      <c r="D1336" s="12" t="s">
        <v>87</v>
      </c>
      <c r="E1336" s="10">
        <v>43648</v>
      </c>
      <c r="F1336" s="8" t="s">
        <v>209</v>
      </c>
      <c r="G1336" s="19"/>
      <c r="H1336" s="18">
        <f ca="1">ROUNDDOWN(表3[[#This Row],[日期]]-TODAY(),1)</f>
        <v>6</v>
      </c>
    </row>
    <row r="1337" spans="1:8" hidden="1" x14ac:dyDescent="0.2">
      <c r="A1337" s="19" t="s">
        <v>2</v>
      </c>
      <c r="B1337" s="41">
        <v>43651</v>
      </c>
      <c r="C1337" s="11">
        <v>43</v>
      </c>
      <c r="D1337" s="12" t="s">
        <v>89</v>
      </c>
      <c r="E1337" s="10">
        <v>43649</v>
      </c>
      <c r="F1337" s="8" t="s">
        <v>209</v>
      </c>
      <c r="G1337" s="19"/>
      <c r="H1337" s="18">
        <f ca="1">ROUNDDOWN(表3[[#This Row],[日期]]-TODAY(),1)</f>
        <v>7</v>
      </c>
    </row>
    <row r="1338" spans="1:8" hidden="1" x14ac:dyDescent="0.2">
      <c r="A1338" s="19" t="s">
        <v>2</v>
      </c>
      <c r="B1338" s="41">
        <v>43651</v>
      </c>
      <c r="C1338" s="11">
        <v>44</v>
      </c>
      <c r="D1338" s="12" t="s">
        <v>91</v>
      </c>
      <c r="E1338" s="10">
        <v>43650</v>
      </c>
      <c r="F1338" s="8" t="s">
        <v>209</v>
      </c>
      <c r="G1338" s="19"/>
      <c r="H1338" s="18">
        <f ca="1">ROUNDDOWN(表3[[#This Row],[日期]]-TODAY(),1)</f>
        <v>8</v>
      </c>
    </row>
    <row r="1339" spans="1:8" hidden="1" x14ac:dyDescent="0.2">
      <c r="A1339" s="19" t="s">
        <v>2</v>
      </c>
      <c r="B1339" s="41">
        <v>43651</v>
      </c>
      <c r="C1339" s="11">
        <v>45</v>
      </c>
      <c r="D1339" s="12" t="s">
        <v>1241</v>
      </c>
      <c r="E1339" s="10">
        <v>43650</v>
      </c>
      <c r="F1339" s="8" t="s">
        <v>209</v>
      </c>
      <c r="G1339" s="19"/>
      <c r="H1339" s="18">
        <f ca="1">ROUNDDOWN(表3[[#This Row],[日期]]-TODAY(),1)</f>
        <v>8</v>
      </c>
    </row>
    <row r="1340" spans="1:8" hidden="1" x14ac:dyDescent="0.2">
      <c r="A1340" s="19" t="s">
        <v>2</v>
      </c>
      <c r="B1340" s="41">
        <v>43651</v>
      </c>
      <c r="C1340" s="11">
        <v>46</v>
      </c>
      <c r="D1340" s="12" t="s">
        <v>331</v>
      </c>
      <c r="E1340" s="10">
        <v>43651</v>
      </c>
      <c r="F1340" s="8" t="s">
        <v>209</v>
      </c>
      <c r="G1340" s="19"/>
      <c r="H1340" s="18">
        <f ca="1">ROUNDDOWN(表3[[#This Row],[日期]]-TODAY(),1)</f>
        <v>9</v>
      </c>
    </row>
    <row r="1341" spans="1:8" hidden="1" x14ac:dyDescent="0.2">
      <c r="A1341" s="22" t="s">
        <v>2</v>
      </c>
      <c r="B1341" s="43">
        <v>43651</v>
      </c>
      <c r="C1341" s="23">
        <v>47</v>
      </c>
      <c r="D1341" s="24" t="s">
        <v>1242</v>
      </c>
      <c r="E1341" s="25">
        <v>43651</v>
      </c>
      <c r="F1341" s="26" t="s">
        <v>209</v>
      </c>
      <c r="G1341" s="22" t="s">
        <v>132</v>
      </c>
      <c r="H1341" s="21">
        <f ca="1">ROUNDDOWN(表3[[#This Row],[日期]]-TODAY(),1)</f>
        <v>9</v>
      </c>
    </row>
    <row r="1342" spans="1:8" hidden="1" x14ac:dyDescent="0.2">
      <c r="A1342" s="19" t="s">
        <v>1265</v>
      </c>
      <c r="B1342" s="41">
        <v>43649</v>
      </c>
      <c r="C1342" s="11">
        <v>1</v>
      </c>
      <c r="D1342" s="12" t="s">
        <v>421</v>
      </c>
      <c r="E1342" s="10">
        <v>43642</v>
      </c>
      <c r="F1342" s="8" t="s">
        <v>1267</v>
      </c>
      <c r="G1342" s="19"/>
      <c r="H1342" s="18">
        <f ca="1">ROUNDDOWN(表3[[#This Row],[日期]]-TODAY(),1)</f>
        <v>0</v>
      </c>
    </row>
    <row r="1343" spans="1:8" hidden="1" x14ac:dyDescent="0.2">
      <c r="A1343" s="19" t="s">
        <v>1265</v>
      </c>
      <c r="B1343" s="41">
        <v>43649</v>
      </c>
      <c r="C1343" s="11">
        <v>2</v>
      </c>
      <c r="D1343" s="12" t="s">
        <v>1139</v>
      </c>
      <c r="E1343" s="10">
        <v>43643</v>
      </c>
      <c r="F1343" s="8" t="s">
        <v>209</v>
      </c>
      <c r="G1343" s="19"/>
      <c r="H1343" s="18">
        <f ca="1">ROUNDDOWN(表3[[#This Row],[日期]]-TODAY(),1)</f>
        <v>1</v>
      </c>
    </row>
    <row r="1344" spans="1:8" hidden="1" x14ac:dyDescent="0.2">
      <c r="A1344" s="19" t="s">
        <v>1265</v>
      </c>
      <c r="B1344" s="41">
        <v>43649</v>
      </c>
      <c r="C1344" s="11">
        <v>3</v>
      </c>
      <c r="D1344" s="12" t="s">
        <v>21</v>
      </c>
      <c r="E1344" s="10">
        <v>43643</v>
      </c>
      <c r="F1344" s="8" t="s">
        <v>209</v>
      </c>
      <c r="G1344" s="19"/>
      <c r="H1344" s="18">
        <f ca="1">ROUNDDOWN(表3[[#This Row],[日期]]-TODAY(),1)</f>
        <v>1</v>
      </c>
    </row>
    <row r="1345" spans="1:8" hidden="1" x14ac:dyDescent="0.2">
      <c r="A1345" s="19" t="s">
        <v>1265</v>
      </c>
      <c r="B1345" s="41">
        <v>43649</v>
      </c>
      <c r="C1345" s="11">
        <v>4</v>
      </c>
      <c r="D1345" s="12" t="s">
        <v>149</v>
      </c>
      <c r="E1345" s="10">
        <v>43643</v>
      </c>
      <c r="F1345" s="8" t="s">
        <v>209</v>
      </c>
      <c r="G1345" s="19" t="s">
        <v>137</v>
      </c>
      <c r="H1345" s="18">
        <f ca="1">ROUNDDOWN(表3[[#This Row],[日期]]-TODAY(),1)</f>
        <v>1</v>
      </c>
    </row>
    <row r="1346" spans="1:8" hidden="1" x14ac:dyDescent="0.2">
      <c r="A1346" s="19" t="s">
        <v>1265</v>
      </c>
      <c r="B1346" s="41">
        <v>43649</v>
      </c>
      <c r="C1346" s="11">
        <v>5</v>
      </c>
      <c r="D1346" s="12" t="s">
        <v>140</v>
      </c>
      <c r="E1346" s="10">
        <v>43643</v>
      </c>
      <c r="F1346" s="8" t="s">
        <v>209</v>
      </c>
      <c r="G1346" s="19"/>
      <c r="H1346" s="18">
        <f ca="1">ROUNDDOWN(表3[[#This Row],[日期]]-TODAY(),1)</f>
        <v>1</v>
      </c>
    </row>
    <row r="1347" spans="1:8" hidden="1" x14ac:dyDescent="0.2">
      <c r="A1347" s="19" t="s">
        <v>1265</v>
      </c>
      <c r="B1347" s="41">
        <v>43649</v>
      </c>
      <c r="C1347" s="11">
        <v>6</v>
      </c>
      <c r="D1347" s="12" t="s">
        <v>1140</v>
      </c>
      <c r="E1347" s="10">
        <v>43643</v>
      </c>
      <c r="F1347" s="8" t="s">
        <v>209</v>
      </c>
      <c r="G1347" s="19"/>
      <c r="H1347" s="18">
        <f ca="1">ROUNDDOWN(表3[[#This Row],[日期]]-TODAY(),1)</f>
        <v>1</v>
      </c>
    </row>
    <row r="1348" spans="1:8" hidden="1" x14ac:dyDescent="0.2">
      <c r="A1348" s="19" t="s">
        <v>1265</v>
      </c>
      <c r="B1348" s="41">
        <v>43649</v>
      </c>
      <c r="C1348" s="11">
        <v>7</v>
      </c>
      <c r="D1348" s="12" t="s">
        <v>335</v>
      </c>
      <c r="E1348" s="10">
        <v>43643</v>
      </c>
      <c r="F1348" s="8" t="s">
        <v>209</v>
      </c>
      <c r="G1348" s="19" t="s">
        <v>336</v>
      </c>
      <c r="H1348" s="18">
        <f ca="1">ROUNDDOWN(表3[[#This Row],[日期]]-TODAY(),1)</f>
        <v>1</v>
      </c>
    </row>
    <row r="1349" spans="1:8" hidden="1" x14ac:dyDescent="0.2">
      <c r="A1349" s="19" t="s">
        <v>1265</v>
      </c>
      <c r="B1349" s="41">
        <v>43649</v>
      </c>
      <c r="C1349" s="11">
        <v>8</v>
      </c>
      <c r="D1349" s="12" t="s">
        <v>337</v>
      </c>
      <c r="E1349" s="10">
        <v>43647</v>
      </c>
      <c r="F1349" s="8" t="s">
        <v>209</v>
      </c>
      <c r="G1349" s="19" t="s">
        <v>336</v>
      </c>
      <c r="H1349" s="18">
        <f ca="1">ROUNDDOWN(表3[[#This Row],[日期]]-TODAY(),1)</f>
        <v>5</v>
      </c>
    </row>
    <row r="1350" spans="1:8" hidden="1" x14ac:dyDescent="0.2">
      <c r="A1350" s="19" t="s">
        <v>1265</v>
      </c>
      <c r="B1350" s="41">
        <v>43649</v>
      </c>
      <c r="C1350" s="11">
        <v>9</v>
      </c>
      <c r="D1350" s="12" t="s">
        <v>333</v>
      </c>
      <c r="E1350" s="10">
        <v>43647</v>
      </c>
      <c r="F1350" s="8" t="s">
        <v>209</v>
      </c>
      <c r="G1350" s="19" t="s">
        <v>143</v>
      </c>
      <c r="H1350" s="18">
        <f ca="1">ROUNDDOWN(表3[[#This Row],[日期]]-TODAY(),1)</f>
        <v>5</v>
      </c>
    </row>
    <row r="1351" spans="1:8" hidden="1" x14ac:dyDescent="0.2">
      <c r="A1351" s="19" t="s">
        <v>1265</v>
      </c>
      <c r="B1351" s="41">
        <v>43649</v>
      </c>
      <c r="C1351" s="11">
        <v>10</v>
      </c>
      <c r="D1351" s="12" t="s">
        <v>1141</v>
      </c>
      <c r="E1351" s="10">
        <v>43647</v>
      </c>
      <c r="F1351" s="8" t="s">
        <v>209</v>
      </c>
      <c r="G1351" s="19"/>
      <c r="H1351" s="18">
        <f ca="1">ROUNDDOWN(表3[[#This Row],[日期]]-TODAY(),1)</f>
        <v>5</v>
      </c>
    </row>
    <row r="1352" spans="1:8" hidden="1" x14ac:dyDescent="0.2">
      <c r="A1352" s="19" t="s">
        <v>1265</v>
      </c>
      <c r="B1352" s="41">
        <v>43649</v>
      </c>
      <c r="C1352" s="11">
        <v>11</v>
      </c>
      <c r="D1352" s="12" t="s">
        <v>1142</v>
      </c>
      <c r="E1352" s="10">
        <v>43647</v>
      </c>
      <c r="F1352" s="8" t="s">
        <v>209</v>
      </c>
      <c r="G1352" s="19"/>
      <c r="H1352" s="18">
        <f ca="1">ROUNDDOWN(表3[[#This Row],[日期]]-TODAY(),1)</f>
        <v>5</v>
      </c>
    </row>
    <row r="1353" spans="1:8" hidden="1" x14ac:dyDescent="0.2">
      <c r="A1353" s="19" t="s">
        <v>1265</v>
      </c>
      <c r="B1353" s="41">
        <v>43649</v>
      </c>
      <c r="C1353" s="11">
        <v>12</v>
      </c>
      <c r="D1353" s="12" t="s">
        <v>1143</v>
      </c>
      <c r="E1353" s="10">
        <v>43647</v>
      </c>
      <c r="F1353" s="8" t="s">
        <v>209</v>
      </c>
      <c r="G1353" s="19" t="s">
        <v>153</v>
      </c>
      <c r="H1353" s="18">
        <f ca="1">ROUNDDOWN(表3[[#This Row],[日期]]-TODAY(),1)</f>
        <v>5</v>
      </c>
    </row>
    <row r="1354" spans="1:8" hidden="1" x14ac:dyDescent="0.2">
      <c r="A1354" s="19" t="s">
        <v>1265</v>
      </c>
      <c r="B1354" s="41">
        <v>43649</v>
      </c>
      <c r="C1354" s="11">
        <v>13</v>
      </c>
      <c r="D1354" s="12" t="s">
        <v>215</v>
      </c>
      <c r="E1354" s="10">
        <v>43647</v>
      </c>
      <c r="F1354" s="8" t="s">
        <v>209</v>
      </c>
      <c r="G1354" s="19"/>
      <c r="H1354" s="18">
        <f ca="1">ROUNDDOWN(表3[[#This Row],[日期]]-TODAY(),1)</f>
        <v>5</v>
      </c>
    </row>
    <row r="1355" spans="1:8" hidden="1" x14ac:dyDescent="0.2">
      <c r="A1355" s="19" t="s">
        <v>1265</v>
      </c>
      <c r="B1355" s="41">
        <v>43649</v>
      </c>
      <c r="C1355" s="11">
        <v>14</v>
      </c>
      <c r="D1355" s="12" t="s">
        <v>1144</v>
      </c>
      <c r="E1355" s="10">
        <v>43647</v>
      </c>
      <c r="F1355" s="8" t="s">
        <v>209</v>
      </c>
      <c r="G1355" s="19" t="s">
        <v>336</v>
      </c>
      <c r="H1355" s="18">
        <f ca="1">ROUNDDOWN(表3[[#This Row],[日期]]-TODAY(),1)</f>
        <v>5</v>
      </c>
    </row>
    <row r="1356" spans="1:8" hidden="1" x14ac:dyDescent="0.2">
      <c r="A1356" s="19" t="s">
        <v>1265</v>
      </c>
      <c r="B1356" s="41">
        <v>43649</v>
      </c>
      <c r="C1356" s="11">
        <v>15</v>
      </c>
      <c r="D1356" s="12" t="s">
        <v>339</v>
      </c>
      <c r="E1356" s="10">
        <v>43647</v>
      </c>
      <c r="F1356" s="8" t="s">
        <v>209</v>
      </c>
      <c r="G1356" s="19" t="s">
        <v>336</v>
      </c>
      <c r="H1356" s="18">
        <f ca="1">ROUNDDOWN(表3[[#This Row],[日期]]-TODAY(),1)</f>
        <v>5</v>
      </c>
    </row>
    <row r="1357" spans="1:8" hidden="1" x14ac:dyDescent="0.2">
      <c r="A1357" s="19" t="s">
        <v>1265</v>
      </c>
      <c r="B1357" s="41">
        <v>43649</v>
      </c>
      <c r="C1357" s="11">
        <v>16</v>
      </c>
      <c r="D1357" s="12" t="s">
        <v>294</v>
      </c>
      <c r="E1357" s="10">
        <v>43647</v>
      </c>
      <c r="F1357" s="8" t="s">
        <v>209</v>
      </c>
      <c r="G1357" s="19"/>
      <c r="H1357" s="18">
        <f ca="1">ROUNDDOWN(表3[[#This Row],[日期]]-TODAY(),1)</f>
        <v>5</v>
      </c>
    </row>
    <row r="1358" spans="1:8" hidden="1" x14ac:dyDescent="0.2">
      <c r="A1358" s="19" t="s">
        <v>1265</v>
      </c>
      <c r="B1358" s="41">
        <v>43649</v>
      </c>
      <c r="C1358" s="11">
        <v>17</v>
      </c>
      <c r="D1358" s="12" t="s">
        <v>296</v>
      </c>
      <c r="E1358" s="10">
        <v>43648</v>
      </c>
      <c r="F1358" s="8" t="s">
        <v>209</v>
      </c>
      <c r="G1358" s="19"/>
      <c r="H1358" s="18">
        <f ca="1">ROUNDDOWN(表3[[#This Row],[日期]]-TODAY(),1)</f>
        <v>6</v>
      </c>
    </row>
    <row r="1359" spans="1:8" hidden="1" x14ac:dyDescent="0.2">
      <c r="A1359" s="19" t="s">
        <v>1265</v>
      </c>
      <c r="B1359" s="41">
        <v>43649</v>
      </c>
      <c r="C1359" s="11">
        <v>18</v>
      </c>
      <c r="D1359" s="12" t="s">
        <v>298</v>
      </c>
      <c r="E1359" s="10">
        <v>43648</v>
      </c>
      <c r="F1359" s="8" t="s">
        <v>209</v>
      </c>
      <c r="G1359" s="19"/>
      <c r="H1359" s="18">
        <f ca="1">ROUNDDOWN(表3[[#This Row],[日期]]-TODAY(),1)</f>
        <v>6</v>
      </c>
    </row>
    <row r="1360" spans="1:8" hidden="1" x14ac:dyDescent="0.2">
      <c r="A1360" s="19" t="s">
        <v>1265</v>
      </c>
      <c r="B1360" s="41">
        <v>43649</v>
      </c>
      <c r="C1360" s="11">
        <v>19</v>
      </c>
      <c r="D1360" s="12" t="s">
        <v>259</v>
      </c>
      <c r="E1360" s="10">
        <v>43648</v>
      </c>
      <c r="F1360" s="8" t="s">
        <v>209</v>
      </c>
      <c r="G1360" s="19"/>
      <c r="H1360" s="18">
        <f ca="1">ROUNDDOWN(表3[[#This Row],[日期]]-TODAY(),1)</f>
        <v>6</v>
      </c>
    </row>
    <row r="1361" spans="1:8" hidden="1" x14ac:dyDescent="0.2">
      <c r="A1361" s="22" t="s">
        <v>1265</v>
      </c>
      <c r="B1361" s="43">
        <v>43649</v>
      </c>
      <c r="C1361" s="23">
        <v>20</v>
      </c>
      <c r="D1361" s="24" t="s">
        <v>331</v>
      </c>
      <c r="E1361" s="25">
        <v>43649</v>
      </c>
      <c r="F1361" s="26" t="s">
        <v>209</v>
      </c>
      <c r="G1361" s="22"/>
      <c r="H1361" s="21">
        <f ca="1">ROUNDDOWN(表3[[#This Row],[日期]]-TODAY(),1)</f>
        <v>7</v>
      </c>
    </row>
    <row r="1362" spans="1:8" hidden="1" x14ac:dyDescent="0.2">
      <c r="A1362" s="19" t="s">
        <v>1268</v>
      </c>
      <c r="B1362" s="41">
        <v>43656</v>
      </c>
      <c r="C1362" s="11">
        <v>1</v>
      </c>
      <c r="D1362" s="12" t="s">
        <v>421</v>
      </c>
      <c r="E1362" s="10">
        <v>43642</v>
      </c>
      <c r="F1362" s="8" t="s">
        <v>1267</v>
      </c>
      <c r="G1362" s="19"/>
      <c r="H1362" s="18">
        <f ca="1">ROUNDDOWN(表3[[#This Row],[日期]]-TODAY(),1)</f>
        <v>0</v>
      </c>
    </row>
    <row r="1363" spans="1:8" hidden="1" x14ac:dyDescent="0.2">
      <c r="A1363" s="19" t="s">
        <v>1268</v>
      </c>
      <c r="B1363" s="41">
        <v>43656</v>
      </c>
      <c r="C1363" s="11">
        <v>2</v>
      </c>
      <c r="D1363" s="12" t="s">
        <v>1139</v>
      </c>
      <c r="E1363" s="10">
        <v>43642</v>
      </c>
      <c r="F1363" s="8" t="s">
        <v>1292</v>
      </c>
      <c r="G1363" s="19"/>
      <c r="H1363" s="18">
        <f ca="1">ROUNDDOWN(表3[[#This Row],[日期]]-TODAY(),1)</f>
        <v>0</v>
      </c>
    </row>
    <row r="1364" spans="1:8" x14ac:dyDescent="0.2">
      <c r="A1364" s="19" t="s">
        <v>1268</v>
      </c>
      <c r="B1364" s="41">
        <v>43656</v>
      </c>
      <c r="C1364" s="11">
        <v>3</v>
      </c>
      <c r="D1364" s="12" t="s">
        <v>21</v>
      </c>
      <c r="E1364" s="10">
        <v>43643</v>
      </c>
      <c r="F1364" s="8" t="s">
        <v>209</v>
      </c>
      <c r="G1364" s="19"/>
      <c r="H1364" s="18">
        <f ca="1">ROUNDDOWN(表3[[#This Row],[日期]]-TODAY(),1)</f>
        <v>1</v>
      </c>
    </row>
    <row r="1365" spans="1:8" hidden="1" x14ac:dyDescent="0.2">
      <c r="A1365" s="19" t="s">
        <v>1268</v>
      </c>
      <c r="B1365" s="41">
        <v>43656</v>
      </c>
      <c r="C1365" s="11">
        <v>4</v>
      </c>
      <c r="D1365" s="12" t="s">
        <v>149</v>
      </c>
      <c r="E1365" s="10">
        <v>43650</v>
      </c>
      <c r="F1365" s="8" t="s">
        <v>209</v>
      </c>
      <c r="G1365" s="19" t="s">
        <v>137</v>
      </c>
      <c r="H1365" s="18">
        <f ca="1">ROUNDDOWN(表3[[#This Row],[日期]]-TODAY(),1)</f>
        <v>8</v>
      </c>
    </row>
    <row r="1366" spans="1:8" hidden="1" x14ac:dyDescent="0.2">
      <c r="A1366" s="19" t="s">
        <v>1268</v>
      </c>
      <c r="B1366" s="41">
        <v>43656</v>
      </c>
      <c r="C1366" s="11">
        <v>5</v>
      </c>
      <c r="D1366" s="12" t="s">
        <v>140</v>
      </c>
      <c r="E1366" s="10">
        <v>43650</v>
      </c>
      <c r="F1366" s="8" t="s">
        <v>209</v>
      </c>
      <c r="G1366" s="19"/>
      <c r="H1366" s="18">
        <f ca="1">ROUNDDOWN(表3[[#This Row],[日期]]-TODAY(),1)</f>
        <v>8</v>
      </c>
    </row>
    <row r="1367" spans="1:8" hidden="1" x14ac:dyDescent="0.2">
      <c r="A1367" s="19" t="s">
        <v>1268</v>
      </c>
      <c r="B1367" s="41">
        <v>43656</v>
      </c>
      <c r="C1367" s="11">
        <v>6</v>
      </c>
      <c r="D1367" s="12" t="s">
        <v>1140</v>
      </c>
      <c r="E1367" s="10">
        <v>43650</v>
      </c>
      <c r="F1367" s="8" t="s">
        <v>209</v>
      </c>
      <c r="G1367" s="19"/>
      <c r="H1367" s="18">
        <f ca="1">ROUNDDOWN(表3[[#This Row],[日期]]-TODAY(),1)</f>
        <v>8</v>
      </c>
    </row>
    <row r="1368" spans="1:8" hidden="1" x14ac:dyDescent="0.2">
      <c r="A1368" s="19" t="s">
        <v>1268</v>
      </c>
      <c r="B1368" s="41">
        <v>43656</v>
      </c>
      <c r="C1368" s="11">
        <v>7</v>
      </c>
      <c r="D1368" s="12" t="s">
        <v>333</v>
      </c>
      <c r="E1368" s="10">
        <v>43650</v>
      </c>
      <c r="F1368" s="8" t="s">
        <v>209</v>
      </c>
      <c r="G1368" s="19" t="s">
        <v>143</v>
      </c>
      <c r="H1368" s="18">
        <f ca="1">ROUNDDOWN(表3[[#This Row],[日期]]-TODAY(),1)</f>
        <v>8</v>
      </c>
    </row>
    <row r="1369" spans="1:8" hidden="1" x14ac:dyDescent="0.2">
      <c r="A1369" s="19" t="s">
        <v>1268</v>
      </c>
      <c r="B1369" s="41">
        <v>43656</v>
      </c>
      <c r="C1369" s="11">
        <v>8</v>
      </c>
      <c r="D1369" s="12" t="s">
        <v>1141</v>
      </c>
      <c r="E1369" s="10">
        <v>43650</v>
      </c>
      <c r="F1369" s="8" t="s">
        <v>209</v>
      </c>
      <c r="G1369" s="19"/>
      <c r="H1369" s="18">
        <f ca="1">ROUNDDOWN(表3[[#This Row],[日期]]-TODAY(),1)</f>
        <v>8</v>
      </c>
    </row>
    <row r="1370" spans="1:8" hidden="1" x14ac:dyDescent="0.2">
      <c r="A1370" s="19" t="s">
        <v>1268</v>
      </c>
      <c r="B1370" s="41">
        <v>43656</v>
      </c>
      <c r="C1370" s="11">
        <v>9</v>
      </c>
      <c r="D1370" s="12" t="s">
        <v>1142</v>
      </c>
      <c r="E1370" s="10">
        <v>43650</v>
      </c>
      <c r="F1370" s="8" t="s">
        <v>209</v>
      </c>
      <c r="G1370" s="19"/>
      <c r="H1370" s="18">
        <f ca="1">ROUNDDOWN(表3[[#This Row],[日期]]-TODAY(),1)</f>
        <v>8</v>
      </c>
    </row>
    <row r="1371" spans="1:8" hidden="1" x14ac:dyDescent="0.2">
      <c r="A1371" s="19" t="s">
        <v>1268</v>
      </c>
      <c r="B1371" s="41">
        <v>43656</v>
      </c>
      <c r="C1371" s="11">
        <v>10</v>
      </c>
      <c r="D1371" s="12" t="s">
        <v>1143</v>
      </c>
      <c r="E1371" s="10">
        <v>43650</v>
      </c>
      <c r="F1371" s="8" t="s">
        <v>209</v>
      </c>
      <c r="G1371" s="19" t="s">
        <v>153</v>
      </c>
      <c r="H1371" s="18">
        <f ca="1">ROUNDDOWN(表3[[#This Row],[日期]]-TODAY(),1)</f>
        <v>8</v>
      </c>
    </row>
    <row r="1372" spans="1:8" hidden="1" x14ac:dyDescent="0.2">
      <c r="A1372" s="19" t="s">
        <v>1268</v>
      </c>
      <c r="B1372" s="41">
        <v>43656</v>
      </c>
      <c r="C1372" s="11">
        <v>11</v>
      </c>
      <c r="D1372" s="12" t="s">
        <v>215</v>
      </c>
      <c r="E1372" s="10">
        <v>43650</v>
      </c>
      <c r="F1372" s="8" t="s">
        <v>209</v>
      </c>
      <c r="G1372" s="19"/>
      <c r="H1372" s="18">
        <f ca="1">ROUNDDOWN(表3[[#This Row],[日期]]-TODAY(),1)</f>
        <v>8</v>
      </c>
    </row>
    <row r="1373" spans="1:8" hidden="1" x14ac:dyDescent="0.2">
      <c r="A1373" s="19" t="s">
        <v>1268</v>
      </c>
      <c r="B1373" s="41">
        <v>43656</v>
      </c>
      <c r="C1373" s="11">
        <v>12</v>
      </c>
      <c r="D1373" s="12" t="s">
        <v>335</v>
      </c>
      <c r="E1373" s="10">
        <v>43650</v>
      </c>
      <c r="F1373" s="8" t="s">
        <v>209</v>
      </c>
      <c r="G1373" s="19" t="s">
        <v>336</v>
      </c>
      <c r="H1373" s="18">
        <f ca="1">ROUNDDOWN(表3[[#This Row],[日期]]-TODAY(),1)</f>
        <v>8</v>
      </c>
    </row>
    <row r="1374" spans="1:8" hidden="1" x14ac:dyDescent="0.2">
      <c r="A1374" s="19" t="s">
        <v>1268</v>
      </c>
      <c r="B1374" s="41">
        <v>43656</v>
      </c>
      <c r="C1374" s="11">
        <v>13</v>
      </c>
      <c r="D1374" s="12" t="s">
        <v>337</v>
      </c>
      <c r="E1374" s="10">
        <v>43650</v>
      </c>
      <c r="F1374" s="8" t="s">
        <v>209</v>
      </c>
      <c r="G1374" s="19" t="s">
        <v>336</v>
      </c>
      <c r="H1374" s="18">
        <f ca="1">ROUNDDOWN(表3[[#This Row],[日期]]-TODAY(),1)</f>
        <v>8</v>
      </c>
    </row>
    <row r="1375" spans="1:8" hidden="1" x14ac:dyDescent="0.2">
      <c r="A1375" s="19" t="s">
        <v>1268</v>
      </c>
      <c r="B1375" s="41">
        <v>43656</v>
      </c>
      <c r="C1375" s="11">
        <v>14</v>
      </c>
      <c r="D1375" s="12" t="s">
        <v>1144</v>
      </c>
      <c r="E1375" s="10">
        <v>43650</v>
      </c>
      <c r="F1375" s="8" t="s">
        <v>209</v>
      </c>
      <c r="G1375" s="19" t="s">
        <v>336</v>
      </c>
      <c r="H1375" s="18">
        <f ca="1">ROUNDDOWN(表3[[#This Row],[日期]]-TODAY(),1)</f>
        <v>8</v>
      </c>
    </row>
    <row r="1376" spans="1:8" hidden="1" x14ac:dyDescent="0.2">
      <c r="A1376" s="19" t="s">
        <v>1268</v>
      </c>
      <c r="B1376" s="41">
        <v>43656</v>
      </c>
      <c r="C1376" s="11">
        <v>15</v>
      </c>
      <c r="D1376" s="12" t="s">
        <v>339</v>
      </c>
      <c r="E1376" s="10">
        <v>43650</v>
      </c>
      <c r="F1376" s="8" t="s">
        <v>209</v>
      </c>
      <c r="G1376" s="19" t="s">
        <v>336</v>
      </c>
      <c r="H1376" s="18">
        <f ca="1">ROUNDDOWN(表3[[#This Row],[日期]]-TODAY(),1)</f>
        <v>8</v>
      </c>
    </row>
    <row r="1377" spans="1:8" hidden="1" x14ac:dyDescent="0.2">
      <c r="A1377" s="19" t="s">
        <v>1268</v>
      </c>
      <c r="B1377" s="41">
        <v>43656</v>
      </c>
      <c r="C1377" s="11">
        <v>16</v>
      </c>
      <c r="D1377" s="12" t="s">
        <v>294</v>
      </c>
      <c r="E1377" s="10">
        <v>43650</v>
      </c>
      <c r="F1377" s="8" t="s">
        <v>209</v>
      </c>
      <c r="G1377" s="19"/>
      <c r="H1377" s="18">
        <f ca="1">ROUNDDOWN(表3[[#This Row],[日期]]-TODAY(),1)</f>
        <v>8</v>
      </c>
    </row>
    <row r="1378" spans="1:8" hidden="1" x14ac:dyDescent="0.2">
      <c r="A1378" s="19" t="s">
        <v>1268</v>
      </c>
      <c r="B1378" s="41">
        <v>43656</v>
      </c>
      <c r="C1378" s="11">
        <v>17</v>
      </c>
      <c r="D1378" s="12" t="s">
        <v>296</v>
      </c>
      <c r="E1378" s="10">
        <v>43650</v>
      </c>
      <c r="F1378" s="8" t="s">
        <v>209</v>
      </c>
      <c r="G1378" s="19"/>
      <c r="H1378" s="18">
        <f ca="1">ROUNDDOWN(表3[[#This Row],[日期]]-TODAY(),1)</f>
        <v>8</v>
      </c>
    </row>
    <row r="1379" spans="1:8" hidden="1" x14ac:dyDescent="0.2">
      <c r="A1379" s="19" t="s">
        <v>1268</v>
      </c>
      <c r="B1379" s="41">
        <v>43656</v>
      </c>
      <c r="C1379" s="11">
        <v>18</v>
      </c>
      <c r="D1379" s="12" t="s">
        <v>298</v>
      </c>
      <c r="E1379" s="10">
        <v>43650</v>
      </c>
      <c r="F1379" s="8" t="s">
        <v>209</v>
      </c>
      <c r="G1379" s="19"/>
      <c r="H1379" s="18">
        <f ca="1">ROUNDDOWN(表3[[#This Row],[日期]]-TODAY(),1)</f>
        <v>8</v>
      </c>
    </row>
    <row r="1380" spans="1:8" hidden="1" x14ac:dyDescent="0.2">
      <c r="A1380" s="19" t="s">
        <v>1268</v>
      </c>
      <c r="B1380" s="41">
        <v>43656</v>
      </c>
      <c r="C1380" s="11">
        <v>19</v>
      </c>
      <c r="D1380" s="12" t="s">
        <v>259</v>
      </c>
      <c r="E1380" s="10">
        <v>43650</v>
      </c>
      <c r="F1380" s="8" t="s">
        <v>209</v>
      </c>
      <c r="G1380" s="19"/>
      <c r="H1380" s="18">
        <f ca="1">ROUNDDOWN(表3[[#This Row],[日期]]-TODAY(),1)</f>
        <v>8</v>
      </c>
    </row>
    <row r="1381" spans="1:8" hidden="1" x14ac:dyDescent="0.2">
      <c r="A1381" s="22" t="s">
        <v>1268</v>
      </c>
      <c r="B1381" s="43">
        <v>43656</v>
      </c>
      <c r="C1381" s="23">
        <v>20</v>
      </c>
      <c r="D1381" s="24" t="s">
        <v>331</v>
      </c>
      <c r="E1381" s="25">
        <v>43650</v>
      </c>
      <c r="F1381" s="26" t="s">
        <v>209</v>
      </c>
      <c r="G1381" s="22"/>
      <c r="H1381" s="21">
        <f ca="1">ROUNDDOWN(表3[[#This Row],[日期]]-TODAY(),1)</f>
        <v>8</v>
      </c>
    </row>
    <row r="1382" spans="1:8" hidden="1" x14ac:dyDescent="0.2">
      <c r="A1382" s="22" t="s">
        <v>2</v>
      </c>
      <c r="B1382" s="41">
        <v>43630</v>
      </c>
      <c r="C1382" s="23">
        <v>48</v>
      </c>
      <c r="D1382" s="24" t="s">
        <v>1269</v>
      </c>
      <c r="E1382" s="25">
        <v>43642</v>
      </c>
      <c r="F1382" s="26" t="s">
        <v>263</v>
      </c>
      <c r="G1382" s="22"/>
      <c r="H1382" s="21">
        <f ca="1">ROUNDDOWN(表3[[#This Row],[日期]]-TODAY(),1)</f>
        <v>0</v>
      </c>
    </row>
    <row r="1383" spans="1:8" hidden="1" x14ac:dyDescent="0.2">
      <c r="A1383" s="22" t="s">
        <v>2</v>
      </c>
      <c r="B1383" s="43">
        <v>43630</v>
      </c>
      <c r="C1383" s="23">
        <v>49</v>
      </c>
      <c r="D1383" s="24" t="s">
        <v>1270</v>
      </c>
      <c r="E1383" s="25">
        <v>43643</v>
      </c>
      <c r="F1383" s="26" t="s">
        <v>1271</v>
      </c>
      <c r="G1383" s="22"/>
      <c r="H1383" s="21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1383" xr:uid="{00000000-0002-0000-0200-000000000000}">
      <formula1>"计划,OK,取消"</formula1>
    </dataValidation>
    <dataValidation type="date" operator="greaterThan" showInputMessage="1" showErrorMessage="1" sqref="E2:E138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7"/>
  <sheetViews>
    <sheetView showGridLines="0" workbookViewId="0">
      <pane xSplit="2" ySplit="1" topLeftCell="I7" activePane="bottomRight" state="frozen"/>
      <selection pane="topRight" activeCell="C1" sqref="C1"/>
      <selection pane="bottomLeft" activeCell="A2" sqref="A2"/>
      <selection pane="bottomRight" activeCell="U7" sqref="U7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433</v>
      </c>
      <c r="D1" t="s">
        <v>452</v>
      </c>
      <c r="E1" t="s">
        <v>757</v>
      </c>
      <c r="F1" t="s">
        <v>819</v>
      </c>
      <c r="G1" t="s">
        <v>820</v>
      </c>
      <c r="H1" t="s">
        <v>822</v>
      </c>
      <c r="I1" t="s">
        <v>823</v>
      </c>
      <c r="J1" t="s">
        <v>818</v>
      </c>
      <c r="K1" t="s">
        <v>852</v>
      </c>
      <c r="L1" t="s">
        <v>824</v>
      </c>
      <c r="M1" t="s">
        <v>821</v>
      </c>
      <c r="N1" t="s">
        <v>825</v>
      </c>
      <c r="O1" t="s">
        <v>826</v>
      </c>
      <c r="P1" t="s">
        <v>831</v>
      </c>
      <c r="Q1" t="s">
        <v>827</v>
      </c>
      <c r="R1" t="s">
        <v>828</v>
      </c>
      <c r="S1" t="s">
        <v>855</v>
      </c>
      <c r="T1" t="s">
        <v>829</v>
      </c>
      <c r="U1" t="s">
        <v>830</v>
      </c>
    </row>
    <row r="2" spans="1:21" hidden="1" x14ac:dyDescent="0.2">
      <c r="A2" t="s">
        <v>175</v>
      </c>
      <c r="B2" s="13">
        <v>43623</v>
      </c>
      <c r="C2" s="33">
        <v>3</v>
      </c>
      <c r="D2" s="33">
        <v>0</v>
      </c>
      <c r="E2" s="33">
        <v>0</v>
      </c>
      <c r="F2" s="7" t="s">
        <v>939</v>
      </c>
      <c r="G2" s="7" t="s">
        <v>940</v>
      </c>
      <c r="H2" t="s">
        <v>942</v>
      </c>
      <c r="I2" t="s">
        <v>865</v>
      </c>
      <c r="J2" s="32" t="s">
        <v>1004</v>
      </c>
      <c r="K2" s="6" t="s">
        <v>943</v>
      </c>
      <c r="L2" s="29">
        <v>43620</v>
      </c>
      <c r="M2" t="s">
        <v>937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846</v>
      </c>
      <c r="B3" s="13">
        <v>43628</v>
      </c>
      <c r="C3" s="33">
        <v>0</v>
      </c>
      <c r="D3" s="33">
        <v>1</v>
      </c>
      <c r="E3" s="33">
        <v>0</v>
      </c>
      <c r="F3" s="7" t="s">
        <v>847</v>
      </c>
      <c r="G3" t="s">
        <v>853</v>
      </c>
      <c r="H3" t="s">
        <v>848</v>
      </c>
      <c r="I3" t="s">
        <v>849</v>
      </c>
      <c r="J3" s="32" t="s">
        <v>1006</v>
      </c>
      <c r="K3" s="6" t="s">
        <v>816</v>
      </c>
      <c r="L3" s="29">
        <v>43626.5</v>
      </c>
      <c r="M3" t="s">
        <v>854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1222</v>
      </c>
      <c r="U3" s="36"/>
    </row>
    <row r="4" spans="1:21" hidden="1" x14ac:dyDescent="0.2">
      <c r="A4" t="s">
        <v>784</v>
      </c>
      <c r="B4" s="13">
        <v>43628</v>
      </c>
      <c r="C4" s="33">
        <v>0</v>
      </c>
      <c r="D4" s="33">
        <v>0</v>
      </c>
      <c r="E4" s="33">
        <v>8</v>
      </c>
      <c r="F4" t="s">
        <v>836</v>
      </c>
      <c r="G4" t="s">
        <v>891</v>
      </c>
      <c r="H4" t="s">
        <v>892</v>
      </c>
      <c r="J4" s="32" t="s">
        <v>1008</v>
      </c>
      <c r="K4" s="6" t="s">
        <v>756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155</v>
      </c>
      <c r="B5" s="13">
        <v>43628</v>
      </c>
      <c r="C5" s="33">
        <v>1</v>
      </c>
      <c r="D5" s="33">
        <v>0</v>
      </c>
      <c r="E5" s="33">
        <v>0</v>
      </c>
      <c r="F5" s="7" t="s">
        <v>837</v>
      </c>
      <c r="G5" t="s">
        <v>839</v>
      </c>
      <c r="H5" t="s">
        <v>838</v>
      </c>
      <c r="J5" s="32" t="s">
        <v>1012</v>
      </c>
      <c r="K5" s="6" t="s">
        <v>851</v>
      </c>
      <c r="L5" s="29">
        <v>43626.375</v>
      </c>
      <c r="M5" t="s">
        <v>840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843</v>
      </c>
    </row>
    <row r="6" spans="1:21" hidden="1" x14ac:dyDescent="0.2">
      <c r="A6" t="s">
        <v>944</v>
      </c>
      <c r="B6" s="13">
        <v>43628</v>
      </c>
      <c r="C6" s="33">
        <v>1</v>
      </c>
      <c r="D6" s="33">
        <v>1</v>
      </c>
      <c r="E6" s="33">
        <v>0</v>
      </c>
      <c r="F6" s="7" t="s">
        <v>832</v>
      </c>
      <c r="G6" s="7" t="s">
        <v>945</v>
      </c>
      <c r="H6" t="s">
        <v>946</v>
      </c>
      <c r="J6" s="32" t="s">
        <v>1014</v>
      </c>
      <c r="K6" s="6" t="s">
        <v>947</v>
      </c>
      <c r="L6" s="29">
        <v>43623</v>
      </c>
      <c r="M6" t="s">
        <v>937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1159</v>
      </c>
      <c r="U6" s="36" t="s">
        <v>834</v>
      </c>
    </row>
    <row r="7" spans="1:21" x14ac:dyDescent="0.2">
      <c r="A7" t="s">
        <v>846</v>
      </c>
      <c r="B7" s="13">
        <v>43630</v>
      </c>
      <c r="C7" s="33">
        <v>0</v>
      </c>
      <c r="D7" s="33">
        <v>2</v>
      </c>
      <c r="E7" s="33">
        <v>0</v>
      </c>
      <c r="F7" s="7" t="s">
        <v>847</v>
      </c>
      <c r="G7" t="s">
        <v>857</v>
      </c>
      <c r="H7" t="s">
        <v>848</v>
      </c>
      <c r="I7" t="s">
        <v>856</v>
      </c>
      <c r="J7" s="32" t="s">
        <v>1016</v>
      </c>
      <c r="K7" s="6" t="s">
        <v>673</v>
      </c>
      <c r="L7" s="29">
        <v>43627.5</v>
      </c>
      <c r="M7" t="s">
        <v>858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859</v>
      </c>
      <c r="U7" s="36" t="s">
        <v>1293</v>
      </c>
    </row>
    <row r="8" spans="1:21" hidden="1" x14ac:dyDescent="0.2">
      <c r="A8" t="s">
        <v>784</v>
      </c>
      <c r="B8" s="13">
        <v>43632</v>
      </c>
      <c r="C8" s="33">
        <v>0</v>
      </c>
      <c r="D8" s="33">
        <v>0</v>
      </c>
      <c r="E8" s="33">
        <v>2</v>
      </c>
      <c r="F8" s="7" t="s">
        <v>836</v>
      </c>
      <c r="G8" t="s">
        <v>898</v>
      </c>
      <c r="H8" t="s">
        <v>892</v>
      </c>
      <c r="J8" s="32" t="s">
        <v>1018</v>
      </c>
      <c r="K8" s="6" t="s">
        <v>899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844</v>
      </c>
      <c r="B9" s="13">
        <v>43635</v>
      </c>
      <c r="C9" s="33">
        <v>1</v>
      </c>
      <c r="D9" s="33">
        <v>0</v>
      </c>
      <c r="E9" s="33">
        <v>1</v>
      </c>
      <c r="F9" s="7" t="s">
        <v>837</v>
      </c>
      <c r="G9" t="s">
        <v>845</v>
      </c>
      <c r="H9" t="s">
        <v>838</v>
      </c>
      <c r="J9" s="32" t="s">
        <v>1020</v>
      </c>
      <c r="K9" s="6" t="s">
        <v>850</v>
      </c>
      <c r="L9" s="29">
        <v>43633</v>
      </c>
      <c r="M9" t="s">
        <v>840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872</v>
      </c>
    </row>
    <row r="10" spans="1:21" hidden="1" x14ac:dyDescent="0.2">
      <c r="A10" t="s">
        <v>817</v>
      </c>
      <c r="B10" s="13">
        <v>43635</v>
      </c>
      <c r="C10" s="33">
        <v>1</v>
      </c>
      <c r="D10" s="33">
        <v>1</v>
      </c>
      <c r="E10" s="33">
        <v>0</v>
      </c>
      <c r="F10" t="s">
        <v>832</v>
      </c>
      <c r="G10" t="s">
        <v>833</v>
      </c>
      <c r="H10" t="s">
        <v>941</v>
      </c>
      <c r="J10" s="32" t="s">
        <v>1022</v>
      </c>
      <c r="K10" s="6" t="s">
        <v>810</v>
      </c>
      <c r="L10" s="29">
        <v>43630</v>
      </c>
      <c r="M10" t="s">
        <v>842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834</v>
      </c>
    </row>
    <row r="11" spans="1:21" hidden="1" x14ac:dyDescent="0.2">
      <c r="A11" t="s">
        <v>933</v>
      </c>
      <c r="B11" s="13">
        <v>43635</v>
      </c>
      <c r="C11" s="33">
        <v>0</v>
      </c>
      <c r="D11" s="33">
        <v>1</v>
      </c>
      <c r="E11" s="33">
        <v>0</v>
      </c>
      <c r="F11" s="7" t="s">
        <v>934</v>
      </c>
      <c r="G11" s="7" t="s">
        <v>833</v>
      </c>
      <c r="H11" t="s">
        <v>941</v>
      </c>
      <c r="I11" t="s">
        <v>935</v>
      </c>
      <c r="J11" s="32" t="s">
        <v>1024</v>
      </c>
      <c r="K11" s="6" t="s">
        <v>936</v>
      </c>
      <c r="L11" s="29">
        <v>43630</v>
      </c>
      <c r="M11" t="s">
        <v>937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938</v>
      </c>
      <c r="U11" s="36"/>
    </row>
    <row r="12" spans="1:21" hidden="1" x14ac:dyDescent="0.2">
      <c r="A12" t="s">
        <v>846</v>
      </c>
      <c r="B12" s="13">
        <v>43635</v>
      </c>
      <c r="C12" s="33">
        <v>0</v>
      </c>
      <c r="D12" s="33">
        <v>1</v>
      </c>
      <c r="E12" s="33">
        <v>0</v>
      </c>
      <c r="F12" s="7" t="s">
        <v>847</v>
      </c>
      <c r="G12" t="s">
        <v>861</v>
      </c>
      <c r="H12" t="s">
        <v>848</v>
      </c>
      <c r="I12" t="s">
        <v>849</v>
      </c>
      <c r="J12" s="32" t="s">
        <v>1026</v>
      </c>
      <c r="K12" s="6" t="s">
        <v>860</v>
      </c>
      <c r="L12" s="29">
        <v>43633</v>
      </c>
      <c r="M12" t="s">
        <v>854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962</v>
      </c>
      <c r="U12" s="36"/>
    </row>
    <row r="13" spans="1:21" hidden="1" x14ac:dyDescent="0.2">
      <c r="A13" t="s">
        <v>784</v>
      </c>
      <c r="B13" s="13">
        <v>43635</v>
      </c>
      <c r="C13" s="33">
        <v>0</v>
      </c>
      <c r="D13" s="33">
        <v>0</v>
      </c>
      <c r="E13" s="33">
        <v>3</v>
      </c>
      <c r="F13" s="7" t="s">
        <v>836</v>
      </c>
      <c r="G13" t="s">
        <v>992</v>
      </c>
      <c r="H13" t="s">
        <v>892</v>
      </c>
      <c r="J13" s="32" t="s">
        <v>1028</v>
      </c>
      <c r="K13" s="6" t="s">
        <v>900</v>
      </c>
      <c r="L13" s="29">
        <v>43633</v>
      </c>
      <c r="M13" t="s">
        <v>993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864</v>
      </c>
      <c r="B14" s="13">
        <v>43637</v>
      </c>
      <c r="C14" s="33">
        <v>3</v>
      </c>
      <c r="D14" s="33">
        <v>0</v>
      </c>
      <c r="E14" s="33">
        <v>0</v>
      </c>
      <c r="F14" s="7" t="s">
        <v>847</v>
      </c>
      <c r="G14" s="7" t="s">
        <v>862</v>
      </c>
      <c r="H14" t="s">
        <v>848</v>
      </c>
      <c r="I14" t="s">
        <v>865</v>
      </c>
      <c r="J14" s="32" t="s">
        <v>1031</v>
      </c>
      <c r="K14" s="6" t="s">
        <v>866</v>
      </c>
      <c r="L14" s="29">
        <v>43634</v>
      </c>
      <c r="M14" t="s">
        <v>858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846</v>
      </c>
      <c r="B15" s="13">
        <v>43637</v>
      </c>
      <c r="C15" s="33">
        <v>0</v>
      </c>
      <c r="D15" s="33">
        <v>0</v>
      </c>
      <c r="E15" s="33">
        <v>1</v>
      </c>
      <c r="F15" s="7" t="s">
        <v>847</v>
      </c>
      <c r="G15" s="7" t="s">
        <v>862</v>
      </c>
      <c r="H15" t="s">
        <v>848</v>
      </c>
      <c r="I15" t="s">
        <v>856</v>
      </c>
      <c r="J15" s="32" t="s">
        <v>1033</v>
      </c>
      <c r="K15" s="6" t="s">
        <v>863</v>
      </c>
      <c r="L15" s="29">
        <v>43634</v>
      </c>
      <c r="M15" t="s">
        <v>858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752</v>
      </c>
      <c r="B16" s="13">
        <v>43639</v>
      </c>
      <c r="C16" s="33">
        <v>0</v>
      </c>
      <c r="D16" s="33">
        <v>0</v>
      </c>
      <c r="E16" s="33">
        <v>7</v>
      </c>
      <c r="F16" s="7" t="s">
        <v>1083</v>
      </c>
      <c r="G16" s="7" t="s">
        <v>1084</v>
      </c>
      <c r="H16" t="s">
        <v>892</v>
      </c>
      <c r="J16" s="32" t="s">
        <v>1085</v>
      </c>
      <c r="K16" s="6" t="s">
        <v>1200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844</v>
      </c>
      <c r="B17" s="13">
        <v>43642</v>
      </c>
      <c r="C17" s="33">
        <v>0</v>
      </c>
      <c r="D17" s="33">
        <v>0</v>
      </c>
      <c r="E17" s="33">
        <v>1</v>
      </c>
      <c r="F17" s="7" t="s">
        <v>837</v>
      </c>
      <c r="G17" t="s">
        <v>1103</v>
      </c>
      <c r="H17" t="s">
        <v>1104</v>
      </c>
      <c r="J17" s="32" t="s">
        <v>1110</v>
      </c>
      <c r="K17" s="6" t="s">
        <v>1105</v>
      </c>
      <c r="L17" s="29">
        <v>43640</v>
      </c>
      <c r="M17" t="s">
        <v>840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1223</v>
      </c>
      <c r="U17" s="36"/>
    </row>
    <row r="18" spans="1:21" hidden="1" x14ac:dyDescent="0.2">
      <c r="A18" t="s">
        <v>152</v>
      </c>
      <c r="B18" s="13">
        <v>43642</v>
      </c>
      <c r="C18" s="33">
        <v>0</v>
      </c>
      <c r="D18" s="33">
        <v>0</v>
      </c>
      <c r="E18" s="33">
        <v>2</v>
      </c>
      <c r="F18" t="s">
        <v>832</v>
      </c>
      <c r="G18" t="s">
        <v>835</v>
      </c>
      <c r="H18" t="s">
        <v>941</v>
      </c>
      <c r="J18" s="32" t="s">
        <v>1035</v>
      </c>
      <c r="K18" s="6" t="s">
        <v>814</v>
      </c>
      <c r="L18" s="29">
        <v>43637</v>
      </c>
      <c r="M18" t="s">
        <v>841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1158</v>
      </c>
      <c r="U18" s="36" t="s">
        <v>834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847</v>
      </c>
      <c r="G19" s="7" t="s">
        <v>1073</v>
      </c>
      <c r="H19" t="s">
        <v>848</v>
      </c>
      <c r="I19" t="s">
        <v>849</v>
      </c>
      <c r="J19" s="32" t="s">
        <v>1075</v>
      </c>
      <c r="K19" s="6" t="s">
        <v>1077</v>
      </c>
      <c r="L19" s="29">
        <v>43640</v>
      </c>
      <c r="M19" t="s">
        <v>1134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962</v>
      </c>
      <c r="U19" s="36" t="s">
        <v>1132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847</v>
      </c>
      <c r="G20" s="38" t="s">
        <v>1125</v>
      </c>
      <c r="H20" t="s">
        <v>848</v>
      </c>
      <c r="I20" t="s">
        <v>856</v>
      </c>
      <c r="J20" s="32" t="s">
        <v>1219</v>
      </c>
      <c r="K20" s="6" t="s">
        <v>1082</v>
      </c>
      <c r="L20" s="29">
        <v>43641</v>
      </c>
      <c r="M20" t="s">
        <v>1133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1120</v>
      </c>
    </row>
    <row r="21" spans="1:21" hidden="1" x14ac:dyDescent="0.2">
      <c r="A21" t="s">
        <v>903</v>
      </c>
      <c r="B21" s="13">
        <v>43653</v>
      </c>
      <c r="C21" s="33">
        <v>0</v>
      </c>
      <c r="D21" s="33">
        <v>1</v>
      </c>
      <c r="E21" s="33">
        <v>0</v>
      </c>
      <c r="F21" s="7" t="s">
        <v>901</v>
      </c>
      <c r="G21" s="7" t="s">
        <v>967</v>
      </c>
      <c r="H21" t="s">
        <v>902</v>
      </c>
      <c r="J21" s="32" t="s">
        <v>1037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1135</v>
      </c>
      <c r="B22" s="13">
        <v>43649</v>
      </c>
      <c r="C22" s="33">
        <v>1</v>
      </c>
      <c r="D22" s="33">
        <v>0</v>
      </c>
      <c r="E22" s="33">
        <v>0</v>
      </c>
      <c r="F22" s="7" t="s">
        <v>1136</v>
      </c>
      <c r="G22" s="7" t="s">
        <v>1173</v>
      </c>
      <c r="H22" t="s">
        <v>941</v>
      </c>
      <c r="J22" s="32" t="s">
        <v>1176</v>
      </c>
      <c r="K22" s="6" t="s">
        <v>1175</v>
      </c>
      <c r="L22" s="29">
        <v>43647</v>
      </c>
      <c r="N22" s="30"/>
      <c r="O22" s="29"/>
      <c r="P22" s="34"/>
      <c r="Q22" s="31"/>
      <c r="R22" s="31"/>
      <c r="S22" s="35"/>
      <c r="T22" s="36"/>
      <c r="U22" s="36" t="s">
        <v>1137</v>
      </c>
    </row>
    <row r="23" spans="1:21" hidden="1" x14ac:dyDescent="0.2">
      <c r="A23" t="s">
        <v>752</v>
      </c>
      <c r="B23" s="13">
        <v>43642</v>
      </c>
      <c r="C23" s="33">
        <v>0</v>
      </c>
      <c r="D23" s="33">
        <v>0</v>
      </c>
      <c r="E23" s="33">
        <v>4</v>
      </c>
      <c r="F23" s="7" t="s">
        <v>836</v>
      </c>
      <c r="G23" s="7" t="s">
        <v>1155</v>
      </c>
      <c r="H23" t="s">
        <v>892</v>
      </c>
      <c r="J23" s="32" t="s">
        <v>1148</v>
      </c>
      <c r="K23" s="6" t="s">
        <v>1156</v>
      </c>
      <c r="L23" s="29">
        <v>43640</v>
      </c>
      <c r="M23" t="s">
        <v>1209</v>
      </c>
      <c r="N23" s="30"/>
      <c r="O23" s="29"/>
      <c r="P23" s="34">
        <v>3</v>
      </c>
      <c r="Q23" s="31"/>
      <c r="R23" s="31"/>
      <c r="S23" s="35"/>
      <c r="T23" s="36" t="s">
        <v>1231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2</v>
      </c>
      <c r="E24" s="33">
        <v>0</v>
      </c>
      <c r="F24" s="7" t="s">
        <v>847</v>
      </c>
      <c r="G24" s="7" t="s">
        <v>1243</v>
      </c>
      <c r="H24" t="s">
        <v>848</v>
      </c>
      <c r="I24" t="s">
        <v>849</v>
      </c>
      <c r="J24" s="32" t="s">
        <v>1248</v>
      </c>
      <c r="K24" s="6" t="s">
        <v>1245</v>
      </c>
      <c r="L24" s="29">
        <v>43647</v>
      </c>
      <c r="M24" t="s">
        <v>1258</v>
      </c>
      <c r="N24" s="30"/>
      <c r="O24" s="29"/>
      <c r="P24" s="34"/>
      <c r="Q24" s="31"/>
      <c r="R24" s="31"/>
      <c r="S24" s="35"/>
      <c r="T24" s="36"/>
      <c r="U24" s="36"/>
    </row>
    <row r="25" spans="1:21" hidden="1" x14ac:dyDescent="0.2">
      <c r="A25" t="s">
        <v>3</v>
      </c>
      <c r="B25" s="13">
        <v>43651</v>
      </c>
      <c r="C25" s="33">
        <v>0</v>
      </c>
      <c r="D25" s="33">
        <v>2</v>
      </c>
      <c r="E25" s="33">
        <v>0</v>
      </c>
      <c r="F25" s="7" t="s">
        <v>847</v>
      </c>
      <c r="G25" s="7" t="s">
        <v>1256</v>
      </c>
      <c r="H25" t="s">
        <v>848</v>
      </c>
      <c r="I25" t="s">
        <v>856</v>
      </c>
      <c r="J25" s="32" t="s">
        <v>1249</v>
      </c>
      <c r="K25" s="6" t="s">
        <v>1247</v>
      </c>
      <c r="L25" s="29">
        <v>43648</v>
      </c>
      <c r="M25" t="s">
        <v>1259</v>
      </c>
      <c r="N25" s="30"/>
      <c r="O25" s="29"/>
      <c r="P25" s="34"/>
      <c r="Q25" s="31"/>
      <c r="R25" s="31"/>
      <c r="S25" s="35"/>
      <c r="T25" s="36"/>
      <c r="U25" s="36"/>
    </row>
    <row r="26" spans="1:21" hidden="1" x14ac:dyDescent="0.2">
      <c r="A26" t="s">
        <v>1265</v>
      </c>
      <c r="B26" s="13">
        <v>43649</v>
      </c>
      <c r="C26" s="33">
        <v>0</v>
      </c>
      <c r="D26" s="33">
        <v>0</v>
      </c>
      <c r="E26" s="33">
        <v>3</v>
      </c>
      <c r="F26" s="7" t="s">
        <v>837</v>
      </c>
      <c r="G26" s="7"/>
      <c r="H26" t="s">
        <v>1104</v>
      </c>
      <c r="J26" s="32"/>
      <c r="K26" s="6"/>
      <c r="L26" s="29"/>
      <c r="N26" s="30"/>
      <c r="O26" s="29"/>
      <c r="P26" s="34"/>
      <c r="Q26" s="31"/>
      <c r="R26" s="31"/>
      <c r="S26" s="35"/>
      <c r="T26" s="36"/>
      <c r="U26" s="36" t="s">
        <v>1266</v>
      </c>
    </row>
    <row r="27" spans="1:21" hidden="1" x14ac:dyDescent="0.2">
      <c r="A27" t="s">
        <v>152</v>
      </c>
      <c r="B27" s="13">
        <v>43656</v>
      </c>
      <c r="C27" s="33">
        <v>0</v>
      </c>
      <c r="D27" s="33">
        <v>1</v>
      </c>
      <c r="E27" s="33">
        <v>0</v>
      </c>
      <c r="F27" s="7" t="s">
        <v>1288</v>
      </c>
      <c r="G27" s="7" t="s">
        <v>1289</v>
      </c>
      <c r="H27" t="s">
        <v>1290</v>
      </c>
      <c r="J27" s="32"/>
      <c r="K27" s="6" t="s">
        <v>1291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</sheetData>
  <phoneticPr fontId="1" type="noConversion"/>
  <conditionalFormatting sqref="C2:E27">
    <cfRule type="containsBlanks" dxfId="43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7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D21" sqref="D21"/>
    </sheetView>
  </sheetViews>
  <sheetFormatPr defaultColWidth="8" defaultRowHeight="14.25" x14ac:dyDescent="0.2"/>
  <cols>
    <col min="1" max="1" width="12.125" bestFit="1" customWidth="1"/>
    <col min="2" max="2" width="7.875" bestFit="1" customWidth="1"/>
    <col min="3" max="9" width="7.875" customWidth="1"/>
    <col min="10" max="11" width="10.5" bestFit="1" customWidth="1"/>
    <col min="12" max="21" width="7.875" customWidth="1"/>
    <col min="22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3</v>
      </c>
      <c r="B1" s="45">
        <v>43642</v>
      </c>
      <c r="C1" s="46"/>
      <c r="D1" s="47" t="s">
        <v>1056</v>
      </c>
      <c r="E1" s="65" t="s">
        <v>1075</v>
      </c>
      <c r="F1" s="65"/>
      <c r="G1" s="65"/>
      <c r="H1" s="65" t="s">
        <v>1279</v>
      </c>
      <c r="I1" s="65"/>
      <c r="J1" s="47" t="s">
        <v>1285</v>
      </c>
      <c r="K1" s="65" t="s">
        <v>1286</v>
      </c>
      <c r="L1" s="65"/>
      <c r="M1" s="65"/>
      <c r="N1" s="65" t="s">
        <v>1280</v>
      </c>
      <c r="O1" s="65"/>
      <c r="P1" s="65"/>
      <c r="Q1" s="47" t="s">
        <v>1057</v>
      </c>
      <c r="R1" s="48">
        <v>4</v>
      </c>
    </row>
    <row r="2" spans="1:18" x14ac:dyDescent="0.2">
      <c r="A2" s="49" t="s">
        <v>1112</v>
      </c>
      <c r="B2" s="50" t="s">
        <v>1232</v>
      </c>
      <c r="C2" s="50" t="s">
        <v>1261</v>
      </c>
      <c r="D2" s="64"/>
      <c r="E2" s="70" t="s">
        <v>1272</v>
      </c>
      <c r="F2" s="70"/>
      <c r="G2" s="51" t="s">
        <v>1002</v>
      </c>
      <c r="H2" s="68" t="s">
        <v>1073</v>
      </c>
      <c r="I2" s="68"/>
      <c r="J2" s="68"/>
      <c r="K2" s="68"/>
      <c r="L2" s="68" t="s">
        <v>1274</v>
      </c>
      <c r="M2" s="68"/>
      <c r="N2" s="70" t="s">
        <v>1233</v>
      </c>
      <c r="O2" s="70"/>
      <c r="P2" s="70"/>
      <c r="Q2" s="70" t="s">
        <v>1273</v>
      </c>
      <c r="R2" s="71"/>
    </row>
    <row r="3" spans="1:18" x14ac:dyDescent="0.2">
      <c r="A3" s="52" t="s">
        <v>1262</v>
      </c>
      <c r="B3" s="53" t="s">
        <v>1275</v>
      </c>
      <c r="C3" s="53" t="s">
        <v>1276</v>
      </c>
      <c r="D3" s="64"/>
      <c r="E3" s="64" t="s">
        <v>1263</v>
      </c>
      <c r="F3" s="64"/>
      <c r="G3" s="68" t="s">
        <v>1277</v>
      </c>
      <c r="H3" s="68"/>
      <c r="I3" s="68" t="s">
        <v>1278</v>
      </c>
      <c r="J3" s="68"/>
      <c r="K3" s="68"/>
      <c r="L3" s="68"/>
      <c r="M3" s="68"/>
      <c r="N3" s="68"/>
      <c r="O3" s="68"/>
      <c r="P3" s="68"/>
      <c r="Q3" s="68"/>
      <c r="R3" s="69"/>
    </row>
    <row r="4" spans="1:18" ht="15" thickBot="1" x14ac:dyDescent="0.25">
      <c r="A4" s="54" t="s">
        <v>871</v>
      </c>
      <c r="B4" s="66" t="s">
        <v>1287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7"/>
    </row>
    <row r="5" spans="1:18" ht="15" thickTop="1" x14ac:dyDescent="0.2"/>
    <row r="6" spans="1:18" x14ac:dyDescent="0.2">
      <c r="A6" s="5" t="s">
        <v>212</v>
      </c>
      <c r="B6" t="s">
        <v>209</v>
      </c>
      <c r="C6" s="14" t="s">
        <v>400</v>
      </c>
      <c r="D6" s="14" t="s">
        <v>576</v>
      </c>
      <c r="E6" s="14" t="s">
        <v>401</v>
      </c>
      <c r="F6" s="14" t="s">
        <v>402</v>
      </c>
    </row>
    <row r="8" spans="1:18" x14ac:dyDescent="0.2">
      <c r="A8" s="5" t="s">
        <v>208</v>
      </c>
      <c r="B8" s="5" t="s">
        <v>159</v>
      </c>
    </row>
    <row r="9" spans="1:18" x14ac:dyDescent="0.2">
      <c r="A9" s="5" t="s">
        <v>309</v>
      </c>
      <c r="B9" s="63">
        <v>43643</v>
      </c>
    </row>
    <row r="10" spans="1:18" x14ac:dyDescent="0.2">
      <c r="A10" s="6" t="s">
        <v>242</v>
      </c>
      <c r="B10" s="7"/>
    </row>
    <row r="11" spans="1:18" x14ac:dyDescent="0.2">
      <c r="A11" s="62">
        <v>43640</v>
      </c>
      <c r="B11" s="7">
        <v>2</v>
      </c>
    </row>
    <row r="12" spans="1:18" x14ac:dyDescent="0.2">
      <c r="A12" s="6" t="s">
        <v>244</v>
      </c>
      <c r="B12" s="7"/>
    </row>
    <row r="13" spans="1:18" x14ac:dyDescent="0.2">
      <c r="A13" s="62">
        <v>43617</v>
      </c>
      <c r="B13" s="7">
        <v>3</v>
      </c>
    </row>
    <row r="14" spans="1:18" x14ac:dyDescent="0.2">
      <c r="A14" s="6" t="s">
        <v>893</v>
      </c>
      <c r="B14" s="7"/>
    </row>
    <row r="15" spans="1:18" x14ac:dyDescent="0.2">
      <c r="A15" s="62">
        <v>43642</v>
      </c>
      <c r="B15" s="7">
        <v>2</v>
      </c>
    </row>
    <row r="16" spans="1:18" x14ac:dyDescent="0.2">
      <c r="A16" s="6" t="s">
        <v>1284</v>
      </c>
      <c r="B16" s="7"/>
    </row>
    <row r="17" spans="1:2" x14ac:dyDescent="0.2">
      <c r="A17" s="62">
        <v>43642</v>
      </c>
      <c r="B17" s="7">
        <v>1</v>
      </c>
    </row>
    <row r="18" spans="1:2" x14ac:dyDescent="0.2">
      <c r="A18" s="62">
        <v>43649</v>
      </c>
      <c r="B18" s="7">
        <v>6</v>
      </c>
    </row>
    <row r="19" spans="1:2" x14ac:dyDescent="0.2">
      <c r="A19" s="6" t="s">
        <v>2</v>
      </c>
      <c r="B19" s="7"/>
    </row>
    <row r="20" spans="1:2" x14ac:dyDescent="0.2">
      <c r="A20" s="62">
        <v>43630</v>
      </c>
      <c r="B20" s="7">
        <v>1</v>
      </c>
    </row>
    <row r="21" spans="1:2" x14ac:dyDescent="0.2">
      <c r="A21" s="62">
        <v>43642</v>
      </c>
      <c r="B21" s="7">
        <v>1</v>
      </c>
    </row>
    <row r="22" spans="1:2" x14ac:dyDescent="0.2">
      <c r="A22" s="62">
        <v>43644</v>
      </c>
      <c r="B22" s="7">
        <v>1</v>
      </c>
    </row>
    <row r="23" spans="1:2" x14ac:dyDescent="0.2">
      <c r="A23" s="62">
        <v>43649</v>
      </c>
      <c r="B23" s="7">
        <v>8</v>
      </c>
    </row>
    <row r="24" spans="1:2" x14ac:dyDescent="0.2">
      <c r="A24" s="6" t="s">
        <v>158</v>
      </c>
      <c r="B24" s="7"/>
    </row>
    <row r="25" spans="1:2" x14ac:dyDescent="0.2">
      <c r="A25" s="62">
        <v>43649</v>
      </c>
      <c r="B25" s="7">
        <v>9</v>
      </c>
    </row>
    <row r="26" spans="1:2" x14ac:dyDescent="0.2">
      <c r="A26" s="62">
        <v>43656</v>
      </c>
      <c r="B26" s="7">
        <v>1</v>
      </c>
    </row>
    <row r="27" spans="1:2" x14ac:dyDescent="0.2">
      <c r="A27" s="6" t="s">
        <v>1113</v>
      </c>
      <c r="B27" s="7">
        <v>35</v>
      </c>
    </row>
  </sheetData>
  <dataConsolidate/>
  <mergeCells count="12">
    <mergeCell ref="B4:R4"/>
    <mergeCell ref="G3:H3"/>
    <mergeCell ref="I3:R3"/>
    <mergeCell ref="L2:M2"/>
    <mergeCell ref="E2:F2"/>
    <mergeCell ref="N2:P2"/>
    <mergeCell ref="Q2:R2"/>
    <mergeCell ref="H2:K2"/>
    <mergeCell ref="K1:M1"/>
    <mergeCell ref="H1:I1"/>
    <mergeCell ref="N1:P1"/>
    <mergeCell ref="E1:G1"/>
  </mergeCells>
  <phoneticPr fontId="1" type="noConversion"/>
  <conditionalFormatting sqref="B9:AG9">
    <cfRule type="timePeriod" dxfId="25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35"/>
  <sheetViews>
    <sheetView workbookViewId="0">
      <selection activeCell="D148" sqref="D148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662</v>
      </c>
      <c r="D1" s="55" t="s">
        <v>348</v>
      </c>
      <c r="E1" s="55" t="s">
        <v>346</v>
      </c>
      <c r="F1" s="55" t="s">
        <v>347</v>
      </c>
      <c r="G1" s="55" t="s">
        <v>796</v>
      </c>
      <c r="H1" s="55" t="s">
        <v>345</v>
      </c>
      <c r="I1" s="55" t="s">
        <v>431</v>
      </c>
      <c r="J1" s="55" t="s">
        <v>797</v>
      </c>
    </row>
    <row r="2" spans="1:10" hidden="1" x14ac:dyDescent="0.2">
      <c r="A2" s="55" t="s">
        <v>2</v>
      </c>
      <c r="B2" s="60">
        <v>43595</v>
      </c>
      <c r="C2" s="56" t="s">
        <v>1040</v>
      </c>
      <c r="D2" s="57" t="s">
        <v>1096</v>
      </c>
      <c r="E2" s="58" t="s">
        <v>1097</v>
      </c>
      <c r="F2" s="58" t="s">
        <v>349</v>
      </c>
      <c r="G2" s="59" t="s">
        <v>1098</v>
      </c>
      <c r="H2" s="55" t="s">
        <v>1099</v>
      </c>
      <c r="I2" s="58" t="s">
        <v>960</v>
      </c>
      <c r="J2" s="58"/>
    </row>
    <row r="3" spans="1:10" hidden="1" x14ac:dyDescent="0.2">
      <c r="A3" s="55" t="s">
        <v>2</v>
      </c>
      <c r="B3" s="60">
        <v>43595</v>
      </c>
      <c r="C3" s="56" t="s">
        <v>1040</v>
      </c>
      <c r="D3" s="57" t="s">
        <v>1096</v>
      </c>
      <c r="E3" s="58" t="s">
        <v>1097</v>
      </c>
      <c r="F3" s="58" t="s">
        <v>349</v>
      </c>
      <c r="G3" s="59" t="s">
        <v>1100</v>
      </c>
      <c r="H3" s="55" t="s">
        <v>1099</v>
      </c>
      <c r="I3" s="58" t="s">
        <v>960</v>
      </c>
      <c r="J3" s="58"/>
    </row>
    <row r="4" spans="1:10" hidden="1" x14ac:dyDescent="0.2">
      <c r="A4" s="55" t="s">
        <v>2</v>
      </c>
      <c r="B4" s="60">
        <v>43595</v>
      </c>
      <c r="C4" s="56" t="s">
        <v>1040</v>
      </c>
      <c r="D4" s="57" t="s">
        <v>1096</v>
      </c>
      <c r="E4" s="58" t="s">
        <v>1097</v>
      </c>
      <c r="F4" s="58" t="s">
        <v>349</v>
      </c>
      <c r="G4" s="59" t="s">
        <v>1101</v>
      </c>
      <c r="H4" s="55" t="s">
        <v>1099</v>
      </c>
      <c r="I4" s="58" t="s">
        <v>960</v>
      </c>
      <c r="J4" s="58"/>
    </row>
    <row r="5" spans="1:10" hidden="1" x14ac:dyDescent="0.2">
      <c r="A5" s="55" t="s">
        <v>152</v>
      </c>
      <c r="B5" s="60">
        <v>43600</v>
      </c>
      <c r="C5" s="56" t="s">
        <v>1041</v>
      </c>
      <c r="D5" s="57" t="s">
        <v>376</v>
      </c>
      <c r="E5" s="58" t="s">
        <v>377</v>
      </c>
      <c r="F5" s="58" t="s">
        <v>378</v>
      </c>
      <c r="G5" s="59" t="s">
        <v>406</v>
      </c>
      <c r="H5" s="55" t="s">
        <v>379</v>
      </c>
      <c r="I5" s="58" t="s">
        <v>435</v>
      </c>
      <c r="J5" s="58"/>
    </row>
    <row r="6" spans="1:10" hidden="1" x14ac:dyDescent="0.2">
      <c r="A6" s="55" t="s">
        <v>359</v>
      </c>
      <c r="B6" s="60">
        <v>43602</v>
      </c>
      <c r="C6" s="56" t="s">
        <v>1042</v>
      </c>
      <c r="D6" s="57" t="s">
        <v>360</v>
      </c>
      <c r="E6" s="58" t="s">
        <v>361</v>
      </c>
      <c r="F6" s="58" t="s">
        <v>362</v>
      </c>
      <c r="G6" s="59" t="s">
        <v>407</v>
      </c>
      <c r="H6" s="55" t="s">
        <v>363</v>
      </c>
      <c r="I6" s="58" t="s">
        <v>433</v>
      </c>
      <c r="J6" s="58" t="s">
        <v>888</v>
      </c>
    </row>
    <row r="7" spans="1:10" hidden="1" x14ac:dyDescent="0.2">
      <c r="A7" s="55" t="s">
        <v>359</v>
      </c>
      <c r="B7" s="60">
        <v>43602</v>
      </c>
      <c r="C7" s="56" t="s">
        <v>1042</v>
      </c>
      <c r="D7" s="57" t="s">
        <v>360</v>
      </c>
      <c r="E7" s="58" t="s">
        <v>361</v>
      </c>
      <c r="F7" s="58" t="s">
        <v>362</v>
      </c>
      <c r="G7" s="59" t="s">
        <v>407</v>
      </c>
      <c r="H7" s="55" t="s">
        <v>364</v>
      </c>
      <c r="I7" s="58" t="s">
        <v>433</v>
      </c>
      <c r="J7" s="58" t="s">
        <v>888</v>
      </c>
    </row>
    <row r="8" spans="1:10" hidden="1" x14ac:dyDescent="0.2">
      <c r="A8" s="55" t="s">
        <v>359</v>
      </c>
      <c r="B8" s="60">
        <v>43602</v>
      </c>
      <c r="C8" s="56" t="s">
        <v>1042</v>
      </c>
      <c r="D8" s="57" t="s">
        <v>360</v>
      </c>
      <c r="E8" s="58" t="s">
        <v>361</v>
      </c>
      <c r="F8" s="58" t="s">
        <v>362</v>
      </c>
      <c r="G8" s="59" t="s">
        <v>407</v>
      </c>
      <c r="H8" s="55" t="s">
        <v>365</v>
      </c>
      <c r="I8" s="58" t="s">
        <v>433</v>
      </c>
      <c r="J8" s="58" t="s">
        <v>888</v>
      </c>
    </row>
    <row r="9" spans="1:10" hidden="1" x14ac:dyDescent="0.2">
      <c r="A9" s="55" t="s">
        <v>359</v>
      </c>
      <c r="B9" s="60">
        <v>43602</v>
      </c>
      <c r="C9" s="56" t="s">
        <v>1042</v>
      </c>
      <c r="D9" s="57" t="s">
        <v>360</v>
      </c>
      <c r="E9" s="58" t="s">
        <v>361</v>
      </c>
      <c r="F9" s="58" t="s">
        <v>362</v>
      </c>
      <c r="G9" s="59" t="s">
        <v>407</v>
      </c>
      <c r="H9" s="55" t="s">
        <v>366</v>
      </c>
      <c r="I9" s="58" t="s">
        <v>433</v>
      </c>
      <c r="J9" s="58" t="s">
        <v>888</v>
      </c>
    </row>
    <row r="10" spans="1:10" hidden="1" x14ac:dyDescent="0.2">
      <c r="A10" s="55" t="s">
        <v>155</v>
      </c>
      <c r="B10" s="60">
        <v>43607</v>
      </c>
      <c r="C10" s="56" t="s">
        <v>1046</v>
      </c>
      <c r="D10" s="57" t="s">
        <v>370</v>
      </c>
      <c r="E10" s="58" t="s">
        <v>371</v>
      </c>
      <c r="F10" s="58" t="s">
        <v>372</v>
      </c>
      <c r="G10" s="59" t="s">
        <v>426</v>
      </c>
      <c r="H10" s="55" t="s">
        <v>430</v>
      </c>
      <c r="I10" s="58" t="s">
        <v>432</v>
      </c>
      <c r="J10" s="58"/>
    </row>
    <row r="11" spans="1:10" hidden="1" x14ac:dyDescent="0.2">
      <c r="A11" s="55" t="s">
        <v>155</v>
      </c>
      <c r="B11" s="60">
        <v>43607</v>
      </c>
      <c r="C11" s="56" t="s">
        <v>1046</v>
      </c>
      <c r="D11" s="57" t="s">
        <v>370</v>
      </c>
      <c r="E11" s="58" t="s">
        <v>371</v>
      </c>
      <c r="F11" s="58" t="s">
        <v>372</v>
      </c>
      <c r="G11" s="59" t="s">
        <v>427</v>
      </c>
      <c r="H11" s="55" t="s">
        <v>430</v>
      </c>
      <c r="I11" s="58" t="s">
        <v>432</v>
      </c>
      <c r="J11" s="58"/>
    </row>
    <row r="12" spans="1:10" hidden="1" x14ac:dyDescent="0.2">
      <c r="A12" s="55" t="s">
        <v>155</v>
      </c>
      <c r="B12" s="60">
        <v>43607</v>
      </c>
      <c r="C12" s="56" t="s">
        <v>1046</v>
      </c>
      <c r="D12" s="57" t="s">
        <v>370</v>
      </c>
      <c r="E12" s="58" t="s">
        <v>371</v>
      </c>
      <c r="F12" s="58" t="s">
        <v>372</v>
      </c>
      <c r="G12" s="59" t="s">
        <v>428</v>
      </c>
      <c r="H12" s="55" t="s">
        <v>430</v>
      </c>
      <c r="I12" s="58" t="s">
        <v>432</v>
      </c>
      <c r="J12" s="58"/>
    </row>
    <row r="13" spans="1:10" hidden="1" x14ac:dyDescent="0.2">
      <c r="A13" s="55" t="s">
        <v>155</v>
      </c>
      <c r="B13" s="60">
        <v>43607</v>
      </c>
      <c r="C13" s="56" t="s">
        <v>1046</v>
      </c>
      <c r="D13" s="57" t="s">
        <v>370</v>
      </c>
      <c r="E13" s="58" t="s">
        <v>371</v>
      </c>
      <c r="F13" s="58" t="s">
        <v>372</v>
      </c>
      <c r="G13" s="59" t="s">
        <v>429</v>
      </c>
      <c r="H13" s="55" t="s">
        <v>444</v>
      </c>
      <c r="I13" s="58" t="s">
        <v>433</v>
      </c>
      <c r="J13" s="58"/>
    </row>
    <row r="14" spans="1:10" hidden="1" x14ac:dyDescent="0.2">
      <c r="A14" s="55" t="s">
        <v>152</v>
      </c>
      <c r="B14" s="60">
        <v>43607</v>
      </c>
      <c r="C14" s="56" t="s">
        <v>1043</v>
      </c>
      <c r="D14" s="57" t="s">
        <v>367</v>
      </c>
      <c r="E14" s="58" t="s">
        <v>368</v>
      </c>
      <c r="F14" s="58" t="s">
        <v>369</v>
      </c>
      <c r="G14" s="59" t="s">
        <v>412</v>
      </c>
      <c r="H14" s="55" t="s">
        <v>413</v>
      </c>
      <c r="I14" s="58" t="s">
        <v>434</v>
      </c>
      <c r="J14" s="58"/>
    </row>
    <row r="15" spans="1:10" hidden="1" x14ac:dyDescent="0.2">
      <c r="A15" s="55" t="s">
        <v>152</v>
      </c>
      <c r="B15" s="60">
        <v>43607</v>
      </c>
      <c r="C15" s="56" t="s">
        <v>1043</v>
      </c>
      <c r="D15" s="57" t="s">
        <v>367</v>
      </c>
      <c r="E15" s="58" t="s">
        <v>368</v>
      </c>
      <c r="F15" s="58" t="s">
        <v>369</v>
      </c>
      <c r="G15" s="59" t="s">
        <v>414</v>
      </c>
      <c r="H15" s="55" t="s">
        <v>413</v>
      </c>
      <c r="I15" s="58" t="s">
        <v>435</v>
      </c>
      <c r="J15" s="58"/>
    </row>
    <row r="16" spans="1:10" hidden="1" x14ac:dyDescent="0.2">
      <c r="A16" s="55" t="s">
        <v>160</v>
      </c>
      <c r="B16" s="60">
        <v>43607</v>
      </c>
      <c r="C16" s="56" t="s">
        <v>1038</v>
      </c>
      <c r="D16" s="57" t="s">
        <v>367</v>
      </c>
      <c r="E16" s="58" t="s">
        <v>368</v>
      </c>
      <c r="F16" s="58" t="s">
        <v>369</v>
      </c>
      <c r="G16" s="59" t="s">
        <v>410</v>
      </c>
      <c r="H16" s="55" t="s">
        <v>411</v>
      </c>
      <c r="I16" s="58" t="s">
        <v>433</v>
      </c>
      <c r="J16" s="58"/>
    </row>
    <row r="17" spans="1:10" hidden="1" x14ac:dyDescent="0.2">
      <c r="A17" s="55" t="s">
        <v>353</v>
      </c>
      <c r="B17" s="60">
        <v>43609</v>
      </c>
      <c r="C17" s="56" t="s">
        <v>1045</v>
      </c>
      <c r="D17" s="57" t="s">
        <v>354</v>
      </c>
      <c r="E17" s="58" t="s">
        <v>355</v>
      </c>
      <c r="F17" s="58" t="s">
        <v>356</v>
      </c>
      <c r="G17" s="59" t="s">
        <v>449</v>
      </c>
      <c r="H17" s="55" t="s">
        <v>453</v>
      </c>
      <c r="I17" s="58" t="s">
        <v>452</v>
      </c>
      <c r="J17" s="58"/>
    </row>
    <row r="18" spans="1:10" hidden="1" x14ac:dyDescent="0.2">
      <c r="A18" s="55" t="s">
        <v>3</v>
      </c>
      <c r="B18" s="60">
        <v>43609</v>
      </c>
      <c r="C18" s="56" t="s">
        <v>1045</v>
      </c>
      <c r="D18" s="57" t="s">
        <v>354</v>
      </c>
      <c r="E18" s="58" t="s">
        <v>355</v>
      </c>
      <c r="F18" s="58" t="s">
        <v>356</v>
      </c>
      <c r="G18" s="59" t="s">
        <v>450</v>
      </c>
      <c r="H18" s="55" t="s">
        <v>453</v>
      </c>
      <c r="I18" s="58" t="s">
        <v>452</v>
      </c>
      <c r="J18" s="58"/>
    </row>
    <row r="19" spans="1:10" hidden="1" x14ac:dyDescent="0.2">
      <c r="A19" s="55" t="s">
        <v>3</v>
      </c>
      <c r="B19" s="60">
        <v>43609</v>
      </c>
      <c r="C19" s="56" t="s">
        <v>1045</v>
      </c>
      <c r="D19" s="57" t="s">
        <v>354</v>
      </c>
      <c r="E19" s="58" t="s">
        <v>355</v>
      </c>
      <c r="F19" s="58" t="s">
        <v>356</v>
      </c>
      <c r="G19" s="59" t="s">
        <v>451</v>
      </c>
      <c r="H19" s="55" t="s">
        <v>453</v>
      </c>
      <c r="I19" s="58" t="s">
        <v>452</v>
      </c>
      <c r="J19" s="58"/>
    </row>
    <row r="20" spans="1:10" hidden="1" x14ac:dyDescent="0.2">
      <c r="A20" s="55" t="s">
        <v>3</v>
      </c>
      <c r="B20" s="60">
        <v>43613</v>
      </c>
      <c r="C20" s="56" t="s">
        <v>1044</v>
      </c>
      <c r="D20" s="57" t="s">
        <v>350</v>
      </c>
      <c r="E20" s="58" t="s">
        <v>351</v>
      </c>
      <c r="F20" s="58" t="s">
        <v>352</v>
      </c>
      <c r="G20" s="59" t="s">
        <v>565</v>
      </c>
      <c r="H20" s="55" t="s">
        <v>490</v>
      </c>
      <c r="I20" s="58" t="s">
        <v>475</v>
      </c>
      <c r="J20" s="58"/>
    </row>
    <row r="21" spans="1:10" hidden="1" x14ac:dyDescent="0.2">
      <c r="A21" s="55" t="s">
        <v>3</v>
      </c>
      <c r="B21" s="60">
        <v>43613</v>
      </c>
      <c r="C21" s="56" t="s">
        <v>1044</v>
      </c>
      <c r="D21" s="57" t="s">
        <v>350</v>
      </c>
      <c r="E21" s="58" t="s">
        <v>351</v>
      </c>
      <c r="F21" s="58" t="s">
        <v>352</v>
      </c>
      <c r="G21" s="59" t="s">
        <v>553</v>
      </c>
      <c r="H21" s="55" t="s">
        <v>490</v>
      </c>
      <c r="I21" s="58" t="s">
        <v>434</v>
      </c>
      <c r="J21" s="58"/>
    </row>
    <row r="22" spans="1:10" hidden="1" x14ac:dyDescent="0.2">
      <c r="A22" s="55" t="s">
        <v>359</v>
      </c>
      <c r="B22" s="60">
        <v>43613</v>
      </c>
      <c r="C22" s="56" t="s">
        <v>1048</v>
      </c>
      <c r="D22" s="57" t="s">
        <v>380</v>
      </c>
      <c r="E22" s="58" t="s">
        <v>351</v>
      </c>
      <c r="F22" s="58" t="s">
        <v>352</v>
      </c>
      <c r="G22" s="59" t="s">
        <v>476</v>
      </c>
      <c r="H22" s="55" t="s">
        <v>493</v>
      </c>
      <c r="I22" s="58" t="s">
        <v>477</v>
      </c>
      <c r="J22" s="58" t="s">
        <v>888</v>
      </c>
    </row>
    <row r="23" spans="1:10" hidden="1" x14ac:dyDescent="0.2">
      <c r="A23" s="55" t="s">
        <v>175</v>
      </c>
      <c r="B23" s="60">
        <v>43613</v>
      </c>
      <c r="C23" s="56" t="s">
        <v>1048</v>
      </c>
      <c r="D23" s="57" t="s">
        <v>350</v>
      </c>
      <c r="E23" s="58" t="s">
        <v>351</v>
      </c>
      <c r="F23" s="58" t="s">
        <v>352</v>
      </c>
      <c r="G23" s="59" t="s">
        <v>476</v>
      </c>
      <c r="H23" s="55" t="s">
        <v>494</v>
      </c>
      <c r="I23" s="58" t="s">
        <v>477</v>
      </c>
      <c r="J23" s="58" t="s">
        <v>888</v>
      </c>
    </row>
    <row r="24" spans="1:10" hidden="1" x14ac:dyDescent="0.2">
      <c r="A24" s="55" t="s">
        <v>467</v>
      </c>
      <c r="B24" s="60">
        <v>43614</v>
      </c>
      <c r="C24" s="56" t="s">
        <v>1049</v>
      </c>
      <c r="D24" s="57" t="s">
        <v>552</v>
      </c>
      <c r="E24" s="58" t="s">
        <v>468</v>
      </c>
      <c r="F24" s="58" t="s">
        <v>469</v>
      </c>
      <c r="G24" s="59" t="s">
        <v>470</v>
      </c>
      <c r="H24" s="55" t="s">
        <v>506</v>
      </c>
      <c r="I24" s="58" t="s">
        <v>471</v>
      </c>
      <c r="J24" s="58"/>
    </row>
    <row r="25" spans="1:10" hidden="1" x14ac:dyDescent="0.2">
      <c r="A25" s="55" t="s">
        <v>467</v>
      </c>
      <c r="B25" s="60">
        <v>43614</v>
      </c>
      <c r="C25" s="56" t="s">
        <v>1049</v>
      </c>
      <c r="D25" s="57" t="s">
        <v>552</v>
      </c>
      <c r="E25" s="58" t="s">
        <v>468</v>
      </c>
      <c r="F25" s="58" t="s">
        <v>469</v>
      </c>
      <c r="G25" s="59" t="s">
        <v>472</v>
      </c>
      <c r="H25" s="55" t="s">
        <v>507</v>
      </c>
      <c r="I25" s="58" t="s">
        <v>471</v>
      </c>
      <c r="J25" s="58"/>
    </row>
    <row r="26" spans="1:10" hidden="1" x14ac:dyDescent="0.2">
      <c r="A26" s="55" t="s">
        <v>467</v>
      </c>
      <c r="B26" s="60">
        <v>43614</v>
      </c>
      <c r="C26" s="56" t="s">
        <v>1049</v>
      </c>
      <c r="D26" s="57" t="s">
        <v>552</v>
      </c>
      <c r="E26" s="58" t="s">
        <v>468</v>
      </c>
      <c r="F26" s="58" t="s">
        <v>469</v>
      </c>
      <c r="G26" s="59" t="s">
        <v>473</v>
      </c>
      <c r="H26" s="55" t="s">
        <v>507</v>
      </c>
      <c r="I26" s="58" t="s">
        <v>471</v>
      </c>
      <c r="J26" s="58"/>
    </row>
    <row r="27" spans="1:10" hidden="1" x14ac:dyDescent="0.2">
      <c r="A27" s="55" t="s">
        <v>467</v>
      </c>
      <c r="B27" s="60">
        <v>43614</v>
      </c>
      <c r="C27" s="56" t="s">
        <v>1049</v>
      </c>
      <c r="D27" s="57" t="s">
        <v>552</v>
      </c>
      <c r="E27" s="58" t="s">
        <v>468</v>
      </c>
      <c r="F27" s="58" t="s">
        <v>469</v>
      </c>
      <c r="G27" s="59" t="s">
        <v>474</v>
      </c>
      <c r="H27" s="55" t="s">
        <v>507</v>
      </c>
      <c r="I27" s="58" t="s">
        <v>471</v>
      </c>
      <c r="J27" s="58"/>
    </row>
    <row r="28" spans="1:10" hidden="1" x14ac:dyDescent="0.2">
      <c r="A28" s="55" t="s">
        <v>155</v>
      </c>
      <c r="B28" s="60">
        <v>43614</v>
      </c>
      <c r="C28" s="56" t="s">
        <v>1049</v>
      </c>
      <c r="D28" s="57" t="s">
        <v>552</v>
      </c>
      <c r="E28" s="58" t="s">
        <v>468</v>
      </c>
      <c r="F28" s="58" t="s">
        <v>469</v>
      </c>
      <c r="G28" s="59" t="s">
        <v>499</v>
      </c>
      <c r="H28" s="55" t="s">
        <v>507</v>
      </c>
      <c r="I28" s="58" t="s">
        <v>471</v>
      </c>
      <c r="J28" s="58"/>
    </row>
    <row r="29" spans="1:10" hidden="1" x14ac:dyDescent="0.2">
      <c r="A29" s="55" t="s">
        <v>155</v>
      </c>
      <c r="B29" s="60">
        <v>43614</v>
      </c>
      <c r="C29" s="56" t="s">
        <v>1049</v>
      </c>
      <c r="D29" s="57" t="s">
        <v>552</v>
      </c>
      <c r="E29" s="58" t="s">
        <v>468</v>
      </c>
      <c r="F29" s="58" t="s">
        <v>469</v>
      </c>
      <c r="G29" s="59" t="s">
        <v>500</v>
      </c>
      <c r="H29" s="55" t="s">
        <v>507</v>
      </c>
      <c r="I29" s="58" t="s">
        <v>471</v>
      </c>
      <c r="J29" s="58"/>
    </row>
    <row r="30" spans="1:10" hidden="1" x14ac:dyDescent="0.2">
      <c r="A30" s="55" t="s">
        <v>155</v>
      </c>
      <c r="B30" s="60">
        <v>43614</v>
      </c>
      <c r="C30" s="56" t="s">
        <v>1049</v>
      </c>
      <c r="D30" s="57" t="s">
        <v>552</v>
      </c>
      <c r="E30" s="58" t="s">
        <v>468</v>
      </c>
      <c r="F30" s="58" t="s">
        <v>469</v>
      </c>
      <c r="G30" s="59" t="s">
        <v>501</v>
      </c>
      <c r="H30" s="55" t="s">
        <v>505</v>
      </c>
      <c r="I30" s="58" t="s">
        <v>471</v>
      </c>
      <c r="J30" s="58"/>
    </row>
    <row r="31" spans="1:10" hidden="1" x14ac:dyDescent="0.2">
      <c r="A31" s="55" t="s">
        <v>155</v>
      </c>
      <c r="B31" s="60">
        <v>43614</v>
      </c>
      <c r="C31" s="56" t="s">
        <v>1049</v>
      </c>
      <c r="D31" s="57" t="s">
        <v>552</v>
      </c>
      <c r="E31" s="58" t="s">
        <v>468</v>
      </c>
      <c r="F31" s="58" t="s">
        <v>469</v>
      </c>
      <c r="G31" s="59" t="s">
        <v>502</v>
      </c>
      <c r="H31" s="55" t="s">
        <v>504</v>
      </c>
      <c r="I31" s="58" t="s">
        <v>471</v>
      </c>
      <c r="J31" s="58"/>
    </row>
    <row r="32" spans="1:10" hidden="1" x14ac:dyDescent="0.2">
      <c r="A32" s="55" t="s">
        <v>415</v>
      </c>
      <c r="B32" s="60">
        <v>43614</v>
      </c>
      <c r="C32" s="56" t="s">
        <v>1047</v>
      </c>
      <c r="D32" s="57" t="s">
        <v>418</v>
      </c>
      <c r="E32" s="58" t="s">
        <v>419</v>
      </c>
      <c r="F32" s="58" t="s">
        <v>420</v>
      </c>
      <c r="G32" s="59" t="s">
        <v>416</v>
      </c>
      <c r="H32" s="55" t="s">
        <v>491</v>
      </c>
      <c r="I32" s="58" t="s">
        <v>492</v>
      </c>
      <c r="J32" s="58"/>
    </row>
    <row r="33" spans="1:10" hidden="1" x14ac:dyDescent="0.2">
      <c r="A33" s="55" t="s">
        <v>415</v>
      </c>
      <c r="B33" s="60">
        <v>43614</v>
      </c>
      <c r="C33" s="56" t="s">
        <v>1047</v>
      </c>
      <c r="D33" s="57" t="s">
        <v>418</v>
      </c>
      <c r="E33" s="58" t="s">
        <v>419</v>
      </c>
      <c r="F33" s="58" t="s">
        <v>420</v>
      </c>
      <c r="G33" s="59" t="s">
        <v>417</v>
      </c>
      <c r="H33" s="55" t="s">
        <v>503</v>
      </c>
      <c r="I33" s="58" t="s">
        <v>433</v>
      </c>
      <c r="J33" s="58"/>
    </row>
    <row r="34" spans="1:10" hidden="1" x14ac:dyDescent="0.2">
      <c r="A34" s="55" t="s">
        <v>160</v>
      </c>
      <c r="B34" s="60">
        <v>43614</v>
      </c>
      <c r="C34" s="56" t="s">
        <v>1039</v>
      </c>
      <c r="D34" s="57" t="s">
        <v>373</v>
      </c>
      <c r="E34" s="58" t="s">
        <v>374</v>
      </c>
      <c r="F34" s="58" t="s">
        <v>375</v>
      </c>
      <c r="G34" s="59" t="s">
        <v>454</v>
      </c>
      <c r="H34" s="55" t="s">
        <v>535</v>
      </c>
      <c r="I34" s="58" t="s">
        <v>455</v>
      </c>
      <c r="J34" s="58"/>
    </row>
    <row r="35" spans="1:10" hidden="1" x14ac:dyDescent="0.2">
      <c r="A35" s="55" t="s">
        <v>3</v>
      </c>
      <c r="B35" s="60">
        <v>43616</v>
      </c>
      <c r="C35" s="56" t="s">
        <v>1050</v>
      </c>
      <c r="D35" s="57" t="s">
        <v>461</v>
      </c>
      <c r="E35" s="58" t="s">
        <v>545</v>
      </c>
      <c r="F35" s="58" t="s">
        <v>460</v>
      </c>
      <c r="G35" s="59" t="s">
        <v>587</v>
      </c>
      <c r="H35" s="55" t="s">
        <v>544</v>
      </c>
      <c r="I35" s="58" t="s">
        <v>434</v>
      </c>
      <c r="J35" s="58"/>
    </row>
    <row r="36" spans="1:10" hidden="1" x14ac:dyDescent="0.2">
      <c r="A36" s="55" t="s">
        <v>3</v>
      </c>
      <c r="B36" s="60">
        <v>43616</v>
      </c>
      <c r="C36" s="56" t="s">
        <v>1050</v>
      </c>
      <c r="D36" s="57" t="s">
        <v>461</v>
      </c>
      <c r="E36" s="58" t="s">
        <v>545</v>
      </c>
      <c r="F36" s="58" t="s">
        <v>460</v>
      </c>
      <c r="G36" s="59" t="s">
        <v>546</v>
      </c>
      <c r="H36" s="55" t="s">
        <v>544</v>
      </c>
      <c r="I36" s="58" t="s">
        <v>434</v>
      </c>
      <c r="J36" s="58"/>
    </row>
    <row r="37" spans="1:10" hidden="1" x14ac:dyDescent="0.2">
      <c r="A37" s="55" t="s">
        <v>3</v>
      </c>
      <c r="B37" s="60">
        <v>43616</v>
      </c>
      <c r="C37" s="56" t="s">
        <v>1050</v>
      </c>
      <c r="D37" s="57" t="s">
        <v>461</v>
      </c>
      <c r="E37" s="58" t="s">
        <v>545</v>
      </c>
      <c r="F37" s="58" t="s">
        <v>460</v>
      </c>
      <c r="G37" s="59" t="s">
        <v>547</v>
      </c>
      <c r="H37" s="55" t="s">
        <v>544</v>
      </c>
      <c r="I37" s="58" t="s">
        <v>434</v>
      </c>
      <c r="J37" s="58"/>
    </row>
    <row r="38" spans="1:10" hidden="1" x14ac:dyDescent="0.2">
      <c r="A38" s="55" t="s">
        <v>3</v>
      </c>
      <c r="B38" s="60">
        <v>43616</v>
      </c>
      <c r="C38" s="56" t="s">
        <v>1050</v>
      </c>
      <c r="D38" s="57" t="s">
        <v>461</v>
      </c>
      <c r="E38" s="58" t="s">
        <v>545</v>
      </c>
      <c r="F38" s="58" t="s">
        <v>460</v>
      </c>
      <c r="G38" s="59" t="s">
        <v>660</v>
      </c>
      <c r="H38" s="55" t="s">
        <v>544</v>
      </c>
      <c r="I38" s="58" t="s">
        <v>434</v>
      </c>
      <c r="J38" s="58"/>
    </row>
    <row r="39" spans="1:10" hidden="1" x14ac:dyDescent="0.2">
      <c r="A39" s="55" t="s">
        <v>155</v>
      </c>
      <c r="B39" s="60">
        <v>43621</v>
      </c>
      <c r="C39" s="56" t="s">
        <v>1054</v>
      </c>
      <c r="D39" s="57" t="s">
        <v>537</v>
      </c>
      <c r="E39" s="58" t="s">
        <v>538</v>
      </c>
      <c r="F39" s="58" t="s">
        <v>539</v>
      </c>
      <c r="G39" s="59" t="s">
        <v>536</v>
      </c>
      <c r="H39" s="55" t="s">
        <v>595</v>
      </c>
      <c r="I39" s="58" t="s">
        <v>540</v>
      </c>
      <c r="J39" s="58"/>
    </row>
    <row r="40" spans="1:10" hidden="1" x14ac:dyDescent="0.2">
      <c r="A40" s="55" t="s">
        <v>155</v>
      </c>
      <c r="B40" s="60">
        <v>43621</v>
      </c>
      <c r="C40" s="56" t="s">
        <v>1054</v>
      </c>
      <c r="D40" s="57" t="s">
        <v>537</v>
      </c>
      <c r="E40" s="58" t="s">
        <v>538</v>
      </c>
      <c r="F40" s="58" t="s">
        <v>539</v>
      </c>
      <c r="G40" s="59" t="s">
        <v>541</v>
      </c>
      <c r="H40" s="55" t="s">
        <v>595</v>
      </c>
      <c r="I40" s="58" t="s">
        <v>540</v>
      </c>
      <c r="J40" s="58"/>
    </row>
    <row r="41" spans="1:10" hidden="1" x14ac:dyDescent="0.2">
      <c r="A41" s="55" t="s">
        <v>155</v>
      </c>
      <c r="B41" s="60">
        <v>43621</v>
      </c>
      <c r="C41" s="56" t="s">
        <v>1054</v>
      </c>
      <c r="D41" s="57" t="s">
        <v>537</v>
      </c>
      <c r="E41" s="58" t="s">
        <v>538</v>
      </c>
      <c r="F41" s="58" t="s">
        <v>539</v>
      </c>
      <c r="G41" s="59" t="s">
        <v>542</v>
      </c>
      <c r="H41" s="55" t="s">
        <v>596</v>
      </c>
      <c r="I41" s="58" t="s">
        <v>540</v>
      </c>
      <c r="J41" s="58"/>
    </row>
    <row r="42" spans="1:10" hidden="1" x14ac:dyDescent="0.2">
      <c r="A42" s="55" t="s">
        <v>155</v>
      </c>
      <c r="B42" s="60">
        <v>43621</v>
      </c>
      <c r="C42" s="56" t="s">
        <v>1054</v>
      </c>
      <c r="D42" s="57" t="s">
        <v>537</v>
      </c>
      <c r="E42" s="58" t="s">
        <v>538</v>
      </c>
      <c r="F42" s="58" t="s">
        <v>539</v>
      </c>
      <c r="G42" s="59" t="s">
        <v>543</v>
      </c>
      <c r="H42" s="55" t="s">
        <v>596</v>
      </c>
      <c r="I42" s="58" t="s">
        <v>540</v>
      </c>
      <c r="J42" s="58"/>
    </row>
    <row r="43" spans="1:10" hidden="1" x14ac:dyDescent="0.2">
      <c r="A43" s="55" t="s">
        <v>560</v>
      </c>
      <c r="B43" s="60">
        <v>43621</v>
      </c>
      <c r="C43" s="56" t="s">
        <v>1052</v>
      </c>
      <c r="D43" s="57" t="s">
        <v>561</v>
      </c>
      <c r="E43" s="58" t="s">
        <v>562</v>
      </c>
      <c r="F43" s="58" t="s">
        <v>563</v>
      </c>
      <c r="G43" s="59" t="s">
        <v>667</v>
      </c>
      <c r="H43" s="55" t="s">
        <v>584</v>
      </c>
      <c r="I43" s="58" t="s">
        <v>557</v>
      </c>
      <c r="J43" s="58"/>
    </row>
    <row r="44" spans="1:10" hidden="1" x14ac:dyDescent="0.2">
      <c r="A44" s="55" t="s">
        <v>3</v>
      </c>
      <c r="B44" s="60">
        <v>43621</v>
      </c>
      <c r="C44" s="56" t="s">
        <v>1052</v>
      </c>
      <c r="D44" s="57" t="s">
        <v>561</v>
      </c>
      <c r="E44" s="58" t="s">
        <v>562</v>
      </c>
      <c r="F44" s="58" t="s">
        <v>563</v>
      </c>
      <c r="G44" s="59" t="s">
        <v>739</v>
      </c>
      <c r="H44" s="55" t="s">
        <v>584</v>
      </c>
      <c r="I44" s="58" t="s">
        <v>557</v>
      </c>
      <c r="J44" s="58"/>
    </row>
    <row r="45" spans="1:10" hidden="1" x14ac:dyDescent="0.2">
      <c r="A45" s="55" t="s">
        <v>3</v>
      </c>
      <c r="B45" s="60">
        <v>43621</v>
      </c>
      <c r="C45" s="56" t="s">
        <v>1052</v>
      </c>
      <c r="D45" s="57" t="s">
        <v>561</v>
      </c>
      <c r="E45" s="58" t="s">
        <v>562</v>
      </c>
      <c r="F45" s="58" t="s">
        <v>563</v>
      </c>
      <c r="G45" s="59" t="s">
        <v>740</v>
      </c>
      <c r="H45" s="55" t="s">
        <v>584</v>
      </c>
      <c r="I45" s="58" t="s">
        <v>557</v>
      </c>
      <c r="J45" s="58"/>
    </row>
    <row r="46" spans="1:10" hidden="1" x14ac:dyDescent="0.2">
      <c r="A46" s="55" t="s">
        <v>3</v>
      </c>
      <c r="B46" s="60">
        <v>43621</v>
      </c>
      <c r="C46" s="56" t="s">
        <v>1052</v>
      </c>
      <c r="D46" s="57" t="s">
        <v>561</v>
      </c>
      <c r="E46" s="58" t="s">
        <v>562</v>
      </c>
      <c r="F46" s="58" t="s">
        <v>563</v>
      </c>
      <c r="G46" s="59" t="s">
        <v>741</v>
      </c>
      <c r="H46" s="55" t="s">
        <v>584</v>
      </c>
      <c r="I46" s="58" t="s">
        <v>557</v>
      </c>
      <c r="J46" s="58"/>
    </row>
    <row r="47" spans="1:10" hidden="1" x14ac:dyDescent="0.2">
      <c r="A47" s="55" t="s">
        <v>152</v>
      </c>
      <c r="B47" s="60">
        <v>43621</v>
      </c>
      <c r="C47" s="56" t="s">
        <v>1051</v>
      </c>
      <c r="D47" s="57" t="s">
        <v>554</v>
      </c>
      <c r="E47" s="58" t="s">
        <v>555</v>
      </c>
      <c r="F47" s="58" t="s">
        <v>559</v>
      </c>
      <c r="G47" s="59" t="s">
        <v>556</v>
      </c>
      <c r="H47" s="55" t="s">
        <v>585</v>
      </c>
      <c r="I47" s="58" t="s">
        <v>557</v>
      </c>
      <c r="J47" s="58"/>
    </row>
    <row r="48" spans="1:10" hidden="1" x14ac:dyDescent="0.2">
      <c r="A48" s="55" t="s">
        <v>152</v>
      </c>
      <c r="B48" s="60">
        <v>43621</v>
      </c>
      <c r="C48" s="56" t="s">
        <v>1051</v>
      </c>
      <c r="D48" s="57" t="s">
        <v>554</v>
      </c>
      <c r="E48" s="58" t="s">
        <v>555</v>
      </c>
      <c r="F48" s="58" t="s">
        <v>559</v>
      </c>
      <c r="G48" s="59" t="s">
        <v>558</v>
      </c>
      <c r="H48" s="55" t="s">
        <v>585</v>
      </c>
      <c r="I48" s="58" t="s">
        <v>557</v>
      </c>
      <c r="J48" s="58"/>
    </row>
    <row r="49" spans="1:10" hidden="1" x14ac:dyDescent="0.2">
      <c r="A49" s="55" t="s">
        <v>3</v>
      </c>
      <c r="B49" s="60">
        <v>43623</v>
      </c>
      <c r="C49" s="56" t="s">
        <v>1053</v>
      </c>
      <c r="D49" s="57" t="s">
        <v>564</v>
      </c>
      <c r="E49" s="58" t="s">
        <v>555</v>
      </c>
      <c r="F49" s="58" t="s">
        <v>593</v>
      </c>
      <c r="G49" s="59" t="s">
        <v>668</v>
      </c>
      <c r="H49" s="55" t="s">
        <v>601</v>
      </c>
      <c r="I49" s="58" t="s">
        <v>557</v>
      </c>
      <c r="J49" s="58"/>
    </row>
    <row r="50" spans="1:10" hidden="1" x14ac:dyDescent="0.2">
      <c r="A50" s="55" t="s">
        <v>3</v>
      </c>
      <c r="B50" s="60">
        <v>43623</v>
      </c>
      <c r="C50" s="56" t="s">
        <v>1053</v>
      </c>
      <c r="D50" s="57" t="s">
        <v>529</v>
      </c>
      <c r="E50" s="58" t="s">
        <v>555</v>
      </c>
      <c r="F50" s="58" t="s">
        <v>593</v>
      </c>
      <c r="G50" s="59" t="s">
        <v>594</v>
      </c>
      <c r="H50" s="55" t="s">
        <v>601</v>
      </c>
      <c r="I50" s="58" t="s">
        <v>434</v>
      </c>
      <c r="J50" s="58"/>
    </row>
    <row r="51" spans="1:10" hidden="1" x14ac:dyDescent="0.2">
      <c r="A51" s="55" t="s">
        <v>175</v>
      </c>
      <c r="B51" s="60">
        <v>43623</v>
      </c>
      <c r="C51" s="56" t="s">
        <v>1003</v>
      </c>
      <c r="D51" s="57" t="s">
        <v>529</v>
      </c>
      <c r="E51" s="58" t="s">
        <v>530</v>
      </c>
      <c r="F51" s="58" t="s">
        <v>531</v>
      </c>
      <c r="G51" s="59" t="s">
        <v>532</v>
      </c>
      <c r="H51" s="55" t="s">
        <v>597</v>
      </c>
      <c r="I51" s="58" t="s">
        <v>533</v>
      </c>
      <c r="J51" s="58" t="s">
        <v>888</v>
      </c>
    </row>
    <row r="52" spans="1:10" hidden="1" x14ac:dyDescent="0.2">
      <c r="A52" s="55" t="s">
        <v>175</v>
      </c>
      <c r="B52" s="60">
        <v>43623</v>
      </c>
      <c r="C52" s="56" t="s">
        <v>1003</v>
      </c>
      <c r="D52" s="57" t="s">
        <v>529</v>
      </c>
      <c r="E52" s="58" t="s">
        <v>530</v>
      </c>
      <c r="F52" s="58" t="s">
        <v>531</v>
      </c>
      <c r="G52" s="59" t="s">
        <v>532</v>
      </c>
      <c r="H52" s="55" t="s">
        <v>598</v>
      </c>
      <c r="I52" s="58" t="s">
        <v>534</v>
      </c>
      <c r="J52" s="58" t="s">
        <v>888</v>
      </c>
    </row>
    <row r="53" spans="1:10" hidden="1" x14ac:dyDescent="0.2">
      <c r="A53" s="55" t="s">
        <v>175</v>
      </c>
      <c r="B53" s="60">
        <v>43623</v>
      </c>
      <c r="C53" s="56" t="s">
        <v>1003</v>
      </c>
      <c r="D53" s="57" t="s">
        <v>529</v>
      </c>
      <c r="E53" s="58" t="s">
        <v>530</v>
      </c>
      <c r="F53" s="58" t="s">
        <v>531</v>
      </c>
      <c r="G53" s="59" t="s">
        <v>532</v>
      </c>
      <c r="H53" s="55" t="s">
        <v>599</v>
      </c>
      <c r="I53" s="58" t="s">
        <v>534</v>
      </c>
      <c r="J53" s="58" t="s">
        <v>888</v>
      </c>
    </row>
    <row r="54" spans="1:10" hidden="1" x14ac:dyDescent="0.2">
      <c r="A54" s="55" t="s">
        <v>752</v>
      </c>
      <c r="B54" s="60">
        <v>43628</v>
      </c>
      <c r="C54" s="56" t="s">
        <v>1007</v>
      </c>
      <c r="D54" s="57" t="s">
        <v>753</v>
      </c>
      <c r="E54" s="58" t="s">
        <v>754</v>
      </c>
      <c r="F54" s="58" t="s">
        <v>755</v>
      </c>
      <c r="G54" s="59" t="s">
        <v>756</v>
      </c>
      <c r="H54" s="55" t="s">
        <v>760</v>
      </c>
      <c r="I54" s="58" t="s">
        <v>757</v>
      </c>
      <c r="J54" s="58"/>
    </row>
    <row r="55" spans="1:10" hidden="1" x14ac:dyDescent="0.2">
      <c r="A55" s="55" t="s">
        <v>752</v>
      </c>
      <c r="B55" s="60">
        <v>43628</v>
      </c>
      <c r="C55" s="56" t="s">
        <v>1007</v>
      </c>
      <c r="D55" s="57" t="s">
        <v>753</v>
      </c>
      <c r="E55" s="58" t="s">
        <v>754</v>
      </c>
      <c r="F55" s="58" t="s">
        <v>755</v>
      </c>
      <c r="G55" s="59" t="s">
        <v>756</v>
      </c>
      <c r="H55" s="55" t="s">
        <v>761</v>
      </c>
      <c r="I55" s="58" t="s">
        <v>757</v>
      </c>
      <c r="J55" s="58"/>
    </row>
    <row r="56" spans="1:10" hidden="1" x14ac:dyDescent="0.2">
      <c r="A56" s="55" t="s">
        <v>752</v>
      </c>
      <c r="B56" s="60">
        <v>43628</v>
      </c>
      <c r="C56" s="56" t="s">
        <v>1007</v>
      </c>
      <c r="D56" s="57" t="s">
        <v>753</v>
      </c>
      <c r="E56" s="58" t="s">
        <v>754</v>
      </c>
      <c r="F56" s="58" t="s">
        <v>755</v>
      </c>
      <c r="G56" s="59" t="s">
        <v>756</v>
      </c>
      <c r="H56" s="55" t="s">
        <v>762</v>
      </c>
      <c r="I56" s="58" t="s">
        <v>757</v>
      </c>
      <c r="J56" s="58"/>
    </row>
    <row r="57" spans="1:10" hidden="1" x14ac:dyDescent="0.2">
      <c r="A57" s="55" t="s">
        <v>752</v>
      </c>
      <c r="B57" s="60">
        <v>43628</v>
      </c>
      <c r="C57" s="56" t="s">
        <v>1007</v>
      </c>
      <c r="D57" s="57" t="s">
        <v>753</v>
      </c>
      <c r="E57" s="58" t="s">
        <v>754</v>
      </c>
      <c r="F57" s="58" t="s">
        <v>755</v>
      </c>
      <c r="G57" s="59" t="s">
        <v>756</v>
      </c>
      <c r="H57" s="55" t="s">
        <v>763</v>
      </c>
      <c r="I57" s="58" t="s">
        <v>757</v>
      </c>
      <c r="J57" s="58"/>
    </row>
    <row r="58" spans="1:10" hidden="1" x14ac:dyDescent="0.2">
      <c r="A58" s="55" t="s">
        <v>752</v>
      </c>
      <c r="B58" s="60">
        <v>43628</v>
      </c>
      <c r="C58" s="56" t="s">
        <v>1007</v>
      </c>
      <c r="D58" s="57" t="s">
        <v>753</v>
      </c>
      <c r="E58" s="58" t="s">
        <v>754</v>
      </c>
      <c r="F58" s="58" t="s">
        <v>755</v>
      </c>
      <c r="G58" s="59" t="s">
        <v>756</v>
      </c>
      <c r="H58" s="55" t="s">
        <v>764</v>
      </c>
      <c r="I58" s="58" t="s">
        <v>757</v>
      </c>
      <c r="J58" s="58"/>
    </row>
    <row r="59" spans="1:10" hidden="1" x14ac:dyDescent="0.2">
      <c r="A59" s="55" t="s">
        <v>640</v>
      </c>
      <c r="B59" s="60">
        <v>43628</v>
      </c>
      <c r="C59" s="56" t="s">
        <v>1011</v>
      </c>
      <c r="D59" s="57" t="s">
        <v>641</v>
      </c>
      <c r="E59" s="58" t="s">
        <v>642</v>
      </c>
      <c r="F59" s="58" t="s">
        <v>648</v>
      </c>
      <c r="G59" s="59" t="s">
        <v>666</v>
      </c>
      <c r="H59" s="55" t="s">
        <v>663</v>
      </c>
      <c r="I59" s="58" t="s">
        <v>643</v>
      </c>
      <c r="J59" s="58"/>
    </row>
    <row r="60" spans="1:10" hidden="1" x14ac:dyDescent="0.2">
      <c r="A60" s="55" t="s">
        <v>640</v>
      </c>
      <c r="B60" s="60">
        <v>43628</v>
      </c>
      <c r="C60" s="56" t="s">
        <v>1011</v>
      </c>
      <c r="D60" s="57" t="s">
        <v>641</v>
      </c>
      <c r="E60" s="58" t="s">
        <v>642</v>
      </c>
      <c r="F60" s="58" t="s">
        <v>648</v>
      </c>
      <c r="G60" s="59" t="s">
        <v>644</v>
      </c>
      <c r="H60" s="55" t="s">
        <v>663</v>
      </c>
      <c r="I60" s="58" t="s">
        <v>643</v>
      </c>
      <c r="J60" s="58"/>
    </row>
    <row r="61" spans="1:10" hidden="1" x14ac:dyDescent="0.2">
      <c r="A61" s="55" t="s">
        <v>640</v>
      </c>
      <c r="B61" s="60">
        <v>43628</v>
      </c>
      <c r="C61" s="56" t="s">
        <v>1011</v>
      </c>
      <c r="D61" s="57" t="s">
        <v>641</v>
      </c>
      <c r="E61" s="58" t="s">
        <v>642</v>
      </c>
      <c r="F61" s="58" t="s">
        <v>648</v>
      </c>
      <c r="G61" s="59" t="s">
        <v>645</v>
      </c>
      <c r="H61" s="55" t="s">
        <v>663</v>
      </c>
      <c r="I61" s="58" t="s">
        <v>643</v>
      </c>
      <c r="J61" s="58"/>
    </row>
    <row r="62" spans="1:10" hidden="1" x14ac:dyDescent="0.2">
      <c r="A62" s="55" t="s">
        <v>640</v>
      </c>
      <c r="B62" s="60">
        <v>43628</v>
      </c>
      <c r="C62" s="56" t="s">
        <v>1011</v>
      </c>
      <c r="D62" s="57" t="s">
        <v>641</v>
      </c>
      <c r="E62" s="58" t="s">
        <v>642</v>
      </c>
      <c r="F62" s="58" t="s">
        <v>648</v>
      </c>
      <c r="G62" s="59" t="s">
        <v>646</v>
      </c>
      <c r="H62" s="55" t="s">
        <v>663</v>
      </c>
      <c r="I62" s="58" t="s">
        <v>643</v>
      </c>
      <c r="J62" s="58"/>
    </row>
    <row r="63" spans="1:10" hidden="1" x14ac:dyDescent="0.2">
      <c r="A63" s="55" t="s">
        <v>640</v>
      </c>
      <c r="B63" s="60">
        <v>43628</v>
      </c>
      <c r="C63" s="56" t="s">
        <v>1011</v>
      </c>
      <c r="D63" s="57" t="s">
        <v>641</v>
      </c>
      <c r="E63" s="58" t="s">
        <v>642</v>
      </c>
      <c r="F63" s="58" t="s">
        <v>648</v>
      </c>
      <c r="G63" s="59" t="s">
        <v>647</v>
      </c>
      <c r="H63" s="55" t="s">
        <v>663</v>
      </c>
      <c r="I63" s="58" t="s">
        <v>643</v>
      </c>
      <c r="J63" s="58"/>
    </row>
    <row r="64" spans="1:10" hidden="1" x14ac:dyDescent="0.2">
      <c r="A64" s="55" t="s">
        <v>332</v>
      </c>
      <c r="B64" s="60">
        <v>43628</v>
      </c>
      <c r="C64" s="56" t="s">
        <v>1005</v>
      </c>
      <c r="D64" s="57" t="s">
        <v>631</v>
      </c>
      <c r="E64" s="58" t="s">
        <v>632</v>
      </c>
      <c r="F64" s="58" t="s">
        <v>657</v>
      </c>
      <c r="G64" s="59" t="s">
        <v>816</v>
      </c>
      <c r="H64" s="55" t="s">
        <v>659</v>
      </c>
      <c r="I64" s="58" t="s">
        <v>434</v>
      </c>
      <c r="J64" s="58" t="s">
        <v>798</v>
      </c>
    </row>
    <row r="65" spans="1:10" hidden="1" x14ac:dyDescent="0.2">
      <c r="A65" s="55" t="s">
        <v>3</v>
      </c>
      <c r="B65" s="60">
        <v>43628</v>
      </c>
      <c r="C65" s="56" t="s">
        <v>1005</v>
      </c>
      <c r="D65" s="57" t="s">
        <v>631</v>
      </c>
      <c r="E65" s="58" t="s">
        <v>632</v>
      </c>
      <c r="F65" s="58" t="s">
        <v>657</v>
      </c>
      <c r="G65" s="59" t="s">
        <v>799</v>
      </c>
      <c r="H65" s="55" t="s">
        <v>659</v>
      </c>
      <c r="I65" s="58" t="s">
        <v>434</v>
      </c>
      <c r="J65" s="58"/>
    </row>
    <row r="66" spans="1:10" hidden="1" x14ac:dyDescent="0.2">
      <c r="A66" s="55" t="s">
        <v>3</v>
      </c>
      <c r="B66" s="60">
        <v>43628</v>
      </c>
      <c r="C66" s="56" t="s">
        <v>1005</v>
      </c>
      <c r="D66" s="57" t="s">
        <v>631</v>
      </c>
      <c r="E66" s="58" t="s">
        <v>632</v>
      </c>
      <c r="F66" s="58" t="s">
        <v>657</v>
      </c>
      <c r="G66" s="59" t="s">
        <v>658</v>
      </c>
      <c r="H66" s="55" t="s">
        <v>659</v>
      </c>
      <c r="I66" s="58" t="s">
        <v>434</v>
      </c>
      <c r="J66" s="58" t="s">
        <v>798</v>
      </c>
    </row>
    <row r="67" spans="1:10" hidden="1" x14ac:dyDescent="0.2">
      <c r="A67" s="55" t="s">
        <v>152</v>
      </c>
      <c r="B67" s="60">
        <v>43628</v>
      </c>
      <c r="C67" s="56" t="s">
        <v>1013</v>
      </c>
      <c r="D67" s="57" t="s">
        <v>570</v>
      </c>
      <c r="E67" s="58" t="s">
        <v>571</v>
      </c>
      <c r="F67" s="58" t="s">
        <v>572</v>
      </c>
      <c r="G67" s="59" t="s">
        <v>573</v>
      </c>
      <c r="H67" s="55" t="s">
        <v>664</v>
      </c>
      <c r="I67" s="58" t="s">
        <v>434</v>
      </c>
      <c r="J67" s="58"/>
    </row>
    <row r="68" spans="1:10" hidden="1" x14ac:dyDescent="0.2">
      <c r="A68" s="55" t="s">
        <v>152</v>
      </c>
      <c r="B68" s="60">
        <v>43628</v>
      </c>
      <c r="C68" s="56" t="s">
        <v>1013</v>
      </c>
      <c r="D68" s="57" t="s">
        <v>570</v>
      </c>
      <c r="E68" s="58" t="s">
        <v>571</v>
      </c>
      <c r="F68" s="58" t="s">
        <v>572</v>
      </c>
      <c r="G68" s="59" t="s">
        <v>574</v>
      </c>
      <c r="H68" s="55" t="s">
        <v>665</v>
      </c>
      <c r="I68" s="58" t="s">
        <v>455</v>
      </c>
      <c r="J68" s="58"/>
    </row>
    <row r="69" spans="1:10" hidden="1" x14ac:dyDescent="0.2">
      <c r="A69" s="55" t="s">
        <v>152</v>
      </c>
      <c r="B69" s="60">
        <v>43628</v>
      </c>
      <c r="C69" s="56" t="s">
        <v>1013</v>
      </c>
      <c r="D69" s="57" t="s">
        <v>570</v>
      </c>
      <c r="E69" s="58" t="s">
        <v>571</v>
      </c>
      <c r="F69" s="58" t="s">
        <v>572</v>
      </c>
      <c r="G69" s="59" t="s">
        <v>575</v>
      </c>
      <c r="H69" s="55" t="s">
        <v>665</v>
      </c>
      <c r="I69" s="58" t="s">
        <v>455</v>
      </c>
      <c r="J69" s="58"/>
    </row>
    <row r="70" spans="1:10" hidden="1" x14ac:dyDescent="0.2">
      <c r="A70" s="55" t="s">
        <v>752</v>
      </c>
      <c r="B70" s="60">
        <v>43628.041666666664</v>
      </c>
      <c r="C70" s="56" t="s">
        <v>1009</v>
      </c>
      <c r="D70" s="57" t="s">
        <v>753</v>
      </c>
      <c r="E70" s="58" t="s">
        <v>754</v>
      </c>
      <c r="F70" s="58" t="s">
        <v>755</v>
      </c>
      <c r="G70" s="59" t="s">
        <v>758</v>
      </c>
      <c r="H70" s="55" t="s">
        <v>765</v>
      </c>
      <c r="I70" s="58" t="s">
        <v>757</v>
      </c>
      <c r="J70" s="58"/>
    </row>
    <row r="71" spans="1:10" hidden="1" x14ac:dyDescent="0.2">
      <c r="A71" s="55" t="s">
        <v>752</v>
      </c>
      <c r="B71" s="60">
        <v>43628.041666666664</v>
      </c>
      <c r="C71" s="56" t="s">
        <v>1009</v>
      </c>
      <c r="D71" s="57" t="s">
        <v>753</v>
      </c>
      <c r="E71" s="58" t="s">
        <v>754</v>
      </c>
      <c r="F71" s="58" t="s">
        <v>755</v>
      </c>
      <c r="G71" s="59" t="s">
        <v>758</v>
      </c>
      <c r="H71" s="55" t="s">
        <v>766</v>
      </c>
      <c r="I71" s="58" t="s">
        <v>757</v>
      </c>
      <c r="J71" s="58"/>
    </row>
    <row r="72" spans="1:10" hidden="1" x14ac:dyDescent="0.2">
      <c r="A72" s="55" t="s">
        <v>752</v>
      </c>
      <c r="B72" s="60">
        <v>43628.083333333336</v>
      </c>
      <c r="C72" s="56" t="s">
        <v>1010</v>
      </c>
      <c r="D72" s="57" t="s">
        <v>753</v>
      </c>
      <c r="E72" s="58" t="s">
        <v>754</v>
      </c>
      <c r="F72" s="58" t="s">
        <v>755</v>
      </c>
      <c r="G72" s="59" t="s">
        <v>759</v>
      </c>
      <c r="H72" s="55" t="s">
        <v>767</v>
      </c>
      <c r="I72" s="58" t="s">
        <v>757</v>
      </c>
      <c r="J72" s="58"/>
    </row>
    <row r="73" spans="1:10" hidden="1" x14ac:dyDescent="0.2">
      <c r="A73" s="55" t="s">
        <v>3</v>
      </c>
      <c r="B73" s="60">
        <v>43630</v>
      </c>
      <c r="C73" s="56" t="s">
        <v>1015</v>
      </c>
      <c r="D73" s="57" t="s">
        <v>670</v>
      </c>
      <c r="E73" s="58" t="s">
        <v>671</v>
      </c>
      <c r="F73" s="58" t="s">
        <v>672</v>
      </c>
      <c r="G73" s="59" t="s">
        <v>673</v>
      </c>
      <c r="H73" s="55" t="s">
        <v>732</v>
      </c>
      <c r="I73" s="58" t="s">
        <v>674</v>
      </c>
      <c r="J73" s="58" t="s">
        <v>888</v>
      </c>
    </row>
    <row r="74" spans="1:10" hidden="1" x14ac:dyDescent="0.2">
      <c r="A74" s="55" t="s">
        <v>3</v>
      </c>
      <c r="B74" s="60">
        <v>43630</v>
      </c>
      <c r="C74" s="56" t="s">
        <v>1015</v>
      </c>
      <c r="D74" s="57" t="s">
        <v>670</v>
      </c>
      <c r="E74" s="58" t="s">
        <v>671</v>
      </c>
      <c r="F74" s="58" t="s">
        <v>672</v>
      </c>
      <c r="G74" s="59" t="s">
        <v>676</v>
      </c>
      <c r="H74" s="55" t="s">
        <v>733</v>
      </c>
      <c r="I74" s="58" t="s">
        <v>674</v>
      </c>
      <c r="J74" s="58" t="s">
        <v>888</v>
      </c>
    </row>
    <row r="75" spans="1:10" hidden="1" x14ac:dyDescent="0.2">
      <c r="A75" s="55" t="s">
        <v>3</v>
      </c>
      <c r="B75" s="60">
        <v>43630</v>
      </c>
      <c r="C75" s="56" t="s">
        <v>1015</v>
      </c>
      <c r="D75" s="57" t="s">
        <v>670</v>
      </c>
      <c r="E75" s="58" t="s">
        <v>671</v>
      </c>
      <c r="F75" s="58" t="s">
        <v>672</v>
      </c>
      <c r="G75" s="59" t="s">
        <v>675</v>
      </c>
      <c r="H75" s="55" t="s">
        <v>731</v>
      </c>
      <c r="I75" s="58" t="s">
        <v>674</v>
      </c>
      <c r="J75" s="58" t="s">
        <v>888</v>
      </c>
    </row>
    <row r="76" spans="1:10" hidden="1" x14ac:dyDescent="0.2">
      <c r="A76" s="55" t="s">
        <v>752</v>
      </c>
      <c r="B76" s="60">
        <v>43632</v>
      </c>
      <c r="C76" s="56" t="s">
        <v>1017</v>
      </c>
      <c r="D76" s="57" t="s">
        <v>768</v>
      </c>
      <c r="E76" s="58" t="s">
        <v>769</v>
      </c>
      <c r="F76" s="58" t="s">
        <v>770</v>
      </c>
      <c r="G76" s="59" t="s">
        <v>771</v>
      </c>
      <c r="H76" s="55" t="s">
        <v>987</v>
      </c>
      <c r="I76" s="58" t="s">
        <v>757</v>
      </c>
      <c r="J76" s="58" t="s">
        <v>888</v>
      </c>
    </row>
    <row r="77" spans="1:10" hidden="1" x14ac:dyDescent="0.2">
      <c r="A77" s="55" t="s">
        <v>752</v>
      </c>
      <c r="B77" s="60">
        <v>43632</v>
      </c>
      <c r="C77" s="56" t="s">
        <v>1017</v>
      </c>
      <c r="D77" s="57" t="s">
        <v>768</v>
      </c>
      <c r="E77" s="58" t="s">
        <v>769</v>
      </c>
      <c r="F77" s="58" t="s">
        <v>770</v>
      </c>
      <c r="G77" s="59" t="s">
        <v>771</v>
      </c>
      <c r="H77" s="55" t="s">
        <v>988</v>
      </c>
      <c r="I77" s="58" t="s">
        <v>757</v>
      </c>
      <c r="J77" s="58" t="s">
        <v>888</v>
      </c>
    </row>
    <row r="78" spans="1:10" hidden="1" x14ac:dyDescent="0.2">
      <c r="A78" s="55" t="s">
        <v>752</v>
      </c>
      <c r="B78" s="60">
        <v>43635</v>
      </c>
      <c r="C78" s="56" t="s">
        <v>1027</v>
      </c>
      <c r="D78" s="57" t="s">
        <v>753</v>
      </c>
      <c r="E78" s="58" t="s">
        <v>772</v>
      </c>
      <c r="F78" s="58" t="s">
        <v>755</v>
      </c>
      <c r="G78" s="59" t="s">
        <v>773</v>
      </c>
      <c r="H78" s="55" t="s">
        <v>984</v>
      </c>
      <c r="I78" s="58" t="s">
        <v>757</v>
      </c>
      <c r="J78" s="58" t="s">
        <v>888</v>
      </c>
    </row>
    <row r="79" spans="1:10" hidden="1" x14ac:dyDescent="0.2">
      <c r="A79" s="55" t="s">
        <v>752</v>
      </c>
      <c r="B79" s="60">
        <v>43635</v>
      </c>
      <c r="C79" s="56" t="s">
        <v>1027</v>
      </c>
      <c r="D79" s="57" t="s">
        <v>753</v>
      </c>
      <c r="E79" s="58" t="s">
        <v>772</v>
      </c>
      <c r="F79" s="58" t="s">
        <v>755</v>
      </c>
      <c r="G79" s="59" t="s">
        <v>773</v>
      </c>
      <c r="H79" s="55" t="s">
        <v>985</v>
      </c>
      <c r="I79" s="58" t="s">
        <v>757</v>
      </c>
      <c r="J79" s="58" t="s">
        <v>888</v>
      </c>
    </row>
    <row r="80" spans="1:10" hidden="1" x14ac:dyDescent="0.2">
      <c r="A80" s="55" t="s">
        <v>788</v>
      </c>
      <c r="B80" s="60">
        <v>43635</v>
      </c>
      <c r="C80" s="56" t="s">
        <v>1019</v>
      </c>
      <c r="D80" s="57" t="s">
        <v>789</v>
      </c>
      <c r="E80" s="58" t="s">
        <v>790</v>
      </c>
      <c r="F80" s="58" t="s">
        <v>791</v>
      </c>
      <c r="G80" s="59" t="s">
        <v>792</v>
      </c>
      <c r="H80" s="55" t="s">
        <v>963</v>
      </c>
      <c r="I80" s="58" t="s">
        <v>885</v>
      </c>
      <c r="J80" s="58"/>
    </row>
    <row r="81" spans="1:10" hidden="1" x14ac:dyDescent="0.2">
      <c r="A81" s="55" t="s">
        <v>788</v>
      </c>
      <c r="B81" s="60">
        <v>43635</v>
      </c>
      <c r="C81" s="56" t="s">
        <v>1019</v>
      </c>
      <c r="D81" s="57" t="s">
        <v>789</v>
      </c>
      <c r="E81" s="58" t="s">
        <v>790</v>
      </c>
      <c r="F81" s="58" t="s">
        <v>791</v>
      </c>
      <c r="G81" s="59" t="s">
        <v>793</v>
      </c>
      <c r="H81" s="55" t="s">
        <v>963</v>
      </c>
      <c r="I81" s="58" t="s">
        <v>885</v>
      </c>
      <c r="J81" s="58"/>
    </row>
    <row r="82" spans="1:10" hidden="1" x14ac:dyDescent="0.2">
      <c r="A82" s="55" t="s">
        <v>788</v>
      </c>
      <c r="B82" s="60">
        <v>43635</v>
      </c>
      <c r="C82" s="56" t="s">
        <v>1019</v>
      </c>
      <c r="D82" s="57" t="s">
        <v>789</v>
      </c>
      <c r="E82" s="58" t="s">
        <v>790</v>
      </c>
      <c r="F82" s="58" t="s">
        <v>791</v>
      </c>
      <c r="G82" s="59" t="s">
        <v>794</v>
      </c>
      <c r="H82" s="55" t="s">
        <v>964</v>
      </c>
      <c r="I82" s="58" t="s">
        <v>886</v>
      </c>
      <c r="J82" s="58"/>
    </row>
    <row r="83" spans="1:10" x14ac:dyDescent="0.2">
      <c r="A83" s="55" t="s">
        <v>3</v>
      </c>
      <c r="B83" s="60">
        <v>43635</v>
      </c>
      <c r="C83" s="56" t="s">
        <v>1025</v>
      </c>
      <c r="D83" s="57" t="s">
        <v>742</v>
      </c>
      <c r="E83" s="58" t="s">
        <v>743</v>
      </c>
      <c r="F83" s="58" t="s">
        <v>783</v>
      </c>
      <c r="G83" s="59" t="s">
        <v>744</v>
      </c>
      <c r="H83" s="55" t="s">
        <v>887</v>
      </c>
      <c r="I83" s="58" t="s">
        <v>745</v>
      </c>
      <c r="J83" s="58" t="s">
        <v>888</v>
      </c>
    </row>
    <row r="84" spans="1:10" x14ac:dyDescent="0.2">
      <c r="A84" s="55" t="s">
        <v>3</v>
      </c>
      <c r="B84" s="60">
        <v>43635</v>
      </c>
      <c r="C84" s="56" t="s">
        <v>1025</v>
      </c>
      <c r="D84" s="57" t="s">
        <v>742</v>
      </c>
      <c r="E84" s="58" t="s">
        <v>743</v>
      </c>
      <c r="F84" s="58" t="s">
        <v>783</v>
      </c>
      <c r="G84" s="59" t="s">
        <v>746</v>
      </c>
      <c r="H84" s="55" t="s">
        <v>887</v>
      </c>
      <c r="I84" s="58" t="s">
        <v>745</v>
      </c>
      <c r="J84" s="58" t="s">
        <v>888</v>
      </c>
    </row>
    <row r="85" spans="1:10" hidden="1" x14ac:dyDescent="0.2">
      <c r="A85" s="55" t="s">
        <v>152</v>
      </c>
      <c r="B85" s="60">
        <v>43635</v>
      </c>
      <c r="C85" s="56" t="s">
        <v>1021</v>
      </c>
      <c r="D85" s="57" t="s">
        <v>357</v>
      </c>
      <c r="E85" s="58" t="s">
        <v>809</v>
      </c>
      <c r="F85" s="58" t="s">
        <v>777</v>
      </c>
      <c r="G85" s="59" t="s">
        <v>810</v>
      </c>
      <c r="H85" s="55" t="s">
        <v>889</v>
      </c>
      <c r="I85" s="58" t="s">
        <v>811</v>
      </c>
      <c r="J85" s="58"/>
    </row>
    <row r="86" spans="1:10" hidden="1" x14ac:dyDescent="0.2">
      <c r="A86" s="55" t="s">
        <v>152</v>
      </c>
      <c r="B86" s="60">
        <v>43635</v>
      </c>
      <c r="C86" s="56" t="s">
        <v>1021</v>
      </c>
      <c r="D86" s="57" t="s">
        <v>357</v>
      </c>
      <c r="E86" s="58" t="s">
        <v>809</v>
      </c>
      <c r="F86" s="58" t="s">
        <v>777</v>
      </c>
      <c r="G86" s="59" t="s">
        <v>812</v>
      </c>
      <c r="H86" s="55" t="s">
        <v>890</v>
      </c>
      <c r="I86" s="58" t="s">
        <v>813</v>
      </c>
      <c r="J86" s="58"/>
    </row>
    <row r="87" spans="1:10" hidden="1" x14ac:dyDescent="0.2">
      <c r="A87" s="55" t="s">
        <v>160</v>
      </c>
      <c r="B87" s="60">
        <v>43635</v>
      </c>
      <c r="C87" s="56" t="s">
        <v>1023</v>
      </c>
      <c r="D87" s="57" t="s">
        <v>357</v>
      </c>
      <c r="E87" s="58" t="s">
        <v>358</v>
      </c>
      <c r="F87" s="58" t="s">
        <v>777</v>
      </c>
      <c r="G87" s="59" t="s">
        <v>936</v>
      </c>
      <c r="H87" s="55" t="s">
        <v>994</v>
      </c>
      <c r="I87" s="58" t="s">
        <v>745</v>
      </c>
      <c r="J87" s="58"/>
    </row>
    <row r="88" spans="1:10" hidden="1" x14ac:dyDescent="0.2">
      <c r="A88" s="55" t="s">
        <v>752</v>
      </c>
      <c r="B88" s="60">
        <v>43635.041666666664</v>
      </c>
      <c r="C88" s="56" t="s">
        <v>1029</v>
      </c>
      <c r="D88" s="57" t="s">
        <v>753</v>
      </c>
      <c r="E88" s="58" t="s">
        <v>772</v>
      </c>
      <c r="F88" s="58" t="s">
        <v>755</v>
      </c>
      <c r="G88" s="59" t="s">
        <v>774</v>
      </c>
      <c r="H88" s="55" t="s">
        <v>986</v>
      </c>
      <c r="I88" s="58" t="s">
        <v>757</v>
      </c>
      <c r="J88" s="58" t="s">
        <v>888</v>
      </c>
    </row>
    <row r="89" spans="1:10" x14ac:dyDescent="0.2">
      <c r="A89" s="55" t="s">
        <v>747</v>
      </c>
      <c r="B89" s="60">
        <v>43637</v>
      </c>
      <c r="C89" s="56" t="s">
        <v>1032</v>
      </c>
      <c r="D89" s="57" t="s">
        <v>748</v>
      </c>
      <c r="E89" s="58" t="s">
        <v>749</v>
      </c>
      <c r="F89" s="58" t="s">
        <v>870</v>
      </c>
      <c r="G89" s="59" t="s">
        <v>750</v>
      </c>
      <c r="H89" s="55" t="s">
        <v>1068</v>
      </c>
      <c r="I89" s="58" t="s">
        <v>745</v>
      </c>
      <c r="J89" s="58" t="s">
        <v>888</v>
      </c>
    </row>
    <row r="90" spans="1:10" x14ac:dyDescent="0.2">
      <c r="A90" s="55" t="s">
        <v>747</v>
      </c>
      <c r="B90" s="60">
        <v>43637</v>
      </c>
      <c r="C90" s="56" t="s">
        <v>1055</v>
      </c>
      <c r="D90" s="57" t="s">
        <v>748</v>
      </c>
      <c r="E90" s="58" t="s">
        <v>749</v>
      </c>
      <c r="F90" s="58" t="s">
        <v>870</v>
      </c>
      <c r="G90" s="59" t="s">
        <v>751</v>
      </c>
      <c r="H90" s="55" t="s">
        <v>1068</v>
      </c>
      <c r="I90" s="58" t="s">
        <v>745</v>
      </c>
      <c r="J90" s="58" t="s">
        <v>888</v>
      </c>
    </row>
    <row r="91" spans="1:10" hidden="1" x14ac:dyDescent="0.2">
      <c r="A91" s="55" t="s">
        <v>175</v>
      </c>
      <c r="B91" s="60">
        <v>43637</v>
      </c>
      <c r="C91" s="56" t="s">
        <v>1030</v>
      </c>
      <c r="D91" s="57" t="s">
        <v>748</v>
      </c>
      <c r="E91" s="58" t="s">
        <v>1072</v>
      </c>
      <c r="F91" s="58" t="s">
        <v>870</v>
      </c>
      <c r="G91" s="59" t="s">
        <v>866</v>
      </c>
      <c r="H91" s="55" t="s">
        <v>1071</v>
      </c>
      <c r="I91" s="58" t="s">
        <v>868</v>
      </c>
      <c r="J91" s="58" t="s">
        <v>869</v>
      </c>
    </row>
    <row r="92" spans="1:10" hidden="1" x14ac:dyDescent="0.2">
      <c r="A92" s="55" t="s">
        <v>175</v>
      </c>
      <c r="B92" s="60">
        <v>43637</v>
      </c>
      <c r="C92" s="56" t="s">
        <v>1030</v>
      </c>
      <c r="D92" s="57" t="s">
        <v>867</v>
      </c>
      <c r="E92" s="58" t="s">
        <v>1072</v>
      </c>
      <c r="F92" s="58" t="s">
        <v>870</v>
      </c>
      <c r="G92" s="59" t="s">
        <v>866</v>
      </c>
      <c r="H92" s="55" t="s">
        <v>1069</v>
      </c>
      <c r="I92" s="58" t="s">
        <v>868</v>
      </c>
      <c r="J92" s="58" t="s">
        <v>869</v>
      </c>
    </row>
    <row r="93" spans="1:10" hidden="1" x14ac:dyDescent="0.2">
      <c r="A93" s="55" t="s">
        <v>175</v>
      </c>
      <c r="B93" s="60">
        <v>43637</v>
      </c>
      <c r="C93" s="56" t="s">
        <v>1030</v>
      </c>
      <c r="D93" s="57" t="s">
        <v>867</v>
      </c>
      <c r="E93" s="58" t="s">
        <v>1072</v>
      </c>
      <c r="F93" s="58" t="s">
        <v>870</v>
      </c>
      <c r="G93" s="59" t="s">
        <v>866</v>
      </c>
      <c r="H93" s="55" t="s">
        <v>1070</v>
      </c>
      <c r="I93" s="58" t="s">
        <v>868</v>
      </c>
      <c r="J93" s="58" t="s">
        <v>869</v>
      </c>
    </row>
    <row r="94" spans="1:10" hidden="1" x14ac:dyDescent="0.2">
      <c r="A94" s="55" t="s">
        <v>752</v>
      </c>
      <c r="B94" s="60">
        <v>43639</v>
      </c>
      <c r="C94" s="56" t="s">
        <v>1085</v>
      </c>
      <c r="D94" s="57" t="s">
        <v>768</v>
      </c>
      <c r="E94" s="58" t="s">
        <v>1092</v>
      </c>
      <c r="F94" s="58" t="s">
        <v>770</v>
      </c>
      <c r="G94" s="59" t="s">
        <v>1088</v>
      </c>
      <c r="H94" s="55" t="s">
        <v>1202</v>
      </c>
      <c r="I94" s="58" t="s">
        <v>432</v>
      </c>
      <c r="J94" s="58" t="s">
        <v>888</v>
      </c>
    </row>
    <row r="95" spans="1:10" hidden="1" x14ac:dyDescent="0.2">
      <c r="A95" s="55" t="s">
        <v>752</v>
      </c>
      <c r="B95" s="60">
        <v>43639</v>
      </c>
      <c r="C95" s="56" t="s">
        <v>1085</v>
      </c>
      <c r="D95" s="57" t="s">
        <v>768</v>
      </c>
      <c r="E95" s="58" t="s">
        <v>1092</v>
      </c>
      <c r="F95" s="58" t="s">
        <v>770</v>
      </c>
      <c r="G95" s="59" t="s">
        <v>1088</v>
      </c>
      <c r="H95" s="55" t="s">
        <v>1203</v>
      </c>
      <c r="I95" s="58" t="s">
        <v>432</v>
      </c>
      <c r="J95" s="58" t="s">
        <v>888</v>
      </c>
    </row>
    <row r="96" spans="1:10" hidden="1" x14ac:dyDescent="0.2">
      <c r="A96" s="55" t="s">
        <v>752</v>
      </c>
      <c r="B96" s="60">
        <v>43639</v>
      </c>
      <c r="C96" s="56" t="s">
        <v>1085</v>
      </c>
      <c r="D96" s="57" t="s">
        <v>768</v>
      </c>
      <c r="E96" s="58" t="s">
        <v>1092</v>
      </c>
      <c r="F96" s="58" t="s">
        <v>770</v>
      </c>
      <c r="G96" s="59" t="s">
        <v>1088</v>
      </c>
      <c r="H96" s="55" t="s">
        <v>1204</v>
      </c>
      <c r="I96" s="58" t="s">
        <v>432</v>
      </c>
      <c r="J96" s="58" t="s">
        <v>888</v>
      </c>
    </row>
    <row r="97" spans="1:10" hidden="1" x14ac:dyDescent="0.2">
      <c r="A97" s="55" t="s">
        <v>752</v>
      </c>
      <c r="B97" s="60">
        <v>43639</v>
      </c>
      <c r="C97" s="56" t="s">
        <v>1086</v>
      </c>
      <c r="D97" s="57" t="s">
        <v>768</v>
      </c>
      <c r="E97" s="58" t="s">
        <v>1092</v>
      </c>
      <c r="F97" s="58" t="s">
        <v>770</v>
      </c>
      <c r="G97" s="59" t="s">
        <v>1089</v>
      </c>
      <c r="H97" s="55" t="s">
        <v>1205</v>
      </c>
      <c r="I97" s="58" t="s">
        <v>432</v>
      </c>
      <c r="J97" s="58" t="s">
        <v>888</v>
      </c>
    </row>
    <row r="98" spans="1:10" hidden="1" x14ac:dyDescent="0.2">
      <c r="A98" s="55" t="s">
        <v>752</v>
      </c>
      <c r="B98" s="60">
        <v>43639</v>
      </c>
      <c r="C98" s="56" t="s">
        <v>1086</v>
      </c>
      <c r="D98" s="57" t="s">
        <v>768</v>
      </c>
      <c r="E98" s="58" t="s">
        <v>1092</v>
      </c>
      <c r="F98" s="58" t="s">
        <v>770</v>
      </c>
      <c r="G98" s="59" t="s">
        <v>1093</v>
      </c>
      <c r="H98" s="55" t="s">
        <v>1205</v>
      </c>
      <c r="I98" s="58" t="s">
        <v>432</v>
      </c>
      <c r="J98" s="58" t="s">
        <v>888</v>
      </c>
    </row>
    <row r="99" spans="1:10" hidden="1" x14ac:dyDescent="0.2">
      <c r="A99" s="55" t="s">
        <v>752</v>
      </c>
      <c r="B99" s="60">
        <v>43639</v>
      </c>
      <c r="C99" s="56" t="s">
        <v>1087</v>
      </c>
      <c r="D99" s="57" t="s">
        <v>768</v>
      </c>
      <c r="E99" s="58" t="s">
        <v>1092</v>
      </c>
      <c r="F99" s="58" t="s">
        <v>770</v>
      </c>
      <c r="G99" s="59" t="s">
        <v>1094</v>
      </c>
      <c r="H99" s="55" t="s">
        <v>1206</v>
      </c>
      <c r="I99" s="58" t="s">
        <v>432</v>
      </c>
      <c r="J99" s="58" t="s">
        <v>888</v>
      </c>
    </row>
    <row r="100" spans="1:10" hidden="1" x14ac:dyDescent="0.2">
      <c r="A100" s="55" t="s">
        <v>788</v>
      </c>
      <c r="B100" s="60">
        <v>43642</v>
      </c>
      <c r="C100" s="56" t="s">
        <v>1110</v>
      </c>
      <c r="D100" s="57" t="s">
        <v>1102</v>
      </c>
      <c r="E100" s="58" t="s">
        <v>1106</v>
      </c>
      <c r="F100" s="58" t="s">
        <v>372</v>
      </c>
      <c r="G100" s="59" t="s">
        <v>1218</v>
      </c>
      <c r="H100" s="55" t="s">
        <v>1208</v>
      </c>
      <c r="I100" s="58" t="s">
        <v>432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1110</v>
      </c>
      <c r="D101" s="57" t="s">
        <v>1102</v>
      </c>
      <c r="E101" s="58" t="s">
        <v>1106</v>
      </c>
      <c r="F101" s="58" t="s">
        <v>372</v>
      </c>
      <c r="G101" s="59" t="s">
        <v>1107</v>
      </c>
      <c r="H101" s="55" t="s">
        <v>1208</v>
      </c>
      <c r="I101" s="58" t="s">
        <v>432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1110</v>
      </c>
      <c r="D102" s="57" t="s">
        <v>1102</v>
      </c>
      <c r="E102" s="58" t="s">
        <v>1106</v>
      </c>
      <c r="F102" s="58" t="s">
        <v>372</v>
      </c>
      <c r="G102" s="59" t="s">
        <v>1108</v>
      </c>
      <c r="H102" s="55" t="s">
        <v>1208</v>
      </c>
      <c r="I102" s="58" t="s">
        <v>432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1110</v>
      </c>
      <c r="D103" s="57" t="s">
        <v>1102</v>
      </c>
      <c r="E103" s="58" t="s">
        <v>1106</v>
      </c>
      <c r="F103" s="58" t="s">
        <v>372</v>
      </c>
      <c r="G103" s="59" t="s">
        <v>1109</v>
      </c>
      <c r="H103" s="55" t="s">
        <v>1208</v>
      </c>
      <c r="I103" s="58" t="s">
        <v>432</v>
      </c>
      <c r="J103" s="58"/>
    </row>
    <row r="104" spans="1:10" x14ac:dyDescent="0.2">
      <c r="A104" s="55" t="s">
        <v>3</v>
      </c>
      <c r="B104" s="60">
        <v>43642</v>
      </c>
      <c r="C104" s="56" t="s">
        <v>1074</v>
      </c>
      <c r="D104" s="57" t="s">
        <v>1079</v>
      </c>
      <c r="E104" s="58" t="s">
        <v>1078</v>
      </c>
      <c r="F104" s="58" t="s">
        <v>1126</v>
      </c>
      <c r="G104" s="59" t="s">
        <v>1167</v>
      </c>
      <c r="H104" s="55" t="s">
        <v>1201</v>
      </c>
      <c r="I104" s="58" t="s">
        <v>434</v>
      </c>
      <c r="J104" s="58" t="s">
        <v>888</v>
      </c>
    </row>
    <row r="105" spans="1:10" x14ac:dyDescent="0.2">
      <c r="A105" s="55" t="s">
        <v>3</v>
      </c>
      <c r="B105" s="60">
        <v>43642</v>
      </c>
      <c r="C105" s="56" t="s">
        <v>1164</v>
      </c>
      <c r="D105" s="57" t="s">
        <v>1079</v>
      </c>
      <c r="E105" s="58" t="s">
        <v>1078</v>
      </c>
      <c r="F105" s="58" t="s">
        <v>1126</v>
      </c>
      <c r="G105" s="59" t="s">
        <v>1080</v>
      </c>
      <c r="H105" s="55" t="s">
        <v>1201</v>
      </c>
      <c r="I105" s="58" t="s">
        <v>434</v>
      </c>
      <c r="J105" s="58" t="s">
        <v>888</v>
      </c>
    </row>
    <row r="106" spans="1:10" hidden="1" x14ac:dyDescent="0.2">
      <c r="A106" s="55" t="s">
        <v>804</v>
      </c>
      <c r="B106" s="60">
        <v>43642</v>
      </c>
      <c r="C106" s="56" t="s">
        <v>1034</v>
      </c>
      <c r="D106" s="57" t="s">
        <v>956</v>
      </c>
      <c r="E106" s="58" t="s">
        <v>957</v>
      </c>
      <c r="F106" s="58" t="s">
        <v>958</v>
      </c>
      <c r="G106" s="59" t="s">
        <v>959</v>
      </c>
      <c r="H106" s="55" t="s">
        <v>1195</v>
      </c>
      <c r="I106" s="58" t="s">
        <v>432</v>
      </c>
      <c r="J106" s="58"/>
    </row>
    <row r="107" spans="1:10" hidden="1" x14ac:dyDescent="0.2">
      <c r="A107" s="55" t="s">
        <v>158</v>
      </c>
      <c r="B107" s="60">
        <v>43642</v>
      </c>
      <c r="C107" s="56" t="s">
        <v>1034</v>
      </c>
      <c r="D107" s="57" t="s">
        <v>955</v>
      </c>
      <c r="E107" s="58" t="s">
        <v>957</v>
      </c>
      <c r="F107" s="58" t="s">
        <v>958</v>
      </c>
      <c r="G107" s="59" t="s">
        <v>961</v>
      </c>
      <c r="H107" s="55" t="s">
        <v>1196</v>
      </c>
      <c r="I107" s="58" t="s">
        <v>1147</v>
      </c>
      <c r="J107" s="58"/>
    </row>
    <row r="108" spans="1:10" x14ac:dyDescent="0.2">
      <c r="A108" s="55" t="s">
        <v>3</v>
      </c>
      <c r="B108" s="60">
        <v>43644</v>
      </c>
      <c r="C108" s="56" t="s">
        <v>1076</v>
      </c>
      <c r="D108" s="57" t="s">
        <v>1122</v>
      </c>
      <c r="E108" s="58" t="s">
        <v>1124</v>
      </c>
      <c r="F108" s="58" t="s">
        <v>1123</v>
      </c>
      <c r="G108" s="59" t="s">
        <v>1217</v>
      </c>
      <c r="H108" s="55" t="s">
        <v>1228</v>
      </c>
      <c r="I108" s="58" t="s">
        <v>434</v>
      </c>
      <c r="J108" s="58" t="s">
        <v>888</v>
      </c>
    </row>
    <row r="109" spans="1:10" x14ac:dyDescent="0.2">
      <c r="A109" s="55" t="s">
        <v>3</v>
      </c>
      <c r="B109" s="60">
        <v>43644</v>
      </c>
      <c r="C109" s="56" t="s">
        <v>1220</v>
      </c>
      <c r="D109" s="57" t="s">
        <v>1121</v>
      </c>
      <c r="E109" s="58" t="s">
        <v>1124</v>
      </c>
      <c r="F109" s="58" t="s">
        <v>1123</v>
      </c>
      <c r="G109" s="59" t="s">
        <v>1081</v>
      </c>
      <c r="H109" s="55" t="s">
        <v>1229</v>
      </c>
      <c r="I109" s="58" t="s">
        <v>434</v>
      </c>
      <c r="J109" s="58" t="s">
        <v>888</v>
      </c>
    </row>
    <row r="110" spans="1:10" hidden="1" x14ac:dyDescent="0.2">
      <c r="A110" s="55" t="s">
        <v>954</v>
      </c>
      <c r="B110" s="60">
        <v>43653</v>
      </c>
      <c r="C110" s="56" t="s">
        <v>1036</v>
      </c>
      <c r="D110" s="57" t="s">
        <v>968</v>
      </c>
      <c r="E110" s="58" t="s">
        <v>969</v>
      </c>
      <c r="F110" s="58" t="s">
        <v>1227</v>
      </c>
      <c r="G110" s="59">
        <v>969290200</v>
      </c>
      <c r="I110" s="58" t="s">
        <v>434</v>
      </c>
      <c r="J110" s="58" t="s">
        <v>888</v>
      </c>
    </row>
    <row r="111" spans="1:10" hidden="1" x14ac:dyDescent="0.2">
      <c r="A111" s="55" t="s">
        <v>1138</v>
      </c>
      <c r="B111" s="60">
        <v>43649</v>
      </c>
      <c r="C111" s="56" t="s">
        <v>1176</v>
      </c>
      <c r="D111" s="57" t="s">
        <v>1177</v>
      </c>
      <c r="E111" s="58" t="s">
        <v>1178</v>
      </c>
      <c r="F111" s="58"/>
      <c r="G111" s="59" t="s">
        <v>1174</v>
      </c>
      <c r="I111" s="58" t="s">
        <v>433</v>
      </c>
      <c r="J111" s="58"/>
    </row>
    <row r="112" spans="1:10" hidden="1" x14ac:dyDescent="0.2">
      <c r="A112" s="55" t="s">
        <v>752</v>
      </c>
      <c r="B112" s="60">
        <v>43642</v>
      </c>
      <c r="C112" s="56" t="s">
        <v>1148</v>
      </c>
      <c r="D112" s="57" t="s">
        <v>1151</v>
      </c>
      <c r="E112" s="58" t="s">
        <v>1152</v>
      </c>
      <c r="F112" s="58" t="s">
        <v>755</v>
      </c>
      <c r="G112" s="59" t="s">
        <v>1216</v>
      </c>
      <c r="H112" s="55" t="s">
        <v>1210</v>
      </c>
      <c r="I112" s="58" t="s">
        <v>432</v>
      </c>
      <c r="J112" s="58" t="s">
        <v>888</v>
      </c>
    </row>
    <row r="113" spans="1:10" hidden="1" x14ac:dyDescent="0.2">
      <c r="A113" s="55" t="s">
        <v>752</v>
      </c>
      <c r="B113" s="60">
        <v>43642</v>
      </c>
      <c r="C113" s="56" t="s">
        <v>1148</v>
      </c>
      <c r="D113" s="57" t="s">
        <v>1151</v>
      </c>
      <c r="E113" s="58" t="s">
        <v>1152</v>
      </c>
      <c r="F113" s="58" t="s">
        <v>755</v>
      </c>
      <c r="G113" s="59" t="s">
        <v>1153</v>
      </c>
      <c r="H113" s="55" t="s">
        <v>1211</v>
      </c>
      <c r="I113" s="58" t="s">
        <v>432</v>
      </c>
      <c r="J113" s="58" t="s">
        <v>888</v>
      </c>
    </row>
    <row r="114" spans="1:10" hidden="1" x14ac:dyDescent="0.2">
      <c r="A114" s="55" t="s">
        <v>752</v>
      </c>
      <c r="B114" s="60">
        <v>43642</v>
      </c>
      <c r="C114" s="56" t="s">
        <v>1149</v>
      </c>
      <c r="D114" s="57" t="s">
        <v>1151</v>
      </c>
      <c r="E114" s="58" t="s">
        <v>1152</v>
      </c>
      <c r="F114" s="58" t="s">
        <v>755</v>
      </c>
      <c r="G114" s="59" t="s">
        <v>1154</v>
      </c>
      <c r="H114" s="55" t="s">
        <v>1212</v>
      </c>
      <c r="I114" s="58" t="s">
        <v>432</v>
      </c>
      <c r="J114" s="58" t="s">
        <v>888</v>
      </c>
    </row>
    <row r="115" spans="1:10" hidden="1" x14ac:dyDescent="0.2">
      <c r="A115" s="55" t="s">
        <v>893</v>
      </c>
      <c r="B115" s="61">
        <v>43642</v>
      </c>
      <c r="C115" s="56" t="s">
        <v>1149</v>
      </c>
      <c r="D115" s="57" t="s">
        <v>1151</v>
      </c>
      <c r="E115" s="58" t="s">
        <v>1152</v>
      </c>
      <c r="F115" s="58" t="s">
        <v>1168</v>
      </c>
      <c r="G115" s="59" t="s">
        <v>1169</v>
      </c>
      <c r="H115" s="55" t="s">
        <v>1212</v>
      </c>
      <c r="I115" s="58" t="s">
        <v>1146</v>
      </c>
      <c r="J115" s="58" t="s">
        <v>888</v>
      </c>
    </row>
    <row r="116" spans="1:10" x14ac:dyDescent="0.2">
      <c r="A116" s="55" t="s">
        <v>3</v>
      </c>
      <c r="B116" s="60">
        <v>43642</v>
      </c>
      <c r="C116" s="56" t="s">
        <v>1165</v>
      </c>
      <c r="D116" s="57" t="s">
        <v>1079</v>
      </c>
      <c r="E116" s="58" t="s">
        <v>1078</v>
      </c>
      <c r="F116" s="58" t="s">
        <v>1126</v>
      </c>
      <c r="G116" s="59" t="s">
        <v>1162</v>
      </c>
      <c r="H116" s="55" t="s">
        <v>1201</v>
      </c>
      <c r="I116" s="58" t="s">
        <v>434</v>
      </c>
      <c r="J116" s="58" t="s">
        <v>888</v>
      </c>
    </row>
    <row r="117" spans="1:10" x14ac:dyDescent="0.2">
      <c r="A117" s="55" t="s">
        <v>3</v>
      </c>
      <c r="B117" s="60">
        <v>43642</v>
      </c>
      <c r="C117" s="56" t="s">
        <v>1166</v>
      </c>
      <c r="D117" s="57" t="s">
        <v>1079</v>
      </c>
      <c r="E117" s="58" t="s">
        <v>1078</v>
      </c>
      <c r="F117" s="58" t="s">
        <v>1126</v>
      </c>
      <c r="G117" s="59" t="s">
        <v>1163</v>
      </c>
      <c r="H117" s="55" t="s">
        <v>1201</v>
      </c>
      <c r="I117" s="58" t="s">
        <v>434</v>
      </c>
      <c r="J117" s="58" t="s">
        <v>888</v>
      </c>
    </row>
    <row r="118" spans="1:10" hidden="1" x14ac:dyDescent="0.2">
      <c r="A118" s="55" t="s">
        <v>752</v>
      </c>
      <c r="B118" s="60">
        <v>43642</v>
      </c>
      <c r="C118" s="56" t="s">
        <v>1150</v>
      </c>
      <c r="D118" s="57" t="s">
        <v>1151</v>
      </c>
      <c r="E118" s="58" t="s">
        <v>1152</v>
      </c>
      <c r="F118" s="58" t="s">
        <v>755</v>
      </c>
      <c r="G118" s="59" t="s">
        <v>1230</v>
      </c>
      <c r="H118" s="55" t="s">
        <v>1213</v>
      </c>
      <c r="I118" s="58" t="s">
        <v>432</v>
      </c>
      <c r="J118" s="58" t="s">
        <v>888</v>
      </c>
    </row>
    <row r="119" spans="1:10" hidden="1" x14ac:dyDescent="0.2">
      <c r="A119" s="55" t="s">
        <v>752</v>
      </c>
      <c r="B119" s="60">
        <v>43635</v>
      </c>
      <c r="C119" s="56" t="s">
        <v>1170</v>
      </c>
      <c r="D119" s="57" t="s">
        <v>753</v>
      </c>
      <c r="E119" s="58" t="s">
        <v>772</v>
      </c>
      <c r="F119" s="58" t="s">
        <v>755</v>
      </c>
      <c r="G119" s="59" t="s">
        <v>1171</v>
      </c>
      <c r="H119" s="55" t="s">
        <v>986</v>
      </c>
      <c r="I119" s="58" t="s">
        <v>432</v>
      </c>
      <c r="J119" s="58" t="s">
        <v>888</v>
      </c>
    </row>
    <row r="120" spans="1:10" hidden="1" x14ac:dyDescent="0.2">
      <c r="A120" s="55" t="s">
        <v>158</v>
      </c>
      <c r="B120" s="61">
        <v>43642</v>
      </c>
      <c r="C120" s="56" t="s">
        <v>1034</v>
      </c>
      <c r="D120" s="57" t="s">
        <v>955</v>
      </c>
      <c r="E120" s="58" t="s">
        <v>957</v>
      </c>
      <c r="F120" s="58" t="s">
        <v>958</v>
      </c>
      <c r="G120" s="59" t="s">
        <v>1172</v>
      </c>
      <c r="H120" s="55" t="s">
        <v>1196</v>
      </c>
      <c r="I120" s="58" t="s">
        <v>1146</v>
      </c>
      <c r="J120" s="58"/>
    </row>
    <row r="121" spans="1:10" x14ac:dyDescent="0.2">
      <c r="A121" s="55" t="s">
        <v>3</v>
      </c>
      <c r="B121" s="60">
        <v>43644</v>
      </c>
      <c r="C121" s="56" t="s">
        <v>1221</v>
      </c>
      <c r="D121" s="57" t="s">
        <v>1121</v>
      </c>
      <c r="E121" s="58" t="s">
        <v>1124</v>
      </c>
      <c r="F121" s="58" t="s">
        <v>1123</v>
      </c>
      <c r="G121" s="59" t="s">
        <v>1224</v>
      </c>
      <c r="H121" s="55" t="s">
        <v>1228</v>
      </c>
      <c r="I121" s="58" t="s">
        <v>434</v>
      </c>
      <c r="J121" s="58" t="s">
        <v>888</v>
      </c>
    </row>
    <row r="122" spans="1:10" hidden="1" x14ac:dyDescent="0.2">
      <c r="A122" s="55" t="s">
        <v>3</v>
      </c>
      <c r="B122" s="60">
        <v>43649</v>
      </c>
      <c r="C122" s="56" t="s">
        <v>1248</v>
      </c>
      <c r="D122" s="57" t="s">
        <v>1253</v>
      </c>
      <c r="E122" s="58" t="s">
        <v>1252</v>
      </c>
      <c r="F122" s="58"/>
      <c r="G122" s="55" t="s">
        <v>1244</v>
      </c>
      <c r="I122" s="58" t="s">
        <v>434</v>
      </c>
      <c r="J122" s="58" t="s">
        <v>888</v>
      </c>
    </row>
    <row r="123" spans="1:10" hidden="1" x14ac:dyDescent="0.2">
      <c r="A123" s="55" t="s">
        <v>3</v>
      </c>
      <c r="B123" s="60">
        <v>43649</v>
      </c>
      <c r="C123" s="56" t="s">
        <v>1248</v>
      </c>
      <c r="D123" s="57" t="s">
        <v>1255</v>
      </c>
      <c r="E123" s="58" t="s">
        <v>1254</v>
      </c>
      <c r="F123" s="58"/>
      <c r="G123" s="55" t="s">
        <v>1250</v>
      </c>
      <c r="I123" s="58" t="s">
        <v>434</v>
      </c>
      <c r="J123" s="58" t="s">
        <v>888</v>
      </c>
    </row>
    <row r="124" spans="1:10" hidden="1" x14ac:dyDescent="0.2">
      <c r="A124" s="55" t="s">
        <v>3</v>
      </c>
      <c r="B124" s="60">
        <v>43651</v>
      </c>
      <c r="C124" s="56" t="s">
        <v>1249</v>
      </c>
      <c r="D124" s="57" t="s">
        <v>1253</v>
      </c>
      <c r="E124" s="58" t="s">
        <v>1252</v>
      </c>
      <c r="F124" s="58"/>
      <c r="G124" s="55" t="s">
        <v>1246</v>
      </c>
      <c r="I124" s="58" t="s">
        <v>434</v>
      </c>
      <c r="J124" s="58" t="s">
        <v>888</v>
      </c>
    </row>
    <row r="125" spans="1:10" hidden="1" x14ac:dyDescent="0.2">
      <c r="A125" s="55" t="s">
        <v>3</v>
      </c>
      <c r="B125" s="60">
        <v>43651</v>
      </c>
      <c r="C125" s="56" t="s">
        <v>1249</v>
      </c>
      <c r="D125" s="57" t="s">
        <v>1255</v>
      </c>
      <c r="E125" s="58" t="s">
        <v>1254</v>
      </c>
      <c r="F125" s="58"/>
      <c r="G125" s="55" t="s">
        <v>1251</v>
      </c>
      <c r="I125" s="58" t="s">
        <v>434</v>
      </c>
      <c r="J125" s="58" t="s">
        <v>888</v>
      </c>
    </row>
    <row r="126" spans="1:10" hidden="1" x14ac:dyDescent="0.2">
      <c r="A126" s="55" t="s">
        <v>1268</v>
      </c>
      <c r="B126" s="60">
        <v>43656</v>
      </c>
      <c r="C126" s="56"/>
      <c r="D126" s="57"/>
      <c r="E126" s="58"/>
      <c r="F126" s="58"/>
      <c r="G126" s="59"/>
      <c r="I126" s="58"/>
      <c r="J126" s="58"/>
    </row>
    <row r="128" spans="1:10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</sheetData>
  <phoneticPr fontId="1" type="noConversion"/>
  <dataValidations count="1">
    <dataValidation type="list" allowBlank="1" showInputMessage="1" showErrorMessage="1" sqref="J2:J126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2019-06-26T09:40:22Z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