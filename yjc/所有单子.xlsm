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80" i="6" l="1"/>
  <c r="I680" i="6"/>
  <c r="A833" i="6" l="1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A852" i="6" l="1"/>
  <c r="A853" i="6"/>
  <c r="A854" i="6"/>
  <c r="A855" i="6"/>
  <c r="A856" i="6"/>
  <c r="A857" i="6"/>
  <c r="A858" i="6"/>
  <c r="A859" i="6"/>
  <c r="A860" i="6"/>
  <c r="A861" i="6"/>
  <c r="A864" i="6"/>
  <c r="A865" i="6"/>
  <c r="A862" i="6"/>
  <c r="A863" i="6"/>
  <c r="A866" i="6"/>
  <c r="A867" i="6"/>
  <c r="A868" i="6"/>
  <c r="A869" i="6"/>
  <c r="A870" i="6"/>
  <c r="I852" i="6"/>
  <c r="I853" i="6"/>
  <c r="I854" i="6"/>
  <c r="I855" i="6"/>
  <c r="I856" i="6"/>
  <c r="I857" i="6"/>
  <c r="I858" i="6"/>
  <c r="I859" i="6"/>
  <c r="I860" i="6"/>
  <c r="I861" i="6"/>
  <c r="I864" i="6"/>
  <c r="I865" i="6"/>
  <c r="I862" i="6"/>
  <c r="I863" i="6"/>
  <c r="I866" i="6"/>
  <c r="I867" i="6"/>
  <c r="I868" i="6"/>
  <c r="I869" i="6"/>
  <c r="I870" i="6"/>
  <c r="A898" i="6" l="1"/>
  <c r="I898" i="6"/>
  <c r="A181" i="6"/>
  <c r="I181" i="6"/>
  <c r="A377" i="6"/>
  <c r="I377" i="6"/>
  <c r="A899" i="6" l="1"/>
  <c r="A900" i="6"/>
  <c r="A901" i="6"/>
  <c r="A902" i="6"/>
  <c r="A903" i="6"/>
  <c r="A904" i="6"/>
  <c r="A905" i="6"/>
  <c r="A906" i="6"/>
  <c r="A907" i="6"/>
  <c r="A908" i="6"/>
  <c r="I899" i="6"/>
  <c r="I900" i="6"/>
  <c r="I901" i="6"/>
  <c r="I902" i="6"/>
  <c r="I903" i="6"/>
  <c r="I904" i="6"/>
  <c r="I905" i="6"/>
  <c r="I906" i="6"/>
  <c r="I907" i="6"/>
  <c r="I908" i="6"/>
  <c r="A816" i="6"/>
  <c r="A817" i="6"/>
  <c r="A818" i="6"/>
  <c r="A819" i="6"/>
  <c r="A820" i="6"/>
  <c r="A821" i="6"/>
  <c r="A822" i="6"/>
  <c r="A823" i="6"/>
  <c r="A824" i="6"/>
  <c r="A825" i="6"/>
  <c r="I816" i="6"/>
  <c r="I817" i="6"/>
  <c r="I818" i="6"/>
  <c r="I819" i="6"/>
  <c r="I820" i="6"/>
  <c r="I821" i="6"/>
  <c r="I822" i="6"/>
  <c r="I823" i="6"/>
  <c r="I824" i="6"/>
  <c r="I825" i="6"/>
  <c r="A759" i="6"/>
  <c r="A760" i="6"/>
  <c r="A761" i="6"/>
  <c r="A762" i="6"/>
  <c r="A763" i="6"/>
  <c r="A764" i="6"/>
  <c r="A765" i="6"/>
  <c r="A766" i="6"/>
  <c r="A767" i="6"/>
  <c r="A768" i="6"/>
  <c r="I759" i="6"/>
  <c r="I760" i="6"/>
  <c r="I761" i="6"/>
  <c r="I762" i="6"/>
  <c r="I763" i="6"/>
  <c r="I764" i="6"/>
  <c r="I765" i="6"/>
  <c r="I766" i="6"/>
  <c r="I767" i="6"/>
  <c r="I768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656" i="6"/>
  <c r="I656" i="6"/>
  <c r="A352" i="6"/>
  <c r="I352" i="6"/>
  <c r="A297" i="6"/>
  <c r="I297" i="6"/>
  <c r="A493" i="6" l="1"/>
  <c r="I493" i="6"/>
  <c r="A673" i="6" l="1"/>
  <c r="A674" i="6"/>
  <c r="A675" i="6"/>
  <c r="A676" i="6"/>
  <c r="A677" i="6"/>
  <c r="A678" i="6"/>
  <c r="A679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I673" i="6"/>
  <c r="I674" i="6"/>
  <c r="I675" i="6"/>
  <c r="I676" i="6"/>
  <c r="I677" i="6"/>
  <c r="I678" i="6"/>
  <c r="I679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A769" i="6" l="1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32" i="6"/>
  <c r="A733" i="6"/>
  <c r="A729" i="6"/>
  <c r="A730" i="6"/>
  <c r="A731" i="6"/>
  <c r="A734" i="6"/>
  <c r="A735" i="6"/>
  <c r="A736" i="6"/>
  <c r="A737" i="6"/>
  <c r="A738" i="6"/>
  <c r="A739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32" i="6"/>
  <c r="I733" i="6"/>
  <c r="I729" i="6"/>
  <c r="I730" i="6"/>
  <c r="I731" i="6"/>
  <c r="I734" i="6"/>
  <c r="I735" i="6"/>
  <c r="I736" i="6"/>
  <c r="I737" i="6"/>
  <c r="I738" i="6"/>
  <c r="I739" i="6"/>
  <c r="A877" i="6" l="1"/>
  <c r="I877" i="6"/>
  <c r="A740" i="6" l="1"/>
  <c r="A741" i="6"/>
  <c r="A742" i="6"/>
  <c r="A743" i="6"/>
  <c r="A744" i="6"/>
  <c r="A745" i="6"/>
  <c r="A746" i="6"/>
  <c r="A747" i="6"/>
  <c r="A748" i="6"/>
  <c r="A749" i="6"/>
  <c r="A752" i="6"/>
  <c r="A753" i="6"/>
  <c r="A750" i="6"/>
  <c r="A751" i="6"/>
  <c r="A754" i="6"/>
  <c r="A755" i="6"/>
  <c r="A756" i="6"/>
  <c r="A757" i="6"/>
  <c r="A758" i="6"/>
  <c r="I740" i="6"/>
  <c r="I741" i="6"/>
  <c r="I742" i="6"/>
  <c r="I743" i="6"/>
  <c r="I744" i="6"/>
  <c r="I745" i="6"/>
  <c r="I746" i="6"/>
  <c r="I747" i="6"/>
  <c r="I748" i="6"/>
  <c r="I749" i="6"/>
  <c r="I752" i="6"/>
  <c r="I753" i="6"/>
  <c r="I750" i="6"/>
  <c r="I751" i="6"/>
  <c r="I754" i="6"/>
  <c r="I755" i="6"/>
  <c r="I756" i="6"/>
  <c r="I757" i="6"/>
  <c r="I758" i="6"/>
  <c r="A491" i="6" l="1"/>
  <c r="I491" i="6"/>
  <c r="A489" i="6"/>
  <c r="A490" i="6"/>
  <c r="A492" i="6"/>
  <c r="I489" i="6"/>
  <c r="I490" i="6"/>
  <c r="I492" i="6"/>
  <c r="A440" i="6" l="1"/>
  <c r="I440" i="6"/>
  <c r="A586" i="6" l="1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9" i="6"/>
  <c r="A560" i="6"/>
  <c r="A556" i="6"/>
  <c r="A557" i="6"/>
  <c r="A558" i="6"/>
  <c r="A561" i="6"/>
  <c r="A562" i="6"/>
  <c r="A563" i="6"/>
  <c r="A564" i="6"/>
  <c r="A565" i="6"/>
  <c r="A566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9" i="6"/>
  <c r="I560" i="6"/>
  <c r="I556" i="6"/>
  <c r="I557" i="6"/>
  <c r="I558" i="6"/>
  <c r="I561" i="6"/>
  <c r="I562" i="6"/>
  <c r="I563" i="6"/>
  <c r="I564" i="6"/>
  <c r="I565" i="6"/>
  <c r="I566" i="6"/>
  <c r="A876" i="6" l="1"/>
  <c r="I876" i="6"/>
  <c r="A632" i="6" l="1"/>
  <c r="A633" i="6"/>
  <c r="A634" i="6"/>
  <c r="A635" i="6"/>
  <c r="A636" i="6"/>
  <c r="A637" i="6"/>
  <c r="A638" i="6"/>
  <c r="A639" i="6"/>
  <c r="A640" i="6"/>
  <c r="A641" i="6"/>
  <c r="A642" i="6"/>
  <c r="A643" i="6"/>
  <c r="A646" i="6"/>
  <c r="A644" i="6"/>
  <c r="A649" i="6"/>
  <c r="A645" i="6"/>
  <c r="A650" i="6"/>
  <c r="A651" i="6"/>
  <c r="A647" i="6"/>
  <c r="A648" i="6"/>
  <c r="A652" i="6"/>
  <c r="A653" i="6"/>
  <c r="A654" i="6"/>
  <c r="A655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6" i="6"/>
  <c r="I644" i="6"/>
  <c r="I649" i="6"/>
  <c r="I645" i="6"/>
  <c r="I650" i="6"/>
  <c r="I651" i="6"/>
  <c r="I647" i="6"/>
  <c r="I648" i="6"/>
  <c r="I652" i="6"/>
  <c r="I653" i="6"/>
  <c r="I654" i="6"/>
  <c r="I655" i="6"/>
  <c r="A494" i="6"/>
  <c r="A495" i="6"/>
  <c r="A496" i="6"/>
  <c r="A497" i="6"/>
  <c r="A498" i="6"/>
  <c r="A499" i="6"/>
  <c r="A500" i="6"/>
  <c r="A666" i="6"/>
  <c r="A667" i="6"/>
  <c r="A668" i="6"/>
  <c r="A669" i="6"/>
  <c r="A670" i="6"/>
  <c r="A671" i="6"/>
  <c r="A672" i="6"/>
  <c r="A826" i="6"/>
  <c r="A827" i="6"/>
  <c r="A828" i="6"/>
  <c r="A829" i="6"/>
  <c r="A830" i="6"/>
  <c r="A831" i="6"/>
  <c r="A832" i="6"/>
  <c r="A909" i="6"/>
  <c r="A910" i="6"/>
  <c r="A911" i="6"/>
  <c r="A912" i="6"/>
  <c r="A913" i="6"/>
  <c r="A914" i="6"/>
  <c r="A915" i="6"/>
  <c r="I494" i="6"/>
  <c r="I495" i="6"/>
  <c r="I496" i="6"/>
  <c r="I497" i="6"/>
  <c r="I498" i="6"/>
  <c r="I499" i="6"/>
  <c r="I500" i="6"/>
  <c r="I666" i="6"/>
  <c r="I667" i="6"/>
  <c r="I668" i="6"/>
  <c r="I669" i="6"/>
  <c r="I670" i="6"/>
  <c r="I671" i="6"/>
  <c r="I672" i="6"/>
  <c r="I826" i="6"/>
  <c r="I827" i="6"/>
  <c r="I828" i="6"/>
  <c r="I829" i="6"/>
  <c r="I830" i="6"/>
  <c r="I831" i="6"/>
  <c r="I832" i="6"/>
  <c r="I909" i="6"/>
  <c r="I910" i="6"/>
  <c r="I911" i="6"/>
  <c r="I912" i="6"/>
  <c r="I913" i="6"/>
  <c r="I914" i="6"/>
  <c r="I915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1" i="6" l="1"/>
  <c r="A503" i="6"/>
  <c r="A502" i="6"/>
  <c r="A504" i="6"/>
  <c r="A505" i="6"/>
  <c r="A506" i="6"/>
  <c r="A507" i="6"/>
  <c r="A508" i="6"/>
  <c r="A510" i="6"/>
  <c r="A511" i="6"/>
  <c r="A509" i="6"/>
  <c r="A512" i="6"/>
  <c r="A513" i="6"/>
  <c r="A514" i="6"/>
  <c r="A515" i="6"/>
  <c r="A516" i="6"/>
  <c r="A517" i="6"/>
  <c r="A518" i="6"/>
  <c r="A519" i="6"/>
  <c r="I501" i="6"/>
  <c r="I503" i="6"/>
  <c r="I502" i="6"/>
  <c r="I504" i="6"/>
  <c r="I505" i="6"/>
  <c r="I506" i="6"/>
  <c r="I507" i="6"/>
  <c r="I508" i="6"/>
  <c r="I510" i="6"/>
  <c r="I511" i="6"/>
  <c r="I509" i="6"/>
  <c r="I512" i="6"/>
  <c r="I513" i="6"/>
  <c r="I514" i="6"/>
  <c r="I515" i="6"/>
  <c r="I516" i="6"/>
  <c r="I517" i="6"/>
  <c r="I518" i="6"/>
  <c r="I519" i="6"/>
  <c r="A373" i="6" l="1"/>
  <c r="I373" i="6"/>
  <c r="A370" i="6"/>
  <c r="I370" i="6"/>
  <c r="A369" i="6"/>
  <c r="I369" i="6"/>
  <c r="A567" i="6" l="1"/>
  <c r="A569" i="6"/>
  <c r="A568" i="6"/>
  <c r="A570" i="6"/>
  <c r="A571" i="6"/>
  <c r="A572" i="6"/>
  <c r="A573" i="6"/>
  <c r="A574" i="6"/>
  <c r="A575" i="6"/>
  <c r="A576" i="6"/>
  <c r="A579" i="6"/>
  <c r="A580" i="6"/>
  <c r="A577" i="6"/>
  <c r="A578" i="6"/>
  <c r="A581" i="6"/>
  <c r="A582" i="6"/>
  <c r="A583" i="6"/>
  <c r="A584" i="6"/>
  <c r="A585" i="6"/>
  <c r="I567" i="6"/>
  <c r="I569" i="6"/>
  <c r="I568" i="6"/>
  <c r="I570" i="6"/>
  <c r="I571" i="6"/>
  <c r="I572" i="6"/>
  <c r="I573" i="6"/>
  <c r="I574" i="6"/>
  <c r="I575" i="6"/>
  <c r="I576" i="6"/>
  <c r="I579" i="6"/>
  <c r="I580" i="6"/>
  <c r="I577" i="6"/>
  <c r="I578" i="6"/>
  <c r="I581" i="6"/>
  <c r="I582" i="6"/>
  <c r="I583" i="6"/>
  <c r="I584" i="6"/>
  <c r="I585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871" i="6"/>
  <c r="I872" i="6"/>
  <c r="I873" i="6"/>
  <c r="I874" i="6"/>
  <c r="I875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871" i="6"/>
  <c r="A872" i="6"/>
  <c r="A873" i="6"/>
  <c r="A874" i="6"/>
  <c r="A875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<sst xmlns="http://schemas.openxmlformats.org/spreadsheetml/2006/main" count="3862" uniqueCount="725">
  <si>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</si>
  <si>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</si>
  <si>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</si>
  <si>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</si>
  <si>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</si>
  <si>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</si>
  <si>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</si>
  <si>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</si>
  <si>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</si>
  <si>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</si>
  <si>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</si>
  <si>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</si>
  <si>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</si>
  <si>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</si>
  <si>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</si>
  <si>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</si>
  <si>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</si>
  <si>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</si>
  <si>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</si>
  <si>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</si>
  <si>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</si>
  <si>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</si>
  <si>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</si>
  <si>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</si>
  <si>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</si>
  <si>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</si>
  <si>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</si>
  <si>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</si>
  <si>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</si>
  <si>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</si>
  <si>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</si>
  <si>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</si>
  <si>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</si>
  <si>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</si>
  <si>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</si>
  <si>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</si>
  <si>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</si>
  <si>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</si>
  <si>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</si>
  <si>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</si>
  <si>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</si>
  <si>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</si>
  <si>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</si>
  <si>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</si>
  <si>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</si>
  <si>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</si>
  <si>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</si>
  <si>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</si>
  <si>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</si>
  <si>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</si>
  <si>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</si>
  <si>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</si>
  <si>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</si>
  <si>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</si>
  <si>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</si>
  <si>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</si>
  <si>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</si>
  <si>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</si>
  <si>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</si>
  <si>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</si>
  <si>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</si>
  <si>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</si>
  <si>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</si>
  <si>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</si>
  <si>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</si>
  <si>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</si>
  <si>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</si>
  <si>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</si>
  <si>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</si>
  <si>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</si>
  <si>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</si>
  <si>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</si>
  <si>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</si>
  <si>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</si>
  <si>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</si>
  <si>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</si>
  <si>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</si>
  <si>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</si>
  <si>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</si>
  <si>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</si>
  <si>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</si>
  <si>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</si>
  <si>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</si>
  <si>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</si>
  <si>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</si>
  <si>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</si>
  <si>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</si>
  <si>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</si>
  <si>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</si>
  <si>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</si>
  <si>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</si>
  <si>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</si>
  <si>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</si>
  <si>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</si>
  <si>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</si>
  <si>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</si>
  <si>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</si>
  <si>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</si>
  <si>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</si>
  <si>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</si>
  <si>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</si>
  <si>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</si>
  <si>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</si>
  <si>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</si>
  <si>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</si>
  <si>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</si>
  <si>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</si>
  <si>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</si>
  <si>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</si>
  <si>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</si>
  <si>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</si>
  <si>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</si>
  <si>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</si>
  <si>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</si>
  <si>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</si>
  <si>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</si>
  <si>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</si>
  <si>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</si>
  <si>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</si>
  <si>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</si>
  <si>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</si>
  <si>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</si>
  <si>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</si>
  <si>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</si>
  <si>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</si>
  <si>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</si>
  <si>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</si>
  <si>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</si>
  <si>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</si>
  <si>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</si>
  <si>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</si>
  <si>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</si>
  <si>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</si>
  <si>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</si>
  <si>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</si>
  <si>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</si>
  <si>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</si>
  <si>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</si>
  <si>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</si>
  <si>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</si>
  <si>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</si>
  <si>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</si>
  <si>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</si>
  <si>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</si>
  <si>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</si>
  <si>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</si>
  <si>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</si>
  <si>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</si>
  <si>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</si>
  <si>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</si>
  <si>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</si>
  <si>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</si>
  <si>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</si>
  <si>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</si>
  <si>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</si>
  <si>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</si>
  <si>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</si>
  <si>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</si>
  <si>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</si>
  <si>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</si>
  <si>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</si>
  <si>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</si>
  <si>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</si>
  <si>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</si>
  <si>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</si>
  <si>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</si>
  <si>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</si>
  <si>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</si>
  <si>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</si>
  <si>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</si>
  <si>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</si>
  <si>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</si>
  <si>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</si>
  <si>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</si>
  <si>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</si>
  <si>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</si>
  <si>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</si>
  <si>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</si>
  <si>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</si>
  <si>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</si>
  <si>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</si>
  <si>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</si>
  <si>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</si>
  <si>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</si>
  <si>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</si>
  <si>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</si>
  <si>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</si>
  <si>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</si>
  <si>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</si>
  <si>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</si>
  <si>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</si>
  <si>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</si>
  <si>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</si>
  <si>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</si>
  <si>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</si>
  <si>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</si>
  <si>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</si>
  <si>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</si>
  <si>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</si>
  <si>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</si>
  <si>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</si>
  <si>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</si>
  <si>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</si>
  <si>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</si>
  <si>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</si>
  <si>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</si>
  <si>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</si>
  <si>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</si>
  <si>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</si>
  <si>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</si>
  <si>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</si>
  <si>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</si>
  <si>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</si>
  <si>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</si>
  <si>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</si>
  <si>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</si>
  <si>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</si>
  <si>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</si>
  <si>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</si>
  <si>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</si>
  <si>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</si>
  <si>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</si>
  <si>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</si>
  <si>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</si>
  <si>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</si>
  <si>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</si>
  <si>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</si>
  <si>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</si>
  <si>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</si>
  <si>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</si>
  <si>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</si>
  <si>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</si>
  <si>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</si>
  <si>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</si>
  <si>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</si>
  <si>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</si>
  <si>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</si>
  <si>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</si>
  <si>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</si>
  <si>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</si>
  <si>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</si>
  <si>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</si>
  <si>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</si>
  <si>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</si>
  <si>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</si>
  <si>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</si>
  <si>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</si>
  <si>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</si>
  <si>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</si>
  <si>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</si>
  <si>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</si>
  <si>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</si>
  <si>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</si>
  <si>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</si>
  <si>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</si>
  <si>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</si>
  <si>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</si>
  <si>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</si>
  <si>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</si>
  <si>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</si>
  <si>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</si>
  <si>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</si>
  <si>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</si>
  <si>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</si>
  <si>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</si>
  <si>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</si>
  <si>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</si>
  <si>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</si>
  <si>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</si>
  <si>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</si>
  <si>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</si>
  <si>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</si>
  <si>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</si>
  <si>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</si>
  <si>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</si>
  <si>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</si>
  <si>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</si>
  <si>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</si>
  <si>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</si>
  <si>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</si>
  <si>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</si>
  <si>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</si>
  <si>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</si>
  <si>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</si>
  <si>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</si>
  <si>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</si>
  <si>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</si>
  <si>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</si>
  <si>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</si>
  <si>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</si>
  <si>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</si>
  <si>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</si>
  <si>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</si>
  <si>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</si>
  <si>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</si>
  <si>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</si>
  <si>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</si>
  <si>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</si>
  <si>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</si>
  <si>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</si>
  <si>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</si>
  <si>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</si>
  <si>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</si>
  <si>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</si>
  <si>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</si>
  <si>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</si>
  <si>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</si>
  <si>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</si>
  <si>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</si>
  <si>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</si>
  <si>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</si>
  <si>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</si>
  <si>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</si>
  <si>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</si>
  <si>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</si>
  <si>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</si>
  <si>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</si>
  <si>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</si>
  <si>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</si>
  <si>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</si>
  <si>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</si>
  <si>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</si>
  <si>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</si>
  <si>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</si>
  <si>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</si>
  <si>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</si>
  <si>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</si>
  <si>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</si>
  <si>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</si>
  <si>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</si>
  <si>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</si>
  <si>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</si>
  <si>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</si>
  <si>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</si>
  <si>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</si>
  <si>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</si>
  <si>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</si>
  <si>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</si>
  <si>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</si>
  <si>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</si>
  <si>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</si>
  <si>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</si>
  <si>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</si>
  <si>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</si>
  <si>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</si>
  <si>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</si>
  <si>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</si>
  <si>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</si>
  <si>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</si>
  <si>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</si>
  <si>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</si>
  <si>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</si>
  <si>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</si>
  <si>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</si>
  <si>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</si>
  <si>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</si>
  <si>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</si>
  <si>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</si>
  <si>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</si>
  <si>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</si>
  <si>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</si>
  <si>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</si>
  <si>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</si>
  <si>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</si>
  <si>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</si>
  <si>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</si>
  <si>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</si>
  <si>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</si>
  <si>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</si>
  <si>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</si>
  <si>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</si>
  <si>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</si>
  <si>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</si>
  <si>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</si>
  <si>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</si>
  <si>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</si>
  <si>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</si>
  <si>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</si>
  <si>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</si>
  <si>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</si>
  <si>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</si>
  <si>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</si>
  <si>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</si>
  <si>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</si>
  <si>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</si>
  <si>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</si>
  <si>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</si>
  <si>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</si>
  <si>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</si>
  <si>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</si>
  <si>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</si>
  <si>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</si>
  <si>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</si>
  <si>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</si>
  <si>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</si>
  <si>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</si>
  <si>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</si>
  <si>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</si>
  <si>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</si>
  <si>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</si>
  <si>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</si>
  <si>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</si>
  <si>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</si>
  <si>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</si>
  <si>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</si>
  <si>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</si>
  <si>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</si>
  <si>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</si>
  <si>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</si>
  <si>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</si>
  <si>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</si>
  <si>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</si>
  <si>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</si>
  <si>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</si>
  <si>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</si>
  <si>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</si>
  <si>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</si>
  <si>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</si>
  <si>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</si>
  <si>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</si>
  <si>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</si>
  <si>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</si>
  <si>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</si>
  <si>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</si>
  <si>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</si>
  <si>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</si>
  <si>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</si>
  <si>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</si>
  <si>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</si>
  <si>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</si>
  <si>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</si>
  <si>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</si>
  <si>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</si>
  <si>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</si>
  <si>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</si>
  <si>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</si>
  <si>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</si>
  <si>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</si>
  <si>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</si>
  <si>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</si>
  <si>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</si>
  <si>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</si>
  <si>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</si>
  <si>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</si>
  <si>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</si>
  <si>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</si>
  <si>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</si>
  <si>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</si>
  <si>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</si>
  <si>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</si>
  <si>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</si>
  <si>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</si>
  <si>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</si>
  <si>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</si>
  <si>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</si>
  <si>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</si>
  <si>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</si>
  <si>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</si>
  <si>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</si>
  <si>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</si>
  <si>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</si>
  <si>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</si>
  <si>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</si>
  <si>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</si>
  <si>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</si>
  <si>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</si>
  <si>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</si>
  <si>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</si>
  <si>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</si>
  <si>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</si>
  <si>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</si>
  <si>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</si>
  <si>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</si>
  <si>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</si>
  <si>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</si>
  <si>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</si>
  <si>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</si>
  <si>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</si>
  <si>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</si>
  <si>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</si>
  <si>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</si>
  <si>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</si>
  <si>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</si>
  <si>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</si>
  <si>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</si>
  <si>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</si>
  <si>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</si>
  <si>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</si>
  <si>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</si>
  <si>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</si>
  <si>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</si>
  <si>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</si>
  <si>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</si>
  <si>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</si>
  <si>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</si>
  <si>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</si>
  <si>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</si>
  <si>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</si>
  <si>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</si>
  <si>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</si>
  <si>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</si>
  <si>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</si>
  <si>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</si>
  <si>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</si>
  <si>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</si>
  <si>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</si>
  <si>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</si>
  <si>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</si>
  <si>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</si>
  <si>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</si>
  <si>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</si>
  <si>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</si>
  <si>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</si>
  <si>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</si>
  <si>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</si>
  <si>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</si>
  <si>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</si>
  <si>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</si>
  <si>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</si>
  <si>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</si>
  <si>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</si>
  <si>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</si>
  <si>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</si>
  <si>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</si>
  <si>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</si>
  <si>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</si>
  <si>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</si>
  <si>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</si>
  <si>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</si>
  <si>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</si>
  <si>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</si>
  <si>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</si>
  <si>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</si>
  <si>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</si>
  <si>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</si>
  <si>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</si>
  <si>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</si>
  <si>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</si>
  <si>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</si>
  <si>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</si>
  <si>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</si>
  <si>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</si>
  <si>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</si>
  <si>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</si>
  <si>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</si>
  <si>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</si>
  <si>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</si>
  <si>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</si>
  <si>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</si>
  <si>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</si>
  <si>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</si>
  <si>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</si>
  <si>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</si>
  <si>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</si>
  <si>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</si>
  <si>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</si>
  <si>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</si>
  <si>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</si>
  <si>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</si>
  <si>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</si>
  <si>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</si>
  <si>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</si>
  <si>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</si>
  <si>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</si>
  <si>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</si>
  <si>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</si>
  <si>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</si>
  <si>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</si>
  <si>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</si>
  <si>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</si>
  <si>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</si>
  <si>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</si>
  <si>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</si>
  <si>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</si>
  <si>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</si>
  <si>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</si>
  <si>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</si>
  <si>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</si>
  <si>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</si>
  <si>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</si>
  <si>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</si>
  <si>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</si>
  <si>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</si>
  <si>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</si>
  <si>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</si>
  <si>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</si>
  <si>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</si>
  <si>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</si>
  <si>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</si>
  <si>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</si>
  <si>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</si>
  <si>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</si>
  <si>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</si>
  <si>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</si>
  <si>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</si>
  <si>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</si>
  <si>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</si>
  <si>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</si>
  <si>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</si>
  <si>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</si>
  <si>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</si>
  <si>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</si>
  <si>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</si>
  <si>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</si>
  <si>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</si>
  <si>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</si>
  <si>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</si>
  <si>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</si>
  <si>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</si>
  <si>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</si>
  <si>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</si>
  <si>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</si>
  <si>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</si>
  <si>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</si>
  <si>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</si>
  <si>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</si>
  <si>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</si>
  <si>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</si>
  <si>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20GP</t>
    <phoneticPr fontId="1" type="noConversion"/>
  </si>
  <si>
    <t>HLCUSHA1902HGPE3A</t>
    <phoneticPr fontId="1" type="noConversion"/>
  </si>
  <si>
    <t>HLCUSHA1902HGPE3B</t>
    <phoneticPr fontId="1" type="noConversion"/>
  </si>
  <si>
    <t>40GP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</si>
  <si>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</si>
  <si>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</si>
  <si>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</si>
  <si>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</si>
  <si>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</si>
  <si>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</si>
  <si>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</si>
  <si>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</si>
  <si>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</si>
  <si>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</si>
  <si>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</si>
  <si>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</si>
  <si>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</si>
  <si>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万盛出去清单（下午三点）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</si>
  <si>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</si>
  <si>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</si>
  <si>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</si>
  <si>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</si>
  <si>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</si>
  <si>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</si>
  <si>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</si>
  <si>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</si>
  <si>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</si>
  <si>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</si>
  <si>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</si>
  <si>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</si>
  <si>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</si>
  <si>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</si>
  <si>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</si>
  <si>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万盛出运清单（下午三点）</t>
    <phoneticPr fontId="1" type="noConversion"/>
  </si>
  <si>
    <t>根据JS mobis订舱需求回Neo邮件</t>
    <phoneticPr fontId="1" type="noConversion"/>
  </si>
  <si>
    <t>SHA GLV WORKING PROCESS</t>
    <phoneticPr fontId="1" type="noConversion"/>
  </si>
  <si>
    <t>TJ glovis额外费用邮件</t>
    <phoneticPr fontId="1" type="noConversion"/>
  </si>
  <si>
    <t>WORKING PROCESS</t>
    <phoneticPr fontId="1" type="noConversion"/>
  </si>
  <si>
    <t>万盛出运清单（下午三点）</t>
    <phoneticPr fontId="1" type="noConversion"/>
  </si>
  <si>
    <t>计划</t>
    <phoneticPr fontId="1" type="noConversion"/>
  </si>
  <si>
    <t>开航日期应为5-28左右，跟常靓确认要不要改</t>
    <phoneticPr fontId="1" type="noConversion"/>
  </si>
  <si>
    <t>万盛</t>
  </si>
  <si>
    <t>万盛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</si>
  <si>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</si>
  <si>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</si>
  <si>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</si>
  <si>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</si>
  <si>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</si>
  <si>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</si>
  <si>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</si>
  <si>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</si>
  <si>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</si>
  <si>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</si>
  <si>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</si>
  <si>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</si>
  <si>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</si>
  <si>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</si>
  <si>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</si>
  <si>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</si>
  <si>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</si>
  <si>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</si>
  <si>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</si>
  <si>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</si>
  <si>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</si>
  <si>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</si>
  <si>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</si>
  <si>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</si>
  <si>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HDMUQSWB4063517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</si>
  <si>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</si>
  <si>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</si>
  <si>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</si>
  <si>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</si>
  <si>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</si>
  <si>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</si>
  <si>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</si>
  <si>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</si>
  <si>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</si>
  <si>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</si>
  <si>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</si>
  <si>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</si>
  <si>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</si>
  <si>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</si>
  <si>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</si>
  <si>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</si>
  <si>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HDMUQSII8339010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</si>
  <si>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</si>
  <si>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</si>
  <si>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</si>
  <si>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</si>
  <si>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</si>
  <si>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</si>
  <si>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</si>
  <si>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</si>
  <si>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</si>
  <si>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</si>
  <si>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</si>
  <si>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</si>
  <si>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</si>
  <si>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</si>
  <si>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</si>
  <si>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</si>
  <si>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HDMUQSWB4063521</t>
    <phoneticPr fontId="1" type="noConversion"/>
  </si>
  <si>
    <t>TCLU4006601</t>
    <phoneticPr fontId="1" type="noConversion"/>
  </si>
  <si>
    <t>HDMUQSWB4063503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</si>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</sst>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3" fillId="0" borderId="5" xfId="0" applyFont="1" applyBorder="1">
      <alignment vertical="center"/>
    </xf>
  </cellXfs>
  <cellStyles count="2">
    <cellStyle name="常规" xfId="0" builtinId="0"/>
    <cellStyle name="超链接" xfId="1" builtinId="8"/>
  </cellStyles>
  <dxfs count="47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咚咚呛" refreshedDate="43623.399736226849" createdVersion="6" refreshedVersion="6" minRefreshableVersion="3" recordCount="914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1">
        <s v="ZDS"/>
        <s v="1 MONTH"/>
        <s v="HMI"/>
        <s v="KMM"/>
        <s v="0 WEEK"/>
        <s v="JS mobis"/>
        <s v="SC glovis"/>
        <s v="WX mobis"/>
        <s v="万盛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30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4T00:00:00"/>
        <d v="2019-05-31T01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3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20T00:00:00"/>
        <d v="2019-06-14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1T00:00:00"/>
        <d v="2019-06-13T00:00:00"/>
        <d v="2019-06-17T00:00:00"/>
        <d v="2019-06-19T00:00:00"/>
        <d v="2019-06-21T00:00:00"/>
        <d v="2019-06-16T00:00:00"/>
        <d v="2019-06-18T00:00:00"/>
        <d v="2019-06-15T00:00:00"/>
        <d v="2019-06-24T00:00:00"/>
        <d v="2019-06-26T00:00:00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" maxValue="2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1015-0 ZDS"/>
    <x v="0"/>
    <x v="0"/>
    <n v="1"/>
    <s v="汇总 WORKING PROCESS"/>
    <x v="0"/>
    <x v="0"/>
    <m/>
    <n v="-25"/>
  </r>
  <r>
    <s v="1015-0 ZDS"/>
    <x v="0"/>
    <x v="0"/>
    <n v="2"/>
    <s v="整理HMI KMM 费用"/>
    <x v="1"/>
    <x v="0"/>
    <m/>
    <n v="-29"/>
  </r>
  <r>
    <s v="1015-0 ZDS"/>
    <x v="0"/>
    <x v="0"/>
    <n v="3"/>
    <s v="流水和流程进港报关顺序调整"/>
    <x v="2"/>
    <x v="0"/>
    <m/>
    <n v="-24"/>
  </r>
  <r>
    <s v="0501-0 1 MONTH"/>
    <x v="1"/>
    <x v="1"/>
    <n v="1"/>
    <s v="TJ glovis当月额外费用汇总邮件"/>
    <x v="3"/>
    <x v="0"/>
    <s v="月底"/>
    <n v="-9"/>
  </r>
  <r>
    <s v="0501-0 1 MONTH"/>
    <x v="1"/>
    <x v="1"/>
    <n v="2"/>
    <s v="CK TJ glovis有没有驳货费"/>
    <x v="3"/>
    <x v="0"/>
    <s v="月底"/>
    <n v="-9"/>
  </r>
  <r>
    <s v="0501-0 HMI"/>
    <x v="2"/>
    <x v="1"/>
    <n v="1"/>
    <s v="做费用(对账单日期4号)，放公共盘，填月账单表，发孙丹"/>
    <x v="4"/>
    <x v="0"/>
    <m/>
    <n v="-28"/>
  </r>
  <r>
    <s v="0501-0 KMM"/>
    <x v="3"/>
    <x v="1"/>
    <n v="1"/>
    <s v="做费用(对账单日期4号)，放公共盘，填月账单表，发孙丹"/>
    <x v="4"/>
    <x v="0"/>
    <m/>
    <n v="-28"/>
  </r>
  <r>
    <s v="0506-0 0 WEEK"/>
    <x v="4"/>
    <x v="2"/>
    <n v="1"/>
    <s v="HMM Neo 下周订舱邮件"/>
    <x v="5"/>
    <x v="0"/>
    <s v="周一"/>
    <n v="-37"/>
  </r>
  <r>
    <s v="0506-0 0 WEEK"/>
    <x v="4"/>
    <x v="2"/>
    <n v="2"/>
    <s v="SHA GLV WORKING PROCESS"/>
    <x v="5"/>
    <x v="0"/>
    <s v="周一"/>
    <n v="-37"/>
  </r>
  <r>
    <s v="0506-0 0 WEEK"/>
    <x v="4"/>
    <x v="2"/>
    <n v="3"/>
    <s v="SHA GLV WORKING PROCESS"/>
    <x v="6"/>
    <x v="0"/>
    <s v="周三"/>
    <n v="-30"/>
  </r>
  <r>
    <s v="0506-0 0 WEEK"/>
    <x v="4"/>
    <x v="2"/>
    <n v="4"/>
    <s v="TJ glovis额外费用邮件"/>
    <x v="4"/>
    <x v="0"/>
    <s v="周五"/>
    <n v="-28"/>
  </r>
  <r>
    <s v="0506-0 0 WEEK"/>
    <x v="4"/>
    <x v="2"/>
    <n v="5"/>
    <s v="SHA GLV WORKING PROCESS"/>
    <x v="4"/>
    <x v="0"/>
    <s v="周五"/>
    <n v="-28"/>
  </r>
  <r>
    <s v="0506-0 0 WEEK"/>
    <x v="4"/>
    <x v="2"/>
    <n v="6"/>
    <s v="TJ GLV WORKING PROCESS"/>
    <x v="4"/>
    <x v="0"/>
    <s v="周五"/>
    <n v="-28"/>
  </r>
  <r>
    <s v="0508-0 HMI"/>
    <x v="2"/>
    <x v="3"/>
    <n v="1"/>
    <s v="做费用(对账单日期4号)，放公共盘，填月账单表，发孙丹"/>
    <x v="4"/>
    <x v="0"/>
    <m/>
    <n v="-28"/>
  </r>
  <r>
    <s v="0508-0 KMM"/>
    <x v="3"/>
    <x v="3"/>
    <n v="1"/>
    <s v="做费用(对账单日期4号)，放公共盘，填月账单表，发孙丹"/>
    <x v="4"/>
    <x v="0"/>
    <m/>
    <n v="-28"/>
  </r>
  <r>
    <s v="0510-0 JS mobis"/>
    <x v="5"/>
    <x v="4"/>
    <n v="1"/>
    <s v="收到客户(周嘉敏)订舱预报"/>
    <x v="7"/>
    <x v="0"/>
    <s v="一般周五发隔周"/>
    <n v="-42"/>
  </r>
  <r>
    <s v="0510-0 JS mobis"/>
    <x v="5"/>
    <x v="4"/>
    <n v="2"/>
    <s v="收到HMM(Neo)预订舱邮件通知"/>
    <x v="8"/>
    <x v="0"/>
    <s v="一般周一发下周"/>
    <n v="-40"/>
  </r>
  <r>
    <s v="0510-0 JS mobis"/>
    <x v="5"/>
    <x v="4"/>
    <n v="3"/>
    <s v="回复HMM(Neo)预订舱邮件"/>
    <x v="8"/>
    <x v="0"/>
    <m/>
    <n v="-40"/>
  </r>
  <r>
    <s v="0510-0 JS mobis"/>
    <x v="5"/>
    <x v="4"/>
    <n v="4"/>
    <s v="收到HMM(Neo)预订舱确认"/>
    <x v="8"/>
    <x v="0"/>
    <s v="一般马上"/>
    <n v="-40"/>
  </r>
  <r>
    <s v="0510-0 JS mobis"/>
    <x v="5"/>
    <x v="4"/>
    <n v="5"/>
    <s v="公共盘生成提单号"/>
    <x v="8"/>
    <x v="0"/>
    <m/>
    <n v="-40"/>
  </r>
  <r>
    <s v="0510-0 JS mobis"/>
    <x v="5"/>
    <x v="4"/>
    <n v="6"/>
    <s v="YJC系统生成单子"/>
    <x v="8"/>
    <x v="0"/>
    <m/>
    <n v="-40"/>
  </r>
  <r>
    <s v="0510-0 JS mobis"/>
    <x v="5"/>
    <x v="4"/>
    <n v="7"/>
    <s v="发EDI"/>
    <x v="8"/>
    <x v="0"/>
    <m/>
    <n v="-40"/>
  </r>
  <r>
    <s v="0510-0 JS mobis"/>
    <x v="5"/>
    <x v="4"/>
    <n v="8"/>
    <s v="邮件申请放单"/>
    <x v="8"/>
    <x v="0"/>
    <m/>
    <n v="-40"/>
  </r>
  <r>
    <s v="0510-0 JS mobis"/>
    <x v="5"/>
    <x v="4"/>
    <n v="9"/>
    <s v="收到HMM(Neo) 放单确认"/>
    <x v="9"/>
    <x v="0"/>
    <s v="一般半天内"/>
    <n v="-39"/>
  </r>
  <r>
    <s v="0510-0 JS mobis"/>
    <x v="5"/>
    <x v="4"/>
    <n v="10"/>
    <s v="HMM网站核对订舱信息"/>
    <x v="9"/>
    <x v="0"/>
    <m/>
    <n v="-39"/>
  </r>
  <r>
    <s v="0510-0 JS mobis"/>
    <x v="5"/>
    <x v="4"/>
    <n v="11"/>
    <s v="收到客户(周嘉敏)做箱通知"/>
    <x v="10"/>
    <x v="0"/>
    <s v="一般做箱头天一早"/>
    <n v="-32"/>
  </r>
  <r>
    <s v="0510-0 JS mobis"/>
    <x v="5"/>
    <x v="4"/>
    <n v="12"/>
    <s v="发做箱通知邮件给车队(沈丽)"/>
    <x v="10"/>
    <x v="0"/>
    <m/>
    <n v="-32"/>
  </r>
  <r>
    <s v="0510-0 JS mobis"/>
    <x v="5"/>
    <x v="4"/>
    <n v="13"/>
    <s v="公共盘生成提单号【如需拆单】"/>
    <x v="10"/>
    <x v="0"/>
    <m/>
    <n v="-32"/>
  </r>
  <r>
    <s v="0510-0 JS mobis"/>
    <x v="5"/>
    <x v="4"/>
    <n v="14"/>
    <s v="YJC系统生成单子【如需拆单】"/>
    <x v="10"/>
    <x v="0"/>
    <m/>
    <n v="-32"/>
  </r>
  <r>
    <s v="0510-0 JS mobis"/>
    <x v="5"/>
    <x v="4"/>
    <n v="15"/>
    <s v="发EDI【如需拆单】"/>
    <x v="10"/>
    <x v="0"/>
    <m/>
    <n v="-32"/>
  </r>
  <r>
    <s v="0510-0 JS mobis"/>
    <x v="5"/>
    <x v="4"/>
    <n v="16"/>
    <s v="邮件申请放单【如需拆单】"/>
    <x v="10"/>
    <x v="0"/>
    <m/>
    <n v="-32"/>
  </r>
  <r>
    <s v="0510-0 JS mobis"/>
    <x v="5"/>
    <x v="4"/>
    <n v="17"/>
    <s v="收到HMM(Neo) 放单确认【如需拆单】"/>
    <x v="10"/>
    <x v="0"/>
    <m/>
    <n v="-32"/>
  </r>
  <r>
    <s v="0510-0 JS mobis"/>
    <x v="5"/>
    <x v="4"/>
    <n v="18"/>
    <s v="HMM网站核对订舱信息【如需拆单】"/>
    <x v="10"/>
    <x v="0"/>
    <m/>
    <n v="-32"/>
  </r>
  <r>
    <s v="0510-0 JS mobis"/>
    <x v="5"/>
    <x v="4"/>
    <n v="19"/>
    <s v="收到客户(周嘉敏)发来做箱数据(报关资料)"/>
    <x v="11"/>
    <x v="0"/>
    <s v="一般做箱当天一早"/>
    <n v="-31"/>
  </r>
  <r>
    <s v="0510-0 JS mobis"/>
    <x v="5"/>
    <x v="4"/>
    <n v="20"/>
    <s v="按报关(发票)数生成提单号【如发票数超过提单数】"/>
    <x v="11"/>
    <x v="0"/>
    <m/>
    <n v="-31"/>
  </r>
  <r>
    <s v="0510-0 JS mobis"/>
    <x v="5"/>
    <x v="4"/>
    <n v="21"/>
    <s v="做做箱数据，QQ发车队(沈丽)"/>
    <x v="11"/>
    <x v="0"/>
    <m/>
    <n v="-31"/>
  </r>
  <r>
    <s v="0510-0 JS mobis"/>
    <x v="5"/>
    <x v="4"/>
    <n v="22"/>
    <s v="做报关资料，扫描发报关行(黄寅文)QQ"/>
    <x v="11"/>
    <x v="0"/>
    <m/>
    <n v="-31"/>
  </r>
  <r>
    <s v="0510-0 JS mobis"/>
    <x v="5"/>
    <x v="4"/>
    <n v="23"/>
    <s v="收到车队(沈丽)装箱单"/>
    <x v="11"/>
    <x v="0"/>
    <s v="一般马上"/>
    <n v="-31"/>
  </r>
  <r>
    <s v="0510-0 JS mobis"/>
    <x v="5"/>
    <x v="4"/>
    <n v="24"/>
    <s v="YJC系统填截单数据，发EDI，邮件HMM(He)生成提单"/>
    <x v="11"/>
    <x v="0"/>
    <s v="注意截单时间"/>
    <n v="-31"/>
  </r>
  <r>
    <s v="0510-0 JS mobis"/>
    <x v="5"/>
    <x v="4"/>
    <n v="25"/>
    <s v="收到HMM(He)生成提单通知"/>
    <x v="11"/>
    <x v="0"/>
    <s v="一般马上"/>
    <n v="-31"/>
  </r>
  <r>
    <s v="0510-0 JS mobis"/>
    <x v="5"/>
    <x v="4"/>
    <n v="26"/>
    <s v="HMM网站核对提单信息"/>
    <x v="11"/>
    <x v="0"/>
    <m/>
    <n v="-31"/>
  </r>
  <r>
    <s v="0510-0 JS mobis"/>
    <x v="5"/>
    <x v="4"/>
    <n v="27"/>
    <s v="做保函给邹师傅"/>
    <x v="11"/>
    <x v="0"/>
    <m/>
    <n v="-31"/>
  </r>
  <r>
    <s v="0510-0 JS mobis"/>
    <x v="5"/>
    <x v="4"/>
    <n v="28"/>
    <s v="发VGM和舱单"/>
    <x v="11"/>
    <x v="0"/>
    <m/>
    <n v="-31"/>
  </r>
  <r>
    <s v="0510-0 JS mobis"/>
    <x v="5"/>
    <x v="4"/>
    <n v="29"/>
    <s v="做ISF，发国外资料"/>
    <x v="11"/>
    <x v="0"/>
    <m/>
    <n v="-31"/>
  </r>
  <r>
    <s v="0510-0 JS mobis"/>
    <x v="5"/>
    <x v="4"/>
    <n v="30"/>
    <s v="买保险"/>
    <x v="11"/>
    <x v="0"/>
    <m/>
    <n v="-31"/>
  </r>
  <r>
    <s v="0510-0 JS mobis"/>
    <x v="5"/>
    <x v="4"/>
    <n v="31"/>
    <s v="盯海关网站舱单"/>
    <x v="11"/>
    <x v="0"/>
    <s v="一般两小时左右"/>
    <n v="-31"/>
  </r>
  <r>
    <s v="0510-0 JS mobis"/>
    <x v="5"/>
    <x v="4"/>
    <n v="32"/>
    <s v="核对舱单信息"/>
    <x v="11"/>
    <x v="0"/>
    <m/>
    <n v="-31"/>
  </r>
  <r>
    <s v="0510-0 JS mobis"/>
    <x v="5"/>
    <x v="4"/>
    <n v="33"/>
    <s v="收到报关行(黄寅文)校对稿，邮件发客户(周嘉敏)确认"/>
    <x v="11"/>
    <x v="0"/>
    <s v="一般半天内"/>
    <n v="-31"/>
  </r>
  <r>
    <s v="0510-0 JS mobis"/>
    <x v="5"/>
    <x v="4"/>
    <n v="34"/>
    <s v="收到客户(周嘉敏)确认校对稿，通知报关行(黄寅文)"/>
    <x v="11"/>
    <x v="0"/>
    <s v="一般马上"/>
    <n v="-31"/>
  </r>
  <r>
    <s v="0510-0 JS mobis"/>
    <x v="5"/>
    <x v="4"/>
    <n v="35"/>
    <s v="通知报关行(黄寅文)报关(开港、舱单、校对)"/>
    <x v="11"/>
    <x v="0"/>
    <m/>
    <n v="-31"/>
  </r>
  <r>
    <s v="0510-0 JS mobis"/>
    <x v="5"/>
    <x v="4"/>
    <n v="36"/>
    <s v="收到报关成功通知"/>
    <x v="11"/>
    <x v="0"/>
    <s v="一般下班前"/>
    <n v="-31"/>
  </r>
  <r>
    <s v="0510-0 JS mobis"/>
    <x v="5"/>
    <x v="4"/>
    <n v="37"/>
    <s v="通知车队(沈丽)可进港"/>
    <x v="11"/>
    <x v="0"/>
    <m/>
    <n v="-31"/>
  </r>
  <r>
    <s v="0510-0 JS mobis"/>
    <x v="5"/>
    <x v="4"/>
    <n v="38"/>
    <s v="盯箱子进港"/>
    <x v="6"/>
    <x v="0"/>
    <m/>
    <n v="-30"/>
  </r>
  <r>
    <s v="0510-0 JS mobis"/>
    <x v="5"/>
    <x v="4"/>
    <n v="39"/>
    <s v="核对进港数据"/>
    <x v="6"/>
    <x v="0"/>
    <m/>
    <n v="-30"/>
  </r>
  <r>
    <s v="0510-0 JS mobis"/>
    <x v="5"/>
    <x v="4"/>
    <n v="40"/>
    <s v="盯海放"/>
    <x v="6"/>
    <x v="0"/>
    <m/>
    <n v="-30"/>
  </r>
  <r>
    <s v="0510-0 JS mobis"/>
    <x v="5"/>
    <x v="4"/>
    <n v="41"/>
    <s v="盯码放"/>
    <x v="1"/>
    <x v="0"/>
    <m/>
    <n v="-29"/>
  </r>
  <r>
    <s v="0510-0 JS mobis"/>
    <x v="5"/>
    <x v="4"/>
    <n v="42"/>
    <s v="盯配载"/>
    <x v="4"/>
    <x v="0"/>
    <m/>
    <n v="-28"/>
  </r>
  <r>
    <s v="0510-0 JS mobis"/>
    <x v="5"/>
    <x v="4"/>
    <n v="43"/>
    <s v="做费用，发账单给谢梦婕"/>
    <x v="4"/>
    <x v="0"/>
    <m/>
    <n v="-28"/>
  </r>
  <r>
    <s v="0510-0 JS mobis"/>
    <x v="5"/>
    <x v="4"/>
    <n v="44"/>
    <s v="船开"/>
    <x v="12"/>
    <x v="0"/>
    <m/>
    <n v="-27"/>
  </r>
  <r>
    <s v="0510-0 JS mobis"/>
    <x v="5"/>
    <x v="4"/>
    <n v="45"/>
    <s v="放单"/>
    <x v="0"/>
    <x v="0"/>
    <s v="一般开船后两三天"/>
    <n v="-25"/>
  </r>
  <r>
    <s v="0513-0 0 WEEK"/>
    <x v="4"/>
    <x v="5"/>
    <n v="1"/>
    <s v="HMM Neo 下周订舱邮件"/>
    <x v="0"/>
    <x v="0"/>
    <s v="周一"/>
    <n v="-25"/>
  </r>
  <r>
    <s v="0513-0 0 WEEK"/>
    <x v="4"/>
    <x v="5"/>
    <n v="2"/>
    <s v="SHA GLV WORKING PROCESS"/>
    <x v="0"/>
    <x v="0"/>
    <s v="周一"/>
    <n v="-25"/>
  </r>
  <r>
    <s v="0513-0 0 WEEK"/>
    <x v="4"/>
    <x v="5"/>
    <n v="3"/>
    <s v="SHA GLV WORKING PROCESS"/>
    <x v="13"/>
    <x v="0"/>
    <s v="周三"/>
    <n v="-23"/>
  </r>
  <r>
    <s v="0513-0 0 WEEK"/>
    <x v="4"/>
    <x v="5"/>
    <n v="4"/>
    <s v="TJ glovis额外费用邮件"/>
    <x v="14"/>
    <x v="0"/>
    <s v="周五"/>
    <n v="-21"/>
  </r>
  <r>
    <s v="0513-0 0 WEEK"/>
    <x v="4"/>
    <x v="5"/>
    <n v="5"/>
    <s v="SHA GLV WORKING PROCESS"/>
    <x v="14"/>
    <x v="0"/>
    <s v="周五"/>
    <n v="-21"/>
  </r>
  <r>
    <s v="0513-0 0 WEEK"/>
    <x v="4"/>
    <x v="5"/>
    <n v="6"/>
    <s v="TJ GLV WORKING PROCESS"/>
    <x v="14"/>
    <x v="0"/>
    <s v="周五"/>
    <n v="-21"/>
  </r>
  <r>
    <s v="0515-0 HMI"/>
    <x v="2"/>
    <x v="6"/>
    <n v="1"/>
    <s v="收到孙丹发来订舱托书(CK也收到)"/>
    <x v="15"/>
    <x v="0"/>
    <m/>
    <n v="-38"/>
  </r>
  <r>
    <s v="0515-0 HMI"/>
    <x v="2"/>
    <x v="6"/>
    <n v="2"/>
    <s v="收到CK发来预配(做箱通知)"/>
    <x v="10"/>
    <x v="0"/>
    <m/>
    <n v="-32"/>
  </r>
  <r>
    <s v="0515-0 HMI"/>
    <x v="2"/>
    <x v="6"/>
    <n v="3"/>
    <s v="收到包装厂(刘倩梅)发来包装指示书和装箱计划"/>
    <x v="4"/>
    <x v="0"/>
    <s v="一般周四"/>
    <n v="-28"/>
  </r>
  <r>
    <s v="0515-0 HMI"/>
    <x v="2"/>
    <x v="6"/>
    <n v="4"/>
    <s v="根据装箱计划汇总包装数据，发各工厂做报关资料"/>
    <x v="1"/>
    <x v="0"/>
    <m/>
    <n v="-29"/>
  </r>
  <r>
    <s v="0515-0 HMI"/>
    <x v="2"/>
    <x v="6"/>
    <n v="5"/>
    <s v="做做箱数据，邮件群发"/>
    <x v="4"/>
    <x v="0"/>
    <m/>
    <n v="-28"/>
  </r>
  <r>
    <s v="0515-0 HMI"/>
    <x v="2"/>
    <x v="6"/>
    <n v="6"/>
    <s v="收到工厂发来报关资料并完善"/>
    <x v="12"/>
    <x v="0"/>
    <s v="当天至隔天"/>
    <n v="-27"/>
  </r>
  <r>
    <s v="0515-0 HMI"/>
    <x v="2"/>
    <x v="6"/>
    <n v="7"/>
    <s v="报关资料齐了，发报关行(黄寅文)"/>
    <x v="0"/>
    <x v="0"/>
    <m/>
    <n v="-25"/>
  </r>
  <r>
    <s v="0515-0 HMI"/>
    <x v="2"/>
    <x v="6"/>
    <n v="8"/>
    <s v="收到车队(沈丽)装箱单和洋山提箱截图(如有)"/>
    <x v="0"/>
    <x v="0"/>
    <s v="一般KMM五、HMI日"/>
    <n v="-25"/>
  </r>
  <r>
    <s v="0515-0 HMI"/>
    <x v="2"/>
    <x v="6"/>
    <n v="9"/>
    <s v="群发装箱单和洋山提箱截图(如有)【05-13 09:00】"/>
    <x v="0"/>
    <x v="0"/>
    <s v="注意截单时间"/>
    <n v="-25"/>
  </r>
  <r>
    <s v="0515-0 HMI"/>
    <x v="2"/>
    <x v="6"/>
    <n v="10"/>
    <s v="通知发舱单"/>
    <x v="0"/>
    <x v="0"/>
    <m/>
    <n v="-25"/>
  </r>
  <r>
    <s v="0515-0 HMI"/>
    <x v="2"/>
    <x v="6"/>
    <n v="11"/>
    <s v="收到舱单发送成功通知，核对舱单信息"/>
    <x v="2"/>
    <x v="0"/>
    <m/>
    <n v="-24"/>
  </r>
  <r>
    <s v="0515-0 HMI"/>
    <x v="2"/>
    <x v="6"/>
    <n v="12"/>
    <s v="通知进港，进港(核对数据)，通知报关，报关成功"/>
    <x v="2"/>
    <x v="0"/>
    <s v="根据港区"/>
    <n v="-24"/>
  </r>
  <r>
    <s v="0515-0 HMI"/>
    <x v="2"/>
    <x v="6"/>
    <n v="13"/>
    <s v="盯海放"/>
    <x v="2"/>
    <x v="0"/>
    <m/>
    <n v="-24"/>
  </r>
  <r>
    <s v="0515-0 HMI"/>
    <x v="2"/>
    <x v="6"/>
    <n v="14"/>
    <s v="盯码放"/>
    <x v="2"/>
    <x v="0"/>
    <m/>
    <n v="-24"/>
  </r>
  <r>
    <s v="0515-0 HMI"/>
    <x v="2"/>
    <x v="6"/>
    <n v="15"/>
    <s v="盯配载"/>
    <x v="13"/>
    <x v="0"/>
    <m/>
    <n v="-23"/>
  </r>
  <r>
    <s v="0515-0 HMI"/>
    <x v="2"/>
    <x v="6"/>
    <n v="16"/>
    <s v="做费用(对账单日期4号)，放公共盘，填月账单表，发孙丹"/>
    <x v="13"/>
    <x v="0"/>
    <m/>
    <n v="-23"/>
  </r>
  <r>
    <s v="0515-0 JS mobis"/>
    <x v="5"/>
    <x v="6"/>
    <n v="1"/>
    <s v="收到客户(周嘉敏)订舱预报"/>
    <x v="7"/>
    <x v="0"/>
    <s v="一般周五发隔周"/>
    <n v="-42"/>
  </r>
  <r>
    <s v="0515-0 JS mobis"/>
    <x v="5"/>
    <x v="6"/>
    <n v="2"/>
    <s v="收到HMM(Neo)预订舱邮件通知"/>
    <x v="10"/>
    <x v="0"/>
    <s v="一般周一发下周"/>
    <n v="-32"/>
  </r>
  <r>
    <s v="0515-0 JS mobis"/>
    <x v="5"/>
    <x v="6"/>
    <n v="3"/>
    <s v="回复HMM(Neo)预订舱邮件"/>
    <x v="10"/>
    <x v="0"/>
    <m/>
    <n v="-32"/>
  </r>
  <r>
    <s v="0515-0 JS mobis"/>
    <x v="5"/>
    <x v="6"/>
    <n v="4"/>
    <s v="收到HMM(Neo)预订舱确认"/>
    <x v="10"/>
    <x v="0"/>
    <s v="一般马上"/>
    <n v="-32"/>
  </r>
  <r>
    <s v="0515-0 JS mobis"/>
    <x v="5"/>
    <x v="6"/>
    <n v="5"/>
    <s v="公共盘生成提单号"/>
    <x v="10"/>
    <x v="0"/>
    <m/>
    <n v="-32"/>
  </r>
  <r>
    <s v="0515-0 JS mobis"/>
    <x v="5"/>
    <x v="6"/>
    <n v="6"/>
    <s v="YJC系统生成单子"/>
    <x v="10"/>
    <x v="0"/>
    <m/>
    <n v="-32"/>
  </r>
  <r>
    <s v="0515-0 JS mobis"/>
    <x v="5"/>
    <x v="6"/>
    <n v="7"/>
    <s v="发EDI"/>
    <x v="10"/>
    <x v="0"/>
    <m/>
    <n v="-32"/>
  </r>
  <r>
    <s v="0515-0 JS mobis"/>
    <x v="5"/>
    <x v="6"/>
    <n v="8"/>
    <s v="邮件申请放单"/>
    <x v="11"/>
    <x v="0"/>
    <m/>
    <n v="-31"/>
  </r>
  <r>
    <s v="0515-0 JS mobis"/>
    <x v="5"/>
    <x v="6"/>
    <n v="9"/>
    <s v="收到HMM(Neo) 放单确认"/>
    <x v="11"/>
    <x v="0"/>
    <s v="一般半天内"/>
    <n v="-31"/>
  </r>
  <r>
    <s v="0515-0 JS mobis"/>
    <x v="5"/>
    <x v="6"/>
    <n v="10"/>
    <s v="HMM网站核对订舱信息"/>
    <x v="11"/>
    <x v="0"/>
    <m/>
    <n v="-31"/>
  </r>
  <r>
    <s v="0515-0 JS mobis"/>
    <x v="5"/>
    <x v="6"/>
    <n v="11"/>
    <s v="收到客户（周嘉敏）取消通知邮件"/>
    <x v="1"/>
    <x v="0"/>
    <m/>
    <n v="-29"/>
  </r>
  <r>
    <s v="0515-0 JS mobis"/>
    <x v="5"/>
    <x v="6"/>
    <n v="12"/>
    <s v="YJC系统取消"/>
    <x v="1"/>
    <x v="0"/>
    <m/>
    <n v="-29"/>
  </r>
  <r>
    <s v="0515-0 JS mobis"/>
    <x v="5"/>
    <x v="6"/>
    <n v="13"/>
    <s v="邮件通知Neo取消"/>
    <x v="1"/>
    <x v="0"/>
    <m/>
    <n v="-29"/>
  </r>
  <r>
    <s v="0515-0 JS mobis"/>
    <x v="5"/>
    <x v="6"/>
    <n v="14"/>
    <s v="收到HMM(Neo)确认取消"/>
    <x v="1"/>
    <x v="0"/>
    <m/>
    <n v="-29"/>
  </r>
  <r>
    <s v="0515-0 KMM"/>
    <x v="3"/>
    <x v="6"/>
    <n v="1"/>
    <s v="收到孙丹发来订舱托书(CK也收到)"/>
    <x v="15"/>
    <x v="0"/>
    <m/>
    <n v="-38"/>
  </r>
  <r>
    <s v="0515-0 KMM"/>
    <x v="3"/>
    <x v="6"/>
    <n v="2"/>
    <s v="收到CK发来预配(做箱通知)"/>
    <x v="11"/>
    <x v="0"/>
    <m/>
    <n v="-31"/>
  </r>
  <r>
    <s v="0515-0 KMM"/>
    <x v="3"/>
    <x v="6"/>
    <n v="3"/>
    <s v="收到包装厂(刘倩梅)发来包装指示书和装箱计划"/>
    <x v="1"/>
    <x v="0"/>
    <s v="一般周四"/>
    <n v="-29"/>
  </r>
  <r>
    <s v="0515-0 KMM"/>
    <x v="3"/>
    <x v="6"/>
    <n v="4"/>
    <s v="根据装箱计划汇总包装数据，发各工厂做报关资料"/>
    <x v="1"/>
    <x v="0"/>
    <m/>
    <n v="-29"/>
  </r>
  <r>
    <s v="0515-0 KMM"/>
    <x v="3"/>
    <x v="6"/>
    <n v="5"/>
    <s v="做做箱数据，邮件群发"/>
    <x v="1"/>
    <x v="0"/>
    <m/>
    <n v="-29"/>
  </r>
  <r>
    <s v="0515-0 KMM"/>
    <x v="3"/>
    <x v="6"/>
    <n v="6"/>
    <s v="收到工厂发来报关资料并完善"/>
    <x v="1"/>
    <x v="0"/>
    <s v="当天至隔天"/>
    <n v="-29"/>
  </r>
  <r>
    <s v="0515-0 KMM"/>
    <x v="3"/>
    <x v="6"/>
    <n v="7"/>
    <s v="报关资料齐了，发报关行(黄寅文)"/>
    <x v="1"/>
    <x v="0"/>
    <m/>
    <n v="-29"/>
  </r>
  <r>
    <s v="0515-0 KMM"/>
    <x v="3"/>
    <x v="6"/>
    <n v="8"/>
    <s v="收到车队(沈丽)装箱单和洋山提箱截图(如有)"/>
    <x v="4"/>
    <x v="0"/>
    <s v="一般KMM五、HMI日"/>
    <n v="-28"/>
  </r>
  <r>
    <s v="0515-0 KMM"/>
    <x v="3"/>
    <x v="6"/>
    <n v="9"/>
    <s v="群发装箱单和洋山提箱截图(如有)【05-10 09:00】"/>
    <x v="4"/>
    <x v="0"/>
    <s v="注意截单时间"/>
    <n v="-28"/>
  </r>
  <r>
    <s v="0515-0 KMM"/>
    <x v="3"/>
    <x v="6"/>
    <n v="10"/>
    <s v="通知发舱单"/>
    <x v="4"/>
    <x v="0"/>
    <m/>
    <n v="-28"/>
  </r>
  <r>
    <s v="0515-0 KMM"/>
    <x v="3"/>
    <x v="6"/>
    <n v="11"/>
    <s v="收到舱单发送成功通知，核对舱单信息"/>
    <x v="4"/>
    <x v="0"/>
    <m/>
    <n v="-28"/>
  </r>
  <r>
    <s v="0515-0 KMM"/>
    <x v="3"/>
    <x v="6"/>
    <n v="12"/>
    <s v="通知进港，进港(核对数据)，通知报关，报关成功"/>
    <x v="4"/>
    <x v="0"/>
    <s v="根据港区"/>
    <n v="-28"/>
  </r>
  <r>
    <s v="0515-0 KMM"/>
    <x v="3"/>
    <x v="6"/>
    <n v="13"/>
    <s v="盯海放"/>
    <x v="4"/>
    <x v="0"/>
    <m/>
    <n v="-28"/>
  </r>
  <r>
    <s v="0515-0 KMM"/>
    <x v="3"/>
    <x v="6"/>
    <n v="14"/>
    <s v="盯码放"/>
    <x v="0"/>
    <x v="0"/>
    <m/>
    <n v="-25"/>
  </r>
  <r>
    <s v="0515-0 KMM"/>
    <x v="3"/>
    <x v="6"/>
    <n v="15"/>
    <s v="盯配载"/>
    <x v="2"/>
    <x v="0"/>
    <m/>
    <n v="-24"/>
  </r>
  <r>
    <s v="0515-0 KMM"/>
    <x v="3"/>
    <x v="6"/>
    <n v="16"/>
    <s v="做费用(对账单日期4号)，放公共盘，填月账单表，发孙丹"/>
    <x v="13"/>
    <x v="0"/>
    <m/>
    <n v="-23"/>
  </r>
  <r>
    <s v="0517-0 JS mobis"/>
    <x v="5"/>
    <x v="7"/>
    <n v="1"/>
    <s v="收到客户(周嘉敏)订舱预报"/>
    <x v="7"/>
    <x v="1"/>
    <s v="一般周五发隔周"/>
    <n v="-42"/>
  </r>
  <r>
    <s v="0517-0 JS mobis"/>
    <x v="5"/>
    <x v="7"/>
    <n v="2"/>
    <s v="收到HMM(Neo)预订舱邮件通知"/>
    <x v="10"/>
    <x v="1"/>
    <s v="一般周一发下周"/>
    <n v="-32"/>
  </r>
  <r>
    <s v="0517-0 JS mobis"/>
    <x v="5"/>
    <x v="7"/>
    <n v="3"/>
    <s v="回复HMM(Neo)预订舱邮件"/>
    <x v="10"/>
    <x v="1"/>
    <m/>
    <n v="-32"/>
  </r>
  <r>
    <s v="0517-0 JS mobis"/>
    <x v="5"/>
    <x v="7"/>
    <n v="4"/>
    <s v="收到HMM(Neo)预订舱确认"/>
    <x v="10"/>
    <x v="1"/>
    <s v="一般马上"/>
    <n v="-32"/>
  </r>
  <r>
    <s v="0517-0 JS mobis"/>
    <x v="5"/>
    <x v="7"/>
    <n v="5"/>
    <s v="公共盘生成提单号"/>
    <x v="10"/>
    <x v="1"/>
    <m/>
    <n v="-32"/>
  </r>
  <r>
    <s v="0517-0 JS mobis"/>
    <x v="5"/>
    <x v="7"/>
    <n v="6"/>
    <s v="YJC系统生成单子"/>
    <x v="10"/>
    <x v="1"/>
    <m/>
    <n v="-32"/>
  </r>
  <r>
    <s v="0517-0 JS mobis"/>
    <x v="5"/>
    <x v="7"/>
    <n v="7"/>
    <s v="发EDI"/>
    <x v="11"/>
    <x v="1"/>
    <m/>
    <n v="-31"/>
  </r>
  <r>
    <s v="0517-0 JS mobis"/>
    <x v="5"/>
    <x v="7"/>
    <n v="8"/>
    <s v="邮件申请放单"/>
    <x v="11"/>
    <x v="1"/>
    <m/>
    <n v="-31"/>
  </r>
  <r>
    <s v="0517-0 JS mobis"/>
    <x v="5"/>
    <x v="7"/>
    <n v="9"/>
    <s v="收到HMM(Neo) 放单确认"/>
    <x v="11"/>
    <x v="1"/>
    <s v="一般半天内"/>
    <n v="-31"/>
  </r>
  <r>
    <s v="0517-0 JS mobis"/>
    <x v="5"/>
    <x v="7"/>
    <n v="10"/>
    <s v="HMM网站核对订舱信息"/>
    <x v="11"/>
    <x v="1"/>
    <m/>
    <n v="-31"/>
  </r>
  <r>
    <s v="0517-0 JS mobis"/>
    <x v="5"/>
    <x v="7"/>
    <n v="11"/>
    <s v="收到客户(周嘉敏)做箱通知"/>
    <x v="0"/>
    <x v="1"/>
    <s v="一般做箱头天一早"/>
    <n v="-25"/>
  </r>
  <r>
    <s v="0517-0 JS mobis"/>
    <x v="5"/>
    <x v="7"/>
    <n v="12"/>
    <s v="发做箱通知邮件给车队(沈丽)"/>
    <x v="0"/>
    <x v="1"/>
    <m/>
    <n v="-25"/>
  </r>
  <r>
    <s v="0517-0 JS mobis"/>
    <x v="5"/>
    <x v="7"/>
    <n v="13"/>
    <s v="公共盘生成提单号【如需拆单】"/>
    <x v="0"/>
    <x v="1"/>
    <m/>
    <n v="-25"/>
  </r>
  <r>
    <s v="0517-0 JS mobis"/>
    <x v="5"/>
    <x v="7"/>
    <n v="14"/>
    <s v="YJC系统生成单子【如需拆单】"/>
    <x v="0"/>
    <x v="1"/>
    <m/>
    <n v="-25"/>
  </r>
  <r>
    <s v="0517-0 JS mobis"/>
    <x v="5"/>
    <x v="7"/>
    <n v="15"/>
    <s v="发EDI【如需拆单】"/>
    <x v="0"/>
    <x v="1"/>
    <m/>
    <n v="-25"/>
  </r>
  <r>
    <s v="0517-0 JS mobis"/>
    <x v="5"/>
    <x v="7"/>
    <n v="16"/>
    <s v="邮件申请放单【如需拆单】"/>
    <x v="0"/>
    <x v="1"/>
    <m/>
    <n v="-25"/>
  </r>
  <r>
    <s v="0517-0 JS mobis"/>
    <x v="5"/>
    <x v="7"/>
    <n v="17"/>
    <s v="收到HMM(Neo) 放单确认【如需拆单】"/>
    <x v="0"/>
    <x v="1"/>
    <m/>
    <n v="-25"/>
  </r>
  <r>
    <s v="0517-0 JS mobis"/>
    <x v="5"/>
    <x v="7"/>
    <n v="18"/>
    <s v="HMM网站核对订舱信息【如需拆单】"/>
    <x v="0"/>
    <x v="1"/>
    <m/>
    <n v="-25"/>
  </r>
  <r>
    <s v="0517-0 JS mobis"/>
    <x v="5"/>
    <x v="7"/>
    <n v="19"/>
    <s v="收到客户(周嘉敏)发来做箱数据(报关资料)"/>
    <x v="2"/>
    <x v="1"/>
    <s v="一般做箱当天一早"/>
    <n v="-24"/>
  </r>
  <r>
    <s v="0517-0 JS mobis"/>
    <x v="5"/>
    <x v="7"/>
    <n v="20"/>
    <s v="按报关(发票)数生成提单号【如发票数超过提单数】"/>
    <x v="2"/>
    <x v="1"/>
    <m/>
    <n v="-24"/>
  </r>
  <r>
    <s v="0517-0 JS mobis"/>
    <x v="5"/>
    <x v="7"/>
    <n v="21"/>
    <s v="做做箱数据，QQ发车队(沈丽)"/>
    <x v="2"/>
    <x v="1"/>
    <m/>
    <n v="-24"/>
  </r>
  <r>
    <s v="0517-0 JS mobis"/>
    <x v="5"/>
    <x v="7"/>
    <n v="22"/>
    <s v="做报关资料，扫描发报关行(黄寅文)QQ"/>
    <x v="2"/>
    <x v="1"/>
    <m/>
    <n v="-24"/>
  </r>
  <r>
    <s v="0517-0 JS mobis"/>
    <x v="5"/>
    <x v="7"/>
    <n v="23"/>
    <s v="收到车队(沈丽)装箱单"/>
    <x v="2"/>
    <x v="1"/>
    <s v="一般马上"/>
    <n v="-24"/>
  </r>
  <r>
    <s v="0517-0 JS mobis"/>
    <x v="5"/>
    <x v="7"/>
    <n v="24"/>
    <s v="YJC系统截单，发EDI，邮件HMM(He)【5-14 12:00】"/>
    <x v="2"/>
    <x v="1"/>
    <s v="注意截单时间"/>
    <n v="-24"/>
  </r>
  <r>
    <s v="0517-0 JS mobis"/>
    <x v="5"/>
    <x v="7"/>
    <n v="25"/>
    <s v="收到HMM(He)生成提单通知"/>
    <x v="2"/>
    <x v="1"/>
    <s v="一般马上"/>
    <n v="-24"/>
  </r>
  <r>
    <s v="0517-0 JS mobis"/>
    <x v="5"/>
    <x v="7"/>
    <n v="26"/>
    <s v="HMM网站核对提单信息"/>
    <x v="2"/>
    <x v="1"/>
    <m/>
    <n v="-24"/>
  </r>
  <r>
    <s v="0517-0 JS mobis"/>
    <x v="5"/>
    <x v="7"/>
    <n v="27"/>
    <s v="做保函给邹师傅"/>
    <x v="2"/>
    <x v="1"/>
    <m/>
    <n v="-24"/>
  </r>
  <r>
    <s v="0517-0 JS mobis"/>
    <x v="5"/>
    <x v="7"/>
    <n v="28"/>
    <s v="发VGM和舱单"/>
    <x v="2"/>
    <x v="1"/>
    <m/>
    <n v="-24"/>
  </r>
  <r>
    <s v="0517-0 JS mobis"/>
    <x v="5"/>
    <x v="7"/>
    <n v="29"/>
    <s v="做ISF，发国外资料"/>
    <x v="2"/>
    <x v="1"/>
    <m/>
    <n v="-24"/>
  </r>
  <r>
    <s v="0517-0 JS mobis"/>
    <x v="5"/>
    <x v="7"/>
    <n v="30"/>
    <s v="买保险"/>
    <x v="2"/>
    <x v="1"/>
    <m/>
    <n v="-24"/>
  </r>
  <r>
    <s v="0517-0 JS mobis"/>
    <x v="5"/>
    <x v="7"/>
    <n v="31"/>
    <s v="盯海关网站舱单"/>
    <x v="2"/>
    <x v="1"/>
    <s v="一般两小时左右"/>
    <n v="-24"/>
  </r>
  <r>
    <s v="0517-0 JS mobis"/>
    <x v="5"/>
    <x v="7"/>
    <n v="32"/>
    <s v="核对舱单信息"/>
    <x v="2"/>
    <x v="1"/>
    <m/>
    <n v="-24"/>
  </r>
  <r>
    <s v="0517-0 JS mobis"/>
    <x v="5"/>
    <x v="7"/>
    <n v="33"/>
    <s v="收到报关行(黄寅文)校对稿，邮件发客户(周嘉敏)确认"/>
    <x v="2"/>
    <x v="1"/>
    <s v="一般半天内"/>
    <n v="-24"/>
  </r>
  <r>
    <s v="0517-0 JS mobis"/>
    <x v="5"/>
    <x v="7"/>
    <n v="34"/>
    <s v="收到客户(周嘉敏)确认校对稿，通知报关行(黄寅文)"/>
    <x v="2"/>
    <x v="1"/>
    <s v="一般马上"/>
    <n v="-24"/>
  </r>
  <r>
    <s v="0517-0 JS mobis"/>
    <x v="5"/>
    <x v="7"/>
    <n v="35"/>
    <s v="通知报关行(黄寅文)报关(需有开港)"/>
    <x v="2"/>
    <x v="1"/>
    <m/>
    <n v="-24"/>
  </r>
  <r>
    <s v="0517-0 JS mobis"/>
    <x v="5"/>
    <x v="7"/>
    <n v="36"/>
    <s v="收到报关成功通知"/>
    <x v="2"/>
    <x v="1"/>
    <s v="一般下班前"/>
    <n v="-24"/>
  </r>
  <r>
    <s v="0517-0 JS mobis"/>
    <x v="5"/>
    <x v="7"/>
    <n v="37"/>
    <s v="通知车队(沈丽)可进港"/>
    <x v="2"/>
    <x v="1"/>
    <m/>
    <n v="-24"/>
  </r>
  <r>
    <s v="0517-0 JS mobis"/>
    <x v="5"/>
    <x v="7"/>
    <n v="38"/>
    <s v="盯箱子进港"/>
    <x v="13"/>
    <x v="1"/>
    <m/>
    <n v="-23"/>
  </r>
  <r>
    <s v="0517-0 JS mobis"/>
    <x v="5"/>
    <x v="7"/>
    <n v="39"/>
    <s v="核对进港数据"/>
    <x v="13"/>
    <x v="1"/>
    <m/>
    <n v="-23"/>
  </r>
  <r>
    <s v="0517-0 JS mobis"/>
    <x v="5"/>
    <x v="7"/>
    <n v="40"/>
    <s v="盯海放"/>
    <x v="13"/>
    <x v="1"/>
    <m/>
    <n v="-23"/>
  </r>
  <r>
    <s v="0517-0 JS mobis"/>
    <x v="5"/>
    <x v="7"/>
    <n v="41"/>
    <s v="盯码放"/>
    <x v="13"/>
    <x v="1"/>
    <m/>
    <n v="-23"/>
  </r>
  <r>
    <s v="0517-0 JS mobis"/>
    <x v="5"/>
    <x v="7"/>
    <n v="42"/>
    <s v="盯配载"/>
    <x v="13"/>
    <x v="1"/>
    <m/>
    <n v="-23"/>
  </r>
  <r>
    <s v="0517-0 JS mobis"/>
    <x v="5"/>
    <x v="7"/>
    <n v="43"/>
    <s v="船开"/>
    <x v="14"/>
    <x v="1"/>
    <m/>
    <n v="-21"/>
  </r>
  <r>
    <s v="0517-0 JS mobis"/>
    <x v="5"/>
    <x v="7"/>
    <n v="44"/>
    <s v="做费用"/>
    <x v="14"/>
    <x v="1"/>
    <m/>
    <n v="-21"/>
  </r>
  <r>
    <s v="0517-0 JS mobis"/>
    <x v="5"/>
    <x v="7"/>
    <n v="45"/>
    <s v="发账单"/>
    <x v="14"/>
    <x v="1"/>
    <m/>
    <n v="-21"/>
  </r>
  <r>
    <s v="0517-0 JS mobis"/>
    <x v="5"/>
    <x v="7"/>
    <n v="46"/>
    <s v="放单"/>
    <x v="16"/>
    <x v="1"/>
    <s v="一般开船后两三天"/>
    <n v="-18"/>
  </r>
  <r>
    <s v="0517-0 SC glovis"/>
    <x v="6"/>
    <x v="7"/>
    <n v="1"/>
    <s v="收到客户托书"/>
    <x v="11"/>
    <x v="0"/>
    <m/>
    <n v="-31"/>
  </r>
  <r>
    <s v="0517-0 SC glovis"/>
    <x v="6"/>
    <x v="7"/>
    <n v="2"/>
    <s v="生成单号，YJC系统，发EDI，邮件Neo放舱"/>
    <x v="11"/>
    <x v="0"/>
    <m/>
    <n v="-31"/>
  </r>
  <r>
    <s v="0517-0 SC glovis"/>
    <x v="6"/>
    <x v="7"/>
    <n v="3"/>
    <s v="收到Neo放舱确认"/>
    <x v="6"/>
    <x v="0"/>
    <m/>
    <n v="-30"/>
  </r>
  <r>
    <s v="0517-0 SC glovis"/>
    <x v="6"/>
    <x v="7"/>
    <n v="4"/>
    <s v="发预配信息给客户（张婷）"/>
    <x v="6"/>
    <x v="0"/>
    <m/>
    <n v="-30"/>
  </r>
  <r>
    <s v="0517-0 SC glovis"/>
    <x v="6"/>
    <x v="7"/>
    <n v="5"/>
    <s v="收到客户（张婷）报关资料"/>
    <x v="0"/>
    <x v="0"/>
    <m/>
    <n v="-25"/>
  </r>
  <r>
    <s v="0517-0 SC glovis"/>
    <x v="6"/>
    <x v="7"/>
    <n v="6"/>
    <s v="做报关资料，发报关行（黄寅文）"/>
    <x v="0"/>
    <x v="0"/>
    <m/>
    <n v="-25"/>
  </r>
  <r>
    <s v="0517-0 SC glovis"/>
    <x v="6"/>
    <x v="7"/>
    <n v="7"/>
    <s v="收到客户（张婷）舱单模板和VGM"/>
    <x v="0"/>
    <x v="0"/>
    <m/>
    <n v="-25"/>
  </r>
  <r>
    <s v="0517-0 SC glovis"/>
    <x v="6"/>
    <x v="7"/>
    <n v="8"/>
    <s v="发舱单和VGM"/>
    <x v="0"/>
    <x v="0"/>
    <m/>
    <n v="-25"/>
  </r>
  <r>
    <s v="0517-0 SC glovis"/>
    <x v="6"/>
    <x v="7"/>
    <n v="9"/>
    <s v="YJC系统改准确数据，发ESI，邮件何生成提单"/>
    <x v="0"/>
    <x v="0"/>
    <m/>
    <n v="-25"/>
  </r>
  <r>
    <s v="0517-0 SC glovis"/>
    <x v="6"/>
    <x v="7"/>
    <n v="10"/>
    <s v="收到生成提单邮件，网站核对信息"/>
    <x v="2"/>
    <x v="0"/>
    <m/>
    <n v="-24"/>
  </r>
  <r>
    <s v="0517-0 SC glovis"/>
    <x v="6"/>
    <x v="7"/>
    <n v="11"/>
    <s v="海关有舱单，核对舱单"/>
    <x v="0"/>
    <x v="0"/>
    <m/>
    <n v="-25"/>
  </r>
  <r>
    <s v="0517-0 SC glovis"/>
    <x v="6"/>
    <x v="7"/>
    <n v="12"/>
    <s v="有开港，通知报关"/>
    <x v="0"/>
    <x v="0"/>
    <m/>
    <n v="-25"/>
  </r>
  <r>
    <s v="0517-0 SC glovis"/>
    <x v="6"/>
    <x v="7"/>
    <n v="13"/>
    <s v="发提单确认（两份）"/>
    <x v="2"/>
    <x v="0"/>
    <m/>
    <n v="-24"/>
  </r>
  <r>
    <s v="0517-0 SC glovis"/>
    <x v="6"/>
    <x v="7"/>
    <n v="14"/>
    <s v="收到报关成功通知"/>
    <x v="2"/>
    <x v="0"/>
    <m/>
    <n v="-24"/>
  </r>
  <r>
    <s v="0517-0 SC glovis"/>
    <x v="6"/>
    <x v="7"/>
    <n v="15"/>
    <s v="通知可进港"/>
    <x v="2"/>
    <x v="0"/>
    <m/>
    <n v="-24"/>
  </r>
  <r>
    <s v="0517-0 SC glovis"/>
    <x v="6"/>
    <x v="7"/>
    <n v="16"/>
    <s v="收到客户（张婷）提单确认"/>
    <x v="2"/>
    <x v="0"/>
    <m/>
    <n v="-24"/>
  </r>
  <r>
    <s v="0517-0 SC glovis"/>
    <x v="6"/>
    <x v="7"/>
    <n v="17"/>
    <s v="船公司发好AMS，发来信息"/>
    <x v="2"/>
    <x v="0"/>
    <m/>
    <n v="-24"/>
  </r>
  <r>
    <s v="0517-0 SC glovis"/>
    <x v="6"/>
    <x v="7"/>
    <n v="18"/>
    <s v="收到客户寄来电放保函，盖YJC章，交师傅送胡小姐"/>
    <x v="13"/>
    <x v="0"/>
    <m/>
    <n v="-23"/>
  </r>
  <r>
    <s v="0517-0 SC glovis"/>
    <x v="6"/>
    <x v="7"/>
    <n v="19"/>
    <s v="船开"/>
    <x v="16"/>
    <x v="0"/>
    <m/>
    <n v="-18"/>
  </r>
  <r>
    <s v="0517-0 SC glovis"/>
    <x v="6"/>
    <x v="7"/>
    <n v="20"/>
    <s v="等船公司费用有了，和金小姐一起确定客户费用"/>
    <x v="17"/>
    <x v="0"/>
    <m/>
    <n v="-16"/>
  </r>
  <r>
    <s v="0517-0 SC glovis"/>
    <x v="6"/>
    <x v="7"/>
    <n v="21"/>
    <s v="收到费用确认，放单"/>
    <x v="18"/>
    <x v="0"/>
    <m/>
    <n v="-11"/>
  </r>
  <r>
    <s v="0517-0 SC glovis"/>
    <x v="6"/>
    <x v="7"/>
    <n v="22"/>
    <s v="张婷确认账单"/>
    <x v="19"/>
    <x v="2"/>
    <m/>
    <n v="3"/>
  </r>
  <r>
    <s v="0520-0 0 WEEK"/>
    <x v="4"/>
    <x v="8"/>
    <n v="1"/>
    <s v="收到HMM Neo 下周订舱邮件"/>
    <x v="16"/>
    <x v="0"/>
    <s v="周一"/>
    <n v="-18"/>
  </r>
  <r>
    <s v="0520-0 0 WEEK"/>
    <x v="4"/>
    <x v="8"/>
    <n v="2"/>
    <s v="根据JS mobis订舱需求回Neo邮件"/>
    <x v="16"/>
    <x v="0"/>
    <s v="周一"/>
    <n v="-18"/>
  </r>
  <r>
    <s v="0520-0 0 WEEK"/>
    <x v="4"/>
    <x v="8"/>
    <n v="3"/>
    <s v="SHA GLV WORKING PROCESS"/>
    <x v="16"/>
    <x v="0"/>
    <s v="周一"/>
    <n v="-18"/>
  </r>
  <r>
    <s v="0520-0 0 WEEK"/>
    <x v="4"/>
    <x v="8"/>
    <n v="4"/>
    <s v="SHA GLV WORKING PROCESS"/>
    <x v="17"/>
    <x v="0"/>
    <s v="周三"/>
    <n v="-16"/>
  </r>
  <r>
    <s v="0520-0 0 WEEK"/>
    <x v="4"/>
    <x v="8"/>
    <n v="5"/>
    <s v="TJ glovis额外费用邮件"/>
    <x v="20"/>
    <x v="0"/>
    <s v="周五"/>
    <n v="-14"/>
  </r>
  <r>
    <s v="0520-0 0 WEEK"/>
    <x v="4"/>
    <x v="8"/>
    <n v="6"/>
    <s v="SHA GLV WORKING PROCESS"/>
    <x v="20"/>
    <x v="0"/>
    <s v="周五"/>
    <n v="-14"/>
  </r>
  <r>
    <s v="0520-0 0 WEEK"/>
    <x v="4"/>
    <x v="8"/>
    <n v="7"/>
    <s v="TJ GLV WORKING PROCESS"/>
    <x v="20"/>
    <x v="0"/>
    <s v="周五"/>
    <n v="-14"/>
  </r>
  <r>
    <s v="0522-0 HMI"/>
    <x v="2"/>
    <x v="9"/>
    <n v="1"/>
    <s v="收到客户(孙丹/王珊)发来订舱托书(CK也收到)"/>
    <x v="4"/>
    <x v="0"/>
    <m/>
    <n v="-28"/>
  </r>
  <r>
    <s v="0522-0 HMI"/>
    <x v="2"/>
    <x v="9"/>
    <n v="2"/>
    <s v="YJC系统生成单子"/>
    <x v="4"/>
    <x v="0"/>
    <m/>
    <n v="-28"/>
  </r>
  <r>
    <s v="0522-0 HMI"/>
    <x v="2"/>
    <x v="9"/>
    <n v="3"/>
    <s v="收到CK发来预配(做箱通知)"/>
    <x v="2"/>
    <x v="0"/>
    <m/>
    <n v="-24"/>
  </r>
  <r>
    <s v="0522-0 HMI"/>
    <x v="2"/>
    <x v="9"/>
    <n v="4"/>
    <s v="收到包装厂(刘倩梅)发来包装指示书和装箱计划"/>
    <x v="21"/>
    <x v="0"/>
    <s v="一般周四"/>
    <n v="-22"/>
  </r>
  <r>
    <s v="0522-0 HMI"/>
    <x v="2"/>
    <x v="9"/>
    <n v="5"/>
    <s v="根据装箱计划汇总包装数据，发各工厂做报关资料"/>
    <x v="14"/>
    <x v="0"/>
    <m/>
    <n v="-21"/>
  </r>
  <r>
    <s v="0522-0 HMI"/>
    <x v="2"/>
    <x v="9"/>
    <n v="6"/>
    <s v="做做箱数据，邮件群发"/>
    <x v="14"/>
    <x v="0"/>
    <m/>
    <n v="-21"/>
  </r>
  <r>
    <s v="0522-0 HMI"/>
    <x v="2"/>
    <x v="9"/>
    <n v="7"/>
    <s v="收到工厂发来报关资料并完善(做报关资料跟客户确认)"/>
    <x v="14"/>
    <x v="0"/>
    <s v="当天至隔天"/>
    <n v="-21"/>
  </r>
  <r>
    <s v="0522-0 HMI"/>
    <x v="2"/>
    <x v="9"/>
    <n v="8"/>
    <s v="报关资料齐了，发报关行(黄寅文)"/>
    <x v="14"/>
    <x v="0"/>
    <m/>
    <n v="-21"/>
  </r>
  <r>
    <s v="0522-0 HMI"/>
    <x v="2"/>
    <x v="9"/>
    <n v="9"/>
    <s v="收到车队(沈丽)装箱单和洋山提箱截图(如有)"/>
    <x v="16"/>
    <x v="0"/>
    <s v="一般KMM五、HMI日"/>
    <n v="-18"/>
  </r>
  <r>
    <s v="0522-0 HMI"/>
    <x v="2"/>
    <x v="9"/>
    <n v="10"/>
    <s v="群发装箱单和洋山提箱截图(如有)【5-20】，通知发舱单"/>
    <x v="16"/>
    <x v="0"/>
    <s v="注意截单时间"/>
    <n v="-18"/>
  </r>
  <r>
    <s v="0522-0 HMI"/>
    <x v="2"/>
    <x v="9"/>
    <n v="12"/>
    <s v="收到舱单发送成功通知，核对舱单信息"/>
    <x v="16"/>
    <x v="0"/>
    <m/>
    <n v="-18"/>
  </r>
  <r>
    <s v="0522-0 HMI"/>
    <x v="2"/>
    <x v="9"/>
    <n v="13"/>
    <s v="进港(核对数据)，通知报关，报关成功"/>
    <x v="16"/>
    <x v="0"/>
    <s v="根据港区"/>
    <n v="-18"/>
  </r>
  <r>
    <s v="0522-0 HMI"/>
    <x v="2"/>
    <x v="9"/>
    <n v="14"/>
    <s v="海放"/>
    <x v="16"/>
    <x v="0"/>
    <m/>
    <n v="-18"/>
  </r>
  <r>
    <s v="0522-0 HMI"/>
    <x v="2"/>
    <x v="9"/>
    <n v="15"/>
    <s v="码放"/>
    <x v="17"/>
    <x v="0"/>
    <m/>
    <n v="-16"/>
  </r>
  <r>
    <s v="0522-0 HMI"/>
    <x v="2"/>
    <x v="9"/>
    <n v="16"/>
    <s v="配载"/>
    <x v="22"/>
    <x v="0"/>
    <m/>
    <n v="-15"/>
  </r>
  <r>
    <s v="0522-0 HMI"/>
    <x v="2"/>
    <x v="9"/>
    <n v="17"/>
    <s v="船开"/>
    <x v="20"/>
    <x v="0"/>
    <m/>
    <n v="-14"/>
  </r>
  <r>
    <s v="0522-0 HMI"/>
    <x v="2"/>
    <x v="9"/>
    <n v="18"/>
    <s v="做费用(对账单日期4号)，放公共盘，填月账单表，发孙丹"/>
    <x v="18"/>
    <x v="0"/>
    <m/>
    <n v="-11"/>
  </r>
  <r>
    <s v="0522-0 KMM"/>
    <x v="3"/>
    <x v="9"/>
    <n v="1"/>
    <s v="收到孙丹发来订舱托书(CK也收到)"/>
    <x v="1"/>
    <x v="0"/>
    <m/>
    <n v="-29"/>
  </r>
  <r>
    <s v="0522-0 KMM"/>
    <x v="3"/>
    <x v="9"/>
    <n v="2"/>
    <s v="收到CK发来预配(做箱通知)"/>
    <x v="1"/>
    <x v="0"/>
    <m/>
    <n v="-29"/>
  </r>
  <r>
    <s v="0522-0 KMM"/>
    <x v="3"/>
    <x v="9"/>
    <n v="3"/>
    <s v="YJC系统生成单子"/>
    <x v="1"/>
    <x v="0"/>
    <m/>
    <n v="-29"/>
  </r>
  <r>
    <s v="0522-0 KMM"/>
    <x v="3"/>
    <x v="9"/>
    <n v="4"/>
    <s v="收到包装厂(刘倩梅)发来包装指示书和装箱计划"/>
    <x v="21"/>
    <x v="0"/>
    <s v="一般周四"/>
    <n v="-22"/>
  </r>
  <r>
    <s v="0522-0 KMM"/>
    <x v="3"/>
    <x v="9"/>
    <n v="5"/>
    <s v="根据装箱计划汇总包装数据，发各工厂做报关资料"/>
    <x v="21"/>
    <x v="0"/>
    <m/>
    <n v="-22"/>
  </r>
  <r>
    <s v="0522-0 KMM"/>
    <x v="3"/>
    <x v="9"/>
    <n v="6"/>
    <s v="做做箱数据，邮件群发"/>
    <x v="21"/>
    <x v="0"/>
    <m/>
    <n v="-22"/>
  </r>
  <r>
    <s v="0522-0 KMM"/>
    <x v="3"/>
    <x v="9"/>
    <n v="7"/>
    <s v="收到工厂发来报关资料并完善"/>
    <x v="21"/>
    <x v="0"/>
    <s v="当天至隔天"/>
    <n v="-22"/>
  </r>
  <r>
    <s v="0522-0 KMM"/>
    <x v="3"/>
    <x v="9"/>
    <n v="8"/>
    <s v="报关资料齐了，发报关行(黄寅文)"/>
    <x v="21"/>
    <x v="0"/>
    <m/>
    <n v="-22"/>
  </r>
  <r>
    <s v="0522-0 KMM"/>
    <x v="3"/>
    <x v="9"/>
    <n v="9"/>
    <s v="收到车队(沈丽)装箱单和洋山提箱截图(如有)"/>
    <x v="14"/>
    <x v="0"/>
    <s v="一般KMM五、HMI日"/>
    <n v="-21"/>
  </r>
  <r>
    <s v="0522-0 KMM"/>
    <x v="3"/>
    <x v="9"/>
    <n v="10"/>
    <s v="群发装箱单和洋山提箱截图(如有)【5-17 17:00】"/>
    <x v="14"/>
    <x v="0"/>
    <s v="注意截单时间"/>
    <n v="-21"/>
  </r>
  <r>
    <s v="0522-0 KMM"/>
    <x v="3"/>
    <x v="9"/>
    <n v="11"/>
    <s v="通知发舱单"/>
    <x v="14"/>
    <x v="0"/>
    <m/>
    <n v="-21"/>
  </r>
  <r>
    <s v="0522-0 KMM"/>
    <x v="3"/>
    <x v="9"/>
    <n v="12"/>
    <s v="通知进港，进港(核对数据)，通知报关，报关成功"/>
    <x v="14"/>
    <x v="0"/>
    <s v="根据港区"/>
    <n v="-21"/>
  </r>
  <r>
    <s v="0522-0 KMM"/>
    <x v="3"/>
    <x v="9"/>
    <n v="13"/>
    <s v="盯海放"/>
    <x v="16"/>
    <x v="0"/>
    <m/>
    <n v="-18"/>
  </r>
  <r>
    <s v="0522-0 KMM"/>
    <x v="3"/>
    <x v="9"/>
    <n v="14"/>
    <s v="盯码放"/>
    <x v="16"/>
    <x v="0"/>
    <m/>
    <n v="-18"/>
  </r>
  <r>
    <s v="0522-0 KMM"/>
    <x v="3"/>
    <x v="9"/>
    <n v="15"/>
    <s v="盯配载"/>
    <x v="23"/>
    <x v="0"/>
    <m/>
    <n v="-17"/>
  </r>
  <r>
    <s v="0522-0 KMM"/>
    <x v="3"/>
    <x v="9"/>
    <n v="16"/>
    <s v="做费用(对账单日期4号)，放公共盘，填月账单表，发孙丹"/>
    <x v="17"/>
    <x v="0"/>
    <m/>
    <n v="-16"/>
  </r>
  <r>
    <s v="0522-0 WX mobis"/>
    <x v="7"/>
    <x v="9"/>
    <n v="1"/>
    <s v="收到胡媛媛发来订舱邮件"/>
    <x v="24"/>
    <x v="0"/>
    <m/>
    <n v="-43"/>
  </r>
  <r>
    <s v="0522-0 WX mobis"/>
    <x v="7"/>
    <x v="9"/>
    <n v="2"/>
    <s v="发订舱托书给万恒（翁小姐）"/>
    <x v="24"/>
    <x v="0"/>
    <m/>
    <n v="-43"/>
  </r>
  <r>
    <s v="0522-0 WX mobis"/>
    <x v="7"/>
    <x v="9"/>
    <n v="3"/>
    <s v="收到万恒（翁小姐）预配"/>
    <x v="24"/>
    <x v="0"/>
    <s v="一般三小时左右"/>
    <n v="-43"/>
  </r>
  <r>
    <s v="0522-0 WX mobis"/>
    <x v="7"/>
    <x v="9"/>
    <n v="4"/>
    <s v="通知胡媛媛订舱成功"/>
    <x v="24"/>
    <x v="0"/>
    <m/>
    <n v="-43"/>
  </r>
  <r>
    <s v="0522-0 WX mobis"/>
    <x v="7"/>
    <x v="9"/>
    <n v="5"/>
    <s v="发做箱通知邮件给车队(沈丽)"/>
    <x v="1"/>
    <x v="0"/>
    <m/>
    <n v="-29"/>
  </r>
  <r>
    <s v="0522-0 WX mobis"/>
    <x v="7"/>
    <x v="9"/>
    <n v="6"/>
    <s v="收到胡媛媛发来报关资料"/>
    <x v="2"/>
    <x v="0"/>
    <s v="船开前一周？"/>
    <n v="-24"/>
  </r>
  <r>
    <s v="0522-0 WX mobis"/>
    <x v="7"/>
    <x v="9"/>
    <n v="7"/>
    <s v="完善报关资料发报关行（黄寅文），要校对稿，做做箱数据给沈丽"/>
    <x v="2"/>
    <x v="0"/>
    <m/>
    <n v="-24"/>
  </r>
  <r>
    <s v="0522-0 WX mobis"/>
    <x v="7"/>
    <x v="9"/>
    <n v="8"/>
    <s v="买保险，做异地付款保函，发胡媛媛确认盖章回传"/>
    <x v="2"/>
    <x v="0"/>
    <m/>
    <n v="-24"/>
  </r>
  <r>
    <s v="0522-0 WX mobis"/>
    <x v="7"/>
    <x v="9"/>
    <n v="9"/>
    <s v="收到客户（胡媛媛）发来保函扫描件"/>
    <x v="2"/>
    <x v="0"/>
    <s v="一般马上"/>
    <n v="-24"/>
  </r>
  <r>
    <s v="0522-0 WX mobis"/>
    <x v="7"/>
    <x v="9"/>
    <n v="10"/>
    <s v="收到黄寅文校对稿，发客户（胡媛媛）确认"/>
    <x v="13"/>
    <x v="0"/>
    <s v="一般半天内"/>
    <n v="-23"/>
  </r>
  <r>
    <s v="0522-0 WX mobis"/>
    <x v="7"/>
    <x v="9"/>
    <n v="11"/>
    <s v="收到客户（胡媛媛）确认校对稿OK"/>
    <x v="21"/>
    <x v="0"/>
    <s v="一般马上"/>
    <n v="-22"/>
  </r>
  <r>
    <s v="0522-0 WX mobis"/>
    <x v="7"/>
    <x v="9"/>
    <n v="12"/>
    <s v="关注开港时间，跟车队（沈丽）确认明天做箱，如有变动通知胡媛媛"/>
    <x v="21"/>
    <x v="0"/>
    <s v="截单(5-17 11:00)"/>
    <n v="-22"/>
  </r>
  <r>
    <s v="0522-0 WX mobis"/>
    <x v="7"/>
    <x v="9"/>
    <n v="13"/>
    <s v="收到沈丽发来装箱单"/>
    <x v="14"/>
    <x v="0"/>
    <s v="截单当天"/>
    <n v="-21"/>
  </r>
  <r>
    <s v="0522-0 WX mobis"/>
    <x v="7"/>
    <x v="9"/>
    <n v="14"/>
    <s v="完善截单资料发万恒（翁小姐），请求发舱单"/>
    <x v="14"/>
    <x v="0"/>
    <m/>
    <n v="-21"/>
  </r>
  <r>
    <s v="0522-0 WX mobis"/>
    <x v="7"/>
    <x v="9"/>
    <n v="15"/>
    <s v="收到舱单发送通知，核对舱单，装箱单发报关行报关"/>
    <x v="14"/>
    <x v="0"/>
    <m/>
    <n v="-21"/>
  </r>
  <r>
    <s v="0522-0 WX mobis"/>
    <x v="7"/>
    <x v="9"/>
    <n v="16"/>
    <s v="请求万恒（翁小姐）发提单样本"/>
    <x v="16"/>
    <x v="0"/>
    <m/>
    <n v="-18"/>
  </r>
  <r>
    <s v="0522-0 WX mobis"/>
    <x v="7"/>
    <x v="9"/>
    <n v="17"/>
    <s v="收到万恒（翁小姐）发来提单样本，发胡媛媛确认"/>
    <x v="16"/>
    <x v="0"/>
    <m/>
    <n v="-18"/>
  </r>
  <r>
    <s v="0522-0 WX mobis"/>
    <x v="7"/>
    <x v="9"/>
    <n v="18"/>
    <s v="收到胡媛媛提单确认"/>
    <x v="16"/>
    <x v="0"/>
    <m/>
    <n v="-18"/>
  </r>
  <r>
    <s v="0522-0 WX mobis"/>
    <x v="7"/>
    <x v="9"/>
    <n v="19"/>
    <s v="收到报关成功通知，通知车队可进港 "/>
    <x v="14"/>
    <x v="0"/>
    <m/>
    <n v="-21"/>
  </r>
  <r>
    <s v="0522-0 WX mobis"/>
    <x v="7"/>
    <x v="9"/>
    <n v="20"/>
    <s v="进港，核对数据"/>
    <x v="14"/>
    <x v="0"/>
    <m/>
    <n v="-21"/>
  </r>
  <r>
    <s v="0522-0 WX mobis"/>
    <x v="7"/>
    <x v="9"/>
    <n v="21"/>
    <s v="海放"/>
    <x v="16"/>
    <x v="0"/>
    <m/>
    <n v="-18"/>
  </r>
  <r>
    <s v="0522-0 WX mobis"/>
    <x v="7"/>
    <x v="9"/>
    <n v="22"/>
    <s v="码放"/>
    <x v="16"/>
    <x v="0"/>
    <m/>
    <n v="-18"/>
  </r>
  <r>
    <s v="0522-0 WX mobis"/>
    <x v="7"/>
    <x v="9"/>
    <n v="23"/>
    <s v="配载"/>
    <x v="23"/>
    <x v="0"/>
    <m/>
    <n v="-17"/>
  </r>
  <r>
    <s v="0522-0 WX mobis"/>
    <x v="7"/>
    <x v="9"/>
    <n v="24"/>
    <s v="开船"/>
    <x v="17"/>
    <x v="0"/>
    <m/>
    <n v="-16"/>
  </r>
  <r>
    <s v="0522-0 WX mobis"/>
    <x v="7"/>
    <x v="9"/>
    <n v="25"/>
    <s v="做费用，发账单给谢梦婕"/>
    <x v="17"/>
    <x v="0"/>
    <m/>
    <n v="-16"/>
  </r>
  <r>
    <s v="0522-0 WX mobis"/>
    <x v="7"/>
    <x v="9"/>
    <n v="26"/>
    <s v="收到万恒（翁小姐）提单，放提单和预录单给胡媛媛"/>
    <x v="22"/>
    <x v="0"/>
    <m/>
    <n v="-15"/>
  </r>
  <r>
    <s v="0524-0 JS mobis"/>
    <x v="5"/>
    <x v="10"/>
    <n v="1"/>
    <s v="收到客户(周嘉敏)订舱预报"/>
    <x v="4"/>
    <x v="0"/>
    <s v="一般周五发隔周"/>
    <n v="-28"/>
  </r>
  <r>
    <s v="0524-0 JS mobis"/>
    <x v="5"/>
    <x v="10"/>
    <n v="2"/>
    <s v="填WORKING PROCESS"/>
    <x v="4"/>
    <x v="0"/>
    <m/>
    <n v="-28"/>
  </r>
  <r>
    <s v="0524-0 JS mobis"/>
    <x v="5"/>
    <x v="10"/>
    <n v="3"/>
    <s v="收到HMM(Neo)预订舱邮件通知"/>
    <x v="0"/>
    <x v="0"/>
    <s v="一般周一发下周"/>
    <n v="-25"/>
  </r>
  <r>
    <s v="0524-0 JS mobis"/>
    <x v="5"/>
    <x v="10"/>
    <n v="4"/>
    <s v="回复HMM(Neo)预订舱邮件"/>
    <x v="0"/>
    <x v="0"/>
    <m/>
    <n v="-25"/>
  </r>
  <r>
    <s v="0524-0 JS mobis"/>
    <x v="5"/>
    <x v="10"/>
    <n v="5"/>
    <s v="收到HMM(Neo)预订舱确认"/>
    <x v="2"/>
    <x v="0"/>
    <s v="一般马上"/>
    <n v="-24"/>
  </r>
  <r>
    <s v="0524-0 JS mobis"/>
    <x v="5"/>
    <x v="10"/>
    <n v="6"/>
    <s v="公共盘生成提单号"/>
    <x v="2"/>
    <x v="0"/>
    <m/>
    <n v="-24"/>
  </r>
  <r>
    <s v="0524-0 JS mobis"/>
    <x v="5"/>
    <x v="10"/>
    <n v="7"/>
    <s v="YJC系统生成单子"/>
    <x v="2"/>
    <x v="0"/>
    <m/>
    <n v="-24"/>
  </r>
  <r>
    <s v="0524-0 JS mobis"/>
    <x v="5"/>
    <x v="10"/>
    <n v="8"/>
    <s v="发EDI"/>
    <x v="2"/>
    <x v="0"/>
    <m/>
    <n v="-24"/>
  </r>
  <r>
    <s v="0524-0 JS mobis"/>
    <x v="5"/>
    <x v="10"/>
    <n v="9"/>
    <s v="邮件申请放单"/>
    <x v="2"/>
    <x v="0"/>
    <m/>
    <n v="-24"/>
  </r>
  <r>
    <s v="0524-0 JS mobis"/>
    <x v="5"/>
    <x v="10"/>
    <n v="10"/>
    <s v="收到HMM(Neo) 放单确认"/>
    <x v="13"/>
    <x v="0"/>
    <s v="一般半天内"/>
    <n v="-23"/>
  </r>
  <r>
    <s v="0524-0 JS mobis"/>
    <x v="5"/>
    <x v="10"/>
    <n v="11"/>
    <s v="HMM网站核对订舱信息"/>
    <x v="13"/>
    <x v="0"/>
    <m/>
    <n v="-23"/>
  </r>
  <r>
    <s v="0524-0 JS mobis"/>
    <x v="5"/>
    <x v="10"/>
    <n v="13"/>
    <s v="收到客户(周嘉敏)做箱通知"/>
    <x v="16"/>
    <x v="0"/>
    <s v="一般做箱头天一早"/>
    <n v="-18"/>
  </r>
  <r>
    <s v="0524-0 JS mobis"/>
    <x v="5"/>
    <x v="10"/>
    <n v="14"/>
    <s v="发做箱通知邮件给车队(沈丽)"/>
    <x v="16"/>
    <x v="0"/>
    <m/>
    <n v="-18"/>
  </r>
  <r>
    <s v="0524-0 JS mobis"/>
    <x v="5"/>
    <x v="10"/>
    <n v="15"/>
    <s v="公共盘生成提单号【如需拆单】"/>
    <x v="16"/>
    <x v="0"/>
    <m/>
    <n v="-18"/>
  </r>
  <r>
    <s v="0524-0 JS mobis"/>
    <x v="5"/>
    <x v="10"/>
    <n v="16"/>
    <s v="YJC系统生成单子【如需拆单】"/>
    <x v="16"/>
    <x v="0"/>
    <m/>
    <n v="-18"/>
  </r>
  <r>
    <s v="0524-0 JS mobis"/>
    <x v="5"/>
    <x v="10"/>
    <n v="17"/>
    <s v="发EDI【如需拆单】"/>
    <x v="16"/>
    <x v="0"/>
    <m/>
    <n v="-18"/>
  </r>
  <r>
    <s v="0524-0 JS mobis"/>
    <x v="5"/>
    <x v="10"/>
    <n v="18"/>
    <s v="邮件申请放单【如需拆单】"/>
    <x v="16"/>
    <x v="0"/>
    <m/>
    <n v="-18"/>
  </r>
  <r>
    <s v="0524-0 JS mobis"/>
    <x v="5"/>
    <x v="10"/>
    <n v="19"/>
    <s v="收到HMM(Neo) 放单确认【如需拆单】"/>
    <x v="16"/>
    <x v="0"/>
    <m/>
    <n v="-18"/>
  </r>
  <r>
    <s v="0524-0 JS mobis"/>
    <x v="5"/>
    <x v="10"/>
    <n v="20"/>
    <s v="HMM网站核对订舱信息【如需拆单】"/>
    <x v="16"/>
    <x v="0"/>
    <m/>
    <n v="-18"/>
  </r>
  <r>
    <s v="0524-0 JS mobis"/>
    <x v="5"/>
    <x v="10"/>
    <n v="20.100000000000001"/>
    <s v="明天盐城能装？"/>
    <x v="14"/>
    <x v="0"/>
    <m/>
    <n v="-21"/>
  </r>
  <r>
    <s v="0524-0 JS mobis"/>
    <x v="5"/>
    <x v="10"/>
    <n v="21"/>
    <s v="收到客户(徐贵)发来做箱数据(报关资料)"/>
    <x v="23"/>
    <x v="0"/>
    <s v="一般做箱当天一早"/>
    <n v="-17"/>
  </r>
  <r>
    <s v="0524-0 JS mobis"/>
    <x v="5"/>
    <x v="10"/>
    <n v="22"/>
    <s v="按报关(发票)数生成提单号【如发票数超过提单数】"/>
    <x v="23"/>
    <x v="0"/>
    <m/>
    <n v="-17"/>
  </r>
  <r>
    <s v="0524-0 JS mobis"/>
    <x v="5"/>
    <x v="10"/>
    <n v="23"/>
    <s v="做做箱数据，QQ发车队(沈丽)"/>
    <x v="23"/>
    <x v="0"/>
    <m/>
    <n v="-17"/>
  </r>
  <r>
    <s v="0524-0 JS mobis"/>
    <x v="5"/>
    <x v="10"/>
    <n v="24"/>
    <s v="做报关资料，扫描发报关行(黄寅文)QQ"/>
    <x v="23"/>
    <x v="0"/>
    <m/>
    <n v="-17"/>
  </r>
  <r>
    <s v="0524-0 JS mobis"/>
    <x v="5"/>
    <x v="10"/>
    <n v="25"/>
    <s v="收到车队(沈丽)装箱单"/>
    <x v="23"/>
    <x v="0"/>
    <s v="一般马上"/>
    <n v="-17"/>
  </r>
  <r>
    <s v="0524-0 JS mobis"/>
    <x v="5"/>
    <x v="10"/>
    <n v="26"/>
    <s v="YJC系统截单，发EDI，邮件HMM(He)【5-21 周二 12:00】"/>
    <x v="23"/>
    <x v="0"/>
    <s v="注意截单时间"/>
    <n v="-17"/>
  </r>
  <r>
    <s v="0524-0 JS mobis"/>
    <x v="5"/>
    <x v="10"/>
    <n v="27"/>
    <s v="做保函给邹师傅"/>
    <x v="23"/>
    <x v="0"/>
    <m/>
    <n v="-17"/>
  </r>
  <r>
    <s v="0524-0 JS mobis"/>
    <x v="5"/>
    <x v="10"/>
    <n v="28"/>
    <s v="发VGM和舱单"/>
    <x v="23"/>
    <x v="0"/>
    <m/>
    <n v="-17"/>
  </r>
  <r>
    <s v="0524-0 JS mobis"/>
    <x v="5"/>
    <x v="10"/>
    <n v="29"/>
    <s v="做ISF，发国外资料"/>
    <x v="23"/>
    <x v="0"/>
    <m/>
    <n v="-17"/>
  </r>
  <r>
    <s v="0524-0 JS mobis"/>
    <x v="5"/>
    <x v="10"/>
    <n v="30"/>
    <s v="买保险"/>
    <x v="23"/>
    <x v="0"/>
    <m/>
    <n v="-17"/>
  </r>
  <r>
    <s v="0524-0 JS mobis"/>
    <x v="5"/>
    <x v="10"/>
    <n v="31"/>
    <s v="填WORKING PROCESS"/>
    <x v="23"/>
    <x v="0"/>
    <m/>
    <n v="-17"/>
  </r>
  <r>
    <s v="0524-0 JS mobis"/>
    <x v="5"/>
    <x v="10"/>
    <n v="32"/>
    <s v="收到HMM(He)生成提单通知"/>
    <x v="23"/>
    <x v="0"/>
    <s v="一般马上"/>
    <n v="-17"/>
  </r>
  <r>
    <s v="0524-0 JS mobis"/>
    <x v="5"/>
    <x v="10"/>
    <n v="33"/>
    <s v="HMM网站核对提单信息"/>
    <x v="23"/>
    <x v="0"/>
    <m/>
    <n v="-17"/>
  </r>
  <r>
    <s v="0524-0 JS mobis"/>
    <x v="5"/>
    <x v="10"/>
    <n v="34"/>
    <s v="盯海关网站舱单"/>
    <x v="23"/>
    <x v="0"/>
    <s v="一般两小时左右"/>
    <n v="-17"/>
  </r>
  <r>
    <s v="0524-0 JS mobis"/>
    <x v="5"/>
    <x v="10"/>
    <n v="35"/>
    <s v="核对舱单信息"/>
    <x v="23"/>
    <x v="0"/>
    <m/>
    <n v="-17"/>
  </r>
  <r>
    <s v="0524-0 JS mobis"/>
    <x v="5"/>
    <x v="10"/>
    <n v="36"/>
    <s v="收到报关行(黄寅文)校对稿，邮件发客户(徐贵)确认"/>
    <x v="23"/>
    <x v="0"/>
    <s v="一般半天内"/>
    <n v="-17"/>
  </r>
  <r>
    <s v="0524-0 JS mobis"/>
    <x v="5"/>
    <x v="10"/>
    <n v="37"/>
    <s v="收到客户(徐贵)确认校对稿，通知报关行(黄寅文)"/>
    <x v="23"/>
    <x v="0"/>
    <s v="一般马上"/>
    <n v="-17"/>
  </r>
  <r>
    <s v="0524-0 JS mobis"/>
    <x v="5"/>
    <x v="10"/>
    <n v="38"/>
    <s v="通知报关行(黄寅文)报关(开港、舱单、校对)"/>
    <x v="23"/>
    <x v="0"/>
    <m/>
    <n v="-17"/>
  </r>
  <r>
    <s v="0524-0 JS mobis"/>
    <x v="5"/>
    <x v="10"/>
    <n v="39"/>
    <s v="收到报关成功通知"/>
    <x v="23"/>
    <x v="0"/>
    <s v="一般下班前"/>
    <n v="-17"/>
  </r>
  <r>
    <s v="0524-0 JS mobis"/>
    <x v="5"/>
    <x v="10"/>
    <n v="40"/>
    <s v="通知车队(沈丽)可进港"/>
    <x v="23"/>
    <x v="0"/>
    <m/>
    <n v="-17"/>
  </r>
  <r>
    <s v="0524-0 JS mobis"/>
    <x v="5"/>
    <x v="10"/>
    <n v="41"/>
    <s v="盯箱子进港"/>
    <x v="17"/>
    <x v="0"/>
    <m/>
    <n v="-16"/>
  </r>
  <r>
    <s v="0524-0 JS mobis"/>
    <x v="5"/>
    <x v="10"/>
    <n v="42"/>
    <s v="核对进港数据"/>
    <x v="17"/>
    <x v="0"/>
    <m/>
    <n v="-16"/>
  </r>
  <r>
    <s v="0524-0 JS mobis"/>
    <x v="5"/>
    <x v="10"/>
    <n v="43"/>
    <s v="盯海放"/>
    <x v="17"/>
    <x v="0"/>
    <m/>
    <n v="-16"/>
  </r>
  <r>
    <s v="0524-0 JS mobis"/>
    <x v="5"/>
    <x v="10"/>
    <n v="44"/>
    <s v="盯码放"/>
    <x v="17"/>
    <x v="0"/>
    <m/>
    <n v="-16"/>
  </r>
  <r>
    <s v="0524-0 JS mobis"/>
    <x v="5"/>
    <x v="10"/>
    <n v="45"/>
    <s v="盯配载"/>
    <x v="22"/>
    <x v="0"/>
    <m/>
    <n v="-15"/>
  </r>
  <r>
    <s v="0524-0 JS mobis"/>
    <x v="5"/>
    <x v="10"/>
    <n v="46"/>
    <s v="做费用"/>
    <x v="18"/>
    <x v="0"/>
    <m/>
    <n v="-11"/>
  </r>
  <r>
    <s v="0524-0 JS mobis"/>
    <x v="5"/>
    <x v="10"/>
    <n v="47"/>
    <s v="发账单"/>
    <x v="18"/>
    <x v="0"/>
    <m/>
    <n v="-11"/>
  </r>
  <r>
    <s v="0524-0 JS mobis"/>
    <x v="5"/>
    <x v="10"/>
    <n v="48"/>
    <s v="船开"/>
    <x v="25"/>
    <x v="0"/>
    <m/>
    <n v="-13"/>
  </r>
  <r>
    <s v="0524-0 JS mobis"/>
    <x v="5"/>
    <x v="10"/>
    <n v="49"/>
    <s v="放单"/>
    <x v="18"/>
    <x v="0"/>
    <s v="一般开船后两三天"/>
    <n v="-11"/>
  </r>
  <r>
    <s v="0524-0 JS mobis"/>
    <x v="5"/>
    <x v="10"/>
    <n v="50"/>
    <s v="跟常靓确认修改后的保单"/>
    <x v="26"/>
    <x v="0"/>
    <m/>
    <n v="-2"/>
  </r>
  <r>
    <s v="0527-0 0 WEEK"/>
    <x v="4"/>
    <x v="11"/>
    <n v="1"/>
    <s v="收到HMM Neo 下周订舱邮件"/>
    <x v="18"/>
    <x v="0"/>
    <s v="周一"/>
    <n v="-11"/>
  </r>
  <r>
    <s v="0527-0 0 WEEK"/>
    <x v="4"/>
    <x v="11"/>
    <n v="2"/>
    <s v="根据JS mobis订舱需求回Neo邮件"/>
    <x v="18"/>
    <x v="0"/>
    <s v="周一"/>
    <n v="-11"/>
  </r>
  <r>
    <s v="0527-0 0 WEEK"/>
    <x v="4"/>
    <x v="11"/>
    <n v="3"/>
    <s v="SHA GLV WORKING PROCESS"/>
    <x v="18"/>
    <x v="0"/>
    <s v="周一"/>
    <n v="-11"/>
  </r>
  <r>
    <s v="0527-0 0 WEEK"/>
    <x v="4"/>
    <x v="11"/>
    <n v="4"/>
    <s v="SHA GLV WORKING PROCESS"/>
    <x v="3"/>
    <x v="0"/>
    <s v="周三"/>
    <n v="-9"/>
  </r>
  <r>
    <s v="0527-0 0 WEEK"/>
    <x v="4"/>
    <x v="11"/>
    <n v="5"/>
    <s v="TJ glovis额外费用邮件"/>
    <x v="27"/>
    <x v="0"/>
    <s v="周五"/>
    <n v="-7"/>
  </r>
  <r>
    <s v="0527-0 0 WEEK"/>
    <x v="4"/>
    <x v="11"/>
    <n v="6"/>
    <s v="SHA GLV WORKING PROCESS"/>
    <x v="27"/>
    <x v="0"/>
    <s v="周五"/>
    <n v="-7"/>
  </r>
  <r>
    <s v="0527-0 0 WEEK"/>
    <x v="4"/>
    <x v="11"/>
    <n v="7"/>
    <s v="TJ GLV WORKING PROCESS"/>
    <x v="27"/>
    <x v="0"/>
    <s v="周五"/>
    <n v="-7"/>
  </r>
  <r>
    <s v="0528-0 JS mobis"/>
    <x v="5"/>
    <x v="12"/>
    <n v="1"/>
    <s v="收到客户(周嘉敏)订舱预报"/>
    <x v="4"/>
    <x v="0"/>
    <s v="一般周五发隔周"/>
    <n v="-28"/>
  </r>
  <r>
    <s v="0528-0 JS mobis"/>
    <x v="5"/>
    <x v="12"/>
    <n v="2"/>
    <s v="填WORKING PROCESS"/>
    <x v="2"/>
    <x v="0"/>
    <m/>
    <n v="-24"/>
  </r>
  <r>
    <s v="0528-0 JS mobis"/>
    <x v="5"/>
    <x v="12"/>
    <n v="3"/>
    <s v="收到HMM(Neo)预订舱邮件通知"/>
    <x v="2"/>
    <x v="0"/>
    <s v="一般周一发下周"/>
    <n v="-24"/>
  </r>
  <r>
    <s v="0528-0 JS mobis"/>
    <x v="5"/>
    <x v="12"/>
    <n v="4"/>
    <s v="回复HMM(Neo)预订舱邮件"/>
    <x v="2"/>
    <x v="0"/>
    <m/>
    <n v="-24"/>
  </r>
  <r>
    <s v="0528-0 JS mobis"/>
    <x v="5"/>
    <x v="12"/>
    <n v="5"/>
    <s v="收到HMM(Neo)预订舱确认"/>
    <x v="2"/>
    <x v="0"/>
    <s v="一般马上"/>
    <n v="-24"/>
  </r>
  <r>
    <s v="0528-0 JS mobis"/>
    <x v="5"/>
    <x v="12"/>
    <n v="6"/>
    <s v="公共盘生成提单号"/>
    <x v="2"/>
    <x v="0"/>
    <m/>
    <n v="-24"/>
  </r>
  <r>
    <s v="0528-0 JS mobis"/>
    <x v="5"/>
    <x v="12"/>
    <n v="7"/>
    <s v="YJC系统生成单子"/>
    <x v="2"/>
    <x v="0"/>
    <m/>
    <n v="-24"/>
  </r>
  <r>
    <s v="0528-0 JS mobis"/>
    <x v="5"/>
    <x v="12"/>
    <n v="8"/>
    <s v="发EDI"/>
    <x v="2"/>
    <x v="0"/>
    <m/>
    <n v="-24"/>
  </r>
  <r>
    <s v="0528-0 JS mobis"/>
    <x v="5"/>
    <x v="12"/>
    <n v="9"/>
    <s v="邮件申请放单"/>
    <x v="2"/>
    <x v="0"/>
    <m/>
    <n v="-24"/>
  </r>
  <r>
    <s v="0528-0 JS mobis"/>
    <x v="5"/>
    <x v="12"/>
    <n v="10"/>
    <s v="收到HMM(Neo) 放单确认"/>
    <x v="13"/>
    <x v="0"/>
    <s v="一般半天内"/>
    <n v="-23"/>
  </r>
  <r>
    <s v="0528-0 JS mobis"/>
    <x v="5"/>
    <x v="12"/>
    <n v="11"/>
    <s v="HMM网站核对订舱信息"/>
    <x v="13"/>
    <x v="0"/>
    <m/>
    <n v="-23"/>
  </r>
  <r>
    <s v="0528-0 JS mobis"/>
    <x v="5"/>
    <x v="12"/>
    <n v="12"/>
    <s v="收到客户(徐贵)做箱通知(5-24截单)"/>
    <x v="22"/>
    <x v="0"/>
    <s v="一般做箱头天一早"/>
    <n v="-15"/>
  </r>
  <r>
    <s v="0528-0 JS mobis"/>
    <x v="5"/>
    <x v="12"/>
    <n v="13"/>
    <s v="发做箱通知邮件给车队(沈丽)"/>
    <x v="22"/>
    <x v="0"/>
    <m/>
    <n v="-15"/>
  </r>
  <r>
    <s v="0528-0 JS mobis"/>
    <x v="5"/>
    <x v="12"/>
    <n v="15"/>
    <s v="公共盘生成提单号【如需拆单】"/>
    <x v="22"/>
    <x v="0"/>
    <m/>
    <n v="-15"/>
  </r>
  <r>
    <s v="0528-0 JS mobis"/>
    <x v="5"/>
    <x v="12"/>
    <n v="16"/>
    <s v="YJC系统生成单子【如需拆单】"/>
    <x v="22"/>
    <x v="0"/>
    <m/>
    <n v="-15"/>
  </r>
  <r>
    <s v="0528-0 JS mobis"/>
    <x v="5"/>
    <x v="12"/>
    <n v="17"/>
    <s v="发EDI【如需拆单】"/>
    <x v="22"/>
    <x v="0"/>
    <m/>
    <n v="-15"/>
  </r>
  <r>
    <s v="0528-0 JS mobis"/>
    <x v="5"/>
    <x v="12"/>
    <n v="18"/>
    <s v="邮件申请放单【如需拆单】"/>
    <x v="22"/>
    <x v="0"/>
    <m/>
    <n v="-15"/>
  </r>
  <r>
    <s v="0528-0 JS mobis"/>
    <x v="5"/>
    <x v="12"/>
    <n v="19"/>
    <s v="收到HMM(Neo) 放单确认【如需拆单】"/>
    <x v="22"/>
    <x v="0"/>
    <m/>
    <n v="-15"/>
  </r>
  <r>
    <s v="0528-0 JS mobis"/>
    <x v="5"/>
    <x v="12"/>
    <n v="20"/>
    <s v="HMM网站核对订舱信息【如需拆单】"/>
    <x v="22"/>
    <x v="0"/>
    <m/>
    <n v="-15"/>
  </r>
  <r>
    <s v="0528-0 JS mobis"/>
    <x v="5"/>
    <x v="12"/>
    <n v="21"/>
    <s v="收到客户(徐贵)发来做箱数据(报关资料)"/>
    <x v="20"/>
    <x v="0"/>
    <s v="一般做箱当天一早"/>
    <n v="-14"/>
  </r>
  <r>
    <s v="0528-0 JS mobis"/>
    <x v="5"/>
    <x v="12"/>
    <n v="22"/>
    <s v="按报关(发票)数生成提单号【如发票数超过提单数】"/>
    <x v="20"/>
    <x v="0"/>
    <m/>
    <n v="-14"/>
  </r>
  <r>
    <s v="0528-0 JS mobis"/>
    <x v="5"/>
    <x v="12"/>
    <n v="23"/>
    <s v="做做箱数据，QQ发车队(沈丽)"/>
    <x v="20"/>
    <x v="0"/>
    <m/>
    <n v="-14"/>
  </r>
  <r>
    <s v="0528-0 JS mobis"/>
    <x v="5"/>
    <x v="12"/>
    <n v="24"/>
    <s v="做报关资料，扫描发报关行(黄寅文)QQ"/>
    <x v="20"/>
    <x v="0"/>
    <m/>
    <n v="-14"/>
  </r>
  <r>
    <s v="0528-0 JS mobis"/>
    <x v="5"/>
    <x v="12"/>
    <n v="25"/>
    <s v="收到车队(沈丽)装箱单"/>
    <x v="20"/>
    <x v="0"/>
    <s v="一般马上"/>
    <n v="-14"/>
  </r>
  <r>
    <s v="0528-0 JS mobis"/>
    <x v="5"/>
    <x v="12"/>
    <n v="26"/>
    <s v="YJC系统截单，发EDI，邮件HMM(He)【5-24 12:00】"/>
    <x v="20"/>
    <x v="0"/>
    <s v="注意截单时间"/>
    <n v="-14"/>
  </r>
  <r>
    <s v="0528-0 JS mobis"/>
    <x v="5"/>
    <x v="12"/>
    <n v="27"/>
    <s v="做保函给邹师傅"/>
    <x v="20"/>
    <x v="0"/>
    <m/>
    <n v="-14"/>
  </r>
  <r>
    <s v="0528-0 JS mobis"/>
    <x v="5"/>
    <x v="12"/>
    <n v="28"/>
    <s v="发VGM和舱单"/>
    <x v="20"/>
    <x v="0"/>
    <m/>
    <n v="-14"/>
  </r>
  <r>
    <s v="0528-0 JS mobis"/>
    <x v="5"/>
    <x v="12"/>
    <n v="29"/>
    <s v="做ISF，发国外资料"/>
    <x v="20"/>
    <x v="0"/>
    <m/>
    <n v="-14"/>
  </r>
  <r>
    <s v="0528-0 JS mobis"/>
    <x v="5"/>
    <x v="12"/>
    <n v="30"/>
    <s v="买保险"/>
    <x v="20"/>
    <x v="0"/>
    <m/>
    <n v="-14"/>
  </r>
  <r>
    <s v="0528-0 JS mobis"/>
    <x v="5"/>
    <x v="12"/>
    <n v="31"/>
    <s v="填WORKING PROCESS"/>
    <x v="20"/>
    <x v="0"/>
    <m/>
    <n v="-14"/>
  </r>
  <r>
    <s v="0528-0 JS mobis"/>
    <x v="5"/>
    <x v="12"/>
    <n v="32"/>
    <s v="收到HMM(He)生成提单通知"/>
    <x v="20"/>
    <x v="0"/>
    <s v="一般马上"/>
    <n v="-14"/>
  </r>
  <r>
    <s v="0528-0 JS mobis"/>
    <x v="5"/>
    <x v="12"/>
    <n v="33"/>
    <s v="HMM网站核对提单信息"/>
    <x v="20"/>
    <x v="0"/>
    <m/>
    <n v="-14"/>
  </r>
  <r>
    <s v="0528-0 JS mobis"/>
    <x v="5"/>
    <x v="12"/>
    <n v="34"/>
    <s v="盯海关网站舱单"/>
    <x v="20"/>
    <x v="0"/>
    <s v="一般两小时左右"/>
    <n v="-14"/>
  </r>
  <r>
    <s v="0528-0 JS mobis"/>
    <x v="5"/>
    <x v="12"/>
    <n v="35"/>
    <s v="核对舱单信息"/>
    <x v="20"/>
    <x v="0"/>
    <m/>
    <n v="-14"/>
  </r>
  <r>
    <s v="0528-0 JS mobis"/>
    <x v="5"/>
    <x v="12"/>
    <n v="36"/>
    <s v="收到报关行(黄寅文)校对稿，邮件发客户(徐贵)确认"/>
    <x v="20"/>
    <x v="0"/>
    <s v="一般半天内"/>
    <n v="-14"/>
  </r>
  <r>
    <s v="0528-0 JS mobis"/>
    <x v="5"/>
    <x v="12"/>
    <n v="37"/>
    <s v="收到客户(徐贵)确认校对稿"/>
    <x v="25"/>
    <x v="0"/>
    <s v="一般马上"/>
    <n v="-13"/>
  </r>
  <r>
    <s v="0528-0 JS mobis"/>
    <x v="5"/>
    <x v="12"/>
    <n v="38"/>
    <s v="通知车队(沈丽)可进港"/>
    <x v="20"/>
    <x v="0"/>
    <m/>
    <n v="-14"/>
  </r>
  <r>
    <s v="0528-0 JS mobis"/>
    <x v="5"/>
    <x v="12"/>
    <n v="39"/>
    <s v="盯箱子进港"/>
    <x v="25"/>
    <x v="0"/>
    <m/>
    <n v="-13"/>
  </r>
  <r>
    <s v="0528-0 JS mobis"/>
    <x v="5"/>
    <x v="12"/>
    <n v="40"/>
    <s v="核对进港数据"/>
    <x v="25"/>
    <x v="0"/>
    <m/>
    <n v="-13"/>
  </r>
  <r>
    <s v="0528-0 JS mobis"/>
    <x v="5"/>
    <x v="12"/>
    <n v="41"/>
    <s v="通知报关行(黄寅文)报关(开港、舱单、校对)"/>
    <x v="25"/>
    <x v="0"/>
    <m/>
    <n v="-13"/>
  </r>
  <r>
    <s v="0528-0 JS mobis"/>
    <x v="5"/>
    <x v="12"/>
    <n v="42"/>
    <s v="收到报关成功通知"/>
    <x v="25"/>
    <x v="0"/>
    <s v="一般下班前"/>
    <n v="-13"/>
  </r>
  <r>
    <s v="0528-0 JS mobis"/>
    <x v="5"/>
    <x v="12"/>
    <n v="43"/>
    <s v="盯海放"/>
    <x v="25"/>
    <x v="0"/>
    <m/>
    <n v="-13"/>
  </r>
  <r>
    <s v="0528-0 JS mobis"/>
    <x v="5"/>
    <x v="12"/>
    <n v="44"/>
    <s v="盯码放"/>
    <x v="18"/>
    <x v="0"/>
    <m/>
    <n v="-11"/>
  </r>
  <r>
    <s v="0528-0 JS mobis"/>
    <x v="5"/>
    <x v="12"/>
    <n v="45"/>
    <s v="盯配载"/>
    <x v="18"/>
    <x v="0"/>
    <m/>
    <n v="-11"/>
  </r>
  <r>
    <s v="0528-0 JS mobis"/>
    <x v="5"/>
    <x v="12"/>
    <n v="46"/>
    <s v="船开，放单"/>
    <x v="3"/>
    <x v="0"/>
    <m/>
    <n v="-9"/>
  </r>
  <r>
    <s v="0528-0 JS mobis"/>
    <x v="5"/>
    <x v="12"/>
    <n v="47"/>
    <s v="做费用"/>
    <x v="18"/>
    <x v="0"/>
    <m/>
    <n v="-11"/>
  </r>
  <r>
    <s v="0528-0 JS mobis"/>
    <x v="5"/>
    <x v="12"/>
    <n v="48"/>
    <s v="发账单"/>
    <x v="18"/>
    <x v="0"/>
    <m/>
    <n v="-11"/>
  </r>
  <r>
    <s v="0528-0 JS mobis"/>
    <x v="5"/>
    <x v="12"/>
    <n v="49"/>
    <s v="开航日期应为5-28左右，跟常靓确认要不要改"/>
    <x v="26"/>
    <x v="0"/>
    <m/>
    <n v="-2"/>
  </r>
  <r>
    <s v="0528-0 SC glovis"/>
    <x v="6"/>
    <x v="12"/>
    <n v="1"/>
    <s v="收到客户托书"/>
    <x v="13"/>
    <x v="0"/>
    <m/>
    <n v="-23"/>
  </r>
  <r>
    <s v="0528-0 SC glovis"/>
    <x v="6"/>
    <x v="12"/>
    <n v="2"/>
    <s v="生成单号，YJC系统，发EDI，邮件Neo放舱"/>
    <x v="13"/>
    <x v="0"/>
    <m/>
    <n v="-23"/>
  </r>
  <r>
    <s v="0528-0 SC glovis"/>
    <x v="6"/>
    <x v="12"/>
    <n v="3"/>
    <s v="收到Neo放舱确认"/>
    <x v="21"/>
    <x v="0"/>
    <m/>
    <n v="-22"/>
  </r>
  <r>
    <s v="0528-0 SC glovis"/>
    <x v="6"/>
    <x v="12"/>
    <n v="4"/>
    <s v="发预配信息给客户（张婷）"/>
    <x v="21"/>
    <x v="0"/>
    <m/>
    <n v="-22"/>
  </r>
  <r>
    <s v="0528-0 SC glovis"/>
    <x v="6"/>
    <x v="12"/>
    <n v="5"/>
    <s v="收到客户（张婷）报关资料"/>
    <x v="17"/>
    <x v="0"/>
    <m/>
    <n v="-16"/>
  </r>
  <r>
    <s v="0528-0 SC glovis"/>
    <x v="6"/>
    <x v="12"/>
    <n v="6"/>
    <s v="做报关资料，发报关行（黄寅文），要校对稿"/>
    <x v="17"/>
    <x v="0"/>
    <m/>
    <n v="-16"/>
  </r>
  <r>
    <s v="0528-0 SC glovis"/>
    <x v="6"/>
    <x v="12"/>
    <n v="7"/>
    <s v="收到校对稿，发客户"/>
    <x v="22"/>
    <x v="0"/>
    <m/>
    <n v="-15"/>
  </r>
  <r>
    <s v="0528-0 SC glovis"/>
    <x v="6"/>
    <x v="12"/>
    <n v="8"/>
    <s v="收到校对稿确认"/>
    <x v="22"/>
    <x v="0"/>
    <m/>
    <n v="-15"/>
  </r>
  <r>
    <s v="0528-0 SC glovis"/>
    <x v="6"/>
    <x v="12"/>
    <n v="9"/>
    <s v="收到客户（张婷）舱单模板和VGM"/>
    <x v="20"/>
    <x v="0"/>
    <s v="今天能放箱装？"/>
    <n v="-14"/>
  </r>
  <r>
    <s v="0528-0 SC glovis"/>
    <x v="6"/>
    <x v="12"/>
    <n v="10"/>
    <s v="发舱单和VGM"/>
    <x v="20"/>
    <x v="0"/>
    <m/>
    <n v="-14"/>
  </r>
  <r>
    <s v="0528-0 SC glovis"/>
    <x v="6"/>
    <x v="12"/>
    <n v="11"/>
    <s v="YJC系统改准确数据，发ESI，做AMS模板并邮件何生成提单"/>
    <x v="20"/>
    <x v="0"/>
    <m/>
    <n v="-14"/>
  </r>
  <r>
    <s v="0528-0 SC glovis"/>
    <x v="6"/>
    <x v="12"/>
    <n v="12"/>
    <s v="收到生成提单邮件，网站核对信息"/>
    <x v="20"/>
    <x v="0"/>
    <m/>
    <n v="-14"/>
  </r>
  <r>
    <s v="0528-0 SC glovis"/>
    <x v="6"/>
    <x v="12"/>
    <n v="13"/>
    <s v="海关有舱单，核对舱单"/>
    <x v="20"/>
    <x v="0"/>
    <m/>
    <n v="-14"/>
  </r>
  <r>
    <s v="0528-0 SC glovis"/>
    <x v="6"/>
    <x v="12"/>
    <n v="14"/>
    <s v="发提单确认（两份）"/>
    <x v="20"/>
    <x v="0"/>
    <m/>
    <n v="-14"/>
  </r>
  <r>
    <s v="0528-0 SC glovis"/>
    <x v="6"/>
    <x v="12"/>
    <n v="15"/>
    <s v="通知可进港"/>
    <x v="20"/>
    <x v="0"/>
    <m/>
    <n v="-14"/>
  </r>
  <r>
    <s v="0528-0 SC glovis"/>
    <x v="6"/>
    <x v="12"/>
    <n v="16"/>
    <s v="收到客户（张婷）提单确认"/>
    <x v="20"/>
    <x v="0"/>
    <m/>
    <n v="-14"/>
  </r>
  <r>
    <s v="0528-0 SC glovis"/>
    <x v="6"/>
    <x v="12"/>
    <n v="17"/>
    <s v="收到进港通知"/>
    <x v="25"/>
    <x v="0"/>
    <m/>
    <n v="-13"/>
  </r>
  <r>
    <s v="0528-0 SC glovis"/>
    <x v="6"/>
    <x v="12"/>
    <n v="18"/>
    <s v="核对进港数据"/>
    <x v="25"/>
    <x v="0"/>
    <m/>
    <n v="-13"/>
  </r>
  <r>
    <s v="0528-0 SC glovis"/>
    <x v="6"/>
    <x v="12"/>
    <n v="19"/>
    <s v="通知报关"/>
    <x v="25"/>
    <x v="0"/>
    <m/>
    <n v="-13"/>
  </r>
  <r>
    <s v="0528-0 SC glovis"/>
    <x v="6"/>
    <x v="12"/>
    <n v="20"/>
    <s v="收到报关成功通知"/>
    <x v="25"/>
    <x v="0"/>
    <m/>
    <n v="-13"/>
  </r>
  <r>
    <s v="0528-0 SC glovis"/>
    <x v="6"/>
    <x v="12"/>
    <n v="21"/>
    <s v="海放，码放，配载"/>
    <x v="18"/>
    <x v="0"/>
    <m/>
    <n v="-11"/>
  </r>
  <r>
    <s v="0528-0 SC glovis"/>
    <x v="6"/>
    <x v="12"/>
    <n v="22"/>
    <s v="船开"/>
    <x v="3"/>
    <x v="0"/>
    <m/>
    <n v="-9"/>
  </r>
  <r>
    <s v="0528-0 SC glovis"/>
    <x v="6"/>
    <x v="12"/>
    <n v="23"/>
    <s v="收到Neo发来费用，录入系统，发张婷"/>
    <x v="26"/>
    <x v="0"/>
    <m/>
    <n v="-2"/>
  </r>
  <r>
    <s v="0528-0 SC glovis"/>
    <x v="6"/>
    <x v="12"/>
    <n v="24"/>
    <s v="放单"/>
    <x v="3"/>
    <x v="0"/>
    <m/>
    <n v="-9"/>
  </r>
  <r>
    <s v="0528-0 SC glovis"/>
    <x v="6"/>
    <x v="12"/>
    <n v="25"/>
    <s v="张婷确认账单"/>
    <x v="19"/>
    <x v="2"/>
    <m/>
    <n v="3"/>
  </r>
  <r>
    <s v="0529-0 HMI"/>
    <x v="2"/>
    <x v="13"/>
    <n v="1"/>
    <s v="收到客户(孙丹/王珊)发来订舱托书"/>
    <x v="14"/>
    <x v="0"/>
    <m/>
    <n v="-21"/>
  </r>
  <r>
    <s v="0529-0 HMI"/>
    <x v="2"/>
    <x v="13"/>
    <n v="2"/>
    <s v="YJC系统生成单子"/>
    <x v="23"/>
    <x v="0"/>
    <m/>
    <n v="-17"/>
  </r>
  <r>
    <s v="0529-0 HMI"/>
    <x v="2"/>
    <x v="13"/>
    <n v="3"/>
    <s v="收到CK发来预配(做箱通知，沈丽有收到？)，完善YJC系统数据"/>
    <x v="23"/>
    <x v="0"/>
    <m/>
    <n v="-17"/>
  </r>
  <r>
    <s v="0529-0 HMI"/>
    <x v="2"/>
    <x v="13"/>
    <n v="4"/>
    <s v="收到包装厂(刘倩梅)发来包装指示书和装箱计划"/>
    <x v="22"/>
    <x v="0"/>
    <s v="一般周四"/>
    <n v="-15"/>
  </r>
  <r>
    <s v="0529-0 HMI"/>
    <x v="2"/>
    <x v="13"/>
    <n v="5"/>
    <s v="根据装箱计划汇总包装数据，发各工厂做报关资料"/>
    <x v="22"/>
    <x v="0"/>
    <m/>
    <n v="-15"/>
  </r>
  <r>
    <s v="0529-0 HMI"/>
    <x v="2"/>
    <x v="13"/>
    <n v="6"/>
    <s v="做做箱数据，邮件群发"/>
    <x v="20"/>
    <x v="0"/>
    <m/>
    <n v="-14"/>
  </r>
  <r>
    <s v="0529-0 HMI"/>
    <x v="2"/>
    <x v="13"/>
    <n v="7"/>
    <s v="收到工厂发来报关资料并完善(代做报关资料跟客户确认)"/>
    <x v="20"/>
    <x v="0"/>
    <s v="当天至隔天"/>
    <n v="-14"/>
  </r>
  <r>
    <s v="0529-0 HMI"/>
    <x v="2"/>
    <x v="13"/>
    <n v="8"/>
    <s v="报关资料齐了，发报关行(黄寅文)，货运模板/发票/箱单"/>
    <x v="18"/>
    <x v="0"/>
    <m/>
    <n v="-11"/>
  </r>
  <r>
    <s v="0529-0 HMI"/>
    <x v="2"/>
    <x v="13"/>
    <n v="9"/>
    <s v="通知进港"/>
    <x v="28"/>
    <x v="0"/>
    <m/>
    <n v="-12"/>
  </r>
  <r>
    <s v="0529-0 HMI"/>
    <x v="2"/>
    <x v="13"/>
    <n v="10"/>
    <s v="进港(核对数据)"/>
    <x v="18"/>
    <x v="0"/>
    <m/>
    <n v="-11"/>
  </r>
  <r>
    <s v="0529-0 HMI"/>
    <x v="2"/>
    <x v="13"/>
    <n v="11"/>
    <s v="收到车队(沈丽)装箱单和洋山提箱截图(如有)，群发，通知发舱单"/>
    <x v="18"/>
    <x v="0"/>
    <s v="一般KMM五、HMI日"/>
    <n v="-11"/>
  </r>
  <r>
    <s v="0529-0 HMI"/>
    <x v="2"/>
    <x v="13"/>
    <n v="12"/>
    <s v="收到舱单发送成功通知，核对舱单信息"/>
    <x v="18"/>
    <x v="0"/>
    <m/>
    <n v="-11"/>
  </r>
  <r>
    <s v="0529-0 HMI"/>
    <x v="2"/>
    <x v="13"/>
    <n v="13"/>
    <s v="通知报关"/>
    <x v="18"/>
    <x v="0"/>
    <m/>
    <n v="-11"/>
  </r>
  <r>
    <s v="0529-0 HMI"/>
    <x v="2"/>
    <x v="13"/>
    <n v="14"/>
    <s v="报关成功"/>
    <x v="18"/>
    <x v="0"/>
    <m/>
    <n v="-11"/>
  </r>
  <r>
    <s v="0529-0 HMI"/>
    <x v="2"/>
    <x v="13"/>
    <n v="15"/>
    <s v="盯海放"/>
    <x v="18"/>
    <x v="0"/>
    <m/>
    <n v="-11"/>
  </r>
  <r>
    <s v="0529-0 HMI"/>
    <x v="2"/>
    <x v="13"/>
    <n v="16"/>
    <s v="盯码放"/>
    <x v="29"/>
    <x v="0"/>
    <m/>
    <n v="-8"/>
  </r>
  <r>
    <s v="0529-0 HMI"/>
    <x v="2"/>
    <x v="13"/>
    <n v="17"/>
    <s v="盯配载"/>
    <x v="29"/>
    <x v="0"/>
    <m/>
    <n v="-8"/>
  </r>
  <r>
    <s v="0529-0 HMI"/>
    <x v="2"/>
    <x v="13"/>
    <n v="18"/>
    <s v="盯船开"/>
    <x v="30"/>
    <x v="0"/>
    <m/>
    <n v="-6"/>
  </r>
  <r>
    <s v="0529-0 HMI"/>
    <x v="2"/>
    <x v="13"/>
    <n v="19"/>
    <s v="做费用(对账单日期4号)，放公共盘，填月账单表，发孙丹"/>
    <x v="30"/>
    <x v="0"/>
    <m/>
    <n v="-6"/>
  </r>
  <r>
    <s v="0529-0 KMM"/>
    <x v="3"/>
    <x v="13"/>
    <n v="1"/>
    <s v="收到客户(孙丹/王珊)发来订舱托书"/>
    <x v="13"/>
    <x v="0"/>
    <m/>
    <n v="-23"/>
  </r>
  <r>
    <s v="0529-0 KMM"/>
    <x v="3"/>
    <x v="13"/>
    <n v="2"/>
    <s v="YJC系统生成单子"/>
    <x v="13"/>
    <x v="0"/>
    <m/>
    <n v="-23"/>
  </r>
  <r>
    <s v="0529-0 KMM"/>
    <x v="3"/>
    <x v="13"/>
    <n v="3"/>
    <s v="收到CK发来预配(做箱通知，沈丽有收到？)，完善YJC系统数据"/>
    <x v="14"/>
    <x v="0"/>
    <m/>
    <n v="-21"/>
  </r>
  <r>
    <s v="0529-0 KMM"/>
    <x v="3"/>
    <x v="13"/>
    <n v="4"/>
    <s v="收到包装厂(刘倩梅)发来包装指示书和装箱计划"/>
    <x v="22"/>
    <x v="0"/>
    <s v="一般周四"/>
    <n v="-15"/>
  </r>
  <r>
    <s v="0529-0 KMM"/>
    <x v="3"/>
    <x v="13"/>
    <n v="5"/>
    <s v="根据装箱计划汇总包装数据，发各工厂做报关资料"/>
    <x v="22"/>
    <x v="0"/>
    <m/>
    <n v="-15"/>
  </r>
  <r>
    <s v="0529-0 KMM"/>
    <x v="3"/>
    <x v="13"/>
    <n v="6"/>
    <s v="做做箱数据，邮件群发"/>
    <x v="22"/>
    <x v="0"/>
    <m/>
    <n v="-15"/>
  </r>
  <r>
    <s v="0529-0 KMM"/>
    <x v="3"/>
    <x v="13"/>
    <n v="7"/>
    <s v="收到工厂发来报关资料并完善(代做报关资料跟客户确认)"/>
    <x v="22"/>
    <x v="0"/>
    <s v="当天至隔天"/>
    <n v="-15"/>
  </r>
  <r>
    <s v="0529-0 KMM"/>
    <x v="3"/>
    <x v="13"/>
    <n v="8"/>
    <s v="报关资料齐了，发报关行(黄寅文)，货运模板/发票/箱单"/>
    <x v="22"/>
    <x v="0"/>
    <m/>
    <n v="-15"/>
  </r>
  <r>
    <s v="0529-0 KMM"/>
    <x v="3"/>
    <x v="13"/>
    <n v="9"/>
    <s v="收到车队(沈丽)装箱单和洋山提箱截图(如有)，群发，通知发舱单"/>
    <x v="20"/>
    <x v="0"/>
    <s v="一般KMM五、HMI日"/>
    <n v="-14"/>
  </r>
  <r>
    <s v="0529-0 KMM"/>
    <x v="3"/>
    <x v="13"/>
    <n v="12"/>
    <s v="收到舱单发送成功通知，核对舱单信息"/>
    <x v="20"/>
    <x v="0"/>
    <m/>
    <n v="-14"/>
  </r>
  <r>
    <s v="0529-0 KMM"/>
    <x v="3"/>
    <x v="13"/>
    <n v="13"/>
    <s v="通知报关"/>
    <x v="20"/>
    <x v="0"/>
    <s v="调整顺序"/>
    <n v="-14"/>
  </r>
  <r>
    <s v="0529-0 KMM"/>
    <x v="3"/>
    <x v="13"/>
    <n v="14"/>
    <s v="报关成功"/>
    <x v="20"/>
    <x v="0"/>
    <s v="调整顺序"/>
    <n v="-14"/>
  </r>
  <r>
    <s v="0529-0 KMM"/>
    <x v="3"/>
    <x v="13"/>
    <n v="15"/>
    <s v="通知进港"/>
    <x v="20"/>
    <x v="0"/>
    <s v="调整顺序"/>
    <n v="-14"/>
  </r>
  <r>
    <s v="0529-0 KMM"/>
    <x v="3"/>
    <x v="13"/>
    <n v="16"/>
    <s v="进港(核对数据)"/>
    <x v="25"/>
    <x v="0"/>
    <s v="调整顺序"/>
    <n v="-13"/>
  </r>
  <r>
    <s v="0529-0 KMM"/>
    <x v="3"/>
    <x v="13"/>
    <n v="17"/>
    <s v="盯海放"/>
    <x v="25"/>
    <x v="0"/>
    <m/>
    <n v="-13"/>
  </r>
  <r>
    <s v="0529-0 KMM"/>
    <x v="3"/>
    <x v="13"/>
    <n v="18"/>
    <s v="盯码放"/>
    <x v="18"/>
    <x v="0"/>
    <m/>
    <n v="-11"/>
  </r>
  <r>
    <s v="0529-0 KMM"/>
    <x v="3"/>
    <x v="13"/>
    <n v="19"/>
    <s v="盯配载"/>
    <x v="3"/>
    <x v="0"/>
    <m/>
    <n v="-9"/>
  </r>
  <r>
    <s v="0529-0 KMM"/>
    <x v="3"/>
    <x v="13"/>
    <n v="20"/>
    <s v="盯船开"/>
    <x v="29"/>
    <x v="0"/>
    <m/>
    <n v="-8"/>
  </r>
  <r>
    <s v="0529-0 KMM"/>
    <x v="3"/>
    <x v="13"/>
    <n v="21"/>
    <s v="做费用(对账单日期4号)，放公共盘，填月账单表，发孙丹"/>
    <x v="31"/>
    <x v="0"/>
    <m/>
    <n v="-10"/>
  </r>
  <r>
    <s v="0529-0 WX mobis"/>
    <x v="7"/>
    <x v="13"/>
    <n v="1"/>
    <s v="收到胡媛媛发来订舱邮件"/>
    <x v="24"/>
    <x v="0"/>
    <m/>
    <n v="-43"/>
  </r>
  <r>
    <s v="0529-0 WX mobis"/>
    <x v="7"/>
    <x v="13"/>
    <n v="2"/>
    <s v="发订舱托书给万恒（翁小姐）"/>
    <x v="24"/>
    <x v="0"/>
    <m/>
    <n v="-43"/>
  </r>
  <r>
    <s v="0529-0 WX mobis"/>
    <x v="7"/>
    <x v="13"/>
    <n v="3"/>
    <s v="收到万恒（翁小姐）预配"/>
    <x v="24"/>
    <x v="0"/>
    <s v="一般三小时左右"/>
    <n v="-43"/>
  </r>
  <r>
    <s v="0529-0 WX mobis"/>
    <x v="7"/>
    <x v="13"/>
    <n v="4"/>
    <s v="通知胡媛媛订舱成功"/>
    <x v="24"/>
    <x v="0"/>
    <m/>
    <n v="-43"/>
  </r>
  <r>
    <s v="0529-0 WX mobis"/>
    <x v="7"/>
    <x v="13"/>
    <n v="5"/>
    <s v="发做箱通知邮件给车队(沈丽)"/>
    <x v="1"/>
    <x v="0"/>
    <m/>
    <n v="-29"/>
  </r>
  <r>
    <s v="0529-0 WX mobis"/>
    <x v="7"/>
    <x v="13"/>
    <n v="6"/>
    <s v="收到胡媛媛发来报关资料"/>
    <x v="17"/>
    <x v="0"/>
    <s v="船开前一周？"/>
    <n v="-16"/>
  </r>
  <r>
    <s v="0529-0 WX mobis"/>
    <x v="7"/>
    <x v="13"/>
    <n v="7"/>
    <s v="完善报关资料发报关行（黄寅文），要校对稿，做做箱数据给沈丽"/>
    <x v="17"/>
    <x v="0"/>
    <m/>
    <n v="-16"/>
  </r>
  <r>
    <s v="0529-0 WX mobis"/>
    <x v="7"/>
    <x v="13"/>
    <n v="8"/>
    <s v="买保险，做异地付款保函，发胡媛媛确认盖章回传"/>
    <x v="17"/>
    <x v="0"/>
    <m/>
    <n v="-16"/>
  </r>
  <r>
    <s v="0529-0 WX mobis"/>
    <x v="7"/>
    <x v="13"/>
    <n v="9"/>
    <s v="收到客户（胡媛媛）发来保函扫描件"/>
    <x v="17"/>
    <x v="0"/>
    <s v="一般马上"/>
    <n v="-16"/>
  </r>
  <r>
    <s v="0529-0 WX mobis"/>
    <x v="7"/>
    <x v="13"/>
    <n v="10"/>
    <s v="收到黄寅文校对稿，发客户（胡媛媛）确认"/>
    <x v="22"/>
    <x v="0"/>
    <s v="一般半天内"/>
    <n v="-15"/>
  </r>
  <r>
    <s v="0529-0 WX mobis"/>
    <x v="7"/>
    <x v="13"/>
    <n v="11"/>
    <s v="收到客户（胡媛媛）确认校对稿OK"/>
    <x v="22"/>
    <x v="0"/>
    <s v="一般马上"/>
    <n v="-15"/>
  </r>
  <r>
    <s v="0529-0 WX mobis"/>
    <x v="7"/>
    <x v="13"/>
    <n v="12"/>
    <s v="跟车队（沈丽）确认明天做箱，如有变动通知胡媛媛"/>
    <x v="22"/>
    <x v="0"/>
    <s v="截单前一天"/>
    <n v="-15"/>
  </r>
  <r>
    <s v="0529-0 WX mobis"/>
    <x v="7"/>
    <x v="13"/>
    <n v="13"/>
    <s v="收到沈丽发来装箱单"/>
    <x v="20"/>
    <x v="0"/>
    <s v="截单当天"/>
    <n v="-14"/>
  </r>
  <r>
    <s v="0529-0 WX mobis"/>
    <x v="7"/>
    <x v="13"/>
    <n v="14"/>
    <s v="完善截单资料发万恒（翁小姐），请求发舱单"/>
    <x v="20"/>
    <x v="0"/>
    <m/>
    <n v="-14"/>
  </r>
  <r>
    <s v="0529-0 WX mobis"/>
    <x v="7"/>
    <x v="13"/>
    <n v="15"/>
    <s v="收到舱单发送通知，核对舱单，装箱单发报关行报关"/>
    <x v="20"/>
    <x v="0"/>
    <m/>
    <n v="-14"/>
  </r>
  <r>
    <s v="0529-0 WX mobis"/>
    <x v="7"/>
    <x v="13"/>
    <n v="16"/>
    <s v="请求万恒（翁小姐）发提单样本"/>
    <x v="20"/>
    <x v="0"/>
    <m/>
    <n v="-14"/>
  </r>
  <r>
    <s v="0529-0 WX mobis"/>
    <x v="7"/>
    <x v="13"/>
    <n v="17"/>
    <s v="收到万恒（翁小姐）发来提单样本，发胡媛媛确认"/>
    <x v="20"/>
    <x v="0"/>
    <m/>
    <n v="-14"/>
  </r>
  <r>
    <s v="0529-0 WX mobis"/>
    <x v="7"/>
    <x v="13"/>
    <n v="18"/>
    <s v="收到胡媛媛提单确认"/>
    <x v="20"/>
    <x v="0"/>
    <m/>
    <n v="-14"/>
  </r>
  <r>
    <s v="0529-0 WX mobis"/>
    <x v="7"/>
    <x v="13"/>
    <n v="19"/>
    <s v="收到报关成功通知，通知车队可进港 "/>
    <x v="20"/>
    <x v="0"/>
    <m/>
    <n v="-14"/>
  </r>
  <r>
    <s v="0529-0 WX mobis"/>
    <x v="7"/>
    <x v="13"/>
    <n v="20"/>
    <s v="进港，核对数据"/>
    <x v="25"/>
    <x v="0"/>
    <m/>
    <n v="-13"/>
  </r>
  <r>
    <s v="0529-0 WX mobis"/>
    <x v="7"/>
    <x v="13"/>
    <n v="21"/>
    <s v="海放"/>
    <x v="25"/>
    <x v="0"/>
    <m/>
    <n v="-13"/>
  </r>
  <r>
    <s v="0529-0 WX mobis"/>
    <x v="7"/>
    <x v="13"/>
    <n v="22"/>
    <s v="码放"/>
    <x v="18"/>
    <x v="0"/>
    <m/>
    <n v="-11"/>
  </r>
  <r>
    <s v="0529-0 WX mobis"/>
    <x v="7"/>
    <x v="13"/>
    <n v="23"/>
    <s v="配载"/>
    <x v="3"/>
    <x v="0"/>
    <m/>
    <n v="-9"/>
  </r>
  <r>
    <s v="0529-0 WX mobis"/>
    <x v="7"/>
    <x v="13"/>
    <n v="24"/>
    <s v="开船"/>
    <x v="29"/>
    <x v="0"/>
    <m/>
    <n v="-8"/>
  </r>
  <r>
    <s v="0529-0 WX mobis"/>
    <x v="7"/>
    <x v="13"/>
    <n v="24.1"/>
    <s v="做费用，发账单给谢梦婕"/>
    <x v="3"/>
    <x v="0"/>
    <m/>
    <n v="-9"/>
  </r>
  <r>
    <s v="0529-0 WX mobis"/>
    <x v="7"/>
    <x v="13"/>
    <n v="25"/>
    <s v="收到万恒（翁小姐）提单，放提单和预录单给胡媛媛"/>
    <x v="29"/>
    <x v="0"/>
    <m/>
    <n v="-8"/>
  </r>
  <r>
    <s v="0531-0 JS mobis"/>
    <x v="5"/>
    <x v="14"/>
    <n v="1"/>
    <s v="收到客户(周嘉敏)订舱预报"/>
    <x v="14"/>
    <x v="0"/>
    <s v="一般周五发隔周"/>
    <n v="-21"/>
  </r>
  <r>
    <s v="0531-0 JS mobis"/>
    <x v="5"/>
    <x v="14"/>
    <n v="2"/>
    <s v="填WORKING PROCESS"/>
    <x v="14"/>
    <x v="0"/>
    <m/>
    <n v="-21"/>
  </r>
  <r>
    <s v="0531-0 JS mobis"/>
    <x v="5"/>
    <x v="14"/>
    <n v="3"/>
    <s v="收到HMM(Neo)预订舱邮件通知"/>
    <x v="16"/>
    <x v="0"/>
    <s v="一般周一发下周"/>
    <n v="-18"/>
  </r>
  <r>
    <s v="0531-0 JS mobis"/>
    <x v="5"/>
    <x v="14"/>
    <n v="4"/>
    <s v="回复HMM(Neo)预订舱邮件"/>
    <x v="16"/>
    <x v="0"/>
    <m/>
    <n v="-18"/>
  </r>
  <r>
    <s v="0531-0 JS mobis"/>
    <x v="5"/>
    <x v="14"/>
    <n v="5"/>
    <s v="收到HMM(Neo)预订舱确认"/>
    <x v="23"/>
    <x v="0"/>
    <s v="一般马上"/>
    <n v="-17"/>
  </r>
  <r>
    <s v="0531-0 JS mobis"/>
    <x v="5"/>
    <x v="14"/>
    <n v="6"/>
    <s v="公共盘生成提单号"/>
    <x v="23"/>
    <x v="0"/>
    <m/>
    <n v="-17"/>
  </r>
  <r>
    <s v="0531-0 JS mobis"/>
    <x v="5"/>
    <x v="14"/>
    <n v="7"/>
    <s v="YJC系统生成单子"/>
    <x v="23"/>
    <x v="0"/>
    <m/>
    <n v="-17"/>
  </r>
  <r>
    <s v="0531-0 JS mobis"/>
    <x v="5"/>
    <x v="14"/>
    <n v="8"/>
    <s v="发EDI"/>
    <x v="23"/>
    <x v="0"/>
    <m/>
    <n v="-17"/>
  </r>
  <r>
    <s v="0531-0 JS mobis"/>
    <x v="5"/>
    <x v="14"/>
    <n v="9"/>
    <s v="邮件申请放单"/>
    <x v="23"/>
    <x v="0"/>
    <m/>
    <n v="-17"/>
  </r>
  <r>
    <s v="0531-0 JS mobis"/>
    <x v="5"/>
    <x v="14"/>
    <n v="10"/>
    <s v="收到HMM(Neo) 放单确认"/>
    <x v="17"/>
    <x v="0"/>
    <s v="一般半天内"/>
    <n v="-16"/>
  </r>
  <r>
    <s v="0531-0 JS mobis"/>
    <x v="5"/>
    <x v="14"/>
    <n v="11"/>
    <s v="HMM网站核对订舱信息"/>
    <x v="17"/>
    <x v="0"/>
    <m/>
    <n v="-16"/>
  </r>
  <r>
    <s v="0531-0 JS mobis"/>
    <x v="5"/>
    <x v="14"/>
    <n v="12"/>
    <s v="收到客户(徐贵)做箱通知"/>
    <x v="18"/>
    <x v="0"/>
    <s v="一般做箱头天一早"/>
    <n v="-11"/>
  </r>
  <r>
    <s v="0531-0 JS mobis"/>
    <x v="5"/>
    <x v="14"/>
    <n v="13"/>
    <s v="发做箱通知邮件给车队(沈丽)"/>
    <x v="18"/>
    <x v="0"/>
    <m/>
    <n v="-11"/>
  </r>
  <r>
    <s v="0531-0 JS mobis"/>
    <x v="5"/>
    <x v="14"/>
    <n v="14"/>
    <s v="公共盘生成提单号【如需拆单】"/>
    <x v="18"/>
    <x v="0"/>
    <m/>
    <n v="-11"/>
  </r>
  <r>
    <s v="0531-0 JS mobis"/>
    <x v="5"/>
    <x v="14"/>
    <n v="15"/>
    <s v="YJC系统生成单子【如需拆单】"/>
    <x v="18"/>
    <x v="0"/>
    <m/>
    <n v="-11"/>
  </r>
  <r>
    <s v="0531-0 JS mobis"/>
    <x v="5"/>
    <x v="14"/>
    <n v="16"/>
    <s v="发EDI【如需拆单】"/>
    <x v="18"/>
    <x v="0"/>
    <m/>
    <n v="-11"/>
  </r>
  <r>
    <s v="0531-0 JS mobis"/>
    <x v="5"/>
    <x v="14"/>
    <n v="17"/>
    <s v="邮件申请放单【如需拆单】"/>
    <x v="18"/>
    <x v="0"/>
    <m/>
    <n v="-11"/>
  </r>
  <r>
    <s v="0531-0 JS mobis"/>
    <x v="5"/>
    <x v="14"/>
    <n v="18"/>
    <s v="收到HMM(Neo) 放单确认【如需拆单】"/>
    <x v="18"/>
    <x v="0"/>
    <m/>
    <n v="-11"/>
  </r>
  <r>
    <s v="0531-0 JS mobis"/>
    <x v="5"/>
    <x v="14"/>
    <n v="19"/>
    <s v="HMM网站核对订舱信息【如需拆单】"/>
    <x v="18"/>
    <x v="0"/>
    <m/>
    <n v="-11"/>
  </r>
  <r>
    <s v="0531-0 JS mobis"/>
    <x v="5"/>
    <x v="14"/>
    <n v="20"/>
    <s v="收到客户(徐贵)发来做箱数据(报关资料)"/>
    <x v="31"/>
    <x v="0"/>
    <s v="一般做箱当天一早"/>
    <n v="-10"/>
  </r>
  <r>
    <s v="0531-0 JS mobis"/>
    <x v="5"/>
    <x v="14"/>
    <n v="21"/>
    <s v="按报关(发票)数生成提单号【如发票数超过提单数】"/>
    <x v="31"/>
    <x v="0"/>
    <m/>
    <n v="-10"/>
  </r>
  <r>
    <s v="0531-0 JS mobis"/>
    <x v="5"/>
    <x v="14"/>
    <n v="22"/>
    <s v="做做箱数据，QQ发车队(沈丽)"/>
    <x v="31"/>
    <x v="0"/>
    <m/>
    <n v="-10"/>
  </r>
  <r>
    <s v="0531-0 JS mobis"/>
    <x v="5"/>
    <x v="14"/>
    <n v="23"/>
    <s v="做报关资料，扫描发报关行(黄寅文)QQ"/>
    <x v="31"/>
    <x v="0"/>
    <m/>
    <n v="-10"/>
  </r>
  <r>
    <s v="0531-0 JS mobis"/>
    <x v="5"/>
    <x v="14"/>
    <n v="24"/>
    <s v="收到车队(沈丽)装箱单，转发客户（徐贵）"/>
    <x v="31"/>
    <x v="0"/>
    <s v="一般马上"/>
    <n v="-10"/>
  </r>
  <r>
    <s v="0531-0 JS mobis"/>
    <x v="5"/>
    <x v="14"/>
    <n v="25"/>
    <s v="YJC系统截单，发EDI，邮件HMM(He)【截单时间】"/>
    <x v="31"/>
    <x v="0"/>
    <s v="注意截单时间"/>
    <n v="-10"/>
  </r>
  <r>
    <s v="0531-0 JS mobis"/>
    <x v="5"/>
    <x v="14"/>
    <n v="26"/>
    <s v="做保函给邹师傅"/>
    <x v="31"/>
    <x v="0"/>
    <m/>
    <n v="-10"/>
  </r>
  <r>
    <s v="0531-0 JS mobis"/>
    <x v="5"/>
    <x v="14"/>
    <n v="27"/>
    <s v="发VGM和舱单"/>
    <x v="31"/>
    <x v="0"/>
    <m/>
    <n v="-10"/>
  </r>
  <r>
    <s v="0531-0 JS mobis"/>
    <x v="5"/>
    <x v="14"/>
    <n v="28"/>
    <s v="做ISF，发国外资料"/>
    <x v="31"/>
    <x v="0"/>
    <m/>
    <n v="-10"/>
  </r>
  <r>
    <s v="0531-0 JS mobis"/>
    <x v="5"/>
    <x v="14"/>
    <n v="29"/>
    <s v="买保险"/>
    <x v="31"/>
    <x v="0"/>
    <m/>
    <n v="-10"/>
  </r>
  <r>
    <s v="0531-0 JS mobis"/>
    <x v="5"/>
    <x v="14"/>
    <n v="30"/>
    <s v="填WORKING PROCESS"/>
    <x v="31"/>
    <x v="0"/>
    <m/>
    <n v="-10"/>
  </r>
  <r>
    <s v="0531-0 JS mobis"/>
    <x v="5"/>
    <x v="14"/>
    <n v="30.1"/>
    <s v="做费用，发账单给谢梦婕"/>
    <x v="31"/>
    <x v="0"/>
    <s v="提前做账单"/>
    <n v="-10"/>
  </r>
  <r>
    <s v="0531-0 JS mobis"/>
    <x v="5"/>
    <x v="14"/>
    <n v="31"/>
    <s v="收到HMM(He)生成提单通知"/>
    <x v="31"/>
    <x v="0"/>
    <s v="一般马上"/>
    <n v="-10"/>
  </r>
  <r>
    <s v="0531-0 JS mobis"/>
    <x v="5"/>
    <x v="14"/>
    <n v="32"/>
    <s v="HMM网站核对提单信息"/>
    <x v="31"/>
    <x v="0"/>
    <m/>
    <n v="-10"/>
  </r>
  <r>
    <s v="0531-0 JS mobis"/>
    <x v="5"/>
    <x v="14"/>
    <n v="33"/>
    <s v="盯海关网站舱单"/>
    <x v="31"/>
    <x v="0"/>
    <s v="一般两小时左右"/>
    <n v="-10"/>
  </r>
  <r>
    <s v="0531-0 JS mobis"/>
    <x v="5"/>
    <x v="14"/>
    <n v="34"/>
    <s v="核对舱单信息"/>
    <x v="31"/>
    <x v="0"/>
    <m/>
    <n v="-10"/>
  </r>
  <r>
    <s v="0531-0 JS mobis"/>
    <x v="5"/>
    <x v="14"/>
    <n v="35"/>
    <s v="收到报关行(黄寅文)校对稿，邮件发客户(徐贵)确认"/>
    <x v="31"/>
    <x v="0"/>
    <s v="一般半天内"/>
    <n v="-10"/>
  </r>
  <r>
    <s v="0531-0 JS mobis"/>
    <x v="5"/>
    <x v="14"/>
    <n v="36"/>
    <s v="收到客户(徐贵)确认校对稿，通知报关行(黄寅文)"/>
    <x v="31"/>
    <x v="0"/>
    <s v="一般马上"/>
    <n v="-10"/>
  </r>
  <r>
    <s v="0531-0 JS mobis"/>
    <x v="5"/>
    <x v="14"/>
    <n v="37"/>
    <s v="通知报关行(黄寅文)报关(开港、舱单、校对)"/>
    <x v="31"/>
    <x v="0"/>
    <m/>
    <n v="-10"/>
  </r>
  <r>
    <s v="0531-0 JS mobis"/>
    <x v="5"/>
    <x v="14"/>
    <n v="38"/>
    <s v="收到报关成功通知"/>
    <x v="31"/>
    <x v="0"/>
    <s v="一般下班前"/>
    <n v="-10"/>
  </r>
  <r>
    <s v="0531-0 JS mobis"/>
    <x v="5"/>
    <x v="14"/>
    <n v="39"/>
    <s v="通知车队(沈丽)可进港"/>
    <x v="31"/>
    <x v="0"/>
    <m/>
    <n v="-10"/>
  </r>
  <r>
    <s v="0531-0 JS mobis"/>
    <x v="5"/>
    <x v="14"/>
    <n v="40"/>
    <s v="盯箱子进港"/>
    <x v="3"/>
    <x v="0"/>
    <m/>
    <n v="-9"/>
  </r>
  <r>
    <s v="0531-0 JS mobis"/>
    <x v="5"/>
    <x v="14"/>
    <n v="41"/>
    <s v="核对进港数据"/>
    <x v="3"/>
    <x v="0"/>
    <m/>
    <n v="-9"/>
  </r>
  <r>
    <s v="0531-0 JS mobis"/>
    <x v="5"/>
    <x v="14"/>
    <n v="42"/>
    <s v="盯海放"/>
    <x v="3"/>
    <x v="0"/>
    <m/>
    <n v="-9"/>
  </r>
  <r>
    <s v="0531-0 JS mobis"/>
    <x v="5"/>
    <x v="14"/>
    <n v="43"/>
    <s v="盯码放"/>
    <x v="29"/>
    <x v="0"/>
    <m/>
    <n v="-8"/>
  </r>
  <r>
    <s v="0531-0 JS mobis"/>
    <x v="5"/>
    <x v="14"/>
    <n v="44"/>
    <s v="盯配载"/>
    <x v="29"/>
    <x v="0"/>
    <m/>
    <n v="-8"/>
  </r>
  <r>
    <s v="0531-0 JS mobis"/>
    <x v="5"/>
    <x v="14"/>
    <n v="46"/>
    <s v="船开"/>
    <x v="30"/>
    <x v="0"/>
    <m/>
    <n v="-6"/>
  </r>
  <r>
    <s v="0531-0 JS mobis"/>
    <x v="5"/>
    <x v="14"/>
    <n v="47"/>
    <s v="放单"/>
    <x v="19"/>
    <x v="2"/>
    <s v="一般开船后两三天"/>
    <n v="3"/>
  </r>
  <r>
    <s v="0601-0 1 MONTH"/>
    <x v="1"/>
    <x v="15"/>
    <n v="1"/>
    <s v="TJ glovis当月额外费用汇总邮件"/>
    <x v="32"/>
    <x v="2"/>
    <s v="月底"/>
    <n v="13"/>
  </r>
  <r>
    <s v="0601-0 1 MONTH"/>
    <x v="1"/>
    <x v="15"/>
    <n v="2"/>
    <s v="收到保险公司（常）上月对账单，对账后回复常"/>
    <x v="26"/>
    <x v="0"/>
    <s v="一般上旬"/>
    <n v="-2"/>
  </r>
  <r>
    <s v="0601-0 1 MONTH"/>
    <x v="1"/>
    <x v="15"/>
    <n v="3"/>
    <s v="KMM HMI 0529的费用怎么弄？"/>
    <x v="33"/>
    <x v="2"/>
    <m/>
    <n v="7"/>
  </r>
  <r>
    <s v="0601-0 1 MONTH"/>
    <x v="1"/>
    <x v="15"/>
    <n v="4"/>
    <s v="CK TJ glovis有没有驳货费"/>
    <x v="34"/>
    <x v="2"/>
    <s v="月底"/>
    <n v="18"/>
  </r>
  <r>
    <s v="0601-0 1 MONTH"/>
    <x v="1"/>
    <x v="15"/>
    <n v="5"/>
    <s v="客户对账单，开票"/>
    <x v="35"/>
    <x v="2"/>
    <m/>
    <n v="21"/>
  </r>
  <r>
    <s v="0603-0 0 WEEK"/>
    <x v="4"/>
    <x v="16"/>
    <n v="1"/>
    <s v="收到HMM Neo 下周订舱邮件"/>
    <x v="36"/>
    <x v="0"/>
    <s v="周一"/>
    <n v="-4"/>
  </r>
  <r>
    <s v="0603-0 0 WEEK"/>
    <x v="4"/>
    <x v="16"/>
    <n v="2"/>
    <s v="根据JS mobis订舱需求回Neo邮件"/>
    <x v="36"/>
    <x v="0"/>
    <s v="周一"/>
    <n v="-4"/>
  </r>
  <r>
    <s v="0603-0 0 WEEK"/>
    <x v="4"/>
    <x v="16"/>
    <n v="3"/>
    <s v="SHA GLV WORKING PROCESS"/>
    <x v="36"/>
    <x v="0"/>
    <s v="周一"/>
    <n v="-4"/>
  </r>
  <r>
    <s v="0603-0 0 WEEK"/>
    <x v="4"/>
    <x v="16"/>
    <n v="4"/>
    <s v="SHA GLV WORKING PROCESS"/>
    <x v="26"/>
    <x v="0"/>
    <s v="周三"/>
    <n v="-2"/>
  </r>
  <r>
    <s v="0603-0 0 WEEK"/>
    <x v="4"/>
    <x v="16"/>
    <n v="5"/>
    <s v="TJ glovis额外费用邮件"/>
    <x v="19"/>
    <x v="0"/>
    <s v="周五"/>
    <n v="3"/>
  </r>
  <r>
    <s v="0603-0 0 WEEK"/>
    <x v="4"/>
    <x v="16"/>
    <n v="6"/>
    <s v="WORKING PROCESS"/>
    <x v="37"/>
    <x v="0"/>
    <s v="周五"/>
    <n v="0"/>
  </r>
  <r>
    <s v="0603-0 0 WEEK"/>
    <x v="4"/>
    <x v="16"/>
    <n v="7"/>
    <s v="万盛出运清单（下午三点）"/>
    <x v="38"/>
    <x v="0"/>
    <s v="周五"/>
    <n v="-1"/>
  </r>
  <r>
    <s v="0605-0 HMI"/>
    <x v="2"/>
    <x v="17"/>
    <n v="1"/>
    <s v="收到客户(孙丹/王珊)发来订舱托书"/>
    <x v="20"/>
    <x v="0"/>
    <m/>
    <n v="-14"/>
  </r>
  <r>
    <s v="0605-0 HMI"/>
    <x v="2"/>
    <x v="17"/>
    <n v="2"/>
    <s v="收到CK发来预配(做箱通知，沈丽有收到？)，完善YJC系统数据"/>
    <x v="3"/>
    <x v="0"/>
    <m/>
    <n v="-9"/>
  </r>
  <r>
    <s v="0605-0 HMI"/>
    <x v="2"/>
    <x v="17"/>
    <n v="3"/>
    <s v="YJC系统生成单子"/>
    <x v="31"/>
    <x v="0"/>
    <m/>
    <n v="-10"/>
  </r>
  <r>
    <s v="0605-0 HMI"/>
    <x v="2"/>
    <x v="17"/>
    <n v="4"/>
    <s v="收到包装厂(刘倩梅)发来包装指示书和装箱计划"/>
    <x v="29"/>
    <x v="0"/>
    <s v="一般周四"/>
    <n v="-8"/>
  </r>
  <r>
    <s v="0605-0 HMI"/>
    <x v="2"/>
    <x v="17"/>
    <n v="5"/>
    <s v="根据装箱计划汇总包装数据，发各工厂做报关资料"/>
    <x v="29"/>
    <x v="0"/>
    <m/>
    <n v="-8"/>
  </r>
  <r>
    <s v="0605-0 HMI"/>
    <x v="2"/>
    <x v="17"/>
    <n v="6"/>
    <s v="做做箱数据，邮件群发"/>
    <x v="29"/>
    <x v="0"/>
    <m/>
    <n v="-8"/>
  </r>
  <r>
    <s v="0605-0 HMI"/>
    <x v="2"/>
    <x v="17"/>
    <n v="7"/>
    <s v="收到工厂发来报关资料并完善(代做报关资料跟客户确认)"/>
    <x v="27"/>
    <x v="0"/>
    <s v="当天至隔天"/>
    <n v="-7"/>
  </r>
  <r>
    <s v="0605-0 HMI"/>
    <x v="2"/>
    <x v="17"/>
    <n v="8"/>
    <s v="报关资料齐了，发报关行(黄寅文)，货运模板/发票/箱单"/>
    <x v="39"/>
    <x v="0"/>
    <m/>
    <n v="-3"/>
  </r>
  <r>
    <s v="0605-0 HMI"/>
    <x v="2"/>
    <x v="17"/>
    <n v="9"/>
    <s v="确认开港时间再确认做箱时间"/>
    <x v="27"/>
    <x v="0"/>
    <s v="调整顺序"/>
    <n v="-7"/>
  </r>
  <r>
    <s v="0605-0 HMI"/>
    <x v="2"/>
    <x v="17"/>
    <n v="10"/>
    <s v="收到车队(沈丽)装箱单和洋山提箱截图(如有)，群发，通知发舱单"/>
    <x v="36"/>
    <x v="0"/>
    <s v="一般KMM五、HMI日"/>
    <n v="-4"/>
  </r>
  <r>
    <s v="0605-0 HMI"/>
    <x v="2"/>
    <x v="17"/>
    <n v="11"/>
    <s v="收到舱单发送成功通知，核对舱单信息"/>
    <x v="36"/>
    <x v="0"/>
    <m/>
    <n v="-4"/>
  </r>
  <r>
    <s v="0605-0 HMI"/>
    <x v="2"/>
    <x v="17"/>
    <n v="12"/>
    <s v="进港(核对数据)"/>
    <x v="39"/>
    <x v="0"/>
    <s v="调整顺序"/>
    <n v="-3"/>
  </r>
  <r>
    <s v="0605-0 HMI"/>
    <x v="2"/>
    <x v="17"/>
    <n v="13"/>
    <s v="通知报关"/>
    <x v="39"/>
    <x v="0"/>
    <s v="调整顺序"/>
    <n v="-3"/>
  </r>
  <r>
    <s v="0605-0 HMI"/>
    <x v="2"/>
    <x v="17"/>
    <n v="14"/>
    <s v="报关成功"/>
    <x v="39"/>
    <x v="0"/>
    <s v="调整顺序"/>
    <n v="-3"/>
  </r>
  <r>
    <s v="0605-0 HMI"/>
    <x v="2"/>
    <x v="17"/>
    <n v="15"/>
    <s v="盯海放"/>
    <x v="39"/>
    <x v="0"/>
    <m/>
    <n v="-3"/>
  </r>
  <r>
    <s v="0605-0 HMI"/>
    <x v="2"/>
    <x v="17"/>
    <n v="16"/>
    <s v="盯码放"/>
    <x v="26"/>
    <x v="0"/>
    <m/>
    <n v="-2"/>
  </r>
  <r>
    <s v="0605-0 HMI"/>
    <x v="2"/>
    <x v="17"/>
    <n v="17"/>
    <s v="盯配载"/>
    <x v="37"/>
    <x v="2"/>
    <m/>
    <n v="0"/>
  </r>
  <r>
    <s v="0605-0 HMI"/>
    <x v="2"/>
    <x v="17"/>
    <n v="18"/>
    <s v="盯船开"/>
    <x v="40"/>
    <x v="2"/>
    <m/>
    <n v="1"/>
  </r>
  <r>
    <s v="0605-0 HMI"/>
    <x v="2"/>
    <x v="17"/>
    <n v="19"/>
    <s v="做费用(对账单日期4号)，放公共盘，填月账单表，发孙丹"/>
    <x v="19"/>
    <x v="2"/>
    <m/>
    <n v="3"/>
  </r>
  <r>
    <s v="0605-0 JS mobis"/>
    <x v="5"/>
    <x v="17"/>
    <n v="1"/>
    <s v="收到客户(徐贵)订舱预报"/>
    <x v="18"/>
    <x v="0"/>
    <s v="一般周五发隔周"/>
    <n v="-11"/>
  </r>
  <r>
    <s v="0605-0 JS mobis"/>
    <x v="5"/>
    <x v="17"/>
    <n v="2"/>
    <s v="填WORKING PROCESS"/>
    <x v="18"/>
    <x v="0"/>
    <m/>
    <n v="-11"/>
  </r>
  <r>
    <s v="0605-0 JS mobis"/>
    <x v="5"/>
    <x v="17"/>
    <n v="3"/>
    <s v="收到HMM(Neo)预订舱邮件通知"/>
    <x v="18"/>
    <x v="0"/>
    <s v="一般周一发下周"/>
    <n v="-11"/>
  </r>
  <r>
    <s v="0605-0 JS mobis"/>
    <x v="5"/>
    <x v="17"/>
    <n v="4"/>
    <s v="回复HMM(Neo)预订舱邮件"/>
    <x v="18"/>
    <x v="0"/>
    <m/>
    <n v="-11"/>
  </r>
  <r>
    <s v="0605-0 JS mobis"/>
    <x v="5"/>
    <x v="17"/>
    <n v="5"/>
    <s v="收到HMM(Neo)预订舱确认"/>
    <x v="18"/>
    <x v="0"/>
    <s v="一般马上"/>
    <n v="-11"/>
  </r>
  <r>
    <s v="0605-0 JS mobis"/>
    <x v="5"/>
    <x v="17"/>
    <n v="6"/>
    <s v="公共盘生成提单号"/>
    <x v="18"/>
    <x v="0"/>
    <m/>
    <n v="-11"/>
  </r>
  <r>
    <s v="0605-0 JS mobis"/>
    <x v="5"/>
    <x v="17"/>
    <n v="7"/>
    <s v="YJC系统生成单子"/>
    <x v="18"/>
    <x v="0"/>
    <m/>
    <n v="-11"/>
  </r>
  <r>
    <s v="0605-0 JS mobis"/>
    <x v="5"/>
    <x v="17"/>
    <n v="8"/>
    <s v="发EDI"/>
    <x v="18"/>
    <x v="0"/>
    <m/>
    <n v="-11"/>
  </r>
  <r>
    <s v="0605-0 JS mobis"/>
    <x v="5"/>
    <x v="17"/>
    <n v="9"/>
    <s v="邮件申请放单"/>
    <x v="18"/>
    <x v="0"/>
    <m/>
    <n v="-11"/>
  </r>
  <r>
    <s v="0605-0 JS mobis"/>
    <x v="5"/>
    <x v="17"/>
    <n v="10"/>
    <s v="收到HMM(Neo) 放单确认"/>
    <x v="31"/>
    <x v="0"/>
    <s v="一般半天内"/>
    <n v="-10"/>
  </r>
  <r>
    <s v="0605-0 JS mobis"/>
    <x v="5"/>
    <x v="17"/>
    <n v="11"/>
    <s v="HMM网站核对订舱信息"/>
    <x v="31"/>
    <x v="0"/>
    <m/>
    <n v="-10"/>
  </r>
  <r>
    <s v="0605-0 JS mobis"/>
    <x v="5"/>
    <x v="17"/>
    <n v="12"/>
    <s v="收到客户(徐贵)做箱通知"/>
    <x v="29"/>
    <x v="0"/>
    <s v="一般做箱头天一早"/>
    <n v="-8"/>
  </r>
  <r>
    <s v="0605-0 JS mobis"/>
    <x v="5"/>
    <x v="17"/>
    <n v="13"/>
    <s v="发做箱通知邮件给车队(沈丽)"/>
    <x v="29"/>
    <x v="0"/>
    <m/>
    <n v="-8"/>
  </r>
  <r>
    <s v="0605-0 JS mobis"/>
    <x v="5"/>
    <x v="17"/>
    <n v="14"/>
    <s v="公共盘生成提单号【如需拆单】"/>
    <x v="29"/>
    <x v="0"/>
    <m/>
    <n v="-8"/>
  </r>
  <r>
    <s v="0605-0 JS mobis"/>
    <x v="5"/>
    <x v="17"/>
    <n v="15"/>
    <s v="YJC系统生成单子【如需拆单】"/>
    <x v="29"/>
    <x v="0"/>
    <m/>
    <n v="-8"/>
  </r>
  <r>
    <s v="0605-0 JS mobis"/>
    <x v="5"/>
    <x v="17"/>
    <n v="16"/>
    <s v="发EDI【如需拆单】"/>
    <x v="29"/>
    <x v="0"/>
    <m/>
    <n v="-8"/>
  </r>
  <r>
    <s v="0605-0 JS mobis"/>
    <x v="5"/>
    <x v="17"/>
    <n v="17"/>
    <s v="邮件申请放单【如需拆单】"/>
    <x v="29"/>
    <x v="0"/>
    <m/>
    <n v="-8"/>
  </r>
  <r>
    <s v="0605-0 JS mobis"/>
    <x v="5"/>
    <x v="17"/>
    <n v="18"/>
    <s v="收到HMM(Neo) 放单确认【如需拆单】"/>
    <x v="29"/>
    <x v="0"/>
    <m/>
    <n v="-8"/>
  </r>
  <r>
    <s v="0605-0 JS mobis"/>
    <x v="5"/>
    <x v="17"/>
    <n v="19"/>
    <s v="HMM网站核对订舱信息【如需拆单】"/>
    <x v="29"/>
    <x v="0"/>
    <m/>
    <n v="-8"/>
  </r>
  <r>
    <s v="0605-0 JS mobis"/>
    <x v="5"/>
    <x v="17"/>
    <n v="20"/>
    <s v="收到客户(徐贵)发来做箱数据(报关资料)"/>
    <x v="27"/>
    <x v="0"/>
    <s v="一般做箱当天一早"/>
    <n v="-7"/>
  </r>
  <r>
    <s v="0605-0 JS mobis"/>
    <x v="5"/>
    <x v="17"/>
    <n v="21"/>
    <s v="按报关(发票)数生成提单号【如发票数超过提单数】"/>
    <x v="27"/>
    <x v="0"/>
    <m/>
    <n v="-7"/>
  </r>
  <r>
    <s v="0605-0 JS mobis"/>
    <x v="5"/>
    <x v="17"/>
    <n v="22"/>
    <s v="做做箱数据，QQ发车队(沈丽)"/>
    <x v="27"/>
    <x v="0"/>
    <m/>
    <n v="-7"/>
  </r>
  <r>
    <s v="0605-0 JS mobis"/>
    <x v="5"/>
    <x v="17"/>
    <n v="23"/>
    <s v="收到车队(沈丽)装箱单，转发客户（徐贵）"/>
    <x v="27"/>
    <x v="0"/>
    <s v="一般马上"/>
    <n v="-7"/>
  </r>
  <r>
    <s v="0605-0 JS mobis"/>
    <x v="5"/>
    <x v="17"/>
    <n v="24"/>
    <s v="YJC系统截单，发EDI，邮件HMM(He)【截单时间】"/>
    <x v="27"/>
    <x v="0"/>
    <s v="注意截单时间"/>
    <n v="-7"/>
  </r>
  <r>
    <s v="0605-0 JS mobis"/>
    <x v="5"/>
    <x v="17"/>
    <n v="25"/>
    <s v="发VGM和舱单"/>
    <x v="27"/>
    <x v="0"/>
    <m/>
    <n v="-7"/>
  </r>
  <r>
    <s v="0605-0 JS mobis"/>
    <x v="5"/>
    <x v="17"/>
    <n v="26"/>
    <s v="做报关资料，扫描发报关行(黄寅文)QQ"/>
    <x v="27"/>
    <x v="0"/>
    <m/>
    <n v="-7"/>
  </r>
  <r>
    <s v="0605-0 JS mobis"/>
    <x v="5"/>
    <x v="17"/>
    <n v="27"/>
    <s v="做保函给邹师傅"/>
    <x v="27"/>
    <x v="0"/>
    <m/>
    <n v="-7"/>
  </r>
  <r>
    <s v="0605-0 JS mobis"/>
    <x v="5"/>
    <x v="17"/>
    <n v="28"/>
    <s v="做ISF，发国外资料"/>
    <x v="27"/>
    <x v="0"/>
    <m/>
    <n v="-7"/>
  </r>
  <r>
    <s v="0605-0 JS mobis"/>
    <x v="5"/>
    <x v="17"/>
    <n v="29"/>
    <s v="买保险"/>
    <x v="27"/>
    <x v="0"/>
    <m/>
    <n v="-7"/>
  </r>
  <r>
    <s v="0605-0 JS mobis"/>
    <x v="5"/>
    <x v="17"/>
    <n v="30"/>
    <s v="填WORKING PROCESS"/>
    <x v="27"/>
    <x v="0"/>
    <m/>
    <n v="-7"/>
  </r>
  <r>
    <s v="0605-0 JS mobis"/>
    <x v="5"/>
    <x v="17"/>
    <n v="31"/>
    <s v="收到HMM(He)生成提单通知"/>
    <x v="27"/>
    <x v="0"/>
    <s v="一般马上"/>
    <n v="-7"/>
  </r>
  <r>
    <s v="0605-0 JS mobis"/>
    <x v="5"/>
    <x v="17"/>
    <n v="32"/>
    <s v="HMM网站核对提单信息"/>
    <x v="27"/>
    <x v="0"/>
    <m/>
    <n v="-7"/>
  </r>
  <r>
    <s v="0605-0 JS mobis"/>
    <x v="5"/>
    <x v="17"/>
    <n v="33"/>
    <s v="盯海关网站舱单"/>
    <x v="27"/>
    <x v="0"/>
    <s v="一般两小时左右"/>
    <n v="-7"/>
  </r>
  <r>
    <s v="0605-0 JS mobis"/>
    <x v="5"/>
    <x v="17"/>
    <n v="34"/>
    <s v="核对舱单信息"/>
    <x v="27"/>
    <x v="0"/>
    <m/>
    <n v="-7"/>
  </r>
  <r>
    <s v="0605-0 JS mobis"/>
    <x v="5"/>
    <x v="17"/>
    <n v="35"/>
    <s v="收到报关行(黄寅文)校对稿，邮件发客户(徐贵)确认"/>
    <x v="27"/>
    <x v="0"/>
    <s v="一般半天内"/>
    <n v="-7"/>
  </r>
  <r>
    <s v="0605-0 JS mobis"/>
    <x v="5"/>
    <x v="17"/>
    <n v="36"/>
    <s v="收到客户(徐贵)确认校对稿"/>
    <x v="30"/>
    <x v="0"/>
    <s v="一般马上"/>
    <n v="-6"/>
  </r>
  <r>
    <s v="0605-0 JS mobis"/>
    <x v="5"/>
    <x v="17"/>
    <n v="37"/>
    <s v="通知车队(沈丽)可进港"/>
    <x v="27"/>
    <x v="0"/>
    <m/>
    <n v="-7"/>
  </r>
  <r>
    <s v="0605-0 JS mobis"/>
    <x v="5"/>
    <x v="17"/>
    <n v="38"/>
    <s v="盯箱子进港"/>
    <x v="41"/>
    <x v="0"/>
    <m/>
    <n v="-5"/>
  </r>
  <r>
    <s v="0605-0 JS mobis"/>
    <x v="5"/>
    <x v="17"/>
    <n v="39"/>
    <s v="核对进港数据"/>
    <x v="41"/>
    <x v="0"/>
    <m/>
    <n v="-5"/>
  </r>
  <r>
    <s v="0605-0 JS mobis"/>
    <x v="5"/>
    <x v="17"/>
    <n v="40"/>
    <s v="通知报关行(黄寅文)报关(开港、舱单、校对)"/>
    <x v="41"/>
    <x v="0"/>
    <m/>
    <n v="-5"/>
  </r>
  <r>
    <s v="0605-0 JS mobis"/>
    <x v="5"/>
    <x v="17"/>
    <n v="41"/>
    <s v="收到报关成功通知"/>
    <x v="41"/>
    <x v="0"/>
    <s v="一般下班前"/>
    <n v="-5"/>
  </r>
  <r>
    <s v="0605-0 JS mobis"/>
    <x v="5"/>
    <x v="17"/>
    <n v="42"/>
    <s v="盯海放"/>
    <x v="41"/>
    <x v="0"/>
    <m/>
    <n v="-5"/>
  </r>
  <r>
    <s v="0605-0 JS mobis"/>
    <x v="5"/>
    <x v="17"/>
    <n v="43"/>
    <s v="盯码放"/>
    <x v="39"/>
    <x v="0"/>
    <m/>
    <n v="-3"/>
  </r>
  <r>
    <s v="0605-0 JS mobis"/>
    <x v="5"/>
    <x v="17"/>
    <n v="44"/>
    <s v="盯配载"/>
    <x v="26"/>
    <x v="0"/>
    <m/>
    <n v="-2"/>
  </r>
  <r>
    <s v="0605-0 JS mobis"/>
    <x v="5"/>
    <x v="17"/>
    <n v="45"/>
    <s v="做费用(月初等汇率)，发账单给石磊"/>
    <x v="26"/>
    <x v="0"/>
    <m/>
    <n v="-2"/>
  </r>
  <r>
    <s v="0605-0 JS mobis"/>
    <x v="5"/>
    <x v="17"/>
    <n v="46"/>
    <s v="船开"/>
    <x v="40"/>
    <x v="2"/>
    <m/>
    <n v="1"/>
  </r>
  <r>
    <s v="0605-0 JS mobis"/>
    <x v="5"/>
    <x v="17"/>
    <n v="47"/>
    <s v="放单"/>
    <x v="19"/>
    <x v="2"/>
    <s v="一般开船后两三天"/>
    <n v="3"/>
  </r>
  <r>
    <s v="0605-0 KMM"/>
    <x v="3"/>
    <x v="17"/>
    <n v="1"/>
    <s v="收到客户(孙丹/王珊)发来订舱托书"/>
    <x v="22"/>
    <x v="0"/>
    <m/>
    <n v="-15"/>
  </r>
  <r>
    <s v="0605-0 KMM"/>
    <x v="3"/>
    <x v="17"/>
    <n v="2"/>
    <s v="收到CK发来预配(做箱通知，沈丽有收到？)，完善YJC系统数据"/>
    <x v="18"/>
    <x v="0"/>
    <m/>
    <n v="-11"/>
  </r>
  <r>
    <s v="0605-0 KMM"/>
    <x v="3"/>
    <x v="17"/>
    <n v="3"/>
    <s v="YJC系统生成单子"/>
    <x v="18"/>
    <x v="0"/>
    <m/>
    <n v="-11"/>
  </r>
  <r>
    <s v="0605-0 KMM"/>
    <x v="3"/>
    <x v="17"/>
    <n v="4"/>
    <s v="收到包装厂(刘倩梅)发来包装指示书和装箱计划"/>
    <x v="29"/>
    <x v="0"/>
    <s v="一般周四"/>
    <n v="-8"/>
  </r>
  <r>
    <s v="0605-0 KMM"/>
    <x v="3"/>
    <x v="17"/>
    <n v="5"/>
    <s v="根据装箱计划汇总包装数据，发各工厂做报关资料"/>
    <x v="29"/>
    <x v="0"/>
    <m/>
    <n v="-8"/>
  </r>
  <r>
    <s v="0605-0 KMM"/>
    <x v="3"/>
    <x v="17"/>
    <n v="6"/>
    <s v="做做箱数据，邮件群发"/>
    <x v="29"/>
    <x v="0"/>
    <m/>
    <n v="-8"/>
  </r>
  <r>
    <s v="0605-0 KMM"/>
    <x v="3"/>
    <x v="17"/>
    <n v="7"/>
    <s v="收到工厂发来报关资料并完善(代做报关资料跟客户确认)"/>
    <x v="27"/>
    <x v="0"/>
    <s v="当天至隔天"/>
    <n v="-7"/>
  </r>
  <r>
    <s v="0605-0 KMM"/>
    <x v="3"/>
    <x v="17"/>
    <n v="8"/>
    <s v="报关资料齐了，发报关行(黄寅文)，货运模板/发票/箱单"/>
    <x v="39"/>
    <x v="0"/>
    <m/>
    <n v="-3"/>
  </r>
  <r>
    <s v="0605-0 KMM"/>
    <x v="3"/>
    <x v="17"/>
    <n v="9"/>
    <s v="收到车队(沈丽)装箱单和洋山提箱截图(如有)，群发，通知发舱单"/>
    <x v="27"/>
    <x v="0"/>
    <s v="一般KMM五、HMI日"/>
    <n v="-7"/>
  </r>
  <r>
    <s v="0605-0 KMM"/>
    <x v="3"/>
    <x v="17"/>
    <n v="10"/>
    <s v="收到舱单发送成功通知，核对舱单信息"/>
    <x v="27"/>
    <x v="0"/>
    <m/>
    <n v="-7"/>
  </r>
  <r>
    <s v="0605-0 KMM"/>
    <x v="3"/>
    <x v="17"/>
    <n v="11"/>
    <s v="通知报关"/>
    <x v="27"/>
    <x v="0"/>
    <s v="调整顺序"/>
    <n v="-7"/>
  </r>
  <r>
    <s v="0605-0 KMM"/>
    <x v="3"/>
    <x v="17"/>
    <n v="12"/>
    <s v="报关成功"/>
    <x v="27"/>
    <x v="0"/>
    <s v="调整顺序"/>
    <n v="-7"/>
  </r>
  <r>
    <s v="0605-0 KMM"/>
    <x v="3"/>
    <x v="17"/>
    <n v="13"/>
    <s v="通知进港"/>
    <x v="27"/>
    <x v="0"/>
    <s v="调整顺序"/>
    <n v="-7"/>
  </r>
  <r>
    <s v="0605-0 KMM"/>
    <x v="3"/>
    <x v="17"/>
    <n v="14"/>
    <s v="进港(核对数据)"/>
    <x v="27"/>
    <x v="0"/>
    <s v="调整顺序"/>
    <n v="-7"/>
  </r>
  <r>
    <s v="0605-0 KMM"/>
    <x v="3"/>
    <x v="17"/>
    <n v="15"/>
    <s v="盯海放"/>
    <x v="27"/>
    <x v="0"/>
    <m/>
    <n v="-7"/>
  </r>
  <r>
    <s v="0605-0 KMM"/>
    <x v="3"/>
    <x v="17"/>
    <n v="16"/>
    <s v="盯码放"/>
    <x v="36"/>
    <x v="0"/>
    <m/>
    <n v="-4"/>
  </r>
  <r>
    <s v="0605-0 KMM"/>
    <x v="3"/>
    <x v="17"/>
    <n v="17"/>
    <s v="盯配载"/>
    <x v="26"/>
    <x v="0"/>
    <m/>
    <n v="-2"/>
  </r>
  <r>
    <s v="0605-0 KMM"/>
    <x v="3"/>
    <x v="17"/>
    <n v="18"/>
    <s v="盯船开"/>
    <x v="38"/>
    <x v="0"/>
    <m/>
    <n v="-1"/>
  </r>
  <r>
    <s v="0605-0 KMM"/>
    <x v="3"/>
    <x v="17"/>
    <n v="19"/>
    <s v="做费用(对账单日期4号)，放公共盘，填月账单表，发孙丹"/>
    <x v="19"/>
    <x v="2"/>
    <m/>
    <n v="3"/>
  </r>
  <r>
    <s v="0607-0 JS mobis"/>
    <x v="5"/>
    <x v="18"/>
    <n v="1"/>
    <s v="收到客户(徐贵)订舱预报"/>
    <x v="18"/>
    <x v="0"/>
    <s v="一般周五发隔周"/>
    <n v="-11"/>
  </r>
  <r>
    <s v="0607-0 JS mobis"/>
    <x v="5"/>
    <x v="18"/>
    <n v="2"/>
    <s v="填WORKING PROCESS"/>
    <x v="18"/>
    <x v="0"/>
    <m/>
    <n v="-11"/>
  </r>
  <r>
    <s v="0607-0 JS mobis"/>
    <x v="5"/>
    <x v="18"/>
    <n v="3"/>
    <s v="收到HMM(Neo)预订舱邮件通知"/>
    <x v="18"/>
    <x v="0"/>
    <s v="一般周一发下周"/>
    <n v="-11"/>
  </r>
  <r>
    <s v="0607-0 JS mobis"/>
    <x v="5"/>
    <x v="18"/>
    <n v="4"/>
    <s v="回复HMM(Neo)预订舱邮件"/>
    <x v="18"/>
    <x v="0"/>
    <m/>
    <n v="-11"/>
  </r>
  <r>
    <s v="0607-0 JS mobis"/>
    <x v="5"/>
    <x v="18"/>
    <n v="5"/>
    <s v="收到HMM(Neo)预订舱确认"/>
    <x v="18"/>
    <x v="0"/>
    <s v="一般马上"/>
    <n v="-11"/>
  </r>
  <r>
    <s v="0607-0 JS mobis"/>
    <x v="5"/>
    <x v="18"/>
    <n v="6"/>
    <s v="公共盘生成提单号"/>
    <x v="18"/>
    <x v="0"/>
    <m/>
    <n v="-11"/>
  </r>
  <r>
    <s v="0607-0 JS mobis"/>
    <x v="5"/>
    <x v="18"/>
    <n v="7"/>
    <s v="YJC系统生成单子"/>
    <x v="18"/>
    <x v="0"/>
    <m/>
    <n v="-11"/>
  </r>
  <r>
    <s v="0607-0 JS mobis"/>
    <x v="5"/>
    <x v="18"/>
    <n v="8"/>
    <s v="发EDI"/>
    <x v="18"/>
    <x v="0"/>
    <m/>
    <n v="-11"/>
  </r>
  <r>
    <s v="0607-0 JS mobis"/>
    <x v="5"/>
    <x v="18"/>
    <n v="9"/>
    <s v="邮件申请放单"/>
    <x v="18"/>
    <x v="0"/>
    <m/>
    <n v="-11"/>
  </r>
  <r>
    <s v="0607-0 JS mobis"/>
    <x v="5"/>
    <x v="18"/>
    <n v="10"/>
    <s v="收到HMM(Neo) 放单确认"/>
    <x v="31"/>
    <x v="0"/>
    <s v="一般半天内"/>
    <n v="-10"/>
  </r>
  <r>
    <s v="0607-0 JS mobis"/>
    <x v="5"/>
    <x v="18"/>
    <n v="11"/>
    <s v="HMM网站核对订舱信息"/>
    <x v="31"/>
    <x v="0"/>
    <m/>
    <n v="-10"/>
  </r>
  <r>
    <s v="0607-0 JS mobis"/>
    <x v="5"/>
    <x v="18"/>
    <n v="12"/>
    <s v="收到客户(徐贵)做箱通知"/>
    <x v="36"/>
    <x v="0"/>
    <s v="一般做箱头天一早"/>
    <n v="-4"/>
  </r>
  <r>
    <s v="0607-0 JS mobis"/>
    <x v="5"/>
    <x v="18"/>
    <n v="13"/>
    <s v="发做箱通知邮件给车队(沈丽)"/>
    <x v="36"/>
    <x v="0"/>
    <m/>
    <n v="-4"/>
  </r>
  <r>
    <s v="0607-0 JS mobis"/>
    <x v="5"/>
    <x v="18"/>
    <n v="14"/>
    <s v="公共盘生成提单号【如需拆单】"/>
    <x v="36"/>
    <x v="0"/>
    <m/>
    <n v="-4"/>
  </r>
  <r>
    <s v="0607-0 JS mobis"/>
    <x v="5"/>
    <x v="18"/>
    <n v="15"/>
    <s v="YJC系统生成单子【如需拆单】"/>
    <x v="36"/>
    <x v="0"/>
    <m/>
    <n v="-4"/>
  </r>
  <r>
    <s v="0607-0 JS mobis"/>
    <x v="5"/>
    <x v="18"/>
    <n v="16"/>
    <s v="发EDI【如需拆单】"/>
    <x v="36"/>
    <x v="0"/>
    <m/>
    <n v="-4"/>
  </r>
  <r>
    <s v="0607-0 JS mobis"/>
    <x v="5"/>
    <x v="18"/>
    <n v="17"/>
    <s v="邮件申请放单【如需拆单】"/>
    <x v="36"/>
    <x v="0"/>
    <m/>
    <n v="-4"/>
  </r>
  <r>
    <s v="0607-0 JS mobis"/>
    <x v="5"/>
    <x v="18"/>
    <n v="18"/>
    <s v="收到HMM(Neo) 放单确认【如需拆单】"/>
    <x v="36"/>
    <x v="0"/>
    <m/>
    <n v="-4"/>
  </r>
  <r>
    <s v="0607-0 JS mobis"/>
    <x v="5"/>
    <x v="18"/>
    <n v="19"/>
    <s v="HMM网站核对订舱信息【如需拆单】"/>
    <x v="36"/>
    <x v="0"/>
    <m/>
    <n v="-4"/>
  </r>
  <r>
    <s v="0607-0 JS mobis"/>
    <x v="5"/>
    <x v="18"/>
    <n v="20"/>
    <s v="收到客户(徐贵)发来做箱数据(报关资料)"/>
    <x v="39"/>
    <x v="0"/>
    <s v="一般做箱当天一早"/>
    <n v="-3"/>
  </r>
  <r>
    <s v="0607-0 JS mobis"/>
    <x v="5"/>
    <x v="18"/>
    <n v="21"/>
    <s v="按报关(发票)数生成提单号【如发票数超过提单数】"/>
    <x v="39"/>
    <x v="0"/>
    <m/>
    <n v="-3"/>
  </r>
  <r>
    <s v="0607-0 JS mobis"/>
    <x v="5"/>
    <x v="18"/>
    <n v="22"/>
    <s v="做做箱数据，QQ发车队(沈丽)"/>
    <x v="39"/>
    <x v="0"/>
    <m/>
    <n v="-3"/>
  </r>
  <r>
    <s v="0607-0 JS mobis"/>
    <x v="5"/>
    <x v="18"/>
    <n v="23"/>
    <s v="收到车队(沈丽)装箱单，转发客户（徐贵）"/>
    <x v="39"/>
    <x v="0"/>
    <s v="一般马上"/>
    <n v="-3"/>
  </r>
  <r>
    <s v="0607-0 JS mobis"/>
    <x v="5"/>
    <x v="18"/>
    <n v="24"/>
    <s v="YJC系统截单，发EDI，邮件HMM(He)【截单时间】"/>
    <x v="39"/>
    <x v="0"/>
    <s v="注意截单时间"/>
    <n v="-3"/>
  </r>
  <r>
    <s v="0607-0 JS mobis"/>
    <x v="5"/>
    <x v="18"/>
    <n v="25"/>
    <s v="发VGM和舱单"/>
    <x v="39"/>
    <x v="0"/>
    <m/>
    <n v="-3"/>
  </r>
  <r>
    <s v="0607-0 JS mobis"/>
    <x v="5"/>
    <x v="18"/>
    <n v="26"/>
    <s v="做报关资料，扫描发报关行(黄寅文)QQ"/>
    <x v="39"/>
    <x v="0"/>
    <m/>
    <n v="-3"/>
  </r>
  <r>
    <s v="0607-0 JS mobis"/>
    <x v="5"/>
    <x v="18"/>
    <n v="27"/>
    <s v="做保函给邹师傅"/>
    <x v="39"/>
    <x v="0"/>
    <m/>
    <n v="-3"/>
  </r>
  <r>
    <s v="0607-0 JS mobis"/>
    <x v="5"/>
    <x v="18"/>
    <n v="28"/>
    <s v="做ISF，发国外资料"/>
    <x v="39"/>
    <x v="0"/>
    <m/>
    <n v="-3"/>
  </r>
  <r>
    <s v="0607-0 JS mobis"/>
    <x v="5"/>
    <x v="18"/>
    <n v="29"/>
    <s v="买保险"/>
    <x v="39"/>
    <x v="0"/>
    <m/>
    <n v="-3"/>
  </r>
  <r>
    <s v="0607-0 JS mobis"/>
    <x v="5"/>
    <x v="18"/>
    <n v="31"/>
    <s v="收到HMM(He)生成提单通知"/>
    <x v="39"/>
    <x v="0"/>
    <s v="一般马上"/>
    <n v="-3"/>
  </r>
  <r>
    <s v="0607-0 JS mobis"/>
    <x v="5"/>
    <x v="18"/>
    <n v="32"/>
    <s v="HMM网站核对提单信息"/>
    <x v="38"/>
    <x v="0"/>
    <m/>
    <n v="-1"/>
  </r>
  <r>
    <s v="0607-0 JS mobis"/>
    <x v="5"/>
    <x v="18"/>
    <n v="33"/>
    <s v="盯海关网站舱单"/>
    <x v="39"/>
    <x v="0"/>
    <s v="一般两小时左右"/>
    <n v="-3"/>
  </r>
  <r>
    <s v="0607-0 JS mobis"/>
    <x v="5"/>
    <x v="18"/>
    <n v="34"/>
    <s v="核对舱单信息"/>
    <x v="39"/>
    <x v="0"/>
    <m/>
    <n v="-3"/>
  </r>
  <r>
    <s v="0607-0 JS mobis"/>
    <x v="5"/>
    <x v="18"/>
    <n v="35"/>
    <s v="收到报关行(黄寅文)校对稿，邮件发客户(徐贵)确认"/>
    <x v="39"/>
    <x v="0"/>
    <s v="一般半天内"/>
    <n v="-3"/>
  </r>
  <r>
    <s v="0607-0 JS mobis"/>
    <x v="5"/>
    <x v="18"/>
    <n v="36"/>
    <s v="收到客户(徐贵)确认校对稿"/>
    <x v="39"/>
    <x v="0"/>
    <s v="一般马上"/>
    <n v="-3"/>
  </r>
  <r>
    <s v="0607-0 JS mobis"/>
    <x v="5"/>
    <x v="18"/>
    <n v="37"/>
    <s v="通知报关行(黄寅文)报关(开港、舱单、校对)"/>
    <x v="39"/>
    <x v="0"/>
    <m/>
    <n v="-3"/>
  </r>
  <r>
    <s v="0607-0 JS mobis"/>
    <x v="5"/>
    <x v="18"/>
    <n v="38"/>
    <s v="收到报关成功通知"/>
    <x v="39"/>
    <x v="0"/>
    <s v="一般下班前"/>
    <n v="-3"/>
  </r>
  <r>
    <s v="0607-0 JS mobis"/>
    <x v="5"/>
    <x v="18"/>
    <n v="39"/>
    <s v="通知车队(沈丽)可进港"/>
    <x v="39"/>
    <x v="0"/>
    <m/>
    <n v="-3"/>
  </r>
  <r>
    <s v="0607-0 JS mobis"/>
    <x v="5"/>
    <x v="18"/>
    <n v="40"/>
    <s v="盯箱子进港"/>
    <x v="26"/>
    <x v="0"/>
    <m/>
    <n v="-2"/>
  </r>
  <r>
    <s v="0607-0 JS mobis"/>
    <x v="5"/>
    <x v="18"/>
    <n v="41"/>
    <s v="核对进港数据"/>
    <x v="26"/>
    <x v="0"/>
    <m/>
    <n v="-2"/>
  </r>
  <r>
    <s v="0607-0 JS mobis"/>
    <x v="5"/>
    <x v="18"/>
    <n v="42"/>
    <s v="盯海放"/>
    <x v="26"/>
    <x v="0"/>
    <m/>
    <n v="-2"/>
  </r>
  <r>
    <s v="0607-0 JS mobis"/>
    <x v="5"/>
    <x v="18"/>
    <n v="43"/>
    <s v="盯码放"/>
    <x v="38"/>
    <x v="0"/>
    <m/>
    <n v="-1"/>
  </r>
  <r>
    <s v="0607-0 JS mobis"/>
    <x v="5"/>
    <x v="18"/>
    <n v="44"/>
    <s v="盯配载"/>
    <x v="37"/>
    <x v="2"/>
    <m/>
    <n v="0"/>
  </r>
  <r>
    <s v="0607-0 JS mobis"/>
    <x v="5"/>
    <x v="18"/>
    <n v="45"/>
    <s v="做费用(月初等汇率)，发账单给石磊"/>
    <x v="19"/>
    <x v="2"/>
    <m/>
    <n v="3"/>
  </r>
  <r>
    <s v="0607-0 JS mobis"/>
    <x v="5"/>
    <x v="18"/>
    <n v="46"/>
    <s v="船开"/>
    <x v="40"/>
    <x v="2"/>
    <m/>
    <n v="1"/>
  </r>
  <r>
    <s v="0607-0 JS mobis"/>
    <x v="5"/>
    <x v="18"/>
    <n v="47"/>
    <s v="放单"/>
    <x v="19"/>
    <x v="2"/>
    <s v="一般开船后两三天"/>
    <n v="3"/>
  </r>
  <r>
    <s v="0607-0 SC glovis"/>
    <x v="6"/>
    <x v="18"/>
    <n v="1"/>
    <s v="收到客户托书"/>
    <x v="17"/>
    <x v="0"/>
    <m/>
    <n v="-16"/>
  </r>
  <r>
    <s v="0607-0 SC glovis"/>
    <x v="6"/>
    <x v="18"/>
    <n v="2"/>
    <s v="生成单号，YJC系统，发EDI，邮件Neo放舱"/>
    <x v="18"/>
    <x v="0"/>
    <m/>
    <n v="-11"/>
  </r>
  <r>
    <s v="0607-0 SC glovis"/>
    <x v="6"/>
    <x v="18"/>
    <n v="3"/>
    <s v="收到Neo放舱确认"/>
    <x v="31"/>
    <x v="0"/>
    <m/>
    <n v="-10"/>
  </r>
  <r>
    <s v="0607-0 SC glovis"/>
    <x v="6"/>
    <x v="18"/>
    <n v="4"/>
    <s v="发预配信息给客户（张婷）"/>
    <x v="31"/>
    <x v="0"/>
    <m/>
    <n v="-10"/>
  </r>
  <r>
    <s v="0607-0 SC glovis"/>
    <x v="6"/>
    <x v="18"/>
    <n v="5"/>
    <s v="收到客户（张婷）报关资料"/>
    <x v="29"/>
    <x v="0"/>
    <m/>
    <n v="-8"/>
  </r>
  <r>
    <s v="0607-0 SC glovis"/>
    <x v="6"/>
    <x v="18"/>
    <n v="6"/>
    <s v="做报关资料，发报关行（黄寅文），要校对稿"/>
    <x v="29"/>
    <x v="0"/>
    <m/>
    <n v="-8"/>
  </r>
  <r>
    <s v="0607-0 SC glovis"/>
    <x v="6"/>
    <x v="18"/>
    <n v="7"/>
    <s v="收到校对稿，发客户"/>
    <x v="29"/>
    <x v="0"/>
    <m/>
    <n v="-8"/>
  </r>
  <r>
    <s v="0607-0 SC glovis"/>
    <x v="6"/>
    <x v="18"/>
    <n v="8"/>
    <s v="收到校对稿确认"/>
    <x v="27"/>
    <x v="0"/>
    <m/>
    <n v="-7"/>
  </r>
  <r>
    <s v="0607-0 SC glovis"/>
    <x v="6"/>
    <x v="18"/>
    <n v="9"/>
    <s v="收到客户（张婷）舱单模板和VGM"/>
    <x v="36"/>
    <x v="0"/>
    <s v="今天能放箱装？"/>
    <n v="-4"/>
  </r>
  <r>
    <s v="0607-0 SC glovis"/>
    <x v="6"/>
    <x v="18"/>
    <n v="10"/>
    <s v="发舱单和VGM"/>
    <x v="36"/>
    <x v="0"/>
    <m/>
    <n v="-4"/>
  </r>
  <r>
    <s v="0607-0 SC glovis"/>
    <x v="6"/>
    <x v="18"/>
    <n v="11"/>
    <s v="YJC系统改准确数据，发ESI，做AMS模板并邮件何生成提单"/>
    <x v="36"/>
    <x v="0"/>
    <m/>
    <n v="-4"/>
  </r>
  <r>
    <s v="0607-0 SC glovis"/>
    <x v="6"/>
    <x v="18"/>
    <n v="12"/>
    <s v="收到生成提单邮件，网站核对信息"/>
    <x v="36"/>
    <x v="0"/>
    <m/>
    <n v="-4"/>
  </r>
  <r>
    <s v="0607-0 SC glovis"/>
    <x v="6"/>
    <x v="18"/>
    <n v="13"/>
    <s v="发提单确认（两份）"/>
    <x v="38"/>
    <x v="0"/>
    <m/>
    <n v="-1"/>
  </r>
  <r>
    <s v="0607-0 SC glovis"/>
    <x v="6"/>
    <x v="18"/>
    <n v="14"/>
    <s v="收到客户（张婷）提单确认"/>
    <x v="19"/>
    <x v="2"/>
    <m/>
    <n v="3"/>
  </r>
  <r>
    <s v="0607-0 SC glovis"/>
    <x v="6"/>
    <x v="18"/>
    <n v="15"/>
    <s v="海关有舱单，核对舱单"/>
    <x v="36"/>
    <x v="0"/>
    <m/>
    <n v="-4"/>
  </r>
  <r>
    <s v="0607-0 SC glovis"/>
    <x v="6"/>
    <x v="18"/>
    <n v="16"/>
    <s v="通知报关"/>
    <x v="36"/>
    <x v="0"/>
    <m/>
    <n v="-4"/>
  </r>
  <r>
    <s v="0607-0 SC glovis"/>
    <x v="6"/>
    <x v="18"/>
    <n v="17"/>
    <s v="收到报关成功通知"/>
    <x v="36"/>
    <x v="0"/>
    <m/>
    <n v="-4"/>
  </r>
  <r>
    <s v="0607-0 SC glovis"/>
    <x v="6"/>
    <x v="18"/>
    <n v="18"/>
    <s v="通知可进港"/>
    <x v="36"/>
    <x v="0"/>
    <m/>
    <n v="-4"/>
  </r>
  <r>
    <s v="0607-0 SC glovis"/>
    <x v="6"/>
    <x v="18"/>
    <n v="19"/>
    <s v="收到进港通知"/>
    <x v="39"/>
    <x v="0"/>
    <m/>
    <n v="-3"/>
  </r>
  <r>
    <s v="0607-0 SC glovis"/>
    <x v="6"/>
    <x v="18"/>
    <n v="20"/>
    <s v="核对进港数据"/>
    <x v="39"/>
    <x v="0"/>
    <m/>
    <n v="-3"/>
  </r>
  <r>
    <s v="0607-0 SC glovis"/>
    <x v="6"/>
    <x v="18"/>
    <n v="21"/>
    <s v="海放，码放，配载"/>
    <x v="37"/>
    <x v="2"/>
    <m/>
    <n v="0"/>
  </r>
  <r>
    <s v="0607-0 SC glovis"/>
    <x v="6"/>
    <x v="18"/>
    <n v="22"/>
    <s v="船开"/>
    <x v="40"/>
    <x v="2"/>
    <m/>
    <n v="1"/>
  </r>
  <r>
    <s v="0607-0 SC glovis"/>
    <x v="6"/>
    <x v="18"/>
    <n v="23"/>
    <s v="等船公司费用有了，和金小姐一起确定客户费用"/>
    <x v="19"/>
    <x v="2"/>
    <m/>
    <n v="3"/>
  </r>
  <r>
    <s v="0607-0 SC glovis"/>
    <x v="6"/>
    <x v="18"/>
    <n v="24"/>
    <s v="放单"/>
    <x v="19"/>
    <x v="2"/>
    <m/>
    <n v="3"/>
  </r>
  <r>
    <s v="0609-0 万盛"/>
    <x v="8"/>
    <x v="19"/>
    <n v="1"/>
    <s v="收到徐小姐托书"/>
    <x v="39"/>
    <x v="0"/>
    <m/>
    <n v="-3"/>
  </r>
  <r>
    <s v="0609-0 万盛"/>
    <x v="8"/>
    <x v="19"/>
    <n v="2"/>
    <s v="公共盘表格生成单号，YJC系统复制、生成单子"/>
    <x v="39"/>
    <x v="0"/>
    <m/>
    <n v="-3"/>
  </r>
  <r>
    <s v="0609-0 万盛"/>
    <x v="8"/>
    <x v="19"/>
    <n v="3"/>
    <s v="振华网站订舱、保存、提交，等待审核"/>
    <x v="39"/>
    <x v="0"/>
    <m/>
    <n v="-3"/>
  </r>
  <r>
    <s v="0609-0 万盛"/>
    <x v="8"/>
    <x v="19"/>
    <n v="4"/>
    <s v="QQ发预配给徐小姐，邮件发确认给国外"/>
    <x v="39"/>
    <x v="0"/>
    <m/>
    <n v="-3"/>
  </r>
  <r>
    <s v="0609-0 万盛"/>
    <x v="8"/>
    <x v="19"/>
    <n v="5"/>
    <s v="收到国外确认，公共盘表格红改黑"/>
    <x v="39"/>
    <x v="0"/>
    <m/>
    <n v="-3"/>
  </r>
  <r>
    <s v="0609-0 万盛"/>
    <x v="8"/>
    <x v="19"/>
    <n v="6"/>
    <s v="收到车队江发来VGM表格"/>
    <x v="38"/>
    <x v="0"/>
    <s v="周三周一截，周日周五截"/>
    <n v="-1"/>
  </r>
  <r>
    <s v="0609-0 万盛"/>
    <x v="8"/>
    <x v="19"/>
    <n v="7"/>
    <s v="YJC 截单，振华截单、截VGM"/>
    <x v="38"/>
    <x v="0"/>
    <m/>
    <n v="-1"/>
  </r>
  <r>
    <s v="0609-0 万盛"/>
    <x v="8"/>
    <x v="19"/>
    <n v="8"/>
    <s v="邮件发提单确认和费用确认给国外"/>
    <x v="38"/>
    <x v="0"/>
    <m/>
    <n v="-1"/>
  </r>
  <r>
    <s v="0609-0 万盛"/>
    <x v="8"/>
    <x v="19"/>
    <n v="9"/>
    <s v="船开，制作提单领取单给师傅领WAYBILL"/>
    <x v="19"/>
    <x v="2"/>
    <m/>
    <n v="3"/>
  </r>
  <r>
    <s v="0609-0 万盛"/>
    <x v="8"/>
    <x v="19"/>
    <n v="10"/>
    <s v="拿到WAYBILL，扫描，和HBL一起发国外"/>
    <x v="19"/>
    <x v="2"/>
    <m/>
    <n v="3"/>
  </r>
  <r>
    <s v="0610-0 0 WEEK"/>
    <x v="4"/>
    <x v="20"/>
    <n v="1"/>
    <s v="收到HMM Neo 下周订舱邮件"/>
    <x v="19"/>
    <x v="2"/>
    <s v="周一"/>
    <n v="3"/>
  </r>
  <r>
    <s v="0610-0 0 WEEK"/>
    <x v="4"/>
    <x v="20"/>
    <n v="2"/>
    <s v="根据JS mobis订舱需求回Neo邮件"/>
    <x v="19"/>
    <x v="2"/>
    <s v="周一"/>
    <n v="3"/>
  </r>
  <r>
    <s v="0610-0 0 WEEK"/>
    <x v="4"/>
    <x v="20"/>
    <n v="3"/>
    <s v="SHA GLV WORKING PROCESS"/>
    <x v="19"/>
    <x v="2"/>
    <s v="周一"/>
    <n v="3"/>
  </r>
  <r>
    <s v="0610-0 0 WEEK"/>
    <x v="4"/>
    <x v="20"/>
    <n v="4"/>
    <s v="SHA GLV WORKING PROCESS"/>
    <x v="42"/>
    <x v="2"/>
    <s v="周三"/>
    <n v="5"/>
  </r>
  <r>
    <s v="0610-0 0 WEEK"/>
    <x v="4"/>
    <x v="20"/>
    <n v="5"/>
    <s v="TJ glovis额外费用邮件"/>
    <x v="33"/>
    <x v="2"/>
    <s v="周五"/>
    <n v="7"/>
  </r>
  <r>
    <s v="0610-0 0 WEEK"/>
    <x v="4"/>
    <x v="20"/>
    <n v="6"/>
    <s v="WORKING PROCESS"/>
    <x v="33"/>
    <x v="2"/>
    <s v="周五"/>
    <n v="7"/>
  </r>
  <r>
    <s v="0610-0 0 WEEK"/>
    <x v="4"/>
    <x v="20"/>
    <n v="7"/>
    <s v="万盛出去清单（下午三点）"/>
    <x v="33"/>
    <x v="2"/>
    <s v="周五"/>
    <n v="7"/>
  </r>
  <r>
    <s v="0612-0 HMI"/>
    <x v="2"/>
    <x v="21"/>
    <n v="1"/>
    <s v="收到客户(孙丹/王珊)发来订舱托书"/>
    <x v="27"/>
    <x v="0"/>
    <m/>
    <n v="-7"/>
  </r>
  <r>
    <s v="0612-0 HMI"/>
    <x v="2"/>
    <x v="21"/>
    <n v="2"/>
    <s v="收到CK发来预配(做箱通知，沈丽有收到？)，完善YJC系统数据"/>
    <x v="39"/>
    <x v="0"/>
    <m/>
    <n v="-3"/>
  </r>
  <r>
    <s v="0612-0 HMI"/>
    <x v="2"/>
    <x v="21"/>
    <n v="3"/>
    <s v="YJC系统生成单子"/>
    <x v="39"/>
    <x v="0"/>
    <m/>
    <n v="-3"/>
  </r>
  <r>
    <s v="0612-0 HMI"/>
    <x v="2"/>
    <x v="21"/>
    <n v="4"/>
    <s v="收到包装厂(刘倩梅)发来包装指示书和装箱计划"/>
    <x v="38"/>
    <x v="0"/>
    <s v="一般周四"/>
    <n v="-1"/>
  </r>
  <r>
    <s v="0612-0 HMI"/>
    <x v="2"/>
    <x v="21"/>
    <n v="5"/>
    <s v="根据装箱计划汇总包装数据，发各工厂做报关资料"/>
    <x v="38"/>
    <x v="0"/>
    <m/>
    <n v="-1"/>
  </r>
  <r>
    <s v="0612-0 HMI"/>
    <x v="2"/>
    <x v="21"/>
    <n v="6"/>
    <s v="做做箱数据，邮件群发(开港时间)"/>
    <x v="38"/>
    <x v="0"/>
    <m/>
    <n v="-1"/>
  </r>
  <r>
    <s v="0612-0 HMI"/>
    <x v="2"/>
    <x v="21"/>
    <n v="7"/>
    <s v="收到工厂发来报关资料并完善(代做报关资料跟客户确认)"/>
    <x v="19"/>
    <x v="0"/>
    <s v="当天至隔天"/>
    <n v="3"/>
  </r>
  <r>
    <s v="0612-0 HMI"/>
    <x v="2"/>
    <x v="21"/>
    <n v="7.1"/>
    <s v="三立的体积有问题，让客户重新提供，再发报关行"/>
    <x v="19"/>
    <x v="2"/>
    <m/>
    <n v="3"/>
  </r>
  <r>
    <s v="0612-0 HMI"/>
    <x v="2"/>
    <x v="21"/>
    <n v="8"/>
    <s v="报关资料齐了，发报关行(黄寅文)，货运模板/发票/箱单"/>
    <x v="19"/>
    <x v="2"/>
    <m/>
    <n v="3"/>
  </r>
  <r>
    <s v="0612-0 HMI"/>
    <x v="2"/>
    <x v="21"/>
    <n v="9"/>
    <s v="收到车队(沈丽)装箱单和洋山提箱截图(如有)，群发，通知发舱单"/>
    <x v="19"/>
    <x v="2"/>
    <s v="一般KMM五、HMI日"/>
    <n v="3"/>
  </r>
  <r>
    <s v="0612-0 HMI"/>
    <x v="2"/>
    <x v="21"/>
    <n v="9"/>
    <s v="收到舱单发送成功通知，核对舱单信息"/>
    <x v="19"/>
    <x v="2"/>
    <m/>
    <n v="3"/>
  </r>
  <r>
    <s v="0612-0 HMI"/>
    <x v="2"/>
    <x v="21"/>
    <n v="9"/>
    <s v="通知进港"/>
    <x v="19"/>
    <x v="2"/>
    <s v="调整顺序"/>
    <n v="3"/>
  </r>
  <r>
    <s v="0612-0 HMI"/>
    <x v="2"/>
    <x v="21"/>
    <n v="9"/>
    <s v="进港(核对数据)"/>
    <x v="19"/>
    <x v="2"/>
    <s v="调整顺序"/>
    <n v="3"/>
  </r>
  <r>
    <s v="0612-0 HMI"/>
    <x v="2"/>
    <x v="21"/>
    <n v="9"/>
    <s v="通知报关"/>
    <x v="19"/>
    <x v="2"/>
    <s v="调整顺序"/>
    <n v="3"/>
  </r>
  <r>
    <s v="0612-0 HMI"/>
    <x v="2"/>
    <x v="21"/>
    <n v="9"/>
    <s v="报关成功"/>
    <x v="19"/>
    <x v="2"/>
    <s v="调整顺序"/>
    <n v="3"/>
  </r>
  <r>
    <s v="0612-0 HMI"/>
    <x v="2"/>
    <x v="21"/>
    <n v="15"/>
    <s v="盯海放"/>
    <x v="19"/>
    <x v="2"/>
    <m/>
    <n v="3"/>
  </r>
  <r>
    <s v="0612-0 HMI"/>
    <x v="2"/>
    <x v="21"/>
    <n v="16"/>
    <s v="盯码放"/>
    <x v="19"/>
    <x v="2"/>
    <m/>
    <n v="3"/>
  </r>
  <r>
    <s v="0612-0 HMI"/>
    <x v="2"/>
    <x v="21"/>
    <n v="17"/>
    <s v="盯配载"/>
    <x v="43"/>
    <x v="2"/>
    <m/>
    <n v="4"/>
  </r>
  <r>
    <s v="0612-0 HMI"/>
    <x v="2"/>
    <x v="21"/>
    <n v="18"/>
    <s v="盯船开，放单"/>
    <x v="42"/>
    <x v="2"/>
    <m/>
    <n v="5"/>
  </r>
  <r>
    <s v="0612-0 HMI"/>
    <x v="2"/>
    <x v="21"/>
    <n v="19"/>
    <s v="做费用(对账单日期4号)，放公共盘，填月账单表，发孙丹"/>
    <x v="42"/>
    <x v="2"/>
    <m/>
    <n v="5"/>
  </r>
  <r>
    <s v="0612-0 JS mobis"/>
    <x v="5"/>
    <x v="21"/>
    <n v="1"/>
    <s v="收到客户(徐贵)订舱预报"/>
    <x v="27"/>
    <x v="0"/>
    <s v="一般周五发隔周"/>
    <n v="-7"/>
  </r>
  <r>
    <s v="0612-0 JS mobis"/>
    <x v="5"/>
    <x v="21"/>
    <n v="2"/>
    <s v="填WORKING PROCESS"/>
    <x v="27"/>
    <x v="0"/>
    <m/>
    <n v="-7"/>
  </r>
  <r>
    <s v="0612-0 JS mobis"/>
    <x v="5"/>
    <x v="21"/>
    <n v="3"/>
    <s v="收到HMM(Neo)预订舱邮件通知"/>
    <x v="27"/>
    <x v="0"/>
    <s v="一般周一发下周"/>
    <n v="-7"/>
  </r>
  <r>
    <s v="0612-0 JS mobis"/>
    <x v="5"/>
    <x v="21"/>
    <n v="4"/>
    <s v="回复HMM(Neo)预订舱邮件"/>
    <x v="27"/>
    <x v="0"/>
    <m/>
    <n v="-7"/>
  </r>
  <r>
    <s v="0612-0 JS mobis"/>
    <x v="5"/>
    <x v="21"/>
    <n v="5"/>
    <s v="收到HMM(Neo)预订舱确认"/>
    <x v="39"/>
    <x v="0"/>
    <s v="一般马上"/>
    <n v="-3"/>
  </r>
  <r>
    <s v="0612-0 JS mobis"/>
    <x v="5"/>
    <x v="21"/>
    <n v="6"/>
    <s v="公共盘生成提单号"/>
    <x v="39"/>
    <x v="0"/>
    <m/>
    <n v="-3"/>
  </r>
  <r>
    <s v="0612-0 JS mobis"/>
    <x v="5"/>
    <x v="21"/>
    <n v="7"/>
    <s v="YJC系统生成单子"/>
    <x v="39"/>
    <x v="0"/>
    <m/>
    <n v="-3"/>
  </r>
  <r>
    <s v="0612-0 JS mobis"/>
    <x v="5"/>
    <x v="21"/>
    <n v="8"/>
    <s v="发EDI"/>
    <x v="39"/>
    <x v="0"/>
    <m/>
    <n v="-3"/>
  </r>
  <r>
    <s v="0612-0 JS mobis"/>
    <x v="5"/>
    <x v="21"/>
    <n v="9"/>
    <s v="邮件申请放单"/>
    <x v="39"/>
    <x v="0"/>
    <m/>
    <n v="-3"/>
  </r>
  <r>
    <s v="0612-0 JS mobis"/>
    <x v="5"/>
    <x v="21"/>
    <n v="10"/>
    <s v="收到HMM(Neo) 放单确认"/>
    <x v="26"/>
    <x v="0"/>
    <s v="一般半天内"/>
    <n v="-2"/>
  </r>
  <r>
    <s v="0612-0 JS mobis"/>
    <x v="5"/>
    <x v="21"/>
    <n v="11"/>
    <s v="HMM网站核对订舱信息"/>
    <x v="26"/>
    <x v="0"/>
    <m/>
    <n v="-2"/>
  </r>
  <r>
    <s v="0612-0 JS mobis"/>
    <x v="5"/>
    <x v="21"/>
    <n v="12"/>
    <s v="收到客户(徐贵)做箱通知"/>
    <x v="26"/>
    <x v="0"/>
    <s v="一般做箱头天一早"/>
    <n v="-2"/>
  </r>
  <r>
    <s v="0612-0 JS mobis"/>
    <x v="5"/>
    <x v="21"/>
    <n v="13"/>
    <s v="发做箱通知邮件给车队(沈丽)"/>
    <x v="26"/>
    <x v="0"/>
    <m/>
    <n v="-2"/>
  </r>
  <r>
    <s v="0612-0 JS mobis"/>
    <x v="5"/>
    <x v="21"/>
    <n v="14"/>
    <s v="公共盘生成提单号【如需拆单】"/>
    <x v="26"/>
    <x v="0"/>
    <m/>
    <n v="-2"/>
  </r>
  <r>
    <s v="0612-0 JS mobis"/>
    <x v="5"/>
    <x v="21"/>
    <n v="15"/>
    <s v="YJC系统生成单子【如需拆单】"/>
    <x v="26"/>
    <x v="0"/>
    <m/>
    <n v="-2"/>
  </r>
  <r>
    <s v="0612-0 JS mobis"/>
    <x v="5"/>
    <x v="21"/>
    <n v="16"/>
    <s v="发EDI【如需拆单】"/>
    <x v="26"/>
    <x v="0"/>
    <m/>
    <n v="-2"/>
  </r>
  <r>
    <s v="0612-0 JS mobis"/>
    <x v="5"/>
    <x v="21"/>
    <n v="17"/>
    <s v="邮件申请放单【如需拆单】"/>
    <x v="26"/>
    <x v="0"/>
    <m/>
    <n v="-2"/>
  </r>
  <r>
    <s v="0612-0 JS mobis"/>
    <x v="5"/>
    <x v="21"/>
    <n v="18"/>
    <s v="收到HMM(Neo) 放单确认【如需拆单】"/>
    <x v="26"/>
    <x v="0"/>
    <m/>
    <n v="-2"/>
  </r>
  <r>
    <s v="0612-0 JS mobis"/>
    <x v="5"/>
    <x v="21"/>
    <n v="19"/>
    <s v="HMM网站核对订舱信息【如需拆单】"/>
    <x v="26"/>
    <x v="0"/>
    <m/>
    <n v="-2"/>
  </r>
  <r>
    <s v="0612-0 JS mobis"/>
    <x v="5"/>
    <x v="21"/>
    <n v="20"/>
    <s v="收到客户(徐贵)发来做箱数据(报关资料)"/>
    <x v="38"/>
    <x v="0"/>
    <s v="一般做箱当天一早"/>
    <n v="-1"/>
  </r>
  <r>
    <s v="0612-0 JS mobis"/>
    <x v="5"/>
    <x v="21"/>
    <n v="21"/>
    <s v="按报关(发票)数生成提单号【如发票数超过提单数】"/>
    <x v="38"/>
    <x v="0"/>
    <m/>
    <n v="-1"/>
  </r>
  <r>
    <s v="0612-0 JS mobis"/>
    <x v="5"/>
    <x v="21"/>
    <n v="22"/>
    <s v="做做箱数据，QQ发车队(沈丽)"/>
    <x v="38"/>
    <x v="0"/>
    <m/>
    <n v="-1"/>
  </r>
  <r>
    <s v="0612-0 JS mobis"/>
    <x v="5"/>
    <x v="21"/>
    <n v="23"/>
    <s v="收到车队(沈丽)装箱单，转发客户（徐贵）"/>
    <x v="38"/>
    <x v="0"/>
    <s v="一般马上"/>
    <n v="-1"/>
  </r>
  <r>
    <s v="0612-0 JS mobis"/>
    <x v="5"/>
    <x v="21"/>
    <n v="24"/>
    <s v="YJC系统截单，发EDI，邮件HMM(He)【截单时间】"/>
    <x v="38"/>
    <x v="0"/>
    <s v="注意截单时间"/>
    <n v="-1"/>
  </r>
  <r>
    <s v="0612-0 JS mobis"/>
    <x v="5"/>
    <x v="21"/>
    <n v="25"/>
    <s v="发VGM和舱单"/>
    <x v="38"/>
    <x v="0"/>
    <m/>
    <n v="-1"/>
  </r>
  <r>
    <s v="0612-0 JS mobis"/>
    <x v="5"/>
    <x v="21"/>
    <n v="26"/>
    <s v="做报关资料，扫描发报关行(黄寅文)QQ"/>
    <x v="38"/>
    <x v="0"/>
    <m/>
    <n v="-1"/>
  </r>
  <r>
    <s v="0612-0 JS mobis"/>
    <x v="5"/>
    <x v="21"/>
    <n v="27"/>
    <s v="做保函给邹师傅"/>
    <x v="38"/>
    <x v="0"/>
    <m/>
    <n v="-1"/>
  </r>
  <r>
    <s v="0612-0 JS mobis"/>
    <x v="5"/>
    <x v="21"/>
    <n v="28"/>
    <s v="做ISF，发国外资料"/>
    <x v="38"/>
    <x v="0"/>
    <m/>
    <n v="-1"/>
  </r>
  <r>
    <s v="0612-0 JS mobis"/>
    <x v="5"/>
    <x v="21"/>
    <n v="29"/>
    <s v="买保险"/>
    <x v="38"/>
    <x v="0"/>
    <m/>
    <n v="-1"/>
  </r>
  <r>
    <s v="0612-0 JS mobis"/>
    <x v="5"/>
    <x v="21"/>
    <n v="30"/>
    <s v="填WORKING PROCESS"/>
    <x v="38"/>
    <x v="0"/>
    <m/>
    <n v="-1"/>
  </r>
  <r>
    <s v="0612-0 JS mobis"/>
    <x v="5"/>
    <x v="21"/>
    <n v="31"/>
    <s v="收到HMM(He)生成提单通知"/>
    <x v="38"/>
    <x v="0"/>
    <s v="一般马上"/>
    <n v="-1"/>
  </r>
  <r>
    <s v="0612-0 JS mobis"/>
    <x v="5"/>
    <x v="21"/>
    <n v="32"/>
    <s v="HMM网站核对提单信息"/>
    <x v="38"/>
    <x v="0"/>
    <m/>
    <n v="-1"/>
  </r>
  <r>
    <s v="0612-0 JS mobis"/>
    <x v="5"/>
    <x v="21"/>
    <n v="33"/>
    <s v="盯海关网站舱单"/>
    <x v="38"/>
    <x v="0"/>
    <s v="一般两小时左右"/>
    <n v="-1"/>
  </r>
  <r>
    <s v="0612-0 JS mobis"/>
    <x v="5"/>
    <x v="21"/>
    <n v="34"/>
    <s v="核对舱单信息"/>
    <x v="38"/>
    <x v="0"/>
    <m/>
    <n v="-1"/>
  </r>
  <r>
    <s v="0612-0 JS mobis"/>
    <x v="5"/>
    <x v="21"/>
    <n v="35"/>
    <s v="收到报关行(黄寅文)校对稿，邮件发客户(徐贵)确认"/>
    <x v="38"/>
    <x v="0"/>
    <s v="一般半天内"/>
    <n v="-1"/>
  </r>
  <r>
    <s v="0612-0 JS mobis"/>
    <x v="5"/>
    <x v="21"/>
    <n v="36"/>
    <s v="收到客户(徐贵)确认校对稿"/>
    <x v="37"/>
    <x v="0"/>
    <s v="一般马上"/>
    <n v="0"/>
  </r>
  <r>
    <s v="0612-0 JS mobis"/>
    <x v="5"/>
    <x v="21"/>
    <n v="37"/>
    <s v="通知车队(沈丽)可进港"/>
    <x v="38"/>
    <x v="0"/>
    <m/>
    <n v="-1"/>
  </r>
  <r>
    <s v="0612-0 JS mobis"/>
    <x v="5"/>
    <x v="21"/>
    <n v="38"/>
    <s v="盯箱子进港"/>
    <x v="40"/>
    <x v="2"/>
    <m/>
    <n v="1"/>
  </r>
  <r>
    <s v="0612-0 JS mobis"/>
    <x v="5"/>
    <x v="21"/>
    <n v="39"/>
    <s v="核对进港数据"/>
    <x v="40"/>
    <x v="2"/>
    <m/>
    <n v="1"/>
  </r>
  <r>
    <s v="0612-0 JS mobis"/>
    <x v="5"/>
    <x v="21"/>
    <n v="40"/>
    <s v="通知报关行(黄寅文)报关(开港、舱单、校对)"/>
    <x v="40"/>
    <x v="2"/>
    <m/>
    <n v="1"/>
  </r>
  <r>
    <s v="0612-0 JS mobis"/>
    <x v="5"/>
    <x v="21"/>
    <n v="41"/>
    <s v="收到报关成功通知"/>
    <x v="40"/>
    <x v="2"/>
    <s v="一般下班前"/>
    <n v="1"/>
  </r>
  <r>
    <s v="0612-0 JS mobis"/>
    <x v="5"/>
    <x v="21"/>
    <n v="42"/>
    <s v="盯海放"/>
    <x v="19"/>
    <x v="2"/>
    <m/>
    <n v="3"/>
  </r>
  <r>
    <s v="0612-0 JS mobis"/>
    <x v="5"/>
    <x v="21"/>
    <n v="43"/>
    <s v="盯码放"/>
    <x v="19"/>
    <x v="2"/>
    <m/>
    <n v="3"/>
  </r>
  <r>
    <s v="0612-0 JS mobis"/>
    <x v="5"/>
    <x v="21"/>
    <n v="44"/>
    <s v="盯配载"/>
    <x v="43"/>
    <x v="2"/>
    <m/>
    <n v="4"/>
  </r>
  <r>
    <s v="0612-0 JS mobis"/>
    <x v="5"/>
    <x v="21"/>
    <n v="45"/>
    <s v="做费用(月初等汇率)，发账单给石磊"/>
    <x v="43"/>
    <x v="2"/>
    <m/>
    <n v="4"/>
  </r>
  <r>
    <s v="0612-0 JS mobis"/>
    <x v="5"/>
    <x v="21"/>
    <n v="46"/>
    <s v="船开"/>
    <x v="42"/>
    <x v="2"/>
    <m/>
    <n v="5"/>
  </r>
  <r>
    <s v="0612-0 JS mobis"/>
    <x v="5"/>
    <x v="21"/>
    <n v="47"/>
    <s v="放单"/>
    <x v="42"/>
    <x v="2"/>
    <s v="一般开船后两三天"/>
    <n v="5"/>
  </r>
  <r>
    <s v="0612-0 KMM"/>
    <x v="3"/>
    <x v="21"/>
    <n v="1"/>
    <s v="收到客户(孙丹/王珊)发来订舱托书"/>
    <x v="3"/>
    <x v="0"/>
    <m/>
    <n v="-9"/>
  </r>
  <r>
    <s v="0612-0 KMM"/>
    <x v="3"/>
    <x v="21"/>
    <n v="2"/>
    <s v="收到CK发来预配(做箱通知，沈丽有收到？)，完善YJC系统数据"/>
    <x v="3"/>
    <x v="0"/>
    <m/>
    <n v="-9"/>
  </r>
  <r>
    <s v="0612-0 KMM"/>
    <x v="3"/>
    <x v="21"/>
    <n v="3"/>
    <s v="YJC系统生成单子"/>
    <x v="29"/>
    <x v="0"/>
    <m/>
    <n v="-8"/>
  </r>
  <r>
    <s v="0612-0 KMM"/>
    <x v="3"/>
    <x v="21"/>
    <n v="4"/>
    <s v="收到包装厂(刘倩梅)发来包装指示书和装箱计划"/>
    <x v="26"/>
    <x v="0"/>
    <s v="一般周四"/>
    <n v="-2"/>
  </r>
  <r>
    <s v="0612-0 KMM"/>
    <x v="3"/>
    <x v="21"/>
    <n v="5"/>
    <s v="根据装箱计划汇总包装数据，发各工厂做报关资料"/>
    <x v="26"/>
    <x v="0"/>
    <m/>
    <n v="-2"/>
  </r>
  <r>
    <s v="0612-0 KMM"/>
    <x v="3"/>
    <x v="21"/>
    <n v="6"/>
    <s v="做做箱数据，邮件群发(开港时间)"/>
    <x v="26"/>
    <x v="0"/>
    <m/>
    <n v="-2"/>
  </r>
  <r>
    <s v="0612-0 KMM"/>
    <x v="3"/>
    <x v="21"/>
    <n v="7"/>
    <s v="收到工厂发来报关资料并完善(代做报关资料跟客户确认)"/>
    <x v="26"/>
    <x v="0"/>
    <s v="当天至隔天"/>
    <n v="-2"/>
  </r>
  <r>
    <s v="0612-0 KMM"/>
    <x v="3"/>
    <x v="21"/>
    <n v="8"/>
    <s v="报关资料齐了，发报关行(黄寅文)，货运模板/发票/箱单"/>
    <x v="26"/>
    <x v="0"/>
    <m/>
    <n v="-2"/>
  </r>
  <r>
    <s v="0612-0 KMM"/>
    <x v="3"/>
    <x v="21"/>
    <n v="9"/>
    <s v="收到车队(沈丽)装箱单和洋山提箱截图(如有)，群发，通知发舱单"/>
    <x v="38"/>
    <x v="0"/>
    <s v="一般KMM五、HMI日"/>
    <n v="-1"/>
  </r>
  <r>
    <s v="0612-0 KMM"/>
    <x v="3"/>
    <x v="21"/>
    <n v="10"/>
    <s v="收到舱单发送成功通知，核对舱单信息"/>
    <x v="38"/>
    <x v="0"/>
    <m/>
    <n v="-1"/>
  </r>
  <r>
    <s v="0612-0 KMM"/>
    <x v="3"/>
    <x v="21"/>
    <n v="11"/>
    <s v="通知报关"/>
    <x v="38"/>
    <x v="0"/>
    <s v="调整顺序"/>
    <n v="-1"/>
  </r>
  <r>
    <s v="0612-0 KMM"/>
    <x v="3"/>
    <x v="21"/>
    <n v="12"/>
    <s v="报关成功"/>
    <x v="38"/>
    <x v="0"/>
    <s v="调整顺序"/>
    <n v="-1"/>
  </r>
  <r>
    <s v="0612-0 KMM"/>
    <x v="3"/>
    <x v="21"/>
    <n v="13"/>
    <s v="通知进港"/>
    <x v="38"/>
    <x v="0"/>
    <s v="调整顺序"/>
    <n v="-1"/>
  </r>
  <r>
    <s v="0612-0 KMM"/>
    <x v="3"/>
    <x v="21"/>
    <n v="14"/>
    <s v="进港(核对数据)"/>
    <x v="19"/>
    <x v="2"/>
    <s v="调整顺序"/>
    <n v="3"/>
  </r>
  <r>
    <s v="0612-0 KMM"/>
    <x v="3"/>
    <x v="21"/>
    <n v="15"/>
    <s v="盯海放"/>
    <x v="19"/>
    <x v="2"/>
    <m/>
    <n v="3"/>
  </r>
  <r>
    <s v="0612-0 KMM"/>
    <x v="3"/>
    <x v="21"/>
    <n v="16"/>
    <s v="盯码放"/>
    <x v="19"/>
    <x v="2"/>
    <m/>
    <n v="3"/>
  </r>
  <r>
    <s v="0612-0 KMM"/>
    <x v="3"/>
    <x v="21"/>
    <n v="17"/>
    <s v="盯配载"/>
    <x v="19"/>
    <x v="2"/>
    <m/>
    <n v="3"/>
  </r>
  <r>
    <s v="0612-0 KMM"/>
    <x v="3"/>
    <x v="21"/>
    <n v="18"/>
    <s v="盯船开，放单"/>
    <x v="42"/>
    <x v="2"/>
    <m/>
    <n v="5"/>
  </r>
  <r>
    <s v="0612-0 KMM"/>
    <x v="3"/>
    <x v="21"/>
    <n v="19"/>
    <s v="做费用(对账单日期4号)，放公共盘，填月账单表，发孙丹"/>
    <x v="19"/>
    <x v="2"/>
    <m/>
    <n v="3"/>
  </r>
  <r>
    <s v="0612-0 万盛"/>
    <x v="8"/>
    <x v="21"/>
    <n v="1"/>
    <s v="收到徐小姐托书"/>
    <x v="39"/>
    <x v="0"/>
    <m/>
    <n v="-3"/>
  </r>
  <r>
    <s v="0612-0 万盛"/>
    <x v="8"/>
    <x v="21"/>
    <n v="2"/>
    <s v="公共盘表格生成单号，YJC系统复制、生成单子"/>
    <x v="39"/>
    <x v="0"/>
    <m/>
    <n v="-3"/>
  </r>
  <r>
    <s v="0612-0 万盛"/>
    <x v="8"/>
    <x v="21"/>
    <n v="3"/>
    <s v="振华网站订舱、保存、提交，等待审核"/>
    <x v="39"/>
    <x v="0"/>
    <m/>
    <n v="-3"/>
  </r>
  <r>
    <s v="0612-0 万盛"/>
    <x v="8"/>
    <x v="21"/>
    <n v="4"/>
    <s v="QQ发预配给徐小姐，邮件发确认给国外"/>
    <x v="39"/>
    <x v="0"/>
    <m/>
    <n v="-3"/>
  </r>
  <r>
    <s v="0612-0 万盛"/>
    <x v="8"/>
    <x v="21"/>
    <n v="5"/>
    <s v="收到国外确认，公共盘表格红改黑"/>
    <x v="39"/>
    <x v="0"/>
    <m/>
    <n v="-3"/>
  </r>
  <r>
    <s v="0612-0 万盛"/>
    <x v="8"/>
    <x v="21"/>
    <n v="6"/>
    <s v="收到车队江发来VGM表格"/>
    <x v="19"/>
    <x v="2"/>
    <s v="周三周一截，周日周五截"/>
    <n v="3"/>
  </r>
  <r>
    <s v="0612-0 万盛"/>
    <x v="8"/>
    <x v="21"/>
    <n v="7"/>
    <s v="YJC 截单，振华截单、截VGM"/>
    <x v="19"/>
    <x v="2"/>
    <m/>
    <n v="3"/>
  </r>
  <r>
    <s v="0612-0 万盛"/>
    <x v="8"/>
    <x v="21"/>
    <n v="8"/>
    <s v="邮件发提单确认和费用确认给国外"/>
    <x v="19"/>
    <x v="2"/>
    <m/>
    <n v="3"/>
  </r>
  <r>
    <s v="0612-0 万盛"/>
    <x v="8"/>
    <x v="21"/>
    <n v="9"/>
    <s v="船开，制作提单领取单给师傅领WAYBILL"/>
    <x v="42"/>
    <x v="2"/>
    <m/>
    <n v="5"/>
  </r>
  <r>
    <s v="0612-0 万盛"/>
    <x v="8"/>
    <x v="21"/>
    <n v="10"/>
    <s v="拿到WAYBILL，扫描，和HBL一起发国外"/>
    <x v="42"/>
    <x v="2"/>
    <m/>
    <n v="5"/>
  </r>
  <r>
    <s v="0614-0 JS mobis"/>
    <x v="5"/>
    <x v="22"/>
    <n v="1"/>
    <s v="收到客户(徐贵)订舱预报"/>
    <x v="27"/>
    <x v="0"/>
    <s v="一般周五发隔周"/>
    <n v="-7"/>
  </r>
  <r>
    <s v="0614-0 JS mobis"/>
    <x v="5"/>
    <x v="22"/>
    <n v="2"/>
    <s v="填WORKING PROCESS"/>
    <x v="27"/>
    <x v="0"/>
    <m/>
    <n v="-7"/>
  </r>
  <r>
    <s v="0614-0 JS mobis"/>
    <x v="5"/>
    <x v="22"/>
    <n v="3"/>
    <s v="收到HMM(Neo)预订舱邮件通知"/>
    <x v="27"/>
    <x v="0"/>
    <s v="一般周一发下周"/>
    <n v="-7"/>
  </r>
  <r>
    <s v="0614-0 JS mobis"/>
    <x v="5"/>
    <x v="22"/>
    <n v="4"/>
    <s v="回复HMM(Neo)预订舱邮件"/>
    <x v="27"/>
    <x v="0"/>
    <m/>
    <n v="-7"/>
  </r>
  <r>
    <s v="0614-0 JS mobis"/>
    <x v="5"/>
    <x v="22"/>
    <n v="5"/>
    <s v="收到HMM(Neo)预订舱确认"/>
    <x v="39"/>
    <x v="0"/>
    <s v="一般马上"/>
    <n v="-3"/>
  </r>
  <r>
    <s v="0614-0 JS mobis"/>
    <x v="5"/>
    <x v="22"/>
    <n v="6"/>
    <s v="公共盘生成提单号"/>
    <x v="39"/>
    <x v="0"/>
    <m/>
    <n v="-3"/>
  </r>
  <r>
    <s v="0614-0 JS mobis"/>
    <x v="5"/>
    <x v="22"/>
    <n v="7"/>
    <s v="YJC系统生成单子"/>
    <x v="39"/>
    <x v="0"/>
    <m/>
    <n v="-3"/>
  </r>
  <r>
    <s v="0614-0 JS mobis"/>
    <x v="5"/>
    <x v="22"/>
    <n v="8"/>
    <s v="发EDI"/>
    <x v="39"/>
    <x v="0"/>
    <m/>
    <n v="-3"/>
  </r>
  <r>
    <s v="0614-0 JS mobis"/>
    <x v="5"/>
    <x v="22"/>
    <n v="9"/>
    <s v="邮件申请放单"/>
    <x v="39"/>
    <x v="0"/>
    <m/>
    <n v="-3"/>
  </r>
  <r>
    <s v="0614-0 JS mobis"/>
    <x v="5"/>
    <x v="22"/>
    <n v="10"/>
    <s v="收到HMM(Neo) 放单确认"/>
    <x v="26"/>
    <x v="0"/>
    <s v="一般半天内"/>
    <n v="-2"/>
  </r>
  <r>
    <s v="0614-0 JS mobis"/>
    <x v="5"/>
    <x v="22"/>
    <n v="11"/>
    <s v="HMM网站核对订舱信息"/>
    <x v="26"/>
    <x v="0"/>
    <m/>
    <n v="-2"/>
  </r>
  <r>
    <s v="0614-0 JS mobis"/>
    <x v="5"/>
    <x v="22"/>
    <n v="12"/>
    <s v="收到客户(徐贵)做箱通知"/>
    <x v="19"/>
    <x v="2"/>
    <s v="一般做箱头天一早"/>
    <n v="3"/>
  </r>
  <r>
    <s v="0614-0 JS mobis"/>
    <x v="5"/>
    <x v="22"/>
    <n v="13"/>
    <s v="发做箱通知邮件给车队(沈丽)"/>
    <x v="19"/>
    <x v="2"/>
    <m/>
    <n v="3"/>
  </r>
  <r>
    <s v="0614-0 JS mobis"/>
    <x v="5"/>
    <x v="22"/>
    <n v="14"/>
    <s v="公共盘生成提单号【如需拆单】"/>
    <x v="19"/>
    <x v="2"/>
    <m/>
    <n v="3"/>
  </r>
  <r>
    <s v="0614-0 JS mobis"/>
    <x v="5"/>
    <x v="22"/>
    <n v="15"/>
    <s v="YJC系统生成单子【如需拆单】"/>
    <x v="19"/>
    <x v="2"/>
    <m/>
    <n v="3"/>
  </r>
  <r>
    <s v="0614-0 JS mobis"/>
    <x v="5"/>
    <x v="22"/>
    <n v="16"/>
    <s v="发EDI【如需拆单】"/>
    <x v="19"/>
    <x v="2"/>
    <m/>
    <n v="3"/>
  </r>
  <r>
    <s v="0614-0 JS mobis"/>
    <x v="5"/>
    <x v="22"/>
    <n v="17"/>
    <s v="邮件申请放单【如需拆单】"/>
    <x v="19"/>
    <x v="2"/>
    <m/>
    <n v="3"/>
  </r>
  <r>
    <s v="0614-0 JS mobis"/>
    <x v="5"/>
    <x v="22"/>
    <n v="18"/>
    <s v="收到HMM(Neo) 放单确认【如需拆单】"/>
    <x v="19"/>
    <x v="2"/>
    <m/>
    <n v="3"/>
  </r>
  <r>
    <s v="0614-0 JS mobis"/>
    <x v="5"/>
    <x v="22"/>
    <n v="19"/>
    <s v="HMM网站核对订舱信息【如需拆单】"/>
    <x v="19"/>
    <x v="2"/>
    <m/>
    <n v="3"/>
  </r>
  <r>
    <s v="0614-0 JS mobis"/>
    <x v="5"/>
    <x v="22"/>
    <n v="20"/>
    <s v="收到客户(徐贵)发来做箱数据(报关资料)"/>
    <x v="43"/>
    <x v="2"/>
    <s v="一般做箱当天一早"/>
    <n v="4"/>
  </r>
  <r>
    <s v="0614-0 JS mobis"/>
    <x v="5"/>
    <x v="22"/>
    <n v="21"/>
    <s v="按报关(发票)数生成提单号【如发票数超过提单数】"/>
    <x v="43"/>
    <x v="2"/>
    <m/>
    <n v="4"/>
  </r>
  <r>
    <s v="0614-0 JS mobis"/>
    <x v="5"/>
    <x v="22"/>
    <n v="22"/>
    <s v="做做箱数据，QQ发车队(沈丽)"/>
    <x v="43"/>
    <x v="2"/>
    <m/>
    <n v="4"/>
  </r>
  <r>
    <s v="0614-0 JS mobis"/>
    <x v="5"/>
    <x v="22"/>
    <n v="23"/>
    <s v="收到车队(沈丽)装箱单，转发客户（徐贵）"/>
    <x v="43"/>
    <x v="2"/>
    <s v="一般马上"/>
    <n v="4"/>
  </r>
  <r>
    <s v="0614-0 JS mobis"/>
    <x v="5"/>
    <x v="22"/>
    <n v="24"/>
    <s v="YJC系统截单，发EDI，邮件HMM(He)【截单时间】"/>
    <x v="43"/>
    <x v="2"/>
    <s v="注意截单时间"/>
    <n v="4"/>
  </r>
  <r>
    <s v="0614-0 JS mobis"/>
    <x v="5"/>
    <x v="22"/>
    <n v="25"/>
    <s v="发VGM和舱单"/>
    <x v="43"/>
    <x v="2"/>
    <m/>
    <n v="4"/>
  </r>
  <r>
    <s v="0614-0 JS mobis"/>
    <x v="5"/>
    <x v="22"/>
    <n v="26"/>
    <s v="做报关资料，扫描发报关行(黄寅文)QQ"/>
    <x v="43"/>
    <x v="2"/>
    <m/>
    <n v="4"/>
  </r>
  <r>
    <s v="0614-0 JS mobis"/>
    <x v="5"/>
    <x v="22"/>
    <n v="27"/>
    <s v="做保函给邹师傅"/>
    <x v="43"/>
    <x v="2"/>
    <m/>
    <n v="4"/>
  </r>
  <r>
    <s v="0614-0 JS mobis"/>
    <x v="5"/>
    <x v="22"/>
    <n v="28"/>
    <s v="做ISF，发国外资料"/>
    <x v="43"/>
    <x v="2"/>
    <m/>
    <n v="4"/>
  </r>
  <r>
    <s v="0614-0 JS mobis"/>
    <x v="5"/>
    <x v="22"/>
    <n v="29"/>
    <s v="买保险"/>
    <x v="43"/>
    <x v="2"/>
    <m/>
    <n v="4"/>
  </r>
  <r>
    <s v="0614-0 JS mobis"/>
    <x v="5"/>
    <x v="22"/>
    <n v="30"/>
    <s v="填WORKING PROCESS"/>
    <x v="43"/>
    <x v="2"/>
    <m/>
    <n v="4"/>
  </r>
  <r>
    <s v="0614-0 JS mobis"/>
    <x v="5"/>
    <x v="22"/>
    <n v="31"/>
    <s v="收到HMM(He)生成提单通知"/>
    <x v="43"/>
    <x v="2"/>
    <s v="一般马上"/>
    <n v="4"/>
  </r>
  <r>
    <s v="0614-0 JS mobis"/>
    <x v="5"/>
    <x v="22"/>
    <n v="32"/>
    <s v="HMM网站核对提单信息"/>
    <x v="43"/>
    <x v="2"/>
    <m/>
    <n v="4"/>
  </r>
  <r>
    <s v="0614-0 JS mobis"/>
    <x v="5"/>
    <x v="22"/>
    <n v="33"/>
    <s v="盯海关网站舱单"/>
    <x v="43"/>
    <x v="2"/>
    <s v="一般两小时左右"/>
    <n v="4"/>
  </r>
  <r>
    <s v="0614-0 JS mobis"/>
    <x v="5"/>
    <x v="22"/>
    <n v="34"/>
    <s v="核对舱单信息"/>
    <x v="43"/>
    <x v="2"/>
    <m/>
    <n v="4"/>
  </r>
  <r>
    <s v="0614-0 JS mobis"/>
    <x v="5"/>
    <x v="22"/>
    <n v="35"/>
    <s v="收到报关行(黄寅文)校对稿，邮件发客户(徐贵)确认"/>
    <x v="43"/>
    <x v="2"/>
    <s v="一般半天内"/>
    <n v="4"/>
  </r>
  <r>
    <s v="0614-0 JS mobis"/>
    <x v="5"/>
    <x v="22"/>
    <n v="36"/>
    <s v="收到客户(徐贵)确认校对稿"/>
    <x v="43"/>
    <x v="2"/>
    <s v="一般马上"/>
    <n v="4"/>
  </r>
  <r>
    <s v="0614-0 JS mobis"/>
    <x v="5"/>
    <x v="22"/>
    <n v="37"/>
    <s v="通知报关行(黄寅文)报关(开港、舱单、校对)"/>
    <x v="43"/>
    <x v="2"/>
    <m/>
    <n v="4"/>
  </r>
  <r>
    <s v="0614-0 JS mobis"/>
    <x v="5"/>
    <x v="22"/>
    <n v="37"/>
    <s v="收到报关成功通知"/>
    <x v="43"/>
    <x v="2"/>
    <s v="一般下班前"/>
    <n v="4"/>
  </r>
  <r>
    <s v="0614-0 JS mobis"/>
    <x v="5"/>
    <x v="22"/>
    <n v="37"/>
    <s v="通知车队(沈丽)可进港"/>
    <x v="43"/>
    <x v="2"/>
    <m/>
    <n v="4"/>
  </r>
  <r>
    <s v="0614-0 JS mobis"/>
    <x v="5"/>
    <x v="22"/>
    <n v="37"/>
    <s v="盯箱子进港"/>
    <x v="43"/>
    <x v="2"/>
    <m/>
    <n v="4"/>
  </r>
  <r>
    <s v="0614-0 JS mobis"/>
    <x v="5"/>
    <x v="22"/>
    <n v="37"/>
    <s v="核对进港数据"/>
    <x v="43"/>
    <x v="2"/>
    <m/>
    <n v="4"/>
  </r>
  <r>
    <s v="0614-0 JS mobis"/>
    <x v="5"/>
    <x v="22"/>
    <n v="42"/>
    <s v="盯海放"/>
    <x v="43"/>
    <x v="2"/>
    <m/>
    <n v="4"/>
  </r>
  <r>
    <s v="0614-0 JS mobis"/>
    <x v="5"/>
    <x v="22"/>
    <n v="43"/>
    <s v="盯码放"/>
    <x v="43"/>
    <x v="2"/>
    <m/>
    <n v="4"/>
  </r>
  <r>
    <s v="0614-0 JS mobis"/>
    <x v="5"/>
    <x v="22"/>
    <n v="44"/>
    <s v="盯配载"/>
    <x v="44"/>
    <x v="2"/>
    <m/>
    <n v="6"/>
  </r>
  <r>
    <s v="0614-0 JS mobis"/>
    <x v="5"/>
    <x v="22"/>
    <n v="45"/>
    <s v="做费用(月初等汇率)，发账单给石磊"/>
    <x v="44"/>
    <x v="2"/>
    <m/>
    <n v="6"/>
  </r>
  <r>
    <s v="0614-0 JS mobis"/>
    <x v="5"/>
    <x v="22"/>
    <n v="46"/>
    <s v="船开"/>
    <x v="33"/>
    <x v="2"/>
    <m/>
    <n v="7"/>
  </r>
  <r>
    <s v="0614-0 JS mobis"/>
    <x v="5"/>
    <x v="22"/>
    <n v="47"/>
    <s v="放单"/>
    <x v="33"/>
    <x v="2"/>
    <s v="一般开船后两三天"/>
    <n v="7"/>
  </r>
  <r>
    <s v="0616-0 万盛"/>
    <x v="8"/>
    <x v="23"/>
    <n v="1"/>
    <s v="收到徐小姐托书"/>
    <x v="39"/>
    <x v="0"/>
    <m/>
    <n v="-3"/>
  </r>
  <r>
    <s v="0616-0 万盛"/>
    <x v="8"/>
    <x v="23"/>
    <n v="2"/>
    <s v="公共盘表格生成单号，YJC系统复制、生成单子"/>
    <x v="39"/>
    <x v="0"/>
    <m/>
    <n v="-3"/>
  </r>
  <r>
    <s v="0616-0 万盛"/>
    <x v="8"/>
    <x v="23"/>
    <n v="3"/>
    <s v="振华网站订舱、保存、提交，等待审核"/>
    <x v="39"/>
    <x v="0"/>
    <m/>
    <n v="-3"/>
  </r>
  <r>
    <s v="0616-0 万盛"/>
    <x v="8"/>
    <x v="23"/>
    <n v="4"/>
    <s v="QQ发预配给徐小姐，邮件发确认给国外"/>
    <x v="39"/>
    <x v="0"/>
    <m/>
    <n v="-3"/>
  </r>
  <r>
    <s v="0616-0 万盛"/>
    <x v="8"/>
    <x v="23"/>
    <n v="5"/>
    <s v="收到国外确认，公共盘表格红改黑"/>
    <x v="39"/>
    <x v="0"/>
    <m/>
    <n v="-3"/>
  </r>
  <r>
    <s v="0616-0 万盛"/>
    <x v="8"/>
    <x v="23"/>
    <n v="6"/>
    <s v="收到车队江发来VGM表格"/>
    <x v="44"/>
    <x v="2"/>
    <s v="周三周一截，周日周五截"/>
    <n v="6"/>
  </r>
  <r>
    <s v="0616-0 万盛"/>
    <x v="8"/>
    <x v="23"/>
    <n v="7"/>
    <s v="YJC 截单，振华截单、截VGM"/>
    <x v="44"/>
    <x v="2"/>
    <m/>
    <n v="6"/>
  </r>
  <r>
    <s v="0616-0 万盛"/>
    <x v="8"/>
    <x v="23"/>
    <n v="8"/>
    <s v="邮件发提单确认和费用确认给国外"/>
    <x v="44"/>
    <x v="2"/>
    <m/>
    <n v="6"/>
  </r>
  <r>
    <s v="0616-0 万盛"/>
    <x v="8"/>
    <x v="23"/>
    <n v="9"/>
    <s v="船开，制作提单领取单给师傅领WAYBILL"/>
    <x v="45"/>
    <x v="2"/>
    <m/>
    <n v="10"/>
  </r>
  <r>
    <s v="0616-0 万盛"/>
    <x v="8"/>
    <x v="23"/>
    <n v="10"/>
    <s v="拿到WAYBILL，扫描，和HBL一起发国外"/>
    <x v="45"/>
    <x v="2"/>
    <m/>
    <n v="10"/>
  </r>
  <r>
    <s v="0617-0 0 WEEK"/>
    <x v="4"/>
    <x v="24"/>
    <n v="1"/>
    <s v="收到HMM Neo 下周订舱邮件"/>
    <x v="45"/>
    <x v="2"/>
    <s v="周一"/>
    <n v="10"/>
  </r>
  <r>
    <s v="0617-0 0 WEEK"/>
    <x v="4"/>
    <x v="24"/>
    <n v="2"/>
    <s v="根据JS mobis订舱需求回Neo邮件"/>
    <x v="45"/>
    <x v="2"/>
    <s v="周一"/>
    <n v="10"/>
  </r>
  <r>
    <s v="0617-0 0 WEEK"/>
    <x v="4"/>
    <x v="24"/>
    <n v="3"/>
    <s v="SHA GLV WORKING PROCESS"/>
    <x v="45"/>
    <x v="2"/>
    <s v="周一"/>
    <n v="10"/>
  </r>
  <r>
    <s v="0617-0 0 WEEK"/>
    <x v="4"/>
    <x v="24"/>
    <n v="4"/>
    <s v="SHA GLV WORKING PROCESS"/>
    <x v="46"/>
    <x v="2"/>
    <s v="周三"/>
    <n v="12"/>
  </r>
  <r>
    <s v="0617-0 0 WEEK"/>
    <x v="4"/>
    <x v="24"/>
    <n v="5"/>
    <s v="TJ glovis额外费用邮件"/>
    <x v="47"/>
    <x v="2"/>
    <s v="周五"/>
    <n v="14"/>
  </r>
  <r>
    <s v="0617-0 0 WEEK"/>
    <x v="4"/>
    <x v="24"/>
    <n v="6"/>
    <s v="WORKING PROCESS"/>
    <x v="47"/>
    <x v="2"/>
    <s v="周五"/>
    <n v="14"/>
  </r>
  <r>
    <s v="0617-0 0 WEEK"/>
    <x v="4"/>
    <x v="24"/>
    <n v="7"/>
    <s v="万盛出去清单（下午三点）"/>
    <x v="47"/>
    <x v="2"/>
    <s v="周五"/>
    <n v="14"/>
  </r>
  <r>
    <s v="0619-0 HMI"/>
    <x v="2"/>
    <x v="25"/>
    <n v="1"/>
    <s v="收到客户(孙丹/王珊)发来订舱托书"/>
    <x v="38"/>
    <x v="0"/>
    <m/>
    <n v="-1"/>
  </r>
  <r>
    <s v="0619-0 HMI"/>
    <x v="2"/>
    <x v="25"/>
    <n v="2"/>
    <s v="收到CK发来预配(做箱通知，沈丽有收到？)，完善YJC系统数据"/>
    <x v="19"/>
    <x v="2"/>
    <m/>
    <n v="3"/>
  </r>
  <r>
    <s v="0619-0 HMI"/>
    <x v="2"/>
    <x v="25"/>
    <n v="3"/>
    <s v="YJC系统生成单子"/>
    <x v="19"/>
    <x v="2"/>
    <m/>
    <n v="3"/>
  </r>
  <r>
    <s v="0619-0 HMI"/>
    <x v="2"/>
    <x v="25"/>
    <n v="4"/>
    <s v="收到包装厂(刘倩梅)发来包装指示书和装箱计划"/>
    <x v="44"/>
    <x v="2"/>
    <s v="一般周四"/>
    <n v="6"/>
  </r>
  <r>
    <s v="0619-0 HMI"/>
    <x v="2"/>
    <x v="25"/>
    <n v="5"/>
    <s v="根据装箱计划汇总包装数据，发各工厂做报关资料"/>
    <x v="44"/>
    <x v="2"/>
    <m/>
    <n v="6"/>
  </r>
  <r>
    <s v="0619-0 HMI"/>
    <x v="2"/>
    <x v="25"/>
    <n v="6"/>
    <s v="做做箱数据，邮件群发(开港时间)"/>
    <x v="44"/>
    <x v="2"/>
    <m/>
    <n v="6"/>
  </r>
  <r>
    <s v="0619-0 HMI"/>
    <x v="2"/>
    <x v="25"/>
    <n v="7"/>
    <s v="收到工厂发来报关资料并完善(代做报关资料跟客户确认)"/>
    <x v="44"/>
    <x v="2"/>
    <s v="当天至隔天"/>
    <n v="6"/>
  </r>
  <r>
    <s v="0619-0 HMI"/>
    <x v="2"/>
    <x v="25"/>
    <n v="8"/>
    <s v="报关资料齐了，发报关行(黄寅文)，货运模板/发票/箱单"/>
    <x v="33"/>
    <x v="2"/>
    <m/>
    <n v="7"/>
  </r>
  <r>
    <s v="0619-0 HMI"/>
    <x v="2"/>
    <x v="25"/>
    <n v="9"/>
    <s v="收到车队(沈丽)装箱单和洋山提箱截图(如有)，群发，通知发舱单"/>
    <x v="33"/>
    <x v="2"/>
    <s v="一般KMM五、HMI日"/>
    <n v="7"/>
  </r>
  <r>
    <s v="0619-0 HMI"/>
    <x v="2"/>
    <x v="25"/>
    <n v="10"/>
    <s v="收到舱单发送成功通知，核对舱单信息"/>
    <x v="33"/>
    <x v="2"/>
    <m/>
    <n v="7"/>
  </r>
  <r>
    <s v="0619-0 HMI"/>
    <x v="2"/>
    <x v="25"/>
    <n v="11"/>
    <s v="通知进港"/>
    <x v="33"/>
    <x v="2"/>
    <s v="调整顺序"/>
    <n v="7"/>
  </r>
  <r>
    <s v="0619-0 HMI"/>
    <x v="2"/>
    <x v="25"/>
    <n v="12"/>
    <s v="进港(核对数据)"/>
    <x v="48"/>
    <x v="2"/>
    <s v="调整顺序"/>
    <n v="9"/>
  </r>
  <r>
    <s v="0619-0 HMI"/>
    <x v="2"/>
    <x v="25"/>
    <n v="13"/>
    <s v="通知报关"/>
    <x v="45"/>
    <x v="2"/>
    <s v="调整顺序"/>
    <n v="10"/>
  </r>
  <r>
    <s v="0619-0 HMI"/>
    <x v="2"/>
    <x v="25"/>
    <n v="14"/>
    <s v="报关成功"/>
    <x v="45"/>
    <x v="2"/>
    <s v="调整顺序"/>
    <n v="10"/>
  </r>
  <r>
    <s v="0619-0 HMI"/>
    <x v="2"/>
    <x v="25"/>
    <n v="15"/>
    <s v="盯海放"/>
    <x v="45"/>
    <x v="2"/>
    <m/>
    <n v="10"/>
  </r>
  <r>
    <s v="0619-0 HMI"/>
    <x v="2"/>
    <x v="25"/>
    <n v="16"/>
    <s v="盯码放"/>
    <x v="45"/>
    <x v="2"/>
    <m/>
    <n v="10"/>
  </r>
  <r>
    <s v="0619-0 HMI"/>
    <x v="2"/>
    <x v="25"/>
    <n v="17"/>
    <s v="盯配载"/>
    <x v="49"/>
    <x v="2"/>
    <m/>
    <n v="11"/>
  </r>
  <r>
    <s v="0619-0 HMI"/>
    <x v="2"/>
    <x v="25"/>
    <n v="18"/>
    <s v="盯船开，放单"/>
    <x v="46"/>
    <x v="2"/>
    <m/>
    <n v="12"/>
  </r>
  <r>
    <s v="0619-0 HMI"/>
    <x v="2"/>
    <x v="25"/>
    <n v="19"/>
    <s v="做费用(对账单日期4号)，放公共盘，填月账单表，发孙丹"/>
    <x v="46"/>
    <x v="2"/>
    <m/>
    <n v="12"/>
  </r>
  <r>
    <s v="0619-0 KMM"/>
    <x v="3"/>
    <x v="25"/>
    <n v="1"/>
    <s v="收到客户(孙丹/王珊)发来订舱托书"/>
    <x v="38"/>
    <x v="0"/>
    <m/>
    <n v="-1"/>
  </r>
  <r>
    <s v="0619-0 KMM"/>
    <x v="3"/>
    <x v="25"/>
    <n v="2"/>
    <s v="收到CK发来预配(做箱通知，沈丽有收到？)，完善YJC系统数据"/>
    <x v="38"/>
    <x v="0"/>
    <m/>
    <n v="-1"/>
  </r>
  <r>
    <s v="0619-0 KMM"/>
    <x v="3"/>
    <x v="25"/>
    <n v="3"/>
    <s v="YJC系统生成单子"/>
    <x v="19"/>
    <x v="2"/>
    <m/>
    <n v="3"/>
  </r>
  <r>
    <s v="0619-0 KMM"/>
    <x v="3"/>
    <x v="25"/>
    <n v="4"/>
    <s v="收到包装厂(刘倩梅)发来包装指示书和装箱计划"/>
    <x v="44"/>
    <x v="2"/>
    <s v="一般周四"/>
    <n v="6"/>
  </r>
  <r>
    <s v="0619-0 KMM"/>
    <x v="3"/>
    <x v="25"/>
    <n v="5"/>
    <s v="根据装箱计划汇总包装数据，发各工厂做报关资料"/>
    <x v="44"/>
    <x v="2"/>
    <m/>
    <n v="6"/>
  </r>
  <r>
    <s v="0619-0 KMM"/>
    <x v="3"/>
    <x v="25"/>
    <n v="6"/>
    <s v="做做箱数据，邮件群发(开港时间)"/>
    <x v="44"/>
    <x v="2"/>
    <m/>
    <n v="6"/>
  </r>
  <r>
    <s v="0619-0 KMM"/>
    <x v="3"/>
    <x v="25"/>
    <n v="7"/>
    <s v="收到工厂发来报关资料并完善(代做报关资料跟客户确认)"/>
    <x v="44"/>
    <x v="2"/>
    <s v="当天至隔天"/>
    <n v="6"/>
  </r>
  <r>
    <s v="0619-0 KMM"/>
    <x v="3"/>
    <x v="25"/>
    <n v="8"/>
    <s v="报关资料齐了，发报关行(黄寅文)，货运模板/发票/箱单"/>
    <x v="44"/>
    <x v="2"/>
    <m/>
    <n v="6"/>
  </r>
  <r>
    <s v="0619-0 KMM"/>
    <x v="3"/>
    <x v="25"/>
    <n v="9"/>
    <s v="收到车队(沈丽)装箱单和洋山提箱截图(如有)，群发，通知发舱单"/>
    <x v="33"/>
    <x v="2"/>
    <s v="一般KMM五、HMI日"/>
    <n v="7"/>
  </r>
  <r>
    <s v="0619-0 KMM"/>
    <x v="3"/>
    <x v="25"/>
    <n v="10"/>
    <s v="收到舱单发送成功通知，核对舱单信息"/>
    <x v="33"/>
    <x v="2"/>
    <m/>
    <n v="7"/>
  </r>
  <r>
    <s v="0619-0 KMM"/>
    <x v="3"/>
    <x v="25"/>
    <n v="11"/>
    <s v="通知报关"/>
    <x v="33"/>
    <x v="2"/>
    <s v="调整顺序"/>
    <n v="7"/>
  </r>
  <r>
    <s v="0619-0 KMM"/>
    <x v="3"/>
    <x v="25"/>
    <n v="12"/>
    <s v="报关成功"/>
    <x v="33"/>
    <x v="2"/>
    <s v="调整顺序"/>
    <n v="7"/>
  </r>
  <r>
    <s v="0619-0 KMM"/>
    <x v="3"/>
    <x v="25"/>
    <n v="13"/>
    <s v="通知进港"/>
    <x v="33"/>
    <x v="2"/>
    <s v="调整顺序"/>
    <n v="7"/>
  </r>
  <r>
    <s v="0619-0 KMM"/>
    <x v="3"/>
    <x v="25"/>
    <n v="14"/>
    <s v="进港(核对数据)"/>
    <x v="33"/>
    <x v="2"/>
    <s v="调整顺序"/>
    <n v="7"/>
  </r>
  <r>
    <s v="0619-0 KMM"/>
    <x v="3"/>
    <x v="25"/>
    <n v="15"/>
    <s v="盯海放"/>
    <x v="50"/>
    <x v="2"/>
    <m/>
    <n v="8"/>
  </r>
  <r>
    <s v="0619-0 KMM"/>
    <x v="3"/>
    <x v="25"/>
    <n v="16"/>
    <s v="盯码放"/>
    <x v="45"/>
    <x v="2"/>
    <m/>
    <n v="10"/>
  </r>
  <r>
    <s v="0619-0 KMM"/>
    <x v="3"/>
    <x v="25"/>
    <n v="17"/>
    <s v="盯配载"/>
    <x v="45"/>
    <x v="2"/>
    <m/>
    <n v="10"/>
  </r>
  <r>
    <s v="0619-0 KMM"/>
    <x v="3"/>
    <x v="25"/>
    <n v="18"/>
    <s v="盯船开，放单"/>
    <x v="46"/>
    <x v="2"/>
    <m/>
    <n v="12"/>
  </r>
  <r>
    <s v="0619-0 KMM"/>
    <x v="3"/>
    <x v="25"/>
    <n v="19"/>
    <s v="做费用(对账单日期4号)，放公共盘，填月账单表，发孙丹"/>
    <x v="46"/>
    <x v="2"/>
    <m/>
    <n v="12"/>
  </r>
  <r>
    <s v="0619-0 WX mobis"/>
    <x v="7"/>
    <x v="25"/>
    <n v="1"/>
    <s v="收到胡媛媛发来订舱邮件"/>
    <x v="4"/>
    <x v="0"/>
    <m/>
    <n v="-28"/>
  </r>
  <r>
    <s v="0619-0 WX mobis"/>
    <x v="7"/>
    <x v="25"/>
    <n v="2"/>
    <s v="发订舱托书给万恒（翁小姐）"/>
    <x v="4"/>
    <x v="0"/>
    <m/>
    <n v="-28"/>
  </r>
  <r>
    <s v="0619-0 WX mobis"/>
    <x v="7"/>
    <x v="25"/>
    <n v="3"/>
    <s v="收到万恒（翁小姐）预配"/>
    <x v="4"/>
    <x v="0"/>
    <s v="一般三小时左右"/>
    <n v="-28"/>
  </r>
  <r>
    <s v="0619-0 WX mobis"/>
    <x v="7"/>
    <x v="25"/>
    <n v="4"/>
    <s v="通知胡媛媛订舱成功"/>
    <x v="4"/>
    <x v="0"/>
    <m/>
    <n v="-28"/>
  </r>
  <r>
    <s v="0619-0 WX mobis"/>
    <x v="7"/>
    <x v="25"/>
    <n v="5"/>
    <s v="发做箱通知邮件给车队(沈丽)"/>
    <x v="12"/>
    <x v="0"/>
    <m/>
    <n v="-27"/>
  </r>
  <r>
    <s v="0619-0 WX mobis"/>
    <x v="7"/>
    <x v="25"/>
    <n v="5.0999999999999996"/>
    <s v="取消一个柜子的预配"/>
    <x v="3"/>
    <x v="0"/>
    <m/>
    <n v="-9"/>
  </r>
  <r>
    <s v="0619-0 WX mobis"/>
    <x v="7"/>
    <x v="25"/>
    <n v="5.2"/>
    <s v="确认取消"/>
    <x v="29"/>
    <x v="0"/>
    <m/>
    <n v="-8"/>
  </r>
  <r>
    <s v="0619-0 WX mobis"/>
    <x v="7"/>
    <x v="25"/>
    <n v="6"/>
    <s v="收到胡媛媛发来报关资料"/>
    <x v="42"/>
    <x v="2"/>
    <s v="船开前一周？"/>
    <n v="5"/>
  </r>
  <r>
    <s v="0619-0 WX mobis"/>
    <x v="7"/>
    <x v="25"/>
    <n v="7"/>
    <s v="完善报关资料发报关行（黄寅文），要校对稿，做做箱数据给沈丽"/>
    <x v="42"/>
    <x v="2"/>
    <m/>
    <n v="5"/>
  </r>
  <r>
    <s v="0619-0 WX mobis"/>
    <x v="7"/>
    <x v="25"/>
    <n v="8"/>
    <s v="买保险，做异地付款保函，发胡媛媛确认盖章回传"/>
    <x v="42"/>
    <x v="2"/>
    <m/>
    <n v="5"/>
  </r>
  <r>
    <s v="0619-0 WX mobis"/>
    <x v="7"/>
    <x v="25"/>
    <n v="9"/>
    <s v="收到客户（胡媛媛）发来保函扫描件"/>
    <x v="42"/>
    <x v="2"/>
    <s v="一般马上"/>
    <n v="5"/>
  </r>
  <r>
    <s v="0619-0 WX mobis"/>
    <x v="7"/>
    <x v="25"/>
    <n v="10"/>
    <s v="收到黄寅文校对稿，发客户（胡媛媛）确认"/>
    <x v="42"/>
    <x v="2"/>
    <s v="一般半天内"/>
    <n v="5"/>
  </r>
  <r>
    <s v="0619-0 WX mobis"/>
    <x v="7"/>
    <x v="25"/>
    <n v="11"/>
    <s v="收到客户（胡媛媛）确认校对稿OK"/>
    <x v="42"/>
    <x v="2"/>
    <s v="一般马上"/>
    <n v="5"/>
  </r>
  <r>
    <s v="0619-0 WX mobis"/>
    <x v="7"/>
    <x v="25"/>
    <n v="12"/>
    <s v="开港时间？明天做箱？如有变动通知胡媛媛（跟万恒确认17号做可不可以）"/>
    <x v="44"/>
    <x v="2"/>
    <s v="截单前一天"/>
    <n v="6"/>
  </r>
  <r>
    <s v="0619-0 WX mobis"/>
    <x v="7"/>
    <x v="25"/>
    <n v="13"/>
    <s v="收到沈丽发来装箱单"/>
    <x v="33"/>
    <x v="2"/>
    <s v="截单当天"/>
    <n v="7"/>
  </r>
  <r>
    <s v="0619-0 WX mobis"/>
    <x v="7"/>
    <x v="25"/>
    <n v="14"/>
    <s v="完善截单资料发万恒（翁小姐），请求发舱单"/>
    <x v="33"/>
    <x v="2"/>
    <m/>
    <n v="7"/>
  </r>
  <r>
    <s v="0619-0 WX mobis"/>
    <x v="7"/>
    <x v="25"/>
    <n v="15"/>
    <s v="收到舱单发送通知，核对舱单，装箱单发报关行报关"/>
    <x v="33"/>
    <x v="2"/>
    <m/>
    <n v="7"/>
  </r>
  <r>
    <s v="0619-0 WX mobis"/>
    <x v="7"/>
    <x v="25"/>
    <n v="16"/>
    <s v="请求万恒（翁小姐）发提单样本"/>
    <x v="33"/>
    <x v="2"/>
    <m/>
    <n v="7"/>
  </r>
  <r>
    <s v="0619-0 WX mobis"/>
    <x v="7"/>
    <x v="25"/>
    <n v="17"/>
    <s v="收到万恒（翁小姐）发来提单样本，发胡媛媛确认"/>
    <x v="33"/>
    <x v="2"/>
    <m/>
    <n v="7"/>
  </r>
  <r>
    <s v="0619-0 WX mobis"/>
    <x v="7"/>
    <x v="25"/>
    <n v="18"/>
    <s v="收到胡媛媛提单确认"/>
    <x v="33"/>
    <x v="2"/>
    <m/>
    <n v="7"/>
  </r>
  <r>
    <s v="0619-0 WX mobis"/>
    <x v="7"/>
    <x v="25"/>
    <n v="19"/>
    <s v="收到报关成功通知，通知车队可进港 "/>
    <x v="33"/>
    <x v="2"/>
    <m/>
    <n v="7"/>
  </r>
  <r>
    <s v="0619-0 WX mobis"/>
    <x v="7"/>
    <x v="25"/>
    <n v="20"/>
    <s v="进港，核对数据"/>
    <x v="33"/>
    <x v="2"/>
    <m/>
    <n v="7"/>
  </r>
  <r>
    <s v="0619-0 WX mobis"/>
    <x v="7"/>
    <x v="25"/>
    <n v="21"/>
    <s v="海放"/>
    <x v="33"/>
    <x v="2"/>
    <m/>
    <n v="7"/>
  </r>
  <r>
    <s v="0619-0 WX mobis"/>
    <x v="7"/>
    <x v="25"/>
    <n v="22"/>
    <s v="码放"/>
    <x v="45"/>
    <x v="2"/>
    <m/>
    <n v="10"/>
  </r>
  <r>
    <s v="0619-0 WX mobis"/>
    <x v="7"/>
    <x v="25"/>
    <n v="23"/>
    <s v="配载"/>
    <x v="49"/>
    <x v="2"/>
    <m/>
    <n v="11"/>
  </r>
  <r>
    <s v="0619-0 WX mobis"/>
    <x v="7"/>
    <x v="25"/>
    <n v="24"/>
    <s v="开船"/>
    <x v="46"/>
    <x v="2"/>
    <m/>
    <n v="12"/>
  </r>
  <r>
    <s v="0619-0 WX mobis"/>
    <x v="7"/>
    <x v="25"/>
    <n v="25"/>
    <s v="收到万恒（翁小姐）提单，放提单和预录单给胡媛媛"/>
    <x v="32"/>
    <x v="2"/>
    <m/>
    <n v="13"/>
  </r>
  <r>
    <s v="0619-0 WX mobis"/>
    <x v="7"/>
    <x v="25"/>
    <n v="26"/>
    <s v="做费用，发账单给石磊"/>
    <x v="32"/>
    <x v="2"/>
    <m/>
    <n v="13"/>
  </r>
  <r>
    <s v="0619-0 万盛"/>
    <x v="8"/>
    <x v="25"/>
    <n v="1"/>
    <s v="收到徐小姐托书"/>
    <x v="39"/>
    <x v="0"/>
    <m/>
    <n v="-3"/>
  </r>
  <r>
    <s v="0619-0 万盛"/>
    <x v="8"/>
    <x v="25"/>
    <n v="2"/>
    <s v="公共盘表格生成单号，YJC系统复制、生成单子"/>
    <x v="39"/>
    <x v="0"/>
    <m/>
    <n v="-3"/>
  </r>
  <r>
    <s v="0619-0 万盛"/>
    <x v="8"/>
    <x v="25"/>
    <n v="3"/>
    <s v="振华网站订舱、保存、提交，等待审核"/>
    <x v="39"/>
    <x v="0"/>
    <m/>
    <n v="-3"/>
  </r>
  <r>
    <s v="0619-0 万盛"/>
    <x v="8"/>
    <x v="25"/>
    <n v="4"/>
    <s v="QQ发预配给徐小姐，邮件发确认给国外"/>
    <x v="19"/>
    <x v="2"/>
    <m/>
    <n v="3"/>
  </r>
  <r>
    <s v="0619-0 万盛"/>
    <x v="8"/>
    <x v="25"/>
    <n v="5"/>
    <s v="收到国外确认，公共盘表格红改黑"/>
    <x v="19"/>
    <x v="2"/>
    <m/>
    <n v="3"/>
  </r>
  <r>
    <s v="0619-0 万盛"/>
    <x v="8"/>
    <x v="25"/>
    <n v="6"/>
    <s v="收到车队江发来VGM表格"/>
    <x v="45"/>
    <x v="2"/>
    <s v="周三周一截，周日周五截"/>
    <n v="10"/>
  </r>
  <r>
    <s v="0619-0 万盛"/>
    <x v="8"/>
    <x v="25"/>
    <n v="7"/>
    <s v="YJC 截单，振华截单、截VGM"/>
    <x v="45"/>
    <x v="2"/>
    <m/>
    <n v="10"/>
  </r>
  <r>
    <s v="0619-0 万盛"/>
    <x v="8"/>
    <x v="25"/>
    <n v="8"/>
    <s v="邮件发提单确认和费用确认给国外"/>
    <x v="45"/>
    <x v="2"/>
    <m/>
    <n v="10"/>
  </r>
  <r>
    <s v="0619-0 万盛"/>
    <x v="8"/>
    <x v="25"/>
    <n v="9"/>
    <s v="船开，制作提单领取单给师傅领WAYBILL"/>
    <x v="46"/>
    <x v="2"/>
    <m/>
    <n v="12"/>
  </r>
  <r>
    <s v="0619-0 万盛"/>
    <x v="8"/>
    <x v="25"/>
    <n v="10"/>
    <s v="拿到WAYBILL，扫描，和HBL一起发国外"/>
    <x v="46"/>
    <x v="2"/>
    <m/>
    <n v="12"/>
  </r>
  <r>
    <s v="0624-0 0 WEEK"/>
    <x v="4"/>
    <x v="26"/>
    <n v="1"/>
    <s v="收到HMM Neo 下周订舱邮件"/>
    <x v="51"/>
    <x v="2"/>
    <s v="周一"/>
    <n v="17"/>
  </r>
  <r>
    <s v="0624-0 0 WEEK"/>
    <x v="4"/>
    <x v="26"/>
    <n v="2"/>
    <s v="根据JS mobis订舱需求回Neo邮件"/>
    <x v="51"/>
    <x v="2"/>
    <s v="周一"/>
    <n v="17"/>
  </r>
  <r>
    <s v="0624-0 0 WEEK"/>
    <x v="4"/>
    <x v="26"/>
    <n v="3"/>
    <s v="SHA GLV WORKING PROCESS"/>
    <x v="51"/>
    <x v="2"/>
    <s v="周一"/>
    <n v="17"/>
  </r>
  <r>
    <s v="0624-0 0 WEEK"/>
    <x v="4"/>
    <x v="26"/>
    <n v="4"/>
    <s v="SHA GLV WORKING PROCESS"/>
    <x v="52"/>
    <x v="2"/>
    <s v="周三"/>
    <n v="19"/>
  </r>
  <r>
    <s v="0624-0 0 WEEK"/>
    <x v="4"/>
    <x v="26"/>
    <n v="5"/>
    <s v="TJ glovis额外费用邮件"/>
    <x v="35"/>
    <x v="2"/>
    <s v="周五"/>
    <n v="21"/>
  </r>
  <r>
    <s v="0624-0 0 WEEK"/>
    <x v="4"/>
    <x v="26"/>
    <n v="6"/>
    <s v="WORKING PROCESS"/>
    <x v="35"/>
    <x v="2"/>
    <s v="周五"/>
    <n v="21"/>
  </r>
  <r>
    <s v="0624-0 0 WEEK"/>
    <x v="4"/>
    <x v="26"/>
    <n v="7"/>
    <s v="万盛出去清单（下午三点）"/>
    <x v="35"/>
    <x v="2"/>
    <s v="周五"/>
    <n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13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1">
        <item x="4"/>
        <item x="1"/>
        <item x="2"/>
        <item x="5"/>
        <item m="1" x="10"/>
        <item x="3"/>
        <item x="6"/>
        <item x="7"/>
        <item x="0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0">
        <item x="0"/>
        <item x="1"/>
        <item x="2"/>
        <item x="3"/>
        <item x="4"/>
        <item x="5"/>
        <item m="1" x="29"/>
        <item x="6"/>
        <item x="7"/>
        <item x="8"/>
        <item x="9"/>
        <item x="10"/>
        <item x="11"/>
        <item x="12"/>
        <item m="1" x="28"/>
        <item x="13"/>
        <item x="14"/>
        <item m="1" x="27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3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19"/>
        <item x="43"/>
        <item x="42"/>
        <item x="44"/>
        <item x="33"/>
        <item x="50"/>
        <item x="48"/>
        <item x="45"/>
        <item x="49"/>
        <item x="46"/>
        <item x="32"/>
        <item x="47"/>
        <item x="51"/>
        <item x="34"/>
        <item x="52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9">
    <i>
      <x v="2"/>
    </i>
    <i r="1">
      <x v="20"/>
    </i>
    <i>
      <x v="3"/>
    </i>
    <i r="1">
      <x v="20"/>
    </i>
    <i r="1">
      <x v="21"/>
    </i>
    <i r="1">
      <x v="24"/>
    </i>
    <i>
      <x v="6"/>
    </i>
    <i r="1">
      <x v="21"/>
    </i>
    <i t="grand">
      <x/>
    </i>
  </rowItems>
  <colFields count="1">
    <field x="5"/>
  </colFields>
  <colItems count="2">
    <i>
      <x v="35"/>
    </i>
    <i>
      <x v="36"/>
    </i>
  </colItems>
  <pageFields count="1">
    <pageField fld="6" item="1" hier="-1"/>
  </pageFields>
  <dataFields count="1">
    <dataField name="计数项:日期" fld="5" subtotal="count" baseField="0" baseItem="0"/>
  </dataFields>
  <formats count="11"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2" count="0"/>
        </references>
      </pivotArea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fieldPosition="0">
        <references count="1">
          <reference field="5" count="1">
            <x v="27"/>
          </reference>
        </references>
      </pivotArea>
    </format>
    <format dxfId="10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9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7"/>
            <x v="39"/>
            <x v="40"/>
            <x v="41"/>
            <x v="44"/>
            <x v="45"/>
            <x v="46"/>
            <x v="47"/>
            <x v="48"/>
            <x v="49"/>
            <x v="50"/>
            <x v="51"/>
            <x v="52"/>
          </reference>
        </references>
      </pivotArea>
    </format>
    <format dxfId="8">
      <pivotArea dataOnly="0" labelOnly="1" fieldPosition="0">
        <references count="1">
          <reference field="5" count="1">
            <x v="30"/>
          </reference>
        </references>
      </pivotArea>
    </format>
    <format dxfId="7">
      <pivotArea dataOnly="0" labelOnly="1" fieldPosition="0">
        <references count="1">
          <reference field="5" count="1">
            <x v="38"/>
          </reference>
        </references>
      </pivotArea>
    </format>
    <format dxfId="6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66">
      <autoFilter ref="A1">
        <filterColumn colId="0">
          <customFilters>
            <customFilter operator="lessThan" val="4362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28" totalsRowShown="0" headerRowDxfId="42" dataDxfId="41">
  <autoFilter ref="A1:G128"/>
  <sortState ref="A2:G127">
    <sortCondition ref="A2:A127"/>
    <sortCondition ref="C2:C127"/>
  </sortState>
  <tableColumns count="7">
    <tableColumn id="1" name="项目" dataDxfId="40"/>
    <tableColumn id="2" name="ETD" dataDxfId="39"/>
    <tableColumn id="8" name="顺序" dataDxfId="38"/>
    <tableColumn id="4" name="内容" dataDxfId="37"/>
    <tableColumn id="5" name="日期" dataDxfId="36"/>
    <tableColumn id="6" name="状态" dataDxfId="35"/>
    <tableColumn id="7" name="备注" dataDxfId="3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915" totalsRowShown="0" headerRowDxfId="31" dataDxfId="29" headerRowBorderDxfId="30" tableBorderDxfId="28" totalsRowBorderDxfId="27">
  <autoFilter ref="A1:I915">
    <filterColumn colId="1">
      <filters>
        <filter val="SC glovis"/>
      </filters>
    </filterColumn>
    <filterColumn colId="2">
      <filters>
        <dateGroupItem year="2019" month="6" day="7" hour="0" dateTimeGrouping="hour"/>
      </filters>
    </filterColumn>
    <filterColumn colId="5">
      <filters>
        <dateGroupItem year="2019" month="6" day="7" dateTimeGrouping="day"/>
      </filters>
    </filterColumn>
    <filterColumn colId="6">
      <filters>
        <filter val="计划"/>
      </filters>
    </filterColumn>
  </autoFilter>
  <tableColumns count="9">
    <tableColumn id="17" name="列1" dataDxfId="26">
      <calculatedColumnFormula>TEXT(表3[[#This Row],[ETD]],"mmdd-h ")&amp;表3[[#This Row],[项目]]</calculatedColumnFormula>
    </tableColumn>
    <tableColumn id="1" name="项目" dataDxfId="25"/>
    <tableColumn id="2" name="ETD" dataDxfId="24"/>
    <tableColumn id="3" name="顺序" dataDxfId="23"/>
    <tableColumn id="5" name="内容" dataDxfId="22"/>
    <tableColumn id="6" name="日期" dataDxfId="21"/>
    <tableColumn id="7" name="状态" dataDxfId="20"/>
    <tableColumn id="8" name="备注" dataDxfId="19"/>
    <tableColumn id="9" name="列2" dataDxfId="1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62" totalsRowShown="0">
  <autoFilter ref="A1:H62">
    <filterColumn colId="0">
      <filters>
        <filter val="SC glovis"/>
      </filters>
    </filterColumn>
    <filterColumn colId="1">
      <filters>
        <dateGroupItem year="2019" month="6" day="7" hour="0" dateTimeGrouping="hour"/>
      </filters>
    </filterColumn>
  </autoFilter>
  <tableColumns count="8">
    <tableColumn id="1" name="项目"/>
    <tableColumn id="2" name="ETD" dataDxfId="5"/>
    <tableColumn id="4" name="船名en" dataDxfId="4"/>
    <tableColumn id="5" name="航次" dataDxfId="3"/>
    <tableColumn id="3" name="船名cn" dataDxfId="2"/>
    <tableColumn id="6" name="提单号" dataDxfId="1"/>
    <tableColumn id="7" name="箱号"/>
    <tableColumn id="8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8"/>
  <sheetViews>
    <sheetView workbookViewId="0">
      <pane ySplit="1" topLeftCell="A50" activePane="bottomLeft" state="frozen"/>
      <selection pane="bottomLeft" activeCell="D51" sqref="D5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322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257</v>
      </c>
      <c r="B2" s="2"/>
      <c r="C2" s="17">
        <v>1</v>
      </c>
      <c r="D2" s="1" t="s">
        <v>325</v>
      </c>
      <c r="E2" s="1"/>
      <c r="F2" s="1" t="s">
        <v>247</v>
      </c>
      <c r="G2" s="1" t="s">
        <v>249</v>
      </c>
    </row>
    <row r="3" spans="1:7" x14ac:dyDescent="0.2">
      <c r="A3" s="1" t="s">
        <v>257</v>
      </c>
      <c r="B3" s="20"/>
      <c r="C3" s="21">
        <v>2</v>
      </c>
      <c r="D3" s="1" t="s">
        <v>652</v>
      </c>
      <c r="E3" s="19"/>
      <c r="F3" s="1" t="s">
        <v>221</v>
      </c>
      <c r="G3" s="1" t="s">
        <v>249</v>
      </c>
    </row>
    <row r="4" spans="1:7" x14ac:dyDescent="0.2">
      <c r="A4" s="1" t="s">
        <v>257</v>
      </c>
      <c r="B4" s="2"/>
      <c r="C4" s="17">
        <v>3</v>
      </c>
      <c r="D4" s="1" t="s">
        <v>653</v>
      </c>
      <c r="E4" s="1"/>
      <c r="F4" s="1" t="s">
        <v>252</v>
      </c>
      <c r="G4" s="1" t="s">
        <v>249</v>
      </c>
    </row>
    <row r="5" spans="1:7" x14ac:dyDescent="0.2">
      <c r="A5" s="1" t="s">
        <v>257</v>
      </c>
      <c r="B5" s="2"/>
      <c r="C5" s="17">
        <v>4</v>
      </c>
      <c r="D5" s="1" t="s">
        <v>251</v>
      </c>
      <c r="E5" s="1"/>
      <c r="F5" s="1" t="s">
        <v>252</v>
      </c>
      <c r="G5" s="1" t="s">
        <v>254</v>
      </c>
    </row>
    <row r="6" spans="1:7" x14ac:dyDescent="0.2">
      <c r="A6" s="1" t="s">
        <v>257</v>
      </c>
      <c r="B6" s="2"/>
      <c r="C6" s="17">
        <v>5</v>
      </c>
      <c r="D6" s="1" t="s">
        <v>654</v>
      </c>
      <c r="E6" s="1"/>
      <c r="F6" s="1" t="s">
        <v>221</v>
      </c>
      <c r="G6" s="1" t="s">
        <v>245</v>
      </c>
    </row>
    <row r="7" spans="1:7" x14ac:dyDescent="0.2">
      <c r="A7" s="1" t="s">
        <v>257</v>
      </c>
      <c r="B7" s="2"/>
      <c r="C7" s="17">
        <v>6</v>
      </c>
      <c r="D7" s="1" t="s">
        <v>655</v>
      </c>
      <c r="E7" s="1"/>
      <c r="F7" s="1" t="s">
        <v>252</v>
      </c>
      <c r="G7" s="1" t="s">
        <v>245</v>
      </c>
    </row>
    <row r="8" spans="1:7" x14ac:dyDescent="0.2">
      <c r="A8" s="1" t="s">
        <v>257</v>
      </c>
      <c r="B8" s="2"/>
      <c r="C8" s="17">
        <v>7</v>
      </c>
      <c r="D8" s="1" t="s">
        <v>656</v>
      </c>
      <c r="E8" s="1"/>
      <c r="F8" s="1" t="s">
        <v>252</v>
      </c>
      <c r="G8" s="1" t="s">
        <v>245</v>
      </c>
    </row>
    <row r="9" spans="1:7" x14ac:dyDescent="0.2">
      <c r="A9" s="1" t="s">
        <v>259</v>
      </c>
      <c r="B9" s="2"/>
      <c r="C9" s="17">
        <v>1</v>
      </c>
      <c r="D9" s="1" t="s">
        <v>241</v>
      </c>
      <c r="E9" s="1"/>
      <c r="F9" s="1" t="s">
        <v>221</v>
      </c>
      <c r="G9" s="1" t="s">
        <v>243</v>
      </c>
    </row>
    <row r="10" spans="1:7" x14ac:dyDescent="0.2">
      <c r="A10" s="1" t="s">
        <v>259</v>
      </c>
      <c r="B10" s="2"/>
      <c r="C10" s="17">
        <v>2</v>
      </c>
      <c r="D10" s="1" t="s">
        <v>346</v>
      </c>
      <c r="E10" s="1"/>
      <c r="F10" s="1" t="s">
        <v>347</v>
      </c>
      <c r="G10" s="1" t="s">
        <v>695</v>
      </c>
    </row>
    <row r="11" spans="1:7" x14ac:dyDescent="0.2">
      <c r="A11" s="1" t="s">
        <v>259</v>
      </c>
      <c r="B11" s="2"/>
      <c r="C11" s="17">
        <v>3</v>
      </c>
      <c r="D11" s="1" t="s">
        <v>696</v>
      </c>
      <c r="E11" s="1"/>
      <c r="F11" s="1" t="s">
        <v>697</v>
      </c>
      <c r="G11" s="1" t="s">
        <v>698</v>
      </c>
    </row>
    <row r="12" spans="1:7" x14ac:dyDescent="0.2">
      <c r="A12" s="1" t="s">
        <v>259</v>
      </c>
      <c r="B12" s="2"/>
      <c r="C12" s="17">
        <v>4</v>
      </c>
      <c r="D12" s="1" t="s">
        <v>261</v>
      </c>
      <c r="E12" s="1"/>
      <c r="F12" s="1" t="s">
        <v>247</v>
      </c>
      <c r="G12" s="1" t="s">
        <v>243</v>
      </c>
    </row>
    <row r="13" spans="1:7" x14ac:dyDescent="0.2">
      <c r="A13" s="1" t="s">
        <v>259</v>
      </c>
      <c r="B13" s="2"/>
      <c r="C13" s="17">
        <v>5</v>
      </c>
      <c r="D13" s="1" t="s">
        <v>636</v>
      </c>
      <c r="E13" s="1"/>
      <c r="F13" s="1" t="s">
        <v>637</v>
      </c>
      <c r="G13" s="1" t="s">
        <v>638</v>
      </c>
    </row>
    <row r="14" spans="1:7" x14ac:dyDescent="0.2">
      <c r="A14" s="1" t="s">
        <v>3</v>
      </c>
      <c r="B14" s="2"/>
      <c r="C14" s="17">
        <v>1</v>
      </c>
      <c r="D14" s="1" t="s">
        <v>464</v>
      </c>
      <c r="E14" s="1"/>
      <c r="F14" s="1" t="s">
        <v>221</v>
      </c>
      <c r="G14" s="1" t="s">
        <v>30</v>
      </c>
    </row>
    <row r="15" spans="1:7" x14ac:dyDescent="0.2">
      <c r="A15" s="1" t="s">
        <v>3</v>
      </c>
      <c r="B15" s="2"/>
      <c r="C15" s="17">
        <v>2</v>
      </c>
      <c r="D15" s="1" t="s">
        <v>217</v>
      </c>
      <c r="E15" s="1"/>
      <c r="F15" s="1" t="s">
        <v>221</v>
      </c>
      <c r="G15" s="1"/>
    </row>
    <row r="16" spans="1:7" x14ac:dyDescent="0.2">
      <c r="A16" s="1" t="s">
        <v>3</v>
      </c>
      <c r="B16" s="2"/>
      <c r="C16" s="17">
        <v>3</v>
      </c>
      <c r="D16" s="1" t="s">
        <v>63</v>
      </c>
      <c r="E16" s="1"/>
      <c r="F16" s="1" t="s">
        <v>221</v>
      </c>
      <c r="G16" s="1" t="s">
        <v>32</v>
      </c>
    </row>
    <row r="17" spans="1:7" x14ac:dyDescent="0.2">
      <c r="A17" s="1" t="s">
        <v>3</v>
      </c>
      <c r="B17" s="2"/>
      <c r="C17" s="17">
        <v>4</v>
      </c>
      <c r="D17" s="1" t="s">
        <v>65</v>
      </c>
      <c r="E17" s="1"/>
      <c r="F17" s="1" t="s">
        <v>225</v>
      </c>
      <c r="G17" s="1"/>
    </row>
    <row r="18" spans="1:7" x14ac:dyDescent="0.2">
      <c r="A18" s="1" t="s">
        <v>3</v>
      </c>
      <c r="B18" s="2"/>
      <c r="C18" s="17">
        <v>5</v>
      </c>
      <c r="D18" s="1" t="s">
        <v>67</v>
      </c>
      <c r="E18" s="1"/>
      <c r="F18" s="1" t="s">
        <v>221</v>
      </c>
      <c r="G18" s="1" t="s">
        <v>45</v>
      </c>
    </row>
    <row r="19" spans="1:7" x14ac:dyDescent="0.2">
      <c r="A19" s="1" t="s">
        <v>3</v>
      </c>
      <c r="B19" s="2"/>
      <c r="C19" s="17">
        <v>6</v>
      </c>
      <c r="D19" s="1" t="s">
        <v>20</v>
      </c>
      <c r="E19" s="1"/>
      <c r="F19" s="1" t="s">
        <v>221</v>
      </c>
      <c r="G19" s="1"/>
    </row>
    <row r="20" spans="1:7" x14ac:dyDescent="0.2">
      <c r="A20" s="1" t="s">
        <v>3</v>
      </c>
      <c r="B20" s="2"/>
      <c r="C20" s="17">
        <v>7</v>
      </c>
      <c r="D20" s="1" t="s">
        <v>22</v>
      </c>
      <c r="E20" s="1"/>
      <c r="F20" s="1" t="s">
        <v>221</v>
      </c>
      <c r="G20" s="1"/>
    </row>
    <row r="21" spans="1:7" x14ac:dyDescent="0.2">
      <c r="A21" s="1" t="s">
        <v>3</v>
      </c>
      <c r="B21" s="2"/>
      <c r="C21" s="17">
        <v>8</v>
      </c>
      <c r="D21" s="1" t="s">
        <v>8</v>
      </c>
      <c r="E21" s="1"/>
      <c r="F21" s="1" t="s">
        <v>221</v>
      </c>
      <c r="G21" s="1"/>
    </row>
    <row r="22" spans="1:7" x14ac:dyDescent="0.2">
      <c r="A22" s="1" t="s">
        <v>3</v>
      </c>
      <c r="B22" s="2"/>
      <c r="C22" s="17">
        <v>9</v>
      </c>
      <c r="D22" s="1" t="s">
        <v>10</v>
      </c>
      <c r="E22" s="1"/>
      <c r="F22" s="1" t="s">
        <v>222</v>
      </c>
      <c r="G22" s="1"/>
    </row>
    <row r="23" spans="1:7" x14ac:dyDescent="0.2">
      <c r="A23" s="1" t="s">
        <v>3</v>
      </c>
      <c r="B23" s="2"/>
      <c r="C23" s="17">
        <v>10</v>
      </c>
      <c r="D23" s="1" t="s">
        <v>216</v>
      </c>
      <c r="E23" s="1"/>
      <c r="F23" s="1" t="s">
        <v>221</v>
      </c>
      <c r="G23" s="1" t="s">
        <v>34</v>
      </c>
    </row>
    <row r="24" spans="1:7" x14ac:dyDescent="0.2">
      <c r="A24" s="1" t="s">
        <v>3</v>
      </c>
      <c r="B24" s="2"/>
      <c r="C24" s="17">
        <v>11</v>
      </c>
      <c r="D24" s="1" t="s">
        <v>61</v>
      </c>
      <c r="E24" s="1"/>
      <c r="F24" s="1" t="s">
        <v>221</v>
      </c>
      <c r="G24" s="1"/>
    </row>
    <row r="25" spans="1:7" x14ac:dyDescent="0.2">
      <c r="A25" s="1" t="s">
        <v>3</v>
      </c>
      <c r="B25" s="2"/>
      <c r="C25" s="17">
        <v>12</v>
      </c>
      <c r="D25" s="1" t="s">
        <v>465</v>
      </c>
      <c r="E25" s="1"/>
      <c r="F25" s="1" t="s">
        <v>225</v>
      </c>
      <c r="G25" s="1" t="s">
        <v>36</v>
      </c>
    </row>
    <row r="26" spans="1:7" x14ac:dyDescent="0.2">
      <c r="A26" s="1" t="s">
        <v>3</v>
      </c>
      <c r="B26" s="2"/>
      <c r="C26" s="17">
        <v>13</v>
      </c>
      <c r="D26" s="1" t="s">
        <v>41</v>
      </c>
      <c r="E26" s="1"/>
      <c r="F26" s="1" t="s">
        <v>221</v>
      </c>
      <c r="G26" s="1"/>
    </row>
    <row r="27" spans="1:7" x14ac:dyDescent="0.2">
      <c r="A27" s="1" t="s">
        <v>3</v>
      </c>
      <c r="B27" s="2"/>
      <c r="C27" s="17">
        <v>14</v>
      </c>
      <c r="D27" s="1" t="s">
        <v>24</v>
      </c>
      <c r="E27" s="1"/>
      <c r="F27" s="1" t="s">
        <v>221</v>
      </c>
      <c r="G27" s="1"/>
    </row>
    <row r="28" spans="1:7" x14ac:dyDescent="0.2">
      <c r="A28" s="1" t="s">
        <v>3</v>
      </c>
      <c r="B28" s="2"/>
      <c r="C28" s="17">
        <v>15</v>
      </c>
      <c r="D28" s="1" t="s">
        <v>26</v>
      </c>
      <c r="E28" s="1"/>
      <c r="F28" s="1" t="s">
        <v>221</v>
      </c>
      <c r="G28" s="1"/>
    </row>
    <row r="29" spans="1:7" x14ac:dyDescent="0.2">
      <c r="A29" s="1" t="s">
        <v>3</v>
      </c>
      <c r="B29" s="2"/>
      <c r="C29" s="17">
        <v>16</v>
      </c>
      <c r="D29" s="1" t="s">
        <v>14</v>
      </c>
      <c r="E29" s="1"/>
      <c r="F29" s="1" t="s">
        <v>225</v>
      </c>
      <c r="G29" s="1"/>
    </row>
    <row r="30" spans="1:7" x14ac:dyDescent="0.2">
      <c r="A30" s="1" t="s">
        <v>3</v>
      </c>
      <c r="B30" s="2"/>
      <c r="C30" s="17">
        <v>17</v>
      </c>
      <c r="D30" s="1" t="s">
        <v>16</v>
      </c>
      <c r="E30" s="1"/>
      <c r="F30" s="1" t="s">
        <v>221</v>
      </c>
      <c r="G30" s="1"/>
    </row>
    <row r="31" spans="1:7" x14ac:dyDescent="0.2">
      <c r="A31" s="1" t="s">
        <v>3</v>
      </c>
      <c r="B31" s="2"/>
      <c r="C31" s="17">
        <v>18</v>
      </c>
      <c r="D31" s="1" t="s">
        <v>18</v>
      </c>
      <c r="E31" s="1"/>
      <c r="F31" s="1" t="s">
        <v>221</v>
      </c>
      <c r="G31" s="1"/>
    </row>
    <row r="32" spans="1:7" x14ac:dyDescent="0.2">
      <c r="A32" s="1" t="s">
        <v>3</v>
      </c>
      <c r="B32" s="2"/>
      <c r="C32" s="17">
        <v>19</v>
      </c>
      <c r="D32" s="1" t="s">
        <v>59</v>
      </c>
      <c r="E32" s="1"/>
      <c r="F32" s="1" t="s">
        <v>221</v>
      </c>
      <c r="G32" s="1"/>
    </row>
    <row r="33" spans="1:7" x14ac:dyDescent="0.2">
      <c r="A33" s="1" t="s">
        <v>3</v>
      </c>
      <c r="B33" s="2"/>
      <c r="C33" s="17">
        <v>20</v>
      </c>
      <c r="D33" s="1" t="s">
        <v>466</v>
      </c>
      <c r="E33" s="1"/>
      <c r="F33" s="1" t="s">
        <v>221</v>
      </c>
      <c r="G33" s="1" t="s">
        <v>38</v>
      </c>
    </row>
    <row r="34" spans="1:7" x14ac:dyDescent="0.2">
      <c r="A34" s="1" t="s">
        <v>3</v>
      </c>
      <c r="B34" s="2"/>
      <c r="C34" s="17">
        <v>21</v>
      </c>
      <c r="D34" s="1" t="s">
        <v>52</v>
      </c>
      <c r="E34" s="1"/>
      <c r="F34" s="1" t="s">
        <v>221</v>
      </c>
      <c r="G34" s="1"/>
    </row>
    <row r="35" spans="1:7" x14ac:dyDescent="0.2">
      <c r="A35" s="1" t="s">
        <v>3</v>
      </c>
      <c r="B35" s="2"/>
      <c r="C35" s="17">
        <v>22</v>
      </c>
      <c r="D35" s="1" t="s">
        <v>53</v>
      </c>
      <c r="E35" s="1"/>
      <c r="F35" s="1" t="s">
        <v>221</v>
      </c>
      <c r="G35" s="1"/>
    </row>
    <row r="36" spans="1:7" x14ac:dyDescent="0.2">
      <c r="A36" s="1" t="s">
        <v>3</v>
      </c>
      <c r="B36" s="2"/>
      <c r="C36" s="17">
        <v>23</v>
      </c>
      <c r="D36" s="1" t="s">
        <v>489</v>
      </c>
      <c r="E36" s="1"/>
      <c r="F36" s="1" t="s">
        <v>221</v>
      </c>
      <c r="G36" s="1" t="s">
        <v>45</v>
      </c>
    </row>
    <row r="37" spans="1:7" x14ac:dyDescent="0.2">
      <c r="A37" s="1" t="s">
        <v>3</v>
      </c>
      <c r="B37" s="2"/>
      <c r="C37" s="17">
        <v>24</v>
      </c>
      <c r="D37" s="37" t="s">
        <v>171</v>
      </c>
      <c r="E37" s="1"/>
      <c r="F37" s="1" t="s">
        <v>221</v>
      </c>
      <c r="G37" s="1" t="s">
        <v>168</v>
      </c>
    </row>
    <row r="38" spans="1:7" x14ac:dyDescent="0.2">
      <c r="A38" s="1" t="s">
        <v>3</v>
      </c>
      <c r="B38" s="2"/>
      <c r="C38" s="17">
        <v>25</v>
      </c>
      <c r="D38" s="1" t="s">
        <v>69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26</v>
      </c>
      <c r="D39" s="1" t="s">
        <v>54</v>
      </c>
      <c r="E39" s="1"/>
      <c r="F39" s="1" t="s">
        <v>221</v>
      </c>
      <c r="G39" s="1"/>
    </row>
    <row r="40" spans="1:7" x14ac:dyDescent="0.2">
      <c r="A40" s="1" t="s">
        <v>3</v>
      </c>
      <c r="B40" s="2"/>
      <c r="C40" s="17">
        <v>27</v>
      </c>
      <c r="D40" s="1" t="s">
        <v>88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28</v>
      </c>
      <c r="D41" s="1" t="s">
        <v>84</v>
      </c>
      <c r="E41" s="1"/>
      <c r="F41" s="1" t="s">
        <v>221</v>
      </c>
      <c r="G41" s="1"/>
    </row>
    <row r="42" spans="1:7" x14ac:dyDescent="0.2">
      <c r="A42" s="1" t="s">
        <v>3</v>
      </c>
      <c r="B42" s="2"/>
      <c r="C42" s="17">
        <v>29</v>
      </c>
      <c r="D42" s="1" t="s">
        <v>86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31</v>
      </c>
      <c r="D43" s="1" t="s">
        <v>55</v>
      </c>
      <c r="E43" s="1"/>
      <c r="F43" s="1" t="s">
        <v>221</v>
      </c>
      <c r="G43" s="1" t="s">
        <v>51</v>
      </c>
    </row>
    <row r="44" spans="1:7" x14ac:dyDescent="0.2">
      <c r="A44" s="1" t="s">
        <v>3</v>
      </c>
      <c r="B44" s="2"/>
      <c r="C44" s="17">
        <v>32</v>
      </c>
      <c r="D44" s="1" t="s">
        <v>57</v>
      </c>
      <c r="E44" s="1"/>
      <c r="F44" s="1" t="s">
        <v>221</v>
      </c>
      <c r="G44" s="1"/>
    </row>
    <row r="45" spans="1:7" x14ac:dyDescent="0.2">
      <c r="A45" s="1" t="s">
        <v>3</v>
      </c>
      <c r="B45" s="2"/>
      <c r="C45" s="17">
        <v>33</v>
      </c>
      <c r="D45" s="1" t="s">
        <v>76</v>
      </c>
      <c r="E45" s="1"/>
      <c r="F45" s="1" t="s">
        <v>221</v>
      </c>
      <c r="G45" s="1" t="s">
        <v>73</v>
      </c>
    </row>
    <row r="46" spans="1:7" x14ac:dyDescent="0.2">
      <c r="A46" s="1" t="s">
        <v>3</v>
      </c>
      <c r="B46" s="2"/>
      <c r="C46" s="17">
        <v>34</v>
      </c>
      <c r="D46" s="1" t="s">
        <v>71</v>
      </c>
      <c r="E46" s="1"/>
      <c r="F46" s="1" t="s">
        <v>222</v>
      </c>
      <c r="G46" s="1"/>
    </row>
    <row r="47" spans="1:7" x14ac:dyDescent="0.2">
      <c r="A47" s="1" t="s">
        <v>3</v>
      </c>
      <c r="B47" s="2"/>
      <c r="C47" s="17">
        <v>35</v>
      </c>
      <c r="D47" s="1" t="s">
        <v>467</v>
      </c>
      <c r="E47" s="1"/>
      <c r="F47" s="1" t="s">
        <v>221</v>
      </c>
      <c r="G47" s="1" t="s">
        <v>34</v>
      </c>
    </row>
    <row r="48" spans="1:7" x14ac:dyDescent="0.2">
      <c r="A48" s="1" t="s">
        <v>3</v>
      </c>
      <c r="B48" s="2"/>
      <c r="C48" s="17">
        <v>36</v>
      </c>
      <c r="D48" s="1" t="s">
        <v>497</v>
      </c>
      <c r="E48" s="1"/>
      <c r="F48" s="1" t="s">
        <v>221</v>
      </c>
      <c r="G48" s="1" t="s">
        <v>49</v>
      </c>
    </row>
    <row r="49" spans="1:7" x14ac:dyDescent="0.2">
      <c r="A49" s="1" t="s">
        <v>3</v>
      </c>
      <c r="B49" s="2"/>
      <c r="C49" s="17">
        <v>37</v>
      </c>
      <c r="D49" s="1" t="s">
        <v>180</v>
      </c>
      <c r="E49" s="1"/>
      <c r="F49" s="1" t="s">
        <v>222</v>
      </c>
      <c r="G49" s="1"/>
    </row>
    <row r="50" spans="1:7" x14ac:dyDescent="0.2">
      <c r="A50" s="1" t="s">
        <v>3</v>
      </c>
      <c r="B50" s="2"/>
      <c r="C50" s="17">
        <v>37</v>
      </c>
      <c r="D50" s="1" t="s">
        <v>78</v>
      </c>
      <c r="E50" s="1"/>
      <c r="F50" s="1" t="s">
        <v>221</v>
      </c>
      <c r="G50" s="1" t="s">
        <v>80</v>
      </c>
    </row>
    <row r="51" spans="1:7" x14ac:dyDescent="0.2">
      <c r="A51" s="1" t="s">
        <v>3</v>
      </c>
      <c r="B51" s="2"/>
      <c r="C51" s="17">
        <v>37</v>
      </c>
      <c r="D51" s="1" t="s">
        <v>82</v>
      </c>
      <c r="E51" s="1"/>
      <c r="F51" s="1" t="s">
        <v>222</v>
      </c>
      <c r="G51" s="1"/>
    </row>
    <row r="52" spans="1:7" x14ac:dyDescent="0.2">
      <c r="A52" s="1" t="s">
        <v>3</v>
      </c>
      <c r="B52" s="2"/>
      <c r="C52" s="17">
        <v>37</v>
      </c>
      <c r="D52" s="1" t="s">
        <v>90</v>
      </c>
      <c r="E52" s="1"/>
      <c r="F52" s="1" t="s">
        <v>221</v>
      </c>
      <c r="G52" s="1"/>
    </row>
    <row r="53" spans="1:7" x14ac:dyDescent="0.2">
      <c r="A53" s="1" t="s">
        <v>3</v>
      </c>
      <c r="B53" s="2"/>
      <c r="C53" s="17">
        <v>37</v>
      </c>
      <c r="D53" s="1" t="s">
        <v>92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42</v>
      </c>
      <c r="D54" s="1" t="s">
        <v>94</v>
      </c>
      <c r="E54" s="1"/>
      <c r="F54" s="1" t="s">
        <v>222</v>
      </c>
      <c r="G54" s="1"/>
    </row>
    <row r="55" spans="1:7" x14ac:dyDescent="0.2">
      <c r="A55" s="1" t="s">
        <v>3</v>
      </c>
      <c r="B55" s="2"/>
      <c r="C55" s="17">
        <v>43</v>
      </c>
      <c r="D55" s="1" t="s">
        <v>96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44</v>
      </c>
      <c r="D56" s="1" t="s">
        <v>98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45</v>
      </c>
      <c r="D57" s="1" t="s">
        <v>691</v>
      </c>
      <c r="E57" s="1"/>
      <c r="F57" s="1" t="s">
        <v>221</v>
      </c>
      <c r="G57" s="1"/>
    </row>
    <row r="58" spans="1:7" x14ac:dyDescent="0.2">
      <c r="A58" s="1" t="s">
        <v>3</v>
      </c>
      <c r="B58" s="2"/>
      <c r="C58" s="17">
        <v>46</v>
      </c>
      <c r="D58" s="1" t="s">
        <v>270</v>
      </c>
      <c r="E58" s="1"/>
      <c r="F58" s="1" t="s">
        <v>221</v>
      </c>
      <c r="G58" s="1"/>
    </row>
    <row r="59" spans="1:7" x14ac:dyDescent="0.2">
      <c r="A59" s="1" t="s">
        <v>3</v>
      </c>
      <c r="B59" s="2"/>
      <c r="C59" s="17">
        <v>47</v>
      </c>
      <c r="D59" s="1" t="s">
        <v>102</v>
      </c>
      <c r="E59" s="1"/>
      <c r="F59" s="1" t="s">
        <v>221</v>
      </c>
      <c r="G59" s="1" t="s">
        <v>139</v>
      </c>
    </row>
    <row r="60" spans="1:7" x14ac:dyDescent="0.2">
      <c r="A60" s="8" t="s">
        <v>141</v>
      </c>
      <c r="B60" s="9"/>
      <c r="C60" s="18">
        <v>1</v>
      </c>
      <c r="D60" s="1" t="s">
        <v>360</v>
      </c>
      <c r="E60" s="8"/>
      <c r="F60" s="1" t="s">
        <v>221</v>
      </c>
      <c r="G60" s="8"/>
    </row>
    <row r="61" spans="1:7" x14ac:dyDescent="0.2">
      <c r="A61" s="8" t="s">
        <v>141</v>
      </c>
      <c r="B61" s="9"/>
      <c r="C61" s="18">
        <v>2</v>
      </c>
      <c r="D61" s="1" t="s">
        <v>363</v>
      </c>
      <c r="E61" s="8"/>
      <c r="F61" s="1" t="s">
        <v>221</v>
      </c>
      <c r="G61" s="8"/>
    </row>
    <row r="62" spans="1:7" x14ac:dyDescent="0.2">
      <c r="A62" s="8" t="s">
        <v>141</v>
      </c>
      <c r="B62" s="2"/>
      <c r="C62" s="18">
        <v>3</v>
      </c>
      <c r="D62" s="1" t="s">
        <v>214</v>
      </c>
      <c r="E62" s="1"/>
      <c r="F62" s="1" t="s">
        <v>221</v>
      </c>
      <c r="G62" s="1"/>
    </row>
    <row r="63" spans="1:7" x14ac:dyDescent="0.2">
      <c r="A63" s="8" t="s">
        <v>141</v>
      </c>
      <c r="B63" s="9"/>
      <c r="C63" s="18">
        <v>4</v>
      </c>
      <c r="D63" s="1" t="s">
        <v>156</v>
      </c>
      <c r="E63" s="8"/>
      <c r="F63" s="1" t="s">
        <v>221</v>
      </c>
      <c r="G63" s="1" t="s">
        <v>144</v>
      </c>
    </row>
    <row r="64" spans="1:7" x14ac:dyDescent="0.2">
      <c r="A64" s="8" t="s">
        <v>141</v>
      </c>
      <c r="B64" s="9"/>
      <c r="C64" s="18">
        <v>5</v>
      </c>
      <c r="D64" s="1" t="s">
        <v>147</v>
      </c>
      <c r="E64" s="8"/>
      <c r="F64" s="1" t="s">
        <v>221</v>
      </c>
      <c r="G64" s="8"/>
    </row>
    <row r="65" spans="1:7" x14ac:dyDescent="0.2">
      <c r="A65" s="8" t="s">
        <v>141</v>
      </c>
      <c r="B65" s="9"/>
      <c r="C65" s="18">
        <v>6</v>
      </c>
      <c r="D65" s="1" t="s">
        <v>609</v>
      </c>
      <c r="E65" s="8"/>
      <c r="F65" s="1" t="s">
        <v>221</v>
      </c>
      <c r="G65" s="8"/>
    </row>
    <row r="66" spans="1:7" x14ac:dyDescent="0.2">
      <c r="A66" s="8" t="s">
        <v>141</v>
      </c>
      <c r="B66" s="9"/>
      <c r="C66" s="18">
        <v>7</v>
      </c>
      <c r="D66" s="1" t="s">
        <v>268</v>
      </c>
      <c r="E66" s="8"/>
      <c r="F66" s="1" t="s">
        <v>221</v>
      </c>
      <c r="G66" s="1" t="s">
        <v>150</v>
      </c>
    </row>
    <row r="67" spans="1:7" x14ac:dyDescent="0.2">
      <c r="A67" s="8" t="s">
        <v>141</v>
      </c>
      <c r="B67" s="9"/>
      <c r="C67" s="18">
        <v>8</v>
      </c>
      <c r="D67" s="1" t="s">
        <v>521</v>
      </c>
      <c r="E67" s="8"/>
      <c r="F67" s="1" t="s">
        <v>221</v>
      </c>
      <c r="G67" s="8"/>
    </row>
    <row r="68" spans="1:7" x14ac:dyDescent="0.2">
      <c r="A68" s="8" t="s">
        <v>141</v>
      </c>
      <c r="B68" s="9"/>
      <c r="C68" s="18">
        <v>9</v>
      </c>
      <c r="D68" s="1" t="s">
        <v>328</v>
      </c>
      <c r="E68" s="8"/>
      <c r="F68" s="1" t="s">
        <v>221</v>
      </c>
      <c r="G68" s="1" t="s">
        <v>160</v>
      </c>
    </row>
    <row r="69" spans="1:7" x14ac:dyDescent="0.2">
      <c r="A69" s="8" t="s">
        <v>141</v>
      </c>
      <c r="B69" s="2"/>
      <c r="C69" s="18">
        <v>9</v>
      </c>
      <c r="D69" s="1" t="s">
        <v>227</v>
      </c>
      <c r="E69" s="1"/>
      <c r="F69" s="1" t="s">
        <v>221</v>
      </c>
      <c r="G69" s="1"/>
    </row>
    <row r="70" spans="1:7" x14ac:dyDescent="0.2">
      <c r="A70" s="8" t="s">
        <v>141</v>
      </c>
      <c r="B70" s="9"/>
      <c r="C70" s="18">
        <v>9</v>
      </c>
      <c r="D70" s="1" t="s">
        <v>331</v>
      </c>
      <c r="E70" s="8"/>
      <c r="F70" s="1" t="s">
        <v>221</v>
      </c>
      <c r="G70" s="1" t="s">
        <v>335</v>
      </c>
    </row>
    <row r="71" spans="1:7" x14ac:dyDescent="0.2">
      <c r="A71" s="8" t="s">
        <v>141</v>
      </c>
      <c r="B71" s="2"/>
      <c r="C71" s="17">
        <v>9</v>
      </c>
      <c r="D71" s="1" t="s">
        <v>332</v>
      </c>
      <c r="E71" s="1"/>
      <c r="F71" s="1" t="s">
        <v>221</v>
      </c>
      <c r="G71" s="1" t="s">
        <v>335</v>
      </c>
    </row>
    <row r="72" spans="1:7" x14ac:dyDescent="0.2">
      <c r="A72" s="8" t="s">
        <v>141</v>
      </c>
      <c r="B72" s="2"/>
      <c r="C72" s="17">
        <v>9</v>
      </c>
      <c r="D72" s="1" t="s">
        <v>333</v>
      </c>
      <c r="E72" s="1"/>
      <c r="F72" s="1" t="s">
        <v>221</v>
      </c>
      <c r="G72" s="1" t="s">
        <v>336</v>
      </c>
    </row>
    <row r="73" spans="1:7" x14ac:dyDescent="0.2">
      <c r="A73" s="8" t="s">
        <v>141</v>
      </c>
      <c r="B73" s="2"/>
      <c r="C73" s="17">
        <v>9</v>
      </c>
      <c r="D73" s="1" t="s">
        <v>334</v>
      </c>
      <c r="E73" s="1"/>
      <c r="F73" s="1" t="s">
        <v>221</v>
      </c>
      <c r="G73" s="1" t="s">
        <v>335</v>
      </c>
    </row>
    <row r="74" spans="1:7" x14ac:dyDescent="0.2">
      <c r="A74" s="8" t="s">
        <v>141</v>
      </c>
      <c r="B74" s="9"/>
      <c r="C74" s="18">
        <v>15</v>
      </c>
      <c r="D74" s="8" t="s">
        <v>93</v>
      </c>
      <c r="E74" s="8"/>
      <c r="F74" s="1" t="s">
        <v>221</v>
      </c>
      <c r="G74" s="8"/>
    </row>
    <row r="75" spans="1:7" x14ac:dyDescent="0.2">
      <c r="A75" s="8" t="s">
        <v>141</v>
      </c>
      <c r="B75" s="9"/>
      <c r="C75" s="18">
        <v>16</v>
      </c>
      <c r="D75" s="8" t="s">
        <v>95</v>
      </c>
      <c r="E75" s="8"/>
      <c r="F75" s="1" t="s">
        <v>221</v>
      </c>
      <c r="G75" s="8"/>
    </row>
    <row r="76" spans="1:7" x14ac:dyDescent="0.2">
      <c r="A76" s="8" t="s">
        <v>141</v>
      </c>
      <c r="B76" s="9"/>
      <c r="C76" s="18">
        <v>17</v>
      </c>
      <c r="D76" s="8" t="s">
        <v>97</v>
      </c>
      <c r="E76" s="8"/>
      <c r="F76" s="1" t="s">
        <v>221</v>
      </c>
      <c r="G76" s="8"/>
    </row>
    <row r="77" spans="1:7" x14ac:dyDescent="0.2">
      <c r="A77" s="8" t="s">
        <v>141</v>
      </c>
      <c r="B77" s="2"/>
      <c r="C77" s="18">
        <v>18</v>
      </c>
      <c r="D77" s="1" t="s">
        <v>559</v>
      </c>
      <c r="E77" s="1"/>
      <c r="F77" s="1" t="s">
        <v>221</v>
      </c>
      <c r="G77" s="1"/>
    </row>
    <row r="78" spans="1:7" x14ac:dyDescent="0.2">
      <c r="A78" s="8" t="s">
        <v>141</v>
      </c>
      <c r="B78" s="9"/>
      <c r="C78" s="18">
        <v>19</v>
      </c>
      <c r="D78" s="1" t="s">
        <v>274</v>
      </c>
      <c r="E78" s="8"/>
      <c r="F78" s="1" t="s">
        <v>221</v>
      </c>
      <c r="G78" s="8"/>
    </row>
    <row r="79" spans="1:7" x14ac:dyDescent="0.2">
      <c r="A79" s="1" t="s">
        <v>174</v>
      </c>
      <c r="B79" s="2"/>
      <c r="C79" s="17">
        <v>1</v>
      </c>
      <c r="D79" s="1" t="s">
        <v>175</v>
      </c>
      <c r="E79" s="1"/>
      <c r="F79" s="1" t="s">
        <v>221</v>
      </c>
      <c r="G79" s="1"/>
    </row>
    <row r="80" spans="1:7" x14ac:dyDescent="0.2">
      <c r="A80" s="1" t="s">
        <v>174</v>
      </c>
      <c r="B80" s="2"/>
      <c r="C80" s="17">
        <v>2</v>
      </c>
      <c r="D80" s="1" t="s">
        <v>176</v>
      </c>
      <c r="E80" s="1"/>
      <c r="F80" s="1" t="s">
        <v>221</v>
      </c>
      <c r="G80" s="1"/>
    </row>
    <row r="81" spans="1:7" x14ac:dyDescent="0.2">
      <c r="A81" s="1" t="s">
        <v>174</v>
      </c>
      <c r="B81" s="2"/>
      <c r="C81" s="17">
        <v>3</v>
      </c>
      <c r="D81" s="1" t="s">
        <v>177</v>
      </c>
      <c r="E81" s="1"/>
      <c r="F81" s="1" t="s">
        <v>221</v>
      </c>
      <c r="G81" s="1" t="s">
        <v>178</v>
      </c>
    </row>
    <row r="82" spans="1:7" x14ac:dyDescent="0.2">
      <c r="A82" s="1" t="s">
        <v>167</v>
      </c>
      <c r="B82" s="2"/>
      <c r="C82" s="17">
        <v>4</v>
      </c>
      <c r="D82" s="1" t="s">
        <v>234</v>
      </c>
      <c r="E82" s="1"/>
      <c r="F82" s="1" t="s">
        <v>221</v>
      </c>
      <c r="G82" s="1"/>
    </row>
    <row r="83" spans="1:7" x14ac:dyDescent="0.2">
      <c r="A83" s="1" t="s">
        <v>174</v>
      </c>
      <c r="B83" s="2"/>
      <c r="C83" s="17">
        <v>5</v>
      </c>
      <c r="D83" s="1" t="s">
        <v>179</v>
      </c>
      <c r="E83" s="1"/>
      <c r="F83" s="1" t="s">
        <v>221</v>
      </c>
      <c r="G83" s="1"/>
    </row>
    <row r="84" spans="1:7" x14ac:dyDescent="0.2">
      <c r="A84" s="1" t="s">
        <v>167</v>
      </c>
      <c r="B84" s="2"/>
      <c r="C84" s="17">
        <v>6</v>
      </c>
      <c r="D84" s="1" t="s">
        <v>289</v>
      </c>
      <c r="E84" s="1"/>
      <c r="F84" s="1" t="s">
        <v>280</v>
      </c>
      <c r="G84" s="1" t="s">
        <v>282</v>
      </c>
    </row>
    <row r="85" spans="1:7" x14ac:dyDescent="0.2">
      <c r="A85" s="1" t="s">
        <v>167</v>
      </c>
      <c r="B85" s="2"/>
      <c r="C85" s="17">
        <v>7</v>
      </c>
      <c r="D85" s="1" t="s">
        <v>428</v>
      </c>
      <c r="E85" s="1"/>
      <c r="F85" s="1" t="s">
        <v>280</v>
      </c>
      <c r="G85" s="1"/>
    </row>
    <row r="86" spans="1:7" x14ac:dyDescent="0.2">
      <c r="A86" s="1" t="s">
        <v>167</v>
      </c>
      <c r="B86" s="2"/>
      <c r="C86" s="17">
        <v>8</v>
      </c>
      <c r="D86" s="1" t="s">
        <v>288</v>
      </c>
      <c r="E86" s="1"/>
      <c r="F86" s="1" t="s">
        <v>280</v>
      </c>
      <c r="G86" s="1"/>
    </row>
    <row r="87" spans="1:7" x14ac:dyDescent="0.2">
      <c r="A87" s="1" t="s">
        <v>167</v>
      </c>
      <c r="B87" s="2"/>
      <c r="C87" s="17">
        <v>9</v>
      </c>
      <c r="D87" s="1" t="s">
        <v>291</v>
      </c>
      <c r="E87" s="1"/>
      <c r="F87" s="1" t="s">
        <v>280</v>
      </c>
      <c r="G87" s="1" t="s">
        <v>292</v>
      </c>
    </row>
    <row r="88" spans="1:7" x14ac:dyDescent="0.2">
      <c r="A88" s="1" t="s">
        <v>167</v>
      </c>
      <c r="B88" s="2"/>
      <c r="C88" s="17">
        <v>10</v>
      </c>
      <c r="D88" s="1" t="s">
        <v>284</v>
      </c>
      <c r="E88" s="1"/>
      <c r="F88" s="1" t="s">
        <v>280</v>
      </c>
      <c r="G88" s="1" t="s">
        <v>34</v>
      </c>
    </row>
    <row r="89" spans="1:7" x14ac:dyDescent="0.2">
      <c r="A89" s="1" t="s">
        <v>167</v>
      </c>
      <c r="B89" s="2"/>
      <c r="C89" s="17">
        <v>11</v>
      </c>
      <c r="D89" s="1" t="s">
        <v>286</v>
      </c>
      <c r="E89" s="1"/>
      <c r="F89" s="1" t="s">
        <v>280</v>
      </c>
      <c r="G89" s="1" t="s">
        <v>292</v>
      </c>
    </row>
    <row r="90" spans="1:7" x14ac:dyDescent="0.2">
      <c r="A90" s="1" t="s">
        <v>167</v>
      </c>
      <c r="B90" s="2"/>
      <c r="C90" s="17">
        <v>12</v>
      </c>
      <c r="D90" s="1" t="s">
        <v>343</v>
      </c>
      <c r="E90" s="1"/>
      <c r="F90" s="1" t="s">
        <v>280</v>
      </c>
      <c r="G90" s="1" t="s">
        <v>294</v>
      </c>
    </row>
    <row r="91" spans="1:7" x14ac:dyDescent="0.2">
      <c r="A91" s="1" t="s">
        <v>167</v>
      </c>
      <c r="B91" s="2"/>
      <c r="C91" s="17">
        <v>13</v>
      </c>
      <c r="D91" s="1" t="s">
        <v>299</v>
      </c>
      <c r="E91" s="1"/>
      <c r="F91" s="1" t="s">
        <v>280</v>
      </c>
      <c r="G91" s="1" t="s">
        <v>297</v>
      </c>
    </row>
    <row r="92" spans="1:7" x14ac:dyDescent="0.2">
      <c r="A92" s="1" t="s">
        <v>167</v>
      </c>
      <c r="B92" s="2"/>
      <c r="C92" s="17">
        <v>14</v>
      </c>
      <c r="D92" s="1" t="s">
        <v>301</v>
      </c>
      <c r="E92" s="1"/>
      <c r="F92" s="1" t="s">
        <v>280</v>
      </c>
      <c r="G92" s="1"/>
    </row>
    <row r="93" spans="1:7" x14ac:dyDescent="0.2">
      <c r="A93" s="1" t="s">
        <v>167</v>
      </c>
      <c r="B93" s="2"/>
      <c r="C93" s="17">
        <v>15</v>
      </c>
      <c r="D93" s="1" t="s">
        <v>303</v>
      </c>
      <c r="E93" s="1"/>
      <c r="F93" s="1" t="s">
        <v>280</v>
      </c>
      <c r="G93" s="1"/>
    </row>
    <row r="94" spans="1:7" x14ac:dyDescent="0.2">
      <c r="A94" s="1" t="s">
        <v>167</v>
      </c>
      <c r="B94" s="2"/>
      <c r="C94" s="17">
        <v>16</v>
      </c>
      <c r="D94" s="1" t="s">
        <v>317</v>
      </c>
      <c r="E94" s="1"/>
      <c r="F94" s="1" t="s">
        <v>280</v>
      </c>
      <c r="G94" s="1"/>
    </row>
    <row r="95" spans="1:7" x14ac:dyDescent="0.2">
      <c r="A95" s="1" t="s">
        <v>167</v>
      </c>
      <c r="B95" s="2"/>
      <c r="C95" s="17">
        <v>17</v>
      </c>
      <c r="D95" s="1" t="s">
        <v>319</v>
      </c>
      <c r="E95" s="1"/>
      <c r="F95" s="1" t="s">
        <v>280</v>
      </c>
      <c r="G95" s="1"/>
    </row>
    <row r="96" spans="1:7" x14ac:dyDescent="0.2">
      <c r="A96" s="1" t="s">
        <v>167</v>
      </c>
      <c r="B96" s="2"/>
      <c r="C96" s="17">
        <v>18</v>
      </c>
      <c r="D96" s="1" t="s">
        <v>321</v>
      </c>
      <c r="E96" s="1"/>
      <c r="F96" s="1" t="s">
        <v>280</v>
      </c>
      <c r="G96" s="1"/>
    </row>
    <row r="97" spans="1:7" x14ac:dyDescent="0.2">
      <c r="A97" s="1" t="s">
        <v>167</v>
      </c>
      <c r="B97" s="2"/>
      <c r="C97" s="17">
        <v>19</v>
      </c>
      <c r="D97" s="1" t="s">
        <v>305</v>
      </c>
      <c r="E97" s="1"/>
      <c r="F97" s="1" t="s">
        <v>280</v>
      </c>
      <c r="G97" s="1"/>
    </row>
    <row r="98" spans="1:7" x14ac:dyDescent="0.2">
      <c r="A98" s="1" t="s">
        <v>167</v>
      </c>
      <c r="B98" s="2"/>
      <c r="C98" s="17">
        <v>20</v>
      </c>
      <c r="D98" s="1" t="s">
        <v>307</v>
      </c>
      <c r="E98" s="1"/>
      <c r="F98" s="1" t="s">
        <v>280</v>
      </c>
      <c r="G98" s="1"/>
    </row>
    <row r="99" spans="1:7" x14ac:dyDescent="0.2">
      <c r="A99" s="1" t="s">
        <v>167</v>
      </c>
      <c r="B99" s="2"/>
      <c r="C99" s="17">
        <v>21</v>
      </c>
      <c r="D99" s="1" t="s">
        <v>309</v>
      </c>
      <c r="E99" s="1"/>
      <c r="F99" s="1" t="s">
        <v>280</v>
      </c>
      <c r="G99" s="1"/>
    </row>
    <row r="100" spans="1:7" x14ac:dyDescent="0.2">
      <c r="A100" s="1" t="s">
        <v>167</v>
      </c>
      <c r="B100" s="2"/>
      <c r="C100" s="17">
        <v>22</v>
      </c>
      <c r="D100" s="1" t="s">
        <v>311</v>
      </c>
      <c r="E100" s="1"/>
      <c r="F100" s="1" t="s">
        <v>280</v>
      </c>
      <c r="G100" s="1"/>
    </row>
    <row r="101" spans="1:7" x14ac:dyDescent="0.2">
      <c r="A101" s="1" t="s">
        <v>167</v>
      </c>
      <c r="B101" s="2"/>
      <c r="C101" s="17">
        <v>23</v>
      </c>
      <c r="D101" s="1" t="s">
        <v>313</v>
      </c>
      <c r="E101" s="1"/>
      <c r="F101" s="1" t="s">
        <v>280</v>
      </c>
      <c r="G101" s="1"/>
    </row>
    <row r="102" spans="1:7" x14ac:dyDescent="0.2">
      <c r="A102" s="1" t="s">
        <v>167</v>
      </c>
      <c r="B102" s="2"/>
      <c r="C102" s="17">
        <v>24</v>
      </c>
      <c r="D102" s="1" t="s">
        <v>315</v>
      </c>
      <c r="E102" s="1"/>
      <c r="F102" s="1" t="s">
        <v>280</v>
      </c>
      <c r="G102" s="1"/>
    </row>
    <row r="103" spans="1:7" x14ac:dyDescent="0.2">
      <c r="A103" s="1" t="s">
        <v>167</v>
      </c>
      <c r="B103" s="2"/>
      <c r="C103" s="17">
        <v>25</v>
      </c>
      <c r="D103" s="1" t="s">
        <v>692</v>
      </c>
      <c r="E103" s="1"/>
      <c r="F103" s="1" t="s">
        <v>491</v>
      </c>
      <c r="G103" s="1"/>
    </row>
    <row r="104" spans="1:7" x14ac:dyDescent="0.2">
      <c r="A104" s="1" t="s">
        <v>167</v>
      </c>
      <c r="B104" s="2"/>
      <c r="C104" s="17">
        <v>27</v>
      </c>
      <c r="D104" s="1" t="s">
        <v>518</v>
      </c>
      <c r="E104" s="1"/>
      <c r="F104" s="1" t="s">
        <v>280</v>
      </c>
      <c r="G104" s="1"/>
    </row>
    <row r="105" spans="1:7" x14ac:dyDescent="0.2">
      <c r="A105" s="1" t="s">
        <v>659</v>
      </c>
      <c r="B105" s="2"/>
      <c r="C105" s="17">
        <v>1</v>
      </c>
      <c r="D105" s="1" t="s">
        <v>661</v>
      </c>
      <c r="E105" s="1"/>
      <c r="F105" s="1" t="s">
        <v>221</v>
      </c>
      <c r="G105" s="1"/>
    </row>
    <row r="106" spans="1:7" x14ac:dyDescent="0.2">
      <c r="A106" s="1" t="s">
        <v>659</v>
      </c>
      <c r="B106" s="2"/>
      <c r="C106" s="17">
        <v>2</v>
      </c>
      <c r="D106" s="1" t="s">
        <v>664</v>
      </c>
      <c r="E106" s="1"/>
      <c r="F106" s="1" t="s">
        <v>221</v>
      </c>
      <c r="G106" s="1"/>
    </row>
    <row r="107" spans="1:7" x14ac:dyDescent="0.2">
      <c r="A107" s="1" t="s">
        <v>659</v>
      </c>
      <c r="B107" s="2"/>
      <c r="C107" s="17">
        <v>3</v>
      </c>
      <c r="D107" s="1" t="s">
        <v>666</v>
      </c>
      <c r="E107" s="1"/>
      <c r="F107" s="1" t="s">
        <v>221</v>
      </c>
      <c r="G107" s="1"/>
    </row>
    <row r="108" spans="1:7" x14ac:dyDescent="0.2">
      <c r="A108" s="1" t="s">
        <v>659</v>
      </c>
      <c r="B108" s="2"/>
      <c r="C108" s="17">
        <v>4</v>
      </c>
      <c r="D108" s="1" t="s">
        <v>668</v>
      </c>
      <c r="E108" s="1"/>
      <c r="F108" s="1" t="s">
        <v>221</v>
      </c>
      <c r="G108" s="1"/>
    </row>
    <row r="109" spans="1:7" x14ac:dyDescent="0.2">
      <c r="A109" s="1" t="s">
        <v>659</v>
      </c>
      <c r="B109" s="2"/>
      <c r="C109" s="17">
        <v>5</v>
      </c>
      <c r="D109" s="1" t="s">
        <v>671</v>
      </c>
      <c r="E109" s="1"/>
      <c r="F109" s="1" t="s">
        <v>221</v>
      </c>
      <c r="G109" s="1"/>
    </row>
    <row r="110" spans="1:7" x14ac:dyDescent="0.2">
      <c r="A110" s="1" t="s">
        <v>659</v>
      </c>
      <c r="B110" s="2"/>
      <c r="C110" s="17">
        <v>6</v>
      </c>
      <c r="D110" s="1" t="s">
        <v>673</v>
      </c>
      <c r="E110" s="1"/>
      <c r="F110" s="1" t="s">
        <v>220</v>
      </c>
      <c r="G110" s="1" t="s">
        <v>684</v>
      </c>
    </row>
    <row r="111" spans="1:7" x14ac:dyDescent="0.2">
      <c r="A111" s="1" t="s">
        <v>659</v>
      </c>
      <c r="B111" s="2"/>
      <c r="C111" s="17">
        <v>7</v>
      </c>
      <c r="D111" s="1" t="s">
        <v>675</v>
      </c>
      <c r="E111" s="1"/>
      <c r="F111" s="1" t="s">
        <v>220</v>
      </c>
      <c r="G111" s="1"/>
    </row>
    <row r="112" spans="1:7" x14ac:dyDescent="0.2">
      <c r="A112" s="1" t="s">
        <v>659</v>
      </c>
      <c r="B112" s="2"/>
      <c r="C112" s="17">
        <v>8</v>
      </c>
      <c r="D112" s="1" t="s">
        <v>677</v>
      </c>
      <c r="E112" s="1"/>
      <c r="F112" s="1" t="s">
        <v>220</v>
      </c>
      <c r="G112" s="1"/>
    </row>
    <row r="113" spans="1:7" x14ac:dyDescent="0.2">
      <c r="A113" s="1" t="s">
        <v>659</v>
      </c>
      <c r="B113" s="2"/>
      <c r="C113" s="17">
        <v>9</v>
      </c>
      <c r="D113" s="1" t="s">
        <v>679</v>
      </c>
      <c r="E113" s="1"/>
      <c r="F113" s="1" t="s">
        <v>220</v>
      </c>
      <c r="G113" s="1"/>
    </row>
    <row r="114" spans="1:7" x14ac:dyDescent="0.2">
      <c r="A114" s="1" t="s">
        <v>659</v>
      </c>
      <c r="B114" s="2"/>
      <c r="C114" s="17">
        <v>10</v>
      </c>
      <c r="D114" s="1" t="s">
        <v>681</v>
      </c>
      <c r="E114" s="1"/>
      <c r="F114" s="1" t="s">
        <v>220</v>
      </c>
      <c r="G114" s="1"/>
    </row>
    <row r="115" spans="1:7" x14ac:dyDescent="0.2">
      <c r="A115" s="1"/>
      <c r="B115" s="2"/>
      <c r="C115" s="17"/>
      <c r="D115" s="1"/>
      <c r="E115" s="1"/>
      <c r="F115" s="1"/>
      <c r="G115" s="1"/>
    </row>
    <row r="116" spans="1:7" x14ac:dyDescent="0.2">
      <c r="A116" s="1"/>
      <c r="B116" s="2"/>
      <c r="C116" s="17"/>
      <c r="D116" s="1"/>
      <c r="E116" s="1"/>
      <c r="F116" s="1"/>
      <c r="G116" s="1"/>
    </row>
    <row r="117" spans="1:7" x14ac:dyDescent="0.2">
      <c r="A117" s="1"/>
      <c r="B117" s="2"/>
      <c r="C117" s="17"/>
      <c r="D117" s="1"/>
      <c r="E117" s="1"/>
      <c r="F117" s="1"/>
      <c r="G117" s="1"/>
    </row>
    <row r="118" spans="1:7" x14ac:dyDescent="0.2">
      <c r="A118" s="1"/>
      <c r="B118" s="2"/>
      <c r="C118" s="17"/>
      <c r="D118" s="1"/>
      <c r="E118" s="1"/>
      <c r="F118" s="1"/>
      <c r="G118" s="1"/>
    </row>
    <row r="119" spans="1:7" x14ac:dyDescent="0.2">
      <c r="A119" s="1"/>
      <c r="B119" s="2"/>
      <c r="C119" s="17"/>
      <c r="D119" s="1"/>
      <c r="E119" s="1"/>
      <c r="F119" s="1"/>
      <c r="G119" s="1"/>
    </row>
    <row r="120" spans="1:7" x14ac:dyDescent="0.2">
      <c r="A120" s="1"/>
      <c r="B120" s="2"/>
      <c r="C120" s="17"/>
      <c r="D120" s="1"/>
      <c r="E120" s="1"/>
      <c r="F120" s="1"/>
      <c r="G120" s="1"/>
    </row>
    <row r="121" spans="1:7" x14ac:dyDescent="0.2">
      <c r="A121" s="1"/>
      <c r="B121" s="2"/>
      <c r="C121" s="17"/>
      <c r="D121" s="1"/>
      <c r="E121" s="1"/>
      <c r="F121" s="1"/>
      <c r="G121" s="1"/>
    </row>
    <row r="122" spans="1:7" x14ac:dyDescent="0.2">
      <c r="A122" s="1"/>
      <c r="B122" s="2"/>
      <c r="C122" s="17"/>
      <c r="D122" s="1"/>
      <c r="E122" s="1"/>
      <c r="F122" s="1"/>
      <c r="G122" s="1"/>
    </row>
    <row r="123" spans="1:7" x14ac:dyDescent="0.2">
      <c r="A123" s="1"/>
      <c r="B123" s="2"/>
      <c r="C123" s="17"/>
      <c r="D123" s="1"/>
      <c r="E123" s="1"/>
      <c r="F123" s="1"/>
      <c r="G123" s="1"/>
    </row>
    <row r="124" spans="1:7" x14ac:dyDescent="0.2">
      <c r="A124" s="1"/>
      <c r="B124" s="2"/>
      <c r="C124" s="17"/>
      <c r="D124" s="1"/>
      <c r="E124" s="1"/>
      <c r="F124" s="1"/>
      <c r="G124" s="1"/>
    </row>
    <row r="125" spans="1:7" x14ac:dyDescent="0.2">
      <c r="A125" s="1"/>
      <c r="B125" s="2"/>
      <c r="C125" s="17"/>
      <c r="D125" s="1"/>
      <c r="E125" s="1"/>
      <c r="F125" s="1"/>
      <c r="G125" s="1"/>
    </row>
    <row r="126" spans="1:7" x14ac:dyDescent="0.2">
      <c r="A126" s="1"/>
      <c r="B126" s="2"/>
      <c r="C126" s="17"/>
      <c r="D126" s="1"/>
      <c r="E126" s="1"/>
      <c r="F126" s="1"/>
      <c r="G126" s="1"/>
    </row>
    <row r="127" spans="1:7" x14ac:dyDescent="0.2">
      <c r="A127" s="1"/>
      <c r="B127" s="2"/>
      <c r="C127" s="17"/>
      <c r="D127" s="1"/>
      <c r="E127" s="1"/>
      <c r="F127" s="1"/>
      <c r="G127" s="1"/>
    </row>
    <row r="128" spans="1:7" x14ac:dyDescent="0.2">
      <c r="A128" s="1"/>
      <c r="B128" s="2"/>
      <c r="C128" s="17"/>
      <c r="D128" s="1"/>
      <c r="E128" s="1"/>
      <c r="F128" s="1"/>
      <c r="G128" s="1"/>
    </row>
  </sheetData>
  <phoneticPr fontId="1" type="noConversion"/>
  <conditionalFormatting sqref="D2:D128">
    <cfRule type="beginsWith" dxfId="46" priority="5" operator="beginsWith" text="收到">
      <formula>LEFT(D2,LEN("收到"))="收到"</formula>
    </cfRule>
  </conditionalFormatting>
  <conditionalFormatting sqref="D80">
    <cfRule type="beginsWith" dxfId="45" priority="3" operator="beginsWith" text="收到">
      <formula>LEFT(D80,LEN("收到"))="收到"</formula>
    </cfRule>
  </conditionalFormatting>
  <conditionalFormatting sqref="D81">
    <cfRule type="beginsWith" dxfId="44" priority="2" operator="beginsWith" text="收到">
      <formula>LEFT(D81,LEN("收到"))="收到"</formula>
    </cfRule>
  </conditionalFormatting>
  <conditionalFormatting sqref="D82">
    <cfRule type="beginsWith" dxfId="43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15"/>
  <sheetViews>
    <sheetView showGridLines="0" workbookViewId="0">
      <pane ySplit="1" topLeftCell="A2" activePane="bottomLeft" state="frozen"/>
      <selection pane="bottomLeft" activeCell="E918" sqref="E918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322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481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277</v>
      </c>
      <c r="H2" s="34"/>
      <c r="I2" s="33">
        <f ca="1">ROUNDDOWN(表3[[#This Row],[日期]]-TODAY(),1)</f>
        <v>-25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-29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323</v>
      </c>
      <c r="F4" s="15">
        <v>43599</v>
      </c>
      <c r="G4" s="13" t="s">
        <v>277</v>
      </c>
      <c r="H4" s="34"/>
      <c r="I4" s="33">
        <f ca="1">ROUNDDOWN(表3[[#This Row],[日期]]-TODAY(),1)</f>
        <v>-24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258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277</v>
      </c>
      <c r="H5" s="34" t="s">
        <v>242</v>
      </c>
      <c r="I5" s="33">
        <f ca="1">ROUNDDOWN(表3[[#This Row],[日期]]-TODAY(),1)</f>
        <v>-9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258</v>
      </c>
      <c r="C6" s="7">
        <v>43586</v>
      </c>
      <c r="D6" s="16">
        <v>2</v>
      </c>
      <c r="E6" s="22" t="s">
        <v>260</v>
      </c>
      <c r="F6" s="15">
        <v>43614</v>
      </c>
      <c r="G6" s="13" t="s">
        <v>277</v>
      </c>
      <c r="H6" s="34" t="s">
        <v>242</v>
      </c>
      <c r="I6" s="33">
        <f ca="1">ROUNDDOWN(表3[[#This Row],[日期]]-TODAY(),1)</f>
        <v>-9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273</v>
      </c>
      <c r="F7" s="15">
        <v>43595</v>
      </c>
      <c r="G7" s="13" t="s">
        <v>1</v>
      </c>
      <c r="H7" s="34"/>
      <c r="I7" s="33">
        <f ca="1">ROUNDDOWN(表3[[#This Row],[日期]]-TODAY(),1)</f>
        <v>-28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273</v>
      </c>
      <c r="F8" s="15">
        <v>43595</v>
      </c>
      <c r="G8" s="13" t="s">
        <v>1</v>
      </c>
      <c r="H8" s="34"/>
      <c r="I8" s="33">
        <f ca="1">ROUNDDOWN(表3[[#This Row],[日期]]-TODAY(),1)</f>
        <v>-28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256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-37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256</v>
      </c>
      <c r="C10" s="7">
        <v>43591</v>
      </c>
      <c r="D10" s="16">
        <v>2</v>
      </c>
      <c r="E10" s="22" t="s">
        <v>250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-37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256</v>
      </c>
      <c r="C11" s="7">
        <v>43591</v>
      </c>
      <c r="D11" s="16">
        <v>3</v>
      </c>
      <c r="E11" s="22" t="s">
        <v>250</v>
      </c>
      <c r="F11" s="15">
        <v>43593</v>
      </c>
      <c r="G11" s="13" t="s">
        <v>262</v>
      </c>
      <c r="H11" s="34" t="s">
        <v>253</v>
      </c>
      <c r="I11" s="33">
        <f ca="1">ROUNDDOWN(表3[[#This Row],[日期]]-TODAY(),1)</f>
        <v>-30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256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-28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256</v>
      </c>
      <c r="C13" s="7">
        <v>43591</v>
      </c>
      <c r="D13" s="16">
        <v>5</v>
      </c>
      <c r="E13" s="22" t="s">
        <v>250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-28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256</v>
      </c>
      <c r="C14" s="7">
        <v>43591</v>
      </c>
      <c r="D14" s="16">
        <v>6</v>
      </c>
      <c r="E14" s="22" t="s">
        <v>255</v>
      </c>
      <c r="F14" s="15">
        <v>43595</v>
      </c>
      <c r="G14" s="13" t="s">
        <v>275</v>
      </c>
      <c r="H14" s="34" t="s">
        <v>244</v>
      </c>
      <c r="I14" s="33">
        <f ca="1">ROUNDDOWN(表3[[#This Row],[日期]]-TODAY(),1)</f>
        <v>-28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273</v>
      </c>
      <c r="F15" s="15">
        <v>43595</v>
      </c>
      <c r="G15" s="13" t="s">
        <v>1</v>
      </c>
      <c r="H15" s="34"/>
      <c r="I15" s="33">
        <f ca="1">ROUNDDOWN(表3[[#This Row],[日期]]-TODAY(),1)</f>
        <v>-28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273</v>
      </c>
      <c r="F16" s="15">
        <v>43595</v>
      </c>
      <c r="G16" s="13" t="s">
        <v>1</v>
      </c>
      <c r="H16" s="34"/>
      <c r="I16" s="33">
        <f ca="1">ROUNDDOWN(表3[[#This Row],[日期]]-TODAY(),1)</f>
        <v>-28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-42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-40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-40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-40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-40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-40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-40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-40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-39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-39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-32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-32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-32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-32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-32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-32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-32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-32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-31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-31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-31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-31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-31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-31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-31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-31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-31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-31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-31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-31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-31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-31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-31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-31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-31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-31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-31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-30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-30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-30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-29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-28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271</v>
      </c>
      <c r="F59" s="15">
        <v>43595</v>
      </c>
      <c r="G59" s="13" t="s">
        <v>269</v>
      </c>
      <c r="H59" s="34"/>
      <c r="I59" s="33">
        <f ca="1">ROUNDDOWN(表3[[#This Row],[日期]]-TODAY(),1)</f>
        <v>-28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270</v>
      </c>
      <c r="F60" s="15">
        <v>43596</v>
      </c>
      <c r="G60" s="13" t="s">
        <v>1</v>
      </c>
      <c r="H60" s="34"/>
      <c r="I60" s="33">
        <f ca="1">ROUNDDOWN(表3[[#This Row],[日期]]-TODAY(),1)</f>
        <v>-27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277</v>
      </c>
      <c r="H61" s="34" t="s">
        <v>140</v>
      </c>
      <c r="I61" s="33">
        <f ca="1">ROUNDDOWN(表3[[#This Row],[日期]]-TODAY(),1)</f>
        <v>-25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256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277</v>
      </c>
      <c r="H62" s="34" t="s">
        <v>248</v>
      </c>
      <c r="I62" s="33">
        <f ca="1">ROUNDDOWN(表3[[#This Row],[日期]]-TODAY(),1)</f>
        <v>-25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256</v>
      </c>
      <c r="C63" s="7">
        <v>43598</v>
      </c>
      <c r="D63" s="16">
        <v>2</v>
      </c>
      <c r="E63" s="22" t="s">
        <v>250</v>
      </c>
      <c r="F63" s="15">
        <v>43598</v>
      </c>
      <c r="G63" s="13" t="s">
        <v>277</v>
      </c>
      <c r="H63" s="34" t="s">
        <v>248</v>
      </c>
      <c r="I63" s="33">
        <f ca="1">ROUNDDOWN(表3[[#This Row],[日期]]-TODAY(),1)</f>
        <v>-25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256</v>
      </c>
      <c r="C64" s="7">
        <v>43598</v>
      </c>
      <c r="D64" s="16">
        <v>3</v>
      </c>
      <c r="E64" s="22" t="s">
        <v>250</v>
      </c>
      <c r="F64" s="15">
        <v>43600</v>
      </c>
      <c r="G64" s="13" t="s">
        <v>277</v>
      </c>
      <c r="H64" s="34" t="s">
        <v>253</v>
      </c>
      <c r="I64" s="33">
        <f ca="1">ROUNDDOWN(表3[[#This Row],[日期]]-TODAY(),1)</f>
        <v>-23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256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277</v>
      </c>
      <c r="H65" s="34" t="s">
        <v>244</v>
      </c>
      <c r="I65" s="33">
        <f ca="1">ROUNDDOWN(表3[[#This Row],[日期]]-TODAY(),1)</f>
        <v>-21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256</v>
      </c>
      <c r="C66" s="7">
        <v>43598</v>
      </c>
      <c r="D66" s="16">
        <v>5</v>
      </c>
      <c r="E66" s="22" t="s">
        <v>250</v>
      </c>
      <c r="F66" s="15">
        <v>43602</v>
      </c>
      <c r="G66" s="13" t="s">
        <v>277</v>
      </c>
      <c r="H66" s="34" t="s">
        <v>244</v>
      </c>
      <c r="I66" s="33">
        <f ca="1">ROUNDDOWN(表3[[#This Row],[日期]]-TODAY(),1)</f>
        <v>-21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256</v>
      </c>
      <c r="C67" s="7">
        <v>43598</v>
      </c>
      <c r="D67" s="16">
        <v>6</v>
      </c>
      <c r="E67" s="22" t="s">
        <v>255</v>
      </c>
      <c r="F67" s="15">
        <v>43602</v>
      </c>
      <c r="G67" s="13" t="s">
        <v>277</v>
      </c>
      <c r="H67" s="34" t="s">
        <v>244</v>
      </c>
      <c r="I67" s="33">
        <f ca="1">ROUNDDOWN(表3[[#This Row],[日期]]-TODAY(),1)</f>
        <v>-21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-38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-32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-28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-29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-28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277</v>
      </c>
      <c r="H73" s="34" t="s">
        <v>149</v>
      </c>
      <c r="I73" s="33">
        <f ca="1">ROUNDDOWN(表3[[#This Row],[日期]]-TODAY(),1)</f>
        <v>-27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277</v>
      </c>
      <c r="H74" s="34"/>
      <c r="I74" s="33">
        <f ca="1">ROUNDDOWN(表3[[#This Row],[日期]]-TODAY(),1)</f>
        <v>-25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277</v>
      </c>
      <c r="H75" s="34" t="s">
        <v>159</v>
      </c>
      <c r="I75" s="33">
        <f ca="1">ROUNDDOWN(表3[[#This Row],[日期]]-TODAY(),1)</f>
        <v>-25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277</v>
      </c>
      <c r="H76" s="34" t="s">
        <v>168</v>
      </c>
      <c r="I76" s="33">
        <f ca="1">ROUNDDOWN(表3[[#This Row],[日期]]-TODAY(),1)</f>
        <v>-25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277</v>
      </c>
      <c r="H77" s="34"/>
      <c r="I77" s="33">
        <f ca="1">ROUNDDOWN(表3[[#This Row],[日期]]-TODAY(),1)</f>
        <v>-25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329</v>
      </c>
      <c r="C78" s="7">
        <v>43600</v>
      </c>
      <c r="D78" s="16">
        <v>11</v>
      </c>
      <c r="E78" s="22" t="s">
        <v>330</v>
      </c>
      <c r="F78" s="15">
        <v>43599</v>
      </c>
      <c r="G78" s="13" t="s">
        <v>277</v>
      </c>
      <c r="H78" s="34"/>
      <c r="I78" s="33">
        <f ca="1">ROUNDDOWN(表3[[#This Row],[日期]]-TODAY(),1)</f>
        <v>-24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277</v>
      </c>
      <c r="H79" s="34" t="s">
        <v>152</v>
      </c>
      <c r="I79" s="33">
        <f ca="1">ROUNDDOWN(表3[[#This Row],[日期]]-TODAY(),1)</f>
        <v>-24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277</v>
      </c>
      <c r="H80" s="34"/>
      <c r="I80" s="33">
        <f ca="1">ROUNDDOWN(表3[[#This Row],[日期]]-TODAY(),1)</f>
        <v>-24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277</v>
      </c>
      <c r="H81" s="34"/>
      <c r="I81" s="33">
        <f ca="1">ROUNDDOWN(表3[[#This Row],[日期]]-TODAY(),1)</f>
        <v>-24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277</v>
      </c>
      <c r="H82" s="34"/>
      <c r="I82" s="33">
        <f ca="1">ROUNDDOWN(表3[[#This Row],[日期]]-TODAY(),1)</f>
        <v>-23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273</v>
      </c>
      <c r="F83" s="15">
        <v>43600</v>
      </c>
      <c r="G83" s="13" t="s">
        <v>277</v>
      </c>
      <c r="H83" s="34"/>
      <c r="I83" s="33">
        <f ca="1">ROUNDDOWN(表3[[#This Row],[日期]]-TODAY(),1)</f>
        <v>-23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-42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-32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-32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-32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-32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-32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-32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-31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-31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-31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-29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-29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-29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-29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-38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-31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-29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-29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-29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-29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-29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-28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-28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-28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-28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276</v>
      </c>
      <c r="H109" s="34" t="s">
        <v>152</v>
      </c>
      <c r="I109" s="33">
        <f ca="1">ROUNDDOWN(表3[[#This Row],[日期]]-TODAY(),1)</f>
        <v>-28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-28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277</v>
      </c>
      <c r="H111" s="34"/>
      <c r="I111" s="33">
        <f ca="1">ROUNDDOWN(表3[[#This Row],[日期]]-TODAY(),1)</f>
        <v>-25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277</v>
      </c>
      <c r="H112" s="34"/>
      <c r="I112" s="33">
        <f ca="1">ROUNDDOWN(表3[[#This Row],[日期]]-TODAY(),1)</f>
        <v>-24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273</v>
      </c>
      <c r="F113" s="15">
        <v>43600</v>
      </c>
      <c r="G113" s="13" t="s">
        <v>277</v>
      </c>
      <c r="H113" s="34"/>
      <c r="I113" s="33">
        <f ca="1">ROUNDDOWN(表3[[#This Row],[日期]]-TODAY(),1)</f>
        <v>-23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326</v>
      </c>
      <c r="H114" s="34" t="s">
        <v>29</v>
      </c>
      <c r="I114" s="33">
        <f ca="1">ROUNDDOWN(表3[[#This Row],[日期]]-TODAY(),1)</f>
        <v>-42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326</v>
      </c>
      <c r="H115" s="34" t="s">
        <v>31</v>
      </c>
      <c r="I115" s="33">
        <f ca="1">ROUNDDOWN(表3[[#This Row],[日期]]-TODAY(),1)</f>
        <v>-32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326</v>
      </c>
      <c r="H116" s="34"/>
      <c r="I116" s="33">
        <f ca="1">ROUNDDOWN(表3[[#This Row],[日期]]-TODAY(),1)</f>
        <v>-32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326</v>
      </c>
      <c r="H117" s="34" t="s">
        <v>44</v>
      </c>
      <c r="I117" s="33">
        <f ca="1">ROUNDDOWN(表3[[#This Row],[日期]]-TODAY(),1)</f>
        <v>-32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326</v>
      </c>
      <c r="H118" s="34"/>
      <c r="I118" s="33">
        <f ca="1">ROUNDDOWN(表3[[#This Row],[日期]]-TODAY(),1)</f>
        <v>-32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326</v>
      </c>
      <c r="H119" s="34"/>
      <c r="I119" s="33">
        <f ca="1">ROUNDDOWN(表3[[#This Row],[日期]]-TODAY(),1)</f>
        <v>-32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327</v>
      </c>
      <c r="H120" s="34"/>
      <c r="I120" s="33">
        <f ca="1">ROUNDDOWN(表3[[#This Row],[日期]]-TODAY(),1)</f>
        <v>-31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326</v>
      </c>
      <c r="H121" s="34"/>
      <c r="I121" s="33">
        <f ca="1">ROUNDDOWN(表3[[#This Row],[日期]]-TODAY(),1)</f>
        <v>-31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326</v>
      </c>
      <c r="H122" s="34" t="s">
        <v>33</v>
      </c>
      <c r="I122" s="33">
        <f ca="1">ROUNDDOWN(表3[[#This Row],[日期]]-TODAY(),1)</f>
        <v>-31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326</v>
      </c>
      <c r="H123" s="34"/>
      <c r="I123" s="33">
        <f ca="1">ROUNDDOWN(表3[[#This Row],[日期]]-TODAY(),1)</f>
        <v>-31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326</v>
      </c>
      <c r="H124" s="34" t="s">
        <v>35</v>
      </c>
      <c r="I124" s="33">
        <f ca="1">ROUNDDOWN(表3[[#This Row],[日期]]-TODAY(),1)</f>
        <v>-25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326</v>
      </c>
      <c r="H125" s="34"/>
      <c r="I125" s="33">
        <f ca="1">ROUNDDOWN(表3[[#This Row],[日期]]-TODAY(),1)</f>
        <v>-25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326</v>
      </c>
      <c r="H126" s="34"/>
      <c r="I126" s="33">
        <f ca="1">ROUNDDOWN(表3[[#This Row],[日期]]-TODAY(),1)</f>
        <v>-25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326</v>
      </c>
      <c r="H127" s="34"/>
      <c r="I127" s="33">
        <f ca="1">ROUNDDOWN(表3[[#This Row],[日期]]-TODAY(),1)</f>
        <v>-25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326</v>
      </c>
      <c r="H128" s="34"/>
      <c r="I128" s="33">
        <f ca="1">ROUNDDOWN(表3[[#This Row],[日期]]-TODAY(),1)</f>
        <v>-25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326</v>
      </c>
      <c r="H129" s="34"/>
      <c r="I129" s="33">
        <f ca="1">ROUNDDOWN(表3[[#This Row],[日期]]-TODAY(),1)</f>
        <v>-25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326</v>
      </c>
      <c r="H130" s="34"/>
      <c r="I130" s="33">
        <f ca="1">ROUNDDOWN(表3[[#This Row],[日期]]-TODAY(),1)</f>
        <v>-25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326</v>
      </c>
      <c r="H131" s="34"/>
      <c r="I131" s="33">
        <f ca="1">ROUNDDOWN(表3[[#This Row],[日期]]-TODAY(),1)</f>
        <v>-25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326</v>
      </c>
      <c r="H132" s="34" t="s">
        <v>37</v>
      </c>
      <c r="I132" s="33">
        <f ca="1">ROUNDDOWN(表3[[#This Row],[日期]]-TODAY(),1)</f>
        <v>-24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326</v>
      </c>
      <c r="H133" s="34"/>
      <c r="I133" s="33">
        <f ca="1">ROUNDDOWN(表3[[#This Row],[日期]]-TODAY(),1)</f>
        <v>-24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326</v>
      </c>
      <c r="H134" s="34"/>
      <c r="I134" s="33">
        <f ca="1">ROUNDDOWN(表3[[#This Row],[日期]]-TODAY(),1)</f>
        <v>-24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326</v>
      </c>
      <c r="H135" s="34"/>
      <c r="I135" s="33">
        <f ca="1">ROUNDDOWN(表3[[#This Row],[日期]]-TODAY(),1)</f>
        <v>-24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326</v>
      </c>
      <c r="H136" s="34" t="s">
        <v>44</v>
      </c>
      <c r="I136" s="33">
        <f ca="1">ROUNDDOWN(表3[[#This Row],[日期]]-TODAY(),1)</f>
        <v>-24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326</v>
      </c>
      <c r="H137" s="34" t="s">
        <v>168</v>
      </c>
      <c r="I137" s="33">
        <f ca="1">ROUNDDOWN(表3[[#This Row],[日期]]-TODAY(),1)</f>
        <v>-24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326</v>
      </c>
      <c r="H138" s="34" t="s">
        <v>44</v>
      </c>
      <c r="I138" s="33">
        <f ca="1">ROUNDDOWN(表3[[#This Row],[日期]]-TODAY(),1)</f>
        <v>-24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326</v>
      </c>
      <c r="H139" s="34"/>
      <c r="I139" s="33">
        <f ca="1">ROUNDDOWN(表3[[#This Row],[日期]]-TODAY(),1)</f>
        <v>-24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326</v>
      </c>
      <c r="H140" s="34"/>
      <c r="I140" s="33">
        <f ca="1">ROUNDDOWN(表3[[#This Row],[日期]]-TODAY(),1)</f>
        <v>-24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326</v>
      </c>
      <c r="H141" s="34"/>
      <c r="I141" s="33">
        <f ca="1">ROUNDDOWN(表3[[#This Row],[日期]]-TODAY(),1)</f>
        <v>-24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326</v>
      </c>
      <c r="H142" s="34"/>
      <c r="I142" s="33">
        <f ca="1">ROUNDDOWN(表3[[#This Row],[日期]]-TODAY(),1)</f>
        <v>-24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326</v>
      </c>
      <c r="H143" s="34"/>
      <c r="I143" s="33">
        <f ca="1">ROUNDDOWN(表3[[#This Row],[日期]]-TODAY(),1)</f>
        <v>-24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326</v>
      </c>
      <c r="H144" s="34" t="s">
        <v>72</v>
      </c>
      <c r="I144" s="33">
        <f ca="1">ROUNDDOWN(表3[[#This Row],[日期]]-TODAY(),1)</f>
        <v>-24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326</v>
      </c>
      <c r="H145" s="34"/>
      <c r="I145" s="33">
        <f ca="1">ROUNDDOWN(表3[[#This Row],[日期]]-TODAY(),1)</f>
        <v>-24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326</v>
      </c>
      <c r="H146" s="34" t="s">
        <v>33</v>
      </c>
      <c r="I146" s="33">
        <f ca="1">ROUNDDOWN(表3[[#This Row],[日期]]-TODAY(),1)</f>
        <v>-24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326</v>
      </c>
      <c r="H147" s="34" t="s">
        <v>44</v>
      </c>
      <c r="I147" s="33">
        <f ca="1">ROUNDDOWN(表3[[#This Row],[日期]]-TODAY(),1)</f>
        <v>-24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326</v>
      </c>
      <c r="H148" s="34"/>
      <c r="I148" s="33">
        <f ca="1">ROUNDDOWN(表3[[#This Row],[日期]]-TODAY(),1)</f>
        <v>-24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326</v>
      </c>
      <c r="H149" s="34" t="s">
        <v>79</v>
      </c>
      <c r="I149" s="33">
        <f ca="1">ROUNDDOWN(表3[[#This Row],[日期]]-TODAY(),1)</f>
        <v>-24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326</v>
      </c>
      <c r="H150" s="34"/>
      <c r="I150" s="33">
        <f ca="1">ROUNDDOWN(表3[[#This Row],[日期]]-TODAY(),1)</f>
        <v>-24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326</v>
      </c>
      <c r="H151" s="34"/>
      <c r="I151" s="33">
        <f ca="1">ROUNDDOWN(表3[[#This Row],[日期]]-TODAY(),1)</f>
        <v>-23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327</v>
      </c>
      <c r="H152" s="34"/>
      <c r="I152" s="33">
        <f ca="1">ROUNDDOWN(表3[[#This Row],[日期]]-TODAY(),1)</f>
        <v>-23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326</v>
      </c>
      <c r="H153" s="34"/>
      <c r="I153" s="33">
        <f ca="1">ROUNDDOWN(表3[[#This Row],[日期]]-TODAY(),1)</f>
        <v>-23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326</v>
      </c>
      <c r="H154" s="34"/>
      <c r="I154" s="33">
        <f ca="1">ROUNDDOWN(表3[[#This Row],[日期]]-TODAY(),1)</f>
        <v>-23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326</v>
      </c>
      <c r="H155" s="34"/>
      <c r="I155" s="33">
        <f ca="1">ROUNDDOWN(表3[[#This Row],[日期]]-TODAY(),1)</f>
        <v>-23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478</v>
      </c>
      <c r="F156" s="15">
        <v>43602</v>
      </c>
      <c r="G156" s="13" t="s">
        <v>480</v>
      </c>
      <c r="H156" s="34"/>
      <c r="I156" s="33">
        <f ca="1">ROUNDDOWN(表3[[#This Row],[日期]]-TODAY(),1)</f>
        <v>-21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326</v>
      </c>
      <c r="H157" s="34"/>
      <c r="I157" s="33">
        <f ca="1">ROUNDDOWN(表3[[#This Row],[日期]]-TODAY(),1)</f>
        <v>-21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326</v>
      </c>
      <c r="H158" s="34"/>
      <c r="I158" s="33">
        <f ca="1">ROUNDDOWN(表3[[#This Row],[日期]]-TODAY(),1)</f>
        <v>-21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326</v>
      </c>
      <c r="H159" s="34" t="s">
        <v>138</v>
      </c>
      <c r="I159" s="33">
        <f ca="1">ROUNDDOWN(表3[[#This Row],[日期]]-TODAY(),1)</f>
        <v>-18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-31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-31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-30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-30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277</v>
      </c>
      <c r="H164" s="34"/>
      <c r="I164" s="33">
        <f ca="1">ROUNDDOWN(表3[[#This Row],[日期]]-TODAY(),1)</f>
        <v>-25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277</v>
      </c>
      <c r="H165" s="34"/>
      <c r="I165" s="33">
        <f ca="1">ROUNDDOWN(表3[[#This Row],[日期]]-TODAY(),1)</f>
        <v>-25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277</v>
      </c>
      <c r="H166" s="34"/>
      <c r="I166" s="33">
        <f ca="1">ROUNDDOWN(表3[[#This Row],[日期]]-TODAY(),1)</f>
        <v>-25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277</v>
      </c>
      <c r="H167" s="34"/>
      <c r="I167" s="33">
        <f ca="1">ROUNDDOWN(表3[[#This Row],[日期]]-TODAY(),1)</f>
        <v>-25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337</v>
      </c>
      <c r="F168" s="15">
        <v>43598</v>
      </c>
      <c r="G168" s="13" t="s">
        <v>277</v>
      </c>
      <c r="H168" s="34"/>
      <c r="I168" s="33">
        <f ca="1">ROUNDDOWN(表3[[#This Row],[日期]]-TODAY(),1)</f>
        <v>-25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338</v>
      </c>
      <c r="F169" s="15">
        <v>43599</v>
      </c>
      <c r="G169" s="13" t="s">
        <v>277</v>
      </c>
      <c r="H169" s="34"/>
      <c r="I169" s="33">
        <f ca="1">ROUNDDOWN(表3[[#This Row],[日期]]-TODAY(),1)</f>
        <v>-24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277</v>
      </c>
      <c r="H170" s="34"/>
      <c r="I170" s="33">
        <f ca="1">ROUNDDOWN(表3[[#This Row],[日期]]-TODAY(),1)</f>
        <v>-25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277</v>
      </c>
      <c r="H171" s="34"/>
      <c r="I171" s="33">
        <f ca="1">ROUNDDOWN(表3[[#This Row],[日期]]-TODAY(),1)</f>
        <v>-25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277</v>
      </c>
      <c r="H172" s="34"/>
      <c r="I172" s="33">
        <f ca="1">ROUNDDOWN(表3[[#This Row],[日期]]-TODAY(),1)</f>
        <v>-24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277</v>
      </c>
      <c r="H173" s="34"/>
      <c r="I173" s="33">
        <f ca="1">ROUNDDOWN(表3[[#This Row],[日期]]-TODAY(),1)</f>
        <v>-24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277</v>
      </c>
      <c r="H174" s="34"/>
      <c r="I174" s="33">
        <f ca="1">ROUNDDOWN(表3[[#This Row],[日期]]-TODAY(),1)</f>
        <v>-24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277</v>
      </c>
      <c r="H175" s="34"/>
      <c r="I175" s="33">
        <f ca="1">ROUNDDOWN(表3[[#This Row],[日期]]-TODAY(),1)</f>
        <v>-24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341</v>
      </c>
      <c r="F176" s="15">
        <v>43599</v>
      </c>
      <c r="G176" s="13" t="s">
        <v>277</v>
      </c>
      <c r="H176" s="34"/>
      <c r="I176" s="33">
        <f ca="1">ROUNDDOWN(表3[[#This Row],[日期]]-TODAY(),1)</f>
        <v>-24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339</v>
      </c>
      <c r="F177" s="15">
        <v>43600</v>
      </c>
      <c r="G177" s="13" t="s">
        <v>277</v>
      </c>
      <c r="H177" s="34"/>
      <c r="I177" s="33">
        <f ca="1">ROUNDDOWN(表3[[#This Row],[日期]]-TODAY(),1)</f>
        <v>-23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277</v>
      </c>
      <c r="H178" s="34"/>
      <c r="I178" s="33">
        <f ca="1">ROUNDDOWN(表3[[#This Row],[日期]]-TODAY(),1)</f>
        <v>-18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340</v>
      </c>
      <c r="F179" s="15">
        <v>43607</v>
      </c>
      <c r="G179" s="13" t="s">
        <v>277</v>
      </c>
      <c r="H179" s="34"/>
      <c r="I179" s="33">
        <f ca="1">ROUNDDOWN(表3[[#This Row],[日期]]-TODAY(),1)</f>
        <v>-16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493</v>
      </c>
      <c r="F180" s="15">
        <v>43612</v>
      </c>
      <c r="G180" s="13" t="s">
        <v>277</v>
      </c>
      <c r="H180" s="34"/>
      <c r="I180" s="33">
        <f ca="1">ROUNDDOWN(表3[[#This Row],[日期]]-TODAY(),1)</f>
        <v>-11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688</v>
      </c>
      <c r="F181" s="15">
        <v>43626</v>
      </c>
      <c r="G181" s="13" t="s">
        <v>690</v>
      </c>
      <c r="H181" s="34"/>
      <c r="I181" s="33">
        <f ca="1">ROUNDDOWN(表3[[#This Row],[日期]]-TODAY(),1)</f>
        <v>3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256</v>
      </c>
      <c r="C182" s="28">
        <v>43605</v>
      </c>
      <c r="D182" s="29">
        <v>1</v>
      </c>
      <c r="E182" s="30" t="s">
        <v>452</v>
      </c>
      <c r="F182" s="31">
        <v>43605</v>
      </c>
      <c r="G182" s="32" t="s">
        <v>277</v>
      </c>
      <c r="H182" s="36" t="s">
        <v>248</v>
      </c>
      <c r="I182" s="33">
        <f ca="1">ROUNDDOWN(表3[[#This Row],[日期]]-TODAY(),1)</f>
        <v>-18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256</v>
      </c>
      <c r="C183" s="28">
        <v>43605</v>
      </c>
      <c r="D183" s="29">
        <v>2</v>
      </c>
      <c r="E183" s="30" t="s">
        <v>453</v>
      </c>
      <c r="F183" s="31">
        <v>43605</v>
      </c>
      <c r="G183" s="32" t="s">
        <v>277</v>
      </c>
      <c r="H183" s="36" t="s">
        <v>248</v>
      </c>
      <c r="I183" s="33">
        <f ca="1">ROUNDDOWN(表3[[#This Row],[日期]]-TODAY(),1)</f>
        <v>-18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256</v>
      </c>
      <c r="C184" s="28">
        <v>43605</v>
      </c>
      <c r="D184" s="29">
        <v>3</v>
      </c>
      <c r="E184" s="30" t="s">
        <v>250</v>
      </c>
      <c r="F184" s="31">
        <v>43605</v>
      </c>
      <c r="G184" s="32" t="s">
        <v>277</v>
      </c>
      <c r="H184" s="36" t="s">
        <v>248</v>
      </c>
      <c r="I184" s="33">
        <f ca="1">ROUNDDOWN(表3[[#This Row],[日期]]-TODAY(),1)</f>
        <v>-18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256</v>
      </c>
      <c r="C185" s="28">
        <v>43605</v>
      </c>
      <c r="D185" s="29">
        <v>4</v>
      </c>
      <c r="E185" s="30" t="s">
        <v>250</v>
      </c>
      <c r="F185" s="31">
        <v>43607</v>
      </c>
      <c r="G185" s="32" t="s">
        <v>277</v>
      </c>
      <c r="H185" s="36" t="s">
        <v>253</v>
      </c>
      <c r="I185" s="33">
        <f ca="1">ROUNDDOWN(表3[[#This Row],[日期]]-TODAY(),1)</f>
        <v>-16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256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277</v>
      </c>
      <c r="H186" s="36" t="s">
        <v>244</v>
      </c>
      <c r="I186" s="33">
        <f ca="1">ROUNDDOWN(表3[[#This Row],[日期]]-TODAY(),1)</f>
        <v>-14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256</v>
      </c>
      <c r="C187" s="28">
        <v>43605</v>
      </c>
      <c r="D187" s="29">
        <v>6</v>
      </c>
      <c r="E187" s="30" t="s">
        <v>250</v>
      </c>
      <c r="F187" s="31">
        <v>43609</v>
      </c>
      <c r="G187" s="32" t="s">
        <v>277</v>
      </c>
      <c r="H187" s="36" t="s">
        <v>244</v>
      </c>
      <c r="I187" s="33">
        <f ca="1">ROUNDDOWN(表3[[#This Row],[日期]]-TODAY(),1)</f>
        <v>-14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256</v>
      </c>
      <c r="C188" s="28">
        <v>43605</v>
      </c>
      <c r="D188" s="29">
        <v>7</v>
      </c>
      <c r="E188" s="30" t="s">
        <v>255</v>
      </c>
      <c r="F188" s="31">
        <v>43609</v>
      </c>
      <c r="G188" s="32" t="s">
        <v>277</v>
      </c>
      <c r="H188" s="36" t="s">
        <v>244</v>
      </c>
      <c r="I188" s="33">
        <f ca="1">ROUNDDOWN(表3[[#This Row],[日期]]-TODAY(),1)</f>
        <v>-14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263</v>
      </c>
      <c r="C189" s="7">
        <v>43607</v>
      </c>
      <c r="D189" s="16">
        <v>1</v>
      </c>
      <c r="E189" s="22" t="s">
        <v>264</v>
      </c>
      <c r="F189" s="15">
        <v>43595</v>
      </c>
      <c r="G189" s="13" t="s">
        <v>266</v>
      </c>
      <c r="H189" s="34"/>
      <c r="I189" s="33">
        <f ca="1">ROUNDDOWN(表3[[#This Row],[日期]]-TODAY(),1)</f>
        <v>-28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263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272</v>
      </c>
      <c r="H190" s="34"/>
      <c r="I190" s="33">
        <f ca="1">ROUNDDOWN(表3[[#This Row],[日期]]-TODAY(),1)</f>
        <v>-28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263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277</v>
      </c>
      <c r="H191" s="34"/>
      <c r="I191" s="33">
        <f ca="1">ROUNDDOWN(表3[[#This Row],[日期]]-TODAY(),1)</f>
        <v>-24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263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277</v>
      </c>
      <c r="H192" s="34" t="s">
        <v>143</v>
      </c>
      <c r="I192" s="33">
        <f ca="1">ROUNDDOWN(表3[[#This Row],[日期]]-TODAY(),1)</f>
        <v>-22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263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277</v>
      </c>
      <c r="H193" s="34"/>
      <c r="I193" s="33">
        <f ca="1">ROUNDDOWN(表3[[#This Row],[日期]]-TODAY(),1)</f>
        <v>-21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263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277</v>
      </c>
      <c r="H194" s="34"/>
      <c r="I194" s="33">
        <f ca="1">ROUNDDOWN(表3[[#This Row],[日期]]-TODAY(),1)</f>
        <v>-21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263</v>
      </c>
      <c r="C195" s="7">
        <v>43607</v>
      </c>
      <c r="D195" s="16">
        <v>7</v>
      </c>
      <c r="E195" s="22" t="s">
        <v>267</v>
      </c>
      <c r="F195" s="15">
        <v>43602</v>
      </c>
      <c r="G195" s="13" t="s">
        <v>277</v>
      </c>
      <c r="H195" s="34" t="s">
        <v>149</v>
      </c>
      <c r="I195" s="33">
        <f ca="1">ROUNDDOWN(表3[[#This Row],[日期]]-TODAY(),1)</f>
        <v>-21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263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277</v>
      </c>
      <c r="H196" s="34"/>
      <c r="I196" s="33">
        <f ca="1">ROUNDDOWN(表3[[#This Row],[日期]]-TODAY(),1)</f>
        <v>-21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263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277</v>
      </c>
      <c r="H197" s="34" t="s">
        <v>159</v>
      </c>
      <c r="I197" s="33">
        <f ca="1">ROUNDDOWN(表3[[#This Row],[日期]]-TODAY(),1)</f>
        <v>-18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263</v>
      </c>
      <c r="C198" s="7">
        <v>43607</v>
      </c>
      <c r="D198" s="16">
        <v>10</v>
      </c>
      <c r="E198" s="22" t="s">
        <v>420</v>
      </c>
      <c r="F198" s="15">
        <v>43605</v>
      </c>
      <c r="G198" s="13" t="s">
        <v>277</v>
      </c>
      <c r="H198" s="34" t="s">
        <v>211</v>
      </c>
      <c r="I198" s="33">
        <f ca="1">ROUNDDOWN(表3[[#This Row],[日期]]-TODAY(),1)</f>
        <v>-18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263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277</v>
      </c>
      <c r="H199" s="34"/>
      <c r="I199" s="33">
        <f ca="1">ROUNDDOWN(表3[[#This Row],[日期]]-TODAY(),1)</f>
        <v>-18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263</v>
      </c>
      <c r="C200" s="7">
        <v>43607</v>
      </c>
      <c r="D200" s="16">
        <v>13</v>
      </c>
      <c r="E200" s="22" t="s">
        <v>278</v>
      </c>
      <c r="F200" s="15">
        <v>43605</v>
      </c>
      <c r="G200" s="13" t="s">
        <v>277</v>
      </c>
      <c r="H200" s="34" t="s">
        <v>152</v>
      </c>
      <c r="I200" s="33">
        <f ca="1">ROUNDDOWN(表3[[#This Row],[日期]]-TODAY(),1)</f>
        <v>-18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263</v>
      </c>
      <c r="C201" s="7">
        <v>43607</v>
      </c>
      <c r="D201" s="16">
        <v>14</v>
      </c>
      <c r="E201" s="22" t="s">
        <v>499</v>
      </c>
      <c r="F201" s="15">
        <v>43605</v>
      </c>
      <c r="G201" s="13" t="s">
        <v>277</v>
      </c>
      <c r="H201" s="34"/>
      <c r="I201" s="33">
        <f ca="1">ROUNDDOWN(表3[[#This Row],[日期]]-TODAY(),1)</f>
        <v>-18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263</v>
      </c>
      <c r="C202" s="7">
        <v>43607</v>
      </c>
      <c r="D202" s="16">
        <v>15</v>
      </c>
      <c r="E202" s="22" t="s">
        <v>500</v>
      </c>
      <c r="F202" s="15">
        <v>43607</v>
      </c>
      <c r="G202" s="13" t="s">
        <v>277</v>
      </c>
      <c r="H202" s="34"/>
      <c r="I202" s="33">
        <f ca="1">ROUNDDOWN(表3[[#This Row],[日期]]-TODAY(),1)</f>
        <v>-16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263</v>
      </c>
      <c r="C203" s="7">
        <v>43607</v>
      </c>
      <c r="D203" s="16">
        <v>16</v>
      </c>
      <c r="E203" s="22" t="s">
        <v>501</v>
      </c>
      <c r="F203" s="15">
        <v>43608</v>
      </c>
      <c r="G203" s="13" t="s">
        <v>277</v>
      </c>
      <c r="H203" s="34"/>
      <c r="I203" s="33">
        <f ca="1">ROUNDDOWN(表3[[#This Row],[日期]]-TODAY(),1)</f>
        <v>-15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263</v>
      </c>
      <c r="C204" s="7">
        <v>43607</v>
      </c>
      <c r="D204" s="16">
        <v>17</v>
      </c>
      <c r="E204" s="22" t="s">
        <v>498</v>
      </c>
      <c r="F204" s="15">
        <v>43609</v>
      </c>
      <c r="G204" s="13" t="s">
        <v>277</v>
      </c>
      <c r="H204" s="34"/>
      <c r="I204" s="33">
        <f ca="1">ROUNDDOWN(表3[[#This Row],[日期]]-TODAY(),1)</f>
        <v>-14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263</v>
      </c>
      <c r="C205" s="7">
        <v>43607</v>
      </c>
      <c r="D205" s="16">
        <v>18</v>
      </c>
      <c r="E205" s="22" t="s">
        <v>273</v>
      </c>
      <c r="F205" s="15">
        <v>43612</v>
      </c>
      <c r="G205" s="13" t="s">
        <v>277</v>
      </c>
      <c r="H205" s="34"/>
      <c r="I205" s="33">
        <f ca="1">ROUNDDOWN(表3[[#This Row],[日期]]-TODAY(),1)</f>
        <v>-11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-29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-29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-29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277</v>
      </c>
      <c r="H209" s="34" t="s">
        <v>143</v>
      </c>
      <c r="I209" s="33">
        <f ca="1">ROUNDDOWN(表3[[#This Row],[日期]]-TODAY(),1)</f>
        <v>-22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277</v>
      </c>
      <c r="H210" s="34"/>
      <c r="I210" s="33">
        <f ca="1">ROUNDDOWN(表3[[#This Row],[日期]]-TODAY(),1)</f>
        <v>-22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277</v>
      </c>
      <c r="H211" s="34"/>
      <c r="I211" s="33">
        <f ca="1">ROUNDDOWN(表3[[#This Row],[日期]]-TODAY(),1)</f>
        <v>-22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429</v>
      </c>
      <c r="F212" s="15">
        <v>43601</v>
      </c>
      <c r="G212" s="13" t="s">
        <v>277</v>
      </c>
      <c r="H212" s="34" t="s">
        <v>149</v>
      </c>
      <c r="I212" s="33">
        <f ca="1">ROUNDDOWN(表3[[#This Row],[日期]]-TODAY(),1)</f>
        <v>-22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277</v>
      </c>
      <c r="H213" s="34"/>
      <c r="I213" s="33">
        <f ca="1">ROUNDDOWN(表3[[#This Row],[日期]]-TODAY(),1)</f>
        <v>-22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277</v>
      </c>
      <c r="H214" s="34" t="s">
        <v>159</v>
      </c>
      <c r="I214" s="33">
        <f ca="1">ROUNDDOWN(表3[[#This Row],[日期]]-TODAY(),1)</f>
        <v>-21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277</v>
      </c>
      <c r="H215" s="34" t="s">
        <v>211</v>
      </c>
      <c r="I215" s="33">
        <f ca="1">ROUNDDOWN(表3[[#This Row],[日期]]-TODAY(),1)</f>
        <v>-21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277</v>
      </c>
      <c r="H216" s="34"/>
      <c r="I216" s="33">
        <f ca="1">ROUNDDOWN(表3[[#This Row],[日期]]-TODAY(),1)</f>
        <v>-21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277</v>
      </c>
      <c r="H217" s="34" t="s">
        <v>152</v>
      </c>
      <c r="I217" s="33">
        <f ca="1">ROUNDDOWN(表3[[#This Row],[日期]]-TODAY(),1)</f>
        <v>-21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277</v>
      </c>
      <c r="H218" s="34"/>
      <c r="I218" s="33">
        <f ca="1">ROUNDDOWN(表3[[#This Row],[日期]]-TODAY(),1)</f>
        <v>-18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277</v>
      </c>
      <c r="H219" s="34"/>
      <c r="I219" s="33">
        <f ca="1">ROUNDDOWN(表3[[#This Row],[日期]]-TODAY(),1)</f>
        <v>-18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277</v>
      </c>
      <c r="H220" s="34"/>
      <c r="I220" s="33">
        <f ca="1">ROUNDDOWN(表3[[#This Row],[日期]]-TODAY(),1)</f>
        <v>-17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273</v>
      </c>
      <c r="F221" s="15">
        <v>43607</v>
      </c>
      <c r="G221" s="13" t="s">
        <v>277</v>
      </c>
      <c r="H221" s="34"/>
      <c r="I221" s="33">
        <f ca="1">ROUNDDOWN(表3[[#This Row],[日期]]-TODAY(),1)</f>
        <v>-16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277</v>
      </c>
      <c r="H222" s="34"/>
      <c r="I222" s="33">
        <f ca="1">ROUNDDOWN(表3[[#This Row],[日期]]-TODAY(),1)</f>
        <v>-43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279</v>
      </c>
      <c r="H223" s="34"/>
      <c r="I223" s="33">
        <f ca="1">ROUNDDOWN(表3[[#This Row],[日期]]-TODAY(),1)</f>
        <v>-43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279</v>
      </c>
      <c r="H224" s="34" t="s">
        <v>232</v>
      </c>
      <c r="I224" s="33">
        <f ca="1">ROUNDDOWN(表3[[#This Row],[日期]]-TODAY(),1)</f>
        <v>-43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279</v>
      </c>
      <c r="H225" s="34"/>
      <c r="I225" s="33">
        <f ca="1">ROUNDDOWN(表3[[#This Row],[日期]]-TODAY(),1)</f>
        <v>-43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279</v>
      </c>
      <c r="H226" s="34"/>
      <c r="I226" s="33">
        <f ca="1">ROUNDDOWN(表3[[#This Row],[日期]]-TODAY(),1)</f>
        <v>-29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289</v>
      </c>
      <c r="F227" s="15">
        <v>43599</v>
      </c>
      <c r="G227" s="13" t="s">
        <v>277</v>
      </c>
      <c r="H227" s="34" t="s">
        <v>281</v>
      </c>
      <c r="I227" s="33">
        <f ca="1">ROUNDDOWN(表3[[#This Row],[日期]]-TODAY(),1)</f>
        <v>-24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427</v>
      </c>
      <c r="F228" s="15">
        <v>43599</v>
      </c>
      <c r="G228" s="13" t="s">
        <v>277</v>
      </c>
      <c r="H228" s="34"/>
      <c r="I228" s="33">
        <f ca="1">ROUNDDOWN(表3[[#This Row],[日期]]-TODAY(),1)</f>
        <v>-24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287</v>
      </c>
      <c r="F229" s="15">
        <v>43599</v>
      </c>
      <c r="G229" s="13" t="s">
        <v>277</v>
      </c>
      <c r="H229" s="34"/>
      <c r="I229" s="33">
        <f ca="1">ROUNDDOWN(表3[[#This Row],[日期]]-TODAY(),1)</f>
        <v>-24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290</v>
      </c>
      <c r="F230" s="15">
        <v>43599</v>
      </c>
      <c r="G230" s="13" t="s">
        <v>277</v>
      </c>
      <c r="H230" s="34" t="s">
        <v>44</v>
      </c>
      <c r="I230" s="33">
        <f ca="1">ROUNDDOWN(表3[[#This Row],[日期]]-TODAY(),1)</f>
        <v>-24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283</v>
      </c>
      <c r="F231" s="15">
        <v>43600</v>
      </c>
      <c r="G231" s="13" t="s">
        <v>277</v>
      </c>
      <c r="H231" s="34" t="s">
        <v>33</v>
      </c>
      <c r="I231" s="33">
        <f ca="1">ROUNDDOWN(表3[[#This Row],[日期]]-TODAY(),1)</f>
        <v>-23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285</v>
      </c>
      <c r="F232" s="15">
        <v>43601</v>
      </c>
      <c r="G232" s="13" t="s">
        <v>277</v>
      </c>
      <c r="H232" s="34" t="s">
        <v>44</v>
      </c>
      <c r="I232" s="33">
        <f ca="1">ROUNDDOWN(表3[[#This Row],[日期]]-TODAY(),1)</f>
        <v>-22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342</v>
      </c>
      <c r="F233" s="15">
        <v>43601</v>
      </c>
      <c r="G233" s="13" t="s">
        <v>277</v>
      </c>
      <c r="H233" s="34" t="s">
        <v>419</v>
      </c>
      <c r="I233" s="33">
        <f ca="1">ROUNDDOWN(表3[[#This Row],[日期]]-TODAY(),1)</f>
        <v>-22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298</v>
      </c>
      <c r="F234" s="15">
        <v>43602</v>
      </c>
      <c r="G234" s="13" t="s">
        <v>277</v>
      </c>
      <c r="H234" s="34" t="s">
        <v>296</v>
      </c>
      <c r="I234" s="33">
        <f ca="1">ROUNDDOWN(表3[[#This Row],[日期]]-TODAY(),1)</f>
        <v>-21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426</v>
      </c>
      <c r="F235" s="15">
        <v>43602</v>
      </c>
      <c r="G235" s="13" t="s">
        <v>277</v>
      </c>
      <c r="H235" s="34"/>
      <c r="I235" s="33">
        <f ca="1">ROUNDDOWN(表3[[#This Row],[日期]]-TODAY(),1)</f>
        <v>-21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302</v>
      </c>
      <c r="F236" s="15">
        <v>43602</v>
      </c>
      <c r="G236" s="13" t="s">
        <v>277</v>
      </c>
      <c r="H236" s="34"/>
      <c r="I236" s="33">
        <f ca="1">ROUNDDOWN(表3[[#This Row],[日期]]-TODAY(),1)</f>
        <v>-21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316</v>
      </c>
      <c r="F237" s="15">
        <v>43605</v>
      </c>
      <c r="G237" s="13" t="s">
        <v>277</v>
      </c>
      <c r="H237" s="34"/>
      <c r="I237" s="33">
        <f ca="1">ROUNDDOWN(表3[[#This Row],[日期]]-TODAY(),1)</f>
        <v>-18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318</v>
      </c>
      <c r="F238" s="15">
        <v>43605</v>
      </c>
      <c r="G238" s="13" t="s">
        <v>277</v>
      </c>
      <c r="H238" s="34"/>
      <c r="I238" s="33">
        <f ca="1">ROUNDDOWN(表3[[#This Row],[日期]]-TODAY(),1)</f>
        <v>-18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320</v>
      </c>
      <c r="F239" s="15">
        <v>43605</v>
      </c>
      <c r="G239" s="13" t="s">
        <v>277</v>
      </c>
      <c r="H239" s="34"/>
      <c r="I239" s="33">
        <f ca="1">ROUNDDOWN(表3[[#This Row],[日期]]-TODAY(),1)</f>
        <v>-18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304</v>
      </c>
      <c r="F240" s="15">
        <v>43602</v>
      </c>
      <c r="G240" s="13" t="s">
        <v>277</v>
      </c>
      <c r="H240" s="34"/>
      <c r="I240" s="33">
        <f ca="1">ROUNDDOWN(表3[[#This Row],[日期]]-TODAY(),1)</f>
        <v>-21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306</v>
      </c>
      <c r="F241" s="15">
        <v>43602</v>
      </c>
      <c r="G241" s="13" t="s">
        <v>277</v>
      </c>
      <c r="H241" s="34"/>
      <c r="I241" s="33">
        <f ca="1">ROUNDDOWN(表3[[#This Row],[日期]]-TODAY(),1)</f>
        <v>-21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308</v>
      </c>
      <c r="F242" s="15">
        <v>43605</v>
      </c>
      <c r="G242" s="13" t="s">
        <v>277</v>
      </c>
      <c r="H242" s="34"/>
      <c r="I242" s="33">
        <f ca="1">ROUNDDOWN(表3[[#This Row],[日期]]-TODAY(),1)</f>
        <v>-18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310</v>
      </c>
      <c r="F243" s="15">
        <v>43605</v>
      </c>
      <c r="G243" s="13" t="s">
        <v>277</v>
      </c>
      <c r="H243" s="34"/>
      <c r="I243" s="33">
        <f ca="1">ROUNDDOWN(表3[[#This Row],[日期]]-TODAY(),1)</f>
        <v>-18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312</v>
      </c>
      <c r="F244" s="15">
        <v>43606</v>
      </c>
      <c r="G244" s="13" t="s">
        <v>277</v>
      </c>
      <c r="H244" s="34"/>
      <c r="I244" s="33">
        <f ca="1">ROUNDDOWN(表3[[#This Row],[日期]]-TODAY(),1)</f>
        <v>-17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314</v>
      </c>
      <c r="F245" s="15">
        <v>43607</v>
      </c>
      <c r="G245" s="13" t="s">
        <v>277</v>
      </c>
      <c r="H245" s="34"/>
      <c r="I245" s="33">
        <f ca="1">ROUNDDOWN(表3[[#This Row],[日期]]-TODAY(),1)</f>
        <v>-16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490</v>
      </c>
      <c r="F246" s="15">
        <v>43607</v>
      </c>
      <c r="G246" s="13" t="s">
        <v>277</v>
      </c>
      <c r="H246" s="34"/>
      <c r="I246" s="33">
        <f ca="1">ROUNDDOWN(表3[[#This Row],[日期]]-TODAY(),1)</f>
        <v>-16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517</v>
      </c>
      <c r="F247" s="15">
        <v>43608</v>
      </c>
      <c r="G247" s="13" t="s">
        <v>277</v>
      </c>
      <c r="H247" s="34"/>
      <c r="I247" s="33">
        <f ca="1">ROUNDDOWN(表3[[#This Row],[日期]]-TODAY(),1)</f>
        <v>-15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-28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-28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277</v>
      </c>
      <c r="H250" s="34" t="s">
        <v>31</v>
      </c>
      <c r="I250" s="33">
        <f ca="1">ROUNDDOWN(表3[[#This Row],[日期]]-TODAY(),1)</f>
        <v>-25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277</v>
      </c>
      <c r="H251" s="34"/>
      <c r="I251" s="33">
        <f ca="1">ROUNDDOWN(表3[[#This Row],[日期]]-TODAY(),1)</f>
        <v>-25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277</v>
      </c>
      <c r="H252" s="34" t="s">
        <v>44</v>
      </c>
      <c r="I252" s="33">
        <f ca="1">ROUNDDOWN(表3[[#This Row],[日期]]-TODAY(),1)</f>
        <v>-24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277</v>
      </c>
      <c r="H253" s="34"/>
      <c r="I253" s="33">
        <f ca="1">ROUNDDOWN(表3[[#This Row],[日期]]-TODAY(),1)</f>
        <v>-24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277</v>
      </c>
      <c r="H254" s="34"/>
      <c r="I254" s="33">
        <f ca="1">ROUNDDOWN(表3[[#This Row],[日期]]-TODAY(),1)</f>
        <v>-24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277</v>
      </c>
      <c r="H255" s="34"/>
      <c r="I255" s="33">
        <f ca="1">ROUNDDOWN(表3[[#This Row],[日期]]-TODAY(),1)</f>
        <v>-24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277</v>
      </c>
      <c r="H256" s="34"/>
      <c r="I256" s="33">
        <f ca="1">ROUNDDOWN(表3[[#This Row],[日期]]-TODAY(),1)</f>
        <v>-24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277</v>
      </c>
      <c r="H257" s="34" t="s">
        <v>33</v>
      </c>
      <c r="I257" s="33">
        <f ca="1">ROUNDDOWN(表3[[#This Row],[日期]]-TODAY(),1)</f>
        <v>-23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277</v>
      </c>
      <c r="H258" s="34"/>
      <c r="I258" s="33">
        <f ca="1">ROUNDDOWN(表3[[#This Row],[日期]]-TODAY(),1)</f>
        <v>-23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277</v>
      </c>
      <c r="H259" s="34" t="s">
        <v>35</v>
      </c>
      <c r="I259" s="33">
        <f ca="1">ROUNDDOWN(表3[[#This Row],[日期]]-TODAY(),1)</f>
        <v>-18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277</v>
      </c>
      <c r="H260" s="34"/>
      <c r="I260" s="33">
        <f ca="1">ROUNDDOWN(表3[[#This Row],[日期]]-TODAY(),1)</f>
        <v>-18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277</v>
      </c>
      <c r="H261" s="34"/>
      <c r="I261" s="33">
        <f ca="1">ROUNDDOWN(表3[[#This Row],[日期]]-TODAY(),1)</f>
        <v>-18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277</v>
      </c>
      <c r="H262" s="34"/>
      <c r="I262" s="33">
        <f ca="1">ROUNDDOWN(表3[[#This Row],[日期]]-TODAY(),1)</f>
        <v>-18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277</v>
      </c>
      <c r="H263" s="34"/>
      <c r="I263" s="33">
        <f ca="1">ROUNDDOWN(表3[[#This Row],[日期]]-TODAY(),1)</f>
        <v>-18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277</v>
      </c>
      <c r="H264" s="34"/>
      <c r="I264" s="33">
        <f ca="1">ROUNDDOWN(表3[[#This Row],[日期]]-TODAY(),1)</f>
        <v>-18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277</v>
      </c>
      <c r="H265" s="34"/>
      <c r="I265" s="33">
        <f ca="1">ROUNDDOWN(表3[[#This Row],[日期]]-TODAY(),1)</f>
        <v>-18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277</v>
      </c>
      <c r="H266" s="34"/>
      <c r="I266" s="33">
        <f ca="1">ROUNDDOWN(表3[[#This Row],[日期]]-TODAY(),1)</f>
        <v>-18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436</v>
      </c>
      <c r="C267" s="7">
        <v>43609</v>
      </c>
      <c r="D267" s="16">
        <v>20.100000000000001</v>
      </c>
      <c r="E267" s="22" t="s">
        <v>437</v>
      </c>
      <c r="F267" s="15">
        <v>43602</v>
      </c>
      <c r="G267" s="13" t="s">
        <v>277</v>
      </c>
      <c r="H267" s="34"/>
      <c r="I267" s="33">
        <f ca="1">ROUNDDOWN(表3[[#This Row],[日期]]-TODAY(),1)</f>
        <v>-21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468</v>
      </c>
      <c r="F268" s="15">
        <v>43606</v>
      </c>
      <c r="G268" s="13" t="s">
        <v>277</v>
      </c>
      <c r="H268" s="34" t="s">
        <v>37</v>
      </c>
      <c r="I268" s="33">
        <f ca="1">ROUNDDOWN(表3[[#This Row],[日期]]-TODAY(),1)</f>
        <v>-17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277</v>
      </c>
      <c r="H269" s="34"/>
      <c r="I269" s="33">
        <f ca="1">ROUNDDOWN(表3[[#This Row],[日期]]-TODAY(),1)</f>
        <v>-17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277</v>
      </c>
      <c r="H270" s="34"/>
      <c r="I270" s="33">
        <f ca="1">ROUNDDOWN(表3[[#This Row],[日期]]-TODAY(),1)</f>
        <v>-17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277</v>
      </c>
      <c r="H271" s="34"/>
      <c r="I271" s="33">
        <f ca="1">ROUNDDOWN(表3[[#This Row],[日期]]-TODAY(),1)</f>
        <v>-17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277</v>
      </c>
      <c r="H272" s="34" t="s">
        <v>44</v>
      </c>
      <c r="I272" s="33">
        <f ca="1">ROUNDDOWN(表3[[#This Row],[日期]]-TODAY(),1)</f>
        <v>-17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421</v>
      </c>
      <c r="F273" s="15">
        <v>43606</v>
      </c>
      <c r="G273" s="13" t="s">
        <v>277</v>
      </c>
      <c r="H273" s="34" t="s">
        <v>211</v>
      </c>
      <c r="I273" s="33">
        <f ca="1">ROUNDDOWN(表3[[#This Row],[日期]]-TODAY(),1)</f>
        <v>-17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277</v>
      </c>
      <c r="H274" s="34"/>
      <c r="I274" s="33">
        <f ca="1">ROUNDDOWN(表3[[#This Row],[日期]]-TODAY(),1)</f>
        <v>-17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277</v>
      </c>
      <c r="H275" s="34"/>
      <c r="I275" s="33">
        <f ca="1">ROUNDDOWN(表3[[#This Row],[日期]]-TODAY(),1)</f>
        <v>-17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277</v>
      </c>
      <c r="H276" s="34"/>
      <c r="I276" s="33">
        <f ca="1">ROUNDDOWN(表3[[#This Row],[日期]]-TODAY(),1)</f>
        <v>-17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277</v>
      </c>
      <c r="H277" s="34"/>
      <c r="I277" s="33">
        <f ca="1">ROUNDDOWN(表3[[#This Row],[日期]]-TODAY(),1)</f>
        <v>-17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277</v>
      </c>
      <c r="H278" s="34"/>
      <c r="I278" s="33">
        <f ca="1">ROUNDDOWN(表3[[#This Row],[日期]]-TODAY(),1)</f>
        <v>-17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277</v>
      </c>
      <c r="H279" s="34" t="s">
        <v>44</v>
      </c>
      <c r="I279" s="33">
        <f ca="1">ROUNDDOWN(表3[[#This Row],[日期]]-TODAY(),1)</f>
        <v>-17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277</v>
      </c>
      <c r="H280" s="34"/>
      <c r="I280" s="33">
        <f ca="1">ROUNDDOWN(表3[[#This Row],[日期]]-TODAY(),1)</f>
        <v>-17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277</v>
      </c>
      <c r="H281" s="34" t="s">
        <v>72</v>
      </c>
      <c r="I281" s="33">
        <f ca="1">ROUNDDOWN(表3[[#This Row],[日期]]-TODAY(),1)</f>
        <v>-17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277</v>
      </c>
      <c r="H282" s="34"/>
      <c r="I282" s="33">
        <f ca="1">ROUNDDOWN(表3[[#This Row],[日期]]-TODAY(),1)</f>
        <v>-17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469</v>
      </c>
      <c r="F283" s="15">
        <v>43606</v>
      </c>
      <c r="G283" s="13" t="s">
        <v>277</v>
      </c>
      <c r="H283" s="34" t="s">
        <v>33</v>
      </c>
      <c r="I283" s="33">
        <f ca="1">ROUNDDOWN(表3[[#This Row],[日期]]-TODAY(),1)</f>
        <v>-17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470</v>
      </c>
      <c r="F284" s="15">
        <v>43606</v>
      </c>
      <c r="G284" s="13" t="s">
        <v>277</v>
      </c>
      <c r="H284" s="34" t="s">
        <v>44</v>
      </c>
      <c r="I284" s="33">
        <f ca="1">ROUNDDOWN(表3[[#This Row],[日期]]-TODAY(),1)</f>
        <v>-17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277</v>
      </c>
      <c r="H285" s="34"/>
      <c r="I285" s="33">
        <f ca="1">ROUNDDOWN(表3[[#This Row],[日期]]-TODAY(),1)</f>
        <v>-17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277</v>
      </c>
      <c r="H286" s="34" t="s">
        <v>79</v>
      </c>
      <c r="I286" s="33">
        <f ca="1">ROUNDDOWN(表3[[#This Row],[日期]]-TODAY(),1)</f>
        <v>-17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277</v>
      </c>
      <c r="H287" s="34"/>
      <c r="I287" s="33">
        <f ca="1">ROUNDDOWN(表3[[#This Row],[日期]]-TODAY(),1)</f>
        <v>-17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277</v>
      </c>
      <c r="H288" s="34"/>
      <c r="I288" s="33">
        <f ca="1">ROUNDDOWN(表3[[#This Row],[日期]]-TODAY(),1)</f>
        <v>-16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277</v>
      </c>
      <c r="H289" s="34"/>
      <c r="I289" s="33">
        <f ca="1">ROUNDDOWN(表3[[#This Row],[日期]]-TODAY(),1)</f>
        <v>-16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277</v>
      </c>
      <c r="H290" s="34"/>
      <c r="I290" s="33">
        <f ca="1">ROUNDDOWN(表3[[#This Row],[日期]]-TODAY(),1)</f>
        <v>-16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277</v>
      </c>
      <c r="H291" s="34"/>
      <c r="I291" s="33">
        <f ca="1">ROUNDDOWN(表3[[#This Row],[日期]]-TODAY(),1)</f>
        <v>-16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277</v>
      </c>
      <c r="H292" s="34"/>
      <c r="I292" s="33">
        <f ca="1">ROUNDDOWN(表3[[#This Row],[日期]]-TODAY(),1)</f>
        <v>-15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277</v>
      </c>
      <c r="H293" s="34"/>
      <c r="I293" s="33">
        <f ca="1">ROUNDDOWN(表3[[#This Row],[日期]]-TODAY(),1)</f>
        <v>-11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277</v>
      </c>
      <c r="H294" s="34"/>
      <c r="I294" s="33">
        <f ca="1">ROUNDDOWN(表3[[#This Row],[日期]]-TODAY(),1)</f>
        <v>-11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479</v>
      </c>
      <c r="F295" s="15">
        <v>43610</v>
      </c>
      <c r="G295" s="13" t="s">
        <v>277</v>
      </c>
      <c r="H295" s="34"/>
      <c r="I295" s="33">
        <f ca="1">ROUNDDOWN(表3[[#This Row],[日期]]-TODAY(),1)</f>
        <v>-13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277</v>
      </c>
      <c r="H296" s="34" t="s">
        <v>138</v>
      </c>
      <c r="I296" s="33">
        <f ca="1">ROUNDDOWN(表3[[#This Row],[日期]]-TODAY(),1)</f>
        <v>-11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650</v>
      </c>
      <c r="F297" s="15">
        <v>43621</v>
      </c>
      <c r="G297" s="13" t="s">
        <v>277</v>
      </c>
      <c r="H297" s="34"/>
      <c r="I297" s="33">
        <f ca="1">ROUNDDOWN(表3[[#This Row],[日期]]-TODAY(),1)</f>
        <v>-2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256</v>
      </c>
      <c r="C298" s="7">
        <v>43612</v>
      </c>
      <c r="D298" s="16">
        <v>1</v>
      </c>
      <c r="E298" s="22" t="s">
        <v>452</v>
      </c>
      <c r="F298" s="15">
        <v>43612</v>
      </c>
      <c r="G298" s="13" t="s">
        <v>277</v>
      </c>
      <c r="H298" s="34" t="s">
        <v>248</v>
      </c>
      <c r="I298" s="33">
        <f ca="1">ROUNDDOWN(表3[[#This Row],[日期]]-TODAY(),1)</f>
        <v>-11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256</v>
      </c>
      <c r="C299" s="7">
        <v>43612</v>
      </c>
      <c r="D299" s="16">
        <v>2</v>
      </c>
      <c r="E299" s="22" t="s">
        <v>453</v>
      </c>
      <c r="F299" s="15">
        <v>43612</v>
      </c>
      <c r="G299" s="13" t="s">
        <v>277</v>
      </c>
      <c r="H299" s="34" t="s">
        <v>248</v>
      </c>
      <c r="I299" s="33">
        <f ca="1">ROUNDDOWN(表3[[#This Row],[日期]]-TODAY(),1)</f>
        <v>-11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256</v>
      </c>
      <c r="C300" s="7">
        <v>43612</v>
      </c>
      <c r="D300" s="16">
        <v>3</v>
      </c>
      <c r="E300" s="22" t="s">
        <v>250</v>
      </c>
      <c r="F300" s="15">
        <v>43612</v>
      </c>
      <c r="G300" s="13" t="s">
        <v>277</v>
      </c>
      <c r="H300" s="34" t="s">
        <v>248</v>
      </c>
      <c r="I300" s="33">
        <f ca="1">ROUNDDOWN(表3[[#This Row],[日期]]-TODAY(),1)</f>
        <v>-11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256</v>
      </c>
      <c r="C301" s="7">
        <v>43612</v>
      </c>
      <c r="D301" s="16">
        <v>4</v>
      </c>
      <c r="E301" s="22" t="s">
        <v>250</v>
      </c>
      <c r="F301" s="15">
        <v>43614</v>
      </c>
      <c r="G301" s="13" t="s">
        <v>277</v>
      </c>
      <c r="H301" s="34" t="s">
        <v>253</v>
      </c>
      <c r="I301" s="33">
        <f ca="1">ROUNDDOWN(表3[[#This Row],[日期]]-TODAY(),1)</f>
        <v>-9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256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277</v>
      </c>
      <c r="H302" s="34" t="s">
        <v>244</v>
      </c>
      <c r="I302" s="33">
        <f ca="1">ROUNDDOWN(表3[[#This Row],[日期]]-TODAY(),1)</f>
        <v>-7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256</v>
      </c>
      <c r="C303" s="7">
        <v>43612</v>
      </c>
      <c r="D303" s="16">
        <v>6</v>
      </c>
      <c r="E303" s="22" t="s">
        <v>250</v>
      </c>
      <c r="F303" s="15">
        <v>43616</v>
      </c>
      <c r="G303" s="13" t="s">
        <v>277</v>
      </c>
      <c r="H303" s="34" t="s">
        <v>244</v>
      </c>
      <c r="I303" s="33">
        <f ca="1">ROUNDDOWN(表3[[#This Row],[日期]]-TODAY(),1)</f>
        <v>-7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256</v>
      </c>
      <c r="C304" s="7">
        <v>43612</v>
      </c>
      <c r="D304" s="16">
        <v>7</v>
      </c>
      <c r="E304" s="22" t="s">
        <v>255</v>
      </c>
      <c r="F304" s="15">
        <v>43616</v>
      </c>
      <c r="G304" s="13" t="s">
        <v>277</v>
      </c>
      <c r="H304" s="34" t="s">
        <v>244</v>
      </c>
      <c r="I304" s="33">
        <f ca="1">ROUNDDOWN(表3[[#This Row],[日期]]-TODAY(),1)</f>
        <v>-7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-28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-24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277</v>
      </c>
      <c r="H307" s="34" t="s">
        <v>31</v>
      </c>
      <c r="I307" s="33">
        <f ca="1">ROUNDDOWN(表3[[#This Row],[日期]]-TODAY(),1)</f>
        <v>-24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277</v>
      </c>
      <c r="H308" s="34"/>
      <c r="I308" s="33">
        <f ca="1">ROUNDDOWN(表3[[#This Row],[日期]]-TODAY(),1)</f>
        <v>-24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277</v>
      </c>
      <c r="H309" s="34" t="s">
        <v>44</v>
      </c>
      <c r="I309" s="33">
        <f ca="1">ROUNDDOWN(表3[[#This Row],[日期]]-TODAY(),1)</f>
        <v>-24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277</v>
      </c>
      <c r="H310" s="34"/>
      <c r="I310" s="33">
        <f ca="1">ROUNDDOWN(表3[[#This Row],[日期]]-TODAY(),1)</f>
        <v>-24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277</v>
      </c>
      <c r="H311" s="34"/>
      <c r="I311" s="33">
        <f ca="1">ROUNDDOWN(表3[[#This Row],[日期]]-TODAY(),1)</f>
        <v>-24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277</v>
      </c>
      <c r="H312" s="34"/>
      <c r="I312" s="33">
        <f ca="1">ROUNDDOWN(表3[[#This Row],[日期]]-TODAY(),1)</f>
        <v>-24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277</v>
      </c>
      <c r="H313" s="34"/>
      <c r="I313" s="33">
        <f ca="1">ROUNDDOWN(表3[[#This Row],[日期]]-TODAY(),1)</f>
        <v>-24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277</v>
      </c>
      <c r="H314" s="34" t="s">
        <v>33</v>
      </c>
      <c r="I314" s="33">
        <f ca="1">ROUNDDOWN(表3[[#This Row],[日期]]-TODAY(),1)</f>
        <v>-23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277</v>
      </c>
      <c r="H315" s="34"/>
      <c r="I315" s="33">
        <f ca="1">ROUNDDOWN(表3[[#This Row],[日期]]-TODAY(),1)</f>
        <v>-23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471</v>
      </c>
      <c r="F316" s="15">
        <v>43608</v>
      </c>
      <c r="G316" s="13" t="s">
        <v>277</v>
      </c>
      <c r="H316" s="34" t="s">
        <v>35</v>
      </c>
      <c r="I316" s="33">
        <f ca="1">ROUNDDOWN(表3[[#This Row],[日期]]-TODAY(),1)</f>
        <v>-15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277</v>
      </c>
      <c r="H317" s="34"/>
      <c r="I317" s="33">
        <f ca="1">ROUNDDOWN(表3[[#This Row],[日期]]-TODAY(),1)</f>
        <v>-15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277</v>
      </c>
      <c r="H318" s="34"/>
      <c r="I318" s="33">
        <f ca="1">ROUNDDOWN(表3[[#This Row],[日期]]-TODAY(),1)</f>
        <v>-15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277</v>
      </c>
      <c r="H319" s="34"/>
      <c r="I319" s="33">
        <f ca="1">ROUNDDOWN(表3[[#This Row],[日期]]-TODAY(),1)</f>
        <v>-15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277</v>
      </c>
      <c r="H320" s="34"/>
      <c r="I320" s="33">
        <f ca="1">ROUNDDOWN(表3[[#This Row],[日期]]-TODAY(),1)</f>
        <v>-15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277</v>
      </c>
      <c r="H321" s="34"/>
      <c r="I321" s="33">
        <f ca="1">ROUNDDOWN(表3[[#This Row],[日期]]-TODAY(),1)</f>
        <v>-15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277</v>
      </c>
      <c r="H322" s="34"/>
      <c r="I322" s="33">
        <f ca="1">ROUNDDOWN(表3[[#This Row],[日期]]-TODAY(),1)</f>
        <v>-15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277</v>
      </c>
      <c r="H323" s="34"/>
      <c r="I323" s="33">
        <f ca="1">ROUNDDOWN(表3[[#This Row],[日期]]-TODAY(),1)</f>
        <v>-15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472</v>
      </c>
      <c r="F324" s="15">
        <v>43609</v>
      </c>
      <c r="G324" s="13" t="s">
        <v>277</v>
      </c>
      <c r="H324" s="34" t="s">
        <v>37</v>
      </c>
      <c r="I324" s="33">
        <f ca="1">ROUNDDOWN(表3[[#This Row],[日期]]-TODAY(),1)</f>
        <v>-14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277</v>
      </c>
      <c r="H325" s="34"/>
      <c r="I325" s="33">
        <f ca="1">ROUNDDOWN(表3[[#This Row],[日期]]-TODAY(),1)</f>
        <v>-14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277</v>
      </c>
      <c r="H326" s="34"/>
      <c r="I326" s="33">
        <f ca="1">ROUNDDOWN(表3[[#This Row],[日期]]-TODAY(),1)</f>
        <v>-14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277</v>
      </c>
      <c r="H327" s="34"/>
      <c r="I327" s="33">
        <f ca="1">ROUNDDOWN(表3[[#This Row],[日期]]-TODAY(),1)</f>
        <v>-14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277</v>
      </c>
      <c r="H328" s="34" t="s">
        <v>44</v>
      </c>
      <c r="I328" s="33">
        <f ca="1">ROUNDDOWN(表3[[#This Row],[日期]]-TODAY(),1)</f>
        <v>-14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422</v>
      </c>
      <c r="F329" s="15">
        <v>43609</v>
      </c>
      <c r="G329" s="13" t="s">
        <v>277</v>
      </c>
      <c r="H329" s="34" t="s">
        <v>211</v>
      </c>
      <c r="I329" s="33">
        <f ca="1">ROUNDDOWN(表3[[#This Row],[日期]]-TODAY(),1)</f>
        <v>-14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277</v>
      </c>
      <c r="H330" s="34"/>
      <c r="I330" s="33">
        <f ca="1">ROUNDDOWN(表3[[#This Row],[日期]]-TODAY(),1)</f>
        <v>-14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277</v>
      </c>
      <c r="H331" s="34"/>
      <c r="I331" s="33">
        <f ca="1">ROUNDDOWN(表3[[#This Row],[日期]]-TODAY(),1)</f>
        <v>-14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277</v>
      </c>
      <c r="H332" s="34"/>
      <c r="I332" s="33">
        <f ca="1">ROUNDDOWN(表3[[#This Row],[日期]]-TODAY(),1)</f>
        <v>-14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277</v>
      </c>
      <c r="H333" s="34"/>
      <c r="I333" s="33">
        <f ca="1">ROUNDDOWN(表3[[#This Row],[日期]]-TODAY(),1)</f>
        <v>-14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277</v>
      </c>
      <c r="H334" s="34"/>
      <c r="I334" s="33">
        <f ca="1">ROUNDDOWN(表3[[#This Row],[日期]]-TODAY(),1)</f>
        <v>-14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277</v>
      </c>
      <c r="H335" s="34" t="s">
        <v>44</v>
      </c>
      <c r="I335" s="33">
        <f ca="1">ROUNDDOWN(表3[[#This Row],[日期]]-TODAY(),1)</f>
        <v>-14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277</v>
      </c>
      <c r="H336" s="34"/>
      <c r="I336" s="33">
        <f ca="1">ROUNDDOWN(表3[[#This Row],[日期]]-TODAY(),1)</f>
        <v>-14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277</v>
      </c>
      <c r="H337" s="34" t="s">
        <v>72</v>
      </c>
      <c r="I337" s="33">
        <f ca="1">ROUNDDOWN(表3[[#This Row],[日期]]-TODAY(),1)</f>
        <v>-14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277</v>
      </c>
      <c r="H338" s="34"/>
      <c r="I338" s="33">
        <f ca="1">ROUNDDOWN(表3[[#This Row],[日期]]-TODAY(),1)</f>
        <v>-14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473</v>
      </c>
      <c r="F339" s="15">
        <v>43609</v>
      </c>
      <c r="G339" s="13" t="s">
        <v>277</v>
      </c>
      <c r="H339" s="34" t="s">
        <v>33</v>
      </c>
      <c r="I339" s="33">
        <f ca="1">ROUNDDOWN(表3[[#This Row],[日期]]-TODAY(),1)</f>
        <v>-14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496</v>
      </c>
      <c r="F340" s="15">
        <v>43610</v>
      </c>
      <c r="G340" s="13" t="s">
        <v>277</v>
      </c>
      <c r="H340" s="34" t="s">
        <v>44</v>
      </c>
      <c r="I340" s="33">
        <f ca="1">ROUNDDOWN(表3[[#This Row],[日期]]-TODAY(),1)</f>
        <v>-13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277</v>
      </c>
      <c r="H341" s="34"/>
      <c r="I341" s="33">
        <f ca="1">ROUNDDOWN(表3[[#This Row],[日期]]-TODAY(),1)</f>
        <v>-14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277</v>
      </c>
      <c r="H342" s="34"/>
      <c r="I342" s="33">
        <f ca="1">ROUNDDOWN(表3[[#This Row],[日期]]-TODAY(),1)</f>
        <v>-13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277</v>
      </c>
      <c r="H343" s="34"/>
      <c r="I343" s="33">
        <f ca="1">ROUNDDOWN(表3[[#This Row],[日期]]-TODAY(),1)</f>
        <v>-13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277</v>
      </c>
      <c r="H344" s="34"/>
      <c r="I344" s="33">
        <f ca="1">ROUNDDOWN(表3[[#This Row],[日期]]-TODAY(),1)</f>
        <v>-13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277</v>
      </c>
      <c r="H345" s="34" t="s">
        <v>79</v>
      </c>
      <c r="I345" s="33">
        <f ca="1">ROUNDDOWN(表3[[#This Row],[日期]]-TODAY(),1)</f>
        <v>-13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277</v>
      </c>
      <c r="H346" s="34"/>
      <c r="I346" s="33">
        <f ca="1">ROUNDDOWN(表3[[#This Row],[日期]]-TODAY(),1)</f>
        <v>-13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277</v>
      </c>
      <c r="H347" s="34"/>
      <c r="I347" s="33">
        <f ca="1">ROUNDDOWN(表3[[#This Row],[日期]]-TODAY(),1)</f>
        <v>-11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277</v>
      </c>
      <c r="H348" s="34"/>
      <c r="I348" s="33">
        <f ca="1">ROUNDDOWN(表3[[#This Row],[日期]]-TODAY(),1)</f>
        <v>-11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558</v>
      </c>
      <c r="F349" s="15">
        <v>43614</v>
      </c>
      <c r="G349" s="13" t="s">
        <v>277</v>
      </c>
      <c r="H349" s="34"/>
      <c r="I349" s="33">
        <f ca="1">ROUNDDOWN(表3[[#This Row],[日期]]-TODAY(),1)</f>
        <v>-9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277</v>
      </c>
      <c r="H350" s="34"/>
      <c r="I350" s="33">
        <f ca="1">ROUNDDOWN(表3[[#This Row],[日期]]-TODAY(),1)</f>
        <v>-11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277</v>
      </c>
      <c r="H351" s="34"/>
      <c r="I351" s="33">
        <f ca="1">ROUNDDOWN(表3[[#This Row],[日期]]-TODAY(),1)</f>
        <v>-11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658</v>
      </c>
      <c r="F352" s="15">
        <v>43621</v>
      </c>
      <c r="G352" s="13" t="s">
        <v>277</v>
      </c>
      <c r="H352" s="34"/>
      <c r="I352" s="33">
        <f ca="1">ROUNDDOWN(表3[[#This Row],[日期]]-TODAY(),1)</f>
        <v>-2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344</v>
      </c>
      <c r="C353" s="7">
        <v>43613</v>
      </c>
      <c r="D353" s="16">
        <v>1</v>
      </c>
      <c r="E353" s="22" t="s">
        <v>403</v>
      </c>
      <c r="F353" s="15">
        <v>43600</v>
      </c>
      <c r="G353" s="13" t="s">
        <v>416</v>
      </c>
      <c r="H353" s="34"/>
      <c r="I353" s="33">
        <f ca="1">ROUNDDOWN(表3[[#This Row],[日期]]-TODAY(),1)</f>
        <v>-23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344</v>
      </c>
      <c r="C354" s="7">
        <v>43613</v>
      </c>
      <c r="D354" s="16">
        <v>2</v>
      </c>
      <c r="E354" s="22" t="s">
        <v>404</v>
      </c>
      <c r="F354" s="15">
        <v>43600</v>
      </c>
      <c r="G354" s="13" t="s">
        <v>416</v>
      </c>
      <c r="H354" s="34"/>
      <c r="I354" s="33">
        <f ca="1">ROUNDDOWN(表3[[#This Row],[日期]]-TODAY(),1)</f>
        <v>-23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344</v>
      </c>
      <c r="C355" s="7">
        <v>43613</v>
      </c>
      <c r="D355" s="16">
        <v>3</v>
      </c>
      <c r="E355" s="22" t="s">
        <v>405</v>
      </c>
      <c r="F355" s="15">
        <v>43601</v>
      </c>
      <c r="G355" s="13" t="s">
        <v>277</v>
      </c>
      <c r="H355" s="34"/>
      <c r="I355" s="33">
        <f ca="1">ROUNDDOWN(表3[[#This Row],[日期]]-TODAY(),1)</f>
        <v>-22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344</v>
      </c>
      <c r="C356" s="7">
        <v>43613</v>
      </c>
      <c r="D356" s="16">
        <v>4</v>
      </c>
      <c r="E356" s="22" t="s">
        <v>406</v>
      </c>
      <c r="F356" s="15">
        <v>43601</v>
      </c>
      <c r="G356" s="13" t="s">
        <v>277</v>
      </c>
      <c r="H356" s="34"/>
      <c r="I356" s="33">
        <f ca="1">ROUNDDOWN(表3[[#This Row],[日期]]-TODAY(),1)</f>
        <v>-22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344</v>
      </c>
      <c r="C357" s="7">
        <v>43613</v>
      </c>
      <c r="D357" s="16">
        <v>5</v>
      </c>
      <c r="E357" s="22" t="s">
        <v>407</v>
      </c>
      <c r="F357" s="15">
        <v>43607</v>
      </c>
      <c r="G357" s="13" t="s">
        <v>277</v>
      </c>
      <c r="H357" s="34"/>
      <c r="I357" s="33">
        <f ca="1">ROUNDDOWN(表3[[#This Row],[日期]]-TODAY(),1)</f>
        <v>-16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344</v>
      </c>
      <c r="C358" s="7">
        <v>43613</v>
      </c>
      <c r="D358" s="16">
        <v>6</v>
      </c>
      <c r="E358" s="22" t="s">
        <v>513</v>
      </c>
      <c r="F358" s="15">
        <v>43607</v>
      </c>
      <c r="G358" s="13" t="s">
        <v>277</v>
      </c>
      <c r="H358" s="34"/>
      <c r="I358" s="33">
        <f ca="1">ROUNDDOWN(表3[[#This Row],[日期]]-TODAY(),1)</f>
        <v>-16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344</v>
      </c>
      <c r="C359" s="7">
        <v>43613</v>
      </c>
      <c r="D359" s="16">
        <v>7</v>
      </c>
      <c r="E359" s="22" t="s">
        <v>514</v>
      </c>
      <c r="F359" s="15">
        <v>43608</v>
      </c>
      <c r="G359" s="13" t="s">
        <v>277</v>
      </c>
      <c r="H359" s="34"/>
      <c r="I359" s="33">
        <f ca="1">ROUNDDOWN(表3[[#This Row],[日期]]-TODAY(),1)</f>
        <v>-15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344</v>
      </c>
      <c r="C360" s="7">
        <v>43613</v>
      </c>
      <c r="D360" s="16">
        <v>8</v>
      </c>
      <c r="E360" s="22" t="s">
        <v>515</v>
      </c>
      <c r="F360" s="15">
        <v>43608</v>
      </c>
      <c r="G360" s="13" t="s">
        <v>277</v>
      </c>
      <c r="H360" s="34"/>
      <c r="I360" s="33">
        <f ca="1">ROUNDDOWN(表3[[#This Row],[日期]]-TODAY(),1)</f>
        <v>-15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344</v>
      </c>
      <c r="C361" s="7">
        <v>43613</v>
      </c>
      <c r="D361" s="16">
        <v>9</v>
      </c>
      <c r="E361" s="22" t="s">
        <v>408</v>
      </c>
      <c r="F361" s="15">
        <v>43609</v>
      </c>
      <c r="G361" s="13" t="s">
        <v>277</v>
      </c>
      <c r="H361" s="34" t="s">
        <v>417</v>
      </c>
      <c r="I361" s="33">
        <f ca="1">ROUNDDOWN(表3[[#This Row],[日期]]-TODAY(),1)</f>
        <v>-14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344</v>
      </c>
      <c r="C362" s="7">
        <v>43613</v>
      </c>
      <c r="D362" s="16">
        <v>10</v>
      </c>
      <c r="E362" s="22" t="s">
        <v>409</v>
      </c>
      <c r="F362" s="15">
        <v>43609</v>
      </c>
      <c r="G362" s="13" t="s">
        <v>277</v>
      </c>
      <c r="H362" s="34"/>
      <c r="I362" s="33">
        <f ca="1">ROUNDDOWN(表3[[#This Row],[日期]]-TODAY(),1)</f>
        <v>-14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344</v>
      </c>
      <c r="C363" s="7">
        <v>43613</v>
      </c>
      <c r="D363" s="16">
        <v>11</v>
      </c>
      <c r="E363" s="22" t="s">
        <v>418</v>
      </c>
      <c r="F363" s="15">
        <v>43609</v>
      </c>
      <c r="G363" s="13" t="s">
        <v>277</v>
      </c>
      <c r="H363" s="34"/>
      <c r="I363" s="33">
        <f ca="1">ROUNDDOWN(表3[[#This Row],[日期]]-TODAY(),1)</f>
        <v>-14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344</v>
      </c>
      <c r="C364" s="7">
        <v>43613</v>
      </c>
      <c r="D364" s="16">
        <v>12</v>
      </c>
      <c r="E364" s="22" t="s">
        <v>410</v>
      </c>
      <c r="F364" s="15">
        <v>43609</v>
      </c>
      <c r="G364" s="13" t="s">
        <v>277</v>
      </c>
      <c r="H364" s="34"/>
      <c r="I364" s="33">
        <f ca="1">ROUNDDOWN(表3[[#This Row],[日期]]-TODAY(),1)</f>
        <v>-14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344</v>
      </c>
      <c r="C365" s="7">
        <v>43613</v>
      </c>
      <c r="D365" s="16">
        <v>13</v>
      </c>
      <c r="E365" s="22" t="s">
        <v>411</v>
      </c>
      <c r="F365" s="15">
        <v>43609</v>
      </c>
      <c r="G365" s="13" t="s">
        <v>277</v>
      </c>
      <c r="H365" s="34"/>
      <c r="I365" s="33">
        <f ca="1">ROUNDDOWN(表3[[#This Row],[日期]]-TODAY(),1)</f>
        <v>-14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344</v>
      </c>
      <c r="C366" s="7">
        <v>43613</v>
      </c>
      <c r="D366" s="16">
        <v>14</v>
      </c>
      <c r="E366" s="22" t="s">
        <v>412</v>
      </c>
      <c r="F366" s="15">
        <v>43609</v>
      </c>
      <c r="G366" s="13" t="s">
        <v>277</v>
      </c>
      <c r="H366" s="34"/>
      <c r="I366" s="33">
        <f ca="1">ROUNDDOWN(表3[[#This Row],[日期]]-TODAY(),1)</f>
        <v>-14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344</v>
      </c>
      <c r="C367" s="7">
        <v>43613</v>
      </c>
      <c r="D367" s="16">
        <v>15</v>
      </c>
      <c r="E367" s="22" t="s">
        <v>413</v>
      </c>
      <c r="F367" s="15">
        <v>43609</v>
      </c>
      <c r="G367" s="13" t="s">
        <v>277</v>
      </c>
      <c r="H367" s="34"/>
      <c r="I367" s="33">
        <f ca="1">ROUNDDOWN(表3[[#This Row],[日期]]-TODAY(),1)</f>
        <v>-14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344</v>
      </c>
      <c r="C368" s="7">
        <v>43613</v>
      </c>
      <c r="D368" s="16">
        <v>16</v>
      </c>
      <c r="E368" s="22" t="s">
        <v>414</v>
      </c>
      <c r="F368" s="15">
        <v>43609</v>
      </c>
      <c r="G368" s="13" t="s">
        <v>277</v>
      </c>
      <c r="H368" s="34"/>
      <c r="I368" s="33">
        <f ca="1">ROUNDDOWN(表3[[#This Row],[日期]]-TODAY(),1)</f>
        <v>-14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344</v>
      </c>
      <c r="C369" s="7">
        <v>43613</v>
      </c>
      <c r="D369" s="16">
        <v>17</v>
      </c>
      <c r="E369" s="22" t="s">
        <v>531</v>
      </c>
      <c r="F369" s="15">
        <v>43610</v>
      </c>
      <c r="G369" s="13" t="s">
        <v>277</v>
      </c>
      <c r="H369" s="34"/>
      <c r="I369" s="33">
        <f ca="1">ROUNDDOWN(表3[[#This Row],[日期]]-TODAY(),1)</f>
        <v>-13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344</v>
      </c>
      <c r="C370" s="7">
        <v>43613</v>
      </c>
      <c r="D370" s="16">
        <v>18</v>
      </c>
      <c r="E370" s="22" t="s">
        <v>533</v>
      </c>
      <c r="F370" s="15">
        <v>43610</v>
      </c>
      <c r="G370" s="13" t="s">
        <v>277</v>
      </c>
      <c r="H370" s="34"/>
      <c r="I370" s="33">
        <f ca="1">ROUNDDOWN(表3[[#This Row],[日期]]-TODAY(),1)</f>
        <v>-13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344</v>
      </c>
      <c r="C371" s="7">
        <v>43613</v>
      </c>
      <c r="D371" s="16">
        <v>19</v>
      </c>
      <c r="E371" s="22" t="s">
        <v>532</v>
      </c>
      <c r="F371" s="15">
        <v>43610</v>
      </c>
      <c r="G371" s="13" t="s">
        <v>277</v>
      </c>
      <c r="H371" s="34"/>
      <c r="I371" s="33">
        <f ca="1">ROUNDDOWN(表3[[#This Row],[日期]]-TODAY(),1)</f>
        <v>-13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344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277</v>
      </c>
      <c r="H372" s="34"/>
      <c r="I372" s="33">
        <f ca="1">ROUNDDOWN(表3[[#This Row],[日期]]-TODAY(),1)</f>
        <v>-13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344</v>
      </c>
      <c r="C373" s="7">
        <v>43613</v>
      </c>
      <c r="D373" s="16">
        <v>21</v>
      </c>
      <c r="E373" s="22" t="s">
        <v>534</v>
      </c>
      <c r="F373" s="15">
        <v>43612</v>
      </c>
      <c r="G373" s="13" t="s">
        <v>277</v>
      </c>
      <c r="H373" s="34"/>
      <c r="I373" s="33">
        <f ca="1">ROUNDDOWN(表3[[#This Row],[日期]]-TODAY(),1)</f>
        <v>-11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344</v>
      </c>
      <c r="C374" s="7">
        <v>43613</v>
      </c>
      <c r="D374" s="16">
        <v>22</v>
      </c>
      <c r="E374" s="22" t="s">
        <v>349</v>
      </c>
      <c r="F374" s="15">
        <v>43614</v>
      </c>
      <c r="G374" s="13" t="s">
        <v>277</v>
      </c>
      <c r="H374" s="34"/>
      <c r="I374" s="33">
        <f ca="1">ROUNDDOWN(表3[[#This Row],[日期]]-TODAY(),1)</f>
        <v>-9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344</v>
      </c>
      <c r="C375" s="7">
        <v>43613</v>
      </c>
      <c r="D375" s="16">
        <v>23</v>
      </c>
      <c r="E375" s="22" t="s">
        <v>649</v>
      </c>
      <c r="F375" s="15">
        <v>43621</v>
      </c>
      <c r="G375" s="13" t="s">
        <v>277</v>
      </c>
      <c r="H375" s="34"/>
      <c r="I375" s="33">
        <f ca="1">ROUNDDOWN(表3[[#This Row],[日期]]-TODAY(),1)</f>
        <v>-2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344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277</v>
      </c>
      <c r="H376" s="34"/>
      <c r="I376" s="33">
        <f ca="1">ROUNDDOWN(表3[[#This Row],[日期]]-TODAY(),1)</f>
        <v>-9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344</v>
      </c>
      <c r="C377" s="7">
        <v>43613</v>
      </c>
      <c r="D377" s="16">
        <v>25</v>
      </c>
      <c r="E377" s="22" t="s">
        <v>688</v>
      </c>
      <c r="F377" s="15">
        <v>43626</v>
      </c>
      <c r="G377" s="13" t="s">
        <v>689</v>
      </c>
      <c r="H377" s="34"/>
      <c r="I377" s="33">
        <f ca="1">ROUNDDOWN(表3[[#This Row],[日期]]-TODAY(),1)</f>
        <v>3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451</v>
      </c>
      <c r="C378" s="7">
        <v>43614</v>
      </c>
      <c r="D378" s="16">
        <v>1</v>
      </c>
      <c r="E378" s="22" t="s">
        <v>449</v>
      </c>
      <c r="F378" s="15">
        <v>43602</v>
      </c>
      <c r="G378" s="13" t="s">
        <v>277</v>
      </c>
      <c r="H378" s="34"/>
      <c r="I378" s="33">
        <f ca="1">ROUNDDOWN(表3[[#This Row],[日期]]-TODAY(),1)</f>
        <v>-21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451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277</v>
      </c>
      <c r="H379" s="34"/>
      <c r="I379" s="33">
        <f ca="1">ROUNDDOWN(表3[[#This Row],[日期]]-TODAY(),1)</f>
        <v>-17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451</v>
      </c>
      <c r="C380" s="7">
        <v>43614</v>
      </c>
      <c r="D380" s="16">
        <v>3</v>
      </c>
      <c r="E380" s="22" t="s">
        <v>450</v>
      </c>
      <c r="F380" s="15">
        <v>43606</v>
      </c>
      <c r="G380" s="13" t="s">
        <v>277</v>
      </c>
      <c r="H380" s="34"/>
      <c r="I380" s="33">
        <f ca="1">ROUNDDOWN(表3[[#This Row],[日期]]-TODAY(),1)</f>
        <v>-17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451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277</v>
      </c>
      <c r="H381" s="34" t="s">
        <v>143</v>
      </c>
      <c r="I381" s="33">
        <f ca="1">ROUNDDOWN(表3[[#This Row],[日期]]-TODAY(),1)</f>
        <v>-15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451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277</v>
      </c>
      <c r="H382" s="34"/>
      <c r="I382" s="33">
        <f ca="1">ROUNDDOWN(表3[[#This Row],[日期]]-TODAY(),1)</f>
        <v>-15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451</v>
      </c>
      <c r="C383" s="7">
        <v>43614</v>
      </c>
      <c r="D383" s="16">
        <v>6</v>
      </c>
      <c r="E383" s="22" t="s">
        <v>519</v>
      </c>
      <c r="F383" s="15">
        <v>43609</v>
      </c>
      <c r="G383" s="13" t="s">
        <v>277</v>
      </c>
      <c r="H383" s="34"/>
      <c r="I383" s="33">
        <f ca="1">ROUNDDOWN(表3[[#This Row],[日期]]-TODAY(),1)</f>
        <v>-14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451</v>
      </c>
      <c r="C384" s="7">
        <v>43614</v>
      </c>
      <c r="D384" s="16">
        <v>7</v>
      </c>
      <c r="E384" s="22" t="s">
        <v>351</v>
      </c>
      <c r="F384" s="15">
        <v>43609</v>
      </c>
      <c r="G384" s="13" t="s">
        <v>277</v>
      </c>
      <c r="H384" s="34" t="s">
        <v>149</v>
      </c>
      <c r="I384" s="33">
        <f ca="1">ROUNDDOWN(表3[[#This Row],[日期]]-TODAY(),1)</f>
        <v>-14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451</v>
      </c>
      <c r="C385" s="7">
        <v>43614</v>
      </c>
      <c r="D385" s="16">
        <v>8</v>
      </c>
      <c r="E385" s="22" t="s">
        <v>520</v>
      </c>
      <c r="F385" s="15">
        <v>43612</v>
      </c>
      <c r="G385" s="13" t="s">
        <v>277</v>
      </c>
      <c r="H385" s="34"/>
      <c r="I385" s="33">
        <f ca="1">ROUNDDOWN(表3[[#This Row],[日期]]-TODAY(),1)</f>
        <v>-11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451</v>
      </c>
      <c r="C386" s="7">
        <v>43614</v>
      </c>
      <c r="D386" s="16">
        <v>9</v>
      </c>
      <c r="E386" s="22" t="s">
        <v>353</v>
      </c>
      <c r="F386" s="15">
        <v>43611</v>
      </c>
      <c r="G386" s="13" t="s">
        <v>277</v>
      </c>
      <c r="H386" s="34"/>
      <c r="I386" s="33">
        <f ca="1">ROUNDDOWN(表3[[#This Row],[日期]]-TODAY(),1)</f>
        <v>-12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451</v>
      </c>
      <c r="C387" s="7">
        <v>43614</v>
      </c>
      <c r="D387" s="16">
        <v>10</v>
      </c>
      <c r="E387" s="22" t="s">
        <v>355</v>
      </c>
      <c r="F387" s="15">
        <v>43612</v>
      </c>
      <c r="G387" s="13" t="s">
        <v>277</v>
      </c>
      <c r="H387" s="34"/>
      <c r="I387" s="33">
        <f ca="1">ROUNDDOWN(表3[[#This Row],[日期]]-TODAY(),1)</f>
        <v>-11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451</v>
      </c>
      <c r="C388" s="7">
        <v>43614</v>
      </c>
      <c r="D388" s="16">
        <v>11</v>
      </c>
      <c r="E388" s="22" t="s">
        <v>352</v>
      </c>
      <c r="F388" s="15">
        <v>43612</v>
      </c>
      <c r="G388" s="13" t="s">
        <v>277</v>
      </c>
      <c r="H388" s="34" t="s">
        <v>159</v>
      </c>
      <c r="I388" s="33">
        <f ca="1">ROUNDDOWN(表3[[#This Row],[日期]]-TODAY(),1)</f>
        <v>-11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451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277</v>
      </c>
      <c r="H389" s="34"/>
      <c r="I389" s="33">
        <f ca="1">ROUNDDOWN(表3[[#This Row],[日期]]-TODAY(),1)</f>
        <v>-11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451</v>
      </c>
      <c r="C390" s="7">
        <v>43614</v>
      </c>
      <c r="D390" s="16">
        <v>13</v>
      </c>
      <c r="E390" s="22" t="s">
        <v>356</v>
      </c>
      <c r="F390" s="15">
        <v>43612</v>
      </c>
      <c r="G390" s="13" t="s">
        <v>277</v>
      </c>
      <c r="H390" s="34"/>
      <c r="I390" s="33">
        <f ca="1">ROUNDDOWN(表3[[#This Row],[日期]]-TODAY(),1)</f>
        <v>-11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451</v>
      </c>
      <c r="C391" s="7">
        <v>43614</v>
      </c>
      <c r="D391" s="16">
        <v>14</v>
      </c>
      <c r="E391" s="22" t="s">
        <v>357</v>
      </c>
      <c r="F391" s="15">
        <v>43612</v>
      </c>
      <c r="G391" s="13" t="s">
        <v>277</v>
      </c>
      <c r="H391" s="34"/>
      <c r="I391" s="33">
        <f ca="1">ROUNDDOWN(表3[[#This Row],[日期]]-TODAY(),1)</f>
        <v>-11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451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277</v>
      </c>
      <c r="H392" s="34"/>
      <c r="I392" s="33">
        <f ca="1">ROUNDDOWN(表3[[#This Row],[日期]]-TODAY(),1)</f>
        <v>-11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451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277</v>
      </c>
      <c r="H393" s="34"/>
      <c r="I393" s="33">
        <f ca="1">ROUNDDOWN(表3[[#This Row],[日期]]-TODAY(),1)</f>
        <v>-8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451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277</v>
      </c>
      <c r="H394" s="34"/>
      <c r="I394" s="33">
        <f ca="1">ROUNDDOWN(表3[[#This Row],[日期]]-TODAY(),1)</f>
        <v>-8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451</v>
      </c>
      <c r="C395" s="7">
        <v>43614</v>
      </c>
      <c r="D395" s="16">
        <v>18</v>
      </c>
      <c r="E395" s="22" t="s">
        <v>265</v>
      </c>
      <c r="F395" s="15">
        <v>43617</v>
      </c>
      <c r="G395" s="13" t="s">
        <v>277</v>
      </c>
      <c r="H395" s="34"/>
      <c r="I395" s="33">
        <f ca="1">ROUNDDOWN(表3[[#This Row],[日期]]-TODAY(),1)</f>
        <v>-6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451</v>
      </c>
      <c r="C396" s="7">
        <v>43614</v>
      </c>
      <c r="D396" s="16">
        <v>19</v>
      </c>
      <c r="E396" s="22" t="s">
        <v>273</v>
      </c>
      <c r="F396" s="15">
        <v>43617</v>
      </c>
      <c r="G396" s="13" t="s">
        <v>277</v>
      </c>
      <c r="H396" s="34"/>
      <c r="I396" s="33">
        <f ca="1">ROUNDDOWN(表3[[#This Row],[日期]]-TODAY(),1)</f>
        <v>-6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358</v>
      </c>
      <c r="C397" s="7">
        <v>43614</v>
      </c>
      <c r="D397" s="16">
        <v>1</v>
      </c>
      <c r="E397" s="22" t="s">
        <v>361</v>
      </c>
      <c r="F397" s="15">
        <v>43600</v>
      </c>
      <c r="G397" s="13" t="s">
        <v>277</v>
      </c>
      <c r="H397" s="34"/>
      <c r="I397" s="33">
        <f ca="1">ROUNDDOWN(表3[[#This Row],[日期]]-TODAY(),1)</f>
        <v>-23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359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277</v>
      </c>
      <c r="H398" s="34"/>
      <c r="I398" s="33">
        <f ca="1">ROUNDDOWN(表3[[#This Row],[日期]]-TODAY(),1)</f>
        <v>-23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358</v>
      </c>
      <c r="C399" s="7">
        <v>43614</v>
      </c>
      <c r="D399" s="16">
        <v>3</v>
      </c>
      <c r="E399" s="22" t="s">
        <v>362</v>
      </c>
      <c r="F399" s="15">
        <v>43602</v>
      </c>
      <c r="G399" s="13" t="s">
        <v>277</v>
      </c>
      <c r="H399" s="34"/>
      <c r="I399" s="33">
        <f ca="1">ROUNDDOWN(表3[[#This Row],[日期]]-TODAY(),1)</f>
        <v>-21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358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277</v>
      </c>
      <c r="H400" s="34" t="s">
        <v>143</v>
      </c>
      <c r="I400" s="33">
        <f ca="1">ROUNDDOWN(表3[[#This Row],[日期]]-TODAY(),1)</f>
        <v>-15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358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277</v>
      </c>
      <c r="H401" s="34"/>
      <c r="I401" s="33">
        <f ca="1">ROUNDDOWN(表3[[#This Row],[日期]]-TODAY(),1)</f>
        <v>-15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358</v>
      </c>
      <c r="C402" s="7">
        <v>43614</v>
      </c>
      <c r="D402" s="16">
        <v>6</v>
      </c>
      <c r="E402" s="22" t="s">
        <v>519</v>
      </c>
      <c r="F402" s="15">
        <v>43608</v>
      </c>
      <c r="G402" s="13" t="s">
        <v>277</v>
      </c>
      <c r="H402" s="34"/>
      <c r="I402" s="33">
        <f ca="1">ROUNDDOWN(表3[[#This Row],[日期]]-TODAY(),1)</f>
        <v>-15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358</v>
      </c>
      <c r="C403" s="7">
        <v>43614</v>
      </c>
      <c r="D403" s="16">
        <v>7</v>
      </c>
      <c r="E403" s="22" t="s">
        <v>351</v>
      </c>
      <c r="F403" s="15">
        <v>43608</v>
      </c>
      <c r="G403" s="13" t="s">
        <v>277</v>
      </c>
      <c r="H403" s="34" t="s">
        <v>149</v>
      </c>
      <c r="I403" s="33">
        <f ca="1">ROUNDDOWN(表3[[#This Row],[日期]]-TODAY(),1)</f>
        <v>-15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358</v>
      </c>
      <c r="C404" s="7">
        <v>43614</v>
      </c>
      <c r="D404" s="16">
        <v>8</v>
      </c>
      <c r="E404" s="22" t="s">
        <v>520</v>
      </c>
      <c r="F404" s="15">
        <v>43608</v>
      </c>
      <c r="G404" s="13" t="s">
        <v>277</v>
      </c>
      <c r="H404" s="34"/>
      <c r="I404" s="33">
        <f ca="1">ROUNDDOWN(表3[[#This Row],[日期]]-TODAY(),1)</f>
        <v>-15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358</v>
      </c>
      <c r="C405" s="7">
        <v>43614</v>
      </c>
      <c r="D405" s="16">
        <v>9</v>
      </c>
      <c r="E405" s="22" t="s">
        <v>352</v>
      </c>
      <c r="F405" s="15">
        <v>43609</v>
      </c>
      <c r="G405" s="13" t="s">
        <v>277</v>
      </c>
      <c r="H405" s="34" t="s">
        <v>159</v>
      </c>
      <c r="I405" s="33">
        <f ca="1">ROUNDDOWN(表3[[#This Row],[日期]]-TODAY(),1)</f>
        <v>-14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359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277</v>
      </c>
      <c r="H406" s="34"/>
      <c r="I406" s="33">
        <f ca="1">ROUNDDOWN(表3[[#This Row],[日期]]-TODAY(),1)</f>
        <v>-14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359</v>
      </c>
      <c r="C407" s="7">
        <v>43614</v>
      </c>
      <c r="D407" s="16">
        <v>13</v>
      </c>
      <c r="E407" s="22" t="s">
        <v>356</v>
      </c>
      <c r="F407" s="15">
        <v>43609</v>
      </c>
      <c r="G407" s="13" t="s">
        <v>277</v>
      </c>
      <c r="H407" s="34" t="s">
        <v>354</v>
      </c>
      <c r="I407" s="33">
        <f ca="1">ROUNDDOWN(表3[[#This Row],[日期]]-TODAY(),1)</f>
        <v>-14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358</v>
      </c>
      <c r="C408" s="7">
        <v>43614</v>
      </c>
      <c r="D408" s="16">
        <v>14</v>
      </c>
      <c r="E408" s="22" t="s">
        <v>357</v>
      </c>
      <c r="F408" s="15">
        <v>43609</v>
      </c>
      <c r="G408" s="13" t="s">
        <v>277</v>
      </c>
      <c r="H408" s="34" t="s">
        <v>354</v>
      </c>
      <c r="I408" s="33">
        <f ca="1">ROUNDDOWN(表3[[#This Row],[日期]]-TODAY(),1)</f>
        <v>-14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358</v>
      </c>
      <c r="C409" s="7">
        <v>43614</v>
      </c>
      <c r="D409" s="16">
        <v>15</v>
      </c>
      <c r="E409" s="22" t="s">
        <v>353</v>
      </c>
      <c r="F409" s="15">
        <v>43609</v>
      </c>
      <c r="G409" s="13" t="s">
        <v>277</v>
      </c>
      <c r="H409" s="34" t="s">
        <v>354</v>
      </c>
      <c r="I409" s="33">
        <f ca="1">ROUNDDOWN(表3[[#This Row],[日期]]-TODAY(),1)</f>
        <v>-14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358</v>
      </c>
      <c r="C410" s="7">
        <v>43614</v>
      </c>
      <c r="D410" s="16">
        <v>16</v>
      </c>
      <c r="E410" s="22" t="s">
        <v>355</v>
      </c>
      <c r="F410" s="15">
        <v>43610</v>
      </c>
      <c r="G410" s="13" t="s">
        <v>277</v>
      </c>
      <c r="H410" s="34" t="s">
        <v>354</v>
      </c>
      <c r="I410" s="33">
        <f ca="1">ROUNDDOWN(表3[[#This Row],[日期]]-TODAY(),1)</f>
        <v>-13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358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277</v>
      </c>
      <c r="H411" s="34"/>
      <c r="I411" s="33">
        <f ca="1">ROUNDDOWN(表3[[#This Row],[日期]]-TODAY(),1)</f>
        <v>-13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359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277</v>
      </c>
      <c r="H412" s="34"/>
      <c r="I412" s="33">
        <f ca="1">ROUNDDOWN(表3[[#This Row],[日期]]-TODAY(),1)</f>
        <v>-11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358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277</v>
      </c>
      <c r="H413" s="34"/>
      <c r="I413" s="33">
        <f ca="1">ROUNDDOWN(表3[[#This Row],[日期]]-TODAY(),1)</f>
        <v>-9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359</v>
      </c>
      <c r="C414" s="7">
        <v>43614</v>
      </c>
      <c r="D414" s="16">
        <v>20</v>
      </c>
      <c r="E414" s="22" t="s">
        <v>265</v>
      </c>
      <c r="F414" s="15">
        <v>43615</v>
      </c>
      <c r="G414" s="13" t="s">
        <v>277</v>
      </c>
      <c r="H414" s="34"/>
      <c r="I414" s="33">
        <f ca="1">ROUNDDOWN(表3[[#This Row],[日期]]-TODAY(),1)</f>
        <v>-8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358</v>
      </c>
      <c r="C415" s="7">
        <v>43614</v>
      </c>
      <c r="D415" s="16">
        <v>21</v>
      </c>
      <c r="E415" s="22" t="s">
        <v>273</v>
      </c>
      <c r="F415" s="15">
        <v>43613</v>
      </c>
      <c r="G415" s="13" t="s">
        <v>277</v>
      </c>
      <c r="H415" s="34"/>
      <c r="I415" s="33">
        <f ca="1">ROUNDDOWN(表3[[#This Row],[日期]]-TODAY(),1)</f>
        <v>-10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279</v>
      </c>
      <c r="H416" s="34"/>
      <c r="I416" s="33">
        <f ca="1">ROUNDDOWN(表3[[#This Row],[日期]]-TODAY(),1)</f>
        <v>-43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279</v>
      </c>
      <c r="H417" s="34"/>
      <c r="I417" s="33">
        <f ca="1">ROUNDDOWN(表3[[#This Row],[日期]]-TODAY(),1)</f>
        <v>-43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279</v>
      </c>
      <c r="H418" s="34" t="s">
        <v>232</v>
      </c>
      <c r="I418" s="33">
        <f ca="1">ROUNDDOWN(表3[[#This Row],[日期]]-TODAY(),1)</f>
        <v>-43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279</v>
      </c>
      <c r="H419" s="34"/>
      <c r="I419" s="33">
        <f ca="1">ROUNDDOWN(表3[[#This Row],[日期]]-TODAY(),1)</f>
        <v>-43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279</v>
      </c>
      <c r="H420" s="34"/>
      <c r="I420" s="33">
        <f ca="1">ROUNDDOWN(表3[[#This Row],[日期]]-TODAY(),1)</f>
        <v>-29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289</v>
      </c>
      <c r="F421" s="15">
        <v>43607</v>
      </c>
      <c r="G421" s="13" t="s">
        <v>277</v>
      </c>
      <c r="H421" s="34" t="s">
        <v>281</v>
      </c>
      <c r="I421" s="33">
        <f ca="1">ROUNDDOWN(表3[[#This Row],[日期]]-TODAY(),1)</f>
        <v>-16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427</v>
      </c>
      <c r="F422" s="15">
        <v>43607</v>
      </c>
      <c r="G422" s="13" t="s">
        <v>277</v>
      </c>
      <c r="H422" s="34"/>
      <c r="I422" s="33">
        <f ca="1">ROUNDDOWN(表3[[#This Row],[日期]]-TODAY(),1)</f>
        <v>-16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287</v>
      </c>
      <c r="F423" s="15">
        <v>43607</v>
      </c>
      <c r="G423" s="13" t="s">
        <v>277</v>
      </c>
      <c r="H423" s="34"/>
      <c r="I423" s="33">
        <f ca="1">ROUNDDOWN(表3[[#This Row],[日期]]-TODAY(),1)</f>
        <v>-16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492</v>
      </c>
      <c r="F424" s="15">
        <v>43607</v>
      </c>
      <c r="G424" s="13" t="s">
        <v>277</v>
      </c>
      <c r="H424" s="34" t="s">
        <v>44</v>
      </c>
      <c r="I424" s="33">
        <f ca="1">ROUNDDOWN(表3[[#This Row],[日期]]-TODAY(),1)</f>
        <v>-16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283</v>
      </c>
      <c r="F425" s="15">
        <v>43608</v>
      </c>
      <c r="G425" s="13" t="s">
        <v>277</v>
      </c>
      <c r="H425" s="34" t="s">
        <v>33</v>
      </c>
      <c r="I425" s="33">
        <f ca="1">ROUNDDOWN(表3[[#This Row],[日期]]-TODAY(),1)</f>
        <v>-15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285</v>
      </c>
      <c r="F426" s="15">
        <v>43608</v>
      </c>
      <c r="G426" s="13" t="s">
        <v>277</v>
      </c>
      <c r="H426" s="34" t="s">
        <v>44</v>
      </c>
      <c r="I426" s="33">
        <f ca="1">ROUNDDOWN(表3[[#This Row],[日期]]-TODAY(),1)</f>
        <v>-15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295</v>
      </c>
      <c r="F427" s="15">
        <v>43608</v>
      </c>
      <c r="G427" s="13" t="s">
        <v>277</v>
      </c>
      <c r="H427" s="34" t="s">
        <v>293</v>
      </c>
      <c r="I427" s="33">
        <f ca="1">ROUNDDOWN(表3[[#This Row],[日期]]-TODAY(),1)</f>
        <v>-15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298</v>
      </c>
      <c r="F428" s="15">
        <v>43609</v>
      </c>
      <c r="G428" s="13" t="s">
        <v>277</v>
      </c>
      <c r="H428" s="34" t="s">
        <v>296</v>
      </c>
      <c r="I428" s="33">
        <f ca="1">ROUNDDOWN(表3[[#This Row],[日期]]-TODAY(),1)</f>
        <v>-14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300</v>
      </c>
      <c r="F429" s="15">
        <v>43609</v>
      </c>
      <c r="G429" s="13" t="s">
        <v>277</v>
      </c>
      <c r="H429" s="34"/>
      <c r="I429" s="33">
        <f ca="1">ROUNDDOWN(表3[[#This Row],[日期]]-TODAY(),1)</f>
        <v>-14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302</v>
      </c>
      <c r="F430" s="15">
        <v>43609</v>
      </c>
      <c r="G430" s="13" t="s">
        <v>277</v>
      </c>
      <c r="H430" s="34"/>
      <c r="I430" s="33">
        <f ca="1">ROUNDDOWN(表3[[#This Row],[日期]]-TODAY(),1)</f>
        <v>-14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316</v>
      </c>
      <c r="F431" s="15">
        <v>43609</v>
      </c>
      <c r="G431" s="13" t="s">
        <v>277</v>
      </c>
      <c r="H431" s="34"/>
      <c r="I431" s="33">
        <f ca="1">ROUNDDOWN(表3[[#This Row],[日期]]-TODAY(),1)</f>
        <v>-14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318</v>
      </c>
      <c r="F432" s="15">
        <v>43609</v>
      </c>
      <c r="G432" s="13" t="s">
        <v>277</v>
      </c>
      <c r="H432" s="34"/>
      <c r="I432" s="33">
        <f ca="1">ROUNDDOWN(表3[[#This Row],[日期]]-TODAY(),1)</f>
        <v>-14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320</v>
      </c>
      <c r="F433" s="15">
        <v>43609</v>
      </c>
      <c r="G433" s="13" t="s">
        <v>277</v>
      </c>
      <c r="H433" s="34"/>
      <c r="I433" s="33">
        <f ca="1">ROUNDDOWN(表3[[#This Row],[日期]]-TODAY(),1)</f>
        <v>-14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304</v>
      </c>
      <c r="F434" s="15">
        <v>43609</v>
      </c>
      <c r="G434" s="13" t="s">
        <v>277</v>
      </c>
      <c r="H434" s="34"/>
      <c r="I434" s="33">
        <f ca="1">ROUNDDOWN(表3[[#This Row],[日期]]-TODAY(),1)</f>
        <v>-14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306</v>
      </c>
      <c r="F435" s="15">
        <v>43610</v>
      </c>
      <c r="G435" s="13" t="s">
        <v>277</v>
      </c>
      <c r="H435" s="34"/>
      <c r="I435" s="33">
        <f ca="1">ROUNDDOWN(表3[[#This Row],[日期]]-TODAY(),1)</f>
        <v>-13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308</v>
      </c>
      <c r="F436" s="15">
        <v>43610</v>
      </c>
      <c r="G436" s="13" t="s">
        <v>277</v>
      </c>
      <c r="H436" s="34"/>
      <c r="I436" s="33">
        <f ca="1">ROUNDDOWN(表3[[#This Row],[日期]]-TODAY(),1)</f>
        <v>-13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310</v>
      </c>
      <c r="F437" s="15">
        <v>43612</v>
      </c>
      <c r="G437" s="13" t="s">
        <v>277</v>
      </c>
      <c r="H437" s="34"/>
      <c r="I437" s="33">
        <f ca="1">ROUNDDOWN(表3[[#This Row],[日期]]-TODAY(),1)</f>
        <v>-11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312</v>
      </c>
      <c r="F438" s="15">
        <v>43614</v>
      </c>
      <c r="G438" s="13" t="s">
        <v>277</v>
      </c>
      <c r="H438" s="34"/>
      <c r="I438" s="33">
        <f ca="1">ROUNDDOWN(表3[[#This Row],[日期]]-TODAY(),1)</f>
        <v>-9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314</v>
      </c>
      <c r="F439" s="15">
        <v>43615</v>
      </c>
      <c r="G439" s="13" t="s">
        <v>277</v>
      </c>
      <c r="H439" s="34"/>
      <c r="I439" s="33">
        <f ca="1">ROUNDDOWN(表3[[#This Row],[日期]]-TODAY(),1)</f>
        <v>-8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348</v>
      </c>
      <c r="F440" s="15">
        <v>43614</v>
      </c>
      <c r="G440" s="13" t="s">
        <v>277</v>
      </c>
      <c r="H440" s="34"/>
      <c r="I440" s="33">
        <f ca="1">ROUNDDOWN(表3[[#This Row],[日期]]-TODAY(),1)</f>
        <v>-9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516</v>
      </c>
      <c r="F441" s="15">
        <v>43615</v>
      </c>
      <c r="G441" s="13" t="s">
        <v>277</v>
      </c>
      <c r="H441" s="34"/>
      <c r="I441" s="33">
        <f ca="1">ROUNDDOWN(表3[[#This Row],[日期]]-TODAY(),1)</f>
        <v>-8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277</v>
      </c>
      <c r="H442" s="34" t="s">
        <v>29</v>
      </c>
      <c r="I442" s="33">
        <f ca="1">ROUNDDOWN(表3[[#This Row],[日期]]-TODAY(),1)</f>
        <v>-21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277</v>
      </c>
      <c r="H443" s="34"/>
      <c r="I443" s="33">
        <f ca="1">ROUNDDOWN(表3[[#This Row],[日期]]-TODAY(),1)</f>
        <v>-21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277</v>
      </c>
      <c r="H444" s="34" t="s">
        <v>31</v>
      </c>
      <c r="I444" s="33">
        <f ca="1">ROUNDDOWN(表3[[#This Row],[日期]]-TODAY(),1)</f>
        <v>-18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277</v>
      </c>
      <c r="H445" s="34"/>
      <c r="I445" s="33">
        <f ca="1">ROUNDDOWN(表3[[#This Row],[日期]]-TODAY(),1)</f>
        <v>-18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277</v>
      </c>
      <c r="H446" s="34" t="s">
        <v>44</v>
      </c>
      <c r="I446" s="33">
        <f ca="1">ROUNDDOWN(表3[[#This Row],[日期]]-TODAY(),1)</f>
        <v>-17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277</v>
      </c>
      <c r="H447" s="34"/>
      <c r="I447" s="33">
        <f ca="1">ROUNDDOWN(表3[[#This Row],[日期]]-TODAY(),1)</f>
        <v>-17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277</v>
      </c>
      <c r="H448" s="34"/>
      <c r="I448" s="33">
        <f ca="1">ROUNDDOWN(表3[[#This Row],[日期]]-TODAY(),1)</f>
        <v>-17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277</v>
      </c>
      <c r="H449" s="34"/>
      <c r="I449" s="33">
        <f ca="1">ROUNDDOWN(表3[[#This Row],[日期]]-TODAY(),1)</f>
        <v>-17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277</v>
      </c>
      <c r="H450" s="34"/>
      <c r="I450" s="33">
        <f ca="1">ROUNDDOWN(表3[[#This Row],[日期]]-TODAY(),1)</f>
        <v>-17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277</v>
      </c>
      <c r="H451" s="34" t="s">
        <v>33</v>
      </c>
      <c r="I451" s="33">
        <f ca="1">ROUNDDOWN(表3[[#This Row],[日期]]-TODAY(),1)</f>
        <v>-16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277</v>
      </c>
      <c r="H452" s="34"/>
      <c r="I452" s="33">
        <f ca="1">ROUNDDOWN(表3[[#This Row],[日期]]-TODAY(),1)</f>
        <v>-16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475</v>
      </c>
      <c r="F453" s="15">
        <v>43612</v>
      </c>
      <c r="G453" s="13" t="s">
        <v>277</v>
      </c>
      <c r="H453" s="34" t="s">
        <v>35</v>
      </c>
      <c r="I453" s="33">
        <f ca="1">ROUNDDOWN(表3[[#This Row],[日期]]-TODAY(),1)</f>
        <v>-11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277</v>
      </c>
      <c r="H454" s="34"/>
      <c r="I454" s="33">
        <f ca="1">ROUNDDOWN(表3[[#This Row],[日期]]-TODAY(),1)</f>
        <v>-11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277</v>
      </c>
      <c r="H455" s="34"/>
      <c r="I455" s="33">
        <f ca="1">ROUNDDOWN(表3[[#This Row],[日期]]-TODAY(),1)</f>
        <v>-11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277</v>
      </c>
      <c r="H456" s="34"/>
      <c r="I456" s="33">
        <f ca="1">ROUNDDOWN(表3[[#This Row],[日期]]-TODAY(),1)</f>
        <v>-11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277</v>
      </c>
      <c r="H457" s="34"/>
      <c r="I457" s="33">
        <f ca="1">ROUNDDOWN(表3[[#This Row],[日期]]-TODAY(),1)</f>
        <v>-11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277</v>
      </c>
      <c r="H458" s="34"/>
      <c r="I458" s="33">
        <f ca="1">ROUNDDOWN(表3[[#This Row],[日期]]-TODAY(),1)</f>
        <v>-11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277</v>
      </c>
      <c r="H459" s="34"/>
      <c r="I459" s="33">
        <f ca="1">ROUNDDOWN(表3[[#This Row],[日期]]-TODAY(),1)</f>
        <v>-11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277</v>
      </c>
      <c r="H460" s="34"/>
      <c r="I460" s="33">
        <f ca="1">ROUNDDOWN(表3[[#This Row],[日期]]-TODAY(),1)</f>
        <v>-11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468</v>
      </c>
      <c r="F461" s="15">
        <v>43613</v>
      </c>
      <c r="G461" s="13" t="s">
        <v>277</v>
      </c>
      <c r="H461" s="34" t="s">
        <v>37</v>
      </c>
      <c r="I461" s="33">
        <f ca="1">ROUNDDOWN(表3[[#This Row],[日期]]-TODAY(),1)</f>
        <v>-10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277</v>
      </c>
      <c r="H462" s="34"/>
      <c r="I462" s="33">
        <f ca="1">ROUNDDOWN(表3[[#This Row],[日期]]-TODAY(),1)</f>
        <v>-10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277</v>
      </c>
      <c r="H463" s="34"/>
      <c r="I463" s="33">
        <f ca="1">ROUNDDOWN(表3[[#This Row],[日期]]-TODAY(),1)</f>
        <v>-10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277</v>
      </c>
      <c r="H464" s="34"/>
      <c r="I464" s="33">
        <f ca="1">ROUNDDOWN(表3[[#This Row],[日期]]-TODAY(),1)</f>
        <v>-10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544</v>
      </c>
      <c r="F465" s="15">
        <v>43613</v>
      </c>
      <c r="G465" s="13" t="s">
        <v>277</v>
      </c>
      <c r="H465" s="34" t="s">
        <v>44</v>
      </c>
      <c r="I465" s="33">
        <f ca="1">ROUNDDOWN(表3[[#This Row],[日期]]-TODAY(),1)</f>
        <v>-10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277</v>
      </c>
      <c r="H466" s="34" t="s">
        <v>211</v>
      </c>
      <c r="I466" s="33">
        <f ca="1">ROUNDDOWN(表3[[#This Row],[日期]]-TODAY(),1)</f>
        <v>-10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277</v>
      </c>
      <c r="H467" s="34"/>
      <c r="I467" s="33">
        <f ca="1">ROUNDDOWN(表3[[#This Row],[日期]]-TODAY(),1)</f>
        <v>-10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277</v>
      </c>
      <c r="H468" s="34"/>
      <c r="I468" s="33">
        <f ca="1">ROUNDDOWN(表3[[#This Row],[日期]]-TODAY(),1)</f>
        <v>-10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277</v>
      </c>
      <c r="H469" s="34"/>
      <c r="I469" s="33">
        <f ca="1">ROUNDDOWN(表3[[#This Row],[日期]]-TODAY(),1)</f>
        <v>-10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277</v>
      </c>
      <c r="H470" s="34"/>
      <c r="I470" s="33">
        <f ca="1">ROUNDDOWN(表3[[#This Row],[日期]]-TODAY(),1)</f>
        <v>-10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277</v>
      </c>
      <c r="H471" s="34"/>
      <c r="I471" s="33">
        <f ca="1">ROUNDDOWN(表3[[#This Row],[日期]]-TODAY(),1)</f>
        <v>-10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348</v>
      </c>
      <c r="F472" s="15">
        <v>43613</v>
      </c>
      <c r="G472" s="13" t="s">
        <v>277</v>
      </c>
      <c r="H472" s="46" t="s">
        <v>561</v>
      </c>
      <c r="I472" s="33">
        <f ca="1">ROUNDDOWN(表3[[#This Row],[日期]]-TODAY(),1)</f>
        <v>-10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277</v>
      </c>
      <c r="H473" s="34" t="s">
        <v>44</v>
      </c>
      <c r="I473" s="33">
        <f ca="1">ROUNDDOWN(表3[[#This Row],[日期]]-TODAY(),1)</f>
        <v>-10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277</v>
      </c>
      <c r="H474" s="34"/>
      <c r="I474" s="33">
        <f ca="1">ROUNDDOWN(表3[[#This Row],[日期]]-TODAY(),1)</f>
        <v>-10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277</v>
      </c>
      <c r="H475" s="34" t="s">
        <v>72</v>
      </c>
      <c r="I475" s="33">
        <f ca="1">ROUNDDOWN(表3[[#This Row],[日期]]-TODAY(),1)</f>
        <v>-10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277</v>
      </c>
      <c r="H476" s="34"/>
      <c r="I476" s="33">
        <f ca="1">ROUNDDOWN(表3[[#This Row],[日期]]-TODAY(),1)</f>
        <v>-10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473</v>
      </c>
      <c r="F477" s="15">
        <v>43613</v>
      </c>
      <c r="G477" s="13" t="s">
        <v>277</v>
      </c>
      <c r="H477" s="34" t="s">
        <v>33</v>
      </c>
      <c r="I477" s="33">
        <f ca="1">ROUNDDOWN(表3[[#This Row],[日期]]-TODAY(),1)</f>
        <v>-10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474</v>
      </c>
      <c r="F478" s="15">
        <v>43613</v>
      </c>
      <c r="G478" s="13" t="s">
        <v>277</v>
      </c>
      <c r="H478" s="34" t="s">
        <v>44</v>
      </c>
      <c r="I478" s="33">
        <f ca="1">ROUNDDOWN(表3[[#This Row],[日期]]-TODAY(),1)</f>
        <v>-10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277</v>
      </c>
      <c r="H479" s="34"/>
      <c r="I479" s="33">
        <f ca="1">ROUNDDOWN(表3[[#This Row],[日期]]-TODAY(),1)</f>
        <v>-10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277</v>
      </c>
      <c r="H480" s="34" t="s">
        <v>79</v>
      </c>
      <c r="I480" s="33">
        <f ca="1">ROUNDDOWN(表3[[#This Row],[日期]]-TODAY(),1)</f>
        <v>-10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277</v>
      </c>
      <c r="H481" s="34"/>
      <c r="I481" s="33">
        <f ca="1">ROUNDDOWN(表3[[#This Row],[日期]]-TODAY(),1)</f>
        <v>-10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277</v>
      </c>
      <c r="H482" s="34"/>
      <c r="I482" s="33">
        <f ca="1">ROUNDDOWN(表3[[#This Row],[日期]]-TODAY(),1)</f>
        <v>-9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277</v>
      </c>
      <c r="H483" s="34"/>
      <c r="I483" s="33">
        <f ca="1">ROUNDDOWN(表3[[#This Row],[日期]]-TODAY(),1)</f>
        <v>-9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277</v>
      </c>
      <c r="H484" s="34"/>
      <c r="I484" s="33">
        <f ca="1">ROUNDDOWN(表3[[#This Row],[日期]]-TODAY(),1)</f>
        <v>-9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277</v>
      </c>
      <c r="H485" s="34"/>
      <c r="I485" s="33">
        <f ca="1">ROUNDDOWN(表3[[#This Row],[日期]]-TODAY(),1)</f>
        <v>-8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277</v>
      </c>
      <c r="H486" s="34"/>
      <c r="I486" s="33">
        <f ca="1">ROUNDDOWN(表3[[#This Row],[日期]]-TODAY(),1)</f>
        <v>-8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349</v>
      </c>
      <c r="F487" s="15">
        <v>43617</v>
      </c>
      <c r="G487" s="13" t="s">
        <v>277</v>
      </c>
      <c r="H487" s="34"/>
      <c r="I487" s="33">
        <f ca="1">ROUNDDOWN(表3[[#This Row],[日期]]-TODAY(),1)</f>
        <v>-6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220</v>
      </c>
      <c r="H488" s="34" t="s">
        <v>138</v>
      </c>
      <c r="I488" s="33">
        <f ca="1">ROUNDDOWN(表3[[#This Row],[日期]]-TODAY(),1)</f>
        <v>3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258</v>
      </c>
      <c r="C489" s="7">
        <v>43617</v>
      </c>
      <c r="D489" s="16">
        <v>1</v>
      </c>
      <c r="E489" s="22" t="s">
        <v>240</v>
      </c>
      <c r="F489" s="15">
        <v>43636</v>
      </c>
      <c r="G489" s="13" t="s">
        <v>220</v>
      </c>
      <c r="H489" s="34" t="s">
        <v>242</v>
      </c>
      <c r="I489" s="33">
        <f ca="1">ROUNDDOWN(表3[[#This Row],[日期]]-TODAY(),1)</f>
        <v>13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258</v>
      </c>
      <c r="C490" s="7">
        <v>43617</v>
      </c>
      <c r="D490" s="16">
        <v>2</v>
      </c>
      <c r="E490" s="22" t="s">
        <v>588</v>
      </c>
      <c r="F490" s="15">
        <v>43621</v>
      </c>
      <c r="G490" s="13" t="s">
        <v>277</v>
      </c>
      <c r="H490" s="34" t="s">
        <v>589</v>
      </c>
      <c r="I490" s="33">
        <f ca="1">ROUNDDOWN(表3[[#This Row],[日期]]-TODAY(),1)</f>
        <v>-2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258</v>
      </c>
      <c r="C491" s="7">
        <v>43617</v>
      </c>
      <c r="D491" s="16">
        <v>3</v>
      </c>
      <c r="E491" s="22" t="s">
        <v>590</v>
      </c>
      <c r="F491" s="15">
        <v>43630</v>
      </c>
      <c r="G491" s="13" t="s">
        <v>591</v>
      </c>
      <c r="H491" s="34"/>
      <c r="I491" s="33">
        <f ca="1">ROUNDDOWN(表3[[#This Row],[日期]]-TODAY(),1)</f>
        <v>7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258</v>
      </c>
      <c r="C492" s="7">
        <v>43617</v>
      </c>
      <c r="D492" s="16">
        <v>4</v>
      </c>
      <c r="E492" s="22" t="s">
        <v>260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18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258</v>
      </c>
      <c r="C493" s="7">
        <v>43617</v>
      </c>
      <c r="D493" s="16">
        <v>5</v>
      </c>
      <c r="E493" s="22" t="s">
        <v>636</v>
      </c>
      <c r="F493" s="15">
        <v>43644</v>
      </c>
      <c r="G493" s="13" t="s">
        <v>639</v>
      </c>
      <c r="H493" s="34"/>
      <c r="I493" s="33">
        <f ca="1">ROUNDDOWN(表3[[#This Row],[日期]]-TODAY(),1)</f>
        <v>21</v>
      </c>
    </row>
    <row r="494" spans="1:9" hidden="1" x14ac:dyDescent="0.2">
      <c r="A494" s="33" t="str">
        <f>TEXT(表3[[#This Row],[ETD]],"mmdd-h ")&amp;表3[[#This Row],[项目]]</f>
        <v>0603-0 0 WEEK</v>
      </c>
      <c r="B494" s="34" t="s">
        <v>256</v>
      </c>
      <c r="C494" s="7">
        <v>43619</v>
      </c>
      <c r="D494" s="16">
        <v>1</v>
      </c>
      <c r="E494" s="48" t="s">
        <v>452</v>
      </c>
      <c r="F494" s="15">
        <v>43619</v>
      </c>
      <c r="G494" s="13" t="s">
        <v>277</v>
      </c>
      <c r="H494" s="34" t="s">
        <v>248</v>
      </c>
      <c r="I494" s="33">
        <f ca="1">ROUNDDOWN(表3[[#This Row],[日期]]-TODAY(),1)</f>
        <v>-4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256</v>
      </c>
      <c r="C495" s="7">
        <v>43619</v>
      </c>
      <c r="D495" s="16">
        <v>2</v>
      </c>
      <c r="E495" s="48" t="s">
        <v>453</v>
      </c>
      <c r="F495" s="15">
        <v>43619</v>
      </c>
      <c r="G495" s="13" t="s">
        <v>277</v>
      </c>
      <c r="H495" s="34" t="s">
        <v>248</v>
      </c>
      <c r="I495" s="33">
        <f ca="1">ROUNDDOWN(表3[[#This Row],[日期]]-TODAY(),1)</f>
        <v>-4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256</v>
      </c>
      <c r="C496" s="7">
        <v>43619</v>
      </c>
      <c r="D496" s="40">
        <v>3</v>
      </c>
      <c r="E496" s="41" t="s">
        <v>250</v>
      </c>
      <c r="F496" s="42">
        <v>43619</v>
      </c>
      <c r="G496" s="43" t="s">
        <v>277</v>
      </c>
      <c r="H496" s="39" t="s">
        <v>248</v>
      </c>
      <c r="I496" s="38">
        <f ca="1">ROUNDDOWN(表3[[#This Row],[日期]]-TODAY(),1)</f>
        <v>-4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256</v>
      </c>
      <c r="C497" s="44">
        <v>43619</v>
      </c>
      <c r="D497" s="40">
        <v>4</v>
      </c>
      <c r="E497" s="41" t="s">
        <v>250</v>
      </c>
      <c r="F497" s="42">
        <v>43621</v>
      </c>
      <c r="G497" s="43" t="s">
        <v>277</v>
      </c>
      <c r="H497" s="39" t="s">
        <v>253</v>
      </c>
      <c r="I497" s="38">
        <f ca="1">ROUNDDOWN(表3[[#This Row],[日期]]-TODAY(),1)</f>
        <v>-2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256</v>
      </c>
      <c r="C498" s="44">
        <v>43619</v>
      </c>
      <c r="D498" s="40">
        <v>5</v>
      </c>
      <c r="E498" s="41" t="s">
        <v>239</v>
      </c>
      <c r="F498" s="42">
        <v>43626</v>
      </c>
      <c r="G498" s="43" t="s">
        <v>277</v>
      </c>
      <c r="H498" s="39" t="s">
        <v>244</v>
      </c>
      <c r="I498" s="38">
        <f ca="1">ROUNDDOWN(表3[[#This Row],[日期]]-TODAY(),1)</f>
        <v>3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256</v>
      </c>
      <c r="C499" s="7">
        <v>43619</v>
      </c>
      <c r="D499" s="16">
        <v>6</v>
      </c>
      <c r="E499" s="47" t="s">
        <v>634</v>
      </c>
      <c r="F499" s="15">
        <v>43623</v>
      </c>
      <c r="G499" s="13" t="s">
        <v>277</v>
      </c>
      <c r="H499" s="34" t="s">
        <v>244</v>
      </c>
      <c r="I499" s="33">
        <f ca="1">ROUNDDOWN(表3[[#This Row],[日期]]-TODAY(),1)</f>
        <v>0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256</v>
      </c>
      <c r="C500" s="7">
        <v>43619</v>
      </c>
      <c r="D500" s="16">
        <v>7</v>
      </c>
      <c r="E500" s="47" t="s">
        <v>651</v>
      </c>
      <c r="F500" s="15">
        <v>43622</v>
      </c>
      <c r="G500" s="13" t="s">
        <v>277</v>
      </c>
      <c r="H500" s="34" t="s">
        <v>244</v>
      </c>
      <c r="I500" s="33">
        <f ca="1">ROUNDDOWN(表3[[#This Row],[日期]]-TODAY(),1)</f>
        <v>-1</v>
      </c>
    </row>
    <row r="501" spans="1:9" hidden="1" x14ac:dyDescent="0.2">
      <c r="A501" s="33" t="str">
        <f>TEXT(表3[[#This Row],[ETD]],"mmdd-h ")&amp;表3[[#This Row],[项目]]</f>
        <v>0605-0 HMI</v>
      </c>
      <c r="B501" s="34" t="s">
        <v>545</v>
      </c>
      <c r="C501" s="7">
        <v>43621</v>
      </c>
      <c r="D501" s="16">
        <v>1</v>
      </c>
      <c r="E501" s="22" t="s">
        <v>449</v>
      </c>
      <c r="F501" s="15">
        <v>43609</v>
      </c>
      <c r="G501" s="13" t="s">
        <v>277</v>
      </c>
      <c r="H501" s="34"/>
      <c r="I501" s="33">
        <f ca="1">ROUNDDOWN(表3[[#This Row],[日期]]-TODAY(),1)</f>
        <v>-14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545</v>
      </c>
      <c r="C502" s="7">
        <v>43621</v>
      </c>
      <c r="D502" s="16">
        <v>2</v>
      </c>
      <c r="E502" s="22" t="s">
        <v>450</v>
      </c>
      <c r="F502" s="15">
        <v>43614</v>
      </c>
      <c r="G502" s="13" t="s">
        <v>277</v>
      </c>
      <c r="H502" s="34"/>
      <c r="I502" s="33">
        <f ca="1">ROUNDDOWN(表3[[#This Row],[日期]]-TODAY(),1)</f>
        <v>-9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545</v>
      </c>
      <c r="C503" s="7">
        <v>43621</v>
      </c>
      <c r="D503" s="16">
        <v>3</v>
      </c>
      <c r="E503" s="22" t="s">
        <v>21</v>
      </c>
      <c r="F503" s="15">
        <v>43613</v>
      </c>
      <c r="G503" s="13" t="s">
        <v>277</v>
      </c>
      <c r="H503" s="34"/>
      <c r="I503" s="33">
        <f ca="1">ROUNDDOWN(表3[[#This Row],[日期]]-TODAY(),1)</f>
        <v>-10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545</v>
      </c>
      <c r="C504" s="7">
        <v>43621</v>
      </c>
      <c r="D504" s="16">
        <v>4</v>
      </c>
      <c r="E504" s="22" t="s">
        <v>155</v>
      </c>
      <c r="F504" s="15">
        <v>43615</v>
      </c>
      <c r="G504" s="13" t="s">
        <v>277</v>
      </c>
      <c r="H504" s="34" t="s">
        <v>143</v>
      </c>
      <c r="I504" s="33">
        <f ca="1">ROUNDDOWN(表3[[#This Row],[日期]]-TODAY(),1)</f>
        <v>-8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545</v>
      </c>
      <c r="C505" s="7">
        <v>43621</v>
      </c>
      <c r="D505" s="16">
        <v>5</v>
      </c>
      <c r="E505" s="22" t="s">
        <v>146</v>
      </c>
      <c r="F505" s="15">
        <v>43615</v>
      </c>
      <c r="G505" s="13" t="s">
        <v>277</v>
      </c>
      <c r="H505" s="34"/>
      <c r="I505" s="33">
        <f ca="1">ROUNDDOWN(表3[[#This Row],[日期]]-TODAY(),1)</f>
        <v>-8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546</v>
      </c>
      <c r="C506" s="7">
        <v>43621</v>
      </c>
      <c r="D506" s="16">
        <v>6</v>
      </c>
      <c r="E506" s="22" t="s">
        <v>145</v>
      </c>
      <c r="F506" s="15">
        <v>43615</v>
      </c>
      <c r="G506" s="13" t="s">
        <v>277</v>
      </c>
      <c r="H506" s="34"/>
      <c r="I506" s="33">
        <f ca="1">ROUNDDOWN(表3[[#This Row],[日期]]-TODAY(),1)</f>
        <v>-8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545</v>
      </c>
      <c r="C507" s="7">
        <v>43621</v>
      </c>
      <c r="D507" s="16">
        <v>7</v>
      </c>
      <c r="E507" s="22" t="s">
        <v>351</v>
      </c>
      <c r="F507" s="15">
        <v>43616</v>
      </c>
      <c r="G507" s="13" t="s">
        <v>277</v>
      </c>
      <c r="H507" s="34" t="s">
        <v>149</v>
      </c>
      <c r="I507" s="33">
        <f ca="1">ROUNDDOWN(表3[[#This Row],[日期]]-TODAY(),1)</f>
        <v>-7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545</v>
      </c>
      <c r="C508" s="7">
        <v>43621</v>
      </c>
      <c r="D508" s="16">
        <v>8</v>
      </c>
      <c r="E508" s="22" t="s">
        <v>522</v>
      </c>
      <c r="F508" s="15">
        <v>43620</v>
      </c>
      <c r="G508" s="13" t="s">
        <v>277</v>
      </c>
      <c r="H508" s="34"/>
      <c r="I508" s="33">
        <f ca="1">ROUNDDOWN(表3[[#This Row],[日期]]-TODAY(),1)</f>
        <v>-3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545</v>
      </c>
      <c r="C509" s="7">
        <v>43621</v>
      </c>
      <c r="D509" s="16">
        <v>9</v>
      </c>
      <c r="E509" s="22" t="s">
        <v>547</v>
      </c>
      <c r="F509" s="15">
        <v>43616</v>
      </c>
      <c r="G509" s="13" t="s">
        <v>277</v>
      </c>
      <c r="H509" s="34" t="s">
        <v>354</v>
      </c>
      <c r="I509" s="33">
        <f ca="1">ROUNDDOWN(表3[[#This Row],[日期]]-TODAY(),1)</f>
        <v>-7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546</v>
      </c>
      <c r="C510" s="7">
        <v>43621</v>
      </c>
      <c r="D510" s="16">
        <v>10</v>
      </c>
      <c r="E510" s="22" t="s">
        <v>352</v>
      </c>
      <c r="F510" s="15">
        <v>43619</v>
      </c>
      <c r="G510" s="13" t="s">
        <v>277</v>
      </c>
      <c r="H510" s="34" t="s">
        <v>159</v>
      </c>
      <c r="I510" s="33">
        <f ca="1">ROUNDDOWN(表3[[#This Row],[日期]]-TODAY(),1)</f>
        <v>-4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545</v>
      </c>
      <c r="C511" s="7">
        <v>43621</v>
      </c>
      <c r="D511" s="16">
        <v>11</v>
      </c>
      <c r="E511" s="22" t="s">
        <v>226</v>
      </c>
      <c r="F511" s="15">
        <v>43619</v>
      </c>
      <c r="G511" s="13" t="s">
        <v>277</v>
      </c>
      <c r="H511" s="34"/>
      <c r="I511" s="33">
        <f ca="1">ROUNDDOWN(表3[[#This Row],[日期]]-TODAY(),1)</f>
        <v>-4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545</v>
      </c>
      <c r="C512" s="7">
        <v>43621</v>
      </c>
      <c r="D512" s="16">
        <v>12</v>
      </c>
      <c r="E512" s="22" t="s">
        <v>355</v>
      </c>
      <c r="F512" s="15">
        <v>43620</v>
      </c>
      <c r="G512" s="13" t="s">
        <v>277</v>
      </c>
      <c r="H512" s="34" t="s">
        <v>354</v>
      </c>
      <c r="I512" s="33">
        <f ca="1">ROUNDDOWN(表3[[#This Row],[日期]]-TODAY(),1)</f>
        <v>-3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545</v>
      </c>
      <c r="C513" s="7">
        <v>43621</v>
      </c>
      <c r="D513" s="16">
        <v>13</v>
      </c>
      <c r="E513" s="22" t="s">
        <v>356</v>
      </c>
      <c r="F513" s="15">
        <v>43620</v>
      </c>
      <c r="G513" s="13" t="s">
        <v>277</v>
      </c>
      <c r="H513" s="34" t="s">
        <v>354</v>
      </c>
      <c r="I513" s="33">
        <f ca="1">ROUNDDOWN(表3[[#This Row],[日期]]-TODAY(),1)</f>
        <v>-3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545</v>
      </c>
      <c r="C514" s="7">
        <v>43621</v>
      </c>
      <c r="D514" s="16">
        <v>14</v>
      </c>
      <c r="E514" s="22" t="s">
        <v>357</v>
      </c>
      <c r="F514" s="15">
        <v>43620</v>
      </c>
      <c r="G514" s="13" t="s">
        <v>277</v>
      </c>
      <c r="H514" s="34" t="s">
        <v>354</v>
      </c>
      <c r="I514" s="33">
        <f ca="1">ROUNDDOWN(表3[[#This Row],[日期]]-TODAY(),1)</f>
        <v>-3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545</v>
      </c>
      <c r="C515" s="7">
        <v>43621</v>
      </c>
      <c r="D515" s="16">
        <v>15</v>
      </c>
      <c r="E515" s="22" t="s">
        <v>93</v>
      </c>
      <c r="F515" s="15">
        <v>43620</v>
      </c>
      <c r="G515" s="13" t="s">
        <v>277</v>
      </c>
      <c r="H515" s="34"/>
      <c r="I515" s="33">
        <f ca="1">ROUNDDOWN(表3[[#This Row],[日期]]-TODAY(),1)</f>
        <v>-3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545</v>
      </c>
      <c r="C516" s="7">
        <v>43621</v>
      </c>
      <c r="D516" s="16">
        <v>16</v>
      </c>
      <c r="E516" s="22" t="s">
        <v>95</v>
      </c>
      <c r="F516" s="15">
        <v>43621</v>
      </c>
      <c r="G516" s="13" t="s">
        <v>277</v>
      </c>
      <c r="H516" s="34"/>
      <c r="I516" s="33">
        <f ca="1">ROUNDDOWN(表3[[#This Row],[日期]]-TODAY(),1)</f>
        <v>-2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545</v>
      </c>
      <c r="C517" s="44">
        <v>43621</v>
      </c>
      <c r="D517" s="40">
        <v>17</v>
      </c>
      <c r="E517" s="41" t="s">
        <v>97</v>
      </c>
      <c r="F517" s="42">
        <v>43623</v>
      </c>
      <c r="G517" s="43" t="s">
        <v>220</v>
      </c>
      <c r="H517" s="39"/>
      <c r="I517" s="38">
        <f ca="1">ROUNDDOWN(表3[[#This Row],[日期]]-TODAY(),1)</f>
        <v>0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545</v>
      </c>
      <c r="C518" s="44">
        <v>43621</v>
      </c>
      <c r="D518" s="40">
        <v>18</v>
      </c>
      <c r="E518" s="41" t="s">
        <v>265</v>
      </c>
      <c r="F518" s="42">
        <v>43624</v>
      </c>
      <c r="G518" s="43" t="s">
        <v>220</v>
      </c>
      <c r="H518" s="39"/>
      <c r="I518" s="38">
        <f ca="1">ROUNDDOWN(表3[[#This Row],[日期]]-TODAY(),1)</f>
        <v>1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545</v>
      </c>
      <c r="C519" s="44">
        <v>43621</v>
      </c>
      <c r="D519" s="40">
        <v>19</v>
      </c>
      <c r="E519" s="41" t="s">
        <v>273</v>
      </c>
      <c r="F519" s="42">
        <v>43626</v>
      </c>
      <c r="G519" s="43" t="s">
        <v>220</v>
      </c>
      <c r="H519" s="39"/>
      <c r="I519" s="38">
        <f ca="1">ROUNDDOWN(表3[[#This Row],[日期]]-TODAY(),1)</f>
        <v>3</v>
      </c>
    </row>
    <row r="520" spans="1:9" hidden="1" x14ac:dyDescent="0.2">
      <c r="A520" s="38" t="str">
        <f>TEXT(表3[[#This Row],[ETD]],"mmdd-h ")&amp;表3[[#This Row],[项目]]</f>
        <v>0605-0 JS mobis</v>
      </c>
      <c r="B520" s="39" t="s">
        <v>2</v>
      </c>
      <c r="C520" s="44">
        <v>43621</v>
      </c>
      <c r="D520" s="40">
        <v>1</v>
      </c>
      <c r="E520" s="41" t="s">
        <v>563</v>
      </c>
      <c r="F520" s="42">
        <v>43612</v>
      </c>
      <c r="G520" s="43" t="s">
        <v>562</v>
      </c>
      <c r="H520" s="39" t="s">
        <v>29</v>
      </c>
      <c r="I520" s="38">
        <f ca="1">ROUNDDOWN(表3[[#This Row],[日期]]-TODAY(),1)</f>
        <v>-11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2</v>
      </c>
      <c r="E521" s="22" t="s">
        <v>235</v>
      </c>
      <c r="F521" s="15">
        <v>43612</v>
      </c>
      <c r="G521" s="13" t="s">
        <v>562</v>
      </c>
      <c r="H521" s="34"/>
      <c r="I521" s="33">
        <f ca="1">ROUNDDOWN(表3[[#This Row],[日期]]-TODAY(),1)</f>
        <v>-11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3</v>
      </c>
      <c r="E522" s="22" t="s">
        <v>62</v>
      </c>
      <c r="F522" s="15">
        <v>43612</v>
      </c>
      <c r="G522" s="13" t="s">
        <v>562</v>
      </c>
      <c r="H522" s="34" t="s">
        <v>31</v>
      </c>
      <c r="I522" s="33">
        <f ca="1">ROUNDDOWN(表3[[#This Row],[日期]]-TODAY(),1)</f>
        <v>-11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4</v>
      </c>
      <c r="E523" s="22" t="s">
        <v>64</v>
      </c>
      <c r="F523" s="15">
        <v>43612</v>
      </c>
      <c r="G523" s="13" t="s">
        <v>568</v>
      </c>
      <c r="H523" s="34"/>
      <c r="I523" s="33">
        <f ca="1">ROUNDDOWN(表3[[#This Row],[日期]]-TODAY(),1)</f>
        <v>-11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5</v>
      </c>
      <c r="E524" s="22" t="s">
        <v>66</v>
      </c>
      <c r="F524" s="15">
        <v>43612</v>
      </c>
      <c r="G524" s="13" t="s">
        <v>562</v>
      </c>
      <c r="H524" s="34" t="s">
        <v>44</v>
      </c>
      <c r="I524" s="33">
        <f ca="1">ROUNDDOWN(表3[[#This Row],[日期]]-TODAY(),1)</f>
        <v>-11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6</v>
      </c>
      <c r="E525" s="22" t="s">
        <v>19</v>
      </c>
      <c r="F525" s="15">
        <v>43612</v>
      </c>
      <c r="G525" s="13" t="s">
        <v>562</v>
      </c>
      <c r="H525" s="34"/>
      <c r="I525" s="33">
        <f ca="1">ROUNDDOWN(表3[[#This Row],[日期]]-TODAY(),1)</f>
        <v>-11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7</v>
      </c>
      <c r="E526" s="22" t="s">
        <v>21</v>
      </c>
      <c r="F526" s="15">
        <v>43612</v>
      </c>
      <c r="G526" s="13" t="s">
        <v>562</v>
      </c>
      <c r="H526" s="34"/>
      <c r="I526" s="33">
        <f ca="1">ROUNDDOWN(表3[[#This Row],[日期]]-TODAY(),1)</f>
        <v>-11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8</v>
      </c>
      <c r="E527" s="22" t="s">
        <v>7</v>
      </c>
      <c r="F527" s="15">
        <v>43612</v>
      </c>
      <c r="G527" s="13" t="s">
        <v>562</v>
      </c>
      <c r="H527" s="34"/>
      <c r="I527" s="33">
        <f ca="1">ROUNDDOWN(表3[[#This Row],[日期]]-TODAY(),1)</f>
        <v>-11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9</v>
      </c>
      <c r="E528" s="22" t="s">
        <v>9</v>
      </c>
      <c r="F528" s="15">
        <v>43612</v>
      </c>
      <c r="G528" s="13" t="s">
        <v>562</v>
      </c>
      <c r="H528" s="34"/>
      <c r="I528" s="33">
        <f ca="1">ROUNDDOWN(表3[[#This Row],[日期]]-TODAY(),1)</f>
        <v>-11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10</v>
      </c>
      <c r="E529" s="22" t="s">
        <v>11</v>
      </c>
      <c r="F529" s="15">
        <v>43613</v>
      </c>
      <c r="G529" s="13" t="s">
        <v>277</v>
      </c>
      <c r="H529" s="34" t="s">
        <v>33</v>
      </c>
      <c r="I529" s="33">
        <f ca="1">ROUNDDOWN(表3[[#This Row],[日期]]-TODAY(),1)</f>
        <v>-10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11</v>
      </c>
      <c r="E530" s="22" t="s">
        <v>60</v>
      </c>
      <c r="F530" s="15">
        <v>43613</v>
      </c>
      <c r="G530" s="13" t="s">
        <v>277</v>
      </c>
      <c r="H530" s="34"/>
      <c r="I530" s="33">
        <f ca="1">ROUNDDOWN(表3[[#This Row],[日期]]-TODAY(),1)</f>
        <v>-10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12</v>
      </c>
      <c r="E531" s="22" t="s">
        <v>564</v>
      </c>
      <c r="F531" s="15">
        <v>43615</v>
      </c>
      <c r="G531" s="13" t="s">
        <v>277</v>
      </c>
      <c r="H531" s="34" t="s">
        <v>35</v>
      </c>
      <c r="I531" s="33">
        <f ca="1">ROUNDDOWN(表3[[#This Row],[日期]]-TODAY(),1)</f>
        <v>-8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13</v>
      </c>
      <c r="E532" s="22" t="s">
        <v>40</v>
      </c>
      <c r="F532" s="15">
        <v>43615</v>
      </c>
      <c r="G532" s="13" t="s">
        <v>277</v>
      </c>
      <c r="H532" s="34"/>
      <c r="I532" s="33">
        <f ca="1">ROUNDDOWN(表3[[#This Row],[日期]]-TODAY(),1)</f>
        <v>-8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14</v>
      </c>
      <c r="E533" s="22" t="s">
        <v>23</v>
      </c>
      <c r="F533" s="15">
        <v>43615</v>
      </c>
      <c r="G533" s="13" t="s">
        <v>277</v>
      </c>
      <c r="H533" s="34"/>
      <c r="I533" s="33">
        <f ca="1">ROUNDDOWN(表3[[#This Row],[日期]]-TODAY(),1)</f>
        <v>-8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15</v>
      </c>
      <c r="E534" s="22" t="s">
        <v>25</v>
      </c>
      <c r="F534" s="15">
        <v>43615</v>
      </c>
      <c r="G534" s="13" t="s">
        <v>277</v>
      </c>
      <c r="H534" s="34"/>
      <c r="I534" s="33">
        <f ca="1">ROUNDDOWN(表3[[#This Row],[日期]]-TODAY(),1)</f>
        <v>-8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16</v>
      </c>
      <c r="E535" s="22" t="s">
        <v>13</v>
      </c>
      <c r="F535" s="15">
        <v>43615</v>
      </c>
      <c r="G535" s="13" t="s">
        <v>277</v>
      </c>
      <c r="H535" s="34"/>
      <c r="I535" s="33">
        <f ca="1">ROUNDDOWN(表3[[#This Row],[日期]]-TODAY(),1)</f>
        <v>-8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17</v>
      </c>
      <c r="E536" s="22" t="s">
        <v>15</v>
      </c>
      <c r="F536" s="15">
        <v>43615</v>
      </c>
      <c r="G536" s="13" t="s">
        <v>277</v>
      </c>
      <c r="H536" s="34"/>
      <c r="I536" s="33">
        <f ca="1">ROUNDDOWN(表3[[#This Row],[日期]]-TODAY(),1)</f>
        <v>-8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18</v>
      </c>
      <c r="E537" s="22" t="s">
        <v>17</v>
      </c>
      <c r="F537" s="15">
        <v>43615</v>
      </c>
      <c r="G537" s="13" t="s">
        <v>277</v>
      </c>
      <c r="H537" s="34"/>
      <c r="I537" s="33">
        <f ca="1">ROUNDDOWN(表3[[#This Row],[日期]]-TODAY(),1)</f>
        <v>-8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19</v>
      </c>
      <c r="E538" s="22" t="s">
        <v>58</v>
      </c>
      <c r="F538" s="15">
        <v>43615</v>
      </c>
      <c r="G538" s="13" t="s">
        <v>277</v>
      </c>
      <c r="H538" s="34"/>
      <c r="I538" s="33">
        <f ca="1">ROUNDDOWN(表3[[#This Row],[日期]]-TODAY(),1)</f>
        <v>-8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20</v>
      </c>
      <c r="E539" s="41" t="s">
        <v>565</v>
      </c>
      <c r="F539" s="42">
        <v>43616</v>
      </c>
      <c r="G539" s="43" t="s">
        <v>277</v>
      </c>
      <c r="H539" s="39" t="s">
        <v>37</v>
      </c>
      <c r="I539" s="38">
        <f ca="1">ROUNDDOWN(表3[[#This Row],[日期]]-TODAY(),1)</f>
        <v>-7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21</v>
      </c>
      <c r="E540" s="22" t="s">
        <v>39</v>
      </c>
      <c r="F540" s="15">
        <v>43616</v>
      </c>
      <c r="G540" s="13" t="s">
        <v>277</v>
      </c>
      <c r="H540" s="34"/>
      <c r="I540" s="33">
        <f ca="1">ROUNDDOWN(表3[[#This Row],[日期]]-TODAY(),1)</f>
        <v>-7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22</v>
      </c>
      <c r="E541" s="22" t="s">
        <v>42</v>
      </c>
      <c r="F541" s="15">
        <v>43616</v>
      </c>
      <c r="G541" s="13" t="s">
        <v>277</v>
      </c>
      <c r="H541" s="34"/>
      <c r="I541" s="33">
        <f ca="1">ROUNDDOWN(表3[[#This Row],[日期]]-TODAY(),1)</f>
        <v>-7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23</v>
      </c>
      <c r="E542" s="22" t="s">
        <v>544</v>
      </c>
      <c r="F542" s="15">
        <v>43616</v>
      </c>
      <c r="G542" s="13" t="s">
        <v>277</v>
      </c>
      <c r="H542" s="34" t="s">
        <v>44</v>
      </c>
      <c r="I542" s="33">
        <f ca="1">ROUNDDOWN(表3[[#This Row],[日期]]-TODAY(),1)</f>
        <v>-7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24</v>
      </c>
      <c r="E543" s="22" t="s">
        <v>236</v>
      </c>
      <c r="F543" s="15">
        <v>43616</v>
      </c>
      <c r="G543" s="13" t="s">
        <v>277</v>
      </c>
      <c r="H543" s="34" t="s">
        <v>211</v>
      </c>
      <c r="I543" s="33">
        <f ca="1">ROUNDDOWN(表3[[#This Row],[日期]]-TODAY(),1)</f>
        <v>-7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25</v>
      </c>
      <c r="E544" s="22" t="s">
        <v>68</v>
      </c>
      <c r="F544" s="15">
        <v>43616</v>
      </c>
      <c r="G544" s="13" t="s">
        <v>277</v>
      </c>
      <c r="H544" s="34"/>
      <c r="I544" s="33">
        <f ca="1">ROUNDDOWN(表3[[#This Row],[日期]]-TODAY(),1)</f>
        <v>-7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26</v>
      </c>
      <c r="E545" s="22" t="s">
        <v>46</v>
      </c>
      <c r="F545" s="15">
        <v>43616</v>
      </c>
      <c r="G545" s="13" t="s">
        <v>277</v>
      </c>
      <c r="H545" s="34"/>
      <c r="I545" s="33">
        <f ca="1">ROUNDDOWN(表3[[#This Row],[日期]]-TODAY(),1)</f>
        <v>-7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27</v>
      </c>
      <c r="E546" s="41" t="s">
        <v>87</v>
      </c>
      <c r="F546" s="42">
        <v>43616</v>
      </c>
      <c r="G546" s="43" t="s">
        <v>277</v>
      </c>
      <c r="H546" s="39"/>
      <c r="I546" s="38">
        <f ca="1">ROUNDDOWN(表3[[#This Row],[日期]]-TODAY(),1)</f>
        <v>-7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28</v>
      </c>
      <c r="E547" s="22" t="s">
        <v>83</v>
      </c>
      <c r="F547" s="15">
        <v>43616</v>
      </c>
      <c r="G547" s="13" t="s">
        <v>277</v>
      </c>
      <c r="H547" s="34"/>
      <c r="I547" s="33">
        <f ca="1">ROUNDDOWN(表3[[#This Row],[日期]]-TODAY(),1)</f>
        <v>-7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29</v>
      </c>
      <c r="E548" s="22" t="s">
        <v>85</v>
      </c>
      <c r="F548" s="15">
        <v>43616</v>
      </c>
      <c r="G548" s="13" t="s">
        <v>277</v>
      </c>
      <c r="H548" s="34"/>
      <c r="I548" s="33">
        <f ca="1">ROUNDDOWN(表3[[#This Row],[日期]]-TODAY(),1)</f>
        <v>-7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30</v>
      </c>
      <c r="E549" s="22" t="s">
        <v>235</v>
      </c>
      <c r="F549" s="15">
        <v>43616</v>
      </c>
      <c r="G549" s="13" t="s">
        <v>277</v>
      </c>
      <c r="H549" s="34"/>
      <c r="I549" s="33">
        <f ca="1">ROUNDDOWN(表3[[#This Row],[日期]]-TODAY(),1)</f>
        <v>-7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31</v>
      </c>
      <c r="E550" s="22" t="s">
        <v>50</v>
      </c>
      <c r="F550" s="15">
        <v>43616</v>
      </c>
      <c r="G550" s="13" t="s">
        <v>277</v>
      </c>
      <c r="H550" s="34" t="s">
        <v>44</v>
      </c>
      <c r="I550" s="33">
        <f ca="1">ROUNDDOWN(表3[[#This Row],[日期]]-TODAY(),1)</f>
        <v>-7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32</v>
      </c>
      <c r="E551" s="22" t="s">
        <v>56</v>
      </c>
      <c r="F551" s="15">
        <v>43616</v>
      </c>
      <c r="G551" s="13" t="s">
        <v>277</v>
      </c>
      <c r="H551" s="34"/>
      <c r="I551" s="33">
        <f ca="1">ROUNDDOWN(表3[[#This Row],[日期]]-TODAY(),1)</f>
        <v>-7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33</v>
      </c>
      <c r="E552" s="22" t="s">
        <v>75</v>
      </c>
      <c r="F552" s="15">
        <v>43616</v>
      </c>
      <c r="G552" s="13" t="s">
        <v>277</v>
      </c>
      <c r="H552" s="34" t="s">
        <v>72</v>
      </c>
      <c r="I552" s="33">
        <f ca="1">ROUNDDOWN(表3[[#This Row],[日期]]-TODAY(),1)</f>
        <v>-7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34</v>
      </c>
      <c r="E553" s="22" t="s">
        <v>70</v>
      </c>
      <c r="F553" s="15">
        <v>43616</v>
      </c>
      <c r="G553" s="13" t="s">
        <v>277</v>
      </c>
      <c r="H553" s="34"/>
      <c r="I553" s="33">
        <f ca="1">ROUNDDOWN(表3[[#This Row],[日期]]-TODAY(),1)</f>
        <v>-7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35</v>
      </c>
      <c r="E554" s="22" t="s">
        <v>566</v>
      </c>
      <c r="F554" s="15">
        <v>43616</v>
      </c>
      <c r="G554" s="13" t="s">
        <v>277</v>
      </c>
      <c r="H554" s="34" t="s">
        <v>33</v>
      </c>
      <c r="I554" s="33">
        <f ca="1">ROUNDDOWN(表3[[#This Row],[日期]]-TODAY(),1)</f>
        <v>-7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36</v>
      </c>
      <c r="E555" s="22" t="s">
        <v>567</v>
      </c>
      <c r="F555" s="15">
        <v>43617</v>
      </c>
      <c r="G555" s="13" t="s">
        <v>277</v>
      </c>
      <c r="H555" s="34" t="s">
        <v>44</v>
      </c>
      <c r="I555" s="33">
        <f ca="1">ROUNDDOWN(表3[[#This Row],[日期]]-TODAY(),1)</f>
        <v>-6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37</v>
      </c>
      <c r="E556" s="22" t="s">
        <v>81</v>
      </c>
      <c r="F556" s="15">
        <v>43616</v>
      </c>
      <c r="G556" s="13" t="s">
        <v>277</v>
      </c>
      <c r="H556" s="34"/>
      <c r="I556" s="33">
        <f ca="1">ROUNDDOWN(表3[[#This Row],[日期]]-TODAY(),1)</f>
        <v>-7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38</v>
      </c>
      <c r="E557" s="22" t="s">
        <v>89</v>
      </c>
      <c r="F557" s="15">
        <v>43618</v>
      </c>
      <c r="G557" s="13" t="s">
        <v>277</v>
      </c>
      <c r="H557" s="34"/>
      <c r="I557" s="33">
        <f ca="1">ROUNDDOWN(表3[[#This Row],[日期]]-TODAY(),1)</f>
        <v>-5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39</v>
      </c>
      <c r="E558" s="22" t="s">
        <v>91</v>
      </c>
      <c r="F558" s="15">
        <v>43618</v>
      </c>
      <c r="G558" s="13" t="s">
        <v>277</v>
      </c>
      <c r="H558" s="34"/>
      <c r="I558" s="33">
        <f ca="1">ROUNDDOWN(表3[[#This Row],[日期]]-TODAY(),1)</f>
        <v>-5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40</v>
      </c>
      <c r="E559" s="22" t="s">
        <v>180</v>
      </c>
      <c r="F559" s="15">
        <v>43618</v>
      </c>
      <c r="G559" s="13" t="s">
        <v>277</v>
      </c>
      <c r="H559" s="34"/>
      <c r="I559" s="33">
        <f ca="1">ROUNDDOWN(表3[[#This Row],[日期]]-TODAY(),1)</f>
        <v>-5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41</v>
      </c>
      <c r="E560" s="22" t="s">
        <v>77</v>
      </c>
      <c r="F560" s="15">
        <v>43618</v>
      </c>
      <c r="G560" s="13" t="s">
        <v>277</v>
      </c>
      <c r="H560" s="34" t="s">
        <v>79</v>
      </c>
      <c r="I560" s="33">
        <f ca="1">ROUNDDOWN(表3[[#This Row],[日期]]-TODAY(),1)</f>
        <v>-5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42</v>
      </c>
      <c r="E561" s="22" t="s">
        <v>93</v>
      </c>
      <c r="F561" s="15">
        <v>43618</v>
      </c>
      <c r="G561" s="13" t="s">
        <v>277</v>
      </c>
      <c r="H561" s="34"/>
      <c r="I561" s="33">
        <f ca="1">ROUNDDOWN(表3[[#This Row],[日期]]-TODAY(),1)</f>
        <v>-5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43</v>
      </c>
      <c r="E562" s="22" t="s">
        <v>95</v>
      </c>
      <c r="F562" s="15">
        <v>43620</v>
      </c>
      <c r="G562" s="13" t="s">
        <v>277</v>
      </c>
      <c r="H562" s="34"/>
      <c r="I562" s="33">
        <f ca="1">ROUNDDOWN(表3[[#This Row],[日期]]-TODAY(),1)</f>
        <v>-3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44</v>
      </c>
      <c r="E563" s="22" t="s">
        <v>97</v>
      </c>
      <c r="F563" s="15">
        <v>43621</v>
      </c>
      <c r="G563" s="13" t="s">
        <v>277</v>
      </c>
      <c r="H563" s="34"/>
      <c r="I563" s="33">
        <f ca="1">ROUNDDOWN(表3[[#This Row],[日期]]-TODAY(),1)</f>
        <v>-2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45</v>
      </c>
      <c r="E564" s="22" t="s">
        <v>694</v>
      </c>
      <c r="F564" s="15">
        <v>43621</v>
      </c>
      <c r="G564" s="13" t="s">
        <v>277</v>
      </c>
      <c r="H564" s="34"/>
      <c r="I564" s="33">
        <f ca="1">ROUNDDOWN(表3[[#This Row],[日期]]-TODAY(),1)</f>
        <v>-2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46</v>
      </c>
      <c r="E565" s="22" t="s">
        <v>349</v>
      </c>
      <c r="F565" s="15">
        <v>43624</v>
      </c>
      <c r="G565" s="13" t="s">
        <v>220</v>
      </c>
      <c r="H565" s="34"/>
      <c r="I565" s="33">
        <f ca="1">ROUNDDOWN(表3[[#This Row],[日期]]-TODAY(),1)</f>
        <v>1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47</v>
      </c>
      <c r="E566" s="22" t="s">
        <v>101</v>
      </c>
      <c r="F566" s="15">
        <v>43626</v>
      </c>
      <c r="G566" s="13" t="s">
        <v>220</v>
      </c>
      <c r="H566" s="34" t="s">
        <v>138</v>
      </c>
      <c r="I566" s="33">
        <f ca="1">ROUNDDOWN(表3[[#This Row],[日期]]-TODAY(),1)</f>
        <v>3</v>
      </c>
    </row>
    <row r="567" spans="1:9" hidden="1" x14ac:dyDescent="0.2">
      <c r="A567" s="33" t="str">
        <f>TEXT(表3[[#This Row],[ETD]],"mmdd-h ")&amp;表3[[#This Row],[项目]]</f>
        <v>0605-0 KMM</v>
      </c>
      <c r="B567" s="34" t="s">
        <v>523</v>
      </c>
      <c r="C567" s="7">
        <v>43621</v>
      </c>
      <c r="D567" s="16">
        <v>1</v>
      </c>
      <c r="E567" s="22" t="s">
        <v>449</v>
      </c>
      <c r="F567" s="15">
        <v>43608</v>
      </c>
      <c r="G567" s="13" t="s">
        <v>277</v>
      </c>
      <c r="H567" s="34"/>
      <c r="I567" s="33">
        <f ca="1">ROUNDDOWN(表3[[#This Row],[日期]]-TODAY(),1)</f>
        <v>-15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523</v>
      </c>
      <c r="C568" s="7">
        <v>43621</v>
      </c>
      <c r="D568" s="16">
        <v>2</v>
      </c>
      <c r="E568" s="22" t="s">
        <v>450</v>
      </c>
      <c r="F568" s="15">
        <v>43612</v>
      </c>
      <c r="G568" s="13" t="s">
        <v>277</v>
      </c>
      <c r="H568" s="34"/>
      <c r="I568" s="33">
        <f ca="1">ROUNDDOWN(表3[[#This Row],[日期]]-TODAY(),1)</f>
        <v>-11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523</v>
      </c>
      <c r="C569" s="7">
        <v>43621</v>
      </c>
      <c r="D569" s="16">
        <v>3</v>
      </c>
      <c r="E569" s="22" t="s">
        <v>21</v>
      </c>
      <c r="F569" s="15">
        <v>43612</v>
      </c>
      <c r="G569" s="13" t="s">
        <v>277</v>
      </c>
      <c r="H569" s="34"/>
      <c r="I569" s="33">
        <f ca="1">ROUNDDOWN(表3[[#This Row],[日期]]-TODAY(),1)</f>
        <v>-11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523</v>
      </c>
      <c r="C570" s="7">
        <v>43621</v>
      </c>
      <c r="D570" s="16">
        <v>4</v>
      </c>
      <c r="E570" s="22" t="s">
        <v>155</v>
      </c>
      <c r="F570" s="15">
        <v>43615</v>
      </c>
      <c r="G570" s="13" t="s">
        <v>277</v>
      </c>
      <c r="H570" s="34" t="s">
        <v>143</v>
      </c>
      <c r="I570" s="33">
        <f ca="1">ROUNDDOWN(表3[[#This Row],[日期]]-TODAY(),1)</f>
        <v>-8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523</v>
      </c>
      <c r="C571" s="7">
        <v>43621</v>
      </c>
      <c r="D571" s="16">
        <v>5</v>
      </c>
      <c r="E571" s="22" t="s">
        <v>146</v>
      </c>
      <c r="F571" s="15">
        <v>43615</v>
      </c>
      <c r="G571" s="13" t="s">
        <v>277</v>
      </c>
      <c r="H571" s="34"/>
      <c r="I571" s="33">
        <f ca="1">ROUNDDOWN(表3[[#This Row],[日期]]-TODAY(),1)</f>
        <v>-8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524</v>
      </c>
      <c r="C572" s="7">
        <v>43621</v>
      </c>
      <c r="D572" s="16">
        <v>6</v>
      </c>
      <c r="E572" s="22" t="s">
        <v>145</v>
      </c>
      <c r="F572" s="15">
        <v>43615</v>
      </c>
      <c r="G572" s="13" t="s">
        <v>277</v>
      </c>
      <c r="H572" s="34"/>
      <c r="I572" s="33">
        <f ca="1">ROUNDDOWN(表3[[#This Row],[日期]]-TODAY(),1)</f>
        <v>-8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523</v>
      </c>
      <c r="C573" s="7">
        <v>43621</v>
      </c>
      <c r="D573" s="16">
        <v>7</v>
      </c>
      <c r="E573" s="22" t="s">
        <v>351</v>
      </c>
      <c r="F573" s="15">
        <v>43616</v>
      </c>
      <c r="G573" s="13" t="s">
        <v>277</v>
      </c>
      <c r="H573" s="34" t="s">
        <v>149</v>
      </c>
      <c r="I573" s="33">
        <f ca="1">ROUNDDOWN(表3[[#This Row],[日期]]-TODAY(),1)</f>
        <v>-7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525</v>
      </c>
      <c r="C574" s="44">
        <v>43621</v>
      </c>
      <c r="D574" s="40">
        <v>8</v>
      </c>
      <c r="E574" s="41" t="s">
        <v>522</v>
      </c>
      <c r="F574" s="42">
        <v>43620</v>
      </c>
      <c r="G574" s="43" t="s">
        <v>277</v>
      </c>
      <c r="H574" s="39"/>
      <c r="I574" s="38">
        <f ca="1">ROUNDDOWN(表3[[#This Row],[日期]]-TODAY(),1)</f>
        <v>-3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523</v>
      </c>
      <c r="C575" s="7">
        <v>43621</v>
      </c>
      <c r="D575" s="16">
        <v>9</v>
      </c>
      <c r="E575" s="22" t="s">
        <v>352</v>
      </c>
      <c r="F575" s="15">
        <v>43616</v>
      </c>
      <c r="G575" s="13" t="s">
        <v>277</v>
      </c>
      <c r="H575" s="34" t="s">
        <v>159</v>
      </c>
      <c r="I575" s="33">
        <f ca="1">ROUNDDOWN(表3[[#This Row],[日期]]-TODAY(),1)</f>
        <v>-7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525</v>
      </c>
      <c r="C576" s="7">
        <v>43621</v>
      </c>
      <c r="D576" s="16">
        <v>10</v>
      </c>
      <c r="E576" s="22" t="s">
        <v>226</v>
      </c>
      <c r="F576" s="15">
        <v>43616</v>
      </c>
      <c r="G576" s="13" t="s">
        <v>277</v>
      </c>
      <c r="H576" s="34"/>
      <c r="I576" s="33">
        <f ca="1">ROUNDDOWN(表3[[#This Row],[日期]]-TODAY(),1)</f>
        <v>-7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523</v>
      </c>
      <c r="C577" s="7">
        <v>43621</v>
      </c>
      <c r="D577" s="16">
        <v>11</v>
      </c>
      <c r="E577" s="22" t="s">
        <v>356</v>
      </c>
      <c r="F577" s="15">
        <v>43616</v>
      </c>
      <c r="G577" s="13" t="s">
        <v>277</v>
      </c>
      <c r="H577" s="34" t="s">
        <v>354</v>
      </c>
      <c r="I577" s="33">
        <f ca="1">ROUNDDOWN(表3[[#This Row],[日期]]-TODAY(),1)</f>
        <v>-7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523</v>
      </c>
      <c r="C578" s="7">
        <v>43621</v>
      </c>
      <c r="D578" s="16">
        <v>12</v>
      </c>
      <c r="E578" s="22" t="s">
        <v>357</v>
      </c>
      <c r="F578" s="15">
        <v>43616</v>
      </c>
      <c r="G578" s="13" t="s">
        <v>277</v>
      </c>
      <c r="H578" s="34" t="s">
        <v>354</v>
      </c>
      <c r="I578" s="33">
        <f ca="1">ROUNDDOWN(表3[[#This Row],[日期]]-TODAY(),1)</f>
        <v>-7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523</v>
      </c>
      <c r="C579" s="7">
        <v>43621</v>
      </c>
      <c r="D579" s="16">
        <v>13</v>
      </c>
      <c r="E579" s="22" t="s">
        <v>353</v>
      </c>
      <c r="F579" s="15">
        <v>43616</v>
      </c>
      <c r="G579" s="13" t="s">
        <v>277</v>
      </c>
      <c r="H579" s="34" t="s">
        <v>354</v>
      </c>
      <c r="I579" s="33">
        <f ca="1">ROUNDDOWN(表3[[#This Row],[日期]]-TODAY(),1)</f>
        <v>-7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523</v>
      </c>
      <c r="C580" s="7">
        <v>43621</v>
      </c>
      <c r="D580" s="16">
        <v>14</v>
      </c>
      <c r="E580" s="22" t="s">
        <v>355</v>
      </c>
      <c r="F580" s="15">
        <v>43616</v>
      </c>
      <c r="G580" s="13" t="s">
        <v>277</v>
      </c>
      <c r="H580" s="34" t="s">
        <v>354</v>
      </c>
      <c r="I580" s="33">
        <f ca="1">ROUNDDOWN(表3[[#This Row],[日期]]-TODAY(),1)</f>
        <v>-7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523</v>
      </c>
      <c r="C581" s="7">
        <v>43621</v>
      </c>
      <c r="D581" s="16">
        <v>15</v>
      </c>
      <c r="E581" s="22" t="s">
        <v>93</v>
      </c>
      <c r="F581" s="15">
        <v>43616</v>
      </c>
      <c r="G581" s="13" t="s">
        <v>277</v>
      </c>
      <c r="H581" s="34"/>
      <c r="I581" s="33">
        <f ca="1">ROUNDDOWN(表3[[#This Row],[日期]]-TODAY(),1)</f>
        <v>-7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523</v>
      </c>
      <c r="C582" s="7">
        <v>43621</v>
      </c>
      <c r="D582" s="16">
        <v>16</v>
      </c>
      <c r="E582" s="22" t="s">
        <v>95</v>
      </c>
      <c r="F582" s="15">
        <v>43619</v>
      </c>
      <c r="G582" s="13" t="s">
        <v>277</v>
      </c>
      <c r="H582" s="34"/>
      <c r="I582" s="33">
        <f ca="1">ROUNDDOWN(表3[[#This Row],[日期]]-TODAY(),1)</f>
        <v>-4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523</v>
      </c>
      <c r="C583" s="7">
        <v>43621</v>
      </c>
      <c r="D583" s="16">
        <v>17</v>
      </c>
      <c r="E583" s="22" t="s">
        <v>97</v>
      </c>
      <c r="F583" s="15">
        <v>43621</v>
      </c>
      <c r="G583" s="13" t="s">
        <v>277</v>
      </c>
      <c r="H583" s="34"/>
      <c r="I583" s="33">
        <f ca="1">ROUNDDOWN(表3[[#This Row],[日期]]-TODAY(),1)</f>
        <v>-2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525</v>
      </c>
      <c r="C584" s="7">
        <v>43621</v>
      </c>
      <c r="D584" s="16">
        <v>18</v>
      </c>
      <c r="E584" s="22" t="s">
        <v>265</v>
      </c>
      <c r="F584" s="15">
        <v>43622</v>
      </c>
      <c r="G584" s="13" t="s">
        <v>277</v>
      </c>
      <c r="H584" s="34"/>
      <c r="I584" s="33">
        <f ca="1">ROUNDDOWN(表3[[#This Row],[日期]]-TODAY(),1)</f>
        <v>-1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523</v>
      </c>
      <c r="C585" s="7">
        <v>43621</v>
      </c>
      <c r="D585" s="16">
        <v>19</v>
      </c>
      <c r="E585" s="22" t="s">
        <v>273</v>
      </c>
      <c r="F585" s="15">
        <v>43626</v>
      </c>
      <c r="G585" s="13" t="s">
        <v>220</v>
      </c>
      <c r="H585" s="34"/>
      <c r="I585" s="33">
        <f ca="1">ROUNDDOWN(表3[[#This Row],[日期]]-TODAY(),1)</f>
        <v>3</v>
      </c>
    </row>
    <row r="586" spans="1:9" hidden="1" x14ac:dyDescent="0.2">
      <c r="A586" s="33" t="str">
        <f>TEXT(表3[[#This Row],[ETD]],"mmdd-h ")&amp;表3[[#This Row],[项目]]</f>
        <v>0607-0 JS mobis</v>
      </c>
      <c r="B586" s="34" t="s">
        <v>2</v>
      </c>
      <c r="C586" s="7">
        <v>43623</v>
      </c>
      <c r="D586" s="16">
        <v>1</v>
      </c>
      <c r="E586" s="22" t="s">
        <v>563</v>
      </c>
      <c r="F586" s="15">
        <v>43612</v>
      </c>
      <c r="G586" s="13" t="s">
        <v>562</v>
      </c>
      <c r="H586" s="34" t="s">
        <v>29</v>
      </c>
      <c r="I586" s="33">
        <f ca="1">ROUNDDOWN(表3[[#This Row],[日期]]-TODAY(),1)</f>
        <v>-11</v>
      </c>
    </row>
    <row r="587" spans="1:9" hidden="1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2</v>
      </c>
      <c r="E587" s="22" t="s">
        <v>235</v>
      </c>
      <c r="F587" s="15">
        <v>43612</v>
      </c>
      <c r="G587" s="13" t="s">
        <v>562</v>
      </c>
      <c r="H587" s="34"/>
      <c r="I587" s="33">
        <f ca="1">ROUNDDOWN(表3[[#This Row],[日期]]-TODAY(),1)</f>
        <v>-11</v>
      </c>
    </row>
    <row r="588" spans="1:9" hidden="1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3</v>
      </c>
      <c r="E588" s="22" t="s">
        <v>62</v>
      </c>
      <c r="F588" s="15">
        <v>43612</v>
      </c>
      <c r="G588" s="13" t="s">
        <v>562</v>
      </c>
      <c r="H588" s="34" t="s">
        <v>31</v>
      </c>
      <c r="I588" s="33">
        <f ca="1">ROUNDDOWN(表3[[#This Row],[日期]]-TODAY(),1)</f>
        <v>-11</v>
      </c>
    </row>
    <row r="589" spans="1:9" hidden="1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4</v>
      </c>
      <c r="E589" s="22" t="s">
        <v>64</v>
      </c>
      <c r="F589" s="15">
        <v>43612</v>
      </c>
      <c r="G589" s="13" t="s">
        <v>568</v>
      </c>
      <c r="H589" s="34"/>
      <c r="I589" s="33">
        <f ca="1">ROUNDDOWN(表3[[#This Row],[日期]]-TODAY(),1)</f>
        <v>-11</v>
      </c>
    </row>
    <row r="590" spans="1:9" hidden="1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5</v>
      </c>
      <c r="E590" s="22" t="s">
        <v>66</v>
      </c>
      <c r="F590" s="15">
        <v>43612</v>
      </c>
      <c r="G590" s="13" t="s">
        <v>562</v>
      </c>
      <c r="H590" s="34" t="s">
        <v>44</v>
      </c>
      <c r="I590" s="33">
        <f ca="1">ROUNDDOWN(表3[[#This Row],[日期]]-TODAY(),1)</f>
        <v>-11</v>
      </c>
    </row>
    <row r="591" spans="1:9" hidden="1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6</v>
      </c>
      <c r="E591" s="22" t="s">
        <v>19</v>
      </c>
      <c r="F591" s="15">
        <v>43612</v>
      </c>
      <c r="G591" s="13" t="s">
        <v>562</v>
      </c>
      <c r="H591" s="34"/>
      <c r="I591" s="33">
        <f ca="1">ROUNDDOWN(表3[[#This Row],[日期]]-TODAY(),1)</f>
        <v>-11</v>
      </c>
    </row>
    <row r="592" spans="1:9" hidden="1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7</v>
      </c>
      <c r="E592" s="22" t="s">
        <v>21</v>
      </c>
      <c r="F592" s="15">
        <v>43612</v>
      </c>
      <c r="G592" s="13" t="s">
        <v>562</v>
      </c>
      <c r="H592" s="34"/>
      <c r="I592" s="33">
        <f ca="1">ROUNDDOWN(表3[[#This Row],[日期]]-TODAY(),1)</f>
        <v>-11</v>
      </c>
    </row>
    <row r="593" spans="1:9" hidden="1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8</v>
      </c>
      <c r="E593" s="22" t="s">
        <v>7</v>
      </c>
      <c r="F593" s="15">
        <v>43612</v>
      </c>
      <c r="G593" s="13" t="s">
        <v>562</v>
      </c>
      <c r="H593" s="34"/>
      <c r="I593" s="33">
        <f ca="1">ROUNDDOWN(表3[[#This Row],[日期]]-TODAY(),1)</f>
        <v>-11</v>
      </c>
    </row>
    <row r="594" spans="1:9" hidden="1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9</v>
      </c>
      <c r="E594" s="22" t="s">
        <v>9</v>
      </c>
      <c r="F594" s="15">
        <v>43612</v>
      </c>
      <c r="G594" s="13" t="s">
        <v>562</v>
      </c>
      <c r="H594" s="34"/>
      <c r="I594" s="33">
        <f ca="1">ROUNDDOWN(表3[[#This Row],[日期]]-TODAY(),1)</f>
        <v>-11</v>
      </c>
    </row>
    <row r="595" spans="1:9" hidden="1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10</v>
      </c>
      <c r="E595" s="22" t="s">
        <v>11</v>
      </c>
      <c r="F595" s="15">
        <v>43613</v>
      </c>
      <c r="G595" s="13" t="s">
        <v>277</v>
      </c>
      <c r="H595" s="34" t="s">
        <v>33</v>
      </c>
      <c r="I595" s="33">
        <f ca="1">ROUNDDOWN(表3[[#This Row],[日期]]-TODAY(),1)</f>
        <v>-10</v>
      </c>
    </row>
    <row r="596" spans="1:9" hidden="1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11</v>
      </c>
      <c r="E596" s="22" t="s">
        <v>60</v>
      </c>
      <c r="F596" s="15">
        <v>43613</v>
      </c>
      <c r="G596" s="13" t="s">
        <v>277</v>
      </c>
      <c r="H596" s="34"/>
      <c r="I596" s="33">
        <f ca="1">ROUNDDOWN(表3[[#This Row],[日期]]-TODAY(),1)</f>
        <v>-10</v>
      </c>
    </row>
    <row r="597" spans="1:9" hidden="1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12</v>
      </c>
      <c r="E597" s="22" t="s">
        <v>564</v>
      </c>
      <c r="F597" s="15">
        <v>43619</v>
      </c>
      <c r="G597" s="13" t="s">
        <v>277</v>
      </c>
      <c r="H597" s="34" t="s">
        <v>35</v>
      </c>
      <c r="I597" s="33">
        <f ca="1">ROUNDDOWN(表3[[#This Row],[日期]]-TODAY(),1)</f>
        <v>-4</v>
      </c>
    </row>
    <row r="598" spans="1:9" hidden="1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13</v>
      </c>
      <c r="E598" s="41" t="s">
        <v>40</v>
      </c>
      <c r="F598" s="15">
        <v>43619</v>
      </c>
      <c r="G598" s="43" t="s">
        <v>277</v>
      </c>
      <c r="H598" s="39"/>
      <c r="I598" s="38">
        <f ca="1">ROUNDDOWN(表3[[#This Row],[日期]]-TODAY(),1)</f>
        <v>-4</v>
      </c>
    </row>
    <row r="599" spans="1:9" hidden="1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14</v>
      </c>
      <c r="E599" s="41" t="s">
        <v>23</v>
      </c>
      <c r="F599" s="15">
        <v>43619</v>
      </c>
      <c r="G599" s="43" t="s">
        <v>277</v>
      </c>
      <c r="H599" s="39"/>
      <c r="I599" s="38">
        <f ca="1">ROUNDDOWN(表3[[#This Row],[日期]]-TODAY(),1)</f>
        <v>-4</v>
      </c>
    </row>
    <row r="600" spans="1:9" hidden="1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15</v>
      </c>
      <c r="E600" s="22" t="s">
        <v>25</v>
      </c>
      <c r="F600" s="15">
        <v>43619</v>
      </c>
      <c r="G600" s="13" t="s">
        <v>277</v>
      </c>
      <c r="H600" s="34"/>
      <c r="I600" s="33">
        <f ca="1">ROUNDDOWN(表3[[#This Row],[日期]]-TODAY(),1)</f>
        <v>-4</v>
      </c>
    </row>
    <row r="601" spans="1:9" hidden="1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16</v>
      </c>
      <c r="E601" s="22" t="s">
        <v>13</v>
      </c>
      <c r="F601" s="15">
        <v>43619</v>
      </c>
      <c r="G601" s="13" t="s">
        <v>277</v>
      </c>
      <c r="H601" s="34"/>
      <c r="I601" s="33">
        <f ca="1">ROUNDDOWN(表3[[#This Row],[日期]]-TODAY(),1)</f>
        <v>-4</v>
      </c>
    </row>
    <row r="602" spans="1:9" hidden="1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17</v>
      </c>
      <c r="E602" s="22" t="s">
        <v>15</v>
      </c>
      <c r="F602" s="15">
        <v>43619</v>
      </c>
      <c r="G602" s="13" t="s">
        <v>277</v>
      </c>
      <c r="H602" s="34"/>
      <c r="I602" s="33">
        <f ca="1">ROUNDDOWN(表3[[#This Row],[日期]]-TODAY(),1)</f>
        <v>-4</v>
      </c>
    </row>
    <row r="603" spans="1:9" hidden="1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18</v>
      </c>
      <c r="E603" s="22" t="s">
        <v>17</v>
      </c>
      <c r="F603" s="15">
        <v>43619</v>
      </c>
      <c r="G603" s="13" t="s">
        <v>277</v>
      </c>
      <c r="H603" s="34"/>
      <c r="I603" s="33">
        <f ca="1">ROUNDDOWN(表3[[#This Row],[日期]]-TODAY(),1)</f>
        <v>-4</v>
      </c>
    </row>
    <row r="604" spans="1:9" hidden="1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19</v>
      </c>
      <c r="E604" s="22" t="s">
        <v>58</v>
      </c>
      <c r="F604" s="15">
        <v>43619</v>
      </c>
      <c r="G604" s="13" t="s">
        <v>277</v>
      </c>
      <c r="H604" s="34"/>
      <c r="I604" s="33">
        <f ca="1">ROUNDDOWN(表3[[#This Row],[日期]]-TODAY(),1)</f>
        <v>-4</v>
      </c>
    </row>
    <row r="605" spans="1:9" hidden="1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20</v>
      </c>
      <c r="E605" s="22" t="s">
        <v>565</v>
      </c>
      <c r="F605" s="15">
        <v>43620</v>
      </c>
      <c r="G605" s="13" t="s">
        <v>277</v>
      </c>
      <c r="H605" s="34" t="s">
        <v>37</v>
      </c>
      <c r="I605" s="33">
        <f ca="1">ROUNDDOWN(表3[[#This Row],[日期]]-TODAY(),1)</f>
        <v>-3</v>
      </c>
    </row>
    <row r="606" spans="1:9" hidden="1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21</v>
      </c>
      <c r="E606" s="22" t="s">
        <v>39</v>
      </c>
      <c r="F606" s="15">
        <v>43620</v>
      </c>
      <c r="G606" s="13" t="s">
        <v>277</v>
      </c>
      <c r="H606" s="34"/>
      <c r="I606" s="33">
        <f ca="1">ROUNDDOWN(表3[[#This Row],[日期]]-TODAY(),1)</f>
        <v>-3</v>
      </c>
    </row>
    <row r="607" spans="1:9" hidden="1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22</v>
      </c>
      <c r="E607" s="22" t="s">
        <v>42</v>
      </c>
      <c r="F607" s="15">
        <v>43620</v>
      </c>
      <c r="G607" s="13" t="s">
        <v>277</v>
      </c>
      <c r="H607" s="34"/>
      <c r="I607" s="33">
        <f ca="1">ROUNDDOWN(表3[[#This Row],[日期]]-TODAY(),1)</f>
        <v>-3</v>
      </c>
    </row>
    <row r="608" spans="1:9" hidden="1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23</v>
      </c>
      <c r="E608" s="22" t="s">
        <v>544</v>
      </c>
      <c r="F608" s="15">
        <v>43620</v>
      </c>
      <c r="G608" s="13" t="s">
        <v>277</v>
      </c>
      <c r="H608" s="34" t="s">
        <v>44</v>
      </c>
      <c r="I608" s="33">
        <f ca="1">ROUNDDOWN(表3[[#This Row],[日期]]-TODAY(),1)</f>
        <v>-3</v>
      </c>
    </row>
    <row r="609" spans="1:9" hidden="1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24</v>
      </c>
      <c r="E609" s="22" t="s">
        <v>236</v>
      </c>
      <c r="F609" s="15">
        <v>43620</v>
      </c>
      <c r="G609" s="13" t="s">
        <v>277</v>
      </c>
      <c r="H609" s="34" t="s">
        <v>211</v>
      </c>
      <c r="I609" s="33">
        <f ca="1">ROUNDDOWN(表3[[#This Row],[日期]]-TODAY(),1)</f>
        <v>-3</v>
      </c>
    </row>
    <row r="610" spans="1:9" hidden="1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25</v>
      </c>
      <c r="E610" s="22" t="s">
        <v>68</v>
      </c>
      <c r="F610" s="15">
        <v>43620</v>
      </c>
      <c r="G610" s="13" t="s">
        <v>277</v>
      </c>
      <c r="H610" s="34"/>
      <c r="I610" s="33">
        <f ca="1">ROUNDDOWN(表3[[#This Row],[日期]]-TODAY(),1)</f>
        <v>-3</v>
      </c>
    </row>
    <row r="611" spans="1:9" hidden="1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26</v>
      </c>
      <c r="E611" s="22" t="s">
        <v>46</v>
      </c>
      <c r="F611" s="15">
        <v>43620</v>
      </c>
      <c r="G611" s="13" t="s">
        <v>277</v>
      </c>
      <c r="H611" s="34"/>
      <c r="I611" s="33">
        <f ca="1">ROUNDDOWN(表3[[#This Row],[日期]]-TODAY(),1)</f>
        <v>-3</v>
      </c>
    </row>
    <row r="612" spans="1:9" hidden="1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27</v>
      </c>
      <c r="E612" s="22" t="s">
        <v>87</v>
      </c>
      <c r="F612" s="15">
        <v>43620</v>
      </c>
      <c r="G612" s="13" t="s">
        <v>277</v>
      </c>
      <c r="H612" s="34"/>
      <c r="I612" s="33">
        <f ca="1">ROUNDDOWN(表3[[#This Row],[日期]]-TODAY(),1)</f>
        <v>-3</v>
      </c>
    </row>
    <row r="613" spans="1:9" hidden="1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28</v>
      </c>
      <c r="E613" s="22" t="s">
        <v>83</v>
      </c>
      <c r="F613" s="15">
        <v>43620</v>
      </c>
      <c r="G613" s="13" t="s">
        <v>277</v>
      </c>
      <c r="H613" s="34"/>
      <c r="I613" s="33">
        <f ca="1">ROUNDDOWN(表3[[#This Row],[日期]]-TODAY(),1)</f>
        <v>-3</v>
      </c>
    </row>
    <row r="614" spans="1:9" hidden="1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29</v>
      </c>
      <c r="E614" s="22" t="s">
        <v>85</v>
      </c>
      <c r="F614" s="15">
        <v>43620</v>
      </c>
      <c r="G614" s="13" t="s">
        <v>277</v>
      </c>
      <c r="H614" s="34"/>
      <c r="I614" s="33">
        <f ca="1">ROUNDDOWN(表3[[#This Row],[日期]]-TODAY(),1)</f>
        <v>-3</v>
      </c>
    </row>
    <row r="615" spans="1:9" hidden="1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31</v>
      </c>
      <c r="E615" s="22" t="s">
        <v>50</v>
      </c>
      <c r="F615" s="15">
        <v>43620</v>
      </c>
      <c r="G615" s="13" t="s">
        <v>277</v>
      </c>
      <c r="H615" s="34" t="s">
        <v>44</v>
      </c>
      <c r="I615" s="33">
        <f ca="1">ROUNDDOWN(表3[[#This Row],[日期]]-TODAY(),1)</f>
        <v>-3</v>
      </c>
    </row>
    <row r="616" spans="1:9" hidden="1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32</v>
      </c>
      <c r="E616" s="22" t="s">
        <v>56</v>
      </c>
      <c r="F616" s="15">
        <v>43622</v>
      </c>
      <c r="G616" s="13" t="s">
        <v>277</v>
      </c>
      <c r="H616" s="34"/>
      <c r="I616" s="33">
        <f ca="1">ROUNDDOWN(表3[[#This Row],[日期]]-TODAY(),1)</f>
        <v>-1</v>
      </c>
    </row>
    <row r="617" spans="1:9" hidden="1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33</v>
      </c>
      <c r="E617" s="22" t="s">
        <v>75</v>
      </c>
      <c r="F617" s="15">
        <v>43620</v>
      </c>
      <c r="G617" s="13" t="s">
        <v>277</v>
      </c>
      <c r="H617" s="34" t="s">
        <v>72</v>
      </c>
      <c r="I617" s="33">
        <f ca="1">ROUNDDOWN(表3[[#This Row],[日期]]-TODAY(),1)</f>
        <v>-3</v>
      </c>
    </row>
    <row r="618" spans="1:9" hidden="1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34</v>
      </c>
      <c r="E618" s="22" t="s">
        <v>70</v>
      </c>
      <c r="F618" s="15">
        <v>43620</v>
      </c>
      <c r="G618" s="13" t="s">
        <v>277</v>
      </c>
      <c r="H618" s="34"/>
      <c r="I618" s="33">
        <f ca="1">ROUNDDOWN(表3[[#This Row],[日期]]-TODAY(),1)</f>
        <v>-3</v>
      </c>
    </row>
    <row r="619" spans="1:9" hidden="1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35</v>
      </c>
      <c r="E619" s="22" t="s">
        <v>566</v>
      </c>
      <c r="F619" s="15">
        <v>43620</v>
      </c>
      <c r="G619" s="13" t="s">
        <v>277</v>
      </c>
      <c r="H619" s="34" t="s">
        <v>33</v>
      </c>
      <c r="I619" s="33">
        <f ca="1">ROUNDDOWN(表3[[#This Row],[日期]]-TODAY(),1)</f>
        <v>-3</v>
      </c>
    </row>
    <row r="620" spans="1:9" hidden="1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36</v>
      </c>
      <c r="E620" s="22" t="s">
        <v>567</v>
      </c>
      <c r="F620" s="15">
        <v>43620</v>
      </c>
      <c r="G620" s="13" t="s">
        <v>277</v>
      </c>
      <c r="H620" s="34" t="s">
        <v>44</v>
      </c>
      <c r="I620" s="33">
        <f ca="1">ROUNDDOWN(表3[[#This Row],[日期]]-TODAY(),1)</f>
        <v>-3</v>
      </c>
    </row>
    <row r="621" spans="1:9" hidden="1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37</v>
      </c>
      <c r="E621" s="22" t="s">
        <v>180</v>
      </c>
      <c r="F621" s="15">
        <v>43620</v>
      </c>
      <c r="G621" s="13" t="s">
        <v>277</v>
      </c>
      <c r="H621" s="34"/>
      <c r="I621" s="33">
        <f ca="1">ROUNDDOWN(表3[[#This Row],[日期]]-TODAY(),1)</f>
        <v>-3</v>
      </c>
    </row>
    <row r="622" spans="1:9" hidden="1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38</v>
      </c>
      <c r="E622" s="22" t="s">
        <v>77</v>
      </c>
      <c r="F622" s="15">
        <v>43620</v>
      </c>
      <c r="G622" s="13" t="s">
        <v>277</v>
      </c>
      <c r="H622" s="34" t="s">
        <v>79</v>
      </c>
      <c r="I622" s="33">
        <f ca="1">ROUNDDOWN(表3[[#This Row],[日期]]-TODAY(),1)</f>
        <v>-3</v>
      </c>
    </row>
    <row r="623" spans="1:9" hidden="1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39</v>
      </c>
      <c r="E623" s="22" t="s">
        <v>81</v>
      </c>
      <c r="F623" s="15">
        <v>43620</v>
      </c>
      <c r="G623" s="13" t="s">
        <v>277</v>
      </c>
      <c r="H623" s="34"/>
      <c r="I623" s="33">
        <f ca="1">ROUNDDOWN(表3[[#This Row],[日期]]-TODAY(),1)</f>
        <v>-3</v>
      </c>
    </row>
    <row r="624" spans="1:9" hidden="1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40</v>
      </c>
      <c r="E624" s="22" t="s">
        <v>89</v>
      </c>
      <c r="F624" s="15">
        <v>43621</v>
      </c>
      <c r="G624" s="13" t="s">
        <v>277</v>
      </c>
      <c r="H624" s="34"/>
      <c r="I624" s="33">
        <f ca="1">ROUNDDOWN(表3[[#This Row],[日期]]-TODAY(),1)</f>
        <v>-2</v>
      </c>
    </row>
    <row r="625" spans="1:9" hidden="1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41</v>
      </c>
      <c r="E625" s="22" t="s">
        <v>91</v>
      </c>
      <c r="F625" s="15">
        <v>43621</v>
      </c>
      <c r="G625" s="13" t="s">
        <v>277</v>
      </c>
      <c r="H625" s="34"/>
      <c r="I625" s="33">
        <f ca="1">ROUNDDOWN(表3[[#This Row],[日期]]-TODAY(),1)</f>
        <v>-2</v>
      </c>
    </row>
    <row r="626" spans="1:9" hidden="1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42</v>
      </c>
      <c r="E626" s="22" t="s">
        <v>93</v>
      </c>
      <c r="F626" s="15">
        <v>43621</v>
      </c>
      <c r="G626" s="13" t="s">
        <v>277</v>
      </c>
      <c r="H626" s="34"/>
      <c r="I626" s="33">
        <f ca="1">ROUNDDOWN(表3[[#This Row],[日期]]-TODAY(),1)</f>
        <v>-2</v>
      </c>
    </row>
    <row r="627" spans="1:9" hidden="1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43</v>
      </c>
      <c r="E627" s="22" t="s">
        <v>95</v>
      </c>
      <c r="F627" s="15">
        <v>43622</v>
      </c>
      <c r="G627" s="13" t="s">
        <v>277</v>
      </c>
      <c r="H627" s="34"/>
      <c r="I627" s="33">
        <f ca="1">ROUNDDOWN(表3[[#This Row],[日期]]-TODAY(),1)</f>
        <v>-1</v>
      </c>
    </row>
    <row r="628" spans="1:9" hidden="1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44</v>
      </c>
      <c r="E628" s="22" t="s">
        <v>97</v>
      </c>
      <c r="F628" s="15">
        <v>43623</v>
      </c>
      <c r="G628" s="13" t="s">
        <v>220</v>
      </c>
      <c r="H628" s="34"/>
      <c r="I628" s="33">
        <f ca="1">ROUNDDOWN(表3[[#This Row],[日期]]-TODAY(),1)</f>
        <v>0</v>
      </c>
    </row>
    <row r="629" spans="1:9" hidden="1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45</v>
      </c>
      <c r="E629" s="22" t="s">
        <v>694</v>
      </c>
      <c r="F629" s="15">
        <v>43626</v>
      </c>
      <c r="G629" s="13" t="s">
        <v>220</v>
      </c>
      <c r="H629" s="34"/>
      <c r="I629" s="33">
        <f ca="1">ROUNDDOWN(表3[[#This Row],[日期]]-TODAY(),1)</f>
        <v>3</v>
      </c>
    </row>
    <row r="630" spans="1:9" hidden="1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46</v>
      </c>
      <c r="E630" s="22" t="s">
        <v>349</v>
      </c>
      <c r="F630" s="15">
        <v>43624</v>
      </c>
      <c r="G630" s="13" t="s">
        <v>220</v>
      </c>
      <c r="H630" s="34"/>
      <c r="I630" s="33">
        <f ca="1">ROUNDDOWN(表3[[#This Row],[日期]]-TODAY(),1)</f>
        <v>1</v>
      </c>
    </row>
    <row r="631" spans="1:9" hidden="1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47</v>
      </c>
      <c r="E631" s="22" t="s">
        <v>101</v>
      </c>
      <c r="F631" s="15">
        <v>43626</v>
      </c>
      <c r="G631" s="13" t="s">
        <v>220</v>
      </c>
      <c r="H631" s="34" t="s">
        <v>138</v>
      </c>
      <c r="I631" s="33">
        <f ca="1">ROUNDDOWN(表3[[#This Row],[日期]]-TODAY(),1)</f>
        <v>3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344</v>
      </c>
      <c r="C632" s="7">
        <v>43623</v>
      </c>
      <c r="D632" s="16">
        <v>1</v>
      </c>
      <c r="E632" s="22" t="s">
        <v>403</v>
      </c>
      <c r="F632" s="15">
        <v>43607</v>
      </c>
      <c r="G632" s="13" t="s">
        <v>277</v>
      </c>
      <c r="H632" s="34"/>
      <c r="I632" s="33">
        <f ca="1">ROUNDDOWN(表3[[#This Row],[日期]]-TODAY(),1)</f>
        <v>-16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344</v>
      </c>
      <c r="C633" s="7">
        <v>43623</v>
      </c>
      <c r="D633" s="16">
        <v>2</v>
      </c>
      <c r="E633" s="22" t="s">
        <v>404</v>
      </c>
      <c r="F633" s="15">
        <v>43612</v>
      </c>
      <c r="G633" s="13" t="s">
        <v>562</v>
      </c>
      <c r="H633" s="34"/>
      <c r="I633" s="33">
        <f ca="1">ROUNDDOWN(表3[[#This Row],[日期]]-TODAY(),1)</f>
        <v>-11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344</v>
      </c>
      <c r="C634" s="7">
        <v>43623</v>
      </c>
      <c r="D634" s="16">
        <v>3</v>
      </c>
      <c r="E634" s="22" t="s">
        <v>405</v>
      </c>
      <c r="F634" s="15">
        <v>43613</v>
      </c>
      <c r="G634" s="13" t="s">
        <v>277</v>
      </c>
      <c r="H634" s="34"/>
      <c r="I634" s="33">
        <f ca="1">ROUNDDOWN(表3[[#This Row],[日期]]-TODAY(),1)</f>
        <v>-10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344</v>
      </c>
      <c r="C635" s="7">
        <v>43623</v>
      </c>
      <c r="D635" s="16">
        <v>4</v>
      </c>
      <c r="E635" s="22" t="s">
        <v>406</v>
      </c>
      <c r="F635" s="15">
        <v>43613</v>
      </c>
      <c r="G635" s="13" t="s">
        <v>277</v>
      </c>
      <c r="H635" s="34"/>
      <c r="I635" s="33">
        <f ca="1">ROUNDDOWN(表3[[#This Row],[日期]]-TODAY(),1)</f>
        <v>-10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344</v>
      </c>
      <c r="C636" s="7">
        <v>43623</v>
      </c>
      <c r="D636" s="16">
        <v>5</v>
      </c>
      <c r="E636" s="22" t="s">
        <v>407</v>
      </c>
      <c r="F636" s="15">
        <v>43615</v>
      </c>
      <c r="G636" s="13" t="s">
        <v>277</v>
      </c>
      <c r="H636" s="34"/>
      <c r="I636" s="33">
        <f ca="1">ROUNDDOWN(表3[[#This Row],[日期]]-TODAY(),1)</f>
        <v>-8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344</v>
      </c>
      <c r="C637" s="7">
        <v>43623</v>
      </c>
      <c r="D637" s="16">
        <v>6</v>
      </c>
      <c r="E637" s="22" t="s">
        <v>548</v>
      </c>
      <c r="F637" s="15">
        <v>43615</v>
      </c>
      <c r="G637" s="13" t="s">
        <v>277</v>
      </c>
      <c r="H637" s="34"/>
      <c r="I637" s="33">
        <f ca="1">ROUNDDOWN(表3[[#This Row],[日期]]-TODAY(),1)</f>
        <v>-8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344</v>
      </c>
      <c r="C638" s="7">
        <v>43623</v>
      </c>
      <c r="D638" s="16">
        <v>7</v>
      </c>
      <c r="E638" s="22" t="s">
        <v>549</v>
      </c>
      <c r="F638" s="15">
        <v>43615</v>
      </c>
      <c r="G638" s="13" t="s">
        <v>277</v>
      </c>
      <c r="H638" s="34"/>
      <c r="I638" s="33">
        <f ca="1">ROUNDDOWN(表3[[#This Row],[日期]]-TODAY(),1)</f>
        <v>-8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344</v>
      </c>
      <c r="C639" s="7">
        <v>43623</v>
      </c>
      <c r="D639" s="16">
        <v>8</v>
      </c>
      <c r="E639" s="22" t="s">
        <v>550</v>
      </c>
      <c r="F639" s="15">
        <v>43616</v>
      </c>
      <c r="G639" s="13" t="s">
        <v>277</v>
      </c>
      <c r="H639" s="34"/>
      <c r="I639" s="33">
        <f ca="1">ROUNDDOWN(表3[[#This Row],[日期]]-TODAY(),1)</f>
        <v>-7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344</v>
      </c>
      <c r="C640" s="7">
        <v>43623</v>
      </c>
      <c r="D640" s="16">
        <v>9</v>
      </c>
      <c r="E640" s="22" t="s">
        <v>408</v>
      </c>
      <c r="F640" s="15">
        <v>43619</v>
      </c>
      <c r="G640" s="13" t="s">
        <v>277</v>
      </c>
      <c r="H640" s="34" t="s">
        <v>551</v>
      </c>
      <c r="I640" s="33">
        <f ca="1">ROUNDDOWN(表3[[#This Row],[日期]]-TODAY(),1)</f>
        <v>-4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344</v>
      </c>
      <c r="C641" s="7">
        <v>43623</v>
      </c>
      <c r="D641" s="16">
        <v>10</v>
      </c>
      <c r="E641" s="22" t="s">
        <v>409</v>
      </c>
      <c r="F641" s="15">
        <v>43619</v>
      </c>
      <c r="G641" s="13" t="s">
        <v>277</v>
      </c>
      <c r="H641" s="34"/>
      <c r="I641" s="33">
        <f ca="1">ROUNDDOWN(表3[[#This Row],[日期]]-TODAY(),1)</f>
        <v>-4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344</v>
      </c>
      <c r="C642" s="7">
        <v>43623</v>
      </c>
      <c r="D642" s="16">
        <v>11</v>
      </c>
      <c r="E642" s="22" t="s">
        <v>552</v>
      </c>
      <c r="F642" s="15">
        <v>43619</v>
      </c>
      <c r="G642" s="13" t="s">
        <v>277</v>
      </c>
      <c r="H642" s="34"/>
      <c r="I642" s="33">
        <f ca="1">ROUNDDOWN(表3[[#This Row],[日期]]-TODAY(),1)</f>
        <v>-4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344</v>
      </c>
      <c r="C643" s="7">
        <v>43623</v>
      </c>
      <c r="D643" s="16">
        <v>12</v>
      </c>
      <c r="E643" s="22" t="s">
        <v>410</v>
      </c>
      <c r="F643" s="15">
        <v>43619</v>
      </c>
      <c r="G643" s="13" t="s">
        <v>277</v>
      </c>
      <c r="H643" s="34"/>
      <c r="I643" s="33">
        <f ca="1">ROUNDDOWN(表3[[#This Row],[日期]]-TODAY(),1)</f>
        <v>-4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344</v>
      </c>
      <c r="C644" s="7">
        <v>43623</v>
      </c>
      <c r="D644" s="16">
        <v>13</v>
      </c>
      <c r="E644" s="22" t="s">
        <v>412</v>
      </c>
      <c r="F644" s="15">
        <v>43622</v>
      </c>
      <c r="G644" s="13" t="s">
        <v>277</v>
      </c>
      <c r="H644" s="34"/>
      <c r="I644" s="33">
        <f ca="1">ROUNDDOWN(表3[[#This Row],[日期]]-TODAY(),1)</f>
        <v>-1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344</v>
      </c>
      <c r="C645" s="44">
        <v>43623</v>
      </c>
      <c r="D645" s="40">
        <v>14</v>
      </c>
      <c r="E645" s="41" t="s">
        <v>414</v>
      </c>
      <c r="F645" s="42">
        <v>43626</v>
      </c>
      <c r="G645" s="43" t="s">
        <v>220</v>
      </c>
      <c r="H645" s="39"/>
      <c r="I645" s="38">
        <f ca="1">ROUNDDOWN(表3[[#This Row],[日期]]-TODAY(),1)</f>
        <v>3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344</v>
      </c>
      <c r="C646" s="7">
        <v>43623</v>
      </c>
      <c r="D646" s="16">
        <v>15</v>
      </c>
      <c r="E646" s="22" t="s">
        <v>411</v>
      </c>
      <c r="F646" s="15">
        <v>43619</v>
      </c>
      <c r="G646" s="13" t="s">
        <v>277</v>
      </c>
      <c r="H646" s="34"/>
      <c r="I646" s="33">
        <f ca="1">ROUNDDOWN(表3[[#This Row],[日期]]-TODAY(),1)</f>
        <v>-4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344</v>
      </c>
      <c r="C647" s="7">
        <v>43623</v>
      </c>
      <c r="D647" s="16">
        <v>16</v>
      </c>
      <c r="E647" s="22" t="s">
        <v>356</v>
      </c>
      <c r="F647" s="15">
        <v>43619</v>
      </c>
      <c r="G647" s="13" t="s">
        <v>277</v>
      </c>
      <c r="H647" s="34"/>
      <c r="I647" s="33">
        <f ca="1">ROUNDDOWN(表3[[#This Row],[日期]]-TODAY(),1)</f>
        <v>-4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344</v>
      </c>
      <c r="C648" s="7">
        <v>43623</v>
      </c>
      <c r="D648" s="16">
        <v>17</v>
      </c>
      <c r="E648" s="22" t="s">
        <v>77</v>
      </c>
      <c r="F648" s="15">
        <v>43619</v>
      </c>
      <c r="G648" s="13" t="s">
        <v>277</v>
      </c>
      <c r="H648" s="34"/>
      <c r="I648" s="33">
        <f ca="1">ROUNDDOWN(表3[[#This Row],[日期]]-TODAY(),1)</f>
        <v>-4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344</v>
      </c>
      <c r="C649" s="7">
        <v>43623</v>
      </c>
      <c r="D649" s="16">
        <v>18</v>
      </c>
      <c r="E649" s="22" t="s">
        <v>413</v>
      </c>
      <c r="F649" s="15">
        <v>43619</v>
      </c>
      <c r="G649" s="13" t="s">
        <v>277</v>
      </c>
      <c r="H649" s="34"/>
      <c r="I649" s="33">
        <f ca="1">ROUNDDOWN(表3[[#This Row],[日期]]-TODAY(),1)</f>
        <v>-4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344</v>
      </c>
      <c r="C650" s="7">
        <v>43623</v>
      </c>
      <c r="D650" s="16">
        <v>19</v>
      </c>
      <c r="E650" s="22" t="s">
        <v>553</v>
      </c>
      <c r="F650" s="15">
        <v>43620</v>
      </c>
      <c r="G650" s="13" t="s">
        <v>277</v>
      </c>
      <c r="H650" s="34"/>
      <c r="I650" s="33">
        <f ca="1">ROUNDDOWN(表3[[#This Row],[日期]]-TODAY(),1)</f>
        <v>-3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344</v>
      </c>
      <c r="C651" s="7">
        <v>43623</v>
      </c>
      <c r="D651" s="16">
        <v>20</v>
      </c>
      <c r="E651" s="22" t="s">
        <v>91</v>
      </c>
      <c r="F651" s="15">
        <v>43620</v>
      </c>
      <c r="G651" s="13" t="s">
        <v>277</v>
      </c>
      <c r="H651" s="34"/>
      <c r="I651" s="33">
        <f ca="1">ROUNDDOWN(表3[[#This Row],[日期]]-TODAY(),1)</f>
        <v>-3</v>
      </c>
    </row>
    <row r="652" spans="1:9" x14ac:dyDescent="0.2">
      <c r="A652" s="33" t="str">
        <f>TEXT(表3[[#This Row],[ETD]],"mmdd-h ")&amp;表3[[#This Row],[项目]]</f>
        <v>0607-0 SC glovis</v>
      </c>
      <c r="B652" s="34" t="s">
        <v>344</v>
      </c>
      <c r="C652" s="7">
        <v>43623</v>
      </c>
      <c r="D652" s="16">
        <v>21</v>
      </c>
      <c r="E652" s="22" t="s">
        <v>554</v>
      </c>
      <c r="F652" s="15">
        <v>43623</v>
      </c>
      <c r="G652" s="13" t="s">
        <v>557</v>
      </c>
      <c r="H652" s="34"/>
      <c r="I652" s="33">
        <f ca="1">ROUNDDOWN(表3[[#This Row],[日期]]-TODAY(),1)</f>
        <v>0</v>
      </c>
    </row>
    <row r="653" spans="1:9" x14ac:dyDescent="0.2">
      <c r="A653" s="33" t="str">
        <f>TEXT(表3[[#This Row],[ETD]],"mmdd-h ")&amp;表3[[#This Row],[项目]]</f>
        <v>0607-0 SC glovis</v>
      </c>
      <c r="B653" s="34" t="s">
        <v>344</v>
      </c>
      <c r="C653" s="7">
        <v>43623</v>
      </c>
      <c r="D653" s="16">
        <v>22</v>
      </c>
      <c r="E653" s="22" t="s">
        <v>349</v>
      </c>
      <c r="F653" s="15">
        <v>43624</v>
      </c>
      <c r="G653" s="13" t="s">
        <v>555</v>
      </c>
      <c r="H653" s="34"/>
      <c r="I653" s="33">
        <f ca="1">ROUNDDOWN(表3[[#This Row],[日期]]-TODAY(),1)</f>
        <v>1</v>
      </c>
    </row>
    <row r="654" spans="1:9" x14ac:dyDescent="0.2">
      <c r="A654" s="33" t="str">
        <f>TEXT(表3[[#This Row],[ETD]],"mmdd-h ")&amp;表3[[#This Row],[项目]]</f>
        <v>0607-0 SC glovis</v>
      </c>
      <c r="B654" s="34" t="s">
        <v>344</v>
      </c>
      <c r="C654" s="7">
        <v>43623</v>
      </c>
      <c r="D654" s="16">
        <v>23</v>
      </c>
      <c r="E654" s="22" t="s">
        <v>415</v>
      </c>
      <c r="F654" s="15">
        <v>43626</v>
      </c>
      <c r="G654" s="13" t="s">
        <v>556</v>
      </c>
      <c r="H654" s="34"/>
      <c r="I654" s="33">
        <f ca="1">ROUNDDOWN(表3[[#This Row],[日期]]-TODAY(),1)</f>
        <v>3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344</v>
      </c>
      <c r="C655" s="7">
        <v>43623</v>
      </c>
      <c r="D655" s="16">
        <v>24</v>
      </c>
      <c r="E655" s="22" t="s">
        <v>101</v>
      </c>
      <c r="F655" s="15">
        <v>43626</v>
      </c>
      <c r="G655" s="13" t="s">
        <v>557</v>
      </c>
      <c r="H655" s="34"/>
      <c r="I655" s="33">
        <f ca="1">ROUNDDOWN(表3[[#This Row],[日期]]-TODAY(),1)</f>
        <v>3</v>
      </c>
    </row>
    <row r="656" spans="1:9" hidden="1" x14ac:dyDescent="0.2">
      <c r="A656" s="33" t="str">
        <f>TEXT(表3[[#This Row],[ETD]],"mmdd-h ")&amp;表3[[#This Row],[项目]]</f>
        <v>0609-0 万盛</v>
      </c>
      <c r="B656" s="34" t="s">
        <v>660</v>
      </c>
      <c r="C656" s="7">
        <v>43625</v>
      </c>
      <c r="D656" s="16">
        <v>1</v>
      </c>
      <c r="E656" s="48" t="s">
        <v>662</v>
      </c>
      <c r="F656" s="15">
        <v>43620</v>
      </c>
      <c r="G656" s="13" t="s">
        <v>663</v>
      </c>
      <c r="H656" s="34"/>
      <c r="I656" s="33">
        <f ca="1">ROUNDDOWN(表3[[#This Row],[日期]]-TODAY(),1)</f>
        <v>-3</v>
      </c>
    </row>
    <row r="657" spans="1:9" hidden="1" x14ac:dyDescent="0.2">
      <c r="A657" s="33" t="str">
        <f>TEXT(表3[[#This Row],[ETD]],"mmdd-h ")&amp;表3[[#This Row],[项目]]</f>
        <v>0609-0 万盛</v>
      </c>
      <c r="B657" s="34" t="s">
        <v>660</v>
      </c>
      <c r="C657" s="7">
        <v>43625</v>
      </c>
      <c r="D657" s="16">
        <v>2</v>
      </c>
      <c r="E657" s="48" t="s">
        <v>665</v>
      </c>
      <c r="F657" s="15">
        <v>43620</v>
      </c>
      <c r="G657" s="13" t="s">
        <v>663</v>
      </c>
      <c r="H657" s="34"/>
      <c r="I657" s="33">
        <f ca="1">ROUNDDOWN(表3[[#This Row],[日期]]-TODAY(),1)</f>
        <v>-3</v>
      </c>
    </row>
    <row r="658" spans="1:9" hidden="1" x14ac:dyDescent="0.2">
      <c r="A658" s="33" t="str">
        <f>TEXT(表3[[#This Row],[ETD]],"mmdd-h ")&amp;表3[[#This Row],[项目]]</f>
        <v>0609-0 万盛</v>
      </c>
      <c r="B658" s="34" t="s">
        <v>660</v>
      </c>
      <c r="C658" s="7">
        <v>43625</v>
      </c>
      <c r="D658" s="16">
        <v>3</v>
      </c>
      <c r="E658" s="22" t="s">
        <v>667</v>
      </c>
      <c r="F658" s="15">
        <v>43620</v>
      </c>
      <c r="G658" s="13" t="s">
        <v>663</v>
      </c>
      <c r="H658" s="34"/>
      <c r="I658" s="33">
        <f ca="1">ROUNDDOWN(表3[[#This Row],[日期]]-TODAY(),1)</f>
        <v>-3</v>
      </c>
    </row>
    <row r="659" spans="1:9" hidden="1" x14ac:dyDescent="0.2">
      <c r="A659" s="33" t="str">
        <f>TEXT(表3[[#This Row],[ETD]],"mmdd-h ")&amp;表3[[#This Row],[项目]]</f>
        <v>0609-0 万盛</v>
      </c>
      <c r="B659" s="34" t="s">
        <v>660</v>
      </c>
      <c r="C659" s="7">
        <v>43625</v>
      </c>
      <c r="D659" s="16">
        <v>4</v>
      </c>
      <c r="E659" s="22" t="s">
        <v>669</v>
      </c>
      <c r="F659" s="15">
        <v>43620</v>
      </c>
      <c r="G659" s="13" t="s">
        <v>670</v>
      </c>
      <c r="H659" s="34"/>
      <c r="I659" s="33">
        <f ca="1">ROUNDDOWN(表3[[#This Row],[日期]]-TODAY(),1)</f>
        <v>-3</v>
      </c>
    </row>
    <row r="660" spans="1:9" hidden="1" x14ac:dyDescent="0.2">
      <c r="A660" s="33" t="str">
        <f>TEXT(表3[[#This Row],[ETD]],"mmdd-h ")&amp;表3[[#This Row],[项目]]</f>
        <v>0609-0 万盛</v>
      </c>
      <c r="B660" s="34" t="s">
        <v>660</v>
      </c>
      <c r="C660" s="7">
        <v>43625</v>
      </c>
      <c r="D660" s="16">
        <v>5</v>
      </c>
      <c r="E660" s="22" t="s">
        <v>672</v>
      </c>
      <c r="F660" s="15">
        <v>43620</v>
      </c>
      <c r="G660" s="13" t="s">
        <v>663</v>
      </c>
      <c r="H660" s="34"/>
      <c r="I660" s="33">
        <f ca="1">ROUNDDOWN(表3[[#This Row],[日期]]-TODAY(),1)</f>
        <v>-3</v>
      </c>
    </row>
    <row r="661" spans="1:9" hidden="1" x14ac:dyDescent="0.2">
      <c r="A661" s="33" t="str">
        <f>TEXT(表3[[#This Row],[ETD]],"mmdd-h ")&amp;表3[[#This Row],[项目]]</f>
        <v>0609-0 万盛</v>
      </c>
      <c r="B661" s="34" t="s">
        <v>660</v>
      </c>
      <c r="C661" s="7">
        <v>43625</v>
      </c>
      <c r="D661" s="16">
        <v>6</v>
      </c>
      <c r="E661" s="22" t="s">
        <v>674</v>
      </c>
      <c r="F661" s="15">
        <v>43622</v>
      </c>
      <c r="G661" s="13" t="s">
        <v>277</v>
      </c>
      <c r="H661" s="34" t="s">
        <v>683</v>
      </c>
      <c r="I661" s="33">
        <f ca="1">ROUNDDOWN(表3[[#This Row],[日期]]-TODAY(),1)</f>
        <v>-1</v>
      </c>
    </row>
    <row r="662" spans="1:9" hidden="1" x14ac:dyDescent="0.2">
      <c r="A662" s="33" t="str">
        <f>TEXT(表3[[#This Row],[ETD]],"mmdd-h ")&amp;表3[[#This Row],[项目]]</f>
        <v>0609-0 万盛</v>
      </c>
      <c r="B662" s="34" t="s">
        <v>660</v>
      </c>
      <c r="C662" s="7">
        <v>43625</v>
      </c>
      <c r="D662" s="16">
        <v>7</v>
      </c>
      <c r="E662" s="22" t="s">
        <v>676</v>
      </c>
      <c r="F662" s="15">
        <v>43622</v>
      </c>
      <c r="G662" s="13" t="s">
        <v>277</v>
      </c>
      <c r="H662" s="34"/>
      <c r="I662" s="33">
        <f ca="1">ROUNDDOWN(表3[[#This Row],[日期]]-TODAY(),1)</f>
        <v>-1</v>
      </c>
    </row>
    <row r="663" spans="1:9" hidden="1" x14ac:dyDescent="0.2">
      <c r="A663" s="33" t="str">
        <f>TEXT(表3[[#This Row],[ETD]],"mmdd-h ")&amp;表3[[#This Row],[项目]]</f>
        <v>0609-0 万盛</v>
      </c>
      <c r="B663" s="34" t="s">
        <v>660</v>
      </c>
      <c r="C663" s="7">
        <v>43625</v>
      </c>
      <c r="D663" s="16">
        <v>8</v>
      </c>
      <c r="E663" s="22" t="s">
        <v>678</v>
      </c>
      <c r="F663" s="15">
        <v>43622</v>
      </c>
      <c r="G663" s="13" t="s">
        <v>277</v>
      </c>
      <c r="H663" s="34"/>
      <c r="I663" s="33">
        <f ca="1">ROUNDDOWN(表3[[#This Row],[日期]]-TODAY(),1)</f>
        <v>-1</v>
      </c>
    </row>
    <row r="664" spans="1:9" hidden="1" x14ac:dyDescent="0.2">
      <c r="A664" s="33" t="str">
        <f>TEXT(表3[[#This Row],[ETD]],"mmdd-h ")&amp;表3[[#This Row],[项目]]</f>
        <v>0609-0 万盛</v>
      </c>
      <c r="B664" s="34" t="s">
        <v>660</v>
      </c>
      <c r="C664" s="7">
        <v>43625</v>
      </c>
      <c r="D664" s="16">
        <v>9</v>
      </c>
      <c r="E664" s="22" t="s">
        <v>680</v>
      </c>
      <c r="F664" s="15">
        <v>43626</v>
      </c>
      <c r="G664" s="13" t="s">
        <v>657</v>
      </c>
      <c r="H664" s="34"/>
      <c r="I664" s="33">
        <f ca="1">ROUNDDOWN(表3[[#This Row],[日期]]-TODAY(),1)</f>
        <v>3</v>
      </c>
    </row>
    <row r="665" spans="1:9" hidden="1" x14ac:dyDescent="0.2">
      <c r="A665" s="33" t="str">
        <f>TEXT(表3[[#This Row],[ETD]],"mmdd-h ")&amp;表3[[#This Row],[项目]]</f>
        <v>0609-0 万盛</v>
      </c>
      <c r="B665" s="34" t="s">
        <v>660</v>
      </c>
      <c r="C665" s="7">
        <v>43625</v>
      </c>
      <c r="D665" s="16">
        <v>10</v>
      </c>
      <c r="E665" s="22" t="s">
        <v>682</v>
      </c>
      <c r="F665" s="15">
        <v>43626</v>
      </c>
      <c r="G665" s="13" t="s">
        <v>657</v>
      </c>
      <c r="H665" s="34"/>
      <c r="I665" s="33">
        <f ca="1">ROUNDDOWN(表3[[#This Row],[日期]]-TODAY(),1)</f>
        <v>3</v>
      </c>
    </row>
    <row r="666" spans="1:9" hidden="1" x14ac:dyDescent="0.2">
      <c r="A666" s="33" t="str">
        <f>TEXT(表3[[#This Row],[ETD]],"mmdd-h ")&amp;表3[[#This Row],[项目]]</f>
        <v>0610-0 0 WEEK</v>
      </c>
      <c r="B666" s="34" t="s">
        <v>256</v>
      </c>
      <c r="C666" s="7">
        <v>43626</v>
      </c>
      <c r="D666" s="16">
        <v>1</v>
      </c>
      <c r="E666" s="22" t="s">
        <v>452</v>
      </c>
      <c r="F666" s="15">
        <v>43626</v>
      </c>
      <c r="G666" s="13" t="s">
        <v>220</v>
      </c>
      <c r="H666" s="34" t="s">
        <v>248</v>
      </c>
      <c r="I666" s="33">
        <f ca="1">ROUNDDOWN(表3[[#This Row],[日期]]-TODAY(),1)</f>
        <v>3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256</v>
      </c>
      <c r="C667" s="7">
        <v>43626</v>
      </c>
      <c r="D667" s="16">
        <v>2</v>
      </c>
      <c r="E667" s="22" t="s">
        <v>453</v>
      </c>
      <c r="F667" s="15">
        <v>43626</v>
      </c>
      <c r="G667" s="13" t="s">
        <v>220</v>
      </c>
      <c r="H667" s="34" t="s">
        <v>248</v>
      </c>
      <c r="I667" s="33">
        <f ca="1">ROUNDDOWN(表3[[#This Row],[日期]]-TODAY(),1)</f>
        <v>3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256</v>
      </c>
      <c r="C668" s="7">
        <v>43626</v>
      </c>
      <c r="D668" s="16">
        <v>3</v>
      </c>
      <c r="E668" s="22" t="s">
        <v>250</v>
      </c>
      <c r="F668" s="15">
        <v>43626</v>
      </c>
      <c r="G668" s="13" t="s">
        <v>220</v>
      </c>
      <c r="H668" s="34" t="s">
        <v>248</v>
      </c>
      <c r="I668" s="33">
        <f ca="1">ROUNDDOWN(表3[[#This Row],[日期]]-TODAY(),1)</f>
        <v>3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256</v>
      </c>
      <c r="C669" s="7">
        <v>43626</v>
      </c>
      <c r="D669" s="16">
        <v>4</v>
      </c>
      <c r="E669" s="22" t="s">
        <v>250</v>
      </c>
      <c r="F669" s="15">
        <v>43628</v>
      </c>
      <c r="G669" s="13" t="s">
        <v>220</v>
      </c>
      <c r="H669" s="34" t="s">
        <v>253</v>
      </c>
      <c r="I669" s="33">
        <f ca="1">ROUNDDOWN(表3[[#This Row],[日期]]-TODAY(),1)</f>
        <v>5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256</v>
      </c>
      <c r="C670" s="7">
        <v>43626</v>
      </c>
      <c r="D670" s="16">
        <v>5</v>
      </c>
      <c r="E670" s="22" t="s">
        <v>239</v>
      </c>
      <c r="F670" s="15">
        <v>43630</v>
      </c>
      <c r="G670" s="13" t="s">
        <v>220</v>
      </c>
      <c r="H670" s="34" t="s">
        <v>244</v>
      </c>
      <c r="I670" s="33">
        <f ca="1">ROUNDDOWN(表3[[#This Row],[日期]]-TODAY(),1)</f>
        <v>7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256</v>
      </c>
      <c r="C671" s="7">
        <v>43626</v>
      </c>
      <c r="D671" s="16">
        <v>6</v>
      </c>
      <c r="E671" s="47" t="s">
        <v>634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7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256</v>
      </c>
      <c r="C672" s="7">
        <v>43626</v>
      </c>
      <c r="D672" s="16">
        <v>7</v>
      </c>
      <c r="E672" s="47" t="s">
        <v>635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7</v>
      </c>
    </row>
    <row r="673" spans="1:9" hidden="1" x14ac:dyDescent="0.2">
      <c r="A673" s="33" t="str">
        <f>TEXT(表3[[#This Row],[ETD]],"mmdd-h ")&amp;表3[[#This Row],[项目]]</f>
        <v>0612-0 HMI</v>
      </c>
      <c r="B673" s="34" t="s">
        <v>626</v>
      </c>
      <c r="C673" s="7">
        <v>43628</v>
      </c>
      <c r="D673" s="16">
        <v>1</v>
      </c>
      <c r="E673" s="22" t="s">
        <v>449</v>
      </c>
      <c r="F673" s="15">
        <v>43616</v>
      </c>
      <c r="G673" s="13" t="s">
        <v>629</v>
      </c>
      <c r="H673" s="34"/>
      <c r="I673" s="33">
        <f ca="1">ROUNDDOWN(表3[[#This Row],[日期]]-TODAY(),1)</f>
        <v>-7</v>
      </c>
    </row>
    <row r="674" spans="1:9" hidden="1" x14ac:dyDescent="0.2">
      <c r="A674" s="33" t="str">
        <f>TEXT(表3[[#This Row],[ETD]],"mmdd-h ")&amp;表3[[#This Row],[项目]]</f>
        <v>0612-0 HMI</v>
      </c>
      <c r="B674" s="34" t="s">
        <v>627</v>
      </c>
      <c r="C674" s="7">
        <v>43628</v>
      </c>
      <c r="D674" s="16">
        <v>2</v>
      </c>
      <c r="E674" s="22" t="s">
        <v>450</v>
      </c>
      <c r="F674" s="15">
        <v>43620</v>
      </c>
      <c r="G674" s="13" t="s">
        <v>277</v>
      </c>
      <c r="H674" s="34"/>
      <c r="I674" s="33">
        <f ca="1">ROUNDDOWN(表3[[#This Row],[日期]]-TODAY(),1)</f>
        <v>-3</v>
      </c>
    </row>
    <row r="675" spans="1:9" hidden="1" x14ac:dyDescent="0.2">
      <c r="A675" s="33" t="str">
        <f>TEXT(表3[[#This Row],[ETD]],"mmdd-h ")&amp;表3[[#This Row],[项目]]</f>
        <v>0612-0 HMI</v>
      </c>
      <c r="B675" s="34" t="s">
        <v>628</v>
      </c>
      <c r="C675" s="7">
        <v>43628</v>
      </c>
      <c r="D675" s="16">
        <v>3</v>
      </c>
      <c r="E675" s="22" t="s">
        <v>21</v>
      </c>
      <c r="F675" s="15">
        <v>43620</v>
      </c>
      <c r="G675" s="13" t="s">
        <v>277</v>
      </c>
      <c r="H675" s="34"/>
      <c r="I675" s="33">
        <f ca="1">ROUNDDOWN(表3[[#This Row],[日期]]-TODAY(),1)</f>
        <v>-3</v>
      </c>
    </row>
    <row r="676" spans="1:9" hidden="1" x14ac:dyDescent="0.2">
      <c r="A676" s="33" t="str">
        <f>TEXT(表3[[#This Row],[ETD]],"mmdd-h ")&amp;表3[[#This Row],[项目]]</f>
        <v>0612-0 HMI</v>
      </c>
      <c r="B676" s="34" t="s">
        <v>626</v>
      </c>
      <c r="C676" s="7">
        <v>43628</v>
      </c>
      <c r="D676" s="16">
        <v>4</v>
      </c>
      <c r="E676" s="22" t="s">
        <v>155</v>
      </c>
      <c r="F676" s="15">
        <v>43622</v>
      </c>
      <c r="G676" s="13" t="s">
        <v>277</v>
      </c>
      <c r="H676" s="34" t="s">
        <v>143</v>
      </c>
      <c r="I676" s="33">
        <f ca="1">ROUNDDOWN(表3[[#This Row],[日期]]-TODAY(),1)</f>
        <v>-1</v>
      </c>
    </row>
    <row r="677" spans="1:9" hidden="1" x14ac:dyDescent="0.2">
      <c r="A677" s="33" t="str">
        <f>TEXT(表3[[#This Row],[ETD]],"mmdd-h ")&amp;表3[[#This Row],[项目]]</f>
        <v>0612-0 HMI</v>
      </c>
      <c r="B677" s="34" t="s">
        <v>628</v>
      </c>
      <c r="C677" s="7">
        <v>43628</v>
      </c>
      <c r="D677" s="16">
        <v>5</v>
      </c>
      <c r="E677" s="22" t="s">
        <v>146</v>
      </c>
      <c r="F677" s="15">
        <v>43622</v>
      </c>
      <c r="G677" s="13" t="s">
        <v>277</v>
      </c>
      <c r="H677" s="34"/>
      <c r="I677" s="33">
        <f ca="1">ROUNDDOWN(表3[[#This Row],[日期]]-TODAY(),1)</f>
        <v>-1</v>
      </c>
    </row>
    <row r="678" spans="1:9" hidden="1" x14ac:dyDescent="0.2">
      <c r="A678" s="33" t="str">
        <f>TEXT(表3[[#This Row],[ETD]],"mmdd-h ")&amp;表3[[#This Row],[项目]]</f>
        <v>0612-0 HMI</v>
      </c>
      <c r="B678" s="34" t="s">
        <v>628</v>
      </c>
      <c r="C678" s="7">
        <v>43628</v>
      </c>
      <c r="D678" s="16">
        <v>6</v>
      </c>
      <c r="E678" s="22" t="s">
        <v>632</v>
      </c>
      <c r="F678" s="15">
        <v>43622</v>
      </c>
      <c r="G678" s="13" t="s">
        <v>277</v>
      </c>
      <c r="H678" s="34"/>
      <c r="I678" s="33">
        <f ca="1">ROUNDDOWN(表3[[#This Row],[日期]]-TODAY(),1)</f>
        <v>-1</v>
      </c>
    </row>
    <row r="679" spans="1:9" hidden="1" x14ac:dyDescent="0.2">
      <c r="A679" s="33" t="str">
        <f>TEXT(表3[[#This Row],[ETD]],"mmdd-h ")&amp;表3[[#This Row],[项目]]</f>
        <v>0612-0 HMI</v>
      </c>
      <c r="B679" s="34" t="s">
        <v>628</v>
      </c>
      <c r="C679" s="7">
        <v>43628</v>
      </c>
      <c r="D679" s="16">
        <v>7</v>
      </c>
      <c r="E679" s="22" t="s">
        <v>351</v>
      </c>
      <c r="F679" s="15">
        <v>43626</v>
      </c>
      <c r="G679" s="13" t="s">
        <v>277</v>
      </c>
      <c r="H679" s="34" t="s">
        <v>149</v>
      </c>
      <c r="I679" s="33">
        <f ca="1">ROUNDDOWN(表3[[#This Row],[日期]]-TODAY(),1)</f>
        <v>3</v>
      </c>
    </row>
    <row r="680" spans="1:9" hidden="1" x14ac:dyDescent="0.2">
      <c r="A680" s="33" t="str">
        <f>TEXT(表3[[#This Row],[ETD]],"mmdd-h ")&amp;表3[[#This Row],[项目]]</f>
        <v>0612-0 HMI</v>
      </c>
      <c r="B680" s="34" t="s">
        <v>161</v>
      </c>
      <c r="C680" s="7">
        <v>43628</v>
      </c>
      <c r="D680" s="16">
        <v>7.1</v>
      </c>
      <c r="E680" s="22" t="s">
        <v>723</v>
      </c>
      <c r="F680" s="15">
        <v>43626</v>
      </c>
      <c r="G680" s="13" t="s">
        <v>724</v>
      </c>
      <c r="H680" s="34"/>
      <c r="I680" s="33">
        <f ca="1">ROUNDDOWN(表3[[#This Row],[日期]]-TODAY(),1)</f>
        <v>3</v>
      </c>
    </row>
    <row r="681" spans="1:9" hidden="1" x14ac:dyDescent="0.2">
      <c r="A681" s="33" t="str">
        <f>TEXT(表3[[#This Row],[ETD]],"mmdd-h ")&amp;表3[[#This Row],[项目]]</f>
        <v>0612-0 HMI</v>
      </c>
      <c r="B681" s="34" t="s">
        <v>628</v>
      </c>
      <c r="C681" s="7">
        <v>43628</v>
      </c>
      <c r="D681" s="16">
        <v>8</v>
      </c>
      <c r="E681" s="22" t="s">
        <v>522</v>
      </c>
      <c r="F681" s="15">
        <v>43626</v>
      </c>
      <c r="G681" s="13" t="s">
        <v>220</v>
      </c>
      <c r="H681" s="34"/>
      <c r="I681" s="33">
        <f ca="1">ROUNDDOWN(表3[[#This Row],[日期]]-TODAY(),1)</f>
        <v>3</v>
      </c>
    </row>
    <row r="682" spans="1:9" hidden="1" x14ac:dyDescent="0.2">
      <c r="A682" s="33" t="str">
        <f>TEXT(表3[[#This Row],[ETD]],"mmdd-h ")&amp;表3[[#This Row],[项目]]</f>
        <v>0612-0 HMI</v>
      </c>
      <c r="B682" s="34" t="s">
        <v>628</v>
      </c>
      <c r="C682" s="7">
        <v>43628</v>
      </c>
      <c r="D682" s="16">
        <v>9</v>
      </c>
      <c r="E682" s="48" t="s">
        <v>352</v>
      </c>
      <c r="F682" s="15">
        <v>43626</v>
      </c>
      <c r="G682" s="13" t="s">
        <v>220</v>
      </c>
      <c r="H682" s="34" t="s">
        <v>159</v>
      </c>
      <c r="I682" s="33">
        <f ca="1">ROUNDDOWN(表3[[#This Row],[日期]]-TODAY(),1)</f>
        <v>3</v>
      </c>
    </row>
    <row r="683" spans="1:9" hidden="1" x14ac:dyDescent="0.2">
      <c r="A683" s="33" t="str">
        <f>TEXT(表3[[#This Row],[ETD]],"mmdd-h ")&amp;表3[[#This Row],[项目]]</f>
        <v>0612-0 HMI</v>
      </c>
      <c r="B683" s="34" t="s">
        <v>628</v>
      </c>
      <c r="C683" s="7">
        <v>43628</v>
      </c>
      <c r="D683" s="16">
        <v>9</v>
      </c>
      <c r="E683" s="48" t="s">
        <v>226</v>
      </c>
      <c r="F683" s="15">
        <v>43626</v>
      </c>
      <c r="G683" s="13" t="s">
        <v>220</v>
      </c>
      <c r="H683" s="34"/>
      <c r="I683" s="33">
        <f ca="1">ROUNDDOWN(表3[[#This Row],[日期]]-TODAY(),1)</f>
        <v>3</v>
      </c>
    </row>
    <row r="684" spans="1:9" hidden="1" x14ac:dyDescent="0.2">
      <c r="A684" s="33" t="str">
        <f>TEXT(表3[[#This Row],[ETD]],"mmdd-h ")&amp;表3[[#This Row],[项目]]</f>
        <v>0612-0 HMI</v>
      </c>
      <c r="B684" s="34" t="s">
        <v>628</v>
      </c>
      <c r="C684" s="7">
        <v>43628</v>
      </c>
      <c r="D684" s="16">
        <v>9</v>
      </c>
      <c r="E684" s="22" t="s">
        <v>353</v>
      </c>
      <c r="F684" s="15">
        <v>43626</v>
      </c>
      <c r="G684" s="13" t="s">
        <v>220</v>
      </c>
      <c r="H684" s="34" t="s">
        <v>354</v>
      </c>
      <c r="I684" s="33">
        <f ca="1">ROUNDDOWN(表3[[#This Row],[日期]]-TODAY(),1)</f>
        <v>3</v>
      </c>
    </row>
    <row r="685" spans="1:9" hidden="1" x14ac:dyDescent="0.2">
      <c r="A685" s="33" t="str">
        <f>TEXT(表3[[#This Row],[ETD]],"mmdd-h ")&amp;表3[[#This Row],[项目]]</f>
        <v>0612-0 HMI</v>
      </c>
      <c r="B685" s="34" t="s">
        <v>628</v>
      </c>
      <c r="C685" s="7">
        <v>43628</v>
      </c>
      <c r="D685" s="16">
        <v>9</v>
      </c>
      <c r="E685" s="22" t="s">
        <v>355</v>
      </c>
      <c r="F685" s="15">
        <v>43626</v>
      </c>
      <c r="G685" s="13" t="s">
        <v>220</v>
      </c>
      <c r="H685" s="34" t="s">
        <v>354</v>
      </c>
      <c r="I685" s="33">
        <f ca="1">ROUNDDOWN(表3[[#This Row],[日期]]-TODAY(),1)</f>
        <v>3</v>
      </c>
    </row>
    <row r="686" spans="1:9" hidden="1" x14ac:dyDescent="0.2">
      <c r="A686" s="33" t="str">
        <f>TEXT(表3[[#This Row],[ETD]],"mmdd-h ")&amp;表3[[#This Row],[项目]]</f>
        <v>0612-0 HMI</v>
      </c>
      <c r="B686" s="34" t="s">
        <v>628</v>
      </c>
      <c r="C686" s="7">
        <v>43628</v>
      </c>
      <c r="D686" s="16">
        <v>9</v>
      </c>
      <c r="E686" s="22" t="s">
        <v>356</v>
      </c>
      <c r="F686" s="15">
        <v>43626</v>
      </c>
      <c r="G686" s="13" t="s">
        <v>220</v>
      </c>
      <c r="H686" s="34" t="s">
        <v>354</v>
      </c>
      <c r="I686" s="33">
        <f ca="1">ROUNDDOWN(表3[[#This Row],[日期]]-TODAY(),1)</f>
        <v>3</v>
      </c>
    </row>
    <row r="687" spans="1:9" hidden="1" x14ac:dyDescent="0.2">
      <c r="A687" s="33" t="str">
        <f>TEXT(表3[[#This Row],[ETD]],"mmdd-h ")&amp;表3[[#This Row],[项目]]</f>
        <v>0612-0 HMI</v>
      </c>
      <c r="B687" s="34" t="s">
        <v>628</v>
      </c>
      <c r="C687" s="7">
        <v>43628</v>
      </c>
      <c r="D687" s="16">
        <v>9</v>
      </c>
      <c r="E687" s="22" t="s">
        <v>357</v>
      </c>
      <c r="F687" s="15">
        <v>43626</v>
      </c>
      <c r="G687" s="13" t="s">
        <v>220</v>
      </c>
      <c r="H687" s="34" t="s">
        <v>354</v>
      </c>
      <c r="I687" s="33">
        <f ca="1">ROUNDDOWN(表3[[#This Row],[日期]]-TODAY(),1)</f>
        <v>3</v>
      </c>
    </row>
    <row r="688" spans="1:9" hidden="1" x14ac:dyDescent="0.2">
      <c r="A688" s="33" t="str">
        <f>TEXT(表3[[#This Row],[ETD]],"mmdd-h ")&amp;表3[[#This Row],[项目]]</f>
        <v>0612-0 HMI</v>
      </c>
      <c r="B688" s="34" t="s">
        <v>628</v>
      </c>
      <c r="C688" s="7">
        <v>43628</v>
      </c>
      <c r="D688" s="16">
        <v>15</v>
      </c>
      <c r="E688" s="22" t="s">
        <v>93</v>
      </c>
      <c r="F688" s="15">
        <v>43626</v>
      </c>
      <c r="G688" s="13" t="s">
        <v>220</v>
      </c>
      <c r="H688" s="34"/>
      <c r="I688" s="33">
        <f ca="1">ROUNDDOWN(表3[[#This Row],[日期]]-TODAY(),1)</f>
        <v>3</v>
      </c>
    </row>
    <row r="689" spans="1:9" hidden="1" x14ac:dyDescent="0.2">
      <c r="A689" s="33" t="str">
        <f>TEXT(表3[[#This Row],[ETD]],"mmdd-h ")&amp;表3[[#This Row],[项目]]</f>
        <v>0612-0 HMI</v>
      </c>
      <c r="B689" s="34" t="s">
        <v>626</v>
      </c>
      <c r="C689" s="7">
        <v>43628</v>
      </c>
      <c r="D689" s="16">
        <v>16</v>
      </c>
      <c r="E689" s="22" t="s">
        <v>95</v>
      </c>
      <c r="F689" s="15">
        <v>43626</v>
      </c>
      <c r="G689" s="13" t="s">
        <v>220</v>
      </c>
      <c r="H689" s="34"/>
      <c r="I689" s="33">
        <f ca="1">ROUNDDOWN(表3[[#This Row],[日期]]-TODAY(),1)</f>
        <v>3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628</v>
      </c>
      <c r="C690" s="7">
        <v>43628</v>
      </c>
      <c r="D690" s="16">
        <v>17</v>
      </c>
      <c r="E690" s="22" t="s">
        <v>97</v>
      </c>
      <c r="F690" s="15">
        <v>43627</v>
      </c>
      <c r="G690" s="13" t="s">
        <v>220</v>
      </c>
      <c r="H690" s="34"/>
      <c r="I690" s="33">
        <f ca="1">ROUNDDOWN(表3[[#This Row],[日期]]-TODAY(),1)</f>
        <v>4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628</v>
      </c>
      <c r="C691" s="7">
        <v>43628</v>
      </c>
      <c r="D691" s="16">
        <v>18</v>
      </c>
      <c r="E691" s="22" t="s">
        <v>610</v>
      </c>
      <c r="F691" s="15">
        <v>43628</v>
      </c>
      <c r="G691" s="13" t="s">
        <v>220</v>
      </c>
      <c r="H691" s="34"/>
      <c r="I691" s="33">
        <f ca="1">ROUNDDOWN(表3[[#This Row],[日期]]-TODAY(),1)</f>
        <v>5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627</v>
      </c>
      <c r="C692" s="44">
        <v>43628</v>
      </c>
      <c r="D692" s="40">
        <v>19</v>
      </c>
      <c r="E692" s="41" t="s">
        <v>273</v>
      </c>
      <c r="F692" s="42">
        <v>43628</v>
      </c>
      <c r="G692" s="43" t="s">
        <v>220</v>
      </c>
      <c r="H692" s="39"/>
      <c r="I692" s="38">
        <f ca="1">ROUNDDOWN(表3[[#This Row],[日期]]-TODAY(),1)</f>
        <v>5</v>
      </c>
    </row>
    <row r="693" spans="1:9" hidden="1" x14ac:dyDescent="0.2">
      <c r="A693" s="38" t="str">
        <f>TEXT(表3[[#This Row],[ETD]],"mmdd-h ")&amp;表3[[#This Row],[项目]]</f>
        <v>0612-0 JS mobis</v>
      </c>
      <c r="B693" s="39" t="s">
        <v>2</v>
      </c>
      <c r="C693" s="44">
        <v>43628</v>
      </c>
      <c r="D693" s="40">
        <v>1</v>
      </c>
      <c r="E693" s="48" t="s">
        <v>563</v>
      </c>
      <c r="F693" s="42">
        <v>43616</v>
      </c>
      <c r="G693" s="43" t="s">
        <v>624</v>
      </c>
      <c r="H693" s="39" t="s">
        <v>29</v>
      </c>
      <c r="I693" s="38">
        <f ca="1">ROUNDDOWN(表3[[#This Row],[日期]]-TODAY(),1)</f>
        <v>-7</v>
      </c>
    </row>
    <row r="694" spans="1:9" hidden="1" x14ac:dyDescent="0.2">
      <c r="A694" s="33" t="str">
        <f>TEXT(表3[[#This Row],[ETD]],"mmdd-h ")&amp;表3[[#This Row],[项目]]</f>
        <v>0612-0 JS mobis</v>
      </c>
      <c r="B694" s="34" t="s">
        <v>2</v>
      </c>
      <c r="C694" s="7">
        <v>43628</v>
      </c>
      <c r="D694" s="16">
        <v>2</v>
      </c>
      <c r="E694" s="22" t="s">
        <v>235</v>
      </c>
      <c r="F694" s="15">
        <v>43616</v>
      </c>
      <c r="G694" s="13" t="s">
        <v>277</v>
      </c>
      <c r="H694" s="34"/>
      <c r="I694" s="33">
        <f ca="1">ROUNDDOWN(表3[[#This Row],[日期]]-TODAY(),1)</f>
        <v>-7</v>
      </c>
    </row>
    <row r="695" spans="1:9" hidden="1" x14ac:dyDescent="0.2">
      <c r="A695" s="33" t="str">
        <f>TEXT(表3[[#This Row],[ETD]],"mmdd-h ")&amp;表3[[#This Row],[项目]]</f>
        <v>0612-0 JS mobis</v>
      </c>
      <c r="B695" s="34" t="s">
        <v>2</v>
      </c>
      <c r="C695" s="7">
        <v>43628</v>
      </c>
      <c r="D695" s="16">
        <v>3</v>
      </c>
      <c r="E695" s="22" t="s">
        <v>62</v>
      </c>
      <c r="F695" s="15">
        <v>43616</v>
      </c>
      <c r="G695" s="13" t="s">
        <v>277</v>
      </c>
      <c r="H695" s="34" t="s">
        <v>31</v>
      </c>
      <c r="I695" s="33">
        <f ca="1">ROUNDDOWN(表3[[#This Row],[日期]]-TODAY(),1)</f>
        <v>-7</v>
      </c>
    </row>
    <row r="696" spans="1:9" hidden="1" x14ac:dyDescent="0.2">
      <c r="A696" s="38" t="str">
        <f>TEXT(表3[[#This Row],[ETD]],"mmdd-h ")&amp;表3[[#This Row],[项目]]</f>
        <v>0612-0 JS mobis</v>
      </c>
      <c r="B696" s="39" t="s">
        <v>2</v>
      </c>
      <c r="C696" s="44">
        <v>43628</v>
      </c>
      <c r="D696" s="40">
        <v>4</v>
      </c>
      <c r="E696" s="41" t="s">
        <v>64</v>
      </c>
      <c r="F696" s="42">
        <v>43616</v>
      </c>
      <c r="G696" s="43" t="s">
        <v>277</v>
      </c>
      <c r="H696" s="39"/>
      <c r="I696" s="38">
        <f ca="1">ROUNDDOWN(表3[[#This Row],[日期]]-TODAY(),1)</f>
        <v>-7</v>
      </c>
    </row>
    <row r="697" spans="1:9" hidden="1" x14ac:dyDescent="0.2">
      <c r="A697" s="38" t="str">
        <f>TEXT(表3[[#This Row],[ETD]],"mmdd-h ")&amp;表3[[#This Row],[项目]]</f>
        <v>0612-0 JS mobis</v>
      </c>
      <c r="B697" s="39" t="s">
        <v>2</v>
      </c>
      <c r="C697" s="44">
        <v>43628</v>
      </c>
      <c r="D697" s="40">
        <v>5</v>
      </c>
      <c r="E697" s="41" t="s">
        <v>66</v>
      </c>
      <c r="F697" s="42">
        <v>43620</v>
      </c>
      <c r="G697" s="43" t="s">
        <v>277</v>
      </c>
      <c r="H697" s="39" t="s">
        <v>44</v>
      </c>
      <c r="I697" s="38">
        <f ca="1">ROUNDDOWN(表3[[#This Row],[日期]]-TODAY(),1)</f>
        <v>-3</v>
      </c>
    </row>
    <row r="698" spans="1:9" hidden="1" x14ac:dyDescent="0.2">
      <c r="A698" s="33" t="str">
        <f>TEXT(表3[[#This Row],[ETD]],"mmdd-h ")&amp;表3[[#This Row],[项目]]</f>
        <v>0612-0 JS mobis</v>
      </c>
      <c r="B698" s="34" t="s">
        <v>2</v>
      </c>
      <c r="C698" s="7">
        <v>43628</v>
      </c>
      <c r="D698" s="16">
        <v>6</v>
      </c>
      <c r="E698" s="22" t="s">
        <v>19</v>
      </c>
      <c r="F698" s="15">
        <v>43620</v>
      </c>
      <c r="G698" s="13" t="s">
        <v>277</v>
      </c>
      <c r="H698" s="34"/>
      <c r="I698" s="33">
        <f ca="1">ROUNDDOWN(表3[[#This Row],[日期]]-TODAY(),1)</f>
        <v>-3</v>
      </c>
    </row>
    <row r="699" spans="1:9" hidden="1" x14ac:dyDescent="0.2">
      <c r="A699" s="33" t="str">
        <f>TEXT(表3[[#This Row],[ETD]],"mmdd-h ")&amp;表3[[#This Row],[项目]]</f>
        <v>0612-0 JS mobis</v>
      </c>
      <c r="B699" s="34" t="s">
        <v>2</v>
      </c>
      <c r="C699" s="7">
        <v>43628</v>
      </c>
      <c r="D699" s="16">
        <v>7</v>
      </c>
      <c r="E699" s="22" t="s">
        <v>21</v>
      </c>
      <c r="F699" s="15">
        <v>43620</v>
      </c>
      <c r="G699" s="13" t="s">
        <v>277</v>
      </c>
      <c r="H699" s="34"/>
      <c r="I699" s="33">
        <f ca="1">ROUNDDOWN(表3[[#This Row],[日期]]-TODAY(),1)</f>
        <v>-3</v>
      </c>
    </row>
    <row r="700" spans="1:9" hidden="1" x14ac:dyDescent="0.2">
      <c r="A700" s="33" t="str">
        <f>TEXT(表3[[#This Row],[ETD]],"mmdd-h ")&amp;表3[[#This Row],[项目]]</f>
        <v>0612-0 JS mobis</v>
      </c>
      <c r="B700" s="34" t="s">
        <v>2</v>
      </c>
      <c r="C700" s="7">
        <v>43628</v>
      </c>
      <c r="D700" s="16">
        <v>8</v>
      </c>
      <c r="E700" s="22" t="s">
        <v>7</v>
      </c>
      <c r="F700" s="15">
        <v>43620</v>
      </c>
      <c r="G700" s="13" t="s">
        <v>277</v>
      </c>
      <c r="H700" s="34"/>
      <c r="I700" s="33">
        <f ca="1">ROUNDDOWN(表3[[#This Row],[日期]]-TODAY(),1)</f>
        <v>-3</v>
      </c>
    </row>
    <row r="701" spans="1:9" hidden="1" x14ac:dyDescent="0.2">
      <c r="A701" s="33" t="str">
        <f>TEXT(表3[[#This Row],[ETD]],"mmdd-h ")&amp;表3[[#This Row],[项目]]</f>
        <v>0612-0 JS mobis</v>
      </c>
      <c r="B701" s="34" t="s">
        <v>2</v>
      </c>
      <c r="C701" s="7">
        <v>43628</v>
      </c>
      <c r="D701" s="16">
        <v>9</v>
      </c>
      <c r="E701" s="22" t="s">
        <v>9</v>
      </c>
      <c r="F701" s="15">
        <v>43620</v>
      </c>
      <c r="G701" s="13" t="s">
        <v>277</v>
      </c>
      <c r="H701" s="34"/>
      <c r="I701" s="33">
        <f ca="1">ROUNDDOWN(表3[[#This Row],[日期]]-TODAY(),1)</f>
        <v>-3</v>
      </c>
    </row>
    <row r="702" spans="1:9" hidden="1" x14ac:dyDescent="0.2">
      <c r="A702" s="33" t="str">
        <f>TEXT(表3[[#This Row],[ETD]],"mmdd-h ")&amp;表3[[#This Row],[项目]]</f>
        <v>0612-0 JS mobis</v>
      </c>
      <c r="B702" s="34" t="s">
        <v>2</v>
      </c>
      <c r="C702" s="7">
        <v>43628</v>
      </c>
      <c r="D702" s="16">
        <v>10</v>
      </c>
      <c r="E702" s="22" t="s">
        <v>11</v>
      </c>
      <c r="F702" s="15">
        <v>43621</v>
      </c>
      <c r="G702" s="13" t="s">
        <v>277</v>
      </c>
      <c r="H702" s="34" t="s">
        <v>33</v>
      </c>
      <c r="I702" s="33">
        <f ca="1">ROUNDDOWN(表3[[#This Row],[日期]]-TODAY(),1)</f>
        <v>-2</v>
      </c>
    </row>
    <row r="703" spans="1:9" hidden="1" x14ac:dyDescent="0.2">
      <c r="A703" s="33" t="str">
        <f>TEXT(表3[[#This Row],[ETD]],"mmdd-h ")&amp;表3[[#This Row],[项目]]</f>
        <v>0612-0 JS mobis</v>
      </c>
      <c r="B703" s="34" t="s">
        <v>2</v>
      </c>
      <c r="C703" s="7">
        <v>43628</v>
      </c>
      <c r="D703" s="16">
        <v>11</v>
      </c>
      <c r="E703" s="22" t="s">
        <v>60</v>
      </c>
      <c r="F703" s="15">
        <v>43621</v>
      </c>
      <c r="G703" s="13" t="s">
        <v>277</v>
      </c>
      <c r="H703" s="34"/>
      <c r="I703" s="33">
        <f ca="1">ROUNDDOWN(表3[[#This Row],[日期]]-TODAY(),1)</f>
        <v>-2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12</v>
      </c>
      <c r="E704" s="22" t="s">
        <v>564</v>
      </c>
      <c r="F704" s="15">
        <v>43621</v>
      </c>
      <c r="G704" s="13" t="s">
        <v>277</v>
      </c>
      <c r="H704" s="34" t="s">
        <v>35</v>
      </c>
      <c r="I704" s="33">
        <f ca="1">ROUNDDOWN(表3[[#This Row],[日期]]-TODAY(),1)</f>
        <v>-2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13</v>
      </c>
      <c r="E705" s="22" t="s">
        <v>40</v>
      </c>
      <c r="F705" s="15">
        <v>43621</v>
      </c>
      <c r="G705" s="13" t="s">
        <v>277</v>
      </c>
      <c r="H705" s="34"/>
      <c r="I705" s="33">
        <f ca="1">ROUNDDOWN(表3[[#This Row],[日期]]-TODAY(),1)</f>
        <v>-2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14</v>
      </c>
      <c r="E706" s="22" t="s">
        <v>23</v>
      </c>
      <c r="F706" s="15">
        <v>43621</v>
      </c>
      <c r="G706" s="13" t="s">
        <v>277</v>
      </c>
      <c r="H706" s="34"/>
      <c r="I706" s="33">
        <f ca="1">ROUNDDOWN(表3[[#This Row],[日期]]-TODAY(),1)</f>
        <v>-2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15</v>
      </c>
      <c r="E707" s="22" t="s">
        <v>25</v>
      </c>
      <c r="F707" s="15">
        <v>43621</v>
      </c>
      <c r="G707" s="13" t="s">
        <v>277</v>
      </c>
      <c r="H707" s="34"/>
      <c r="I707" s="33">
        <f ca="1">ROUNDDOWN(表3[[#This Row],[日期]]-TODAY(),1)</f>
        <v>-2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16</v>
      </c>
      <c r="E708" s="22" t="s">
        <v>13</v>
      </c>
      <c r="F708" s="15">
        <v>43621</v>
      </c>
      <c r="G708" s="13" t="s">
        <v>277</v>
      </c>
      <c r="H708" s="34"/>
      <c r="I708" s="33">
        <f ca="1">ROUNDDOWN(表3[[#This Row],[日期]]-TODAY(),1)</f>
        <v>-2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17</v>
      </c>
      <c r="E709" s="22" t="s">
        <v>15</v>
      </c>
      <c r="F709" s="15">
        <v>43621</v>
      </c>
      <c r="G709" s="13" t="s">
        <v>277</v>
      </c>
      <c r="H709" s="34"/>
      <c r="I709" s="33">
        <f ca="1">ROUNDDOWN(表3[[#This Row],[日期]]-TODAY(),1)</f>
        <v>-2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18</v>
      </c>
      <c r="E710" s="22" t="s">
        <v>17</v>
      </c>
      <c r="F710" s="15">
        <v>43621</v>
      </c>
      <c r="G710" s="13" t="s">
        <v>277</v>
      </c>
      <c r="H710" s="34"/>
      <c r="I710" s="33">
        <f ca="1">ROUNDDOWN(表3[[#This Row],[日期]]-TODAY(),1)</f>
        <v>-2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19</v>
      </c>
      <c r="E711" s="22" t="s">
        <v>58</v>
      </c>
      <c r="F711" s="15">
        <v>43621</v>
      </c>
      <c r="G711" s="13" t="s">
        <v>277</v>
      </c>
      <c r="H711" s="34"/>
      <c r="I711" s="33">
        <f ca="1">ROUNDDOWN(表3[[#This Row],[日期]]-TODAY(),1)</f>
        <v>-2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20</v>
      </c>
      <c r="E712" s="22" t="s">
        <v>565</v>
      </c>
      <c r="F712" s="15">
        <v>43622</v>
      </c>
      <c r="G712" s="13" t="s">
        <v>277</v>
      </c>
      <c r="H712" s="34" t="s">
        <v>37</v>
      </c>
      <c r="I712" s="33">
        <f ca="1">ROUNDDOWN(表3[[#This Row],[日期]]-TODAY(),1)</f>
        <v>-1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21</v>
      </c>
      <c r="E713" s="22" t="s">
        <v>39</v>
      </c>
      <c r="F713" s="15">
        <v>43622</v>
      </c>
      <c r="G713" s="13" t="s">
        <v>277</v>
      </c>
      <c r="H713" s="34"/>
      <c r="I713" s="33">
        <f ca="1">ROUNDDOWN(表3[[#This Row],[日期]]-TODAY(),1)</f>
        <v>-1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22</v>
      </c>
      <c r="E714" s="22" t="s">
        <v>42</v>
      </c>
      <c r="F714" s="15">
        <v>43622</v>
      </c>
      <c r="G714" s="13" t="s">
        <v>277</v>
      </c>
      <c r="H714" s="34"/>
      <c r="I714" s="33">
        <f ca="1">ROUNDDOWN(表3[[#This Row],[日期]]-TODAY(),1)</f>
        <v>-1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23</v>
      </c>
      <c r="E715" s="22" t="s">
        <v>544</v>
      </c>
      <c r="F715" s="15">
        <v>43622</v>
      </c>
      <c r="G715" s="13" t="s">
        <v>277</v>
      </c>
      <c r="H715" s="34" t="s">
        <v>44</v>
      </c>
      <c r="I715" s="33">
        <f ca="1">ROUNDDOWN(表3[[#This Row],[日期]]-TODAY(),1)</f>
        <v>-1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24</v>
      </c>
      <c r="E716" s="48" t="s">
        <v>236</v>
      </c>
      <c r="F716" s="42">
        <v>43622</v>
      </c>
      <c r="G716" s="43" t="s">
        <v>277</v>
      </c>
      <c r="H716" s="39" t="s">
        <v>211</v>
      </c>
      <c r="I716" s="38">
        <f ca="1">ROUNDDOWN(表3[[#This Row],[日期]]-TODAY(),1)</f>
        <v>-1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25</v>
      </c>
      <c r="E717" s="48" t="s">
        <v>68</v>
      </c>
      <c r="F717" s="42">
        <v>43622</v>
      </c>
      <c r="G717" s="43" t="s">
        <v>277</v>
      </c>
      <c r="H717" s="39"/>
      <c r="I717" s="38">
        <f ca="1">ROUNDDOWN(表3[[#This Row],[日期]]-TODAY(),1)</f>
        <v>-1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26</v>
      </c>
      <c r="E718" s="22" t="s">
        <v>46</v>
      </c>
      <c r="F718" s="15">
        <v>43622</v>
      </c>
      <c r="G718" s="13" t="s">
        <v>277</v>
      </c>
      <c r="H718" s="34"/>
      <c r="I718" s="33">
        <f ca="1">ROUNDDOWN(表3[[#This Row],[日期]]-TODAY(),1)</f>
        <v>-1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27</v>
      </c>
      <c r="E719" s="22" t="s">
        <v>87</v>
      </c>
      <c r="F719" s="15">
        <v>43622</v>
      </c>
      <c r="G719" s="13" t="s">
        <v>277</v>
      </c>
      <c r="H719" s="34"/>
      <c r="I719" s="33">
        <f ca="1">ROUNDDOWN(表3[[#This Row],[日期]]-TODAY(),1)</f>
        <v>-1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28</v>
      </c>
      <c r="E720" s="22" t="s">
        <v>83</v>
      </c>
      <c r="F720" s="15">
        <v>43622</v>
      </c>
      <c r="G720" s="13" t="s">
        <v>277</v>
      </c>
      <c r="H720" s="34"/>
      <c r="I720" s="33">
        <f ca="1">ROUNDDOWN(表3[[#This Row],[日期]]-TODAY(),1)</f>
        <v>-1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29</v>
      </c>
      <c r="E721" s="22" t="s">
        <v>85</v>
      </c>
      <c r="F721" s="15">
        <v>43622</v>
      </c>
      <c r="G721" s="13" t="s">
        <v>277</v>
      </c>
      <c r="H721" s="34"/>
      <c r="I721" s="33">
        <f ca="1">ROUNDDOWN(表3[[#This Row],[日期]]-TODAY(),1)</f>
        <v>-1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30</v>
      </c>
      <c r="E722" s="22" t="s">
        <v>235</v>
      </c>
      <c r="F722" s="15">
        <v>43622</v>
      </c>
      <c r="G722" s="13" t="s">
        <v>277</v>
      </c>
      <c r="H722" s="34"/>
      <c r="I722" s="33">
        <f ca="1">ROUNDDOWN(表3[[#This Row],[日期]]-TODAY(),1)</f>
        <v>-1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31</v>
      </c>
      <c r="E723" s="22" t="s">
        <v>50</v>
      </c>
      <c r="F723" s="15">
        <v>43622</v>
      </c>
      <c r="G723" s="13" t="s">
        <v>277</v>
      </c>
      <c r="H723" s="34" t="s">
        <v>44</v>
      </c>
      <c r="I723" s="33">
        <f ca="1">ROUNDDOWN(表3[[#This Row],[日期]]-TODAY(),1)</f>
        <v>-1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32</v>
      </c>
      <c r="E724" s="22" t="s">
        <v>56</v>
      </c>
      <c r="F724" s="15">
        <v>43622</v>
      </c>
      <c r="G724" s="13" t="s">
        <v>277</v>
      </c>
      <c r="H724" s="34"/>
      <c r="I724" s="33">
        <f ca="1">ROUNDDOWN(表3[[#This Row],[日期]]-TODAY(),1)</f>
        <v>-1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33</v>
      </c>
      <c r="E725" s="22" t="s">
        <v>75</v>
      </c>
      <c r="F725" s="15">
        <v>43622</v>
      </c>
      <c r="G725" s="13" t="s">
        <v>277</v>
      </c>
      <c r="H725" s="34" t="s">
        <v>72</v>
      </c>
      <c r="I725" s="33">
        <f ca="1">ROUNDDOWN(表3[[#This Row],[日期]]-TODAY(),1)</f>
        <v>-1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34</v>
      </c>
      <c r="E726" s="22" t="s">
        <v>70</v>
      </c>
      <c r="F726" s="15">
        <v>43622</v>
      </c>
      <c r="G726" s="13" t="s">
        <v>277</v>
      </c>
      <c r="H726" s="34"/>
      <c r="I726" s="33">
        <f ca="1">ROUNDDOWN(表3[[#This Row],[日期]]-TODAY(),1)</f>
        <v>-1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35</v>
      </c>
      <c r="E727" s="22" t="s">
        <v>566</v>
      </c>
      <c r="F727" s="15">
        <v>43622</v>
      </c>
      <c r="G727" s="13" t="s">
        <v>277</v>
      </c>
      <c r="H727" s="34" t="s">
        <v>33</v>
      </c>
      <c r="I727" s="33">
        <f ca="1">ROUNDDOWN(表3[[#This Row],[日期]]-TODAY(),1)</f>
        <v>-1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36</v>
      </c>
      <c r="E728" s="22" t="s">
        <v>567</v>
      </c>
      <c r="F728" s="15">
        <v>43623</v>
      </c>
      <c r="G728" s="13" t="s">
        <v>277</v>
      </c>
      <c r="H728" s="34" t="s">
        <v>44</v>
      </c>
      <c r="I728" s="33">
        <f ca="1">ROUNDDOWN(表3[[#This Row],[日期]]-TODAY(),1)</f>
        <v>0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37</v>
      </c>
      <c r="E729" s="22" t="s">
        <v>81</v>
      </c>
      <c r="F729" s="15">
        <v>43622</v>
      </c>
      <c r="G729" s="13" t="s">
        <v>277</v>
      </c>
      <c r="H729" s="34"/>
      <c r="I729" s="33">
        <f ca="1">ROUNDDOWN(表3[[#This Row],[日期]]-TODAY(),1)</f>
        <v>-1</v>
      </c>
    </row>
    <row r="730" spans="1:9" hidden="1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38</v>
      </c>
      <c r="E730" s="22" t="s">
        <v>89</v>
      </c>
      <c r="F730" s="15">
        <v>43624</v>
      </c>
      <c r="G730" s="13" t="s">
        <v>220</v>
      </c>
      <c r="H730" s="34"/>
      <c r="I730" s="33">
        <f ca="1">ROUNDDOWN(表3[[#This Row],[日期]]-TODAY(),1)</f>
        <v>1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39</v>
      </c>
      <c r="E731" s="22" t="s">
        <v>91</v>
      </c>
      <c r="F731" s="15">
        <v>43624</v>
      </c>
      <c r="G731" s="13" t="s">
        <v>220</v>
      </c>
      <c r="H731" s="34"/>
      <c r="I731" s="33">
        <f ca="1">ROUNDDOWN(表3[[#This Row],[日期]]-TODAY(),1)</f>
        <v>1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40</v>
      </c>
      <c r="E732" s="22" t="s">
        <v>180</v>
      </c>
      <c r="F732" s="15">
        <v>43624</v>
      </c>
      <c r="G732" s="13" t="s">
        <v>220</v>
      </c>
      <c r="H732" s="34"/>
      <c r="I732" s="33">
        <f ca="1">ROUNDDOWN(表3[[#This Row],[日期]]-TODAY(),1)</f>
        <v>1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41</v>
      </c>
      <c r="E733" s="22" t="s">
        <v>77</v>
      </c>
      <c r="F733" s="15">
        <v>43624</v>
      </c>
      <c r="G733" s="13" t="s">
        <v>220</v>
      </c>
      <c r="H733" s="34" t="s">
        <v>79</v>
      </c>
      <c r="I733" s="33">
        <f ca="1">ROUNDDOWN(表3[[#This Row],[日期]]-TODAY(),1)</f>
        <v>1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42</v>
      </c>
      <c r="E734" s="22" t="s">
        <v>93</v>
      </c>
      <c r="F734" s="15">
        <v>43626</v>
      </c>
      <c r="G734" s="13" t="s">
        <v>220</v>
      </c>
      <c r="H734" s="34"/>
      <c r="I734" s="33">
        <f ca="1">ROUNDDOWN(表3[[#This Row],[日期]]-TODAY(),1)</f>
        <v>3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43</v>
      </c>
      <c r="E735" s="22" t="s">
        <v>95</v>
      </c>
      <c r="F735" s="15">
        <v>43626</v>
      </c>
      <c r="G735" s="13" t="s">
        <v>220</v>
      </c>
      <c r="H735" s="34"/>
      <c r="I735" s="33">
        <f ca="1">ROUNDDOWN(表3[[#This Row],[日期]]-TODAY(),1)</f>
        <v>3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44</v>
      </c>
      <c r="E736" s="22" t="s">
        <v>97</v>
      </c>
      <c r="F736" s="15">
        <v>43627</v>
      </c>
      <c r="G736" s="13" t="s">
        <v>220</v>
      </c>
      <c r="H736" s="34"/>
      <c r="I736" s="33">
        <f ca="1">ROUNDDOWN(表3[[#This Row],[日期]]-TODAY(),1)</f>
        <v>4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45</v>
      </c>
      <c r="E737" s="22" t="s">
        <v>694</v>
      </c>
      <c r="F737" s="15">
        <v>43627</v>
      </c>
      <c r="G737" s="13" t="s">
        <v>220</v>
      </c>
      <c r="H737" s="34"/>
      <c r="I737" s="33">
        <f ca="1">ROUNDDOWN(表3[[#This Row],[日期]]-TODAY(),1)</f>
        <v>4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46</v>
      </c>
      <c r="E738" s="22" t="s">
        <v>349</v>
      </c>
      <c r="F738" s="15">
        <v>43628</v>
      </c>
      <c r="G738" s="13" t="s">
        <v>220</v>
      </c>
      <c r="H738" s="34"/>
      <c r="I738" s="33">
        <f ca="1">ROUNDDOWN(表3[[#This Row],[日期]]-TODAY(),1)</f>
        <v>5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47</v>
      </c>
      <c r="E739" s="22" t="s">
        <v>101</v>
      </c>
      <c r="F739" s="15">
        <v>43628</v>
      </c>
      <c r="G739" s="13" t="s">
        <v>220</v>
      </c>
      <c r="H739" s="34" t="s">
        <v>138</v>
      </c>
      <c r="I739" s="33">
        <f ca="1">ROUNDDOWN(表3[[#This Row],[日期]]-TODAY(),1)</f>
        <v>5</v>
      </c>
    </row>
    <row r="740" spans="1:9" hidden="1" x14ac:dyDescent="0.2">
      <c r="A740" s="33" t="str">
        <f>TEXT(表3[[#This Row],[ETD]],"mmdd-h ")&amp;表3[[#This Row],[项目]]</f>
        <v>0612-0 KMM</v>
      </c>
      <c r="B740" s="34" t="s">
        <v>611</v>
      </c>
      <c r="C740" s="7">
        <v>43628</v>
      </c>
      <c r="D740" s="16">
        <v>1</v>
      </c>
      <c r="E740" s="22" t="s">
        <v>449</v>
      </c>
      <c r="F740" s="15">
        <v>43614</v>
      </c>
      <c r="G740" s="13" t="s">
        <v>613</v>
      </c>
      <c r="H740" s="34"/>
      <c r="I740" s="33">
        <f ca="1">ROUNDDOWN(表3[[#This Row],[日期]]-TODAY(),1)</f>
        <v>-9</v>
      </c>
    </row>
    <row r="741" spans="1:9" hidden="1" x14ac:dyDescent="0.2">
      <c r="A741" s="33" t="str">
        <f>TEXT(表3[[#This Row],[ETD]],"mmdd-h ")&amp;表3[[#This Row],[项目]]</f>
        <v>0612-0 KMM</v>
      </c>
      <c r="B741" s="34" t="s">
        <v>611</v>
      </c>
      <c r="C741" s="7">
        <v>43628</v>
      </c>
      <c r="D741" s="16">
        <v>2</v>
      </c>
      <c r="E741" s="22" t="s">
        <v>450</v>
      </c>
      <c r="F741" s="15">
        <v>43614</v>
      </c>
      <c r="G741" s="13" t="s">
        <v>613</v>
      </c>
      <c r="H741" s="34"/>
      <c r="I741" s="33">
        <f ca="1">ROUNDDOWN(表3[[#This Row],[日期]]-TODAY(),1)</f>
        <v>-9</v>
      </c>
    </row>
    <row r="742" spans="1:9" hidden="1" x14ac:dyDescent="0.2">
      <c r="A742" s="33" t="str">
        <f>TEXT(表3[[#This Row],[ETD]],"mmdd-h ")&amp;表3[[#This Row],[项目]]</f>
        <v>0612-0 KMM</v>
      </c>
      <c r="B742" s="34" t="s">
        <v>611</v>
      </c>
      <c r="C742" s="7">
        <v>43628</v>
      </c>
      <c r="D742" s="16">
        <v>3</v>
      </c>
      <c r="E742" s="22" t="s">
        <v>21</v>
      </c>
      <c r="F742" s="15">
        <v>43615</v>
      </c>
      <c r="G742" s="13" t="s">
        <v>277</v>
      </c>
      <c r="H742" s="34"/>
      <c r="I742" s="33">
        <f ca="1">ROUNDDOWN(表3[[#This Row],[日期]]-TODAY(),1)</f>
        <v>-8</v>
      </c>
    </row>
    <row r="743" spans="1:9" hidden="1" x14ac:dyDescent="0.2">
      <c r="A743" s="33" t="str">
        <f>TEXT(表3[[#This Row],[ETD]],"mmdd-h ")&amp;表3[[#This Row],[项目]]</f>
        <v>0612-0 KMM</v>
      </c>
      <c r="B743" s="34" t="s">
        <v>611</v>
      </c>
      <c r="C743" s="7">
        <v>43628</v>
      </c>
      <c r="D743" s="16">
        <v>4</v>
      </c>
      <c r="E743" s="22" t="s">
        <v>155</v>
      </c>
      <c r="F743" s="15">
        <v>43621</v>
      </c>
      <c r="G743" s="13" t="s">
        <v>277</v>
      </c>
      <c r="H743" s="34" t="s">
        <v>143</v>
      </c>
      <c r="I743" s="33">
        <f ca="1">ROUNDDOWN(表3[[#This Row],[日期]]-TODAY(),1)</f>
        <v>-2</v>
      </c>
    </row>
    <row r="744" spans="1:9" hidden="1" x14ac:dyDescent="0.2">
      <c r="A744" s="33" t="str">
        <f>TEXT(表3[[#This Row],[ETD]],"mmdd-h ")&amp;表3[[#This Row],[项目]]</f>
        <v>0612-0 KMM</v>
      </c>
      <c r="B744" s="34" t="s">
        <v>611</v>
      </c>
      <c r="C744" s="7">
        <v>43628</v>
      </c>
      <c r="D744" s="16">
        <v>5</v>
      </c>
      <c r="E744" s="22" t="s">
        <v>146</v>
      </c>
      <c r="F744" s="15">
        <v>43621</v>
      </c>
      <c r="G744" s="13" t="s">
        <v>277</v>
      </c>
      <c r="H744" s="34"/>
      <c r="I744" s="33">
        <f ca="1">ROUNDDOWN(表3[[#This Row],[日期]]-TODAY(),1)</f>
        <v>-2</v>
      </c>
    </row>
    <row r="745" spans="1:9" hidden="1" x14ac:dyDescent="0.2">
      <c r="A745" s="33" t="str">
        <f>TEXT(表3[[#This Row],[ETD]],"mmdd-h ")&amp;表3[[#This Row],[项目]]</f>
        <v>0612-0 KMM</v>
      </c>
      <c r="B745" s="34" t="s">
        <v>611</v>
      </c>
      <c r="C745" s="7">
        <v>43628</v>
      </c>
      <c r="D745" s="16">
        <v>6</v>
      </c>
      <c r="E745" s="22" t="s">
        <v>608</v>
      </c>
      <c r="F745" s="15">
        <v>43621</v>
      </c>
      <c r="G745" s="13" t="s">
        <v>277</v>
      </c>
      <c r="H745" s="34"/>
      <c r="I745" s="33">
        <f ca="1">ROUNDDOWN(表3[[#This Row],[日期]]-TODAY(),1)</f>
        <v>-2</v>
      </c>
    </row>
    <row r="746" spans="1:9" hidden="1" x14ac:dyDescent="0.2">
      <c r="A746" s="33" t="str">
        <f>TEXT(表3[[#This Row],[ETD]],"mmdd-h ")&amp;表3[[#This Row],[项目]]</f>
        <v>0612-0 KMM</v>
      </c>
      <c r="B746" s="34" t="s">
        <v>611</v>
      </c>
      <c r="C746" s="7">
        <v>43628</v>
      </c>
      <c r="D746" s="16">
        <v>7</v>
      </c>
      <c r="E746" s="22" t="s">
        <v>351</v>
      </c>
      <c r="F746" s="15">
        <v>43621</v>
      </c>
      <c r="G746" s="13" t="s">
        <v>277</v>
      </c>
      <c r="H746" s="34" t="s">
        <v>149</v>
      </c>
      <c r="I746" s="33">
        <f ca="1">ROUNDDOWN(表3[[#This Row],[日期]]-TODAY(),1)</f>
        <v>-2</v>
      </c>
    </row>
    <row r="747" spans="1:9" hidden="1" x14ac:dyDescent="0.2">
      <c r="A747" s="33" t="str">
        <f>TEXT(表3[[#This Row],[ETD]],"mmdd-h ")&amp;表3[[#This Row],[项目]]</f>
        <v>0612-0 KMM</v>
      </c>
      <c r="B747" s="34" t="s">
        <v>611</v>
      </c>
      <c r="C747" s="7">
        <v>43628</v>
      </c>
      <c r="D747" s="16">
        <v>8</v>
      </c>
      <c r="E747" s="22" t="s">
        <v>522</v>
      </c>
      <c r="F747" s="15">
        <v>43621</v>
      </c>
      <c r="G747" s="13" t="s">
        <v>277</v>
      </c>
      <c r="H747" s="34"/>
      <c r="I747" s="33">
        <f ca="1">ROUNDDOWN(表3[[#This Row],[日期]]-TODAY(),1)</f>
        <v>-2</v>
      </c>
    </row>
    <row r="748" spans="1:9" hidden="1" x14ac:dyDescent="0.2">
      <c r="A748" s="33" t="str">
        <f>TEXT(表3[[#This Row],[ETD]],"mmdd-h ")&amp;表3[[#This Row],[项目]]</f>
        <v>0612-0 KMM</v>
      </c>
      <c r="B748" s="34" t="s">
        <v>611</v>
      </c>
      <c r="C748" s="7">
        <v>43628</v>
      </c>
      <c r="D748" s="16">
        <v>9</v>
      </c>
      <c r="E748" s="22" t="s">
        <v>352</v>
      </c>
      <c r="F748" s="15">
        <v>43622</v>
      </c>
      <c r="G748" s="13" t="s">
        <v>277</v>
      </c>
      <c r="H748" s="34" t="s">
        <v>159</v>
      </c>
      <c r="I748" s="33">
        <f ca="1">ROUNDDOWN(表3[[#This Row],[日期]]-TODAY(),1)</f>
        <v>-1</v>
      </c>
    </row>
    <row r="749" spans="1:9" hidden="1" x14ac:dyDescent="0.2">
      <c r="A749" s="33" t="str">
        <f>TEXT(表3[[#This Row],[ETD]],"mmdd-h ")&amp;表3[[#This Row],[项目]]</f>
        <v>0612-0 KMM</v>
      </c>
      <c r="B749" s="34" t="s">
        <v>612</v>
      </c>
      <c r="C749" s="7">
        <v>43628</v>
      </c>
      <c r="D749" s="16">
        <v>10</v>
      </c>
      <c r="E749" s="22" t="s">
        <v>226</v>
      </c>
      <c r="F749" s="15">
        <v>43622</v>
      </c>
      <c r="G749" s="13" t="s">
        <v>277</v>
      </c>
      <c r="H749" s="34"/>
      <c r="I749" s="33">
        <f ca="1">ROUNDDOWN(表3[[#This Row],[日期]]-TODAY(),1)</f>
        <v>-1</v>
      </c>
    </row>
    <row r="750" spans="1:9" hidden="1" x14ac:dyDescent="0.2">
      <c r="A750" s="33" t="str">
        <f>TEXT(表3[[#This Row],[ETD]],"mmdd-h ")&amp;表3[[#This Row],[项目]]</f>
        <v>0612-0 KMM</v>
      </c>
      <c r="B750" s="34" t="s">
        <v>611</v>
      </c>
      <c r="C750" s="7">
        <v>43628</v>
      </c>
      <c r="D750" s="16">
        <v>11</v>
      </c>
      <c r="E750" s="22" t="s">
        <v>356</v>
      </c>
      <c r="F750" s="15">
        <v>43622</v>
      </c>
      <c r="G750" s="13" t="s">
        <v>277</v>
      </c>
      <c r="H750" s="34" t="s">
        <v>354</v>
      </c>
      <c r="I750" s="33">
        <f ca="1">ROUNDDOWN(表3[[#This Row],[日期]]-TODAY(),1)</f>
        <v>-1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611</v>
      </c>
      <c r="C751" s="7">
        <v>43628</v>
      </c>
      <c r="D751" s="16">
        <v>12</v>
      </c>
      <c r="E751" s="22" t="s">
        <v>357</v>
      </c>
      <c r="F751" s="15">
        <v>43622</v>
      </c>
      <c r="G751" s="13" t="s">
        <v>277</v>
      </c>
      <c r="H751" s="34" t="s">
        <v>354</v>
      </c>
      <c r="I751" s="33">
        <f ca="1">ROUNDDOWN(表3[[#This Row],[日期]]-TODAY(),1)</f>
        <v>-1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611</v>
      </c>
      <c r="C752" s="7">
        <v>43628</v>
      </c>
      <c r="D752" s="16">
        <v>13</v>
      </c>
      <c r="E752" s="22" t="s">
        <v>353</v>
      </c>
      <c r="F752" s="15">
        <v>43622</v>
      </c>
      <c r="G752" s="13" t="s">
        <v>277</v>
      </c>
      <c r="H752" s="34" t="s">
        <v>354</v>
      </c>
      <c r="I752" s="33">
        <f ca="1">ROUNDDOWN(表3[[#This Row],[日期]]-TODAY(),1)</f>
        <v>-1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611</v>
      </c>
      <c r="C753" s="7">
        <v>43628</v>
      </c>
      <c r="D753" s="16">
        <v>14</v>
      </c>
      <c r="E753" s="22" t="s">
        <v>355</v>
      </c>
      <c r="F753" s="15">
        <v>43626</v>
      </c>
      <c r="G753" s="13" t="s">
        <v>220</v>
      </c>
      <c r="H753" s="34" t="s">
        <v>354</v>
      </c>
      <c r="I753" s="33">
        <f ca="1">ROUNDDOWN(表3[[#This Row],[日期]]-TODAY(),1)</f>
        <v>3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611</v>
      </c>
      <c r="C754" s="7">
        <v>43628</v>
      </c>
      <c r="D754" s="16">
        <v>15</v>
      </c>
      <c r="E754" s="22" t="s">
        <v>93</v>
      </c>
      <c r="F754" s="15">
        <v>43626</v>
      </c>
      <c r="G754" s="13" t="s">
        <v>220</v>
      </c>
      <c r="H754" s="34"/>
      <c r="I754" s="33">
        <f ca="1">ROUNDDOWN(表3[[#This Row],[日期]]-TODAY(),1)</f>
        <v>3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611</v>
      </c>
      <c r="C755" s="7">
        <v>43628</v>
      </c>
      <c r="D755" s="16">
        <v>16</v>
      </c>
      <c r="E755" s="22" t="s">
        <v>95</v>
      </c>
      <c r="F755" s="15">
        <v>43626</v>
      </c>
      <c r="G755" s="13" t="s">
        <v>220</v>
      </c>
      <c r="H755" s="34"/>
      <c r="I755" s="33">
        <f ca="1">ROUNDDOWN(表3[[#This Row],[日期]]-TODAY(),1)</f>
        <v>3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611</v>
      </c>
      <c r="C756" s="7">
        <v>43628</v>
      </c>
      <c r="D756" s="16">
        <v>17</v>
      </c>
      <c r="E756" s="22" t="s">
        <v>97</v>
      </c>
      <c r="F756" s="15">
        <v>43626</v>
      </c>
      <c r="G756" s="13" t="s">
        <v>220</v>
      </c>
      <c r="H756" s="34"/>
      <c r="I756" s="33">
        <f ca="1">ROUNDDOWN(表3[[#This Row],[日期]]-TODAY(),1)</f>
        <v>3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611</v>
      </c>
      <c r="C757" s="7">
        <v>43628</v>
      </c>
      <c r="D757" s="16">
        <v>18</v>
      </c>
      <c r="E757" s="22" t="s">
        <v>610</v>
      </c>
      <c r="F757" s="15">
        <v>43628</v>
      </c>
      <c r="G757" s="13" t="s">
        <v>220</v>
      </c>
      <c r="H757" s="34"/>
      <c r="I757" s="33">
        <f ca="1">ROUNDDOWN(表3[[#This Row],[日期]]-TODAY(),1)</f>
        <v>5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611</v>
      </c>
      <c r="C758" s="7">
        <v>43628</v>
      </c>
      <c r="D758" s="16">
        <v>19</v>
      </c>
      <c r="E758" s="22" t="s">
        <v>273</v>
      </c>
      <c r="F758" s="15">
        <v>43626</v>
      </c>
      <c r="G758" s="13" t="s">
        <v>220</v>
      </c>
      <c r="H758" s="34"/>
      <c r="I758" s="33">
        <f ca="1">ROUNDDOWN(表3[[#This Row],[日期]]-TODAY(),1)</f>
        <v>3</v>
      </c>
    </row>
    <row r="759" spans="1:9" hidden="1" x14ac:dyDescent="0.2">
      <c r="A759" s="33" t="str">
        <f>TEXT(表3[[#This Row],[ETD]],"mmdd-h ")&amp;表3[[#This Row],[项目]]</f>
        <v>0612-0 万盛</v>
      </c>
      <c r="B759" s="34" t="s">
        <v>659</v>
      </c>
      <c r="C759" s="7">
        <v>43628</v>
      </c>
      <c r="D759" s="16">
        <v>1</v>
      </c>
      <c r="E759" s="22" t="s">
        <v>661</v>
      </c>
      <c r="F759" s="15">
        <v>43620</v>
      </c>
      <c r="G759" s="13" t="s">
        <v>663</v>
      </c>
      <c r="H759" s="34"/>
      <c r="I759" s="33">
        <f ca="1">ROUNDDOWN(表3[[#This Row],[日期]]-TODAY(),1)</f>
        <v>-3</v>
      </c>
    </row>
    <row r="760" spans="1:9" hidden="1" x14ac:dyDescent="0.2">
      <c r="A760" s="33" t="str">
        <f>TEXT(表3[[#This Row],[ETD]],"mmdd-h ")&amp;表3[[#This Row],[项目]]</f>
        <v>0612-0 万盛</v>
      </c>
      <c r="B760" s="34" t="s">
        <v>659</v>
      </c>
      <c r="C760" s="7">
        <v>43628</v>
      </c>
      <c r="D760" s="16">
        <v>2</v>
      </c>
      <c r="E760" s="22" t="s">
        <v>664</v>
      </c>
      <c r="F760" s="15">
        <v>43620</v>
      </c>
      <c r="G760" s="13" t="s">
        <v>663</v>
      </c>
      <c r="H760" s="34"/>
      <c r="I760" s="33">
        <f ca="1">ROUNDDOWN(表3[[#This Row],[日期]]-TODAY(),1)</f>
        <v>-3</v>
      </c>
    </row>
    <row r="761" spans="1:9" hidden="1" x14ac:dyDescent="0.2">
      <c r="A761" s="33" t="str">
        <f>TEXT(表3[[#This Row],[ETD]],"mmdd-h ")&amp;表3[[#This Row],[项目]]</f>
        <v>0612-0 万盛</v>
      </c>
      <c r="B761" s="34" t="s">
        <v>659</v>
      </c>
      <c r="C761" s="7">
        <v>43628</v>
      </c>
      <c r="D761" s="16">
        <v>3</v>
      </c>
      <c r="E761" s="22" t="s">
        <v>666</v>
      </c>
      <c r="F761" s="15">
        <v>43620</v>
      </c>
      <c r="G761" s="13" t="s">
        <v>663</v>
      </c>
      <c r="H761" s="34"/>
      <c r="I761" s="33">
        <f ca="1">ROUNDDOWN(表3[[#This Row],[日期]]-TODAY(),1)</f>
        <v>-3</v>
      </c>
    </row>
    <row r="762" spans="1:9" hidden="1" x14ac:dyDescent="0.2">
      <c r="A762" s="33" t="str">
        <f>TEXT(表3[[#This Row],[ETD]],"mmdd-h ")&amp;表3[[#This Row],[项目]]</f>
        <v>0612-0 万盛</v>
      </c>
      <c r="B762" s="34" t="s">
        <v>659</v>
      </c>
      <c r="C762" s="7">
        <v>43628</v>
      </c>
      <c r="D762" s="16">
        <v>4</v>
      </c>
      <c r="E762" s="22" t="s">
        <v>668</v>
      </c>
      <c r="F762" s="15">
        <v>43620</v>
      </c>
      <c r="G762" s="13" t="s">
        <v>663</v>
      </c>
      <c r="H762" s="34"/>
      <c r="I762" s="33">
        <f ca="1">ROUNDDOWN(表3[[#This Row],[日期]]-TODAY(),1)</f>
        <v>-3</v>
      </c>
    </row>
    <row r="763" spans="1:9" hidden="1" x14ac:dyDescent="0.2">
      <c r="A763" s="33" t="str">
        <f>TEXT(表3[[#This Row],[ETD]],"mmdd-h ")&amp;表3[[#This Row],[项目]]</f>
        <v>0612-0 万盛</v>
      </c>
      <c r="B763" s="34" t="s">
        <v>659</v>
      </c>
      <c r="C763" s="7">
        <v>43628</v>
      </c>
      <c r="D763" s="16">
        <v>5</v>
      </c>
      <c r="E763" s="22" t="s">
        <v>671</v>
      </c>
      <c r="F763" s="15">
        <v>43620</v>
      </c>
      <c r="G763" s="13" t="s">
        <v>663</v>
      </c>
      <c r="H763" s="34"/>
      <c r="I763" s="33">
        <f ca="1">ROUNDDOWN(表3[[#This Row],[日期]]-TODAY(),1)</f>
        <v>-3</v>
      </c>
    </row>
    <row r="764" spans="1:9" hidden="1" x14ac:dyDescent="0.2">
      <c r="A764" s="38" t="str">
        <f>TEXT(表3[[#This Row],[ETD]],"mmdd-h ")&amp;表3[[#This Row],[项目]]</f>
        <v>0612-0 万盛</v>
      </c>
      <c r="B764" s="39" t="s">
        <v>659</v>
      </c>
      <c r="C764" s="44">
        <v>43628</v>
      </c>
      <c r="D764" s="40">
        <v>6</v>
      </c>
      <c r="E764" s="41" t="s">
        <v>673</v>
      </c>
      <c r="F764" s="42">
        <v>43626</v>
      </c>
      <c r="G764" s="43" t="s">
        <v>220</v>
      </c>
      <c r="H764" s="39" t="s">
        <v>683</v>
      </c>
      <c r="I764" s="38">
        <f ca="1">ROUNDDOWN(表3[[#This Row],[日期]]-TODAY(),1)</f>
        <v>3</v>
      </c>
    </row>
    <row r="765" spans="1:9" hidden="1" x14ac:dyDescent="0.2">
      <c r="A765" s="33" t="str">
        <f>TEXT(表3[[#This Row],[ETD]],"mmdd-h ")&amp;表3[[#This Row],[项目]]</f>
        <v>0612-0 万盛</v>
      </c>
      <c r="B765" s="34" t="s">
        <v>659</v>
      </c>
      <c r="C765" s="7">
        <v>43628</v>
      </c>
      <c r="D765" s="16">
        <v>7</v>
      </c>
      <c r="E765" s="22" t="s">
        <v>675</v>
      </c>
      <c r="F765" s="15">
        <v>43626</v>
      </c>
      <c r="G765" s="13" t="s">
        <v>220</v>
      </c>
      <c r="H765" s="34"/>
      <c r="I765" s="33">
        <f ca="1">ROUNDDOWN(表3[[#This Row],[日期]]-TODAY(),1)</f>
        <v>3</v>
      </c>
    </row>
    <row r="766" spans="1:9" hidden="1" x14ac:dyDescent="0.2">
      <c r="A766" s="33" t="str">
        <f>TEXT(表3[[#This Row],[ETD]],"mmdd-h ")&amp;表3[[#This Row],[项目]]</f>
        <v>0612-0 万盛</v>
      </c>
      <c r="B766" s="34" t="s">
        <v>659</v>
      </c>
      <c r="C766" s="7">
        <v>43628</v>
      </c>
      <c r="D766" s="16">
        <v>8</v>
      </c>
      <c r="E766" s="22" t="s">
        <v>677</v>
      </c>
      <c r="F766" s="15">
        <v>43626</v>
      </c>
      <c r="G766" s="13" t="s">
        <v>220</v>
      </c>
      <c r="H766" s="34"/>
      <c r="I766" s="33">
        <f ca="1">ROUNDDOWN(表3[[#This Row],[日期]]-TODAY(),1)</f>
        <v>3</v>
      </c>
    </row>
    <row r="767" spans="1:9" hidden="1" x14ac:dyDescent="0.2">
      <c r="A767" s="33" t="str">
        <f>TEXT(表3[[#This Row],[ETD]],"mmdd-h ")&amp;表3[[#This Row],[项目]]</f>
        <v>0612-0 万盛</v>
      </c>
      <c r="B767" s="34" t="s">
        <v>659</v>
      </c>
      <c r="C767" s="7">
        <v>43628</v>
      </c>
      <c r="D767" s="16">
        <v>9</v>
      </c>
      <c r="E767" s="22" t="s">
        <v>679</v>
      </c>
      <c r="F767" s="15">
        <v>43628</v>
      </c>
      <c r="G767" s="13" t="s">
        <v>220</v>
      </c>
      <c r="H767" s="34"/>
      <c r="I767" s="33">
        <f ca="1">ROUNDDOWN(表3[[#This Row],[日期]]-TODAY(),1)</f>
        <v>5</v>
      </c>
    </row>
    <row r="768" spans="1:9" hidden="1" x14ac:dyDescent="0.2">
      <c r="A768" s="33" t="str">
        <f>TEXT(表3[[#This Row],[ETD]],"mmdd-h ")&amp;表3[[#This Row],[项目]]</f>
        <v>0612-0 万盛</v>
      </c>
      <c r="B768" s="34" t="s">
        <v>659</v>
      </c>
      <c r="C768" s="7">
        <v>43628</v>
      </c>
      <c r="D768" s="16">
        <v>10</v>
      </c>
      <c r="E768" s="22" t="s">
        <v>681</v>
      </c>
      <c r="F768" s="15">
        <v>43628</v>
      </c>
      <c r="G768" s="13" t="s">
        <v>220</v>
      </c>
      <c r="H768" s="34"/>
      <c r="I768" s="33">
        <f ca="1">ROUNDDOWN(表3[[#This Row],[日期]]-TODAY(),1)</f>
        <v>5</v>
      </c>
    </row>
    <row r="769" spans="1:9" hidden="1" x14ac:dyDescent="0.2">
      <c r="A769" s="33" t="str">
        <f>TEXT(表3[[#This Row],[ETD]],"mmdd-h ")&amp;表3[[#This Row],[项目]]</f>
        <v>0614-0 JS mobis</v>
      </c>
      <c r="B769" s="34" t="s">
        <v>2</v>
      </c>
      <c r="C769" s="7">
        <v>43630</v>
      </c>
      <c r="D769" s="16">
        <v>1</v>
      </c>
      <c r="E769" s="22" t="s">
        <v>563</v>
      </c>
      <c r="F769" s="15">
        <v>43616</v>
      </c>
      <c r="G769" s="13" t="s">
        <v>625</v>
      </c>
      <c r="H769" s="34" t="s">
        <v>29</v>
      </c>
      <c r="I769" s="33">
        <f ca="1">ROUNDDOWN(表3[[#This Row],[日期]]-TODAY(),1)</f>
        <v>-7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2</v>
      </c>
      <c r="E770" s="22" t="s">
        <v>235</v>
      </c>
      <c r="F770" s="15">
        <v>43616</v>
      </c>
      <c r="G770" s="13" t="s">
        <v>277</v>
      </c>
      <c r="H770" s="34"/>
      <c r="I770" s="33">
        <f ca="1">ROUNDDOWN(表3[[#This Row],[日期]]-TODAY(),1)</f>
        <v>-7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3</v>
      </c>
      <c r="E771" s="22" t="s">
        <v>62</v>
      </c>
      <c r="F771" s="15">
        <v>43616</v>
      </c>
      <c r="G771" s="13" t="s">
        <v>277</v>
      </c>
      <c r="H771" s="34" t="s">
        <v>31</v>
      </c>
      <c r="I771" s="33">
        <f ca="1">ROUNDDOWN(表3[[#This Row],[日期]]-TODAY(),1)</f>
        <v>-7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4</v>
      </c>
      <c r="E772" s="22" t="s">
        <v>64</v>
      </c>
      <c r="F772" s="15">
        <v>43616</v>
      </c>
      <c r="G772" s="13" t="s">
        <v>277</v>
      </c>
      <c r="H772" s="34"/>
      <c r="I772" s="33">
        <f ca="1">ROUNDDOWN(表3[[#This Row],[日期]]-TODAY(),1)</f>
        <v>-7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5</v>
      </c>
      <c r="E773" s="22" t="s">
        <v>66</v>
      </c>
      <c r="F773" s="15">
        <v>43620</v>
      </c>
      <c r="G773" s="13" t="s">
        <v>277</v>
      </c>
      <c r="H773" s="34" t="s">
        <v>44</v>
      </c>
      <c r="I773" s="33">
        <f ca="1">ROUNDDOWN(表3[[#This Row],[日期]]-TODAY(),1)</f>
        <v>-3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6</v>
      </c>
      <c r="E774" s="22" t="s">
        <v>19</v>
      </c>
      <c r="F774" s="15">
        <v>43620</v>
      </c>
      <c r="G774" s="13" t="s">
        <v>277</v>
      </c>
      <c r="H774" s="34"/>
      <c r="I774" s="33">
        <f ca="1">ROUNDDOWN(表3[[#This Row],[日期]]-TODAY(),1)</f>
        <v>-3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7</v>
      </c>
      <c r="E775" s="22" t="s">
        <v>21</v>
      </c>
      <c r="F775" s="15">
        <v>43620</v>
      </c>
      <c r="G775" s="13" t="s">
        <v>277</v>
      </c>
      <c r="H775" s="34"/>
      <c r="I775" s="33">
        <f ca="1">ROUNDDOWN(表3[[#This Row],[日期]]-TODAY(),1)</f>
        <v>-3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8</v>
      </c>
      <c r="E776" s="22" t="s">
        <v>647</v>
      </c>
      <c r="F776" s="15">
        <v>43620</v>
      </c>
      <c r="G776" s="13" t="s">
        <v>277</v>
      </c>
      <c r="H776" s="34"/>
      <c r="I776" s="33">
        <f ca="1">ROUNDDOWN(表3[[#This Row],[日期]]-TODAY(),1)</f>
        <v>-3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9</v>
      </c>
      <c r="E777" s="22" t="s">
        <v>9</v>
      </c>
      <c r="F777" s="15">
        <v>43620</v>
      </c>
      <c r="G777" s="13" t="s">
        <v>277</v>
      </c>
      <c r="H777" s="34"/>
      <c r="I777" s="33">
        <f ca="1">ROUNDDOWN(表3[[#This Row],[日期]]-TODAY(),1)</f>
        <v>-3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10</v>
      </c>
      <c r="E778" s="22" t="s">
        <v>11</v>
      </c>
      <c r="F778" s="15">
        <v>43621</v>
      </c>
      <c r="G778" s="13" t="s">
        <v>277</v>
      </c>
      <c r="H778" s="34" t="s">
        <v>33</v>
      </c>
      <c r="I778" s="33">
        <f ca="1">ROUNDDOWN(表3[[#This Row],[日期]]-TODAY(),1)</f>
        <v>-2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11</v>
      </c>
      <c r="E779" s="22" t="s">
        <v>60</v>
      </c>
      <c r="F779" s="15">
        <v>43621</v>
      </c>
      <c r="G779" s="13" t="s">
        <v>277</v>
      </c>
      <c r="H779" s="34"/>
      <c r="I779" s="33">
        <f ca="1">ROUNDDOWN(表3[[#This Row],[日期]]-TODAY(),1)</f>
        <v>-2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12</v>
      </c>
      <c r="E780" s="22" t="s">
        <v>564</v>
      </c>
      <c r="F780" s="15">
        <v>43626</v>
      </c>
      <c r="G780" s="13" t="s">
        <v>220</v>
      </c>
      <c r="H780" s="34" t="s">
        <v>35</v>
      </c>
      <c r="I780" s="33">
        <f ca="1">ROUNDDOWN(表3[[#This Row],[日期]]-TODAY(),1)</f>
        <v>3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13</v>
      </c>
      <c r="E781" s="22" t="s">
        <v>40</v>
      </c>
      <c r="F781" s="15">
        <v>43626</v>
      </c>
      <c r="G781" s="13" t="s">
        <v>220</v>
      </c>
      <c r="H781" s="34"/>
      <c r="I781" s="33">
        <f ca="1">ROUNDDOWN(表3[[#This Row],[日期]]-TODAY(),1)</f>
        <v>3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14</v>
      </c>
      <c r="E782" s="22" t="s">
        <v>23</v>
      </c>
      <c r="F782" s="15">
        <v>43626</v>
      </c>
      <c r="G782" s="13" t="s">
        <v>220</v>
      </c>
      <c r="H782" s="34"/>
      <c r="I782" s="33">
        <f ca="1">ROUNDDOWN(表3[[#This Row],[日期]]-TODAY(),1)</f>
        <v>3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15</v>
      </c>
      <c r="E783" s="22" t="s">
        <v>25</v>
      </c>
      <c r="F783" s="15">
        <v>43626</v>
      </c>
      <c r="G783" s="13" t="s">
        <v>220</v>
      </c>
      <c r="H783" s="34"/>
      <c r="I783" s="33">
        <f ca="1">ROUNDDOWN(表3[[#This Row],[日期]]-TODAY(),1)</f>
        <v>3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16</v>
      </c>
      <c r="E784" s="22" t="s">
        <v>13</v>
      </c>
      <c r="F784" s="15">
        <v>43626</v>
      </c>
      <c r="G784" s="13" t="s">
        <v>220</v>
      </c>
      <c r="H784" s="34"/>
      <c r="I784" s="33">
        <f ca="1">ROUNDDOWN(表3[[#This Row],[日期]]-TODAY(),1)</f>
        <v>3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17</v>
      </c>
      <c r="E785" s="22" t="s">
        <v>15</v>
      </c>
      <c r="F785" s="15">
        <v>43626</v>
      </c>
      <c r="G785" s="13" t="s">
        <v>220</v>
      </c>
      <c r="H785" s="34"/>
      <c r="I785" s="33">
        <f ca="1">ROUNDDOWN(表3[[#This Row],[日期]]-TODAY(),1)</f>
        <v>3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18</v>
      </c>
      <c r="E786" s="22" t="s">
        <v>17</v>
      </c>
      <c r="F786" s="15">
        <v>43626</v>
      </c>
      <c r="G786" s="13" t="s">
        <v>220</v>
      </c>
      <c r="H786" s="34"/>
      <c r="I786" s="33">
        <f ca="1">ROUNDDOWN(表3[[#This Row],[日期]]-TODAY(),1)</f>
        <v>3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19</v>
      </c>
      <c r="E787" s="22" t="s">
        <v>58</v>
      </c>
      <c r="F787" s="15">
        <v>43626</v>
      </c>
      <c r="G787" s="13" t="s">
        <v>220</v>
      </c>
      <c r="H787" s="34"/>
      <c r="I787" s="33">
        <f ca="1">ROUNDDOWN(表3[[#This Row],[日期]]-TODAY(),1)</f>
        <v>3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20</v>
      </c>
      <c r="E788" s="22" t="s">
        <v>565</v>
      </c>
      <c r="F788" s="15">
        <v>43627</v>
      </c>
      <c r="G788" s="13" t="s">
        <v>220</v>
      </c>
      <c r="H788" s="34" t="s">
        <v>37</v>
      </c>
      <c r="I788" s="33">
        <f ca="1">ROUNDDOWN(表3[[#This Row],[日期]]-TODAY(),1)</f>
        <v>4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21</v>
      </c>
      <c r="E789" s="22" t="s">
        <v>39</v>
      </c>
      <c r="F789" s="15">
        <v>43627</v>
      </c>
      <c r="G789" s="13" t="s">
        <v>220</v>
      </c>
      <c r="H789" s="34"/>
      <c r="I789" s="33">
        <f ca="1">ROUNDDOWN(表3[[#This Row],[日期]]-TODAY(),1)</f>
        <v>4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22</v>
      </c>
      <c r="E790" s="22" t="s">
        <v>42</v>
      </c>
      <c r="F790" s="15">
        <v>43627</v>
      </c>
      <c r="G790" s="13" t="s">
        <v>220</v>
      </c>
      <c r="H790" s="34"/>
      <c r="I790" s="33">
        <f ca="1">ROUNDDOWN(表3[[#This Row],[日期]]-TODAY(),1)</f>
        <v>4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23</v>
      </c>
      <c r="E791" s="22" t="s">
        <v>544</v>
      </c>
      <c r="F791" s="15">
        <v>43627</v>
      </c>
      <c r="G791" s="13" t="s">
        <v>220</v>
      </c>
      <c r="H791" s="34" t="s">
        <v>44</v>
      </c>
      <c r="I791" s="33">
        <f ca="1">ROUNDDOWN(表3[[#This Row],[日期]]-TODAY(),1)</f>
        <v>4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24</v>
      </c>
      <c r="E792" s="22" t="s">
        <v>236</v>
      </c>
      <c r="F792" s="15">
        <v>43627</v>
      </c>
      <c r="G792" s="13" t="s">
        <v>220</v>
      </c>
      <c r="H792" s="34" t="s">
        <v>211</v>
      </c>
      <c r="I792" s="33">
        <f ca="1">ROUNDDOWN(表3[[#This Row],[日期]]-TODAY(),1)</f>
        <v>4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25</v>
      </c>
      <c r="E793" s="22" t="s">
        <v>68</v>
      </c>
      <c r="F793" s="15">
        <v>43627</v>
      </c>
      <c r="G793" s="13" t="s">
        <v>220</v>
      </c>
      <c r="H793" s="34"/>
      <c r="I793" s="33">
        <f ca="1">ROUNDDOWN(表3[[#This Row],[日期]]-TODAY(),1)</f>
        <v>4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26</v>
      </c>
      <c r="E794" s="22" t="s">
        <v>46</v>
      </c>
      <c r="F794" s="15">
        <v>43627</v>
      </c>
      <c r="G794" s="13" t="s">
        <v>220</v>
      </c>
      <c r="H794" s="34"/>
      <c r="I794" s="33">
        <f ca="1">ROUNDDOWN(表3[[#This Row],[日期]]-TODAY(),1)</f>
        <v>4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27</v>
      </c>
      <c r="E795" s="22" t="s">
        <v>87</v>
      </c>
      <c r="F795" s="15">
        <v>43627</v>
      </c>
      <c r="G795" s="13" t="s">
        <v>220</v>
      </c>
      <c r="H795" s="34"/>
      <c r="I795" s="33">
        <f ca="1">ROUNDDOWN(表3[[#This Row],[日期]]-TODAY(),1)</f>
        <v>4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28</v>
      </c>
      <c r="E796" s="22" t="s">
        <v>83</v>
      </c>
      <c r="F796" s="15">
        <v>43627</v>
      </c>
      <c r="G796" s="13" t="s">
        <v>220</v>
      </c>
      <c r="H796" s="34"/>
      <c r="I796" s="33">
        <f ca="1">ROUNDDOWN(表3[[#This Row],[日期]]-TODAY(),1)</f>
        <v>4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29</v>
      </c>
      <c r="E797" s="22" t="s">
        <v>85</v>
      </c>
      <c r="F797" s="15">
        <v>43627</v>
      </c>
      <c r="G797" s="13" t="s">
        <v>220</v>
      </c>
      <c r="H797" s="34"/>
      <c r="I797" s="33">
        <f ca="1">ROUNDDOWN(表3[[#This Row],[日期]]-TODAY(),1)</f>
        <v>4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30</v>
      </c>
      <c r="E798" s="22" t="s">
        <v>235</v>
      </c>
      <c r="F798" s="15">
        <v>43627</v>
      </c>
      <c r="G798" s="13" t="s">
        <v>220</v>
      </c>
      <c r="H798" s="34"/>
      <c r="I798" s="33">
        <f ca="1">ROUNDDOWN(表3[[#This Row],[日期]]-TODAY(),1)</f>
        <v>4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31</v>
      </c>
      <c r="E799" s="22" t="s">
        <v>50</v>
      </c>
      <c r="F799" s="15">
        <v>43627</v>
      </c>
      <c r="G799" s="13" t="s">
        <v>220</v>
      </c>
      <c r="H799" s="34" t="s">
        <v>44</v>
      </c>
      <c r="I799" s="33">
        <f ca="1">ROUNDDOWN(表3[[#This Row],[日期]]-TODAY(),1)</f>
        <v>4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32</v>
      </c>
      <c r="E800" s="22" t="s">
        <v>56</v>
      </c>
      <c r="F800" s="15">
        <v>43627</v>
      </c>
      <c r="G800" s="13" t="s">
        <v>220</v>
      </c>
      <c r="H800" s="34"/>
      <c r="I800" s="33">
        <f ca="1">ROUNDDOWN(表3[[#This Row],[日期]]-TODAY(),1)</f>
        <v>4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33</v>
      </c>
      <c r="E801" s="22" t="s">
        <v>75</v>
      </c>
      <c r="F801" s="15">
        <v>43627</v>
      </c>
      <c r="G801" s="13" t="s">
        <v>220</v>
      </c>
      <c r="H801" s="34" t="s">
        <v>72</v>
      </c>
      <c r="I801" s="33">
        <f ca="1">ROUNDDOWN(表3[[#This Row],[日期]]-TODAY(),1)</f>
        <v>4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34</v>
      </c>
      <c r="E802" s="22" t="s">
        <v>70</v>
      </c>
      <c r="F802" s="15">
        <v>43627</v>
      </c>
      <c r="G802" s="13" t="s">
        <v>220</v>
      </c>
      <c r="H802" s="34"/>
      <c r="I802" s="33">
        <f ca="1">ROUNDDOWN(表3[[#This Row],[日期]]-TODAY(),1)</f>
        <v>4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35</v>
      </c>
      <c r="E803" s="22" t="s">
        <v>566</v>
      </c>
      <c r="F803" s="15">
        <v>43627</v>
      </c>
      <c r="G803" s="13" t="s">
        <v>220</v>
      </c>
      <c r="H803" s="34" t="s">
        <v>33</v>
      </c>
      <c r="I803" s="33">
        <f ca="1">ROUNDDOWN(表3[[#This Row],[日期]]-TODAY(),1)</f>
        <v>4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36</v>
      </c>
      <c r="E804" s="22" t="s">
        <v>567</v>
      </c>
      <c r="F804" s="15">
        <v>43627</v>
      </c>
      <c r="G804" s="13" t="s">
        <v>220</v>
      </c>
      <c r="H804" s="34" t="s">
        <v>44</v>
      </c>
      <c r="I804" s="33">
        <f ca="1">ROUNDDOWN(表3[[#This Row],[日期]]-TODAY(),1)</f>
        <v>4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37</v>
      </c>
      <c r="E805" s="22" t="s">
        <v>180</v>
      </c>
      <c r="F805" s="15">
        <v>43627</v>
      </c>
      <c r="G805" s="13" t="s">
        <v>220</v>
      </c>
      <c r="H805" s="34"/>
      <c r="I805" s="33">
        <f ca="1">ROUNDDOWN(表3[[#This Row],[日期]]-TODAY(),1)</f>
        <v>4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77</v>
      </c>
      <c r="F806" s="15">
        <v>43627</v>
      </c>
      <c r="G806" s="13" t="s">
        <v>220</v>
      </c>
      <c r="H806" s="34" t="s">
        <v>79</v>
      </c>
      <c r="I806" s="33">
        <f ca="1">ROUNDDOWN(表3[[#This Row],[日期]]-TODAY(),1)</f>
        <v>4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37</v>
      </c>
      <c r="E807" s="22" t="s">
        <v>81</v>
      </c>
      <c r="F807" s="15">
        <v>43627</v>
      </c>
      <c r="G807" s="13" t="s">
        <v>220</v>
      </c>
      <c r="H807" s="34"/>
      <c r="I807" s="33">
        <f ca="1">ROUNDDOWN(表3[[#This Row],[日期]]-TODAY(),1)</f>
        <v>4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37</v>
      </c>
      <c r="E808" s="22" t="s">
        <v>89</v>
      </c>
      <c r="F808" s="15">
        <v>43627</v>
      </c>
      <c r="G808" s="13" t="s">
        <v>220</v>
      </c>
      <c r="H808" s="34"/>
      <c r="I808" s="33">
        <f ca="1">ROUNDDOWN(表3[[#This Row],[日期]]-TODAY(),1)</f>
        <v>4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37</v>
      </c>
      <c r="E809" s="22" t="s">
        <v>91</v>
      </c>
      <c r="F809" s="15">
        <v>43627</v>
      </c>
      <c r="G809" s="13" t="s">
        <v>220</v>
      </c>
      <c r="H809" s="34"/>
      <c r="I809" s="33">
        <f ca="1">ROUNDDOWN(表3[[#This Row],[日期]]-TODAY(),1)</f>
        <v>4</v>
      </c>
    </row>
    <row r="810" spans="1:9" hidden="1" x14ac:dyDescent="0.2">
      <c r="A810" s="33" t="str">
        <f>TEXT(表3[[#This Row],[ETD]],"mmdd-h ")&amp;表3[[#This Row],[项目]]</f>
        <v>0614-0 JS mobis</v>
      </c>
      <c r="B810" s="34" t="s">
        <v>2</v>
      </c>
      <c r="C810" s="7">
        <v>43630</v>
      </c>
      <c r="D810" s="16">
        <v>42</v>
      </c>
      <c r="E810" s="22" t="s">
        <v>93</v>
      </c>
      <c r="F810" s="15">
        <v>43627</v>
      </c>
      <c r="G810" s="13" t="s">
        <v>220</v>
      </c>
      <c r="H810" s="34"/>
      <c r="I810" s="33">
        <f ca="1">ROUNDDOWN(表3[[#This Row],[日期]]-TODAY(),1)</f>
        <v>4</v>
      </c>
    </row>
    <row r="811" spans="1:9" hidden="1" x14ac:dyDescent="0.2">
      <c r="A811" s="38" t="str">
        <f>TEXT(表3[[#This Row],[ETD]],"mmdd-h ")&amp;表3[[#This Row],[项目]]</f>
        <v>0614-0 JS mobis</v>
      </c>
      <c r="B811" s="39" t="s">
        <v>2</v>
      </c>
      <c r="C811" s="44">
        <v>43630</v>
      </c>
      <c r="D811" s="40">
        <v>43</v>
      </c>
      <c r="E811" s="41" t="s">
        <v>95</v>
      </c>
      <c r="F811" s="42">
        <v>43627</v>
      </c>
      <c r="G811" s="43" t="s">
        <v>220</v>
      </c>
      <c r="H811" s="39"/>
      <c r="I811" s="38">
        <f ca="1">ROUNDDOWN(表3[[#This Row],[日期]]-TODAY(),1)</f>
        <v>4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44</v>
      </c>
      <c r="E812" s="22" t="s">
        <v>97</v>
      </c>
      <c r="F812" s="15">
        <v>43629</v>
      </c>
      <c r="G812" s="13" t="s">
        <v>220</v>
      </c>
      <c r="H812" s="34"/>
      <c r="I812" s="33">
        <f ca="1">ROUNDDOWN(表3[[#This Row],[日期]]-TODAY(),1)</f>
        <v>6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45</v>
      </c>
      <c r="E813" s="22" t="s">
        <v>694</v>
      </c>
      <c r="F813" s="15">
        <v>43629</v>
      </c>
      <c r="G813" s="13" t="s">
        <v>220</v>
      </c>
      <c r="H813" s="34"/>
      <c r="I813" s="33">
        <f ca="1">ROUNDDOWN(表3[[#This Row],[日期]]-TODAY(),1)</f>
        <v>6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46</v>
      </c>
      <c r="E814" s="22" t="s">
        <v>349</v>
      </c>
      <c r="F814" s="15">
        <v>43630</v>
      </c>
      <c r="G814" s="13" t="s">
        <v>220</v>
      </c>
      <c r="H814" s="34"/>
      <c r="I814" s="33">
        <f ca="1">ROUNDDOWN(表3[[#This Row],[日期]]-TODAY(),1)</f>
        <v>7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47</v>
      </c>
      <c r="E815" s="22" t="s">
        <v>101</v>
      </c>
      <c r="F815" s="15">
        <v>43630</v>
      </c>
      <c r="G815" s="13" t="s">
        <v>220</v>
      </c>
      <c r="H815" s="34" t="s">
        <v>138</v>
      </c>
      <c r="I815" s="33">
        <f ca="1">ROUNDDOWN(表3[[#This Row],[日期]]-TODAY(),1)</f>
        <v>7</v>
      </c>
    </row>
    <row r="816" spans="1:9" hidden="1" x14ac:dyDescent="0.2">
      <c r="A816" s="33" t="str">
        <f>TEXT(表3[[#This Row],[ETD]],"mmdd-h ")&amp;表3[[#This Row],[项目]]</f>
        <v>0616-0 万盛</v>
      </c>
      <c r="B816" s="34" t="s">
        <v>659</v>
      </c>
      <c r="C816" s="7">
        <v>43632</v>
      </c>
      <c r="D816" s="16">
        <v>1</v>
      </c>
      <c r="E816" s="22" t="s">
        <v>661</v>
      </c>
      <c r="F816" s="15">
        <v>43620</v>
      </c>
      <c r="G816" s="13" t="s">
        <v>663</v>
      </c>
      <c r="H816" s="34"/>
      <c r="I816" s="33">
        <f ca="1">ROUNDDOWN(表3[[#This Row],[日期]]-TODAY(),1)</f>
        <v>-3</v>
      </c>
    </row>
    <row r="817" spans="1:9" hidden="1" x14ac:dyDescent="0.2">
      <c r="A817" s="33" t="str">
        <f>TEXT(表3[[#This Row],[ETD]],"mmdd-h ")&amp;表3[[#This Row],[项目]]</f>
        <v>0616-0 万盛</v>
      </c>
      <c r="B817" s="34" t="s">
        <v>659</v>
      </c>
      <c r="C817" s="7">
        <v>43632</v>
      </c>
      <c r="D817" s="16">
        <v>2</v>
      </c>
      <c r="E817" s="22" t="s">
        <v>664</v>
      </c>
      <c r="F817" s="15">
        <v>43620</v>
      </c>
      <c r="G817" s="13" t="s">
        <v>663</v>
      </c>
      <c r="H817" s="34"/>
      <c r="I817" s="33">
        <f ca="1">ROUNDDOWN(表3[[#This Row],[日期]]-TODAY(),1)</f>
        <v>-3</v>
      </c>
    </row>
    <row r="818" spans="1:9" hidden="1" x14ac:dyDescent="0.2">
      <c r="A818" s="33" t="str">
        <f>TEXT(表3[[#This Row],[ETD]],"mmdd-h ")&amp;表3[[#This Row],[项目]]</f>
        <v>0616-0 万盛</v>
      </c>
      <c r="B818" s="34" t="s">
        <v>659</v>
      </c>
      <c r="C818" s="7">
        <v>43632</v>
      </c>
      <c r="D818" s="16">
        <v>3</v>
      </c>
      <c r="E818" s="22" t="s">
        <v>666</v>
      </c>
      <c r="F818" s="15">
        <v>43620</v>
      </c>
      <c r="G818" s="13" t="s">
        <v>663</v>
      </c>
      <c r="H818" s="34"/>
      <c r="I818" s="33">
        <f ca="1">ROUNDDOWN(表3[[#This Row],[日期]]-TODAY(),1)</f>
        <v>-3</v>
      </c>
    </row>
    <row r="819" spans="1:9" hidden="1" x14ac:dyDescent="0.2">
      <c r="A819" s="33" t="str">
        <f>TEXT(表3[[#This Row],[ETD]],"mmdd-h ")&amp;表3[[#This Row],[项目]]</f>
        <v>0616-0 万盛</v>
      </c>
      <c r="B819" s="34" t="s">
        <v>659</v>
      </c>
      <c r="C819" s="7">
        <v>43632</v>
      </c>
      <c r="D819" s="16">
        <v>4</v>
      </c>
      <c r="E819" s="22" t="s">
        <v>668</v>
      </c>
      <c r="F819" s="15">
        <v>43620</v>
      </c>
      <c r="G819" s="13" t="s">
        <v>663</v>
      </c>
      <c r="H819" s="34"/>
      <c r="I819" s="33">
        <f ca="1">ROUNDDOWN(表3[[#This Row],[日期]]-TODAY(),1)</f>
        <v>-3</v>
      </c>
    </row>
    <row r="820" spans="1:9" hidden="1" x14ac:dyDescent="0.2">
      <c r="A820" s="33" t="str">
        <f>TEXT(表3[[#This Row],[ETD]],"mmdd-h ")&amp;表3[[#This Row],[项目]]</f>
        <v>0616-0 万盛</v>
      </c>
      <c r="B820" s="34" t="s">
        <v>659</v>
      </c>
      <c r="C820" s="7">
        <v>43632</v>
      </c>
      <c r="D820" s="16">
        <v>5</v>
      </c>
      <c r="E820" s="22" t="s">
        <v>671</v>
      </c>
      <c r="F820" s="15">
        <v>43620</v>
      </c>
      <c r="G820" s="13" t="s">
        <v>663</v>
      </c>
      <c r="H820" s="34"/>
      <c r="I820" s="33">
        <f ca="1">ROUNDDOWN(表3[[#This Row],[日期]]-TODAY(),1)</f>
        <v>-3</v>
      </c>
    </row>
    <row r="821" spans="1:9" hidden="1" x14ac:dyDescent="0.2">
      <c r="A821" s="33" t="str">
        <f>TEXT(表3[[#This Row],[ETD]],"mmdd-h ")&amp;表3[[#This Row],[项目]]</f>
        <v>0616-0 万盛</v>
      </c>
      <c r="B821" s="34" t="s">
        <v>659</v>
      </c>
      <c r="C821" s="7">
        <v>43632</v>
      </c>
      <c r="D821" s="16">
        <v>6</v>
      </c>
      <c r="E821" s="22" t="s">
        <v>673</v>
      </c>
      <c r="F821" s="15">
        <v>43629</v>
      </c>
      <c r="G821" s="13" t="s">
        <v>220</v>
      </c>
      <c r="H821" s="34" t="s">
        <v>683</v>
      </c>
      <c r="I821" s="33">
        <f ca="1">ROUNDDOWN(表3[[#This Row],[日期]]-TODAY(),1)</f>
        <v>6</v>
      </c>
    </row>
    <row r="822" spans="1:9" hidden="1" x14ac:dyDescent="0.2">
      <c r="A822" s="33" t="str">
        <f>TEXT(表3[[#This Row],[ETD]],"mmdd-h ")&amp;表3[[#This Row],[项目]]</f>
        <v>0616-0 万盛</v>
      </c>
      <c r="B822" s="34" t="s">
        <v>659</v>
      </c>
      <c r="C822" s="7">
        <v>43632</v>
      </c>
      <c r="D822" s="16">
        <v>7</v>
      </c>
      <c r="E822" s="22" t="s">
        <v>675</v>
      </c>
      <c r="F822" s="15">
        <v>43629</v>
      </c>
      <c r="G822" s="13" t="s">
        <v>220</v>
      </c>
      <c r="H822" s="34"/>
      <c r="I822" s="33">
        <f ca="1">ROUNDDOWN(表3[[#This Row],[日期]]-TODAY(),1)</f>
        <v>6</v>
      </c>
    </row>
    <row r="823" spans="1:9" hidden="1" x14ac:dyDescent="0.2">
      <c r="A823" s="33" t="str">
        <f>TEXT(表3[[#This Row],[ETD]],"mmdd-h ")&amp;表3[[#This Row],[项目]]</f>
        <v>0616-0 万盛</v>
      </c>
      <c r="B823" s="34" t="s">
        <v>659</v>
      </c>
      <c r="C823" s="7">
        <v>43632</v>
      </c>
      <c r="D823" s="16">
        <v>8</v>
      </c>
      <c r="E823" s="22" t="s">
        <v>677</v>
      </c>
      <c r="F823" s="15">
        <v>43629</v>
      </c>
      <c r="G823" s="13" t="s">
        <v>220</v>
      </c>
      <c r="H823" s="34"/>
      <c r="I823" s="33">
        <f ca="1">ROUNDDOWN(表3[[#This Row],[日期]]-TODAY(),1)</f>
        <v>6</v>
      </c>
    </row>
    <row r="824" spans="1:9" hidden="1" x14ac:dyDescent="0.2">
      <c r="A824" s="33" t="str">
        <f>TEXT(表3[[#This Row],[ETD]],"mmdd-h ")&amp;表3[[#This Row],[项目]]</f>
        <v>0616-0 万盛</v>
      </c>
      <c r="B824" s="34" t="s">
        <v>659</v>
      </c>
      <c r="C824" s="7">
        <v>43632</v>
      </c>
      <c r="D824" s="16">
        <v>9</v>
      </c>
      <c r="E824" s="22" t="s">
        <v>679</v>
      </c>
      <c r="F824" s="15">
        <v>43633</v>
      </c>
      <c r="G824" s="13" t="s">
        <v>220</v>
      </c>
      <c r="H824" s="34"/>
      <c r="I824" s="33">
        <f ca="1">ROUNDDOWN(表3[[#This Row],[日期]]-TODAY(),1)</f>
        <v>10</v>
      </c>
    </row>
    <row r="825" spans="1:9" hidden="1" x14ac:dyDescent="0.2">
      <c r="A825" s="33" t="str">
        <f>TEXT(表3[[#This Row],[ETD]],"mmdd-h ")&amp;表3[[#This Row],[项目]]</f>
        <v>0616-0 万盛</v>
      </c>
      <c r="B825" s="34" t="s">
        <v>659</v>
      </c>
      <c r="C825" s="7">
        <v>43632</v>
      </c>
      <c r="D825" s="16">
        <v>10</v>
      </c>
      <c r="E825" s="22" t="s">
        <v>681</v>
      </c>
      <c r="F825" s="15">
        <v>43633</v>
      </c>
      <c r="G825" s="13" t="s">
        <v>220</v>
      </c>
      <c r="H825" s="34"/>
      <c r="I825" s="33">
        <f ca="1">ROUNDDOWN(表3[[#This Row],[日期]]-TODAY(),1)</f>
        <v>10</v>
      </c>
    </row>
    <row r="826" spans="1:9" hidden="1" x14ac:dyDescent="0.2">
      <c r="A826" s="33" t="str">
        <f>TEXT(表3[[#This Row],[ETD]],"mmdd-h ")&amp;表3[[#This Row],[项目]]</f>
        <v>0617-0 0 WEEK</v>
      </c>
      <c r="B826" s="34" t="s">
        <v>256</v>
      </c>
      <c r="C826" s="7">
        <v>43633</v>
      </c>
      <c r="D826" s="16">
        <v>1</v>
      </c>
      <c r="E826" s="22" t="s">
        <v>452</v>
      </c>
      <c r="F826" s="15">
        <v>43633</v>
      </c>
      <c r="G826" s="13" t="s">
        <v>220</v>
      </c>
      <c r="H826" s="34" t="s">
        <v>248</v>
      </c>
      <c r="I826" s="33">
        <f ca="1">ROUNDDOWN(表3[[#This Row],[日期]]-TODAY(),1)</f>
        <v>10</v>
      </c>
    </row>
    <row r="827" spans="1:9" hidden="1" x14ac:dyDescent="0.2">
      <c r="A827" s="33" t="str">
        <f>TEXT(表3[[#This Row],[ETD]],"mmdd-h ")&amp;表3[[#This Row],[项目]]</f>
        <v>0617-0 0 WEEK</v>
      </c>
      <c r="B827" s="34" t="s">
        <v>256</v>
      </c>
      <c r="C827" s="7">
        <v>43633</v>
      </c>
      <c r="D827" s="16">
        <v>2</v>
      </c>
      <c r="E827" s="22" t="s">
        <v>453</v>
      </c>
      <c r="F827" s="15">
        <v>43633</v>
      </c>
      <c r="G827" s="13" t="s">
        <v>220</v>
      </c>
      <c r="H827" s="34" t="s">
        <v>248</v>
      </c>
      <c r="I827" s="33">
        <f ca="1">ROUNDDOWN(表3[[#This Row],[日期]]-TODAY(),1)</f>
        <v>10</v>
      </c>
    </row>
    <row r="828" spans="1:9" hidden="1" x14ac:dyDescent="0.2">
      <c r="A828" s="33" t="str">
        <f>TEXT(表3[[#This Row],[ETD]],"mmdd-h ")&amp;表3[[#This Row],[项目]]</f>
        <v>0617-0 0 WEEK</v>
      </c>
      <c r="B828" s="34" t="s">
        <v>256</v>
      </c>
      <c r="C828" s="7">
        <v>43633</v>
      </c>
      <c r="D828" s="16">
        <v>3</v>
      </c>
      <c r="E828" s="22" t="s">
        <v>250</v>
      </c>
      <c r="F828" s="15">
        <v>43633</v>
      </c>
      <c r="G828" s="13" t="s">
        <v>220</v>
      </c>
      <c r="H828" s="34" t="s">
        <v>248</v>
      </c>
      <c r="I828" s="33">
        <f ca="1">ROUNDDOWN(表3[[#This Row],[日期]]-TODAY(),1)</f>
        <v>10</v>
      </c>
    </row>
    <row r="829" spans="1:9" hidden="1" x14ac:dyDescent="0.2">
      <c r="A829" s="33" t="str">
        <f>TEXT(表3[[#This Row],[ETD]],"mmdd-h ")&amp;表3[[#This Row],[项目]]</f>
        <v>0617-0 0 WEEK</v>
      </c>
      <c r="B829" s="34" t="s">
        <v>256</v>
      </c>
      <c r="C829" s="7">
        <v>43633</v>
      </c>
      <c r="D829" s="16">
        <v>4</v>
      </c>
      <c r="E829" s="22" t="s">
        <v>250</v>
      </c>
      <c r="F829" s="15">
        <v>43635</v>
      </c>
      <c r="G829" s="13" t="s">
        <v>220</v>
      </c>
      <c r="H829" s="34" t="s">
        <v>253</v>
      </c>
      <c r="I829" s="33">
        <f ca="1">ROUNDDOWN(表3[[#This Row],[日期]]-TODAY(),1)</f>
        <v>12</v>
      </c>
    </row>
    <row r="830" spans="1:9" hidden="1" x14ac:dyDescent="0.2">
      <c r="A830" s="38" t="str">
        <f>TEXT(表3[[#This Row],[ETD]],"mmdd-h ")&amp;表3[[#This Row],[项目]]</f>
        <v>0617-0 0 WEEK</v>
      </c>
      <c r="B830" s="39" t="s">
        <v>256</v>
      </c>
      <c r="C830" s="44">
        <v>43633</v>
      </c>
      <c r="D830" s="40">
        <v>5</v>
      </c>
      <c r="E830" s="41" t="s">
        <v>239</v>
      </c>
      <c r="F830" s="42">
        <v>43637</v>
      </c>
      <c r="G830" s="43" t="s">
        <v>220</v>
      </c>
      <c r="H830" s="39" t="s">
        <v>244</v>
      </c>
      <c r="I830" s="38">
        <f ca="1">ROUNDDOWN(表3[[#This Row],[日期]]-TODAY(),1)</f>
        <v>14</v>
      </c>
    </row>
    <row r="831" spans="1:9" hidden="1" x14ac:dyDescent="0.2">
      <c r="A831" s="38" t="str">
        <f>TEXT(表3[[#This Row],[ETD]],"mmdd-h ")&amp;表3[[#This Row],[项目]]</f>
        <v>0617-0 0 WEEK</v>
      </c>
      <c r="B831" s="34" t="s">
        <v>256</v>
      </c>
      <c r="C831" s="7">
        <v>43633</v>
      </c>
      <c r="D831" s="40">
        <v>6</v>
      </c>
      <c r="E831" s="50" t="s">
        <v>634</v>
      </c>
      <c r="F831" s="42">
        <v>43637</v>
      </c>
      <c r="G831" s="43" t="s">
        <v>220</v>
      </c>
      <c r="H831" s="39" t="s">
        <v>244</v>
      </c>
      <c r="I831" s="38">
        <f ca="1">ROUNDDOWN(表3[[#This Row],[日期]]-TODAY(),1)</f>
        <v>14</v>
      </c>
    </row>
    <row r="832" spans="1:9" hidden="1" x14ac:dyDescent="0.2">
      <c r="A832" s="38" t="str">
        <f>TEXT(表3[[#This Row],[ETD]],"mmdd-h ")&amp;表3[[#This Row],[项目]]</f>
        <v>0617-0 0 WEEK</v>
      </c>
      <c r="B832" s="39" t="s">
        <v>256</v>
      </c>
      <c r="C832" s="44">
        <v>43633</v>
      </c>
      <c r="D832" s="40">
        <v>7</v>
      </c>
      <c r="E832" s="50" t="s">
        <v>635</v>
      </c>
      <c r="F832" s="42">
        <v>43637</v>
      </c>
      <c r="G832" s="43" t="s">
        <v>220</v>
      </c>
      <c r="H832" s="39" t="s">
        <v>244</v>
      </c>
      <c r="I832" s="38">
        <f ca="1">ROUNDDOWN(表3[[#This Row],[日期]]-TODAY(),1)</f>
        <v>14</v>
      </c>
    </row>
    <row r="833" spans="1:9" hidden="1" x14ac:dyDescent="0.2">
      <c r="A833" s="38" t="str">
        <f>TEXT(表3[[#This Row],[ETD]],"mmdd-h ")&amp;表3[[#This Row],[项目]]</f>
        <v>0619-0 HMI</v>
      </c>
      <c r="B833" s="39" t="s">
        <v>714</v>
      </c>
      <c r="C833" s="44">
        <v>43635</v>
      </c>
      <c r="D833" s="40">
        <v>1</v>
      </c>
      <c r="E833" s="41" t="s">
        <v>449</v>
      </c>
      <c r="F833" s="42">
        <v>43622</v>
      </c>
      <c r="G833" s="43" t="s">
        <v>716</v>
      </c>
      <c r="H833" s="39"/>
      <c r="I833" s="38">
        <f ca="1">ROUNDDOWN(表3[[#This Row],[日期]]-TODAY(),1)</f>
        <v>-1</v>
      </c>
    </row>
    <row r="834" spans="1:9" hidden="1" x14ac:dyDescent="0.2">
      <c r="A834" s="38" t="str">
        <f>TEXT(表3[[#This Row],[ETD]],"mmdd-h ")&amp;表3[[#This Row],[项目]]</f>
        <v>0619-0 HMI</v>
      </c>
      <c r="B834" s="39" t="s">
        <v>714</v>
      </c>
      <c r="C834" s="44">
        <v>43635</v>
      </c>
      <c r="D834" s="40">
        <v>2</v>
      </c>
      <c r="E834" s="41" t="s">
        <v>450</v>
      </c>
      <c r="F834" s="42">
        <v>43626</v>
      </c>
      <c r="G834" s="43" t="s">
        <v>220</v>
      </c>
      <c r="H834" s="39"/>
      <c r="I834" s="38">
        <f ca="1">ROUNDDOWN(表3[[#This Row],[日期]]-TODAY(),1)</f>
        <v>3</v>
      </c>
    </row>
    <row r="835" spans="1:9" hidden="1" x14ac:dyDescent="0.2">
      <c r="A835" s="33" t="str">
        <f>TEXT(表3[[#This Row],[ETD]],"mmdd-h ")&amp;表3[[#This Row],[项目]]</f>
        <v>0619-0 HMI</v>
      </c>
      <c r="B835" s="34" t="s">
        <v>714</v>
      </c>
      <c r="C835" s="44">
        <v>43635</v>
      </c>
      <c r="D835" s="16">
        <v>3</v>
      </c>
      <c r="E835" s="22" t="s">
        <v>21</v>
      </c>
      <c r="F835" s="15">
        <v>43626</v>
      </c>
      <c r="G835" s="13" t="s">
        <v>220</v>
      </c>
      <c r="H835" s="34"/>
      <c r="I835" s="33">
        <f ca="1">ROUNDDOWN(表3[[#This Row],[日期]]-TODAY(),1)</f>
        <v>3</v>
      </c>
    </row>
    <row r="836" spans="1:9" hidden="1" x14ac:dyDescent="0.2">
      <c r="A836" s="33" t="str">
        <f>TEXT(表3[[#This Row],[ETD]],"mmdd-h ")&amp;表3[[#This Row],[项目]]</f>
        <v>0619-0 HMI</v>
      </c>
      <c r="B836" s="34" t="s">
        <v>714</v>
      </c>
      <c r="C836" s="44">
        <v>43635</v>
      </c>
      <c r="D836" s="16">
        <v>4</v>
      </c>
      <c r="E836" s="22" t="s">
        <v>155</v>
      </c>
      <c r="F836" s="15">
        <v>43629</v>
      </c>
      <c r="G836" s="13" t="s">
        <v>220</v>
      </c>
      <c r="H836" s="34" t="s">
        <v>143</v>
      </c>
      <c r="I836" s="33">
        <f ca="1">ROUNDDOWN(表3[[#This Row],[日期]]-TODAY(),1)</f>
        <v>6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714</v>
      </c>
      <c r="C837" s="44">
        <v>43635</v>
      </c>
      <c r="D837" s="40">
        <v>5</v>
      </c>
      <c r="E837" s="41" t="s">
        <v>146</v>
      </c>
      <c r="F837" s="42">
        <v>43629</v>
      </c>
      <c r="G837" s="43" t="s">
        <v>220</v>
      </c>
      <c r="H837" s="39"/>
      <c r="I837" s="38">
        <f ca="1">ROUNDDOWN(表3[[#This Row],[日期]]-TODAY(),1)</f>
        <v>6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715</v>
      </c>
      <c r="C838" s="44">
        <v>43635</v>
      </c>
      <c r="D838" s="40">
        <v>6</v>
      </c>
      <c r="E838" s="41" t="s">
        <v>608</v>
      </c>
      <c r="F838" s="42">
        <v>43629</v>
      </c>
      <c r="G838" s="43" t="s">
        <v>220</v>
      </c>
      <c r="H838" s="39"/>
      <c r="I838" s="38">
        <f ca="1">ROUNDDOWN(表3[[#This Row],[日期]]-TODAY(),1)</f>
        <v>6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715</v>
      </c>
      <c r="C839" s="44">
        <v>43635</v>
      </c>
      <c r="D839" s="40">
        <v>7</v>
      </c>
      <c r="E839" s="41" t="s">
        <v>351</v>
      </c>
      <c r="F839" s="42">
        <v>43629</v>
      </c>
      <c r="G839" s="43" t="s">
        <v>220</v>
      </c>
      <c r="H839" s="34" t="s">
        <v>149</v>
      </c>
      <c r="I839" s="38">
        <f ca="1">ROUNDDOWN(表3[[#This Row],[日期]]-TODAY(),1)</f>
        <v>6</v>
      </c>
    </row>
    <row r="840" spans="1:9" hidden="1" x14ac:dyDescent="0.2">
      <c r="A840" s="38" t="str">
        <f>TEXT(表3[[#This Row],[ETD]],"mmdd-h ")&amp;表3[[#This Row],[项目]]</f>
        <v>0619-0 HMI</v>
      </c>
      <c r="B840" s="39" t="s">
        <v>714</v>
      </c>
      <c r="C840" s="44">
        <v>43635</v>
      </c>
      <c r="D840" s="40">
        <v>8</v>
      </c>
      <c r="E840" s="41" t="s">
        <v>522</v>
      </c>
      <c r="F840" s="42">
        <v>43630</v>
      </c>
      <c r="G840" s="43" t="s">
        <v>220</v>
      </c>
      <c r="H840" s="39"/>
      <c r="I840" s="38">
        <f ca="1">ROUNDDOWN(表3[[#This Row],[日期]]-TODAY(),1)</f>
        <v>7</v>
      </c>
    </row>
    <row r="841" spans="1:9" hidden="1" x14ac:dyDescent="0.2">
      <c r="A841" s="38" t="str">
        <f>TEXT(表3[[#This Row],[ETD]],"mmdd-h ")&amp;表3[[#This Row],[项目]]</f>
        <v>0619-0 HMI</v>
      </c>
      <c r="B841" s="39" t="s">
        <v>715</v>
      </c>
      <c r="C841" s="44">
        <v>43635</v>
      </c>
      <c r="D841" s="40">
        <v>9</v>
      </c>
      <c r="E841" s="41" t="s">
        <v>352</v>
      </c>
      <c r="F841" s="42">
        <v>43630</v>
      </c>
      <c r="G841" s="43" t="s">
        <v>220</v>
      </c>
      <c r="H841" s="39" t="s">
        <v>159</v>
      </c>
      <c r="I841" s="38">
        <f ca="1">ROUNDDOWN(表3[[#This Row],[日期]]-TODAY(),1)</f>
        <v>7</v>
      </c>
    </row>
    <row r="842" spans="1:9" hidden="1" x14ac:dyDescent="0.2">
      <c r="A842" s="38" t="str">
        <f>TEXT(表3[[#This Row],[ETD]],"mmdd-h ")&amp;表3[[#This Row],[项目]]</f>
        <v>0619-0 HMI</v>
      </c>
      <c r="B842" s="39" t="s">
        <v>715</v>
      </c>
      <c r="C842" s="44">
        <v>43635</v>
      </c>
      <c r="D842" s="40">
        <v>10</v>
      </c>
      <c r="E842" s="41" t="s">
        <v>226</v>
      </c>
      <c r="F842" s="42">
        <v>43630</v>
      </c>
      <c r="G842" s="43" t="s">
        <v>220</v>
      </c>
      <c r="H842" s="39"/>
      <c r="I842" s="38">
        <f ca="1">ROUNDDOWN(表3[[#This Row],[日期]]-TODAY(),1)</f>
        <v>7</v>
      </c>
    </row>
    <row r="843" spans="1:9" hidden="1" x14ac:dyDescent="0.2">
      <c r="A843" s="38" t="str">
        <f>TEXT(表3[[#This Row],[ETD]],"mmdd-h ")&amp;表3[[#This Row],[项目]]</f>
        <v>0619-0 HMI</v>
      </c>
      <c r="B843" s="39" t="s">
        <v>714</v>
      </c>
      <c r="C843" s="44">
        <v>43635</v>
      </c>
      <c r="D843" s="40">
        <v>11</v>
      </c>
      <c r="E843" s="41" t="s">
        <v>353</v>
      </c>
      <c r="F843" s="42">
        <v>43630</v>
      </c>
      <c r="G843" s="43" t="s">
        <v>220</v>
      </c>
      <c r="H843" s="39" t="s">
        <v>354</v>
      </c>
      <c r="I843" s="38">
        <f ca="1">ROUNDDOWN(表3[[#This Row],[日期]]-TODAY(),1)</f>
        <v>7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715</v>
      </c>
      <c r="C844" s="7">
        <v>43635</v>
      </c>
      <c r="D844" s="16">
        <v>12</v>
      </c>
      <c r="E844" s="22" t="s">
        <v>355</v>
      </c>
      <c r="F844" s="15">
        <v>43632</v>
      </c>
      <c r="G844" s="13" t="s">
        <v>220</v>
      </c>
      <c r="H844" s="34" t="s">
        <v>354</v>
      </c>
      <c r="I844" s="33">
        <f ca="1">ROUNDDOWN(表3[[#This Row],[日期]]-TODAY(),1)</f>
        <v>9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715</v>
      </c>
      <c r="C845" s="7">
        <v>43635</v>
      </c>
      <c r="D845" s="16">
        <v>13</v>
      </c>
      <c r="E845" s="22" t="s">
        <v>356</v>
      </c>
      <c r="F845" s="15">
        <v>43633</v>
      </c>
      <c r="G845" s="13" t="s">
        <v>220</v>
      </c>
      <c r="H845" s="34" t="s">
        <v>354</v>
      </c>
      <c r="I845" s="33">
        <f ca="1">ROUNDDOWN(表3[[#This Row],[日期]]-TODAY(),1)</f>
        <v>10</v>
      </c>
    </row>
    <row r="846" spans="1:9" hidden="1" x14ac:dyDescent="0.2">
      <c r="A846" s="33" t="str">
        <f>TEXT(表3[[#This Row],[ETD]],"mmdd-h ")&amp;表3[[#This Row],[项目]]</f>
        <v>0619-0 HMI</v>
      </c>
      <c r="B846" s="34" t="s">
        <v>715</v>
      </c>
      <c r="C846" s="7">
        <v>43635</v>
      </c>
      <c r="D846" s="16">
        <v>14</v>
      </c>
      <c r="E846" s="22" t="s">
        <v>357</v>
      </c>
      <c r="F846" s="15">
        <v>43633</v>
      </c>
      <c r="G846" s="13" t="s">
        <v>220</v>
      </c>
      <c r="H846" s="34" t="s">
        <v>354</v>
      </c>
      <c r="I846" s="33">
        <f ca="1">ROUNDDOWN(表3[[#This Row],[日期]]-TODAY(),1)</f>
        <v>10</v>
      </c>
    </row>
    <row r="847" spans="1:9" hidden="1" x14ac:dyDescent="0.2">
      <c r="A847" s="33" t="str">
        <f>TEXT(表3[[#This Row],[ETD]],"mmdd-h ")&amp;表3[[#This Row],[项目]]</f>
        <v>0619-0 HMI</v>
      </c>
      <c r="B847" s="34" t="s">
        <v>714</v>
      </c>
      <c r="C847" s="7">
        <v>43635</v>
      </c>
      <c r="D847" s="16">
        <v>15</v>
      </c>
      <c r="E847" s="22" t="s">
        <v>93</v>
      </c>
      <c r="F847" s="15">
        <v>43633</v>
      </c>
      <c r="G847" s="13" t="s">
        <v>220</v>
      </c>
      <c r="H847" s="34"/>
      <c r="I847" s="33">
        <f ca="1">ROUNDDOWN(表3[[#This Row],[日期]]-TODAY(),1)</f>
        <v>10</v>
      </c>
    </row>
    <row r="848" spans="1:9" hidden="1" x14ac:dyDescent="0.2">
      <c r="A848" s="33" t="str">
        <f>TEXT(表3[[#This Row],[ETD]],"mmdd-h ")&amp;表3[[#This Row],[项目]]</f>
        <v>0619-0 HMI</v>
      </c>
      <c r="B848" s="34" t="s">
        <v>714</v>
      </c>
      <c r="C848" s="7">
        <v>43635</v>
      </c>
      <c r="D848" s="16">
        <v>16</v>
      </c>
      <c r="E848" s="22" t="s">
        <v>95</v>
      </c>
      <c r="F848" s="15">
        <v>43633</v>
      </c>
      <c r="G848" s="13" t="s">
        <v>220</v>
      </c>
      <c r="H848" s="34"/>
      <c r="I848" s="33">
        <f ca="1">ROUNDDOWN(表3[[#This Row],[日期]]-TODAY(),1)</f>
        <v>10</v>
      </c>
    </row>
    <row r="849" spans="1:9" hidden="1" x14ac:dyDescent="0.2">
      <c r="A849" s="33" t="str">
        <f>TEXT(表3[[#This Row],[ETD]],"mmdd-h ")&amp;表3[[#This Row],[项目]]</f>
        <v>0619-0 HMI</v>
      </c>
      <c r="B849" s="34" t="s">
        <v>715</v>
      </c>
      <c r="C849" s="7">
        <v>43635</v>
      </c>
      <c r="D849" s="16">
        <v>17</v>
      </c>
      <c r="E849" s="22" t="s">
        <v>97</v>
      </c>
      <c r="F849" s="15">
        <v>43634</v>
      </c>
      <c r="G849" s="13" t="s">
        <v>220</v>
      </c>
      <c r="H849" s="34"/>
      <c r="I849" s="33">
        <f ca="1">ROUNDDOWN(表3[[#This Row],[日期]]-TODAY(),1)</f>
        <v>11</v>
      </c>
    </row>
    <row r="850" spans="1:9" hidden="1" x14ac:dyDescent="0.2">
      <c r="A850" s="33" t="str">
        <f>TEXT(表3[[#This Row],[ETD]],"mmdd-h ")&amp;表3[[#This Row],[项目]]</f>
        <v>0619-0 HMI</v>
      </c>
      <c r="B850" s="34" t="s">
        <v>714</v>
      </c>
      <c r="C850" s="7">
        <v>43635</v>
      </c>
      <c r="D850" s="16">
        <v>18</v>
      </c>
      <c r="E850" s="22" t="s">
        <v>610</v>
      </c>
      <c r="F850" s="15">
        <v>43635</v>
      </c>
      <c r="G850" s="13" t="s">
        <v>220</v>
      </c>
      <c r="H850" s="34"/>
      <c r="I850" s="33">
        <f ca="1">ROUNDDOWN(表3[[#This Row],[日期]]-TODAY(),1)</f>
        <v>12</v>
      </c>
    </row>
    <row r="851" spans="1:9" hidden="1" x14ac:dyDescent="0.2">
      <c r="A851" s="33" t="str">
        <f>TEXT(表3[[#This Row],[ETD]],"mmdd-h ")&amp;表3[[#This Row],[项目]]</f>
        <v>0619-0 HMI</v>
      </c>
      <c r="B851" s="34" t="s">
        <v>714</v>
      </c>
      <c r="C851" s="7">
        <v>43635</v>
      </c>
      <c r="D851" s="16">
        <v>19</v>
      </c>
      <c r="E851" s="22" t="s">
        <v>273</v>
      </c>
      <c r="F851" s="15">
        <v>43635</v>
      </c>
      <c r="G851" s="13" t="s">
        <v>220</v>
      </c>
      <c r="H851" s="34"/>
      <c r="I851" s="33">
        <f ca="1">ROUNDDOWN(表3[[#This Row],[日期]]-TODAY(),1)</f>
        <v>12</v>
      </c>
    </row>
    <row r="852" spans="1:9" hidden="1" x14ac:dyDescent="0.2">
      <c r="A852" s="33" t="str">
        <f>TEXT(表3[[#This Row],[ETD]],"mmdd-h ")&amp;表3[[#This Row],[项目]]</f>
        <v>0619-0 KMM</v>
      </c>
      <c r="B852" s="34" t="s">
        <v>709</v>
      </c>
      <c r="C852" s="7">
        <v>43635</v>
      </c>
      <c r="D852" s="16">
        <v>1</v>
      </c>
      <c r="E852" s="22" t="s">
        <v>449</v>
      </c>
      <c r="F852" s="15">
        <v>43622</v>
      </c>
      <c r="G852" s="13" t="s">
        <v>713</v>
      </c>
      <c r="H852" s="34"/>
      <c r="I852" s="33">
        <f ca="1">ROUNDDOWN(表3[[#This Row],[日期]]-TODAY(),1)</f>
        <v>-1</v>
      </c>
    </row>
    <row r="853" spans="1:9" hidden="1" x14ac:dyDescent="0.2">
      <c r="A853" s="38" t="str">
        <f>TEXT(表3[[#This Row],[ETD]],"mmdd-h ")&amp;表3[[#This Row],[项目]]</f>
        <v>0619-0 KMM</v>
      </c>
      <c r="B853" s="39" t="s">
        <v>710</v>
      </c>
      <c r="C853" s="44">
        <v>43635</v>
      </c>
      <c r="D853" s="40">
        <v>2</v>
      </c>
      <c r="E853" s="41" t="s">
        <v>450</v>
      </c>
      <c r="F853" s="42">
        <v>43622</v>
      </c>
      <c r="G853" s="43" t="s">
        <v>277</v>
      </c>
      <c r="H853" s="39"/>
      <c r="I853" s="38">
        <f ca="1">ROUNDDOWN(表3[[#This Row],[日期]]-TODAY(),1)</f>
        <v>-1</v>
      </c>
    </row>
    <row r="854" spans="1:9" hidden="1" x14ac:dyDescent="0.2">
      <c r="A854" s="33" t="str">
        <f>TEXT(表3[[#This Row],[ETD]],"mmdd-h ")&amp;表3[[#This Row],[项目]]</f>
        <v>0619-0 KMM</v>
      </c>
      <c r="B854" s="34" t="s">
        <v>711</v>
      </c>
      <c r="C854" s="7">
        <v>43635</v>
      </c>
      <c r="D854" s="16">
        <v>3</v>
      </c>
      <c r="E854" s="22" t="s">
        <v>21</v>
      </c>
      <c r="F854" s="15">
        <v>43626</v>
      </c>
      <c r="G854" s="13" t="s">
        <v>220</v>
      </c>
      <c r="H854" s="34"/>
      <c r="I854" s="33">
        <f ca="1">ROUNDDOWN(表3[[#This Row],[日期]]-TODAY(),1)</f>
        <v>3</v>
      </c>
    </row>
    <row r="855" spans="1:9" hidden="1" x14ac:dyDescent="0.2">
      <c r="A855" s="33" t="str">
        <f>TEXT(表3[[#This Row],[ETD]],"mmdd-h ")&amp;表3[[#This Row],[项目]]</f>
        <v>0619-0 KMM</v>
      </c>
      <c r="B855" s="34" t="s">
        <v>710</v>
      </c>
      <c r="C855" s="7">
        <v>43635</v>
      </c>
      <c r="D855" s="16">
        <v>4</v>
      </c>
      <c r="E855" s="22" t="s">
        <v>155</v>
      </c>
      <c r="F855" s="15">
        <v>43629</v>
      </c>
      <c r="G855" s="13" t="s">
        <v>220</v>
      </c>
      <c r="H855" s="34" t="s">
        <v>143</v>
      </c>
      <c r="I855" s="33">
        <f ca="1">ROUNDDOWN(表3[[#This Row],[日期]]-TODAY(),1)</f>
        <v>6</v>
      </c>
    </row>
    <row r="856" spans="1:9" hidden="1" x14ac:dyDescent="0.2">
      <c r="A856" s="33" t="str">
        <f>TEXT(表3[[#This Row],[ETD]],"mmdd-h ")&amp;表3[[#This Row],[项目]]</f>
        <v>0619-0 KMM</v>
      </c>
      <c r="B856" s="34" t="s">
        <v>712</v>
      </c>
      <c r="C856" s="7">
        <v>43635</v>
      </c>
      <c r="D856" s="16">
        <v>5</v>
      </c>
      <c r="E856" s="22" t="s">
        <v>146</v>
      </c>
      <c r="F856" s="15">
        <v>43629</v>
      </c>
      <c r="G856" s="13" t="s">
        <v>220</v>
      </c>
      <c r="H856" s="34"/>
      <c r="I856" s="33">
        <f ca="1">ROUNDDOWN(表3[[#This Row],[日期]]-TODAY(),1)</f>
        <v>6</v>
      </c>
    </row>
    <row r="857" spans="1:9" hidden="1" x14ac:dyDescent="0.2">
      <c r="A857" s="33" t="str">
        <f>TEXT(表3[[#This Row],[ETD]],"mmdd-h ")&amp;表3[[#This Row],[项目]]</f>
        <v>0619-0 KMM</v>
      </c>
      <c r="B857" s="34" t="s">
        <v>711</v>
      </c>
      <c r="C857" s="7">
        <v>43635</v>
      </c>
      <c r="D857" s="16">
        <v>6</v>
      </c>
      <c r="E857" s="22" t="s">
        <v>608</v>
      </c>
      <c r="F857" s="15">
        <v>43629</v>
      </c>
      <c r="G857" s="13" t="s">
        <v>220</v>
      </c>
      <c r="H857" s="34"/>
      <c r="I857" s="33">
        <f ca="1">ROUNDDOWN(表3[[#This Row],[日期]]-TODAY(),1)</f>
        <v>6</v>
      </c>
    </row>
    <row r="858" spans="1:9" hidden="1" x14ac:dyDescent="0.2">
      <c r="A858" s="33" t="str">
        <f>TEXT(表3[[#This Row],[ETD]],"mmdd-h ")&amp;表3[[#This Row],[项目]]</f>
        <v>0619-0 KMM</v>
      </c>
      <c r="B858" s="34" t="s">
        <v>710</v>
      </c>
      <c r="C858" s="7">
        <v>43635</v>
      </c>
      <c r="D858" s="16">
        <v>7</v>
      </c>
      <c r="E858" s="22" t="s">
        <v>351</v>
      </c>
      <c r="F858" s="15">
        <v>43629</v>
      </c>
      <c r="G858" s="13" t="s">
        <v>220</v>
      </c>
      <c r="H858" s="34" t="s">
        <v>149</v>
      </c>
      <c r="I858" s="33">
        <f ca="1">ROUNDDOWN(表3[[#This Row],[日期]]-TODAY(),1)</f>
        <v>6</v>
      </c>
    </row>
    <row r="859" spans="1:9" hidden="1" x14ac:dyDescent="0.2">
      <c r="A859" s="33" t="str">
        <f>TEXT(表3[[#This Row],[ETD]],"mmdd-h ")&amp;表3[[#This Row],[项目]]</f>
        <v>0619-0 KMM</v>
      </c>
      <c r="B859" s="34" t="s">
        <v>710</v>
      </c>
      <c r="C859" s="7">
        <v>43635</v>
      </c>
      <c r="D859" s="16">
        <v>8</v>
      </c>
      <c r="E859" s="22" t="s">
        <v>522</v>
      </c>
      <c r="F859" s="15">
        <v>43629</v>
      </c>
      <c r="G859" s="13" t="s">
        <v>220</v>
      </c>
      <c r="H859" s="34"/>
      <c r="I859" s="33">
        <f ca="1">ROUNDDOWN(表3[[#This Row],[日期]]-TODAY(),1)</f>
        <v>6</v>
      </c>
    </row>
    <row r="860" spans="1:9" hidden="1" x14ac:dyDescent="0.2">
      <c r="A860" s="33" t="str">
        <f>TEXT(表3[[#This Row],[ETD]],"mmdd-h ")&amp;表3[[#This Row],[项目]]</f>
        <v>0619-0 KMM</v>
      </c>
      <c r="B860" s="34" t="s">
        <v>710</v>
      </c>
      <c r="C860" s="7">
        <v>43635</v>
      </c>
      <c r="D860" s="16">
        <v>9</v>
      </c>
      <c r="E860" s="22" t="s">
        <v>352</v>
      </c>
      <c r="F860" s="15">
        <v>43630</v>
      </c>
      <c r="G860" s="13" t="s">
        <v>220</v>
      </c>
      <c r="H860" s="34" t="s">
        <v>159</v>
      </c>
      <c r="I860" s="33">
        <f ca="1">ROUNDDOWN(表3[[#This Row],[日期]]-TODAY(),1)</f>
        <v>7</v>
      </c>
    </row>
    <row r="861" spans="1:9" hidden="1" x14ac:dyDescent="0.2">
      <c r="A861" s="33" t="str">
        <f>TEXT(表3[[#This Row],[ETD]],"mmdd-h ")&amp;表3[[#This Row],[项目]]</f>
        <v>0619-0 KMM</v>
      </c>
      <c r="B861" s="34" t="s">
        <v>710</v>
      </c>
      <c r="C861" s="7">
        <v>43635</v>
      </c>
      <c r="D861" s="16">
        <v>10</v>
      </c>
      <c r="E861" s="22" t="s">
        <v>226</v>
      </c>
      <c r="F861" s="15">
        <v>43630</v>
      </c>
      <c r="G861" s="13" t="s">
        <v>220</v>
      </c>
      <c r="H861" s="34"/>
      <c r="I861" s="33">
        <f ca="1">ROUNDDOWN(表3[[#This Row],[日期]]-TODAY(),1)</f>
        <v>7</v>
      </c>
    </row>
    <row r="862" spans="1:9" hidden="1" x14ac:dyDescent="0.2">
      <c r="A862" s="33" t="str">
        <f>TEXT(表3[[#This Row],[ETD]],"mmdd-h ")&amp;表3[[#This Row],[项目]]</f>
        <v>0619-0 KMM</v>
      </c>
      <c r="B862" s="34" t="s">
        <v>709</v>
      </c>
      <c r="C862" s="7">
        <v>43635</v>
      </c>
      <c r="D862" s="16">
        <v>11</v>
      </c>
      <c r="E862" s="22" t="s">
        <v>356</v>
      </c>
      <c r="F862" s="15">
        <v>43630</v>
      </c>
      <c r="G862" s="13" t="s">
        <v>220</v>
      </c>
      <c r="H862" s="34" t="s">
        <v>354</v>
      </c>
      <c r="I862" s="33">
        <f ca="1">ROUNDDOWN(表3[[#This Row],[日期]]-TODAY(),1)</f>
        <v>7</v>
      </c>
    </row>
    <row r="863" spans="1:9" hidden="1" x14ac:dyDescent="0.2">
      <c r="A863" s="38" t="str">
        <f>TEXT(表3[[#This Row],[ETD]],"mmdd-h ")&amp;表3[[#This Row],[项目]]</f>
        <v>0619-0 KMM</v>
      </c>
      <c r="B863" s="39" t="s">
        <v>710</v>
      </c>
      <c r="C863" s="44">
        <v>43635</v>
      </c>
      <c r="D863" s="40">
        <v>12</v>
      </c>
      <c r="E863" s="41" t="s">
        <v>357</v>
      </c>
      <c r="F863" s="42">
        <v>43630</v>
      </c>
      <c r="G863" s="43" t="s">
        <v>220</v>
      </c>
      <c r="H863" s="39" t="s">
        <v>354</v>
      </c>
      <c r="I863" s="38">
        <f ca="1">ROUNDDOWN(表3[[#This Row],[日期]]-TODAY(),1)</f>
        <v>7</v>
      </c>
    </row>
    <row r="864" spans="1:9" hidden="1" x14ac:dyDescent="0.2">
      <c r="A864" s="33" t="str">
        <f>TEXT(表3[[#This Row],[ETD]],"mmdd-h ")&amp;表3[[#This Row],[项目]]</f>
        <v>0619-0 KMM</v>
      </c>
      <c r="B864" s="34" t="s">
        <v>710</v>
      </c>
      <c r="C864" s="7">
        <v>43635</v>
      </c>
      <c r="D864" s="16">
        <v>13</v>
      </c>
      <c r="E864" s="22" t="s">
        <v>353</v>
      </c>
      <c r="F864" s="15">
        <v>43630</v>
      </c>
      <c r="G864" s="13" t="s">
        <v>220</v>
      </c>
      <c r="H864" s="34" t="s">
        <v>354</v>
      </c>
      <c r="I864" s="33">
        <f ca="1">ROUNDDOWN(表3[[#This Row],[日期]]-TODAY(),1)</f>
        <v>7</v>
      </c>
    </row>
    <row r="865" spans="1:9" hidden="1" x14ac:dyDescent="0.2">
      <c r="A865" s="33" t="str">
        <f>TEXT(表3[[#This Row],[ETD]],"mmdd-h ")&amp;表3[[#This Row],[项目]]</f>
        <v>0619-0 KMM</v>
      </c>
      <c r="B865" s="34" t="s">
        <v>711</v>
      </c>
      <c r="C865" s="7">
        <v>43635</v>
      </c>
      <c r="D865" s="16">
        <v>14</v>
      </c>
      <c r="E865" s="22" t="s">
        <v>355</v>
      </c>
      <c r="F865" s="15">
        <v>43630</v>
      </c>
      <c r="G865" s="13" t="s">
        <v>220</v>
      </c>
      <c r="H865" s="34" t="s">
        <v>354</v>
      </c>
      <c r="I865" s="33">
        <f ca="1">ROUNDDOWN(表3[[#This Row],[日期]]-TODAY(),1)</f>
        <v>7</v>
      </c>
    </row>
    <row r="866" spans="1:9" hidden="1" x14ac:dyDescent="0.2">
      <c r="A866" s="33" t="str">
        <f>TEXT(表3[[#This Row],[ETD]],"mmdd-h ")&amp;表3[[#This Row],[项目]]</f>
        <v>0619-0 KMM</v>
      </c>
      <c r="B866" s="34" t="s">
        <v>710</v>
      </c>
      <c r="C866" s="7">
        <v>43635</v>
      </c>
      <c r="D866" s="16">
        <v>15</v>
      </c>
      <c r="E866" s="22" t="s">
        <v>93</v>
      </c>
      <c r="F866" s="15">
        <v>43631</v>
      </c>
      <c r="G866" s="13" t="s">
        <v>220</v>
      </c>
      <c r="H866" s="34"/>
      <c r="I866" s="33">
        <f ca="1">ROUNDDOWN(表3[[#This Row],[日期]]-TODAY(),1)</f>
        <v>8</v>
      </c>
    </row>
    <row r="867" spans="1:9" hidden="1" x14ac:dyDescent="0.2">
      <c r="A867" s="33" t="str">
        <f>TEXT(表3[[#This Row],[ETD]],"mmdd-h ")&amp;表3[[#This Row],[项目]]</f>
        <v>0619-0 KMM</v>
      </c>
      <c r="B867" s="34" t="s">
        <v>710</v>
      </c>
      <c r="C867" s="7">
        <v>43635</v>
      </c>
      <c r="D867" s="16">
        <v>16</v>
      </c>
      <c r="E867" s="22" t="s">
        <v>95</v>
      </c>
      <c r="F867" s="15">
        <v>43633</v>
      </c>
      <c r="G867" s="13" t="s">
        <v>220</v>
      </c>
      <c r="H867" s="34"/>
      <c r="I867" s="33">
        <f ca="1">ROUNDDOWN(表3[[#This Row],[日期]]-TODAY(),1)</f>
        <v>10</v>
      </c>
    </row>
    <row r="868" spans="1:9" hidden="1" x14ac:dyDescent="0.2">
      <c r="A868" s="33" t="str">
        <f>TEXT(表3[[#This Row],[ETD]],"mmdd-h ")&amp;表3[[#This Row],[项目]]</f>
        <v>0619-0 KMM</v>
      </c>
      <c r="B868" s="34" t="s">
        <v>710</v>
      </c>
      <c r="C868" s="7">
        <v>43635</v>
      </c>
      <c r="D868" s="16">
        <v>17</v>
      </c>
      <c r="E868" s="22" t="s">
        <v>97</v>
      </c>
      <c r="F868" s="15">
        <v>43633</v>
      </c>
      <c r="G868" s="13" t="s">
        <v>220</v>
      </c>
      <c r="H868" s="34"/>
      <c r="I868" s="33">
        <f ca="1">ROUNDDOWN(表3[[#This Row],[日期]]-TODAY(),1)</f>
        <v>10</v>
      </c>
    </row>
    <row r="869" spans="1:9" hidden="1" x14ac:dyDescent="0.2">
      <c r="A869" s="33" t="str">
        <f>TEXT(表3[[#This Row],[ETD]],"mmdd-h ")&amp;表3[[#This Row],[项目]]</f>
        <v>0619-0 KMM</v>
      </c>
      <c r="B869" s="34" t="s">
        <v>711</v>
      </c>
      <c r="C869" s="7">
        <v>43635</v>
      </c>
      <c r="D869" s="16">
        <v>18</v>
      </c>
      <c r="E869" s="22" t="s">
        <v>610</v>
      </c>
      <c r="F869" s="15">
        <v>43635</v>
      </c>
      <c r="G869" s="13" t="s">
        <v>220</v>
      </c>
      <c r="H869" s="34"/>
      <c r="I869" s="33">
        <f ca="1">ROUNDDOWN(表3[[#This Row],[日期]]-TODAY(),1)</f>
        <v>12</v>
      </c>
    </row>
    <row r="870" spans="1:9" hidden="1" x14ac:dyDescent="0.2">
      <c r="A870" s="33" t="str">
        <f>TEXT(表3[[#This Row],[ETD]],"mmdd-h ")&amp;表3[[#This Row],[项目]]</f>
        <v>0619-0 KMM</v>
      </c>
      <c r="B870" s="34" t="s">
        <v>710</v>
      </c>
      <c r="C870" s="7">
        <v>43635</v>
      </c>
      <c r="D870" s="16">
        <v>19</v>
      </c>
      <c r="E870" s="22" t="s">
        <v>273</v>
      </c>
      <c r="F870" s="15">
        <v>43635</v>
      </c>
      <c r="G870" s="13" t="s">
        <v>220</v>
      </c>
      <c r="H870" s="34"/>
      <c r="I870" s="33">
        <f ca="1">ROUNDDOWN(表3[[#This Row],[日期]]-TODAY(),1)</f>
        <v>12</v>
      </c>
    </row>
    <row r="871" spans="1:9" hidden="1" x14ac:dyDescent="0.2">
      <c r="A871" s="33" t="str">
        <f>TEXT(表3[[#This Row],[ETD]],"mmdd-h ")&amp;表3[[#This Row],[项目]]</f>
        <v>0619-0 WX mobis</v>
      </c>
      <c r="B871" s="34" t="s">
        <v>169</v>
      </c>
      <c r="C871" s="7">
        <v>43635</v>
      </c>
      <c r="D871" s="16">
        <v>1</v>
      </c>
      <c r="E871" s="22" t="s">
        <v>229</v>
      </c>
      <c r="F871" s="15">
        <v>43595</v>
      </c>
      <c r="G871" s="13" t="s">
        <v>218</v>
      </c>
      <c r="H871" s="34"/>
      <c r="I871" s="33">
        <f ca="1">ROUNDDOWN(表3[[#This Row],[日期]]-TODAY(),1)</f>
        <v>-28</v>
      </c>
    </row>
    <row r="872" spans="1:9" hidden="1" x14ac:dyDescent="0.2">
      <c r="A872" s="33" t="str">
        <f>TEXT(表3[[#This Row],[ETD]],"mmdd-h ")&amp;表3[[#This Row],[项目]]</f>
        <v>0619-0 WX mobis</v>
      </c>
      <c r="B872" s="34" t="s">
        <v>169</v>
      </c>
      <c r="C872" s="7">
        <v>43635</v>
      </c>
      <c r="D872" s="16">
        <v>2</v>
      </c>
      <c r="E872" s="22" t="s">
        <v>230</v>
      </c>
      <c r="F872" s="15">
        <v>43595</v>
      </c>
      <c r="G872" s="13" t="s">
        <v>218</v>
      </c>
      <c r="H872" s="34"/>
      <c r="I872" s="33">
        <f ca="1">ROUNDDOWN(表3[[#This Row],[日期]]-TODAY(),1)</f>
        <v>-28</v>
      </c>
    </row>
    <row r="873" spans="1:9" hidden="1" x14ac:dyDescent="0.2">
      <c r="A873" s="38" t="str">
        <f>TEXT(表3[[#This Row],[ETD]],"mmdd-h ")&amp;表3[[#This Row],[项目]]</f>
        <v>0619-0 WX mobis</v>
      </c>
      <c r="B873" s="39" t="s">
        <v>169</v>
      </c>
      <c r="C873" s="44">
        <v>43635</v>
      </c>
      <c r="D873" s="40">
        <v>3</v>
      </c>
      <c r="E873" s="41" t="s">
        <v>231</v>
      </c>
      <c r="F873" s="42">
        <v>43595</v>
      </c>
      <c r="G873" s="43" t="s">
        <v>275</v>
      </c>
      <c r="H873" s="39" t="s">
        <v>232</v>
      </c>
      <c r="I873" s="38">
        <f ca="1">ROUNDDOWN(表3[[#This Row],[日期]]-TODAY(),1)</f>
        <v>-28</v>
      </c>
    </row>
    <row r="874" spans="1:9" hidden="1" x14ac:dyDescent="0.2">
      <c r="A874" s="38" t="str">
        <f>TEXT(表3[[#This Row],[ETD]],"mmdd-h ")&amp;表3[[#This Row],[项目]]</f>
        <v>0619-0 WX mobis</v>
      </c>
      <c r="B874" s="39" t="s">
        <v>169</v>
      </c>
      <c r="C874" s="44">
        <v>43635</v>
      </c>
      <c r="D874" s="40">
        <v>4</v>
      </c>
      <c r="E874" s="41" t="s">
        <v>233</v>
      </c>
      <c r="F874" s="42">
        <v>43595</v>
      </c>
      <c r="G874" s="43" t="s">
        <v>275</v>
      </c>
      <c r="H874" s="39"/>
      <c r="I874" s="38">
        <f ca="1">ROUNDDOWN(表3[[#This Row],[日期]]-TODAY(),1)</f>
        <v>-28</v>
      </c>
    </row>
    <row r="875" spans="1:9" hidden="1" x14ac:dyDescent="0.2">
      <c r="A875" s="38" t="str">
        <f>TEXT(表3[[#This Row],[ETD]],"mmdd-h ")&amp;表3[[#This Row],[项目]]</f>
        <v>0619-0 WX mobis</v>
      </c>
      <c r="B875" s="39" t="s">
        <v>169</v>
      </c>
      <c r="C875" s="44">
        <v>43635</v>
      </c>
      <c r="D875" s="40">
        <v>5</v>
      </c>
      <c r="E875" s="41" t="s">
        <v>40</v>
      </c>
      <c r="F875" s="42">
        <v>43596</v>
      </c>
      <c r="G875" s="43" t="s">
        <v>279</v>
      </c>
      <c r="H875" s="39"/>
      <c r="I875" s="38">
        <f ca="1">ROUNDDOWN(表3[[#This Row],[日期]]-TODAY(),1)</f>
        <v>-27</v>
      </c>
    </row>
    <row r="876" spans="1:9" hidden="1" x14ac:dyDescent="0.2">
      <c r="A876" s="38" t="str">
        <f>TEXT(表3[[#This Row],[ETD]],"mmdd-h ")&amp;表3[[#This Row],[项目]]</f>
        <v>0619-0 WX mobis</v>
      </c>
      <c r="B876" s="39" t="s">
        <v>169</v>
      </c>
      <c r="C876" s="44">
        <v>43635</v>
      </c>
      <c r="D876" s="40">
        <v>5.0999999999999996</v>
      </c>
      <c r="E876" s="41" t="s">
        <v>560</v>
      </c>
      <c r="F876" s="42">
        <v>43614</v>
      </c>
      <c r="G876" s="43" t="s">
        <v>277</v>
      </c>
      <c r="H876" s="39"/>
      <c r="I876" s="38">
        <f ca="1">ROUNDDOWN(表3[[#This Row],[日期]]-TODAY(),1)</f>
        <v>-9</v>
      </c>
    </row>
    <row r="877" spans="1:9" hidden="1" x14ac:dyDescent="0.2">
      <c r="A877" s="33" t="str">
        <f>TEXT(表3[[#This Row],[ETD]],"mmdd-h ")&amp;表3[[#This Row],[项目]]</f>
        <v>0619-0 WX mobis</v>
      </c>
      <c r="B877" s="34" t="s">
        <v>169</v>
      </c>
      <c r="C877" s="7">
        <v>43635</v>
      </c>
      <c r="D877" s="16">
        <v>5.2</v>
      </c>
      <c r="E877" s="22" t="s">
        <v>623</v>
      </c>
      <c r="F877" s="15">
        <v>43615</v>
      </c>
      <c r="G877" s="13" t="s">
        <v>277</v>
      </c>
      <c r="H877" s="34"/>
      <c r="I877" s="33">
        <f ca="1">ROUNDDOWN(表3[[#This Row],[日期]]-TODAY(),1)</f>
        <v>-8</v>
      </c>
    </row>
    <row r="878" spans="1:9" hidden="1" x14ac:dyDescent="0.2">
      <c r="A878" s="33" t="str">
        <f>TEXT(表3[[#This Row],[ETD]],"mmdd-h ")&amp;表3[[#This Row],[项目]]</f>
        <v>0619-0 WX mobis</v>
      </c>
      <c r="B878" s="34" t="s">
        <v>169</v>
      </c>
      <c r="C878" s="7">
        <v>43635</v>
      </c>
      <c r="D878" s="16">
        <v>6</v>
      </c>
      <c r="E878" s="22" t="s">
        <v>289</v>
      </c>
      <c r="F878" s="15">
        <v>43628</v>
      </c>
      <c r="G878" s="13" t="s">
        <v>220</v>
      </c>
      <c r="H878" s="34" t="s">
        <v>281</v>
      </c>
      <c r="I878" s="33">
        <f ca="1">ROUNDDOWN(表3[[#This Row],[日期]]-TODAY(),1)</f>
        <v>5</v>
      </c>
    </row>
    <row r="879" spans="1:9" hidden="1" x14ac:dyDescent="0.2">
      <c r="A879" s="33" t="str">
        <f>TEXT(表3[[#This Row],[ETD]],"mmdd-h ")&amp;表3[[#This Row],[项目]]</f>
        <v>0619-0 WX mobis</v>
      </c>
      <c r="B879" s="34" t="s">
        <v>169</v>
      </c>
      <c r="C879" s="7">
        <v>43635</v>
      </c>
      <c r="D879" s="16">
        <v>7</v>
      </c>
      <c r="E879" s="22" t="s">
        <v>427</v>
      </c>
      <c r="F879" s="15">
        <v>43628</v>
      </c>
      <c r="G879" s="13" t="s">
        <v>220</v>
      </c>
      <c r="H879" s="34"/>
      <c r="I879" s="33">
        <f ca="1">ROUNDDOWN(表3[[#This Row],[日期]]-TODAY(),1)</f>
        <v>5</v>
      </c>
    </row>
    <row r="880" spans="1:9" hidden="1" x14ac:dyDescent="0.2">
      <c r="A880" s="33" t="str">
        <f>TEXT(表3[[#This Row],[ETD]],"mmdd-h ")&amp;表3[[#This Row],[项目]]</f>
        <v>0619-0 WX mobis</v>
      </c>
      <c r="B880" s="34" t="s">
        <v>169</v>
      </c>
      <c r="C880" s="7">
        <v>43635</v>
      </c>
      <c r="D880" s="16">
        <v>8</v>
      </c>
      <c r="E880" s="22" t="s">
        <v>287</v>
      </c>
      <c r="F880" s="15">
        <v>43628</v>
      </c>
      <c r="G880" s="13" t="s">
        <v>220</v>
      </c>
      <c r="H880" s="34"/>
      <c r="I880" s="33">
        <f ca="1">ROUNDDOWN(表3[[#This Row],[日期]]-TODAY(),1)</f>
        <v>5</v>
      </c>
    </row>
    <row r="881" spans="1:9" hidden="1" x14ac:dyDescent="0.2">
      <c r="A881" s="33" t="str">
        <f>TEXT(表3[[#This Row],[ETD]],"mmdd-h ")&amp;表3[[#This Row],[项目]]</f>
        <v>0619-0 WX mobis</v>
      </c>
      <c r="B881" s="34" t="s">
        <v>169</v>
      </c>
      <c r="C881" s="7">
        <v>43635</v>
      </c>
      <c r="D881" s="16">
        <v>9</v>
      </c>
      <c r="E881" s="22" t="s">
        <v>290</v>
      </c>
      <c r="F881" s="15">
        <v>43628</v>
      </c>
      <c r="G881" s="13" t="s">
        <v>220</v>
      </c>
      <c r="H881" s="34" t="s">
        <v>44</v>
      </c>
      <c r="I881" s="33">
        <f ca="1">ROUNDDOWN(表3[[#This Row],[日期]]-TODAY(),1)</f>
        <v>5</v>
      </c>
    </row>
    <row r="882" spans="1:9" hidden="1" x14ac:dyDescent="0.2">
      <c r="A882" s="33" t="str">
        <f>TEXT(表3[[#This Row],[ETD]],"mmdd-h ")&amp;表3[[#This Row],[项目]]</f>
        <v>0619-0 WX mobis</v>
      </c>
      <c r="B882" s="34" t="s">
        <v>169</v>
      </c>
      <c r="C882" s="7">
        <v>43635</v>
      </c>
      <c r="D882" s="16">
        <v>10</v>
      </c>
      <c r="E882" s="22" t="s">
        <v>283</v>
      </c>
      <c r="F882" s="15">
        <v>43628</v>
      </c>
      <c r="G882" s="13" t="s">
        <v>220</v>
      </c>
      <c r="H882" s="34" t="s">
        <v>33</v>
      </c>
      <c r="I882" s="33">
        <f ca="1">ROUNDDOWN(表3[[#This Row],[日期]]-TODAY(),1)</f>
        <v>5</v>
      </c>
    </row>
    <row r="883" spans="1:9" hidden="1" x14ac:dyDescent="0.2">
      <c r="A883" s="33" t="str">
        <f>TEXT(表3[[#This Row],[ETD]],"mmdd-h ")&amp;表3[[#This Row],[项目]]</f>
        <v>0619-0 WX mobis</v>
      </c>
      <c r="B883" s="34" t="s">
        <v>169</v>
      </c>
      <c r="C883" s="7">
        <v>43635</v>
      </c>
      <c r="D883" s="16">
        <v>11</v>
      </c>
      <c r="E883" s="22" t="s">
        <v>285</v>
      </c>
      <c r="F883" s="15">
        <v>43628</v>
      </c>
      <c r="G883" s="13" t="s">
        <v>220</v>
      </c>
      <c r="H883" s="34" t="s">
        <v>44</v>
      </c>
      <c r="I883" s="33">
        <f ca="1">ROUNDDOWN(表3[[#This Row],[日期]]-TODAY(),1)</f>
        <v>5</v>
      </c>
    </row>
    <row r="884" spans="1:9" hidden="1" x14ac:dyDescent="0.2">
      <c r="A884" s="33" t="str">
        <f>TEXT(表3[[#This Row],[ETD]],"mmdd-h ")&amp;表3[[#This Row],[项目]]</f>
        <v>0619-0 WX mobis</v>
      </c>
      <c r="B884" s="34" t="s">
        <v>169</v>
      </c>
      <c r="C884" s="7">
        <v>43635</v>
      </c>
      <c r="D884" s="16">
        <v>12</v>
      </c>
      <c r="E884" s="22" t="s">
        <v>345</v>
      </c>
      <c r="F884" s="15">
        <v>43629</v>
      </c>
      <c r="G884" s="13" t="s">
        <v>220</v>
      </c>
      <c r="H884" s="34" t="s">
        <v>293</v>
      </c>
      <c r="I884" s="33">
        <f ca="1">ROUNDDOWN(表3[[#This Row],[日期]]-TODAY(),1)</f>
        <v>6</v>
      </c>
    </row>
    <row r="885" spans="1:9" hidden="1" x14ac:dyDescent="0.2">
      <c r="A885" s="33" t="str">
        <f>TEXT(表3[[#This Row],[ETD]],"mmdd-h ")&amp;表3[[#This Row],[项目]]</f>
        <v>0619-0 WX mobis</v>
      </c>
      <c r="B885" s="34" t="s">
        <v>169</v>
      </c>
      <c r="C885" s="7">
        <v>43635</v>
      </c>
      <c r="D885" s="16">
        <v>13</v>
      </c>
      <c r="E885" s="22" t="s">
        <v>298</v>
      </c>
      <c r="F885" s="15">
        <v>43630</v>
      </c>
      <c r="G885" s="13" t="s">
        <v>220</v>
      </c>
      <c r="H885" s="34" t="s">
        <v>296</v>
      </c>
      <c r="I885" s="33">
        <f ca="1">ROUNDDOWN(表3[[#This Row],[日期]]-TODAY(),1)</f>
        <v>7</v>
      </c>
    </row>
    <row r="886" spans="1:9" hidden="1" x14ac:dyDescent="0.2">
      <c r="A886" s="33" t="str">
        <f>TEXT(表3[[#This Row],[ETD]],"mmdd-h ")&amp;表3[[#This Row],[项目]]</f>
        <v>0619-0 WX mobis</v>
      </c>
      <c r="B886" s="34" t="s">
        <v>169</v>
      </c>
      <c r="C886" s="7">
        <v>43635</v>
      </c>
      <c r="D886" s="16">
        <v>14</v>
      </c>
      <c r="E886" s="22" t="s">
        <v>300</v>
      </c>
      <c r="F886" s="15">
        <v>43630</v>
      </c>
      <c r="G886" s="13" t="s">
        <v>220</v>
      </c>
      <c r="H886" s="34"/>
      <c r="I886" s="33">
        <f ca="1">ROUNDDOWN(表3[[#This Row],[日期]]-TODAY(),1)</f>
        <v>7</v>
      </c>
    </row>
    <row r="887" spans="1:9" hidden="1" x14ac:dyDescent="0.2">
      <c r="A887" s="33" t="str">
        <f>TEXT(表3[[#This Row],[ETD]],"mmdd-h ")&amp;表3[[#This Row],[项目]]</f>
        <v>0619-0 WX mobis</v>
      </c>
      <c r="B887" s="34" t="s">
        <v>169</v>
      </c>
      <c r="C887" s="7">
        <v>43635</v>
      </c>
      <c r="D887" s="16">
        <v>15</v>
      </c>
      <c r="E887" s="22" t="s">
        <v>302</v>
      </c>
      <c r="F887" s="15">
        <v>43630</v>
      </c>
      <c r="G887" s="13" t="s">
        <v>220</v>
      </c>
      <c r="H887" s="34"/>
      <c r="I887" s="33">
        <f ca="1">ROUNDDOWN(表3[[#This Row],[日期]]-TODAY(),1)</f>
        <v>7</v>
      </c>
    </row>
    <row r="888" spans="1:9" hidden="1" x14ac:dyDescent="0.2">
      <c r="A888" s="33" t="str">
        <f>TEXT(表3[[#This Row],[ETD]],"mmdd-h ")&amp;表3[[#This Row],[项目]]</f>
        <v>0619-0 WX mobis</v>
      </c>
      <c r="B888" s="34" t="s">
        <v>169</v>
      </c>
      <c r="C888" s="7">
        <v>43635</v>
      </c>
      <c r="D888" s="16">
        <v>16</v>
      </c>
      <c r="E888" s="22" t="s">
        <v>316</v>
      </c>
      <c r="F888" s="15">
        <v>43630</v>
      </c>
      <c r="G888" s="13" t="s">
        <v>220</v>
      </c>
      <c r="H888" s="34"/>
      <c r="I888" s="33">
        <f ca="1">ROUNDDOWN(表3[[#This Row],[日期]]-TODAY(),1)</f>
        <v>7</v>
      </c>
    </row>
    <row r="889" spans="1:9" hidden="1" x14ac:dyDescent="0.2">
      <c r="A889" s="33" t="str">
        <f>TEXT(表3[[#This Row],[ETD]],"mmdd-h ")&amp;表3[[#This Row],[项目]]</f>
        <v>0619-0 WX mobis</v>
      </c>
      <c r="B889" s="34" t="s">
        <v>169</v>
      </c>
      <c r="C889" s="7">
        <v>43635</v>
      </c>
      <c r="D889" s="16">
        <v>17</v>
      </c>
      <c r="E889" s="22" t="s">
        <v>318</v>
      </c>
      <c r="F889" s="15">
        <v>43630</v>
      </c>
      <c r="G889" s="13" t="s">
        <v>220</v>
      </c>
      <c r="H889" s="34"/>
      <c r="I889" s="33">
        <f ca="1">ROUNDDOWN(表3[[#This Row],[日期]]-TODAY(),1)</f>
        <v>7</v>
      </c>
    </row>
    <row r="890" spans="1:9" hidden="1" x14ac:dyDescent="0.2">
      <c r="A890" s="33" t="str">
        <f>TEXT(表3[[#This Row],[ETD]],"mmdd-h ")&amp;表3[[#This Row],[项目]]</f>
        <v>0619-0 WX mobis</v>
      </c>
      <c r="B890" s="34" t="s">
        <v>169</v>
      </c>
      <c r="C890" s="7">
        <v>43635</v>
      </c>
      <c r="D890" s="16">
        <v>18</v>
      </c>
      <c r="E890" s="22" t="s">
        <v>320</v>
      </c>
      <c r="F890" s="15">
        <v>43630</v>
      </c>
      <c r="G890" s="13" t="s">
        <v>220</v>
      </c>
      <c r="H890" s="34"/>
      <c r="I890" s="33">
        <f ca="1">ROUNDDOWN(表3[[#This Row],[日期]]-TODAY(),1)</f>
        <v>7</v>
      </c>
    </row>
    <row r="891" spans="1:9" hidden="1" x14ac:dyDescent="0.2">
      <c r="A891" s="33" t="str">
        <f>TEXT(表3[[#This Row],[ETD]],"mmdd-h ")&amp;表3[[#This Row],[项目]]</f>
        <v>0619-0 WX mobis</v>
      </c>
      <c r="B891" s="34" t="s">
        <v>169</v>
      </c>
      <c r="C891" s="7">
        <v>43635</v>
      </c>
      <c r="D891" s="16">
        <v>19</v>
      </c>
      <c r="E891" s="22" t="s">
        <v>304</v>
      </c>
      <c r="F891" s="15">
        <v>43630</v>
      </c>
      <c r="G891" s="13" t="s">
        <v>220</v>
      </c>
      <c r="H891" s="34"/>
      <c r="I891" s="33">
        <f ca="1">ROUNDDOWN(表3[[#This Row],[日期]]-TODAY(),1)</f>
        <v>7</v>
      </c>
    </row>
    <row r="892" spans="1:9" hidden="1" x14ac:dyDescent="0.2">
      <c r="A892" s="33" t="str">
        <f>TEXT(表3[[#This Row],[ETD]],"mmdd-h ")&amp;表3[[#This Row],[项目]]</f>
        <v>0619-0 WX mobis</v>
      </c>
      <c r="B892" s="34" t="s">
        <v>169</v>
      </c>
      <c r="C892" s="7">
        <v>43635</v>
      </c>
      <c r="D892" s="16">
        <v>20</v>
      </c>
      <c r="E892" s="22" t="s">
        <v>306</v>
      </c>
      <c r="F892" s="15">
        <v>43630</v>
      </c>
      <c r="G892" s="13" t="s">
        <v>220</v>
      </c>
      <c r="H892" s="34"/>
      <c r="I892" s="33">
        <f ca="1">ROUNDDOWN(表3[[#This Row],[日期]]-TODAY(),1)</f>
        <v>7</v>
      </c>
    </row>
    <row r="893" spans="1:9" hidden="1" x14ac:dyDescent="0.2">
      <c r="A893" s="33" t="str">
        <f>TEXT(表3[[#This Row],[ETD]],"mmdd-h ")&amp;表3[[#This Row],[项目]]</f>
        <v>0619-0 WX mobis</v>
      </c>
      <c r="B893" s="34" t="s">
        <v>169</v>
      </c>
      <c r="C893" s="7">
        <v>43635</v>
      </c>
      <c r="D893" s="16">
        <v>21</v>
      </c>
      <c r="E893" s="22" t="s">
        <v>308</v>
      </c>
      <c r="F893" s="15">
        <v>43630</v>
      </c>
      <c r="G893" s="13" t="s">
        <v>220</v>
      </c>
      <c r="H893" s="34"/>
      <c r="I893" s="33">
        <f ca="1">ROUNDDOWN(表3[[#This Row],[日期]]-TODAY(),1)</f>
        <v>7</v>
      </c>
    </row>
    <row r="894" spans="1:9" hidden="1" x14ac:dyDescent="0.2">
      <c r="A894" s="33" t="str">
        <f>TEXT(表3[[#This Row],[ETD]],"mmdd-h ")&amp;表3[[#This Row],[项目]]</f>
        <v>0619-0 WX mobis</v>
      </c>
      <c r="B894" s="34" t="s">
        <v>169</v>
      </c>
      <c r="C894" s="7">
        <v>43635</v>
      </c>
      <c r="D894" s="16">
        <v>22</v>
      </c>
      <c r="E894" s="22" t="s">
        <v>310</v>
      </c>
      <c r="F894" s="15">
        <v>43633</v>
      </c>
      <c r="G894" s="13" t="s">
        <v>220</v>
      </c>
      <c r="H894" s="34"/>
      <c r="I894" s="33">
        <f ca="1">ROUNDDOWN(表3[[#This Row],[日期]]-TODAY(),1)</f>
        <v>10</v>
      </c>
    </row>
    <row r="895" spans="1:9" hidden="1" x14ac:dyDescent="0.2">
      <c r="A895" s="38" t="str">
        <f>TEXT(表3[[#This Row],[ETD]],"mmdd-h ")&amp;表3[[#This Row],[项目]]</f>
        <v>0619-0 WX mobis</v>
      </c>
      <c r="B895" s="39" t="s">
        <v>169</v>
      </c>
      <c r="C895" s="44">
        <v>43635</v>
      </c>
      <c r="D895" s="40">
        <v>23</v>
      </c>
      <c r="E895" s="41" t="s">
        <v>312</v>
      </c>
      <c r="F895" s="42">
        <v>43634</v>
      </c>
      <c r="G895" s="43" t="s">
        <v>220</v>
      </c>
      <c r="H895" s="39"/>
      <c r="I895" s="38">
        <f ca="1">ROUNDDOWN(表3[[#This Row],[日期]]-TODAY(),1)</f>
        <v>11</v>
      </c>
    </row>
    <row r="896" spans="1:9" hidden="1" x14ac:dyDescent="0.2">
      <c r="A896" s="33" t="str">
        <f>TEXT(表3[[#This Row],[ETD]],"mmdd-h ")&amp;表3[[#This Row],[项目]]</f>
        <v>0619-0 WX mobis</v>
      </c>
      <c r="B896" s="34" t="s">
        <v>169</v>
      </c>
      <c r="C896" s="7">
        <v>43635</v>
      </c>
      <c r="D896" s="16">
        <v>24</v>
      </c>
      <c r="E896" s="22" t="s">
        <v>314</v>
      </c>
      <c r="F896" s="15">
        <v>43635</v>
      </c>
      <c r="G896" s="13" t="s">
        <v>220</v>
      </c>
      <c r="H896" s="34"/>
      <c r="I896" s="33">
        <f ca="1">ROUNDDOWN(表3[[#This Row],[日期]]-TODAY(),1)</f>
        <v>12</v>
      </c>
    </row>
    <row r="897" spans="1:9" hidden="1" x14ac:dyDescent="0.2">
      <c r="A897" s="33" t="str">
        <f>TEXT(表3[[#This Row],[ETD]],"mmdd-h ")&amp;表3[[#This Row],[项目]]</f>
        <v>0619-0 WX mobis</v>
      </c>
      <c r="B897" s="34" t="s">
        <v>169</v>
      </c>
      <c r="C897" s="7">
        <v>43635</v>
      </c>
      <c r="D897" s="16">
        <v>25</v>
      </c>
      <c r="E897" s="22" t="s">
        <v>516</v>
      </c>
      <c r="F897" s="15">
        <v>43636</v>
      </c>
      <c r="G897" s="13" t="s">
        <v>220</v>
      </c>
      <c r="H897" s="34"/>
      <c r="I897" s="33">
        <f ca="1">ROUNDDOWN(表3[[#This Row],[日期]]-TODAY(),1)</f>
        <v>13</v>
      </c>
    </row>
    <row r="898" spans="1:9" hidden="1" x14ac:dyDescent="0.2">
      <c r="A898" s="33" t="str">
        <f>TEXT(表3[[#This Row],[ETD]],"mmdd-h ")&amp;表3[[#This Row],[项目]]</f>
        <v>0619-0 WX mobis</v>
      </c>
      <c r="B898" s="34" t="s">
        <v>169</v>
      </c>
      <c r="C898" s="7">
        <v>43635</v>
      </c>
      <c r="D898" s="16">
        <v>26</v>
      </c>
      <c r="E898" s="22" t="s">
        <v>693</v>
      </c>
      <c r="F898" s="15">
        <v>43636</v>
      </c>
      <c r="G898" s="13" t="s">
        <v>690</v>
      </c>
      <c r="H898" s="34"/>
      <c r="I898" s="33">
        <f ca="1">ROUNDDOWN(表3[[#This Row],[日期]]-TODAY(),1)</f>
        <v>13</v>
      </c>
    </row>
    <row r="899" spans="1:9" hidden="1" x14ac:dyDescent="0.2">
      <c r="A899" s="33" t="str">
        <f>TEXT(表3[[#This Row],[ETD]],"mmdd-h ")&amp;表3[[#This Row],[项目]]</f>
        <v>0619-0 万盛</v>
      </c>
      <c r="B899" s="34" t="s">
        <v>659</v>
      </c>
      <c r="C899" s="7">
        <v>43635</v>
      </c>
      <c r="D899" s="16">
        <v>1</v>
      </c>
      <c r="E899" s="22" t="s">
        <v>661</v>
      </c>
      <c r="F899" s="15">
        <v>43620</v>
      </c>
      <c r="G899" s="13" t="s">
        <v>1</v>
      </c>
      <c r="H899" s="34"/>
      <c r="I899" s="33">
        <f ca="1">ROUNDDOWN(表3[[#This Row],[日期]]-TODAY(),1)</f>
        <v>-3</v>
      </c>
    </row>
    <row r="900" spans="1:9" hidden="1" x14ac:dyDescent="0.2">
      <c r="A900" s="33" t="str">
        <f>TEXT(表3[[#This Row],[ETD]],"mmdd-h ")&amp;表3[[#This Row],[项目]]</f>
        <v>0619-0 万盛</v>
      </c>
      <c r="B900" s="34" t="s">
        <v>659</v>
      </c>
      <c r="C900" s="7">
        <v>43635</v>
      </c>
      <c r="D900" s="16">
        <v>2</v>
      </c>
      <c r="E900" s="22" t="s">
        <v>664</v>
      </c>
      <c r="F900" s="15">
        <v>43620</v>
      </c>
      <c r="G900" s="13" t="s">
        <v>1</v>
      </c>
      <c r="H900" s="34"/>
      <c r="I900" s="33">
        <f ca="1">ROUNDDOWN(表3[[#This Row],[日期]]-TODAY(),1)</f>
        <v>-3</v>
      </c>
    </row>
    <row r="901" spans="1:9" hidden="1" x14ac:dyDescent="0.2">
      <c r="A901" s="33" t="str">
        <f>TEXT(表3[[#This Row],[ETD]],"mmdd-h ")&amp;表3[[#This Row],[项目]]</f>
        <v>0619-0 万盛</v>
      </c>
      <c r="B901" s="34" t="s">
        <v>659</v>
      </c>
      <c r="C901" s="7">
        <v>43635</v>
      </c>
      <c r="D901" s="16">
        <v>3</v>
      </c>
      <c r="E901" s="22" t="s">
        <v>666</v>
      </c>
      <c r="F901" s="15">
        <v>43620</v>
      </c>
      <c r="G901" s="13" t="s">
        <v>1</v>
      </c>
      <c r="H901" s="34"/>
      <c r="I901" s="33">
        <f ca="1">ROUNDDOWN(表3[[#This Row],[日期]]-TODAY(),1)</f>
        <v>-3</v>
      </c>
    </row>
    <row r="902" spans="1:9" hidden="1" x14ac:dyDescent="0.2">
      <c r="A902" s="33" t="str">
        <f>TEXT(表3[[#This Row],[ETD]],"mmdd-h ")&amp;表3[[#This Row],[项目]]</f>
        <v>0619-0 万盛</v>
      </c>
      <c r="B902" s="34" t="s">
        <v>659</v>
      </c>
      <c r="C902" s="7">
        <v>43635</v>
      </c>
      <c r="D902" s="16">
        <v>4</v>
      </c>
      <c r="E902" s="22" t="s">
        <v>668</v>
      </c>
      <c r="F902" s="15">
        <v>43626</v>
      </c>
      <c r="G902" s="13" t="s">
        <v>221</v>
      </c>
      <c r="H902" s="34"/>
      <c r="I902" s="33">
        <f ca="1">ROUNDDOWN(表3[[#This Row],[日期]]-TODAY(),1)</f>
        <v>3</v>
      </c>
    </row>
    <row r="903" spans="1:9" hidden="1" x14ac:dyDescent="0.2">
      <c r="A903" s="33" t="str">
        <f>TEXT(表3[[#This Row],[ETD]],"mmdd-h ")&amp;表3[[#This Row],[项目]]</f>
        <v>0619-0 万盛</v>
      </c>
      <c r="B903" s="34" t="s">
        <v>659</v>
      </c>
      <c r="C903" s="7">
        <v>43635</v>
      </c>
      <c r="D903" s="16">
        <v>5</v>
      </c>
      <c r="E903" s="22" t="s">
        <v>671</v>
      </c>
      <c r="F903" s="15">
        <v>43626</v>
      </c>
      <c r="G903" s="13" t="s">
        <v>221</v>
      </c>
      <c r="H903" s="34"/>
      <c r="I903" s="33">
        <f ca="1">ROUNDDOWN(表3[[#This Row],[日期]]-TODAY(),1)</f>
        <v>3</v>
      </c>
    </row>
    <row r="904" spans="1:9" hidden="1" x14ac:dyDescent="0.2">
      <c r="A904" s="33" t="str">
        <f>TEXT(表3[[#This Row],[ETD]],"mmdd-h ")&amp;表3[[#This Row],[项目]]</f>
        <v>0619-0 万盛</v>
      </c>
      <c r="B904" s="34" t="s">
        <v>659</v>
      </c>
      <c r="C904" s="7">
        <v>43635</v>
      </c>
      <c r="D904" s="16">
        <v>6</v>
      </c>
      <c r="E904" s="22" t="s">
        <v>673</v>
      </c>
      <c r="F904" s="15">
        <v>43633</v>
      </c>
      <c r="G904" s="13" t="s">
        <v>220</v>
      </c>
      <c r="H904" s="34" t="s">
        <v>684</v>
      </c>
      <c r="I904" s="33">
        <f ca="1">ROUNDDOWN(表3[[#This Row],[日期]]-TODAY(),1)</f>
        <v>10</v>
      </c>
    </row>
    <row r="905" spans="1:9" hidden="1" x14ac:dyDescent="0.2">
      <c r="A905" s="33" t="str">
        <f>TEXT(表3[[#This Row],[ETD]],"mmdd-h ")&amp;表3[[#This Row],[项目]]</f>
        <v>0619-0 万盛</v>
      </c>
      <c r="B905" s="34" t="s">
        <v>659</v>
      </c>
      <c r="C905" s="7">
        <v>43635</v>
      </c>
      <c r="D905" s="16">
        <v>7</v>
      </c>
      <c r="E905" s="22" t="s">
        <v>675</v>
      </c>
      <c r="F905" s="15">
        <v>43633</v>
      </c>
      <c r="G905" s="13" t="s">
        <v>220</v>
      </c>
      <c r="H905" s="34"/>
      <c r="I905" s="33">
        <f ca="1">ROUNDDOWN(表3[[#This Row],[日期]]-TODAY(),1)</f>
        <v>10</v>
      </c>
    </row>
    <row r="906" spans="1:9" hidden="1" x14ac:dyDescent="0.2">
      <c r="A906" s="33" t="str">
        <f>TEXT(表3[[#This Row],[ETD]],"mmdd-h ")&amp;表3[[#This Row],[项目]]</f>
        <v>0619-0 万盛</v>
      </c>
      <c r="B906" s="34" t="s">
        <v>659</v>
      </c>
      <c r="C906" s="7">
        <v>43635</v>
      </c>
      <c r="D906" s="16">
        <v>8</v>
      </c>
      <c r="E906" s="22" t="s">
        <v>677</v>
      </c>
      <c r="F906" s="15">
        <v>43633</v>
      </c>
      <c r="G906" s="13" t="s">
        <v>220</v>
      </c>
      <c r="H906" s="34"/>
      <c r="I906" s="33">
        <f ca="1">ROUNDDOWN(表3[[#This Row],[日期]]-TODAY(),1)</f>
        <v>10</v>
      </c>
    </row>
    <row r="907" spans="1:9" hidden="1" x14ac:dyDescent="0.2">
      <c r="A907" s="33" t="str">
        <f>TEXT(表3[[#This Row],[ETD]],"mmdd-h ")&amp;表3[[#This Row],[项目]]</f>
        <v>0619-0 万盛</v>
      </c>
      <c r="B907" s="34" t="s">
        <v>659</v>
      </c>
      <c r="C907" s="7">
        <v>43635</v>
      </c>
      <c r="D907" s="16">
        <v>9</v>
      </c>
      <c r="E907" s="22" t="s">
        <v>679</v>
      </c>
      <c r="F907" s="15">
        <v>43635</v>
      </c>
      <c r="G907" s="13" t="s">
        <v>220</v>
      </c>
      <c r="H907" s="34"/>
      <c r="I907" s="33">
        <f ca="1">ROUNDDOWN(表3[[#This Row],[日期]]-TODAY(),1)</f>
        <v>12</v>
      </c>
    </row>
    <row r="908" spans="1:9" hidden="1" x14ac:dyDescent="0.2">
      <c r="A908" s="33" t="str">
        <f>TEXT(表3[[#This Row],[ETD]],"mmdd-h ")&amp;表3[[#This Row],[项目]]</f>
        <v>0619-0 万盛</v>
      </c>
      <c r="B908" s="34" t="s">
        <v>659</v>
      </c>
      <c r="C908" s="7">
        <v>43635</v>
      </c>
      <c r="D908" s="16">
        <v>10</v>
      </c>
      <c r="E908" s="22" t="s">
        <v>681</v>
      </c>
      <c r="F908" s="15">
        <v>43635</v>
      </c>
      <c r="G908" s="13" t="s">
        <v>220</v>
      </c>
      <c r="H908" s="34"/>
      <c r="I908" s="33">
        <f ca="1">ROUNDDOWN(表3[[#This Row],[日期]]-TODAY(),1)</f>
        <v>12</v>
      </c>
    </row>
    <row r="909" spans="1:9" hidden="1" x14ac:dyDescent="0.2">
      <c r="A909" s="33" t="str">
        <f>TEXT(表3[[#This Row],[ETD]],"mmdd-h ")&amp;表3[[#This Row],[项目]]</f>
        <v>0624-0 0 WEEK</v>
      </c>
      <c r="B909" s="34" t="s">
        <v>256</v>
      </c>
      <c r="C909" s="7">
        <v>43640</v>
      </c>
      <c r="D909" s="16">
        <v>1</v>
      </c>
      <c r="E909" s="22" t="s">
        <v>452</v>
      </c>
      <c r="F909" s="15">
        <v>43640</v>
      </c>
      <c r="G909" s="13" t="s">
        <v>220</v>
      </c>
      <c r="H909" s="34" t="s">
        <v>248</v>
      </c>
      <c r="I909" s="33">
        <f ca="1">ROUNDDOWN(表3[[#This Row],[日期]]-TODAY(),1)</f>
        <v>17</v>
      </c>
    </row>
    <row r="910" spans="1:9" hidden="1" x14ac:dyDescent="0.2">
      <c r="A910" s="33" t="str">
        <f>TEXT(表3[[#This Row],[ETD]],"mmdd-h ")&amp;表3[[#This Row],[项目]]</f>
        <v>0624-0 0 WEEK</v>
      </c>
      <c r="B910" s="34" t="s">
        <v>256</v>
      </c>
      <c r="C910" s="7">
        <v>43640</v>
      </c>
      <c r="D910" s="16">
        <v>2</v>
      </c>
      <c r="E910" s="22" t="s">
        <v>453</v>
      </c>
      <c r="F910" s="15">
        <v>43640</v>
      </c>
      <c r="G910" s="13" t="s">
        <v>220</v>
      </c>
      <c r="H910" s="34" t="s">
        <v>248</v>
      </c>
      <c r="I910" s="33">
        <f ca="1">ROUNDDOWN(表3[[#This Row],[日期]]-TODAY(),1)</f>
        <v>17</v>
      </c>
    </row>
    <row r="911" spans="1:9" hidden="1" x14ac:dyDescent="0.2">
      <c r="A911" s="33" t="str">
        <f>TEXT(表3[[#This Row],[ETD]],"mmdd-h ")&amp;表3[[#This Row],[项目]]</f>
        <v>0624-0 0 WEEK</v>
      </c>
      <c r="B911" s="34" t="s">
        <v>256</v>
      </c>
      <c r="C911" s="7">
        <v>43640</v>
      </c>
      <c r="D911" s="16">
        <v>3</v>
      </c>
      <c r="E911" s="22" t="s">
        <v>250</v>
      </c>
      <c r="F911" s="15">
        <v>43640</v>
      </c>
      <c r="G911" s="13" t="s">
        <v>220</v>
      </c>
      <c r="H911" s="34" t="s">
        <v>248</v>
      </c>
      <c r="I911" s="33">
        <f ca="1">ROUNDDOWN(表3[[#This Row],[日期]]-TODAY(),1)</f>
        <v>17</v>
      </c>
    </row>
    <row r="912" spans="1:9" hidden="1" x14ac:dyDescent="0.2">
      <c r="A912" s="33" t="str">
        <f>TEXT(表3[[#This Row],[ETD]],"mmdd-h ")&amp;表3[[#This Row],[项目]]</f>
        <v>0624-0 0 WEEK</v>
      </c>
      <c r="B912" s="34" t="s">
        <v>256</v>
      </c>
      <c r="C912" s="7">
        <v>43640</v>
      </c>
      <c r="D912" s="16">
        <v>4</v>
      </c>
      <c r="E912" s="22" t="s">
        <v>250</v>
      </c>
      <c r="F912" s="15">
        <v>43642</v>
      </c>
      <c r="G912" s="13" t="s">
        <v>220</v>
      </c>
      <c r="H912" s="34" t="s">
        <v>253</v>
      </c>
      <c r="I912" s="33">
        <f ca="1">ROUNDDOWN(表3[[#This Row],[日期]]-TODAY(),1)</f>
        <v>19</v>
      </c>
    </row>
    <row r="913" spans="1:9" hidden="1" x14ac:dyDescent="0.2">
      <c r="A913" s="33" t="str">
        <f>TEXT(表3[[#This Row],[ETD]],"mmdd-h ")&amp;表3[[#This Row],[项目]]</f>
        <v>0624-0 0 WEEK</v>
      </c>
      <c r="B913" s="34" t="s">
        <v>256</v>
      </c>
      <c r="C913" s="7">
        <v>43640</v>
      </c>
      <c r="D913" s="16">
        <v>5</v>
      </c>
      <c r="E913" s="22" t="s">
        <v>239</v>
      </c>
      <c r="F913" s="15">
        <v>43644</v>
      </c>
      <c r="G913" s="13" t="s">
        <v>220</v>
      </c>
      <c r="H913" s="34" t="s">
        <v>244</v>
      </c>
      <c r="I913" s="33">
        <f ca="1">ROUNDDOWN(表3[[#This Row],[日期]]-TODAY(),1)</f>
        <v>21</v>
      </c>
    </row>
    <row r="914" spans="1:9" hidden="1" x14ac:dyDescent="0.2">
      <c r="A914" s="38" t="str">
        <f>TEXT(表3[[#This Row],[ETD]],"mmdd-h ")&amp;表3[[#This Row],[项目]]</f>
        <v>0624-0 0 WEEK</v>
      </c>
      <c r="B914" s="39" t="s">
        <v>256</v>
      </c>
      <c r="C914" s="44">
        <v>43640</v>
      </c>
      <c r="D914" s="40">
        <v>6</v>
      </c>
      <c r="E914" s="50" t="s">
        <v>634</v>
      </c>
      <c r="F914" s="42">
        <v>43644</v>
      </c>
      <c r="G914" s="43" t="s">
        <v>220</v>
      </c>
      <c r="H914" s="39" t="s">
        <v>244</v>
      </c>
      <c r="I914" s="38">
        <f ca="1">ROUNDDOWN(表3[[#This Row],[日期]]-TODAY(),1)</f>
        <v>21</v>
      </c>
    </row>
    <row r="915" spans="1:9" hidden="1" x14ac:dyDescent="0.2">
      <c r="A915" s="38" t="str">
        <f>TEXT(表3[[#This Row],[ETD]],"mmdd-h ")&amp;表3[[#This Row],[项目]]</f>
        <v>0624-0 0 WEEK</v>
      </c>
      <c r="B915" s="39" t="s">
        <v>256</v>
      </c>
      <c r="C915" s="44">
        <v>43640</v>
      </c>
      <c r="D915" s="40">
        <v>7</v>
      </c>
      <c r="E915" s="50" t="s">
        <v>635</v>
      </c>
      <c r="F915" s="42">
        <v>43644</v>
      </c>
      <c r="G915" s="43" t="s">
        <v>220</v>
      </c>
      <c r="H915" s="39" t="s">
        <v>244</v>
      </c>
      <c r="I915" s="38">
        <f ca="1">ROUNDDOWN(表3[[#This Row],[日期]]-TODAY(),1)</f>
        <v>21</v>
      </c>
    </row>
  </sheetData>
  <dataConsolidate/>
  <phoneticPr fontId="1" type="noConversion"/>
  <conditionalFormatting sqref="E2:E898">
    <cfRule type="beginsWith" dxfId="33" priority="14" operator="beginsWith" text="收到">
      <formula>LEFT(E2,LEN("收到"))="收到"</formula>
    </cfRule>
  </conditionalFormatting>
  <conditionalFormatting sqref="E864:E873">
    <cfRule type="beginsWith" dxfId="32" priority="1" operator="beginsWith" text="收到">
      <formula>LEFT(E864,LEN("收到"))="收到"</formula>
    </cfRule>
  </conditionalFormatting>
  <dataValidations count="2">
    <dataValidation type="list" showInputMessage="1" showErrorMessage="1" sqref="G2:G915">
      <formula1>"计划,OK,取消"</formula1>
    </dataValidation>
    <dataValidation type="date" operator="greaterThan" showInputMessage="1" showErrorMessage="1" sqref="F2:F915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3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14" sqref="F14"/>
    </sheetView>
  </sheetViews>
  <sheetFormatPr defaultColWidth="8" defaultRowHeight="14.25" x14ac:dyDescent="0.2"/>
  <cols>
    <col min="1" max="1" width="11.5" bestFit="1" customWidth="1"/>
    <col min="2" max="2" width="7.875" customWidth="1"/>
    <col min="3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423</v>
      </c>
      <c r="D1" s="27" t="s">
        <v>622</v>
      </c>
      <c r="E1" s="27" t="s">
        <v>424</v>
      </c>
      <c r="F1" s="27" t="s">
        <v>425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324</v>
      </c>
      <c r="B4" s="49">
        <v>43623</v>
      </c>
      <c r="C4" s="49">
        <v>43624</v>
      </c>
    </row>
    <row r="5" spans="1:6" x14ac:dyDescent="0.2">
      <c r="A5" s="11" t="s">
        <v>477</v>
      </c>
      <c r="B5" s="12"/>
      <c r="C5" s="12"/>
    </row>
    <row r="6" spans="1:6" x14ac:dyDescent="0.2">
      <c r="A6" s="23">
        <v>43621</v>
      </c>
      <c r="B6" s="12">
        <v>1</v>
      </c>
      <c r="C6" s="12">
        <v>1</v>
      </c>
    </row>
    <row r="7" spans="1:6" x14ac:dyDescent="0.2">
      <c r="A7" s="11" t="s">
        <v>2</v>
      </c>
      <c r="B7" s="12"/>
      <c r="C7" s="12"/>
    </row>
    <row r="8" spans="1:6" x14ac:dyDescent="0.2">
      <c r="A8" s="23">
        <v>43621</v>
      </c>
      <c r="B8" s="12"/>
      <c r="C8" s="12">
        <v>1</v>
      </c>
    </row>
    <row r="9" spans="1:6" x14ac:dyDescent="0.2">
      <c r="A9" s="23">
        <v>43623</v>
      </c>
      <c r="B9" s="12">
        <v>1</v>
      </c>
      <c r="C9" s="12">
        <v>1</v>
      </c>
    </row>
    <row r="10" spans="1:6" x14ac:dyDescent="0.2">
      <c r="A10" s="23">
        <v>43628</v>
      </c>
      <c r="B10" s="12"/>
      <c r="C10" s="12">
        <v>4</v>
      </c>
    </row>
    <row r="11" spans="1:6" x14ac:dyDescent="0.2">
      <c r="A11" s="11" t="s">
        <v>344</v>
      </c>
      <c r="B11" s="12"/>
      <c r="C11" s="12"/>
    </row>
    <row r="12" spans="1:6" x14ac:dyDescent="0.2">
      <c r="A12" s="23">
        <v>43623</v>
      </c>
      <c r="B12" s="12">
        <v>1</v>
      </c>
      <c r="C12" s="12">
        <v>1</v>
      </c>
    </row>
    <row r="13" spans="1:6" x14ac:dyDescent="0.2">
      <c r="A13" s="11" t="s">
        <v>165</v>
      </c>
      <c r="B13" s="12">
        <v>3</v>
      </c>
      <c r="C13" s="12">
        <v>8</v>
      </c>
    </row>
  </sheetData>
  <dataConsolidate/>
  <phoneticPr fontId="1" type="noConversion"/>
  <conditionalFormatting sqref="B4:AG4">
    <cfRule type="timePeriod" dxfId="17" priority="1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2"/>
  <sheetViews>
    <sheetView workbookViewId="0">
      <selection activeCell="F1" sqref="F1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367</v>
      </c>
      <c r="D1" t="s">
        <v>365</v>
      </c>
      <c r="E1" t="s">
        <v>366</v>
      </c>
      <c r="F1" t="s">
        <v>430</v>
      </c>
      <c r="G1" t="s">
        <v>364</v>
      </c>
      <c r="H1" t="s">
        <v>459</v>
      </c>
    </row>
    <row r="2" spans="1:8" hidden="1" x14ac:dyDescent="0.2">
      <c r="A2" t="s">
        <v>3</v>
      </c>
      <c r="B2" s="25">
        <v>43595</v>
      </c>
      <c r="C2" s="45" t="s">
        <v>368</v>
      </c>
      <c r="D2" s="24" t="s">
        <v>370</v>
      </c>
      <c r="E2" s="24" t="s">
        <v>369</v>
      </c>
      <c r="F2" s="24" t="s">
        <v>431</v>
      </c>
      <c r="G2" t="s">
        <v>371</v>
      </c>
      <c r="H2" s="24" t="s">
        <v>463</v>
      </c>
    </row>
    <row r="3" spans="1:8" hidden="1" x14ac:dyDescent="0.2">
      <c r="A3" t="s">
        <v>3</v>
      </c>
      <c r="B3" s="25">
        <v>43595</v>
      </c>
      <c r="C3" s="45" t="s">
        <v>368</v>
      </c>
      <c r="D3" s="24" t="s">
        <v>370</v>
      </c>
      <c r="E3" s="24" t="s">
        <v>369</v>
      </c>
      <c r="F3" s="24" t="s">
        <v>432</v>
      </c>
      <c r="G3" t="s">
        <v>371</v>
      </c>
      <c r="H3" s="24" t="s">
        <v>463</v>
      </c>
    </row>
    <row r="4" spans="1:8" hidden="1" x14ac:dyDescent="0.2">
      <c r="A4" t="s">
        <v>3</v>
      </c>
      <c r="B4" s="25">
        <v>43595</v>
      </c>
      <c r="C4" s="45" t="s">
        <v>368</v>
      </c>
      <c r="D4" s="24" t="s">
        <v>370</v>
      </c>
      <c r="E4" s="24" t="s">
        <v>369</v>
      </c>
      <c r="F4" s="24" t="s">
        <v>433</v>
      </c>
      <c r="G4" t="s">
        <v>371</v>
      </c>
      <c r="H4" s="24" t="s">
        <v>463</v>
      </c>
    </row>
    <row r="5" spans="1:8" hidden="1" x14ac:dyDescent="0.2">
      <c r="A5" t="s">
        <v>158</v>
      </c>
      <c r="B5" s="25">
        <v>43600</v>
      </c>
      <c r="C5" s="45" t="s">
        <v>398</v>
      </c>
      <c r="D5" s="24" t="s">
        <v>399</v>
      </c>
      <c r="E5" s="24" t="s">
        <v>400</v>
      </c>
      <c r="F5" s="24" t="s">
        <v>434</v>
      </c>
      <c r="G5" t="s">
        <v>401</v>
      </c>
      <c r="H5" s="24" t="s">
        <v>463</v>
      </c>
    </row>
    <row r="6" spans="1:8" hidden="1" x14ac:dyDescent="0.2">
      <c r="A6" t="s">
        <v>381</v>
      </c>
      <c r="B6" s="25">
        <v>43602</v>
      </c>
      <c r="C6" s="45" t="s">
        <v>382</v>
      </c>
      <c r="D6" s="24" t="s">
        <v>383</v>
      </c>
      <c r="E6" s="24" t="s">
        <v>384</v>
      </c>
      <c r="F6" s="24" t="s">
        <v>435</v>
      </c>
      <c r="G6" t="s">
        <v>385</v>
      </c>
      <c r="H6" s="24" t="s">
        <v>461</v>
      </c>
    </row>
    <row r="7" spans="1:8" hidden="1" x14ac:dyDescent="0.2">
      <c r="A7" t="s">
        <v>381</v>
      </c>
      <c r="B7" s="25">
        <v>43602</v>
      </c>
      <c r="C7" s="45" t="s">
        <v>382</v>
      </c>
      <c r="D7" s="24" t="s">
        <v>383</v>
      </c>
      <c r="E7" s="24" t="s">
        <v>384</v>
      </c>
      <c r="F7" s="24" t="s">
        <v>435</v>
      </c>
      <c r="G7" t="s">
        <v>386</v>
      </c>
      <c r="H7" s="24" t="s">
        <v>461</v>
      </c>
    </row>
    <row r="8" spans="1:8" hidden="1" x14ac:dyDescent="0.2">
      <c r="A8" t="s">
        <v>381</v>
      </c>
      <c r="B8" s="25">
        <v>43602</v>
      </c>
      <c r="C8" s="45" t="s">
        <v>382</v>
      </c>
      <c r="D8" s="24" t="s">
        <v>383</v>
      </c>
      <c r="E8" s="24" t="s">
        <v>384</v>
      </c>
      <c r="F8" s="24" t="s">
        <v>435</v>
      </c>
      <c r="G8" t="s">
        <v>387</v>
      </c>
      <c r="H8" s="24" t="s">
        <v>461</v>
      </c>
    </row>
    <row r="9" spans="1:8" hidden="1" x14ac:dyDescent="0.2">
      <c r="A9" t="s">
        <v>381</v>
      </c>
      <c r="B9" s="25">
        <v>43602</v>
      </c>
      <c r="C9" s="45" t="s">
        <v>382</v>
      </c>
      <c r="D9" s="24" t="s">
        <v>383</v>
      </c>
      <c r="E9" s="24" t="s">
        <v>384</v>
      </c>
      <c r="F9" s="24" t="s">
        <v>435</v>
      </c>
      <c r="G9" t="s">
        <v>388</v>
      </c>
      <c r="H9" s="24" t="s">
        <v>461</v>
      </c>
    </row>
    <row r="10" spans="1:8" hidden="1" x14ac:dyDescent="0.2">
      <c r="A10" t="s">
        <v>161</v>
      </c>
      <c r="B10" s="25">
        <v>43607</v>
      </c>
      <c r="C10" s="45" t="s">
        <v>392</v>
      </c>
      <c r="D10" s="24" t="s">
        <v>393</v>
      </c>
      <c r="E10" s="24" t="s">
        <v>394</v>
      </c>
      <c r="F10" s="24" t="s">
        <v>454</v>
      </c>
      <c r="G10" t="s">
        <v>458</v>
      </c>
      <c r="H10" s="24" t="s">
        <v>460</v>
      </c>
    </row>
    <row r="11" spans="1:8" hidden="1" x14ac:dyDescent="0.2">
      <c r="A11" t="s">
        <v>161</v>
      </c>
      <c r="B11" s="25">
        <v>43607</v>
      </c>
      <c r="C11" s="45" t="s">
        <v>392</v>
      </c>
      <c r="D11" s="24" t="s">
        <v>393</v>
      </c>
      <c r="E11" s="24" t="s">
        <v>394</v>
      </c>
      <c r="F11" s="24" t="s">
        <v>455</v>
      </c>
      <c r="G11" t="s">
        <v>458</v>
      </c>
      <c r="H11" s="24" t="s">
        <v>460</v>
      </c>
    </row>
    <row r="12" spans="1:8" hidden="1" x14ac:dyDescent="0.2">
      <c r="A12" t="s">
        <v>161</v>
      </c>
      <c r="B12" s="25">
        <v>43607</v>
      </c>
      <c r="C12" s="45" t="s">
        <v>392</v>
      </c>
      <c r="D12" s="24" t="s">
        <v>393</v>
      </c>
      <c r="E12" s="24" t="s">
        <v>394</v>
      </c>
      <c r="F12" s="24" t="s">
        <v>456</v>
      </c>
      <c r="G12" t="s">
        <v>458</v>
      </c>
      <c r="H12" s="24" t="s">
        <v>460</v>
      </c>
    </row>
    <row r="13" spans="1:8" hidden="1" x14ac:dyDescent="0.2">
      <c r="A13" t="s">
        <v>161</v>
      </c>
      <c r="B13" s="25">
        <v>43607</v>
      </c>
      <c r="C13" s="45" t="s">
        <v>392</v>
      </c>
      <c r="D13" s="24" t="s">
        <v>393</v>
      </c>
      <c r="E13" s="24" t="s">
        <v>394</v>
      </c>
      <c r="F13" s="24" t="s">
        <v>457</v>
      </c>
      <c r="G13" t="s">
        <v>476</v>
      </c>
      <c r="H13" s="24" t="s">
        <v>461</v>
      </c>
    </row>
    <row r="14" spans="1:8" hidden="1" x14ac:dyDescent="0.2">
      <c r="A14" t="s">
        <v>158</v>
      </c>
      <c r="B14" s="25">
        <v>43607</v>
      </c>
      <c r="C14" s="45" t="s">
        <v>389</v>
      </c>
      <c r="D14" s="24" t="s">
        <v>390</v>
      </c>
      <c r="E14" s="24" t="s">
        <v>391</v>
      </c>
      <c r="F14" s="24" t="s">
        <v>440</v>
      </c>
      <c r="G14" t="s">
        <v>441</v>
      </c>
      <c r="H14" s="24" t="s">
        <v>462</v>
      </c>
    </row>
    <row r="15" spans="1:8" hidden="1" x14ac:dyDescent="0.2">
      <c r="A15" t="s">
        <v>158</v>
      </c>
      <c r="B15" s="25">
        <v>43607</v>
      </c>
      <c r="C15" s="45" t="s">
        <v>389</v>
      </c>
      <c r="D15" s="24" t="s">
        <v>390</v>
      </c>
      <c r="E15" s="24" t="s">
        <v>391</v>
      </c>
      <c r="F15" s="24" t="s">
        <v>442</v>
      </c>
      <c r="G15" t="s">
        <v>441</v>
      </c>
      <c r="H15" s="24" t="s">
        <v>463</v>
      </c>
    </row>
    <row r="16" spans="1:8" hidden="1" x14ac:dyDescent="0.2">
      <c r="A16" t="s">
        <v>167</v>
      </c>
      <c r="B16" s="25">
        <v>43607</v>
      </c>
      <c r="C16" s="45" t="s">
        <v>389</v>
      </c>
      <c r="D16" s="24" t="s">
        <v>390</v>
      </c>
      <c r="E16" s="24" t="s">
        <v>391</v>
      </c>
      <c r="F16" s="24" t="s">
        <v>438</v>
      </c>
      <c r="G16" t="s">
        <v>439</v>
      </c>
      <c r="H16" s="24" t="s">
        <v>461</v>
      </c>
    </row>
    <row r="17" spans="1:8" hidden="1" x14ac:dyDescent="0.2">
      <c r="A17" t="s">
        <v>375</v>
      </c>
      <c r="B17" s="25">
        <v>43609</v>
      </c>
      <c r="C17" s="45" t="s">
        <v>376</v>
      </c>
      <c r="D17" s="24" t="s">
        <v>377</v>
      </c>
      <c r="E17" s="24" t="s">
        <v>378</v>
      </c>
      <c r="F17" s="24" t="s">
        <v>482</v>
      </c>
      <c r="G17" t="s">
        <v>486</v>
      </c>
      <c r="H17" s="24" t="s">
        <v>485</v>
      </c>
    </row>
    <row r="18" spans="1:8" hidden="1" x14ac:dyDescent="0.2">
      <c r="A18" t="s">
        <v>3</v>
      </c>
      <c r="B18" s="25">
        <v>43609</v>
      </c>
      <c r="C18" s="45" t="s">
        <v>376</v>
      </c>
      <c r="D18" s="24" t="s">
        <v>377</v>
      </c>
      <c r="E18" s="24" t="s">
        <v>378</v>
      </c>
      <c r="F18" s="24" t="s">
        <v>483</v>
      </c>
      <c r="G18" t="s">
        <v>486</v>
      </c>
      <c r="H18" s="24" t="s">
        <v>485</v>
      </c>
    </row>
    <row r="19" spans="1:8" hidden="1" x14ac:dyDescent="0.2">
      <c r="A19" t="s">
        <v>3</v>
      </c>
      <c r="B19" s="25">
        <v>43609</v>
      </c>
      <c r="C19" s="45" t="s">
        <v>376</v>
      </c>
      <c r="D19" s="24" t="s">
        <v>377</v>
      </c>
      <c r="E19" s="24" t="s">
        <v>378</v>
      </c>
      <c r="F19" s="24" t="s">
        <v>484</v>
      </c>
      <c r="G19" t="s">
        <v>486</v>
      </c>
      <c r="H19" s="24" t="s">
        <v>485</v>
      </c>
    </row>
    <row r="20" spans="1:8" hidden="1" x14ac:dyDescent="0.2">
      <c r="A20" t="s">
        <v>3</v>
      </c>
      <c r="B20" s="25">
        <v>43613</v>
      </c>
      <c r="C20" s="45" t="s">
        <v>372</v>
      </c>
      <c r="D20" s="24" t="s">
        <v>373</v>
      </c>
      <c r="E20" s="24" t="s">
        <v>374</v>
      </c>
      <c r="F20" s="24" t="s">
        <v>607</v>
      </c>
      <c r="G20" t="s">
        <v>526</v>
      </c>
      <c r="H20" s="24" t="s">
        <v>510</v>
      </c>
    </row>
    <row r="21" spans="1:8" hidden="1" x14ac:dyDescent="0.2">
      <c r="A21" t="s">
        <v>3</v>
      </c>
      <c r="B21" s="25">
        <v>43613</v>
      </c>
      <c r="C21" s="45" t="s">
        <v>372</v>
      </c>
      <c r="D21" s="24" t="s">
        <v>373</v>
      </c>
      <c r="E21" s="24" t="s">
        <v>374</v>
      </c>
      <c r="F21" s="24" t="s">
        <v>593</v>
      </c>
      <c r="G21" t="s">
        <v>526</v>
      </c>
      <c r="H21" s="24" t="s">
        <v>462</v>
      </c>
    </row>
    <row r="22" spans="1:8" hidden="1" x14ac:dyDescent="0.2">
      <c r="A22" t="s">
        <v>381</v>
      </c>
      <c r="B22" s="25">
        <v>43613</v>
      </c>
      <c r="C22" s="45" t="s">
        <v>402</v>
      </c>
      <c r="D22" s="24" t="s">
        <v>373</v>
      </c>
      <c r="E22" s="24" t="s">
        <v>374</v>
      </c>
      <c r="F22" s="24" t="s">
        <v>511</v>
      </c>
      <c r="G22" t="s">
        <v>529</v>
      </c>
      <c r="H22" s="24" t="s">
        <v>512</v>
      </c>
    </row>
    <row r="23" spans="1:8" hidden="1" x14ac:dyDescent="0.2">
      <c r="A23" t="s">
        <v>183</v>
      </c>
      <c r="B23" s="25">
        <v>43613</v>
      </c>
      <c r="C23" s="45" t="s">
        <v>372</v>
      </c>
      <c r="D23" s="24" t="s">
        <v>373</v>
      </c>
      <c r="E23" s="24" t="s">
        <v>374</v>
      </c>
      <c r="F23" s="24" t="s">
        <v>511</v>
      </c>
      <c r="G23" t="s">
        <v>530</v>
      </c>
      <c r="H23" s="24" t="s">
        <v>512</v>
      </c>
    </row>
    <row r="24" spans="1:8" hidden="1" x14ac:dyDescent="0.2">
      <c r="A24" t="s">
        <v>502</v>
      </c>
      <c r="B24" s="25">
        <v>43614</v>
      </c>
      <c r="C24" s="45" t="s">
        <v>592</v>
      </c>
      <c r="D24" s="24" t="s">
        <v>503</v>
      </c>
      <c r="E24" s="24" t="s">
        <v>504</v>
      </c>
      <c r="F24" s="24" t="s">
        <v>505</v>
      </c>
      <c r="G24" t="s">
        <v>542</v>
      </c>
      <c r="H24" s="24" t="s">
        <v>506</v>
      </c>
    </row>
    <row r="25" spans="1:8" hidden="1" x14ac:dyDescent="0.2">
      <c r="A25" t="s">
        <v>502</v>
      </c>
      <c r="B25" s="25">
        <v>43614</v>
      </c>
      <c r="C25" s="45" t="s">
        <v>592</v>
      </c>
      <c r="D25" s="24" t="s">
        <v>503</v>
      </c>
      <c r="E25" s="24" t="s">
        <v>504</v>
      </c>
      <c r="F25" s="24" t="s">
        <v>507</v>
      </c>
      <c r="G25" t="s">
        <v>543</v>
      </c>
      <c r="H25" s="24" t="s">
        <v>506</v>
      </c>
    </row>
    <row r="26" spans="1:8" hidden="1" x14ac:dyDescent="0.2">
      <c r="A26" t="s">
        <v>502</v>
      </c>
      <c r="B26" s="25">
        <v>43614</v>
      </c>
      <c r="C26" s="45" t="s">
        <v>592</v>
      </c>
      <c r="D26" s="24" t="s">
        <v>503</v>
      </c>
      <c r="E26" s="24" t="s">
        <v>504</v>
      </c>
      <c r="F26" s="24" t="s">
        <v>508</v>
      </c>
      <c r="G26" t="s">
        <v>543</v>
      </c>
      <c r="H26" s="24" t="s">
        <v>506</v>
      </c>
    </row>
    <row r="27" spans="1:8" hidden="1" x14ac:dyDescent="0.2">
      <c r="A27" t="s">
        <v>502</v>
      </c>
      <c r="B27" s="25">
        <v>43614</v>
      </c>
      <c r="C27" s="45" t="s">
        <v>592</v>
      </c>
      <c r="D27" s="24" t="s">
        <v>503</v>
      </c>
      <c r="E27" s="24" t="s">
        <v>504</v>
      </c>
      <c r="F27" s="24" t="s">
        <v>509</v>
      </c>
      <c r="G27" t="s">
        <v>543</v>
      </c>
      <c r="H27" s="24" t="s">
        <v>506</v>
      </c>
    </row>
    <row r="28" spans="1:8" hidden="1" x14ac:dyDescent="0.2">
      <c r="A28" t="s">
        <v>161</v>
      </c>
      <c r="B28" s="25">
        <v>43614</v>
      </c>
      <c r="C28" s="45" t="s">
        <v>592</v>
      </c>
      <c r="D28" s="24" t="s">
        <v>503</v>
      </c>
      <c r="E28" s="24" t="s">
        <v>504</v>
      </c>
      <c r="F28" s="24" t="s">
        <v>535</v>
      </c>
      <c r="G28" t="s">
        <v>543</v>
      </c>
      <c r="H28" s="24" t="s">
        <v>506</v>
      </c>
    </row>
    <row r="29" spans="1:8" hidden="1" x14ac:dyDescent="0.2">
      <c r="A29" t="s">
        <v>161</v>
      </c>
      <c r="B29" s="25">
        <v>43614</v>
      </c>
      <c r="C29" s="45" t="s">
        <v>592</v>
      </c>
      <c r="D29" s="24" t="s">
        <v>503</v>
      </c>
      <c r="E29" s="24" t="s">
        <v>504</v>
      </c>
      <c r="F29" s="24" t="s">
        <v>536</v>
      </c>
      <c r="G29" t="s">
        <v>543</v>
      </c>
      <c r="H29" s="24" t="s">
        <v>506</v>
      </c>
    </row>
    <row r="30" spans="1:8" hidden="1" x14ac:dyDescent="0.2">
      <c r="A30" t="s">
        <v>161</v>
      </c>
      <c r="B30" s="25">
        <v>43614</v>
      </c>
      <c r="C30" s="45" t="s">
        <v>592</v>
      </c>
      <c r="D30" s="24" t="s">
        <v>503</v>
      </c>
      <c r="E30" s="24" t="s">
        <v>504</v>
      </c>
      <c r="F30" s="24" t="s">
        <v>537</v>
      </c>
      <c r="G30" t="s">
        <v>541</v>
      </c>
      <c r="H30" s="24" t="s">
        <v>506</v>
      </c>
    </row>
    <row r="31" spans="1:8" hidden="1" x14ac:dyDescent="0.2">
      <c r="A31" t="s">
        <v>161</v>
      </c>
      <c r="B31" s="25">
        <v>43614</v>
      </c>
      <c r="C31" s="45" t="s">
        <v>592</v>
      </c>
      <c r="D31" s="24" t="s">
        <v>503</v>
      </c>
      <c r="E31" s="24" t="s">
        <v>504</v>
      </c>
      <c r="F31" s="24" t="s">
        <v>538</v>
      </c>
      <c r="G31" t="s">
        <v>540</v>
      </c>
      <c r="H31" s="24" t="s">
        <v>506</v>
      </c>
    </row>
    <row r="32" spans="1:8" hidden="1" x14ac:dyDescent="0.2">
      <c r="A32" t="s">
        <v>443</v>
      </c>
      <c r="B32" s="25">
        <v>43614</v>
      </c>
      <c r="C32" s="45" t="s">
        <v>446</v>
      </c>
      <c r="D32" s="24" t="s">
        <v>447</v>
      </c>
      <c r="E32" s="24" t="s">
        <v>448</v>
      </c>
      <c r="F32" s="24" t="s">
        <v>444</v>
      </c>
      <c r="G32" t="s">
        <v>527</v>
      </c>
      <c r="H32" s="24" t="s">
        <v>528</v>
      </c>
    </row>
    <row r="33" spans="1:8" hidden="1" x14ac:dyDescent="0.2">
      <c r="A33" t="s">
        <v>443</v>
      </c>
      <c r="B33" s="25">
        <v>43614</v>
      </c>
      <c r="C33" s="45" t="s">
        <v>446</v>
      </c>
      <c r="D33" s="24" t="s">
        <v>447</v>
      </c>
      <c r="E33" s="24" t="s">
        <v>448</v>
      </c>
      <c r="F33" s="24" t="s">
        <v>445</v>
      </c>
      <c r="G33" t="s">
        <v>539</v>
      </c>
      <c r="H33" s="24" t="s">
        <v>461</v>
      </c>
    </row>
    <row r="34" spans="1:8" hidden="1" x14ac:dyDescent="0.2">
      <c r="A34" t="s">
        <v>167</v>
      </c>
      <c r="B34" s="25">
        <v>43614</v>
      </c>
      <c r="C34" s="45" t="s">
        <v>395</v>
      </c>
      <c r="D34" s="24" t="s">
        <v>396</v>
      </c>
      <c r="E34" s="24" t="s">
        <v>397</v>
      </c>
      <c r="F34" s="24" t="s">
        <v>487</v>
      </c>
      <c r="G34" t="s">
        <v>575</v>
      </c>
      <c r="H34" s="24" t="s">
        <v>488</v>
      </c>
    </row>
    <row r="35" spans="1:8" hidden="1" x14ac:dyDescent="0.2">
      <c r="A35" t="s">
        <v>3</v>
      </c>
      <c r="B35" s="25">
        <v>43616</v>
      </c>
      <c r="C35" s="45" t="s">
        <v>495</v>
      </c>
      <c r="D35" s="24" t="s">
        <v>585</v>
      </c>
      <c r="E35" s="24" t="s">
        <v>494</v>
      </c>
      <c r="F35" s="24" t="s">
        <v>633</v>
      </c>
      <c r="G35" t="s">
        <v>584</v>
      </c>
      <c r="H35" s="24" t="s">
        <v>462</v>
      </c>
    </row>
    <row r="36" spans="1:8" hidden="1" x14ac:dyDescent="0.2">
      <c r="A36" t="s">
        <v>167</v>
      </c>
      <c r="B36" s="25">
        <v>43635</v>
      </c>
      <c r="C36" s="45" t="s">
        <v>379</v>
      </c>
      <c r="D36" s="24" t="s">
        <v>380</v>
      </c>
      <c r="E36" s="24"/>
      <c r="F36" s="24"/>
      <c r="H36" s="24"/>
    </row>
    <row r="37" spans="1:8" x14ac:dyDescent="0.2">
      <c r="A37" t="s">
        <v>183</v>
      </c>
      <c r="B37" s="25">
        <v>43623</v>
      </c>
      <c r="C37" s="45" t="s">
        <v>569</v>
      </c>
      <c r="D37" s="24" t="s">
        <v>570</v>
      </c>
      <c r="E37" s="24" t="s">
        <v>571</v>
      </c>
      <c r="F37" s="24" t="s">
        <v>721</v>
      </c>
      <c r="G37" t="s">
        <v>644</v>
      </c>
      <c r="H37" s="24" t="s">
        <v>573</v>
      </c>
    </row>
    <row r="38" spans="1:8" x14ac:dyDescent="0.2">
      <c r="A38" t="s">
        <v>183</v>
      </c>
      <c r="B38" s="25">
        <v>43623</v>
      </c>
      <c r="C38" s="45" t="s">
        <v>569</v>
      </c>
      <c r="D38" s="24" t="s">
        <v>570</v>
      </c>
      <c r="E38" s="24" t="s">
        <v>571</v>
      </c>
      <c r="F38" s="24" t="s">
        <v>572</v>
      </c>
      <c r="G38" t="s">
        <v>645</v>
      </c>
      <c r="H38" s="24" t="s">
        <v>574</v>
      </c>
    </row>
    <row r="39" spans="1:8" x14ac:dyDescent="0.2">
      <c r="A39" t="s">
        <v>183</v>
      </c>
      <c r="B39" s="25">
        <v>43623</v>
      </c>
      <c r="C39" s="45" t="s">
        <v>569</v>
      </c>
      <c r="D39" s="24" t="s">
        <v>570</v>
      </c>
      <c r="E39" s="24" t="s">
        <v>571</v>
      </c>
      <c r="F39" s="24" t="s">
        <v>572</v>
      </c>
      <c r="G39" t="s">
        <v>646</v>
      </c>
      <c r="H39" s="24" t="s">
        <v>574</v>
      </c>
    </row>
    <row r="40" spans="1:8" hidden="1" x14ac:dyDescent="0.2">
      <c r="A40" t="s">
        <v>161</v>
      </c>
      <c r="B40" s="25">
        <v>43621</v>
      </c>
      <c r="C40" s="45" t="s">
        <v>577</v>
      </c>
      <c r="D40" s="24" t="s">
        <v>578</v>
      </c>
      <c r="E40" s="24" t="s">
        <v>579</v>
      </c>
      <c r="F40" s="24" t="s">
        <v>576</v>
      </c>
      <c r="G40" t="s">
        <v>642</v>
      </c>
      <c r="H40" s="24" t="s">
        <v>580</v>
      </c>
    </row>
    <row r="41" spans="1:8" hidden="1" x14ac:dyDescent="0.2">
      <c r="A41" t="s">
        <v>161</v>
      </c>
      <c r="B41" s="25">
        <v>43621</v>
      </c>
      <c r="C41" s="45" t="s">
        <v>577</v>
      </c>
      <c r="D41" s="24" t="s">
        <v>578</v>
      </c>
      <c r="E41" s="24" t="s">
        <v>579</v>
      </c>
      <c r="F41" s="24" t="s">
        <v>581</v>
      </c>
      <c r="G41" t="s">
        <v>642</v>
      </c>
      <c r="H41" s="24" t="s">
        <v>580</v>
      </c>
    </row>
    <row r="42" spans="1:8" hidden="1" x14ac:dyDescent="0.2">
      <c r="A42" t="s">
        <v>161</v>
      </c>
      <c r="B42" s="25">
        <v>43621</v>
      </c>
      <c r="C42" s="45" t="s">
        <v>577</v>
      </c>
      <c r="D42" s="24" t="s">
        <v>578</v>
      </c>
      <c r="E42" s="24" t="s">
        <v>579</v>
      </c>
      <c r="F42" s="24" t="s">
        <v>582</v>
      </c>
      <c r="G42" t="s">
        <v>643</v>
      </c>
      <c r="H42" s="24" t="s">
        <v>580</v>
      </c>
    </row>
    <row r="43" spans="1:8" hidden="1" x14ac:dyDescent="0.2">
      <c r="A43" t="s">
        <v>161</v>
      </c>
      <c r="B43" s="25">
        <v>43621</v>
      </c>
      <c r="C43" s="45" t="s">
        <v>577</v>
      </c>
      <c r="D43" s="24" t="s">
        <v>578</v>
      </c>
      <c r="E43" s="24" t="s">
        <v>579</v>
      </c>
      <c r="F43" s="24" t="s">
        <v>583</v>
      </c>
      <c r="G43" t="s">
        <v>643</v>
      </c>
      <c r="H43" s="24" t="s">
        <v>580</v>
      </c>
    </row>
    <row r="44" spans="1:8" hidden="1" x14ac:dyDescent="0.2">
      <c r="A44" t="s">
        <v>3</v>
      </c>
      <c r="B44" s="25">
        <v>43616</v>
      </c>
      <c r="C44" s="45" t="s">
        <v>495</v>
      </c>
      <c r="D44" s="24" t="s">
        <v>585</v>
      </c>
      <c r="E44" s="24" t="s">
        <v>494</v>
      </c>
      <c r="F44" s="24" t="s">
        <v>586</v>
      </c>
      <c r="G44" t="s">
        <v>584</v>
      </c>
      <c r="H44" s="24" t="s">
        <v>462</v>
      </c>
    </row>
    <row r="45" spans="1:8" hidden="1" x14ac:dyDescent="0.2">
      <c r="A45" t="s">
        <v>3</v>
      </c>
      <c r="B45" s="25">
        <v>43616</v>
      </c>
      <c r="C45" s="45" t="s">
        <v>495</v>
      </c>
      <c r="D45" s="24" t="s">
        <v>585</v>
      </c>
      <c r="E45" s="24" t="s">
        <v>494</v>
      </c>
      <c r="F45" s="24" t="s">
        <v>587</v>
      </c>
      <c r="G45" t="s">
        <v>584</v>
      </c>
      <c r="H45" s="24" t="s">
        <v>462</v>
      </c>
    </row>
    <row r="46" spans="1:8" hidden="1" x14ac:dyDescent="0.2">
      <c r="A46" t="s">
        <v>3</v>
      </c>
      <c r="B46" s="25">
        <v>43616</v>
      </c>
      <c r="C46" s="45" t="s">
        <v>495</v>
      </c>
      <c r="D46" s="24" t="s">
        <v>585</v>
      </c>
      <c r="E46" s="24" t="s">
        <v>494</v>
      </c>
      <c r="F46" s="24" t="s">
        <v>722</v>
      </c>
      <c r="G46" t="s">
        <v>584</v>
      </c>
      <c r="H46" s="24" t="s">
        <v>462</v>
      </c>
    </row>
    <row r="47" spans="1:8" hidden="1" x14ac:dyDescent="0.2">
      <c r="A47" t="s">
        <v>158</v>
      </c>
      <c r="B47" s="25">
        <v>43621</v>
      </c>
      <c r="C47" s="45" t="s">
        <v>594</v>
      </c>
      <c r="D47" s="24" t="s">
        <v>595</v>
      </c>
      <c r="E47" s="24" t="s">
        <v>599</v>
      </c>
      <c r="F47" s="24" t="s">
        <v>596</v>
      </c>
      <c r="G47" t="s">
        <v>631</v>
      </c>
      <c r="H47" s="24" t="s">
        <v>597</v>
      </c>
    </row>
    <row r="48" spans="1:8" hidden="1" x14ac:dyDescent="0.2">
      <c r="A48" t="s">
        <v>158</v>
      </c>
      <c r="B48" s="25">
        <v>43621</v>
      </c>
      <c r="C48" s="45" t="s">
        <v>594</v>
      </c>
      <c r="D48" s="24" t="s">
        <v>595</v>
      </c>
      <c r="E48" s="24" t="s">
        <v>599</v>
      </c>
      <c r="F48" s="24" t="s">
        <v>598</v>
      </c>
      <c r="G48" t="s">
        <v>631</v>
      </c>
      <c r="H48" s="24" t="s">
        <v>597</v>
      </c>
    </row>
    <row r="49" spans="1:8" hidden="1" x14ac:dyDescent="0.2">
      <c r="A49" t="s">
        <v>600</v>
      </c>
      <c r="B49" s="25">
        <v>43621</v>
      </c>
      <c r="C49" s="45" t="s">
        <v>601</v>
      </c>
      <c r="D49" s="24" t="s">
        <v>602</v>
      </c>
      <c r="E49" s="24" t="s">
        <v>604</v>
      </c>
      <c r="F49" s="24" t="s">
        <v>603</v>
      </c>
      <c r="G49" t="s">
        <v>630</v>
      </c>
      <c r="H49" s="24" t="s">
        <v>597</v>
      </c>
    </row>
    <row r="50" spans="1:8" hidden="1" x14ac:dyDescent="0.2">
      <c r="A50" t="s">
        <v>3</v>
      </c>
      <c r="B50" s="25">
        <v>43623</v>
      </c>
      <c r="C50" s="45" t="s">
        <v>605</v>
      </c>
      <c r="D50" s="24" t="s">
        <v>595</v>
      </c>
      <c r="E50" s="24" t="s">
        <v>640</v>
      </c>
      <c r="F50" s="24" t="s">
        <v>606</v>
      </c>
      <c r="G50" t="s">
        <v>648</v>
      </c>
      <c r="H50" s="24" t="s">
        <v>597</v>
      </c>
    </row>
    <row r="51" spans="1:8" hidden="1" x14ac:dyDescent="0.2">
      <c r="A51" t="s">
        <v>158</v>
      </c>
      <c r="B51" s="25">
        <v>43628</v>
      </c>
      <c r="C51" s="45" t="s">
        <v>614</v>
      </c>
      <c r="D51" s="24" t="s">
        <v>615</v>
      </c>
      <c r="E51" s="24" t="s">
        <v>616</v>
      </c>
      <c r="F51" s="24" t="s">
        <v>617</v>
      </c>
      <c r="H51" s="24" t="s">
        <v>618</v>
      </c>
    </row>
    <row r="52" spans="1:8" hidden="1" x14ac:dyDescent="0.2">
      <c r="A52" t="s">
        <v>158</v>
      </c>
      <c r="B52" s="25">
        <v>43628</v>
      </c>
      <c r="C52" s="45" t="s">
        <v>614</v>
      </c>
      <c r="D52" s="24" t="s">
        <v>615</v>
      </c>
      <c r="E52" s="24" t="s">
        <v>616</v>
      </c>
      <c r="F52" s="24" t="s">
        <v>619</v>
      </c>
      <c r="H52" s="24" t="s">
        <v>621</v>
      </c>
    </row>
    <row r="53" spans="1:8" hidden="1" x14ac:dyDescent="0.2">
      <c r="A53" t="s">
        <v>158</v>
      </c>
      <c r="B53" s="25">
        <v>43628</v>
      </c>
      <c r="C53" s="45" t="s">
        <v>614</v>
      </c>
      <c r="D53" s="24" t="s">
        <v>615</v>
      </c>
      <c r="E53" s="24" t="s">
        <v>616</v>
      </c>
      <c r="F53" s="24" t="s">
        <v>620</v>
      </c>
      <c r="H53" s="24" t="s">
        <v>621</v>
      </c>
    </row>
    <row r="54" spans="1:8" hidden="1" x14ac:dyDescent="0.2">
      <c r="A54" t="s">
        <v>3</v>
      </c>
      <c r="B54" s="25">
        <v>43623</v>
      </c>
      <c r="C54" s="45" t="s">
        <v>569</v>
      </c>
      <c r="D54" s="24" t="s">
        <v>595</v>
      </c>
      <c r="E54" s="24" t="s">
        <v>640</v>
      </c>
      <c r="F54" s="24" t="s">
        <v>641</v>
      </c>
      <c r="G54" t="s">
        <v>648</v>
      </c>
      <c r="H54" s="24" t="s">
        <v>462</v>
      </c>
    </row>
    <row r="55" spans="1:8" hidden="1" x14ac:dyDescent="0.2">
      <c r="A55" t="s">
        <v>350</v>
      </c>
      <c r="B55" s="25">
        <v>43628</v>
      </c>
      <c r="C55" s="45" t="s">
        <v>686</v>
      </c>
      <c r="D55" s="24" t="s">
        <v>687</v>
      </c>
      <c r="E55" s="24" t="s">
        <v>717</v>
      </c>
      <c r="F55" s="24" t="s">
        <v>685</v>
      </c>
      <c r="G55" t="s">
        <v>720</v>
      </c>
      <c r="H55" s="24" t="s">
        <v>462</v>
      </c>
    </row>
    <row r="56" spans="1:8" hidden="1" x14ac:dyDescent="0.2">
      <c r="A56" t="s">
        <v>699</v>
      </c>
      <c r="B56" s="25">
        <v>43628</v>
      </c>
      <c r="C56" s="45" t="s">
        <v>700</v>
      </c>
      <c r="D56" s="24" t="s">
        <v>701</v>
      </c>
      <c r="E56" s="24" t="s">
        <v>708</v>
      </c>
      <c r="F56" s="24" t="s">
        <v>702</v>
      </c>
      <c r="H56" s="24" t="s">
        <v>703</v>
      </c>
    </row>
    <row r="57" spans="1:8" hidden="1" x14ac:dyDescent="0.2">
      <c r="A57" t="s">
        <v>699</v>
      </c>
      <c r="B57" s="25">
        <v>43628</v>
      </c>
      <c r="C57" s="45" t="s">
        <v>700</v>
      </c>
      <c r="D57" s="24" t="s">
        <v>701</v>
      </c>
      <c r="E57" s="24" t="s">
        <v>708</v>
      </c>
      <c r="F57" s="24" t="s">
        <v>704</v>
      </c>
      <c r="H57" s="24" t="s">
        <v>703</v>
      </c>
    </row>
    <row r="58" spans="1:8" hidden="1" x14ac:dyDescent="0.2">
      <c r="A58" t="s">
        <v>699</v>
      </c>
      <c r="B58" s="25">
        <v>43628</v>
      </c>
      <c r="C58" s="45" t="s">
        <v>700</v>
      </c>
      <c r="D58" s="24" t="s">
        <v>701</v>
      </c>
      <c r="E58" s="24" t="s">
        <v>708</v>
      </c>
      <c r="F58" s="24" t="s">
        <v>705</v>
      </c>
      <c r="H58" s="24" t="s">
        <v>703</v>
      </c>
    </row>
    <row r="59" spans="1:8" hidden="1" x14ac:dyDescent="0.2">
      <c r="A59" t="s">
        <v>699</v>
      </c>
      <c r="B59" s="25">
        <v>43628</v>
      </c>
      <c r="C59" s="45" t="s">
        <v>700</v>
      </c>
      <c r="D59" s="24" t="s">
        <v>701</v>
      </c>
      <c r="E59" s="24" t="s">
        <v>708</v>
      </c>
      <c r="F59" s="24" t="s">
        <v>706</v>
      </c>
      <c r="H59" s="24" t="s">
        <v>703</v>
      </c>
    </row>
    <row r="60" spans="1:8" hidden="1" x14ac:dyDescent="0.2">
      <c r="A60" t="s">
        <v>699</v>
      </c>
      <c r="B60" s="25">
        <v>43628</v>
      </c>
      <c r="C60" s="45" t="s">
        <v>700</v>
      </c>
      <c r="D60" s="24" t="s">
        <v>701</v>
      </c>
      <c r="E60" s="24" t="s">
        <v>708</v>
      </c>
      <c r="F60" s="24" t="s">
        <v>707</v>
      </c>
      <c r="H60" s="24" t="s">
        <v>703</v>
      </c>
    </row>
    <row r="61" spans="1:8" hidden="1" x14ac:dyDescent="0.2">
      <c r="A61" t="s">
        <v>3</v>
      </c>
      <c r="B61" s="25">
        <v>43628</v>
      </c>
      <c r="C61" s="45" t="s">
        <v>686</v>
      </c>
      <c r="D61" s="24" t="s">
        <v>687</v>
      </c>
      <c r="E61" s="24" t="s">
        <v>717</v>
      </c>
      <c r="F61" s="24" t="s">
        <v>719</v>
      </c>
      <c r="G61" t="s">
        <v>720</v>
      </c>
      <c r="H61" s="24" t="s">
        <v>462</v>
      </c>
    </row>
    <row r="62" spans="1:8" hidden="1" x14ac:dyDescent="0.2">
      <c r="A62" t="s">
        <v>3</v>
      </c>
      <c r="B62" s="25">
        <v>43628</v>
      </c>
      <c r="C62" s="45" t="s">
        <v>686</v>
      </c>
      <c r="D62" s="24" t="s">
        <v>687</v>
      </c>
      <c r="E62" s="24" t="s">
        <v>717</v>
      </c>
      <c r="F62" s="24" t="s">
        <v>718</v>
      </c>
      <c r="G62" t="s">
        <v>720</v>
      </c>
      <c r="H62" s="24" t="s">
        <v>462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2019-06-07T01:47:11Z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