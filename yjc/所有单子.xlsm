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FEF68A7A-3ECF-4B35-BF67-9A28FC81D192}" xr6:coauthVersionLast="43" xr6:coauthVersionMax="43" xr10:uidLastSave="{00000000-0000-0000-0000-000000000000}"/>
  <bookViews>
    <workbookView xWindow="-120" yWindow="-120" windowWidth="19440" windowHeight="11640" activeTab="1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8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4" i="6"/>
  <c r="A865" i="6"/>
  <c r="A862" i="6"/>
  <c r="A863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4" i="6"/>
  <c r="I865" i="6"/>
  <c r="I862" i="6"/>
  <c r="I863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<sst xmlns="http://schemas.openxmlformats.org/spreadsheetml/2006/main" count="3864" uniqueCount="727">
  <si>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</si>
  <si>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</si>
  <si>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</si>
  <si>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</si>
  <si>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</si>
  <si>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</si>
  <si>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</si>
  <si>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</si>
  <si>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</si>
  <si>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</si>
  <si>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</si>
  <si>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</si>
  <si>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</si>
  <si>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</si>
  <si>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</si>
  <si>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</si>
  <si>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</si>
  <si>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</si>
  <si>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</si>
  <si>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</si>
  <si>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</si>
  <si>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</si>
  <si>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</si>
  <si>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</si>
  <si>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</si>
  <si>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</si>
  <si>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</si>
  <si>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</si>
  <si>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</si>
  <si>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</si>
  <si>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</si>
  <si>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</si>
  <si>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</si>
  <si>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</si>
  <si>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</si>
  <si>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</si>
  <si>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</si>
  <si>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</si>
  <si>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</si>
  <si>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</si>
  <si>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</si>
  <si>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</si>
  <si>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</si>
  <si>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</si>
  <si>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</si>
  <si>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</si>
  <si>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</si>
  <si>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</si>
  <si>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</si>
  <si>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</si>
  <si>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</si>
  <si>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</si>
  <si>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</si>
  <si>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</si>
  <si>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</si>
  <si>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</si>
  <si>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</si>
  <si>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</si>
  <si>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</si>
  <si>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</si>
  <si>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</si>
  <si>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</si>
  <si>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</si>
  <si>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</si>
  <si>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</si>
  <si>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</si>
  <si>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</si>
  <si>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</si>
  <si>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</si>
  <si>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</si>
  <si>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</si>
  <si>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</si>
  <si>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</si>
  <si>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</si>
  <si>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</si>
  <si>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</si>
  <si>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</si>
  <si>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</si>
  <si>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</si>
  <si>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</si>
  <si>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</si>
  <si>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</si>
  <si>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</si>
  <si>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</si>
  <si>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</si>
  <si>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</si>
  <si>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</si>
  <si>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</si>
  <si>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</si>
  <si>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</si>
  <si>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</si>
  <si>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</si>
  <si>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</si>
  <si>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</si>
  <si>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</si>
  <si>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</si>
  <si>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</si>
  <si>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</si>
  <si>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</si>
  <si>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</si>
  <si>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</si>
  <si>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</si>
  <si>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</si>
  <si>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</si>
  <si>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</si>
  <si>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</si>
  <si>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</si>
  <si>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</si>
  <si>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</si>
  <si>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</si>
  <si>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</si>
  <si>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</si>
  <si>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</si>
  <si>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</si>
  <si>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</si>
  <si>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</si>
  <si>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</si>
  <si>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</si>
  <si>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</si>
  <si>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</si>
  <si>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</si>
  <si>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</si>
  <si>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</si>
  <si>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</si>
  <si>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</si>
  <si>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</si>
  <si>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</si>
  <si>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</si>
  <si>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</si>
  <si>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</si>
  <si>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</si>
  <si>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</si>
  <si>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</si>
  <si>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</si>
  <si>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</si>
  <si>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</si>
  <si>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</si>
  <si>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</si>
  <si>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</si>
  <si>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</si>
  <si>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</si>
  <si>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</si>
  <si>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</si>
  <si>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</si>
  <si>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</si>
  <si>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</si>
  <si>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</si>
  <si>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</si>
  <si>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</si>
  <si>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</si>
  <si>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</si>
  <si>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</si>
  <si>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</si>
  <si>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</si>
  <si>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</si>
  <si>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</si>
  <si>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</si>
  <si>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</si>
  <si>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</si>
  <si>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</si>
  <si>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</si>
  <si>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</si>
  <si>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</si>
  <si>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</si>
  <si>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</si>
  <si>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</si>
  <si>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</si>
  <si>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</si>
  <si>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</si>
  <si>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</si>
  <si>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</si>
  <si>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</si>
  <si>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</si>
  <si>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</si>
  <si>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</si>
  <si>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</si>
  <si>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</si>
  <si>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</si>
  <si>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</si>
  <si>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</si>
  <si>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</si>
  <si>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</si>
  <si>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</si>
  <si>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</si>
  <si>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</si>
  <si>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</si>
  <si>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</si>
  <si>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</si>
  <si>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</si>
  <si>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</si>
  <si>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</si>
  <si>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</si>
  <si>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</si>
  <si>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</si>
  <si>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</si>
  <si>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</si>
  <si>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</si>
  <si>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</si>
  <si>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</si>
  <si>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</si>
  <si>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</si>
  <si>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</si>
  <si>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</si>
  <si>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</si>
  <si>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</si>
  <si>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</si>
  <si>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</si>
  <si>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</si>
  <si>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</si>
  <si>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</si>
  <si>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</si>
  <si>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</si>
  <si>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</si>
  <si>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</si>
  <si>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</si>
  <si>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</si>
  <si>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</si>
  <si>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</si>
  <si>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</si>
  <si>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</si>
  <si>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</si>
  <si>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</si>
  <si>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</si>
  <si>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</si>
  <si>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</si>
  <si>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</si>
  <si>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</si>
  <si>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</si>
  <si>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</si>
  <si>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</si>
  <si>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</si>
  <si>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</si>
  <si>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</si>
  <si>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</si>
  <si>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</si>
  <si>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</si>
  <si>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</si>
  <si>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</si>
  <si>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</si>
  <si>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</si>
  <si>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</si>
  <si>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</si>
  <si>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</si>
  <si>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</si>
  <si>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</si>
  <si>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</si>
  <si>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</si>
  <si>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</si>
  <si>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</si>
  <si>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</si>
  <si>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</si>
  <si>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</si>
  <si>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</si>
  <si>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</si>
  <si>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</si>
  <si>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</si>
  <si>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</si>
  <si>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</si>
  <si>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</si>
  <si>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</si>
  <si>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</si>
  <si>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</si>
  <si>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</si>
  <si>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</si>
  <si>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</si>
  <si>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</si>
  <si>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</si>
  <si>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</si>
  <si>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</si>
  <si>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</si>
  <si>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</si>
  <si>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</si>
  <si>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</si>
  <si>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</si>
  <si>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</si>
  <si>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</si>
  <si>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</si>
  <si>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</si>
  <si>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</si>
  <si>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</si>
  <si>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</si>
  <si>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</si>
  <si>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</si>
  <si>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</si>
  <si>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</si>
  <si>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</si>
  <si>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</si>
  <si>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</si>
  <si>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</si>
  <si>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</si>
  <si>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</si>
  <si>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</si>
  <si>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</si>
  <si>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</si>
  <si>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</si>
  <si>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</si>
  <si>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</si>
  <si>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</si>
  <si>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</si>
  <si>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</si>
  <si>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</si>
  <si>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</si>
  <si>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</si>
  <si>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</si>
  <si>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</si>
  <si>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</si>
  <si>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</si>
  <si>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</si>
  <si>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</si>
  <si>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</si>
  <si>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</si>
  <si>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</si>
  <si>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</si>
  <si>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</si>
  <si>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</si>
  <si>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</si>
  <si>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</si>
  <si>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</si>
  <si>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</si>
  <si>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</si>
  <si>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</si>
  <si>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</si>
  <si>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</si>
  <si>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</si>
  <si>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</si>
  <si>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</si>
  <si>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</si>
  <si>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</si>
  <si>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</si>
  <si>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</si>
  <si>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</si>
  <si>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</si>
  <si>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</si>
  <si>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</si>
  <si>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</si>
  <si>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</si>
  <si>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</si>
  <si>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</si>
  <si>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</si>
  <si>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</si>
  <si>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</si>
  <si>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</si>
  <si>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</si>
  <si>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</si>
  <si>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</si>
  <si>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</si>
  <si>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</si>
  <si>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</si>
  <si>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</si>
  <si>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</si>
  <si>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</si>
  <si>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</si>
  <si>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</si>
  <si>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</si>
  <si>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</si>
  <si>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</si>
  <si>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</si>
  <si>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</si>
  <si>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</si>
  <si>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</si>
  <si>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</si>
  <si>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</si>
  <si>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</si>
  <si>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</si>
  <si>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</si>
  <si>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</si>
  <si>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</si>
  <si>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</si>
  <si>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</si>
  <si>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</si>
  <si>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</si>
  <si>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</si>
  <si>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</si>
  <si>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</si>
  <si>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</si>
  <si>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</si>
  <si>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</si>
  <si>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</si>
  <si>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</si>
  <si>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</si>
  <si>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</si>
  <si>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</si>
  <si>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</si>
  <si>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</si>
  <si>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</si>
  <si>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</si>
  <si>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</si>
  <si>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</si>
  <si>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</si>
  <si>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</si>
  <si>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</si>
  <si>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</si>
  <si>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</si>
  <si>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</si>
  <si>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</si>
  <si>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</si>
  <si>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</si>
  <si>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</si>
  <si>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</si>
  <si>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</si>
  <si>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</si>
  <si>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</si>
  <si>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</si>
  <si>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</si>
  <si>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</si>
  <si>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</si>
  <si>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</si>
  <si>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</si>
  <si>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</si>
  <si>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</si>
  <si>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</si>
  <si>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</si>
  <si>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</si>
  <si>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</si>
  <si>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</si>
  <si>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</si>
  <si>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</si>
  <si>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</si>
  <si>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</si>
  <si>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</si>
  <si>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</si>
  <si>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</si>
  <si>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</si>
  <si>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</si>
  <si>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</si>
  <si>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</si>
  <si>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</si>
  <si>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</si>
  <si>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</si>
  <si>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</si>
  <si>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</si>
  <si>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</si>
  <si>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</si>
  <si>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</si>
  <si>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</si>
  <si>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</si>
  <si>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</si>
  <si>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</si>
  <si>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</si>
  <si>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</si>
  <si>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</si>
  <si>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</si>
  <si>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</si>
  <si>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</si>
  <si>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</si>
  <si>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</si>
  <si>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</si>
  <si>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</si>
  <si>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</si>
  <si>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</si>
  <si>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</si>
  <si>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</si>
  <si>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</si>
  <si>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</si>
  <si>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</si>
  <si>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</si>
  <si>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</si>
  <si>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</si>
  <si>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</si>
  <si>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</si>
  <si>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</si>
  <si>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</si>
  <si>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</si>
  <si>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</si>
  <si>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</si>
  <si>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</si>
  <si>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</si>
  <si>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</si>
  <si>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</si>
  <si>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</si>
  <si>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</si>
  <si>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</si>
  <si>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</si>
  <si>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</si>
  <si>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</si>
  <si>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</si>
  <si>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</si>
  <si>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</si>
  <si>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</si>
  <si>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</si>
  <si>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</si>
  <si>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</si>
  <si>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</si>
  <si>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</si>
  <si>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</si>
  <si>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</si>
  <si>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</si>
  <si>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</si>
  <si>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</si>
  <si>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</si>
  <si>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</si>
  <si>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</si>
  <si>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</si>
  <si>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</si>
  <si>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</si>
  <si>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</si>
  <si>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</si>
  <si>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</si>
  <si>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</si>
  <si>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</si>
  <si>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</si>
  <si>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</si>
  <si>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</si>
  <si>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</si>
  <si>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</si>
  <si>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</si>
  <si>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</si>
  <si>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</si>
  <si>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</si>
  <si>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</si>
  <si>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</si>
  <si>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</si>
  <si>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</si>
  <si>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</si>
  <si>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</si>
  <si>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</si>
  <si>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</si>
  <si>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</si>
  <si>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</si>
  <si>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</si>
  <si>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</si>
  <si>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</si>
  <si>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</si>
  <si>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</si>
  <si>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</si>
  <si>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</si>
  <si>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</si>
  <si>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</si>
  <si>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</si>
  <si>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</si>
  <si>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</si>
  <si>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</si>
  <si>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</si>
  <si>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</si>
  <si>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</si>
  <si>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</si>
  <si>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</si>
  <si>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</si>
  <si>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</si>
  <si>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</si>
  <si>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</si>
  <si>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</si>
  <si>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</si>
  <si>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</si>
  <si>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</si>
  <si>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</si>
  <si>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</si>
  <si>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</si>
  <si>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</si>
  <si>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</si>
  <si>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</si>
  <si>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</si>
  <si>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</si>
  <si>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</si>
  <si>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</si>
  <si>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</si>
  <si>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</si>
  <si>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</si>
  <si>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</si>
  <si>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</si>
  <si>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</si>
  <si>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</si>
  <si>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</si>
  <si>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</si>
  <si>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</si>
  <si>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</si>
  <si>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</si>
  <si>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</si>
  <si>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</si>
  <si>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</si>
  <si>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</si>
  <si>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</si>
  <si>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</si>
  <si>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</si>
  <si>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</si>
  <si>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</si>
  <si>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</si>
  <si>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</si>
  <si>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</si>
  <si>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</si>
  <si>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</si>
  <si>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</si>
  <si>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</si>
  <si>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</si>
  <si>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</si>
  <si>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</si>
  <si>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</si>
  <si>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</si>
  <si>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</si>
  <si>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</si>
  <si>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</si>
  <si>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</si>
  <si>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</si>
  <si>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</si>
  <si>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</si>
  <si>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</si>
  <si>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</si>
  <si>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</si>
  <si>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</si>
  <si>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</si>
  <si>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</si>
  <si>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</si>
  <si>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</si>
  <si>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</si>
  <si>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</si>
  <si>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</si>
  <si>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</si>
  <si>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</si>
  <si>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</si>
  <si>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</si>
  <si>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</si>
  <si>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</si>
  <si>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</si>
  <si>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</si>
  <si>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</si>
  <si>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</si>
  <si>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</si>
  <si>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</si>
  <si>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</si>
  <si>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</si>
  <si>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</si>
  <si>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</si>
  <si>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</si>
  <si>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</si>
  <si>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</si>
  <si>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</si>
  <si>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</si>
  <si>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</si>
  <si>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</si>
  <si>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</si>
  <si>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</si>
  <si>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</si>
  <si>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</si>
  <si>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</si>
  <si>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</si>
  <si>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</si>
  <si>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</si>
  <si>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</si>
  <si>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</si>
  <si>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</si>
  <si>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</si>
  <si>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</si>
  <si>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</si>
  <si>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</si>
  <si>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</si>
  <si>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</si>
  <si>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</si>
  <si>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</si>
  <si>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</si>
  <si>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</si>
  <si>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</si>
  <si>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</si>
  <si>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</si>
  <si>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</si>
  <si>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</si>
  <si>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</si>
  <si>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</si>
  <si>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</si>
  <si>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</si>
  <si>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</si>
  <si>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</si>
  <si>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</si>
  <si>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</si>
  <si>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</si>
  <si>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</si>
  <si>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</si>
  <si>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</si>
  <si>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</si>
  <si>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</si>
  <si>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</si>
  <si>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</si>
  <si>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</si>
  <si>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</si>
  <si>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</si>
  <si>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</si>
  <si>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</si>
  <si>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</si>
  <si>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</si>
  <si>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</si>
  <si>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</si>
  <si>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</si>
  <si>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</si>
  <si>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</si>
  <si>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</si>
  <si>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</si>
  <si>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</si>
  <si>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</si>
  <si>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</si>
  <si>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</si>
  <si>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</si>
  <si>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</si>
  <si>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</si>
  <si>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</si>
  <si>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</si>
  <si>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</si>
  <si>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</si>
  <si>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</si>
  <si>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</si>
  <si>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</si>
  <si>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</si>
  <si>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</si>
  <si>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</si>
  <si>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</si>
  <si>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</si>
  <si>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</si>
  <si>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</si>
  <si>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</si>
  <si>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</si>
  <si>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</si>
  <si>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</si>
  <si>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</si>
  <si>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</si>
  <si>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</si>
  <si>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</si>
  <si>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</si>
  <si>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</si>
  <si>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</si>
  <si>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</si>
  <si>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</si>
  <si>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</si>
  <si>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</si>
  <si>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</si>
  <si>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</si>
  <si>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</si>
  <si>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</si>
  <si>
    <t>YJC</t>
    <phoneticPr fontId="1" type="noConversion"/>
  </si>
  <si>
    <t>NULL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</si>
</sst>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8">
    <dxf>
      <fill>
        <patternFill>
          <bgColor theme="7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23.428654629628" createdVersion="6" refreshedVersion="6" minRefreshableVersion="3" recordCount="914" xr:uid="{00000000-000A-0000-FFFF-FFFF00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3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1T00:00:00"/>
        <d v="2019-06-13T00:00:00"/>
        <d v="2019-06-17T00:00:00"/>
        <d v="2019-06-19T00:00:00"/>
        <d v="2019-06-21T00:00:00"/>
        <d v="2019-06-16T00:00:00"/>
        <d v="2019-06-18T00:00:00"/>
        <d v="2019-06-15T00:00:00"/>
        <d v="2019-06-24T00:00:00"/>
        <d v="2019-06-26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" maxValue="2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1015-0 ZDS"/>
    <x v="0"/>
    <x v="0"/>
    <n v="1"/>
    <s v="汇总 WORKING PROCESS"/>
    <x v="0"/>
    <x v="0"/>
    <m/>
    <n v="-25"/>
  </r>
  <r>
    <s v="1015-0 ZDS"/>
    <x v="0"/>
    <x v="0"/>
    <n v="2"/>
    <s v="整理HMI KMM 费用"/>
    <x v="1"/>
    <x v="0"/>
    <m/>
    <n v="-29"/>
  </r>
  <r>
    <s v="1015-0 ZDS"/>
    <x v="0"/>
    <x v="0"/>
    <n v="3"/>
    <s v="流水和流程进港报关顺序调整"/>
    <x v="2"/>
    <x v="0"/>
    <m/>
    <n v="-24"/>
  </r>
  <r>
    <s v="0501-0 1 MONTH"/>
    <x v="1"/>
    <x v="1"/>
    <n v="1"/>
    <s v="TJ glovis当月额外费用汇总邮件"/>
    <x v="3"/>
    <x v="0"/>
    <s v="月底"/>
    <n v="-9"/>
  </r>
  <r>
    <s v="0501-0 1 MONTH"/>
    <x v="1"/>
    <x v="1"/>
    <n v="2"/>
    <s v="CK TJ glovis有没有驳货费"/>
    <x v="3"/>
    <x v="0"/>
    <s v="月底"/>
    <n v="-9"/>
  </r>
  <r>
    <s v="0501-0 HMI"/>
    <x v="2"/>
    <x v="1"/>
    <n v="1"/>
    <s v="做费用(对账单日期4号)，放公共盘，填月账单表，发孙丹"/>
    <x v="4"/>
    <x v="0"/>
    <m/>
    <n v="-28"/>
  </r>
  <r>
    <s v="0501-0 KMM"/>
    <x v="3"/>
    <x v="1"/>
    <n v="1"/>
    <s v="做费用(对账单日期4号)，放公共盘，填月账单表，发孙丹"/>
    <x v="4"/>
    <x v="0"/>
    <m/>
    <n v="-28"/>
  </r>
  <r>
    <s v="0506-0 0 WEEK"/>
    <x v="4"/>
    <x v="2"/>
    <n v="1"/>
    <s v="HMM Neo 下周订舱邮件"/>
    <x v="5"/>
    <x v="0"/>
    <s v="周一"/>
    <n v="-37"/>
  </r>
  <r>
    <s v="0506-0 0 WEEK"/>
    <x v="4"/>
    <x v="2"/>
    <n v="2"/>
    <s v="SHA GLV WORKING PROCESS"/>
    <x v="5"/>
    <x v="0"/>
    <s v="周一"/>
    <n v="-37"/>
  </r>
  <r>
    <s v="0506-0 0 WEEK"/>
    <x v="4"/>
    <x v="2"/>
    <n v="3"/>
    <s v="SHA GLV WORKING PROCESS"/>
    <x v="6"/>
    <x v="0"/>
    <s v="周三"/>
    <n v="-30"/>
  </r>
  <r>
    <s v="0506-0 0 WEEK"/>
    <x v="4"/>
    <x v="2"/>
    <n v="4"/>
    <s v="TJ glovis额外费用邮件"/>
    <x v="4"/>
    <x v="0"/>
    <s v="周五"/>
    <n v="-28"/>
  </r>
  <r>
    <s v="0506-0 0 WEEK"/>
    <x v="4"/>
    <x v="2"/>
    <n v="5"/>
    <s v="SHA GLV WORKING PROCESS"/>
    <x v="4"/>
    <x v="0"/>
    <s v="周五"/>
    <n v="-28"/>
  </r>
  <r>
    <s v="0506-0 0 WEEK"/>
    <x v="4"/>
    <x v="2"/>
    <n v="6"/>
    <s v="TJ GLV WORKING PROCESS"/>
    <x v="4"/>
    <x v="0"/>
    <s v="周五"/>
    <n v="-28"/>
  </r>
  <r>
    <s v="0508-0 HMI"/>
    <x v="2"/>
    <x v="3"/>
    <n v="1"/>
    <s v="做费用(对账单日期4号)，放公共盘，填月账单表，发孙丹"/>
    <x v="4"/>
    <x v="0"/>
    <m/>
    <n v="-28"/>
  </r>
  <r>
    <s v="0508-0 KMM"/>
    <x v="3"/>
    <x v="3"/>
    <n v="1"/>
    <s v="做费用(对账单日期4号)，放公共盘，填月账单表，发孙丹"/>
    <x v="4"/>
    <x v="0"/>
    <m/>
    <n v="-28"/>
  </r>
  <r>
    <s v="0510-0 JS mobis"/>
    <x v="5"/>
    <x v="4"/>
    <n v="1"/>
    <s v="收到客户(周嘉敏)订舱预报"/>
    <x v="7"/>
    <x v="0"/>
    <s v="一般周五发隔周"/>
    <n v="-42"/>
  </r>
  <r>
    <s v="0510-0 JS mobis"/>
    <x v="5"/>
    <x v="4"/>
    <n v="2"/>
    <s v="收到HMM(Neo)预订舱邮件通知"/>
    <x v="8"/>
    <x v="0"/>
    <s v="一般周一发下周"/>
    <n v="-40"/>
  </r>
  <r>
    <s v="0510-0 JS mobis"/>
    <x v="5"/>
    <x v="4"/>
    <n v="3"/>
    <s v="回复HMM(Neo)预订舱邮件"/>
    <x v="8"/>
    <x v="0"/>
    <m/>
    <n v="-40"/>
  </r>
  <r>
    <s v="0510-0 JS mobis"/>
    <x v="5"/>
    <x v="4"/>
    <n v="4"/>
    <s v="收到HMM(Neo)预订舱确认"/>
    <x v="8"/>
    <x v="0"/>
    <s v="一般马上"/>
    <n v="-40"/>
  </r>
  <r>
    <s v="0510-0 JS mobis"/>
    <x v="5"/>
    <x v="4"/>
    <n v="5"/>
    <s v="公共盘生成提单号"/>
    <x v="8"/>
    <x v="0"/>
    <m/>
    <n v="-40"/>
  </r>
  <r>
    <s v="0510-0 JS mobis"/>
    <x v="5"/>
    <x v="4"/>
    <n v="6"/>
    <s v="YJC系统生成单子"/>
    <x v="8"/>
    <x v="0"/>
    <m/>
    <n v="-40"/>
  </r>
  <r>
    <s v="0510-0 JS mobis"/>
    <x v="5"/>
    <x v="4"/>
    <n v="7"/>
    <s v="发EDI"/>
    <x v="8"/>
    <x v="0"/>
    <m/>
    <n v="-40"/>
  </r>
  <r>
    <s v="0510-0 JS mobis"/>
    <x v="5"/>
    <x v="4"/>
    <n v="8"/>
    <s v="邮件申请放单"/>
    <x v="8"/>
    <x v="0"/>
    <m/>
    <n v="-40"/>
  </r>
  <r>
    <s v="0510-0 JS mobis"/>
    <x v="5"/>
    <x v="4"/>
    <n v="9"/>
    <s v="收到HMM(Neo) 放单确认"/>
    <x v="9"/>
    <x v="0"/>
    <s v="一般半天内"/>
    <n v="-39"/>
  </r>
  <r>
    <s v="0510-0 JS mobis"/>
    <x v="5"/>
    <x v="4"/>
    <n v="10"/>
    <s v="HMM网站核对订舱信息"/>
    <x v="9"/>
    <x v="0"/>
    <m/>
    <n v="-39"/>
  </r>
  <r>
    <s v="0510-0 JS mobis"/>
    <x v="5"/>
    <x v="4"/>
    <n v="11"/>
    <s v="收到客户(周嘉敏)做箱通知"/>
    <x v="10"/>
    <x v="0"/>
    <s v="一般做箱头天一早"/>
    <n v="-32"/>
  </r>
  <r>
    <s v="0510-0 JS mobis"/>
    <x v="5"/>
    <x v="4"/>
    <n v="12"/>
    <s v="发做箱通知邮件给车队(沈丽)"/>
    <x v="10"/>
    <x v="0"/>
    <m/>
    <n v="-32"/>
  </r>
  <r>
    <s v="0510-0 JS mobis"/>
    <x v="5"/>
    <x v="4"/>
    <n v="13"/>
    <s v="公共盘生成提单号【如需拆单】"/>
    <x v="10"/>
    <x v="0"/>
    <m/>
    <n v="-32"/>
  </r>
  <r>
    <s v="0510-0 JS mobis"/>
    <x v="5"/>
    <x v="4"/>
    <n v="14"/>
    <s v="YJC系统生成单子【如需拆单】"/>
    <x v="10"/>
    <x v="0"/>
    <m/>
    <n v="-32"/>
  </r>
  <r>
    <s v="0510-0 JS mobis"/>
    <x v="5"/>
    <x v="4"/>
    <n v="15"/>
    <s v="发EDI【如需拆单】"/>
    <x v="10"/>
    <x v="0"/>
    <m/>
    <n v="-32"/>
  </r>
  <r>
    <s v="0510-0 JS mobis"/>
    <x v="5"/>
    <x v="4"/>
    <n v="16"/>
    <s v="邮件申请放单【如需拆单】"/>
    <x v="10"/>
    <x v="0"/>
    <m/>
    <n v="-32"/>
  </r>
  <r>
    <s v="0510-0 JS mobis"/>
    <x v="5"/>
    <x v="4"/>
    <n v="17"/>
    <s v="收到HMM(Neo) 放单确认【如需拆单】"/>
    <x v="10"/>
    <x v="0"/>
    <m/>
    <n v="-32"/>
  </r>
  <r>
    <s v="0510-0 JS mobis"/>
    <x v="5"/>
    <x v="4"/>
    <n v="18"/>
    <s v="HMM网站核对订舱信息【如需拆单】"/>
    <x v="10"/>
    <x v="0"/>
    <m/>
    <n v="-32"/>
  </r>
  <r>
    <s v="0510-0 JS mobis"/>
    <x v="5"/>
    <x v="4"/>
    <n v="19"/>
    <s v="收到客户(周嘉敏)发来做箱数据(报关资料)"/>
    <x v="11"/>
    <x v="0"/>
    <s v="一般做箱当天一早"/>
    <n v="-31"/>
  </r>
  <r>
    <s v="0510-0 JS mobis"/>
    <x v="5"/>
    <x v="4"/>
    <n v="20"/>
    <s v="按报关(发票)数生成提单号【如发票数超过提单数】"/>
    <x v="11"/>
    <x v="0"/>
    <m/>
    <n v="-31"/>
  </r>
  <r>
    <s v="0510-0 JS mobis"/>
    <x v="5"/>
    <x v="4"/>
    <n v="21"/>
    <s v="做做箱数据，QQ发车队(沈丽)"/>
    <x v="11"/>
    <x v="0"/>
    <m/>
    <n v="-31"/>
  </r>
  <r>
    <s v="0510-0 JS mobis"/>
    <x v="5"/>
    <x v="4"/>
    <n v="22"/>
    <s v="做报关资料，扫描发报关行(黄寅文)QQ"/>
    <x v="11"/>
    <x v="0"/>
    <m/>
    <n v="-31"/>
  </r>
  <r>
    <s v="0510-0 JS mobis"/>
    <x v="5"/>
    <x v="4"/>
    <n v="23"/>
    <s v="收到车队(沈丽)装箱单"/>
    <x v="11"/>
    <x v="0"/>
    <s v="一般马上"/>
    <n v="-31"/>
  </r>
  <r>
    <s v="0510-0 JS mobis"/>
    <x v="5"/>
    <x v="4"/>
    <n v="24"/>
    <s v="YJC系统填截单数据，发EDI，邮件HMM(He)生成提单"/>
    <x v="11"/>
    <x v="0"/>
    <s v="注意截单时间"/>
    <n v="-31"/>
  </r>
  <r>
    <s v="0510-0 JS mobis"/>
    <x v="5"/>
    <x v="4"/>
    <n v="25"/>
    <s v="收到HMM(He)生成提单通知"/>
    <x v="11"/>
    <x v="0"/>
    <s v="一般马上"/>
    <n v="-31"/>
  </r>
  <r>
    <s v="0510-0 JS mobis"/>
    <x v="5"/>
    <x v="4"/>
    <n v="26"/>
    <s v="HMM网站核对提单信息"/>
    <x v="11"/>
    <x v="0"/>
    <m/>
    <n v="-31"/>
  </r>
  <r>
    <s v="0510-0 JS mobis"/>
    <x v="5"/>
    <x v="4"/>
    <n v="27"/>
    <s v="做保函给邹师傅"/>
    <x v="11"/>
    <x v="0"/>
    <m/>
    <n v="-31"/>
  </r>
  <r>
    <s v="0510-0 JS mobis"/>
    <x v="5"/>
    <x v="4"/>
    <n v="28"/>
    <s v="发VGM和舱单"/>
    <x v="11"/>
    <x v="0"/>
    <m/>
    <n v="-31"/>
  </r>
  <r>
    <s v="0510-0 JS mobis"/>
    <x v="5"/>
    <x v="4"/>
    <n v="29"/>
    <s v="做ISF，发国外资料"/>
    <x v="11"/>
    <x v="0"/>
    <m/>
    <n v="-31"/>
  </r>
  <r>
    <s v="0510-0 JS mobis"/>
    <x v="5"/>
    <x v="4"/>
    <n v="30"/>
    <s v="买保险"/>
    <x v="11"/>
    <x v="0"/>
    <m/>
    <n v="-31"/>
  </r>
  <r>
    <s v="0510-0 JS mobis"/>
    <x v="5"/>
    <x v="4"/>
    <n v="31"/>
    <s v="盯海关网站舱单"/>
    <x v="11"/>
    <x v="0"/>
    <s v="一般两小时左右"/>
    <n v="-31"/>
  </r>
  <r>
    <s v="0510-0 JS mobis"/>
    <x v="5"/>
    <x v="4"/>
    <n v="32"/>
    <s v="核对舱单信息"/>
    <x v="11"/>
    <x v="0"/>
    <m/>
    <n v="-31"/>
  </r>
  <r>
    <s v="0510-0 JS mobis"/>
    <x v="5"/>
    <x v="4"/>
    <n v="33"/>
    <s v="收到报关行(黄寅文)校对稿，邮件发客户(周嘉敏)确认"/>
    <x v="11"/>
    <x v="0"/>
    <s v="一般半天内"/>
    <n v="-31"/>
  </r>
  <r>
    <s v="0510-0 JS mobis"/>
    <x v="5"/>
    <x v="4"/>
    <n v="34"/>
    <s v="收到客户(周嘉敏)确认校对稿，通知报关行(黄寅文)"/>
    <x v="11"/>
    <x v="0"/>
    <s v="一般马上"/>
    <n v="-31"/>
  </r>
  <r>
    <s v="0510-0 JS mobis"/>
    <x v="5"/>
    <x v="4"/>
    <n v="35"/>
    <s v="通知报关行(黄寅文)报关(开港、舱单、校对)"/>
    <x v="11"/>
    <x v="0"/>
    <m/>
    <n v="-31"/>
  </r>
  <r>
    <s v="0510-0 JS mobis"/>
    <x v="5"/>
    <x v="4"/>
    <n v="36"/>
    <s v="收到报关成功通知"/>
    <x v="11"/>
    <x v="0"/>
    <s v="一般下班前"/>
    <n v="-31"/>
  </r>
  <r>
    <s v="0510-0 JS mobis"/>
    <x v="5"/>
    <x v="4"/>
    <n v="37"/>
    <s v="通知车队(沈丽)可进港"/>
    <x v="11"/>
    <x v="0"/>
    <m/>
    <n v="-31"/>
  </r>
  <r>
    <s v="0510-0 JS mobis"/>
    <x v="5"/>
    <x v="4"/>
    <n v="38"/>
    <s v="盯箱子进港"/>
    <x v="6"/>
    <x v="0"/>
    <m/>
    <n v="-30"/>
  </r>
  <r>
    <s v="0510-0 JS mobis"/>
    <x v="5"/>
    <x v="4"/>
    <n v="39"/>
    <s v="核对进港数据"/>
    <x v="6"/>
    <x v="0"/>
    <m/>
    <n v="-30"/>
  </r>
  <r>
    <s v="0510-0 JS mobis"/>
    <x v="5"/>
    <x v="4"/>
    <n v="40"/>
    <s v="盯海放"/>
    <x v="6"/>
    <x v="0"/>
    <m/>
    <n v="-30"/>
  </r>
  <r>
    <s v="0510-0 JS mobis"/>
    <x v="5"/>
    <x v="4"/>
    <n v="41"/>
    <s v="盯码放"/>
    <x v="1"/>
    <x v="0"/>
    <m/>
    <n v="-29"/>
  </r>
  <r>
    <s v="0510-0 JS mobis"/>
    <x v="5"/>
    <x v="4"/>
    <n v="42"/>
    <s v="盯配载"/>
    <x v="4"/>
    <x v="0"/>
    <m/>
    <n v="-28"/>
  </r>
  <r>
    <s v="0510-0 JS mobis"/>
    <x v="5"/>
    <x v="4"/>
    <n v="43"/>
    <s v="做费用，发账单给谢梦婕"/>
    <x v="4"/>
    <x v="0"/>
    <m/>
    <n v="-28"/>
  </r>
  <r>
    <s v="0510-0 JS mobis"/>
    <x v="5"/>
    <x v="4"/>
    <n v="44"/>
    <s v="船开"/>
    <x v="12"/>
    <x v="0"/>
    <m/>
    <n v="-27"/>
  </r>
  <r>
    <s v="0510-0 JS mobis"/>
    <x v="5"/>
    <x v="4"/>
    <n v="45"/>
    <s v="放单"/>
    <x v="0"/>
    <x v="0"/>
    <s v="一般开船后两三天"/>
    <n v="-25"/>
  </r>
  <r>
    <s v="0513-0 0 WEEK"/>
    <x v="4"/>
    <x v="5"/>
    <n v="1"/>
    <s v="HMM Neo 下周订舱邮件"/>
    <x v="0"/>
    <x v="0"/>
    <s v="周一"/>
    <n v="-25"/>
  </r>
  <r>
    <s v="0513-0 0 WEEK"/>
    <x v="4"/>
    <x v="5"/>
    <n v="2"/>
    <s v="SHA GLV WORKING PROCESS"/>
    <x v="0"/>
    <x v="0"/>
    <s v="周一"/>
    <n v="-25"/>
  </r>
  <r>
    <s v="0513-0 0 WEEK"/>
    <x v="4"/>
    <x v="5"/>
    <n v="3"/>
    <s v="SHA GLV WORKING PROCESS"/>
    <x v="13"/>
    <x v="0"/>
    <s v="周三"/>
    <n v="-23"/>
  </r>
  <r>
    <s v="0513-0 0 WEEK"/>
    <x v="4"/>
    <x v="5"/>
    <n v="4"/>
    <s v="TJ glovis额外费用邮件"/>
    <x v="14"/>
    <x v="0"/>
    <s v="周五"/>
    <n v="-21"/>
  </r>
  <r>
    <s v="0513-0 0 WEEK"/>
    <x v="4"/>
    <x v="5"/>
    <n v="5"/>
    <s v="SHA GLV WORKING PROCESS"/>
    <x v="14"/>
    <x v="0"/>
    <s v="周五"/>
    <n v="-21"/>
  </r>
  <r>
    <s v="0513-0 0 WEEK"/>
    <x v="4"/>
    <x v="5"/>
    <n v="6"/>
    <s v="TJ GLV WORKING PROCESS"/>
    <x v="14"/>
    <x v="0"/>
    <s v="周五"/>
    <n v="-21"/>
  </r>
  <r>
    <s v="0515-0 HMI"/>
    <x v="2"/>
    <x v="6"/>
    <n v="1"/>
    <s v="收到孙丹发来订舱托书(CK也收到)"/>
    <x v="15"/>
    <x v="0"/>
    <m/>
    <n v="-38"/>
  </r>
  <r>
    <s v="0515-0 HMI"/>
    <x v="2"/>
    <x v="6"/>
    <n v="2"/>
    <s v="收到CK发来预配(做箱通知)"/>
    <x v="10"/>
    <x v="0"/>
    <m/>
    <n v="-32"/>
  </r>
  <r>
    <s v="0515-0 HMI"/>
    <x v="2"/>
    <x v="6"/>
    <n v="3"/>
    <s v="收到包装厂(刘倩梅)发来包装指示书和装箱计划"/>
    <x v="4"/>
    <x v="0"/>
    <s v="一般周四"/>
    <n v="-28"/>
  </r>
  <r>
    <s v="0515-0 HMI"/>
    <x v="2"/>
    <x v="6"/>
    <n v="4"/>
    <s v="根据装箱计划汇总包装数据，发各工厂做报关资料"/>
    <x v="1"/>
    <x v="0"/>
    <m/>
    <n v="-29"/>
  </r>
  <r>
    <s v="0515-0 HMI"/>
    <x v="2"/>
    <x v="6"/>
    <n v="5"/>
    <s v="做做箱数据，邮件群发"/>
    <x v="4"/>
    <x v="0"/>
    <m/>
    <n v="-28"/>
  </r>
  <r>
    <s v="0515-0 HMI"/>
    <x v="2"/>
    <x v="6"/>
    <n v="6"/>
    <s v="收到工厂发来报关资料并完善"/>
    <x v="12"/>
    <x v="0"/>
    <s v="当天至隔天"/>
    <n v="-27"/>
  </r>
  <r>
    <s v="0515-0 HMI"/>
    <x v="2"/>
    <x v="6"/>
    <n v="7"/>
    <s v="报关资料齐了，发报关行(黄寅文)"/>
    <x v="0"/>
    <x v="0"/>
    <m/>
    <n v="-25"/>
  </r>
  <r>
    <s v="0515-0 HMI"/>
    <x v="2"/>
    <x v="6"/>
    <n v="8"/>
    <s v="收到车队(沈丽)装箱单和洋山提箱截图(如有)"/>
    <x v="0"/>
    <x v="0"/>
    <s v="一般KMM五、HMI日"/>
    <n v="-25"/>
  </r>
  <r>
    <s v="0515-0 HMI"/>
    <x v="2"/>
    <x v="6"/>
    <n v="9"/>
    <s v="群发装箱单和洋山提箱截图(如有)【05-13 09:00】"/>
    <x v="0"/>
    <x v="0"/>
    <s v="注意截单时间"/>
    <n v="-25"/>
  </r>
  <r>
    <s v="0515-0 HMI"/>
    <x v="2"/>
    <x v="6"/>
    <n v="10"/>
    <s v="通知发舱单"/>
    <x v="0"/>
    <x v="0"/>
    <m/>
    <n v="-25"/>
  </r>
  <r>
    <s v="0515-0 HMI"/>
    <x v="2"/>
    <x v="6"/>
    <n v="11"/>
    <s v="收到舱单发送成功通知，核对舱单信息"/>
    <x v="2"/>
    <x v="0"/>
    <m/>
    <n v="-24"/>
  </r>
  <r>
    <s v="0515-0 HMI"/>
    <x v="2"/>
    <x v="6"/>
    <n v="12"/>
    <s v="通知进港，进港(核对数据)，通知报关，报关成功"/>
    <x v="2"/>
    <x v="0"/>
    <s v="根据港区"/>
    <n v="-24"/>
  </r>
  <r>
    <s v="0515-0 HMI"/>
    <x v="2"/>
    <x v="6"/>
    <n v="13"/>
    <s v="盯海放"/>
    <x v="2"/>
    <x v="0"/>
    <m/>
    <n v="-24"/>
  </r>
  <r>
    <s v="0515-0 HMI"/>
    <x v="2"/>
    <x v="6"/>
    <n v="14"/>
    <s v="盯码放"/>
    <x v="2"/>
    <x v="0"/>
    <m/>
    <n v="-24"/>
  </r>
  <r>
    <s v="0515-0 HMI"/>
    <x v="2"/>
    <x v="6"/>
    <n v="15"/>
    <s v="盯配载"/>
    <x v="13"/>
    <x v="0"/>
    <m/>
    <n v="-23"/>
  </r>
  <r>
    <s v="0515-0 HMI"/>
    <x v="2"/>
    <x v="6"/>
    <n v="16"/>
    <s v="做费用(对账单日期4号)，放公共盘，填月账单表，发孙丹"/>
    <x v="13"/>
    <x v="0"/>
    <m/>
    <n v="-23"/>
  </r>
  <r>
    <s v="0515-0 JS mobis"/>
    <x v="5"/>
    <x v="6"/>
    <n v="1"/>
    <s v="收到客户(周嘉敏)订舱预报"/>
    <x v="7"/>
    <x v="0"/>
    <s v="一般周五发隔周"/>
    <n v="-42"/>
  </r>
  <r>
    <s v="0515-0 JS mobis"/>
    <x v="5"/>
    <x v="6"/>
    <n v="2"/>
    <s v="收到HMM(Neo)预订舱邮件通知"/>
    <x v="10"/>
    <x v="0"/>
    <s v="一般周一发下周"/>
    <n v="-32"/>
  </r>
  <r>
    <s v="0515-0 JS mobis"/>
    <x v="5"/>
    <x v="6"/>
    <n v="3"/>
    <s v="回复HMM(Neo)预订舱邮件"/>
    <x v="10"/>
    <x v="0"/>
    <m/>
    <n v="-32"/>
  </r>
  <r>
    <s v="0515-0 JS mobis"/>
    <x v="5"/>
    <x v="6"/>
    <n v="4"/>
    <s v="收到HMM(Neo)预订舱确认"/>
    <x v="10"/>
    <x v="0"/>
    <s v="一般马上"/>
    <n v="-32"/>
  </r>
  <r>
    <s v="0515-0 JS mobis"/>
    <x v="5"/>
    <x v="6"/>
    <n v="5"/>
    <s v="公共盘生成提单号"/>
    <x v="10"/>
    <x v="0"/>
    <m/>
    <n v="-32"/>
  </r>
  <r>
    <s v="0515-0 JS mobis"/>
    <x v="5"/>
    <x v="6"/>
    <n v="6"/>
    <s v="YJC系统生成单子"/>
    <x v="10"/>
    <x v="0"/>
    <m/>
    <n v="-32"/>
  </r>
  <r>
    <s v="0515-0 JS mobis"/>
    <x v="5"/>
    <x v="6"/>
    <n v="7"/>
    <s v="发EDI"/>
    <x v="10"/>
    <x v="0"/>
    <m/>
    <n v="-32"/>
  </r>
  <r>
    <s v="0515-0 JS mobis"/>
    <x v="5"/>
    <x v="6"/>
    <n v="8"/>
    <s v="邮件申请放单"/>
    <x v="11"/>
    <x v="0"/>
    <m/>
    <n v="-31"/>
  </r>
  <r>
    <s v="0515-0 JS mobis"/>
    <x v="5"/>
    <x v="6"/>
    <n v="9"/>
    <s v="收到HMM(Neo) 放单确认"/>
    <x v="11"/>
    <x v="0"/>
    <s v="一般半天内"/>
    <n v="-31"/>
  </r>
  <r>
    <s v="0515-0 JS mobis"/>
    <x v="5"/>
    <x v="6"/>
    <n v="10"/>
    <s v="HMM网站核对订舱信息"/>
    <x v="11"/>
    <x v="0"/>
    <m/>
    <n v="-31"/>
  </r>
  <r>
    <s v="0515-0 JS mobis"/>
    <x v="5"/>
    <x v="6"/>
    <n v="11"/>
    <s v="收到客户（周嘉敏）取消通知邮件"/>
    <x v="1"/>
    <x v="0"/>
    <m/>
    <n v="-29"/>
  </r>
  <r>
    <s v="0515-0 JS mobis"/>
    <x v="5"/>
    <x v="6"/>
    <n v="12"/>
    <s v="YJC系统取消"/>
    <x v="1"/>
    <x v="0"/>
    <m/>
    <n v="-29"/>
  </r>
  <r>
    <s v="0515-0 JS mobis"/>
    <x v="5"/>
    <x v="6"/>
    <n v="13"/>
    <s v="邮件通知Neo取消"/>
    <x v="1"/>
    <x v="0"/>
    <m/>
    <n v="-29"/>
  </r>
  <r>
    <s v="0515-0 JS mobis"/>
    <x v="5"/>
    <x v="6"/>
    <n v="14"/>
    <s v="收到HMM(Neo)确认取消"/>
    <x v="1"/>
    <x v="0"/>
    <m/>
    <n v="-29"/>
  </r>
  <r>
    <s v="0515-0 KMM"/>
    <x v="3"/>
    <x v="6"/>
    <n v="1"/>
    <s v="收到孙丹发来订舱托书(CK也收到)"/>
    <x v="15"/>
    <x v="0"/>
    <m/>
    <n v="-38"/>
  </r>
  <r>
    <s v="0515-0 KMM"/>
    <x v="3"/>
    <x v="6"/>
    <n v="2"/>
    <s v="收到CK发来预配(做箱通知)"/>
    <x v="11"/>
    <x v="0"/>
    <m/>
    <n v="-31"/>
  </r>
  <r>
    <s v="0515-0 KMM"/>
    <x v="3"/>
    <x v="6"/>
    <n v="3"/>
    <s v="收到包装厂(刘倩梅)发来包装指示书和装箱计划"/>
    <x v="1"/>
    <x v="0"/>
    <s v="一般周四"/>
    <n v="-29"/>
  </r>
  <r>
    <s v="0515-0 KMM"/>
    <x v="3"/>
    <x v="6"/>
    <n v="4"/>
    <s v="根据装箱计划汇总包装数据，发各工厂做报关资料"/>
    <x v="1"/>
    <x v="0"/>
    <m/>
    <n v="-29"/>
  </r>
  <r>
    <s v="0515-0 KMM"/>
    <x v="3"/>
    <x v="6"/>
    <n v="5"/>
    <s v="做做箱数据，邮件群发"/>
    <x v="1"/>
    <x v="0"/>
    <m/>
    <n v="-29"/>
  </r>
  <r>
    <s v="0515-0 KMM"/>
    <x v="3"/>
    <x v="6"/>
    <n v="6"/>
    <s v="收到工厂发来报关资料并完善"/>
    <x v="1"/>
    <x v="0"/>
    <s v="当天至隔天"/>
    <n v="-29"/>
  </r>
  <r>
    <s v="0515-0 KMM"/>
    <x v="3"/>
    <x v="6"/>
    <n v="7"/>
    <s v="报关资料齐了，发报关行(黄寅文)"/>
    <x v="1"/>
    <x v="0"/>
    <m/>
    <n v="-29"/>
  </r>
  <r>
    <s v="0515-0 KMM"/>
    <x v="3"/>
    <x v="6"/>
    <n v="8"/>
    <s v="收到车队(沈丽)装箱单和洋山提箱截图(如有)"/>
    <x v="4"/>
    <x v="0"/>
    <s v="一般KMM五、HMI日"/>
    <n v="-28"/>
  </r>
  <r>
    <s v="0515-0 KMM"/>
    <x v="3"/>
    <x v="6"/>
    <n v="9"/>
    <s v="群发装箱单和洋山提箱截图(如有)【05-10 09:00】"/>
    <x v="4"/>
    <x v="0"/>
    <s v="注意截单时间"/>
    <n v="-28"/>
  </r>
  <r>
    <s v="0515-0 KMM"/>
    <x v="3"/>
    <x v="6"/>
    <n v="10"/>
    <s v="通知发舱单"/>
    <x v="4"/>
    <x v="0"/>
    <m/>
    <n v="-28"/>
  </r>
  <r>
    <s v="0515-0 KMM"/>
    <x v="3"/>
    <x v="6"/>
    <n v="11"/>
    <s v="收到舱单发送成功通知，核对舱单信息"/>
    <x v="4"/>
    <x v="0"/>
    <m/>
    <n v="-28"/>
  </r>
  <r>
    <s v="0515-0 KMM"/>
    <x v="3"/>
    <x v="6"/>
    <n v="12"/>
    <s v="通知进港，进港(核对数据)，通知报关，报关成功"/>
    <x v="4"/>
    <x v="0"/>
    <s v="根据港区"/>
    <n v="-28"/>
  </r>
  <r>
    <s v="0515-0 KMM"/>
    <x v="3"/>
    <x v="6"/>
    <n v="13"/>
    <s v="盯海放"/>
    <x v="4"/>
    <x v="0"/>
    <m/>
    <n v="-28"/>
  </r>
  <r>
    <s v="0515-0 KMM"/>
    <x v="3"/>
    <x v="6"/>
    <n v="14"/>
    <s v="盯码放"/>
    <x v="0"/>
    <x v="0"/>
    <m/>
    <n v="-25"/>
  </r>
  <r>
    <s v="0515-0 KMM"/>
    <x v="3"/>
    <x v="6"/>
    <n v="15"/>
    <s v="盯配载"/>
    <x v="2"/>
    <x v="0"/>
    <m/>
    <n v="-24"/>
  </r>
  <r>
    <s v="0515-0 KMM"/>
    <x v="3"/>
    <x v="6"/>
    <n v="16"/>
    <s v="做费用(对账单日期4号)，放公共盘，填月账单表，发孙丹"/>
    <x v="13"/>
    <x v="0"/>
    <m/>
    <n v="-23"/>
  </r>
  <r>
    <s v="0517-0 JS mobis"/>
    <x v="5"/>
    <x v="7"/>
    <n v="1"/>
    <s v="收到客户(周嘉敏)订舱预报"/>
    <x v="7"/>
    <x v="1"/>
    <s v="一般周五发隔周"/>
    <n v="-42"/>
  </r>
  <r>
    <s v="0517-0 JS mobis"/>
    <x v="5"/>
    <x v="7"/>
    <n v="2"/>
    <s v="收到HMM(Neo)预订舱邮件通知"/>
    <x v="10"/>
    <x v="1"/>
    <s v="一般周一发下周"/>
    <n v="-32"/>
  </r>
  <r>
    <s v="0517-0 JS mobis"/>
    <x v="5"/>
    <x v="7"/>
    <n v="3"/>
    <s v="回复HMM(Neo)预订舱邮件"/>
    <x v="10"/>
    <x v="1"/>
    <m/>
    <n v="-32"/>
  </r>
  <r>
    <s v="0517-0 JS mobis"/>
    <x v="5"/>
    <x v="7"/>
    <n v="4"/>
    <s v="收到HMM(Neo)预订舱确认"/>
    <x v="10"/>
    <x v="1"/>
    <s v="一般马上"/>
    <n v="-32"/>
  </r>
  <r>
    <s v="0517-0 JS mobis"/>
    <x v="5"/>
    <x v="7"/>
    <n v="5"/>
    <s v="公共盘生成提单号"/>
    <x v="10"/>
    <x v="1"/>
    <m/>
    <n v="-32"/>
  </r>
  <r>
    <s v="0517-0 JS mobis"/>
    <x v="5"/>
    <x v="7"/>
    <n v="6"/>
    <s v="YJC系统生成单子"/>
    <x v="10"/>
    <x v="1"/>
    <m/>
    <n v="-32"/>
  </r>
  <r>
    <s v="0517-0 JS mobis"/>
    <x v="5"/>
    <x v="7"/>
    <n v="7"/>
    <s v="发EDI"/>
    <x v="11"/>
    <x v="1"/>
    <m/>
    <n v="-31"/>
  </r>
  <r>
    <s v="0517-0 JS mobis"/>
    <x v="5"/>
    <x v="7"/>
    <n v="8"/>
    <s v="邮件申请放单"/>
    <x v="11"/>
    <x v="1"/>
    <m/>
    <n v="-31"/>
  </r>
  <r>
    <s v="0517-0 JS mobis"/>
    <x v="5"/>
    <x v="7"/>
    <n v="9"/>
    <s v="收到HMM(Neo) 放单确认"/>
    <x v="11"/>
    <x v="1"/>
    <s v="一般半天内"/>
    <n v="-31"/>
  </r>
  <r>
    <s v="0517-0 JS mobis"/>
    <x v="5"/>
    <x v="7"/>
    <n v="10"/>
    <s v="HMM网站核对订舱信息"/>
    <x v="11"/>
    <x v="1"/>
    <m/>
    <n v="-31"/>
  </r>
  <r>
    <s v="0517-0 JS mobis"/>
    <x v="5"/>
    <x v="7"/>
    <n v="11"/>
    <s v="收到客户(周嘉敏)做箱通知"/>
    <x v="0"/>
    <x v="1"/>
    <s v="一般做箱头天一早"/>
    <n v="-25"/>
  </r>
  <r>
    <s v="0517-0 JS mobis"/>
    <x v="5"/>
    <x v="7"/>
    <n v="12"/>
    <s v="发做箱通知邮件给车队(沈丽)"/>
    <x v="0"/>
    <x v="1"/>
    <m/>
    <n v="-25"/>
  </r>
  <r>
    <s v="0517-0 JS mobis"/>
    <x v="5"/>
    <x v="7"/>
    <n v="13"/>
    <s v="公共盘生成提单号【如需拆单】"/>
    <x v="0"/>
    <x v="1"/>
    <m/>
    <n v="-25"/>
  </r>
  <r>
    <s v="0517-0 JS mobis"/>
    <x v="5"/>
    <x v="7"/>
    <n v="14"/>
    <s v="YJC系统生成单子【如需拆单】"/>
    <x v="0"/>
    <x v="1"/>
    <m/>
    <n v="-25"/>
  </r>
  <r>
    <s v="0517-0 JS mobis"/>
    <x v="5"/>
    <x v="7"/>
    <n v="15"/>
    <s v="发EDI【如需拆单】"/>
    <x v="0"/>
    <x v="1"/>
    <m/>
    <n v="-25"/>
  </r>
  <r>
    <s v="0517-0 JS mobis"/>
    <x v="5"/>
    <x v="7"/>
    <n v="16"/>
    <s v="邮件申请放单【如需拆单】"/>
    <x v="0"/>
    <x v="1"/>
    <m/>
    <n v="-25"/>
  </r>
  <r>
    <s v="0517-0 JS mobis"/>
    <x v="5"/>
    <x v="7"/>
    <n v="17"/>
    <s v="收到HMM(Neo) 放单确认【如需拆单】"/>
    <x v="0"/>
    <x v="1"/>
    <m/>
    <n v="-25"/>
  </r>
  <r>
    <s v="0517-0 JS mobis"/>
    <x v="5"/>
    <x v="7"/>
    <n v="18"/>
    <s v="HMM网站核对订舱信息【如需拆单】"/>
    <x v="0"/>
    <x v="1"/>
    <m/>
    <n v="-25"/>
  </r>
  <r>
    <s v="0517-0 JS mobis"/>
    <x v="5"/>
    <x v="7"/>
    <n v="19"/>
    <s v="收到客户(周嘉敏)发来做箱数据(报关资料)"/>
    <x v="2"/>
    <x v="1"/>
    <s v="一般做箱当天一早"/>
    <n v="-24"/>
  </r>
  <r>
    <s v="0517-0 JS mobis"/>
    <x v="5"/>
    <x v="7"/>
    <n v="20"/>
    <s v="按报关(发票)数生成提单号【如发票数超过提单数】"/>
    <x v="2"/>
    <x v="1"/>
    <m/>
    <n v="-24"/>
  </r>
  <r>
    <s v="0517-0 JS mobis"/>
    <x v="5"/>
    <x v="7"/>
    <n v="21"/>
    <s v="做做箱数据，QQ发车队(沈丽)"/>
    <x v="2"/>
    <x v="1"/>
    <m/>
    <n v="-24"/>
  </r>
  <r>
    <s v="0517-0 JS mobis"/>
    <x v="5"/>
    <x v="7"/>
    <n v="22"/>
    <s v="做报关资料，扫描发报关行(黄寅文)QQ"/>
    <x v="2"/>
    <x v="1"/>
    <m/>
    <n v="-24"/>
  </r>
  <r>
    <s v="0517-0 JS mobis"/>
    <x v="5"/>
    <x v="7"/>
    <n v="23"/>
    <s v="收到车队(沈丽)装箱单"/>
    <x v="2"/>
    <x v="1"/>
    <s v="一般马上"/>
    <n v="-24"/>
  </r>
  <r>
    <s v="0517-0 JS mobis"/>
    <x v="5"/>
    <x v="7"/>
    <n v="24"/>
    <s v="YJC系统截单，发EDI，邮件HMM(He)【5-14 12:00】"/>
    <x v="2"/>
    <x v="1"/>
    <s v="注意截单时间"/>
    <n v="-24"/>
  </r>
  <r>
    <s v="0517-0 JS mobis"/>
    <x v="5"/>
    <x v="7"/>
    <n v="25"/>
    <s v="收到HMM(He)生成提单通知"/>
    <x v="2"/>
    <x v="1"/>
    <s v="一般马上"/>
    <n v="-24"/>
  </r>
  <r>
    <s v="0517-0 JS mobis"/>
    <x v="5"/>
    <x v="7"/>
    <n v="26"/>
    <s v="HMM网站核对提单信息"/>
    <x v="2"/>
    <x v="1"/>
    <m/>
    <n v="-24"/>
  </r>
  <r>
    <s v="0517-0 JS mobis"/>
    <x v="5"/>
    <x v="7"/>
    <n v="27"/>
    <s v="做保函给邹师傅"/>
    <x v="2"/>
    <x v="1"/>
    <m/>
    <n v="-24"/>
  </r>
  <r>
    <s v="0517-0 JS mobis"/>
    <x v="5"/>
    <x v="7"/>
    <n v="28"/>
    <s v="发VGM和舱单"/>
    <x v="2"/>
    <x v="1"/>
    <m/>
    <n v="-24"/>
  </r>
  <r>
    <s v="0517-0 JS mobis"/>
    <x v="5"/>
    <x v="7"/>
    <n v="29"/>
    <s v="做ISF，发国外资料"/>
    <x v="2"/>
    <x v="1"/>
    <m/>
    <n v="-24"/>
  </r>
  <r>
    <s v="0517-0 JS mobis"/>
    <x v="5"/>
    <x v="7"/>
    <n v="30"/>
    <s v="买保险"/>
    <x v="2"/>
    <x v="1"/>
    <m/>
    <n v="-24"/>
  </r>
  <r>
    <s v="0517-0 JS mobis"/>
    <x v="5"/>
    <x v="7"/>
    <n v="31"/>
    <s v="盯海关网站舱单"/>
    <x v="2"/>
    <x v="1"/>
    <s v="一般两小时左右"/>
    <n v="-24"/>
  </r>
  <r>
    <s v="0517-0 JS mobis"/>
    <x v="5"/>
    <x v="7"/>
    <n v="32"/>
    <s v="核对舱单信息"/>
    <x v="2"/>
    <x v="1"/>
    <m/>
    <n v="-24"/>
  </r>
  <r>
    <s v="0517-0 JS mobis"/>
    <x v="5"/>
    <x v="7"/>
    <n v="33"/>
    <s v="收到报关行(黄寅文)校对稿，邮件发客户(周嘉敏)确认"/>
    <x v="2"/>
    <x v="1"/>
    <s v="一般半天内"/>
    <n v="-24"/>
  </r>
  <r>
    <s v="0517-0 JS mobis"/>
    <x v="5"/>
    <x v="7"/>
    <n v="34"/>
    <s v="收到客户(周嘉敏)确认校对稿，通知报关行(黄寅文)"/>
    <x v="2"/>
    <x v="1"/>
    <s v="一般马上"/>
    <n v="-24"/>
  </r>
  <r>
    <s v="0517-0 JS mobis"/>
    <x v="5"/>
    <x v="7"/>
    <n v="35"/>
    <s v="通知报关行(黄寅文)报关(需有开港)"/>
    <x v="2"/>
    <x v="1"/>
    <m/>
    <n v="-24"/>
  </r>
  <r>
    <s v="0517-0 JS mobis"/>
    <x v="5"/>
    <x v="7"/>
    <n v="36"/>
    <s v="收到报关成功通知"/>
    <x v="2"/>
    <x v="1"/>
    <s v="一般下班前"/>
    <n v="-24"/>
  </r>
  <r>
    <s v="0517-0 JS mobis"/>
    <x v="5"/>
    <x v="7"/>
    <n v="37"/>
    <s v="通知车队(沈丽)可进港"/>
    <x v="2"/>
    <x v="1"/>
    <m/>
    <n v="-24"/>
  </r>
  <r>
    <s v="0517-0 JS mobis"/>
    <x v="5"/>
    <x v="7"/>
    <n v="38"/>
    <s v="盯箱子进港"/>
    <x v="13"/>
    <x v="1"/>
    <m/>
    <n v="-23"/>
  </r>
  <r>
    <s v="0517-0 JS mobis"/>
    <x v="5"/>
    <x v="7"/>
    <n v="39"/>
    <s v="核对进港数据"/>
    <x v="13"/>
    <x v="1"/>
    <m/>
    <n v="-23"/>
  </r>
  <r>
    <s v="0517-0 JS mobis"/>
    <x v="5"/>
    <x v="7"/>
    <n v="40"/>
    <s v="盯海放"/>
    <x v="13"/>
    <x v="1"/>
    <m/>
    <n v="-23"/>
  </r>
  <r>
    <s v="0517-0 JS mobis"/>
    <x v="5"/>
    <x v="7"/>
    <n v="41"/>
    <s v="盯码放"/>
    <x v="13"/>
    <x v="1"/>
    <m/>
    <n v="-23"/>
  </r>
  <r>
    <s v="0517-0 JS mobis"/>
    <x v="5"/>
    <x v="7"/>
    <n v="42"/>
    <s v="盯配载"/>
    <x v="13"/>
    <x v="1"/>
    <m/>
    <n v="-23"/>
  </r>
  <r>
    <s v="0517-0 JS mobis"/>
    <x v="5"/>
    <x v="7"/>
    <n v="43"/>
    <s v="船开"/>
    <x v="14"/>
    <x v="1"/>
    <m/>
    <n v="-21"/>
  </r>
  <r>
    <s v="0517-0 JS mobis"/>
    <x v="5"/>
    <x v="7"/>
    <n v="44"/>
    <s v="做费用"/>
    <x v="14"/>
    <x v="1"/>
    <m/>
    <n v="-21"/>
  </r>
  <r>
    <s v="0517-0 JS mobis"/>
    <x v="5"/>
    <x v="7"/>
    <n v="45"/>
    <s v="发账单"/>
    <x v="14"/>
    <x v="1"/>
    <m/>
    <n v="-21"/>
  </r>
  <r>
    <s v="0517-0 JS mobis"/>
    <x v="5"/>
    <x v="7"/>
    <n v="46"/>
    <s v="放单"/>
    <x v="16"/>
    <x v="1"/>
    <s v="一般开船后两三天"/>
    <n v="-18"/>
  </r>
  <r>
    <s v="0517-0 SC glovis"/>
    <x v="6"/>
    <x v="7"/>
    <n v="1"/>
    <s v="收到客户托书"/>
    <x v="11"/>
    <x v="0"/>
    <m/>
    <n v="-31"/>
  </r>
  <r>
    <s v="0517-0 SC glovis"/>
    <x v="6"/>
    <x v="7"/>
    <n v="2"/>
    <s v="生成单号，YJC系统，发EDI，邮件Neo放舱"/>
    <x v="11"/>
    <x v="0"/>
    <m/>
    <n v="-31"/>
  </r>
  <r>
    <s v="0517-0 SC glovis"/>
    <x v="6"/>
    <x v="7"/>
    <n v="3"/>
    <s v="收到Neo放舱确认"/>
    <x v="6"/>
    <x v="0"/>
    <m/>
    <n v="-30"/>
  </r>
  <r>
    <s v="0517-0 SC glovis"/>
    <x v="6"/>
    <x v="7"/>
    <n v="4"/>
    <s v="发预配信息给客户（张婷）"/>
    <x v="6"/>
    <x v="0"/>
    <m/>
    <n v="-30"/>
  </r>
  <r>
    <s v="0517-0 SC glovis"/>
    <x v="6"/>
    <x v="7"/>
    <n v="5"/>
    <s v="收到客户（张婷）报关资料"/>
    <x v="0"/>
    <x v="0"/>
    <m/>
    <n v="-25"/>
  </r>
  <r>
    <s v="0517-0 SC glovis"/>
    <x v="6"/>
    <x v="7"/>
    <n v="6"/>
    <s v="做报关资料，发报关行（黄寅文）"/>
    <x v="0"/>
    <x v="0"/>
    <m/>
    <n v="-25"/>
  </r>
  <r>
    <s v="0517-0 SC glovis"/>
    <x v="6"/>
    <x v="7"/>
    <n v="7"/>
    <s v="收到客户（张婷）舱单模板和VGM"/>
    <x v="0"/>
    <x v="0"/>
    <m/>
    <n v="-25"/>
  </r>
  <r>
    <s v="0517-0 SC glovis"/>
    <x v="6"/>
    <x v="7"/>
    <n v="8"/>
    <s v="发舱单和VGM"/>
    <x v="0"/>
    <x v="0"/>
    <m/>
    <n v="-25"/>
  </r>
  <r>
    <s v="0517-0 SC glovis"/>
    <x v="6"/>
    <x v="7"/>
    <n v="9"/>
    <s v="YJC系统改准确数据，发ESI，邮件何生成提单"/>
    <x v="0"/>
    <x v="0"/>
    <m/>
    <n v="-25"/>
  </r>
  <r>
    <s v="0517-0 SC glovis"/>
    <x v="6"/>
    <x v="7"/>
    <n v="10"/>
    <s v="收到生成提单邮件，网站核对信息"/>
    <x v="2"/>
    <x v="0"/>
    <m/>
    <n v="-24"/>
  </r>
  <r>
    <s v="0517-0 SC glovis"/>
    <x v="6"/>
    <x v="7"/>
    <n v="11"/>
    <s v="海关有舱单，核对舱单"/>
    <x v="0"/>
    <x v="0"/>
    <m/>
    <n v="-25"/>
  </r>
  <r>
    <s v="0517-0 SC glovis"/>
    <x v="6"/>
    <x v="7"/>
    <n v="12"/>
    <s v="有开港，通知报关"/>
    <x v="0"/>
    <x v="0"/>
    <m/>
    <n v="-25"/>
  </r>
  <r>
    <s v="0517-0 SC glovis"/>
    <x v="6"/>
    <x v="7"/>
    <n v="13"/>
    <s v="发提单确认（两份）"/>
    <x v="2"/>
    <x v="0"/>
    <m/>
    <n v="-24"/>
  </r>
  <r>
    <s v="0517-0 SC glovis"/>
    <x v="6"/>
    <x v="7"/>
    <n v="14"/>
    <s v="收到报关成功通知"/>
    <x v="2"/>
    <x v="0"/>
    <m/>
    <n v="-24"/>
  </r>
  <r>
    <s v="0517-0 SC glovis"/>
    <x v="6"/>
    <x v="7"/>
    <n v="15"/>
    <s v="通知可进港"/>
    <x v="2"/>
    <x v="0"/>
    <m/>
    <n v="-24"/>
  </r>
  <r>
    <s v="0517-0 SC glovis"/>
    <x v="6"/>
    <x v="7"/>
    <n v="16"/>
    <s v="收到客户（张婷）提单确认"/>
    <x v="2"/>
    <x v="0"/>
    <m/>
    <n v="-24"/>
  </r>
  <r>
    <s v="0517-0 SC glovis"/>
    <x v="6"/>
    <x v="7"/>
    <n v="17"/>
    <s v="船公司发好AMS，发来信息"/>
    <x v="2"/>
    <x v="0"/>
    <m/>
    <n v="-24"/>
  </r>
  <r>
    <s v="0517-0 SC glovis"/>
    <x v="6"/>
    <x v="7"/>
    <n v="18"/>
    <s v="收到客户寄来电放保函，盖YJC章，交师傅送胡小姐"/>
    <x v="13"/>
    <x v="0"/>
    <m/>
    <n v="-23"/>
  </r>
  <r>
    <s v="0517-0 SC glovis"/>
    <x v="6"/>
    <x v="7"/>
    <n v="19"/>
    <s v="船开"/>
    <x v="16"/>
    <x v="0"/>
    <m/>
    <n v="-18"/>
  </r>
  <r>
    <s v="0517-0 SC glovis"/>
    <x v="6"/>
    <x v="7"/>
    <n v="20"/>
    <s v="等船公司费用有了，和金小姐一起确定客户费用"/>
    <x v="17"/>
    <x v="0"/>
    <m/>
    <n v="-16"/>
  </r>
  <r>
    <s v="0517-0 SC glovis"/>
    <x v="6"/>
    <x v="7"/>
    <n v="21"/>
    <s v="收到费用确认，放单"/>
    <x v="18"/>
    <x v="0"/>
    <m/>
    <n v="-11"/>
  </r>
  <r>
    <s v="0517-0 SC glovis"/>
    <x v="6"/>
    <x v="7"/>
    <n v="22"/>
    <s v="张婷确认账单"/>
    <x v="19"/>
    <x v="2"/>
    <m/>
    <n v="3"/>
  </r>
  <r>
    <s v="0520-0 0 WEEK"/>
    <x v="4"/>
    <x v="8"/>
    <n v="1"/>
    <s v="收到HMM Neo 下周订舱邮件"/>
    <x v="16"/>
    <x v="0"/>
    <s v="周一"/>
    <n v="-18"/>
  </r>
  <r>
    <s v="0520-0 0 WEEK"/>
    <x v="4"/>
    <x v="8"/>
    <n v="2"/>
    <s v="根据JS mobis订舱需求回Neo邮件"/>
    <x v="16"/>
    <x v="0"/>
    <s v="周一"/>
    <n v="-18"/>
  </r>
  <r>
    <s v="0520-0 0 WEEK"/>
    <x v="4"/>
    <x v="8"/>
    <n v="3"/>
    <s v="SHA GLV WORKING PROCESS"/>
    <x v="16"/>
    <x v="0"/>
    <s v="周一"/>
    <n v="-18"/>
  </r>
  <r>
    <s v="0520-0 0 WEEK"/>
    <x v="4"/>
    <x v="8"/>
    <n v="4"/>
    <s v="SHA GLV WORKING PROCESS"/>
    <x v="17"/>
    <x v="0"/>
    <s v="周三"/>
    <n v="-16"/>
  </r>
  <r>
    <s v="0520-0 0 WEEK"/>
    <x v="4"/>
    <x v="8"/>
    <n v="5"/>
    <s v="TJ glovis额外费用邮件"/>
    <x v="20"/>
    <x v="0"/>
    <s v="周五"/>
    <n v="-14"/>
  </r>
  <r>
    <s v="0520-0 0 WEEK"/>
    <x v="4"/>
    <x v="8"/>
    <n v="6"/>
    <s v="SHA GLV WORKING PROCESS"/>
    <x v="20"/>
    <x v="0"/>
    <s v="周五"/>
    <n v="-14"/>
  </r>
  <r>
    <s v="0520-0 0 WEEK"/>
    <x v="4"/>
    <x v="8"/>
    <n v="7"/>
    <s v="TJ GLV WORKING PROCESS"/>
    <x v="20"/>
    <x v="0"/>
    <s v="周五"/>
    <n v="-14"/>
  </r>
  <r>
    <s v="0522-0 HMI"/>
    <x v="2"/>
    <x v="9"/>
    <n v="1"/>
    <s v="收到客户(孙丹/王珊)发来订舱托书(CK也收到)"/>
    <x v="4"/>
    <x v="0"/>
    <m/>
    <n v="-28"/>
  </r>
  <r>
    <s v="0522-0 HMI"/>
    <x v="2"/>
    <x v="9"/>
    <n v="2"/>
    <s v="YJC系统生成单子"/>
    <x v="4"/>
    <x v="0"/>
    <m/>
    <n v="-28"/>
  </r>
  <r>
    <s v="0522-0 HMI"/>
    <x v="2"/>
    <x v="9"/>
    <n v="3"/>
    <s v="收到CK发来预配(做箱通知)"/>
    <x v="2"/>
    <x v="0"/>
    <m/>
    <n v="-24"/>
  </r>
  <r>
    <s v="0522-0 HMI"/>
    <x v="2"/>
    <x v="9"/>
    <n v="4"/>
    <s v="收到包装厂(刘倩梅)发来包装指示书和装箱计划"/>
    <x v="21"/>
    <x v="0"/>
    <s v="一般周四"/>
    <n v="-22"/>
  </r>
  <r>
    <s v="0522-0 HMI"/>
    <x v="2"/>
    <x v="9"/>
    <n v="5"/>
    <s v="根据装箱计划汇总包装数据，发各工厂做报关资料"/>
    <x v="14"/>
    <x v="0"/>
    <m/>
    <n v="-21"/>
  </r>
  <r>
    <s v="0522-0 HMI"/>
    <x v="2"/>
    <x v="9"/>
    <n v="6"/>
    <s v="做做箱数据，邮件群发"/>
    <x v="14"/>
    <x v="0"/>
    <m/>
    <n v="-21"/>
  </r>
  <r>
    <s v="0522-0 HMI"/>
    <x v="2"/>
    <x v="9"/>
    <n v="7"/>
    <s v="收到工厂发来报关资料并完善(做报关资料跟客户确认)"/>
    <x v="14"/>
    <x v="0"/>
    <s v="当天至隔天"/>
    <n v="-21"/>
  </r>
  <r>
    <s v="0522-0 HMI"/>
    <x v="2"/>
    <x v="9"/>
    <n v="8"/>
    <s v="报关资料齐了，发报关行(黄寅文)"/>
    <x v="14"/>
    <x v="0"/>
    <m/>
    <n v="-21"/>
  </r>
  <r>
    <s v="0522-0 HMI"/>
    <x v="2"/>
    <x v="9"/>
    <n v="9"/>
    <s v="收到车队(沈丽)装箱单和洋山提箱截图(如有)"/>
    <x v="16"/>
    <x v="0"/>
    <s v="一般KMM五、HMI日"/>
    <n v="-18"/>
  </r>
  <r>
    <s v="0522-0 HMI"/>
    <x v="2"/>
    <x v="9"/>
    <n v="10"/>
    <s v="群发装箱单和洋山提箱截图(如有)【5-20】，通知发舱单"/>
    <x v="16"/>
    <x v="0"/>
    <s v="注意截单时间"/>
    <n v="-18"/>
  </r>
  <r>
    <s v="0522-0 HMI"/>
    <x v="2"/>
    <x v="9"/>
    <n v="12"/>
    <s v="收到舱单发送成功通知，核对舱单信息"/>
    <x v="16"/>
    <x v="0"/>
    <m/>
    <n v="-18"/>
  </r>
  <r>
    <s v="0522-0 HMI"/>
    <x v="2"/>
    <x v="9"/>
    <n v="13"/>
    <s v="进港(核对数据)，通知报关，报关成功"/>
    <x v="16"/>
    <x v="0"/>
    <s v="根据港区"/>
    <n v="-18"/>
  </r>
  <r>
    <s v="0522-0 HMI"/>
    <x v="2"/>
    <x v="9"/>
    <n v="14"/>
    <s v="海放"/>
    <x v="16"/>
    <x v="0"/>
    <m/>
    <n v="-18"/>
  </r>
  <r>
    <s v="0522-0 HMI"/>
    <x v="2"/>
    <x v="9"/>
    <n v="15"/>
    <s v="码放"/>
    <x v="17"/>
    <x v="0"/>
    <m/>
    <n v="-16"/>
  </r>
  <r>
    <s v="0522-0 HMI"/>
    <x v="2"/>
    <x v="9"/>
    <n v="16"/>
    <s v="配载"/>
    <x v="22"/>
    <x v="0"/>
    <m/>
    <n v="-15"/>
  </r>
  <r>
    <s v="0522-0 HMI"/>
    <x v="2"/>
    <x v="9"/>
    <n v="17"/>
    <s v="船开"/>
    <x v="20"/>
    <x v="0"/>
    <m/>
    <n v="-14"/>
  </r>
  <r>
    <s v="0522-0 HMI"/>
    <x v="2"/>
    <x v="9"/>
    <n v="18"/>
    <s v="做费用(对账单日期4号)，放公共盘，填月账单表，发孙丹"/>
    <x v="18"/>
    <x v="0"/>
    <m/>
    <n v="-11"/>
  </r>
  <r>
    <s v="0522-0 KMM"/>
    <x v="3"/>
    <x v="9"/>
    <n v="1"/>
    <s v="收到孙丹发来订舱托书(CK也收到)"/>
    <x v="1"/>
    <x v="0"/>
    <m/>
    <n v="-29"/>
  </r>
  <r>
    <s v="0522-0 KMM"/>
    <x v="3"/>
    <x v="9"/>
    <n v="2"/>
    <s v="收到CK发来预配(做箱通知)"/>
    <x v="1"/>
    <x v="0"/>
    <m/>
    <n v="-29"/>
  </r>
  <r>
    <s v="0522-0 KMM"/>
    <x v="3"/>
    <x v="9"/>
    <n v="3"/>
    <s v="YJC系统生成单子"/>
    <x v="1"/>
    <x v="0"/>
    <m/>
    <n v="-29"/>
  </r>
  <r>
    <s v="0522-0 KMM"/>
    <x v="3"/>
    <x v="9"/>
    <n v="4"/>
    <s v="收到包装厂(刘倩梅)发来包装指示书和装箱计划"/>
    <x v="21"/>
    <x v="0"/>
    <s v="一般周四"/>
    <n v="-22"/>
  </r>
  <r>
    <s v="0522-0 KMM"/>
    <x v="3"/>
    <x v="9"/>
    <n v="5"/>
    <s v="根据装箱计划汇总包装数据，发各工厂做报关资料"/>
    <x v="21"/>
    <x v="0"/>
    <m/>
    <n v="-22"/>
  </r>
  <r>
    <s v="0522-0 KMM"/>
    <x v="3"/>
    <x v="9"/>
    <n v="6"/>
    <s v="做做箱数据，邮件群发"/>
    <x v="21"/>
    <x v="0"/>
    <m/>
    <n v="-22"/>
  </r>
  <r>
    <s v="0522-0 KMM"/>
    <x v="3"/>
    <x v="9"/>
    <n v="7"/>
    <s v="收到工厂发来报关资料并完善"/>
    <x v="21"/>
    <x v="0"/>
    <s v="当天至隔天"/>
    <n v="-22"/>
  </r>
  <r>
    <s v="0522-0 KMM"/>
    <x v="3"/>
    <x v="9"/>
    <n v="8"/>
    <s v="报关资料齐了，发报关行(黄寅文)"/>
    <x v="21"/>
    <x v="0"/>
    <m/>
    <n v="-22"/>
  </r>
  <r>
    <s v="0522-0 KMM"/>
    <x v="3"/>
    <x v="9"/>
    <n v="9"/>
    <s v="收到车队(沈丽)装箱单和洋山提箱截图(如有)"/>
    <x v="14"/>
    <x v="0"/>
    <s v="一般KMM五、HMI日"/>
    <n v="-21"/>
  </r>
  <r>
    <s v="0522-0 KMM"/>
    <x v="3"/>
    <x v="9"/>
    <n v="10"/>
    <s v="群发装箱单和洋山提箱截图(如有)【5-17 17:00】"/>
    <x v="14"/>
    <x v="0"/>
    <s v="注意截单时间"/>
    <n v="-21"/>
  </r>
  <r>
    <s v="0522-0 KMM"/>
    <x v="3"/>
    <x v="9"/>
    <n v="11"/>
    <s v="通知发舱单"/>
    <x v="14"/>
    <x v="0"/>
    <m/>
    <n v="-21"/>
  </r>
  <r>
    <s v="0522-0 KMM"/>
    <x v="3"/>
    <x v="9"/>
    <n v="12"/>
    <s v="通知进港，进港(核对数据)，通知报关，报关成功"/>
    <x v="14"/>
    <x v="0"/>
    <s v="根据港区"/>
    <n v="-21"/>
  </r>
  <r>
    <s v="0522-0 KMM"/>
    <x v="3"/>
    <x v="9"/>
    <n v="13"/>
    <s v="盯海放"/>
    <x v="16"/>
    <x v="0"/>
    <m/>
    <n v="-18"/>
  </r>
  <r>
    <s v="0522-0 KMM"/>
    <x v="3"/>
    <x v="9"/>
    <n v="14"/>
    <s v="盯码放"/>
    <x v="16"/>
    <x v="0"/>
    <m/>
    <n v="-18"/>
  </r>
  <r>
    <s v="0522-0 KMM"/>
    <x v="3"/>
    <x v="9"/>
    <n v="15"/>
    <s v="盯配载"/>
    <x v="23"/>
    <x v="0"/>
    <m/>
    <n v="-17"/>
  </r>
  <r>
    <s v="0522-0 KMM"/>
    <x v="3"/>
    <x v="9"/>
    <n v="16"/>
    <s v="做费用(对账单日期4号)，放公共盘，填月账单表，发孙丹"/>
    <x v="17"/>
    <x v="0"/>
    <m/>
    <n v="-16"/>
  </r>
  <r>
    <s v="0522-0 WX mobis"/>
    <x v="7"/>
    <x v="9"/>
    <n v="1"/>
    <s v="收到胡媛媛发来订舱邮件"/>
    <x v="24"/>
    <x v="0"/>
    <m/>
    <n v="-43"/>
  </r>
  <r>
    <s v="0522-0 WX mobis"/>
    <x v="7"/>
    <x v="9"/>
    <n v="2"/>
    <s v="发订舱托书给万恒（翁小姐）"/>
    <x v="24"/>
    <x v="0"/>
    <m/>
    <n v="-43"/>
  </r>
  <r>
    <s v="0522-0 WX mobis"/>
    <x v="7"/>
    <x v="9"/>
    <n v="3"/>
    <s v="收到万恒（翁小姐）预配"/>
    <x v="24"/>
    <x v="0"/>
    <s v="一般三小时左右"/>
    <n v="-43"/>
  </r>
  <r>
    <s v="0522-0 WX mobis"/>
    <x v="7"/>
    <x v="9"/>
    <n v="4"/>
    <s v="通知胡媛媛订舱成功"/>
    <x v="24"/>
    <x v="0"/>
    <m/>
    <n v="-43"/>
  </r>
  <r>
    <s v="0522-0 WX mobis"/>
    <x v="7"/>
    <x v="9"/>
    <n v="5"/>
    <s v="发做箱通知邮件给车队(沈丽)"/>
    <x v="1"/>
    <x v="0"/>
    <m/>
    <n v="-29"/>
  </r>
  <r>
    <s v="0522-0 WX mobis"/>
    <x v="7"/>
    <x v="9"/>
    <n v="6"/>
    <s v="收到胡媛媛发来报关资料"/>
    <x v="2"/>
    <x v="0"/>
    <s v="船开前一周？"/>
    <n v="-24"/>
  </r>
  <r>
    <s v="0522-0 WX mobis"/>
    <x v="7"/>
    <x v="9"/>
    <n v="7"/>
    <s v="完善报关资料发报关行（黄寅文），要校对稿，做做箱数据给沈丽"/>
    <x v="2"/>
    <x v="0"/>
    <m/>
    <n v="-24"/>
  </r>
  <r>
    <s v="0522-0 WX mobis"/>
    <x v="7"/>
    <x v="9"/>
    <n v="8"/>
    <s v="买保险，做异地付款保函，发胡媛媛确认盖章回传"/>
    <x v="2"/>
    <x v="0"/>
    <m/>
    <n v="-24"/>
  </r>
  <r>
    <s v="0522-0 WX mobis"/>
    <x v="7"/>
    <x v="9"/>
    <n v="9"/>
    <s v="收到客户（胡媛媛）发来保函扫描件"/>
    <x v="2"/>
    <x v="0"/>
    <s v="一般马上"/>
    <n v="-24"/>
  </r>
  <r>
    <s v="0522-0 WX mobis"/>
    <x v="7"/>
    <x v="9"/>
    <n v="10"/>
    <s v="收到黄寅文校对稿，发客户（胡媛媛）确认"/>
    <x v="13"/>
    <x v="0"/>
    <s v="一般半天内"/>
    <n v="-23"/>
  </r>
  <r>
    <s v="0522-0 WX mobis"/>
    <x v="7"/>
    <x v="9"/>
    <n v="11"/>
    <s v="收到客户（胡媛媛）确认校对稿OK"/>
    <x v="21"/>
    <x v="0"/>
    <s v="一般马上"/>
    <n v="-22"/>
  </r>
  <r>
    <s v="0522-0 WX mobis"/>
    <x v="7"/>
    <x v="9"/>
    <n v="12"/>
    <s v="关注开港时间，跟车队（沈丽）确认明天做箱，如有变动通知胡媛媛"/>
    <x v="21"/>
    <x v="0"/>
    <s v="截单(5-17 11:00)"/>
    <n v="-22"/>
  </r>
  <r>
    <s v="0522-0 WX mobis"/>
    <x v="7"/>
    <x v="9"/>
    <n v="13"/>
    <s v="收到沈丽发来装箱单"/>
    <x v="14"/>
    <x v="0"/>
    <s v="截单当天"/>
    <n v="-21"/>
  </r>
  <r>
    <s v="0522-0 WX mobis"/>
    <x v="7"/>
    <x v="9"/>
    <n v="14"/>
    <s v="完善截单资料发万恒（翁小姐），请求发舱单"/>
    <x v="14"/>
    <x v="0"/>
    <m/>
    <n v="-21"/>
  </r>
  <r>
    <s v="0522-0 WX mobis"/>
    <x v="7"/>
    <x v="9"/>
    <n v="15"/>
    <s v="收到舱单发送通知，核对舱单，装箱单发报关行报关"/>
    <x v="14"/>
    <x v="0"/>
    <m/>
    <n v="-21"/>
  </r>
  <r>
    <s v="0522-0 WX mobis"/>
    <x v="7"/>
    <x v="9"/>
    <n v="16"/>
    <s v="请求万恒（翁小姐）发提单样本"/>
    <x v="16"/>
    <x v="0"/>
    <m/>
    <n v="-18"/>
  </r>
  <r>
    <s v="0522-0 WX mobis"/>
    <x v="7"/>
    <x v="9"/>
    <n v="17"/>
    <s v="收到万恒（翁小姐）发来提单样本，发胡媛媛确认"/>
    <x v="16"/>
    <x v="0"/>
    <m/>
    <n v="-18"/>
  </r>
  <r>
    <s v="0522-0 WX mobis"/>
    <x v="7"/>
    <x v="9"/>
    <n v="18"/>
    <s v="收到胡媛媛提单确认"/>
    <x v="16"/>
    <x v="0"/>
    <m/>
    <n v="-18"/>
  </r>
  <r>
    <s v="0522-0 WX mobis"/>
    <x v="7"/>
    <x v="9"/>
    <n v="19"/>
    <s v="收到报关成功通知，通知车队可进港 "/>
    <x v="14"/>
    <x v="0"/>
    <m/>
    <n v="-21"/>
  </r>
  <r>
    <s v="0522-0 WX mobis"/>
    <x v="7"/>
    <x v="9"/>
    <n v="20"/>
    <s v="进港，核对数据"/>
    <x v="14"/>
    <x v="0"/>
    <m/>
    <n v="-21"/>
  </r>
  <r>
    <s v="0522-0 WX mobis"/>
    <x v="7"/>
    <x v="9"/>
    <n v="21"/>
    <s v="海放"/>
    <x v="16"/>
    <x v="0"/>
    <m/>
    <n v="-18"/>
  </r>
  <r>
    <s v="0522-0 WX mobis"/>
    <x v="7"/>
    <x v="9"/>
    <n v="22"/>
    <s v="码放"/>
    <x v="16"/>
    <x v="0"/>
    <m/>
    <n v="-18"/>
  </r>
  <r>
    <s v="0522-0 WX mobis"/>
    <x v="7"/>
    <x v="9"/>
    <n v="23"/>
    <s v="配载"/>
    <x v="23"/>
    <x v="0"/>
    <m/>
    <n v="-17"/>
  </r>
  <r>
    <s v="0522-0 WX mobis"/>
    <x v="7"/>
    <x v="9"/>
    <n v="24"/>
    <s v="开船"/>
    <x v="17"/>
    <x v="0"/>
    <m/>
    <n v="-16"/>
  </r>
  <r>
    <s v="0522-0 WX mobis"/>
    <x v="7"/>
    <x v="9"/>
    <n v="25"/>
    <s v="做费用，发账单给谢梦婕"/>
    <x v="17"/>
    <x v="0"/>
    <m/>
    <n v="-16"/>
  </r>
  <r>
    <s v="0522-0 WX mobis"/>
    <x v="7"/>
    <x v="9"/>
    <n v="26"/>
    <s v="收到万恒（翁小姐）提单，放提单和预录单给胡媛媛"/>
    <x v="22"/>
    <x v="0"/>
    <m/>
    <n v="-15"/>
  </r>
  <r>
    <s v="0524-0 JS mobis"/>
    <x v="5"/>
    <x v="10"/>
    <n v="1"/>
    <s v="收到客户(周嘉敏)订舱预报"/>
    <x v="4"/>
    <x v="0"/>
    <s v="一般周五发隔周"/>
    <n v="-28"/>
  </r>
  <r>
    <s v="0524-0 JS mobis"/>
    <x v="5"/>
    <x v="10"/>
    <n v="2"/>
    <s v="填WORKING PROCESS"/>
    <x v="4"/>
    <x v="0"/>
    <m/>
    <n v="-28"/>
  </r>
  <r>
    <s v="0524-0 JS mobis"/>
    <x v="5"/>
    <x v="10"/>
    <n v="3"/>
    <s v="收到HMM(Neo)预订舱邮件通知"/>
    <x v="0"/>
    <x v="0"/>
    <s v="一般周一发下周"/>
    <n v="-25"/>
  </r>
  <r>
    <s v="0524-0 JS mobis"/>
    <x v="5"/>
    <x v="10"/>
    <n v="4"/>
    <s v="回复HMM(Neo)预订舱邮件"/>
    <x v="0"/>
    <x v="0"/>
    <m/>
    <n v="-25"/>
  </r>
  <r>
    <s v="0524-0 JS mobis"/>
    <x v="5"/>
    <x v="10"/>
    <n v="5"/>
    <s v="收到HMM(Neo)预订舱确认"/>
    <x v="2"/>
    <x v="0"/>
    <s v="一般马上"/>
    <n v="-24"/>
  </r>
  <r>
    <s v="0524-0 JS mobis"/>
    <x v="5"/>
    <x v="10"/>
    <n v="6"/>
    <s v="公共盘生成提单号"/>
    <x v="2"/>
    <x v="0"/>
    <m/>
    <n v="-24"/>
  </r>
  <r>
    <s v="0524-0 JS mobis"/>
    <x v="5"/>
    <x v="10"/>
    <n v="7"/>
    <s v="YJC系统生成单子"/>
    <x v="2"/>
    <x v="0"/>
    <m/>
    <n v="-24"/>
  </r>
  <r>
    <s v="0524-0 JS mobis"/>
    <x v="5"/>
    <x v="10"/>
    <n v="8"/>
    <s v="发EDI"/>
    <x v="2"/>
    <x v="0"/>
    <m/>
    <n v="-24"/>
  </r>
  <r>
    <s v="0524-0 JS mobis"/>
    <x v="5"/>
    <x v="10"/>
    <n v="9"/>
    <s v="邮件申请放单"/>
    <x v="2"/>
    <x v="0"/>
    <m/>
    <n v="-24"/>
  </r>
  <r>
    <s v="0524-0 JS mobis"/>
    <x v="5"/>
    <x v="10"/>
    <n v="10"/>
    <s v="收到HMM(Neo) 放单确认"/>
    <x v="13"/>
    <x v="0"/>
    <s v="一般半天内"/>
    <n v="-23"/>
  </r>
  <r>
    <s v="0524-0 JS mobis"/>
    <x v="5"/>
    <x v="10"/>
    <n v="11"/>
    <s v="HMM网站核对订舱信息"/>
    <x v="13"/>
    <x v="0"/>
    <m/>
    <n v="-23"/>
  </r>
  <r>
    <s v="0524-0 JS mobis"/>
    <x v="5"/>
    <x v="10"/>
    <n v="13"/>
    <s v="收到客户(周嘉敏)做箱通知"/>
    <x v="16"/>
    <x v="0"/>
    <s v="一般做箱头天一早"/>
    <n v="-18"/>
  </r>
  <r>
    <s v="0524-0 JS mobis"/>
    <x v="5"/>
    <x v="10"/>
    <n v="14"/>
    <s v="发做箱通知邮件给车队(沈丽)"/>
    <x v="16"/>
    <x v="0"/>
    <m/>
    <n v="-18"/>
  </r>
  <r>
    <s v="0524-0 JS mobis"/>
    <x v="5"/>
    <x v="10"/>
    <n v="15"/>
    <s v="公共盘生成提单号【如需拆单】"/>
    <x v="16"/>
    <x v="0"/>
    <m/>
    <n v="-18"/>
  </r>
  <r>
    <s v="0524-0 JS mobis"/>
    <x v="5"/>
    <x v="10"/>
    <n v="16"/>
    <s v="YJC系统生成单子【如需拆单】"/>
    <x v="16"/>
    <x v="0"/>
    <m/>
    <n v="-18"/>
  </r>
  <r>
    <s v="0524-0 JS mobis"/>
    <x v="5"/>
    <x v="10"/>
    <n v="17"/>
    <s v="发EDI【如需拆单】"/>
    <x v="16"/>
    <x v="0"/>
    <m/>
    <n v="-18"/>
  </r>
  <r>
    <s v="0524-0 JS mobis"/>
    <x v="5"/>
    <x v="10"/>
    <n v="18"/>
    <s v="邮件申请放单【如需拆单】"/>
    <x v="16"/>
    <x v="0"/>
    <m/>
    <n v="-18"/>
  </r>
  <r>
    <s v="0524-0 JS mobis"/>
    <x v="5"/>
    <x v="10"/>
    <n v="19"/>
    <s v="收到HMM(Neo) 放单确认【如需拆单】"/>
    <x v="16"/>
    <x v="0"/>
    <m/>
    <n v="-18"/>
  </r>
  <r>
    <s v="0524-0 JS mobis"/>
    <x v="5"/>
    <x v="10"/>
    <n v="20"/>
    <s v="HMM网站核对订舱信息【如需拆单】"/>
    <x v="16"/>
    <x v="0"/>
    <m/>
    <n v="-18"/>
  </r>
  <r>
    <s v="0524-0 JS mobis"/>
    <x v="5"/>
    <x v="10"/>
    <n v="20.100000000000001"/>
    <s v="明天盐城能装？"/>
    <x v="14"/>
    <x v="0"/>
    <m/>
    <n v="-21"/>
  </r>
  <r>
    <s v="0524-0 JS mobis"/>
    <x v="5"/>
    <x v="10"/>
    <n v="21"/>
    <s v="收到客户(徐贵)发来做箱数据(报关资料)"/>
    <x v="23"/>
    <x v="0"/>
    <s v="一般做箱当天一早"/>
    <n v="-17"/>
  </r>
  <r>
    <s v="0524-0 JS mobis"/>
    <x v="5"/>
    <x v="10"/>
    <n v="22"/>
    <s v="按报关(发票)数生成提单号【如发票数超过提单数】"/>
    <x v="23"/>
    <x v="0"/>
    <m/>
    <n v="-17"/>
  </r>
  <r>
    <s v="0524-0 JS mobis"/>
    <x v="5"/>
    <x v="10"/>
    <n v="23"/>
    <s v="做做箱数据，QQ发车队(沈丽)"/>
    <x v="23"/>
    <x v="0"/>
    <m/>
    <n v="-17"/>
  </r>
  <r>
    <s v="0524-0 JS mobis"/>
    <x v="5"/>
    <x v="10"/>
    <n v="24"/>
    <s v="做报关资料，扫描发报关行(黄寅文)QQ"/>
    <x v="23"/>
    <x v="0"/>
    <m/>
    <n v="-17"/>
  </r>
  <r>
    <s v="0524-0 JS mobis"/>
    <x v="5"/>
    <x v="10"/>
    <n v="25"/>
    <s v="收到车队(沈丽)装箱单"/>
    <x v="23"/>
    <x v="0"/>
    <s v="一般马上"/>
    <n v="-17"/>
  </r>
  <r>
    <s v="0524-0 JS mobis"/>
    <x v="5"/>
    <x v="10"/>
    <n v="26"/>
    <s v="YJC系统截单，发EDI，邮件HMM(He)【5-21 周二 12:00】"/>
    <x v="23"/>
    <x v="0"/>
    <s v="注意截单时间"/>
    <n v="-17"/>
  </r>
  <r>
    <s v="0524-0 JS mobis"/>
    <x v="5"/>
    <x v="10"/>
    <n v="27"/>
    <s v="做保函给邹师傅"/>
    <x v="23"/>
    <x v="0"/>
    <m/>
    <n v="-17"/>
  </r>
  <r>
    <s v="0524-0 JS mobis"/>
    <x v="5"/>
    <x v="10"/>
    <n v="28"/>
    <s v="发VGM和舱单"/>
    <x v="23"/>
    <x v="0"/>
    <m/>
    <n v="-17"/>
  </r>
  <r>
    <s v="0524-0 JS mobis"/>
    <x v="5"/>
    <x v="10"/>
    <n v="29"/>
    <s v="做ISF，发国外资料"/>
    <x v="23"/>
    <x v="0"/>
    <m/>
    <n v="-17"/>
  </r>
  <r>
    <s v="0524-0 JS mobis"/>
    <x v="5"/>
    <x v="10"/>
    <n v="30"/>
    <s v="买保险"/>
    <x v="23"/>
    <x v="0"/>
    <m/>
    <n v="-17"/>
  </r>
  <r>
    <s v="0524-0 JS mobis"/>
    <x v="5"/>
    <x v="10"/>
    <n v="31"/>
    <s v="填WORKING PROCESS"/>
    <x v="23"/>
    <x v="0"/>
    <m/>
    <n v="-17"/>
  </r>
  <r>
    <s v="0524-0 JS mobis"/>
    <x v="5"/>
    <x v="10"/>
    <n v="32"/>
    <s v="收到HMM(He)生成提单通知"/>
    <x v="23"/>
    <x v="0"/>
    <s v="一般马上"/>
    <n v="-17"/>
  </r>
  <r>
    <s v="0524-0 JS mobis"/>
    <x v="5"/>
    <x v="10"/>
    <n v="33"/>
    <s v="HMM网站核对提单信息"/>
    <x v="23"/>
    <x v="0"/>
    <m/>
    <n v="-17"/>
  </r>
  <r>
    <s v="0524-0 JS mobis"/>
    <x v="5"/>
    <x v="10"/>
    <n v="34"/>
    <s v="盯海关网站舱单"/>
    <x v="23"/>
    <x v="0"/>
    <s v="一般两小时左右"/>
    <n v="-17"/>
  </r>
  <r>
    <s v="0524-0 JS mobis"/>
    <x v="5"/>
    <x v="10"/>
    <n v="35"/>
    <s v="核对舱单信息"/>
    <x v="23"/>
    <x v="0"/>
    <m/>
    <n v="-17"/>
  </r>
  <r>
    <s v="0524-0 JS mobis"/>
    <x v="5"/>
    <x v="10"/>
    <n v="36"/>
    <s v="收到报关行(黄寅文)校对稿，邮件发客户(徐贵)确认"/>
    <x v="23"/>
    <x v="0"/>
    <s v="一般半天内"/>
    <n v="-17"/>
  </r>
  <r>
    <s v="0524-0 JS mobis"/>
    <x v="5"/>
    <x v="10"/>
    <n v="37"/>
    <s v="收到客户(徐贵)确认校对稿，通知报关行(黄寅文)"/>
    <x v="23"/>
    <x v="0"/>
    <s v="一般马上"/>
    <n v="-17"/>
  </r>
  <r>
    <s v="0524-0 JS mobis"/>
    <x v="5"/>
    <x v="10"/>
    <n v="38"/>
    <s v="通知报关行(黄寅文)报关(开港、舱单、校对)"/>
    <x v="23"/>
    <x v="0"/>
    <m/>
    <n v="-17"/>
  </r>
  <r>
    <s v="0524-0 JS mobis"/>
    <x v="5"/>
    <x v="10"/>
    <n v="39"/>
    <s v="收到报关成功通知"/>
    <x v="23"/>
    <x v="0"/>
    <s v="一般下班前"/>
    <n v="-17"/>
  </r>
  <r>
    <s v="0524-0 JS mobis"/>
    <x v="5"/>
    <x v="10"/>
    <n v="40"/>
    <s v="通知车队(沈丽)可进港"/>
    <x v="23"/>
    <x v="0"/>
    <m/>
    <n v="-17"/>
  </r>
  <r>
    <s v="0524-0 JS mobis"/>
    <x v="5"/>
    <x v="10"/>
    <n v="41"/>
    <s v="盯箱子进港"/>
    <x v="17"/>
    <x v="0"/>
    <m/>
    <n v="-16"/>
  </r>
  <r>
    <s v="0524-0 JS mobis"/>
    <x v="5"/>
    <x v="10"/>
    <n v="42"/>
    <s v="核对进港数据"/>
    <x v="17"/>
    <x v="0"/>
    <m/>
    <n v="-16"/>
  </r>
  <r>
    <s v="0524-0 JS mobis"/>
    <x v="5"/>
    <x v="10"/>
    <n v="43"/>
    <s v="盯海放"/>
    <x v="17"/>
    <x v="0"/>
    <m/>
    <n v="-16"/>
  </r>
  <r>
    <s v="0524-0 JS mobis"/>
    <x v="5"/>
    <x v="10"/>
    <n v="44"/>
    <s v="盯码放"/>
    <x v="17"/>
    <x v="0"/>
    <m/>
    <n v="-16"/>
  </r>
  <r>
    <s v="0524-0 JS mobis"/>
    <x v="5"/>
    <x v="10"/>
    <n v="45"/>
    <s v="盯配载"/>
    <x v="22"/>
    <x v="0"/>
    <m/>
    <n v="-15"/>
  </r>
  <r>
    <s v="0524-0 JS mobis"/>
    <x v="5"/>
    <x v="10"/>
    <n v="46"/>
    <s v="做费用"/>
    <x v="18"/>
    <x v="0"/>
    <m/>
    <n v="-11"/>
  </r>
  <r>
    <s v="0524-0 JS mobis"/>
    <x v="5"/>
    <x v="10"/>
    <n v="47"/>
    <s v="发账单"/>
    <x v="18"/>
    <x v="0"/>
    <m/>
    <n v="-11"/>
  </r>
  <r>
    <s v="0524-0 JS mobis"/>
    <x v="5"/>
    <x v="10"/>
    <n v="48"/>
    <s v="船开"/>
    <x v="25"/>
    <x v="0"/>
    <m/>
    <n v="-13"/>
  </r>
  <r>
    <s v="0524-0 JS mobis"/>
    <x v="5"/>
    <x v="10"/>
    <n v="49"/>
    <s v="放单"/>
    <x v="18"/>
    <x v="0"/>
    <s v="一般开船后两三天"/>
    <n v="-11"/>
  </r>
  <r>
    <s v="0524-0 JS mobis"/>
    <x v="5"/>
    <x v="10"/>
    <n v="50"/>
    <s v="跟常靓确认修改后的保单"/>
    <x v="26"/>
    <x v="0"/>
    <m/>
    <n v="-2"/>
  </r>
  <r>
    <s v="0527-0 0 WEEK"/>
    <x v="4"/>
    <x v="11"/>
    <n v="1"/>
    <s v="收到HMM Neo 下周订舱邮件"/>
    <x v="18"/>
    <x v="0"/>
    <s v="周一"/>
    <n v="-11"/>
  </r>
  <r>
    <s v="0527-0 0 WEEK"/>
    <x v="4"/>
    <x v="11"/>
    <n v="2"/>
    <s v="根据JS mobis订舱需求回Neo邮件"/>
    <x v="18"/>
    <x v="0"/>
    <s v="周一"/>
    <n v="-11"/>
  </r>
  <r>
    <s v="0527-0 0 WEEK"/>
    <x v="4"/>
    <x v="11"/>
    <n v="3"/>
    <s v="SHA GLV WORKING PROCESS"/>
    <x v="18"/>
    <x v="0"/>
    <s v="周一"/>
    <n v="-11"/>
  </r>
  <r>
    <s v="0527-0 0 WEEK"/>
    <x v="4"/>
    <x v="11"/>
    <n v="4"/>
    <s v="SHA GLV WORKING PROCESS"/>
    <x v="3"/>
    <x v="0"/>
    <s v="周三"/>
    <n v="-9"/>
  </r>
  <r>
    <s v="0527-0 0 WEEK"/>
    <x v="4"/>
    <x v="11"/>
    <n v="5"/>
    <s v="TJ glovis额外费用邮件"/>
    <x v="27"/>
    <x v="0"/>
    <s v="周五"/>
    <n v="-7"/>
  </r>
  <r>
    <s v="0527-0 0 WEEK"/>
    <x v="4"/>
    <x v="11"/>
    <n v="6"/>
    <s v="SHA GLV WORKING PROCESS"/>
    <x v="27"/>
    <x v="0"/>
    <s v="周五"/>
    <n v="-7"/>
  </r>
  <r>
    <s v="0527-0 0 WEEK"/>
    <x v="4"/>
    <x v="11"/>
    <n v="7"/>
    <s v="TJ GLV WORKING PROCESS"/>
    <x v="27"/>
    <x v="0"/>
    <s v="周五"/>
    <n v="-7"/>
  </r>
  <r>
    <s v="0528-0 JS mobis"/>
    <x v="5"/>
    <x v="12"/>
    <n v="1"/>
    <s v="收到客户(周嘉敏)订舱预报"/>
    <x v="4"/>
    <x v="0"/>
    <s v="一般周五发隔周"/>
    <n v="-28"/>
  </r>
  <r>
    <s v="0528-0 JS mobis"/>
    <x v="5"/>
    <x v="12"/>
    <n v="2"/>
    <s v="填WORKING PROCESS"/>
    <x v="2"/>
    <x v="0"/>
    <m/>
    <n v="-24"/>
  </r>
  <r>
    <s v="0528-0 JS mobis"/>
    <x v="5"/>
    <x v="12"/>
    <n v="3"/>
    <s v="收到HMM(Neo)预订舱邮件通知"/>
    <x v="2"/>
    <x v="0"/>
    <s v="一般周一发下周"/>
    <n v="-24"/>
  </r>
  <r>
    <s v="0528-0 JS mobis"/>
    <x v="5"/>
    <x v="12"/>
    <n v="4"/>
    <s v="回复HMM(Neo)预订舱邮件"/>
    <x v="2"/>
    <x v="0"/>
    <m/>
    <n v="-24"/>
  </r>
  <r>
    <s v="0528-0 JS mobis"/>
    <x v="5"/>
    <x v="12"/>
    <n v="5"/>
    <s v="收到HMM(Neo)预订舱确认"/>
    <x v="2"/>
    <x v="0"/>
    <s v="一般马上"/>
    <n v="-24"/>
  </r>
  <r>
    <s v="0528-0 JS mobis"/>
    <x v="5"/>
    <x v="12"/>
    <n v="6"/>
    <s v="公共盘生成提单号"/>
    <x v="2"/>
    <x v="0"/>
    <m/>
    <n v="-24"/>
  </r>
  <r>
    <s v="0528-0 JS mobis"/>
    <x v="5"/>
    <x v="12"/>
    <n v="7"/>
    <s v="YJC系统生成单子"/>
    <x v="2"/>
    <x v="0"/>
    <m/>
    <n v="-24"/>
  </r>
  <r>
    <s v="0528-0 JS mobis"/>
    <x v="5"/>
    <x v="12"/>
    <n v="8"/>
    <s v="发EDI"/>
    <x v="2"/>
    <x v="0"/>
    <m/>
    <n v="-24"/>
  </r>
  <r>
    <s v="0528-0 JS mobis"/>
    <x v="5"/>
    <x v="12"/>
    <n v="9"/>
    <s v="邮件申请放单"/>
    <x v="2"/>
    <x v="0"/>
    <m/>
    <n v="-24"/>
  </r>
  <r>
    <s v="0528-0 JS mobis"/>
    <x v="5"/>
    <x v="12"/>
    <n v="10"/>
    <s v="收到HMM(Neo) 放单确认"/>
    <x v="13"/>
    <x v="0"/>
    <s v="一般半天内"/>
    <n v="-23"/>
  </r>
  <r>
    <s v="0528-0 JS mobis"/>
    <x v="5"/>
    <x v="12"/>
    <n v="11"/>
    <s v="HMM网站核对订舱信息"/>
    <x v="13"/>
    <x v="0"/>
    <m/>
    <n v="-23"/>
  </r>
  <r>
    <s v="0528-0 JS mobis"/>
    <x v="5"/>
    <x v="12"/>
    <n v="12"/>
    <s v="收到客户(徐贵)做箱通知(5-24截单)"/>
    <x v="22"/>
    <x v="0"/>
    <s v="一般做箱头天一早"/>
    <n v="-15"/>
  </r>
  <r>
    <s v="0528-0 JS mobis"/>
    <x v="5"/>
    <x v="12"/>
    <n v="13"/>
    <s v="发做箱通知邮件给车队(沈丽)"/>
    <x v="22"/>
    <x v="0"/>
    <m/>
    <n v="-15"/>
  </r>
  <r>
    <s v="0528-0 JS mobis"/>
    <x v="5"/>
    <x v="12"/>
    <n v="15"/>
    <s v="公共盘生成提单号【如需拆单】"/>
    <x v="22"/>
    <x v="0"/>
    <m/>
    <n v="-15"/>
  </r>
  <r>
    <s v="0528-0 JS mobis"/>
    <x v="5"/>
    <x v="12"/>
    <n v="16"/>
    <s v="YJC系统生成单子【如需拆单】"/>
    <x v="22"/>
    <x v="0"/>
    <m/>
    <n v="-15"/>
  </r>
  <r>
    <s v="0528-0 JS mobis"/>
    <x v="5"/>
    <x v="12"/>
    <n v="17"/>
    <s v="发EDI【如需拆单】"/>
    <x v="22"/>
    <x v="0"/>
    <m/>
    <n v="-15"/>
  </r>
  <r>
    <s v="0528-0 JS mobis"/>
    <x v="5"/>
    <x v="12"/>
    <n v="18"/>
    <s v="邮件申请放单【如需拆单】"/>
    <x v="22"/>
    <x v="0"/>
    <m/>
    <n v="-15"/>
  </r>
  <r>
    <s v="0528-0 JS mobis"/>
    <x v="5"/>
    <x v="12"/>
    <n v="19"/>
    <s v="收到HMM(Neo) 放单确认【如需拆单】"/>
    <x v="22"/>
    <x v="0"/>
    <m/>
    <n v="-15"/>
  </r>
  <r>
    <s v="0528-0 JS mobis"/>
    <x v="5"/>
    <x v="12"/>
    <n v="20"/>
    <s v="HMM网站核对订舱信息【如需拆单】"/>
    <x v="22"/>
    <x v="0"/>
    <m/>
    <n v="-15"/>
  </r>
  <r>
    <s v="0528-0 JS mobis"/>
    <x v="5"/>
    <x v="12"/>
    <n v="21"/>
    <s v="收到客户(徐贵)发来做箱数据(报关资料)"/>
    <x v="20"/>
    <x v="0"/>
    <s v="一般做箱当天一早"/>
    <n v="-14"/>
  </r>
  <r>
    <s v="0528-0 JS mobis"/>
    <x v="5"/>
    <x v="12"/>
    <n v="22"/>
    <s v="按报关(发票)数生成提单号【如发票数超过提单数】"/>
    <x v="20"/>
    <x v="0"/>
    <m/>
    <n v="-14"/>
  </r>
  <r>
    <s v="0528-0 JS mobis"/>
    <x v="5"/>
    <x v="12"/>
    <n v="23"/>
    <s v="做做箱数据，QQ发车队(沈丽)"/>
    <x v="20"/>
    <x v="0"/>
    <m/>
    <n v="-14"/>
  </r>
  <r>
    <s v="0528-0 JS mobis"/>
    <x v="5"/>
    <x v="12"/>
    <n v="24"/>
    <s v="做报关资料，扫描发报关行(黄寅文)QQ"/>
    <x v="20"/>
    <x v="0"/>
    <m/>
    <n v="-14"/>
  </r>
  <r>
    <s v="0528-0 JS mobis"/>
    <x v="5"/>
    <x v="12"/>
    <n v="25"/>
    <s v="收到车队(沈丽)装箱单"/>
    <x v="20"/>
    <x v="0"/>
    <s v="一般马上"/>
    <n v="-14"/>
  </r>
  <r>
    <s v="0528-0 JS mobis"/>
    <x v="5"/>
    <x v="12"/>
    <n v="26"/>
    <s v="YJC系统截单，发EDI，邮件HMM(He)【5-24 12:00】"/>
    <x v="20"/>
    <x v="0"/>
    <s v="注意截单时间"/>
    <n v="-14"/>
  </r>
  <r>
    <s v="0528-0 JS mobis"/>
    <x v="5"/>
    <x v="12"/>
    <n v="27"/>
    <s v="做保函给邹师傅"/>
    <x v="20"/>
    <x v="0"/>
    <m/>
    <n v="-14"/>
  </r>
  <r>
    <s v="0528-0 JS mobis"/>
    <x v="5"/>
    <x v="12"/>
    <n v="28"/>
    <s v="发VGM和舱单"/>
    <x v="20"/>
    <x v="0"/>
    <m/>
    <n v="-14"/>
  </r>
  <r>
    <s v="0528-0 JS mobis"/>
    <x v="5"/>
    <x v="12"/>
    <n v="29"/>
    <s v="做ISF，发国外资料"/>
    <x v="20"/>
    <x v="0"/>
    <m/>
    <n v="-14"/>
  </r>
  <r>
    <s v="0528-0 JS mobis"/>
    <x v="5"/>
    <x v="12"/>
    <n v="30"/>
    <s v="买保险"/>
    <x v="20"/>
    <x v="0"/>
    <m/>
    <n v="-14"/>
  </r>
  <r>
    <s v="0528-0 JS mobis"/>
    <x v="5"/>
    <x v="12"/>
    <n v="31"/>
    <s v="填WORKING PROCESS"/>
    <x v="20"/>
    <x v="0"/>
    <m/>
    <n v="-14"/>
  </r>
  <r>
    <s v="0528-0 JS mobis"/>
    <x v="5"/>
    <x v="12"/>
    <n v="32"/>
    <s v="收到HMM(He)生成提单通知"/>
    <x v="20"/>
    <x v="0"/>
    <s v="一般马上"/>
    <n v="-14"/>
  </r>
  <r>
    <s v="0528-0 JS mobis"/>
    <x v="5"/>
    <x v="12"/>
    <n v="33"/>
    <s v="HMM网站核对提单信息"/>
    <x v="20"/>
    <x v="0"/>
    <m/>
    <n v="-14"/>
  </r>
  <r>
    <s v="0528-0 JS mobis"/>
    <x v="5"/>
    <x v="12"/>
    <n v="34"/>
    <s v="盯海关网站舱单"/>
    <x v="20"/>
    <x v="0"/>
    <s v="一般两小时左右"/>
    <n v="-14"/>
  </r>
  <r>
    <s v="0528-0 JS mobis"/>
    <x v="5"/>
    <x v="12"/>
    <n v="35"/>
    <s v="核对舱单信息"/>
    <x v="20"/>
    <x v="0"/>
    <m/>
    <n v="-14"/>
  </r>
  <r>
    <s v="0528-0 JS mobis"/>
    <x v="5"/>
    <x v="12"/>
    <n v="36"/>
    <s v="收到报关行(黄寅文)校对稿，邮件发客户(徐贵)确认"/>
    <x v="20"/>
    <x v="0"/>
    <s v="一般半天内"/>
    <n v="-14"/>
  </r>
  <r>
    <s v="0528-0 JS mobis"/>
    <x v="5"/>
    <x v="12"/>
    <n v="37"/>
    <s v="收到客户(徐贵)确认校对稿"/>
    <x v="25"/>
    <x v="0"/>
    <s v="一般马上"/>
    <n v="-13"/>
  </r>
  <r>
    <s v="0528-0 JS mobis"/>
    <x v="5"/>
    <x v="12"/>
    <n v="38"/>
    <s v="通知车队(沈丽)可进港"/>
    <x v="20"/>
    <x v="0"/>
    <m/>
    <n v="-14"/>
  </r>
  <r>
    <s v="0528-0 JS mobis"/>
    <x v="5"/>
    <x v="12"/>
    <n v="39"/>
    <s v="盯箱子进港"/>
    <x v="25"/>
    <x v="0"/>
    <m/>
    <n v="-13"/>
  </r>
  <r>
    <s v="0528-0 JS mobis"/>
    <x v="5"/>
    <x v="12"/>
    <n v="40"/>
    <s v="核对进港数据"/>
    <x v="25"/>
    <x v="0"/>
    <m/>
    <n v="-13"/>
  </r>
  <r>
    <s v="0528-0 JS mobis"/>
    <x v="5"/>
    <x v="12"/>
    <n v="41"/>
    <s v="通知报关行(黄寅文)报关(开港、舱单、校对)"/>
    <x v="25"/>
    <x v="0"/>
    <m/>
    <n v="-13"/>
  </r>
  <r>
    <s v="0528-0 JS mobis"/>
    <x v="5"/>
    <x v="12"/>
    <n v="42"/>
    <s v="收到报关成功通知"/>
    <x v="25"/>
    <x v="0"/>
    <s v="一般下班前"/>
    <n v="-13"/>
  </r>
  <r>
    <s v="0528-0 JS mobis"/>
    <x v="5"/>
    <x v="12"/>
    <n v="43"/>
    <s v="盯海放"/>
    <x v="25"/>
    <x v="0"/>
    <m/>
    <n v="-13"/>
  </r>
  <r>
    <s v="0528-0 JS mobis"/>
    <x v="5"/>
    <x v="12"/>
    <n v="44"/>
    <s v="盯码放"/>
    <x v="18"/>
    <x v="0"/>
    <m/>
    <n v="-11"/>
  </r>
  <r>
    <s v="0528-0 JS mobis"/>
    <x v="5"/>
    <x v="12"/>
    <n v="45"/>
    <s v="盯配载"/>
    <x v="18"/>
    <x v="0"/>
    <m/>
    <n v="-11"/>
  </r>
  <r>
    <s v="0528-0 JS mobis"/>
    <x v="5"/>
    <x v="12"/>
    <n v="46"/>
    <s v="船开，放单"/>
    <x v="3"/>
    <x v="0"/>
    <m/>
    <n v="-9"/>
  </r>
  <r>
    <s v="0528-0 JS mobis"/>
    <x v="5"/>
    <x v="12"/>
    <n v="47"/>
    <s v="做费用"/>
    <x v="18"/>
    <x v="0"/>
    <m/>
    <n v="-11"/>
  </r>
  <r>
    <s v="0528-0 JS mobis"/>
    <x v="5"/>
    <x v="12"/>
    <n v="48"/>
    <s v="发账单"/>
    <x v="18"/>
    <x v="0"/>
    <m/>
    <n v="-11"/>
  </r>
  <r>
    <s v="0528-0 JS mobis"/>
    <x v="5"/>
    <x v="12"/>
    <n v="49"/>
    <s v="开航日期应为5-28左右，跟常靓确认要不要改"/>
    <x v="26"/>
    <x v="0"/>
    <m/>
    <n v="-2"/>
  </r>
  <r>
    <s v="0528-0 SC glovis"/>
    <x v="6"/>
    <x v="12"/>
    <n v="1"/>
    <s v="收到客户托书"/>
    <x v="13"/>
    <x v="0"/>
    <m/>
    <n v="-23"/>
  </r>
  <r>
    <s v="0528-0 SC glovis"/>
    <x v="6"/>
    <x v="12"/>
    <n v="2"/>
    <s v="生成单号，YJC系统，发EDI，邮件Neo放舱"/>
    <x v="13"/>
    <x v="0"/>
    <m/>
    <n v="-23"/>
  </r>
  <r>
    <s v="0528-0 SC glovis"/>
    <x v="6"/>
    <x v="12"/>
    <n v="3"/>
    <s v="收到Neo放舱确认"/>
    <x v="21"/>
    <x v="0"/>
    <m/>
    <n v="-22"/>
  </r>
  <r>
    <s v="0528-0 SC glovis"/>
    <x v="6"/>
    <x v="12"/>
    <n v="4"/>
    <s v="发预配信息给客户（张婷）"/>
    <x v="21"/>
    <x v="0"/>
    <m/>
    <n v="-22"/>
  </r>
  <r>
    <s v="0528-0 SC glovis"/>
    <x v="6"/>
    <x v="12"/>
    <n v="5"/>
    <s v="收到客户（张婷）报关资料"/>
    <x v="17"/>
    <x v="0"/>
    <m/>
    <n v="-16"/>
  </r>
  <r>
    <s v="0528-0 SC glovis"/>
    <x v="6"/>
    <x v="12"/>
    <n v="6"/>
    <s v="做报关资料，发报关行（黄寅文），要校对稿"/>
    <x v="17"/>
    <x v="0"/>
    <m/>
    <n v="-16"/>
  </r>
  <r>
    <s v="0528-0 SC glovis"/>
    <x v="6"/>
    <x v="12"/>
    <n v="7"/>
    <s v="收到校对稿，发客户"/>
    <x v="22"/>
    <x v="0"/>
    <m/>
    <n v="-15"/>
  </r>
  <r>
    <s v="0528-0 SC glovis"/>
    <x v="6"/>
    <x v="12"/>
    <n v="8"/>
    <s v="收到校对稿确认"/>
    <x v="22"/>
    <x v="0"/>
    <m/>
    <n v="-15"/>
  </r>
  <r>
    <s v="0528-0 SC glovis"/>
    <x v="6"/>
    <x v="12"/>
    <n v="9"/>
    <s v="收到客户（张婷）舱单模板和VGM"/>
    <x v="20"/>
    <x v="0"/>
    <s v="今天能放箱装？"/>
    <n v="-14"/>
  </r>
  <r>
    <s v="0528-0 SC glovis"/>
    <x v="6"/>
    <x v="12"/>
    <n v="10"/>
    <s v="发舱单和VGM"/>
    <x v="20"/>
    <x v="0"/>
    <m/>
    <n v="-14"/>
  </r>
  <r>
    <s v="0528-0 SC glovis"/>
    <x v="6"/>
    <x v="12"/>
    <n v="11"/>
    <s v="YJC系统改准确数据，发ESI，做AMS模板并邮件何生成提单"/>
    <x v="20"/>
    <x v="0"/>
    <m/>
    <n v="-14"/>
  </r>
  <r>
    <s v="0528-0 SC glovis"/>
    <x v="6"/>
    <x v="12"/>
    <n v="12"/>
    <s v="收到生成提单邮件，网站核对信息"/>
    <x v="20"/>
    <x v="0"/>
    <m/>
    <n v="-14"/>
  </r>
  <r>
    <s v="0528-0 SC glovis"/>
    <x v="6"/>
    <x v="12"/>
    <n v="13"/>
    <s v="海关有舱单，核对舱单"/>
    <x v="20"/>
    <x v="0"/>
    <m/>
    <n v="-14"/>
  </r>
  <r>
    <s v="0528-0 SC glovis"/>
    <x v="6"/>
    <x v="12"/>
    <n v="14"/>
    <s v="发提单确认（两份）"/>
    <x v="20"/>
    <x v="0"/>
    <m/>
    <n v="-14"/>
  </r>
  <r>
    <s v="0528-0 SC glovis"/>
    <x v="6"/>
    <x v="12"/>
    <n v="15"/>
    <s v="通知可进港"/>
    <x v="20"/>
    <x v="0"/>
    <m/>
    <n v="-14"/>
  </r>
  <r>
    <s v="0528-0 SC glovis"/>
    <x v="6"/>
    <x v="12"/>
    <n v="16"/>
    <s v="收到客户（张婷）提单确认"/>
    <x v="20"/>
    <x v="0"/>
    <m/>
    <n v="-14"/>
  </r>
  <r>
    <s v="0528-0 SC glovis"/>
    <x v="6"/>
    <x v="12"/>
    <n v="17"/>
    <s v="收到进港通知"/>
    <x v="25"/>
    <x v="0"/>
    <m/>
    <n v="-13"/>
  </r>
  <r>
    <s v="0528-0 SC glovis"/>
    <x v="6"/>
    <x v="12"/>
    <n v="18"/>
    <s v="核对进港数据"/>
    <x v="25"/>
    <x v="0"/>
    <m/>
    <n v="-13"/>
  </r>
  <r>
    <s v="0528-0 SC glovis"/>
    <x v="6"/>
    <x v="12"/>
    <n v="19"/>
    <s v="通知报关"/>
    <x v="25"/>
    <x v="0"/>
    <m/>
    <n v="-13"/>
  </r>
  <r>
    <s v="0528-0 SC glovis"/>
    <x v="6"/>
    <x v="12"/>
    <n v="20"/>
    <s v="收到报关成功通知"/>
    <x v="25"/>
    <x v="0"/>
    <m/>
    <n v="-13"/>
  </r>
  <r>
    <s v="0528-0 SC glovis"/>
    <x v="6"/>
    <x v="12"/>
    <n v="21"/>
    <s v="海放，码放，配载"/>
    <x v="18"/>
    <x v="0"/>
    <m/>
    <n v="-11"/>
  </r>
  <r>
    <s v="0528-0 SC glovis"/>
    <x v="6"/>
    <x v="12"/>
    <n v="22"/>
    <s v="船开"/>
    <x v="3"/>
    <x v="0"/>
    <m/>
    <n v="-9"/>
  </r>
  <r>
    <s v="0528-0 SC glovis"/>
    <x v="6"/>
    <x v="12"/>
    <n v="23"/>
    <s v="收到Neo发来费用，录入系统，发张婷"/>
    <x v="26"/>
    <x v="0"/>
    <m/>
    <n v="-2"/>
  </r>
  <r>
    <s v="0528-0 SC glovis"/>
    <x v="6"/>
    <x v="12"/>
    <n v="24"/>
    <s v="放单"/>
    <x v="3"/>
    <x v="0"/>
    <m/>
    <n v="-9"/>
  </r>
  <r>
    <s v="0528-0 SC glovis"/>
    <x v="6"/>
    <x v="12"/>
    <n v="25"/>
    <s v="张婷确认账单"/>
    <x v="19"/>
    <x v="2"/>
    <m/>
    <n v="3"/>
  </r>
  <r>
    <s v="0529-0 HMI"/>
    <x v="2"/>
    <x v="13"/>
    <n v="1"/>
    <s v="收到客户(孙丹/王珊)发来订舱托书"/>
    <x v="14"/>
    <x v="0"/>
    <m/>
    <n v="-21"/>
  </r>
  <r>
    <s v="0529-0 HMI"/>
    <x v="2"/>
    <x v="13"/>
    <n v="2"/>
    <s v="YJC系统生成单子"/>
    <x v="23"/>
    <x v="0"/>
    <m/>
    <n v="-17"/>
  </r>
  <r>
    <s v="0529-0 HMI"/>
    <x v="2"/>
    <x v="13"/>
    <n v="3"/>
    <s v="收到CK发来预配(做箱通知，沈丽有收到？)，完善YJC系统数据"/>
    <x v="23"/>
    <x v="0"/>
    <m/>
    <n v="-17"/>
  </r>
  <r>
    <s v="0529-0 HMI"/>
    <x v="2"/>
    <x v="13"/>
    <n v="4"/>
    <s v="收到包装厂(刘倩梅)发来包装指示书和装箱计划"/>
    <x v="22"/>
    <x v="0"/>
    <s v="一般周四"/>
    <n v="-15"/>
  </r>
  <r>
    <s v="0529-0 HMI"/>
    <x v="2"/>
    <x v="13"/>
    <n v="5"/>
    <s v="根据装箱计划汇总包装数据，发各工厂做报关资料"/>
    <x v="22"/>
    <x v="0"/>
    <m/>
    <n v="-15"/>
  </r>
  <r>
    <s v="0529-0 HMI"/>
    <x v="2"/>
    <x v="13"/>
    <n v="6"/>
    <s v="做做箱数据，邮件群发"/>
    <x v="20"/>
    <x v="0"/>
    <m/>
    <n v="-14"/>
  </r>
  <r>
    <s v="0529-0 HMI"/>
    <x v="2"/>
    <x v="13"/>
    <n v="7"/>
    <s v="收到工厂发来报关资料并完善(代做报关资料跟客户确认)"/>
    <x v="20"/>
    <x v="0"/>
    <s v="当天至隔天"/>
    <n v="-14"/>
  </r>
  <r>
    <s v="0529-0 HMI"/>
    <x v="2"/>
    <x v="13"/>
    <n v="8"/>
    <s v="报关资料齐了，发报关行(黄寅文)，货运模板/发票/箱单"/>
    <x v="18"/>
    <x v="0"/>
    <m/>
    <n v="-11"/>
  </r>
  <r>
    <s v="0529-0 HMI"/>
    <x v="2"/>
    <x v="13"/>
    <n v="9"/>
    <s v="通知进港"/>
    <x v="28"/>
    <x v="0"/>
    <m/>
    <n v="-12"/>
  </r>
  <r>
    <s v="0529-0 HMI"/>
    <x v="2"/>
    <x v="13"/>
    <n v="10"/>
    <s v="进港(核对数据)"/>
    <x v="18"/>
    <x v="0"/>
    <m/>
    <n v="-11"/>
  </r>
  <r>
    <s v="0529-0 HMI"/>
    <x v="2"/>
    <x v="13"/>
    <n v="11"/>
    <s v="收到车队(沈丽)装箱单和洋山提箱截图(如有)，群发，通知发舱单"/>
    <x v="18"/>
    <x v="0"/>
    <s v="一般KMM五、HMI日"/>
    <n v="-11"/>
  </r>
  <r>
    <s v="0529-0 HMI"/>
    <x v="2"/>
    <x v="13"/>
    <n v="12"/>
    <s v="收到舱单发送成功通知，核对舱单信息"/>
    <x v="18"/>
    <x v="0"/>
    <m/>
    <n v="-11"/>
  </r>
  <r>
    <s v="0529-0 HMI"/>
    <x v="2"/>
    <x v="13"/>
    <n v="13"/>
    <s v="通知报关"/>
    <x v="18"/>
    <x v="0"/>
    <m/>
    <n v="-11"/>
  </r>
  <r>
    <s v="0529-0 HMI"/>
    <x v="2"/>
    <x v="13"/>
    <n v="14"/>
    <s v="报关成功"/>
    <x v="18"/>
    <x v="0"/>
    <m/>
    <n v="-11"/>
  </r>
  <r>
    <s v="0529-0 HMI"/>
    <x v="2"/>
    <x v="13"/>
    <n v="15"/>
    <s v="盯海放"/>
    <x v="18"/>
    <x v="0"/>
    <m/>
    <n v="-11"/>
  </r>
  <r>
    <s v="0529-0 HMI"/>
    <x v="2"/>
    <x v="13"/>
    <n v="16"/>
    <s v="盯码放"/>
    <x v="29"/>
    <x v="0"/>
    <m/>
    <n v="-8"/>
  </r>
  <r>
    <s v="0529-0 HMI"/>
    <x v="2"/>
    <x v="13"/>
    <n v="17"/>
    <s v="盯配载"/>
    <x v="29"/>
    <x v="0"/>
    <m/>
    <n v="-8"/>
  </r>
  <r>
    <s v="0529-0 HMI"/>
    <x v="2"/>
    <x v="13"/>
    <n v="18"/>
    <s v="盯船开"/>
    <x v="30"/>
    <x v="0"/>
    <m/>
    <n v="-6"/>
  </r>
  <r>
    <s v="0529-0 HMI"/>
    <x v="2"/>
    <x v="13"/>
    <n v="19"/>
    <s v="做费用(对账单日期4号)，放公共盘，填月账单表，发孙丹"/>
    <x v="30"/>
    <x v="0"/>
    <m/>
    <n v="-6"/>
  </r>
  <r>
    <s v="0529-0 KMM"/>
    <x v="3"/>
    <x v="13"/>
    <n v="1"/>
    <s v="收到客户(孙丹/王珊)发来订舱托书"/>
    <x v="13"/>
    <x v="0"/>
    <m/>
    <n v="-23"/>
  </r>
  <r>
    <s v="0529-0 KMM"/>
    <x v="3"/>
    <x v="13"/>
    <n v="2"/>
    <s v="YJC系统生成单子"/>
    <x v="13"/>
    <x v="0"/>
    <m/>
    <n v="-23"/>
  </r>
  <r>
    <s v="0529-0 KMM"/>
    <x v="3"/>
    <x v="13"/>
    <n v="3"/>
    <s v="收到CK发来预配(做箱通知，沈丽有收到？)，完善YJC系统数据"/>
    <x v="14"/>
    <x v="0"/>
    <m/>
    <n v="-21"/>
  </r>
  <r>
    <s v="0529-0 KMM"/>
    <x v="3"/>
    <x v="13"/>
    <n v="4"/>
    <s v="收到包装厂(刘倩梅)发来包装指示书和装箱计划"/>
    <x v="22"/>
    <x v="0"/>
    <s v="一般周四"/>
    <n v="-15"/>
  </r>
  <r>
    <s v="0529-0 KMM"/>
    <x v="3"/>
    <x v="13"/>
    <n v="5"/>
    <s v="根据装箱计划汇总包装数据，发各工厂做报关资料"/>
    <x v="22"/>
    <x v="0"/>
    <m/>
    <n v="-15"/>
  </r>
  <r>
    <s v="0529-0 KMM"/>
    <x v="3"/>
    <x v="13"/>
    <n v="6"/>
    <s v="做做箱数据，邮件群发"/>
    <x v="22"/>
    <x v="0"/>
    <m/>
    <n v="-15"/>
  </r>
  <r>
    <s v="0529-0 KMM"/>
    <x v="3"/>
    <x v="13"/>
    <n v="7"/>
    <s v="收到工厂发来报关资料并完善(代做报关资料跟客户确认)"/>
    <x v="22"/>
    <x v="0"/>
    <s v="当天至隔天"/>
    <n v="-15"/>
  </r>
  <r>
    <s v="0529-0 KMM"/>
    <x v="3"/>
    <x v="13"/>
    <n v="8"/>
    <s v="报关资料齐了，发报关行(黄寅文)，货运模板/发票/箱单"/>
    <x v="22"/>
    <x v="0"/>
    <m/>
    <n v="-15"/>
  </r>
  <r>
    <s v="0529-0 KMM"/>
    <x v="3"/>
    <x v="13"/>
    <n v="9"/>
    <s v="收到车队(沈丽)装箱单和洋山提箱截图(如有)，群发，通知发舱单"/>
    <x v="20"/>
    <x v="0"/>
    <s v="一般KMM五、HMI日"/>
    <n v="-14"/>
  </r>
  <r>
    <s v="0529-0 KMM"/>
    <x v="3"/>
    <x v="13"/>
    <n v="12"/>
    <s v="收到舱单发送成功通知，核对舱单信息"/>
    <x v="20"/>
    <x v="0"/>
    <m/>
    <n v="-14"/>
  </r>
  <r>
    <s v="0529-0 KMM"/>
    <x v="3"/>
    <x v="13"/>
    <n v="13"/>
    <s v="通知报关"/>
    <x v="20"/>
    <x v="0"/>
    <s v="调整顺序"/>
    <n v="-14"/>
  </r>
  <r>
    <s v="0529-0 KMM"/>
    <x v="3"/>
    <x v="13"/>
    <n v="14"/>
    <s v="报关成功"/>
    <x v="20"/>
    <x v="0"/>
    <s v="调整顺序"/>
    <n v="-14"/>
  </r>
  <r>
    <s v="0529-0 KMM"/>
    <x v="3"/>
    <x v="13"/>
    <n v="15"/>
    <s v="通知进港"/>
    <x v="20"/>
    <x v="0"/>
    <s v="调整顺序"/>
    <n v="-14"/>
  </r>
  <r>
    <s v="0529-0 KMM"/>
    <x v="3"/>
    <x v="13"/>
    <n v="16"/>
    <s v="进港(核对数据)"/>
    <x v="25"/>
    <x v="0"/>
    <s v="调整顺序"/>
    <n v="-13"/>
  </r>
  <r>
    <s v="0529-0 KMM"/>
    <x v="3"/>
    <x v="13"/>
    <n v="17"/>
    <s v="盯海放"/>
    <x v="25"/>
    <x v="0"/>
    <m/>
    <n v="-13"/>
  </r>
  <r>
    <s v="0529-0 KMM"/>
    <x v="3"/>
    <x v="13"/>
    <n v="18"/>
    <s v="盯码放"/>
    <x v="18"/>
    <x v="0"/>
    <m/>
    <n v="-11"/>
  </r>
  <r>
    <s v="0529-0 KMM"/>
    <x v="3"/>
    <x v="13"/>
    <n v="19"/>
    <s v="盯配载"/>
    <x v="3"/>
    <x v="0"/>
    <m/>
    <n v="-9"/>
  </r>
  <r>
    <s v="0529-0 KMM"/>
    <x v="3"/>
    <x v="13"/>
    <n v="20"/>
    <s v="盯船开"/>
    <x v="29"/>
    <x v="0"/>
    <m/>
    <n v="-8"/>
  </r>
  <r>
    <s v="0529-0 KMM"/>
    <x v="3"/>
    <x v="13"/>
    <n v="21"/>
    <s v="做费用(对账单日期4号)，放公共盘，填月账单表，发孙丹"/>
    <x v="31"/>
    <x v="0"/>
    <m/>
    <n v="-10"/>
  </r>
  <r>
    <s v="0529-0 WX mobis"/>
    <x v="7"/>
    <x v="13"/>
    <n v="1"/>
    <s v="收到胡媛媛发来订舱邮件"/>
    <x v="24"/>
    <x v="0"/>
    <m/>
    <n v="-43"/>
  </r>
  <r>
    <s v="0529-0 WX mobis"/>
    <x v="7"/>
    <x v="13"/>
    <n v="2"/>
    <s v="发订舱托书给万恒（翁小姐）"/>
    <x v="24"/>
    <x v="0"/>
    <m/>
    <n v="-43"/>
  </r>
  <r>
    <s v="0529-0 WX mobis"/>
    <x v="7"/>
    <x v="13"/>
    <n v="3"/>
    <s v="收到万恒（翁小姐）预配"/>
    <x v="24"/>
    <x v="0"/>
    <s v="一般三小时左右"/>
    <n v="-43"/>
  </r>
  <r>
    <s v="0529-0 WX mobis"/>
    <x v="7"/>
    <x v="13"/>
    <n v="4"/>
    <s v="通知胡媛媛订舱成功"/>
    <x v="24"/>
    <x v="0"/>
    <m/>
    <n v="-43"/>
  </r>
  <r>
    <s v="0529-0 WX mobis"/>
    <x v="7"/>
    <x v="13"/>
    <n v="5"/>
    <s v="发做箱通知邮件给车队(沈丽)"/>
    <x v="1"/>
    <x v="0"/>
    <m/>
    <n v="-29"/>
  </r>
  <r>
    <s v="0529-0 WX mobis"/>
    <x v="7"/>
    <x v="13"/>
    <n v="6"/>
    <s v="收到胡媛媛发来报关资料"/>
    <x v="17"/>
    <x v="0"/>
    <s v="船开前一周？"/>
    <n v="-16"/>
  </r>
  <r>
    <s v="0529-0 WX mobis"/>
    <x v="7"/>
    <x v="13"/>
    <n v="7"/>
    <s v="完善报关资料发报关行（黄寅文），要校对稿，做做箱数据给沈丽"/>
    <x v="17"/>
    <x v="0"/>
    <m/>
    <n v="-16"/>
  </r>
  <r>
    <s v="0529-0 WX mobis"/>
    <x v="7"/>
    <x v="13"/>
    <n v="8"/>
    <s v="买保险，做异地付款保函，发胡媛媛确认盖章回传"/>
    <x v="17"/>
    <x v="0"/>
    <m/>
    <n v="-16"/>
  </r>
  <r>
    <s v="0529-0 WX mobis"/>
    <x v="7"/>
    <x v="13"/>
    <n v="9"/>
    <s v="收到客户（胡媛媛）发来保函扫描件"/>
    <x v="17"/>
    <x v="0"/>
    <s v="一般马上"/>
    <n v="-16"/>
  </r>
  <r>
    <s v="0529-0 WX mobis"/>
    <x v="7"/>
    <x v="13"/>
    <n v="10"/>
    <s v="收到黄寅文校对稿，发客户（胡媛媛）确认"/>
    <x v="22"/>
    <x v="0"/>
    <s v="一般半天内"/>
    <n v="-15"/>
  </r>
  <r>
    <s v="0529-0 WX mobis"/>
    <x v="7"/>
    <x v="13"/>
    <n v="11"/>
    <s v="收到客户（胡媛媛）确认校对稿OK"/>
    <x v="22"/>
    <x v="0"/>
    <s v="一般马上"/>
    <n v="-15"/>
  </r>
  <r>
    <s v="0529-0 WX mobis"/>
    <x v="7"/>
    <x v="13"/>
    <n v="12"/>
    <s v="跟车队（沈丽）确认明天做箱，如有变动通知胡媛媛"/>
    <x v="22"/>
    <x v="0"/>
    <s v="截单前一天"/>
    <n v="-15"/>
  </r>
  <r>
    <s v="0529-0 WX mobis"/>
    <x v="7"/>
    <x v="13"/>
    <n v="13"/>
    <s v="收到沈丽发来装箱单"/>
    <x v="20"/>
    <x v="0"/>
    <s v="截单当天"/>
    <n v="-14"/>
  </r>
  <r>
    <s v="0529-0 WX mobis"/>
    <x v="7"/>
    <x v="13"/>
    <n v="14"/>
    <s v="完善截单资料发万恒（翁小姐），请求发舱单"/>
    <x v="20"/>
    <x v="0"/>
    <m/>
    <n v="-14"/>
  </r>
  <r>
    <s v="0529-0 WX mobis"/>
    <x v="7"/>
    <x v="13"/>
    <n v="15"/>
    <s v="收到舱单发送通知，核对舱单，装箱单发报关行报关"/>
    <x v="20"/>
    <x v="0"/>
    <m/>
    <n v="-14"/>
  </r>
  <r>
    <s v="0529-0 WX mobis"/>
    <x v="7"/>
    <x v="13"/>
    <n v="16"/>
    <s v="请求万恒（翁小姐）发提单样本"/>
    <x v="20"/>
    <x v="0"/>
    <m/>
    <n v="-14"/>
  </r>
  <r>
    <s v="0529-0 WX mobis"/>
    <x v="7"/>
    <x v="13"/>
    <n v="17"/>
    <s v="收到万恒（翁小姐）发来提单样本，发胡媛媛确认"/>
    <x v="20"/>
    <x v="0"/>
    <m/>
    <n v="-14"/>
  </r>
  <r>
    <s v="0529-0 WX mobis"/>
    <x v="7"/>
    <x v="13"/>
    <n v="18"/>
    <s v="收到胡媛媛提单确认"/>
    <x v="20"/>
    <x v="0"/>
    <m/>
    <n v="-14"/>
  </r>
  <r>
    <s v="0529-0 WX mobis"/>
    <x v="7"/>
    <x v="13"/>
    <n v="19"/>
    <s v="收到报关成功通知，通知车队可进港 "/>
    <x v="20"/>
    <x v="0"/>
    <m/>
    <n v="-14"/>
  </r>
  <r>
    <s v="0529-0 WX mobis"/>
    <x v="7"/>
    <x v="13"/>
    <n v="20"/>
    <s v="进港，核对数据"/>
    <x v="25"/>
    <x v="0"/>
    <m/>
    <n v="-13"/>
  </r>
  <r>
    <s v="0529-0 WX mobis"/>
    <x v="7"/>
    <x v="13"/>
    <n v="21"/>
    <s v="海放"/>
    <x v="25"/>
    <x v="0"/>
    <m/>
    <n v="-13"/>
  </r>
  <r>
    <s v="0529-0 WX mobis"/>
    <x v="7"/>
    <x v="13"/>
    <n v="22"/>
    <s v="码放"/>
    <x v="18"/>
    <x v="0"/>
    <m/>
    <n v="-11"/>
  </r>
  <r>
    <s v="0529-0 WX mobis"/>
    <x v="7"/>
    <x v="13"/>
    <n v="23"/>
    <s v="配载"/>
    <x v="3"/>
    <x v="0"/>
    <m/>
    <n v="-9"/>
  </r>
  <r>
    <s v="0529-0 WX mobis"/>
    <x v="7"/>
    <x v="13"/>
    <n v="24"/>
    <s v="开船"/>
    <x v="29"/>
    <x v="0"/>
    <m/>
    <n v="-8"/>
  </r>
  <r>
    <s v="0529-0 WX mobis"/>
    <x v="7"/>
    <x v="13"/>
    <n v="24.1"/>
    <s v="做费用，发账单给谢梦婕"/>
    <x v="3"/>
    <x v="0"/>
    <m/>
    <n v="-9"/>
  </r>
  <r>
    <s v="0529-0 WX mobis"/>
    <x v="7"/>
    <x v="13"/>
    <n v="25"/>
    <s v="收到万恒（翁小姐）提单，放提单和预录单给胡媛媛"/>
    <x v="29"/>
    <x v="0"/>
    <m/>
    <n v="-8"/>
  </r>
  <r>
    <s v="0531-0 JS mobis"/>
    <x v="5"/>
    <x v="14"/>
    <n v="1"/>
    <s v="收到客户(周嘉敏)订舱预报"/>
    <x v="14"/>
    <x v="0"/>
    <s v="一般周五发隔周"/>
    <n v="-21"/>
  </r>
  <r>
    <s v="0531-0 JS mobis"/>
    <x v="5"/>
    <x v="14"/>
    <n v="2"/>
    <s v="填WORKING PROCESS"/>
    <x v="14"/>
    <x v="0"/>
    <m/>
    <n v="-21"/>
  </r>
  <r>
    <s v="0531-0 JS mobis"/>
    <x v="5"/>
    <x v="14"/>
    <n v="3"/>
    <s v="收到HMM(Neo)预订舱邮件通知"/>
    <x v="16"/>
    <x v="0"/>
    <s v="一般周一发下周"/>
    <n v="-18"/>
  </r>
  <r>
    <s v="0531-0 JS mobis"/>
    <x v="5"/>
    <x v="14"/>
    <n v="4"/>
    <s v="回复HMM(Neo)预订舱邮件"/>
    <x v="16"/>
    <x v="0"/>
    <m/>
    <n v="-18"/>
  </r>
  <r>
    <s v="0531-0 JS mobis"/>
    <x v="5"/>
    <x v="14"/>
    <n v="5"/>
    <s v="收到HMM(Neo)预订舱确认"/>
    <x v="23"/>
    <x v="0"/>
    <s v="一般马上"/>
    <n v="-17"/>
  </r>
  <r>
    <s v="0531-0 JS mobis"/>
    <x v="5"/>
    <x v="14"/>
    <n v="6"/>
    <s v="公共盘生成提单号"/>
    <x v="23"/>
    <x v="0"/>
    <m/>
    <n v="-17"/>
  </r>
  <r>
    <s v="0531-0 JS mobis"/>
    <x v="5"/>
    <x v="14"/>
    <n v="7"/>
    <s v="YJC系统生成单子"/>
    <x v="23"/>
    <x v="0"/>
    <m/>
    <n v="-17"/>
  </r>
  <r>
    <s v="0531-0 JS mobis"/>
    <x v="5"/>
    <x v="14"/>
    <n v="8"/>
    <s v="发EDI"/>
    <x v="23"/>
    <x v="0"/>
    <m/>
    <n v="-17"/>
  </r>
  <r>
    <s v="0531-0 JS mobis"/>
    <x v="5"/>
    <x v="14"/>
    <n v="9"/>
    <s v="邮件申请放单"/>
    <x v="23"/>
    <x v="0"/>
    <m/>
    <n v="-17"/>
  </r>
  <r>
    <s v="0531-0 JS mobis"/>
    <x v="5"/>
    <x v="14"/>
    <n v="10"/>
    <s v="收到HMM(Neo) 放单确认"/>
    <x v="17"/>
    <x v="0"/>
    <s v="一般半天内"/>
    <n v="-16"/>
  </r>
  <r>
    <s v="0531-0 JS mobis"/>
    <x v="5"/>
    <x v="14"/>
    <n v="11"/>
    <s v="HMM网站核对订舱信息"/>
    <x v="17"/>
    <x v="0"/>
    <m/>
    <n v="-16"/>
  </r>
  <r>
    <s v="0531-0 JS mobis"/>
    <x v="5"/>
    <x v="14"/>
    <n v="12"/>
    <s v="收到客户(徐贵)做箱通知"/>
    <x v="18"/>
    <x v="0"/>
    <s v="一般做箱头天一早"/>
    <n v="-11"/>
  </r>
  <r>
    <s v="0531-0 JS mobis"/>
    <x v="5"/>
    <x v="14"/>
    <n v="13"/>
    <s v="发做箱通知邮件给车队(沈丽)"/>
    <x v="18"/>
    <x v="0"/>
    <m/>
    <n v="-11"/>
  </r>
  <r>
    <s v="0531-0 JS mobis"/>
    <x v="5"/>
    <x v="14"/>
    <n v="14"/>
    <s v="公共盘生成提单号【如需拆单】"/>
    <x v="18"/>
    <x v="0"/>
    <m/>
    <n v="-11"/>
  </r>
  <r>
    <s v="0531-0 JS mobis"/>
    <x v="5"/>
    <x v="14"/>
    <n v="15"/>
    <s v="YJC系统生成单子【如需拆单】"/>
    <x v="18"/>
    <x v="0"/>
    <m/>
    <n v="-11"/>
  </r>
  <r>
    <s v="0531-0 JS mobis"/>
    <x v="5"/>
    <x v="14"/>
    <n v="16"/>
    <s v="发EDI【如需拆单】"/>
    <x v="18"/>
    <x v="0"/>
    <m/>
    <n v="-11"/>
  </r>
  <r>
    <s v="0531-0 JS mobis"/>
    <x v="5"/>
    <x v="14"/>
    <n v="17"/>
    <s v="邮件申请放单【如需拆单】"/>
    <x v="18"/>
    <x v="0"/>
    <m/>
    <n v="-11"/>
  </r>
  <r>
    <s v="0531-0 JS mobis"/>
    <x v="5"/>
    <x v="14"/>
    <n v="18"/>
    <s v="收到HMM(Neo) 放单确认【如需拆单】"/>
    <x v="18"/>
    <x v="0"/>
    <m/>
    <n v="-11"/>
  </r>
  <r>
    <s v="0531-0 JS mobis"/>
    <x v="5"/>
    <x v="14"/>
    <n v="19"/>
    <s v="HMM网站核对订舱信息【如需拆单】"/>
    <x v="18"/>
    <x v="0"/>
    <m/>
    <n v="-11"/>
  </r>
  <r>
    <s v="0531-0 JS mobis"/>
    <x v="5"/>
    <x v="14"/>
    <n v="20"/>
    <s v="收到客户(徐贵)发来做箱数据(报关资料)"/>
    <x v="31"/>
    <x v="0"/>
    <s v="一般做箱当天一早"/>
    <n v="-10"/>
  </r>
  <r>
    <s v="0531-0 JS mobis"/>
    <x v="5"/>
    <x v="14"/>
    <n v="21"/>
    <s v="按报关(发票)数生成提单号【如发票数超过提单数】"/>
    <x v="31"/>
    <x v="0"/>
    <m/>
    <n v="-10"/>
  </r>
  <r>
    <s v="0531-0 JS mobis"/>
    <x v="5"/>
    <x v="14"/>
    <n v="22"/>
    <s v="做做箱数据，QQ发车队(沈丽)"/>
    <x v="31"/>
    <x v="0"/>
    <m/>
    <n v="-10"/>
  </r>
  <r>
    <s v="0531-0 JS mobis"/>
    <x v="5"/>
    <x v="14"/>
    <n v="23"/>
    <s v="做报关资料，扫描发报关行(黄寅文)QQ"/>
    <x v="31"/>
    <x v="0"/>
    <m/>
    <n v="-10"/>
  </r>
  <r>
    <s v="0531-0 JS mobis"/>
    <x v="5"/>
    <x v="14"/>
    <n v="24"/>
    <s v="收到车队(沈丽)装箱单，转发客户（徐贵）"/>
    <x v="31"/>
    <x v="0"/>
    <s v="一般马上"/>
    <n v="-10"/>
  </r>
  <r>
    <s v="0531-0 JS mobis"/>
    <x v="5"/>
    <x v="14"/>
    <n v="25"/>
    <s v="YJC系统截单，发EDI，邮件HMM(He)【截单时间】"/>
    <x v="31"/>
    <x v="0"/>
    <s v="注意截单时间"/>
    <n v="-10"/>
  </r>
  <r>
    <s v="0531-0 JS mobis"/>
    <x v="5"/>
    <x v="14"/>
    <n v="26"/>
    <s v="做保函给邹师傅"/>
    <x v="31"/>
    <x v="0"/>
    <m/>
    <n v="-10"/>
  </r>
  <r>
    <s v="0531-0 JS mobis"/>
    <x v="5"/>
    <x v="14"/>
    <n v="27"/>
    <s v="发VGM和舱单"/>
    <x v="31"/>
    <x v="0"/>
    <m/>
    <n v="-10"/>
  </r>
  <r>
    <s v="0531-0 JS mobis"/>
    <x v="5"/>
    <x v="14"/>
    <n v="28"/>
    <s v="做ISF，发国外资料"/>
    <x v="31"/>
    <x v="0"/>
    <m/>
    <n v="-10"/>
  </r>
  <r>
    <s v="0531-0 JS mobis"/>
    <x v="5"/>
    <x v="14"/>
    <n v="29"/>
    <s v="买保险"/>
    <x v="31"/>
    <x v="0"/>
    <m/>
    <n v="-10"/>
  </r>
  <r>
    <s v="0531-0 JS mobis"/>
    <x v="5"/>
    <x v="14"/>
    <n v="30"/>
    <s v="填WORKING PROCESS"/>
    <x v="31"/>
    <x v="0"/>
    <m/>
    <n v="-10"/>
  </r>
  <r>
    <s v="0531-0 JS mobis"/>
    <x v="5"/>
    <x v="14"/>
    <n v="30.1"/>
    <s v="做费用，发账单给谢梦婕"/>
    <x v="31"/>
    <x v="0"/>
    <s v="提前做账单"/>
    <n v="-10"/>
  </r>
  <r>
    <s v="0531-0 JS mobis"/>
    <x v="5"/>
    <x v="14"/>
    <n v="31"/>
    <s v="收到HMM(He)生成提单通知"/>
    <x v="31"/>
    <x v="0"/>
    <s v="一般马上"/>
    <n v="-10"/>
  </r>
  <r>
    <s v="0531-0 JS mobis"/>
    <x v="5"/>
    <x v="14"/>
    <n v="32"/>
    <s v="HMM网站核对提单信息"/>
    <x v="31"/>
    <x v="0"/>
    <m/>
    <n v="-10"/>
  </r>
  <r>
    <s v="0531-0 JS mobis"/>
    <x v="5"/>
    <x v="14"/>
    <n v="33"/>
    <s v="盯海关网站舱单"/>
    <x v="31"/>
    <x v="0"/>
    <s v="一般两小时左右"/>
    <n v="-10"/>
  </r>
  <r>
    <s v="0531-0 JS mobis"/>
    <x v="5"/>
    <x v="14"/>
    <n v="34"/>
    <s v="核对舱单信息"/>
    <x v="31"/>
    <x v="0"/>
    <m/>
    <n v="-10"/>
  </r>
  <r>
    <s v="0531-0 JS mobis"/>
    <x v="5"/>
    <x v="14"/>
    <n v="35"/>
    <s v="收到报关行(黄寅文)校对稿，邮件发客户(徐贵)确认"/>
    <x v="31"/>
    <x v="0"/>
    <s v="一般半天内"/>
    <n v="-10"/>
  </r>
  <r>
    <s v="0531-0 JS mobis"/>
    <x v="5"/>
    <x v="14"/>
    <n v="36"/>
    <s v="收到客户(徐贵)确认校对稿，通知报关行(黄寅文)"/>
    <x v="31"/>
    <x v="0"/>
    <s v="一般马上"/>
    <n v="-10"/>
  </r>
  <r>
    <s v="0531-0 JS mobis"/>
    <x v="5"/>
    <x v="14"/>
    <n v="37"/>
    <s v="通知报关行(黄寅文)报关(开港、舱单、校对)"/>
    <x v="31"/>
    <x v="0"/>
    <m/>
    <n v="-10"/>
  </r>
  <r>
    <s v="0531-0 JS mobis"/>
    <x v="5"/>
    <x v="14"/>
    <n v="38"/>
    <s v="收到报关成功通知"/>
    <x v="31"/>
    <x v="0"/>
    <s v="一般下班前"/>
    <n v="-10"/>
  </r>
  <r>
    <s v="0531-0 JS mobis"/>
    <x v="5"/>
    <x v="14"/>
    <n v="39"/>
    <s v="通知车队(沈丽)可进港"/>
    <x v="31"/>
    <x v="0"/>
    <m/>
    <n v="-10"/>
  </r>
  <r>
    <s v="0531-0 JS mobis"/>
    <x v="5"/>
    <x v="14"/>
    <n v="40"/>
    <s v="盯箱子进港"/>
    <x v="3"/>
    <x v="0"/>
    <m/>
    <n v="-9"/>
  </r>
  <r>
    <s v="0531-0 JS mobis"/>
    <x v="5"/>
    <x v="14"/>
    <n v="41"/>
    <s v="核对进港数据"/>
    <x v="3"/>
    <x v="0"/>
    <m/>
    <n v="-9"/>
  </r>
  <r>
    <s v="0531-0 JS mobis"/>
    <x v="5"/>
    <x v="14"/>
    <n v="42"/>
    <s v="盯海放"/>
    <x v="3"/>
    <x v="0"/>
    <m/>
    <n v="-9"/>
  </r>
  <r>
    <s v="0531-0 JS mobis"/>
    <x v="5"/>
    <x v="14"/>
    <n v="43"/>
    <s v="盯码放"/>
    <x v="29"/>
    <x v="0"/>
    <m/>
    <n v="-8"/>
  </r>
  <r>
    <s v="0531-0 JS mobis"/>
    <x v="5"/>
    <x v="14"/>
    <n v="44"/>
    <s v="盯配载"/>
    <x v="29"/>
    <x v="0"/>
    <m/>
    <n v="-8"/>
  </r>
  <r>
    <s v="0531-0 JS mobis"/>
    <x v="5"/>
    <x v="14"/>
    <n v="46"/>
    <s v="船开"/>
    <x v="30"/>
    <x v="0"/>
    <m/>
    <n v="-6"/>
  </r>
  <r>
    <s v="0531-0 JS mobis"/>
    <x v="5"/>
    <x v="14"/>
    <n v="47"/>
    <s v="放单"/>
    <x v="19"/>
    <x v="2"/>
    <s v="一般开船后两三天"/>
    <n v="3"/>
  </r>
  <r>
    <s v="0601-0 1 MONTH"/>
    <x v="1"/>
    <x v="15"/>
    <n v="1"/>
    <s v="TJ glovis当月额外费用汇总邮件"/>
    <x v="32"/>
    <x v="2"/>
    <s v="月底"/>
    <n v="13"/>
  </r>
  <r>
    <s v="0601-0 1 MONTH"/>
    <x v="1"/>
    <x v="15"/>
    <n v="2"/>
    <s v="收到保险公司（常）上月对账单，对账后回复常"/>
    <x v="26"/>
    <x v="0"/>
    <s v="一般上旬"/>
    <n v="-2"/>
  </r>
  <r>
    <s v="0601-0 1 MONTH"/>
    <x v="1"/>
    <x v="15"/>
    <n v="3"/>
    <s v="KMM HMI 0529的费用怎么弄？"/>
    <x v="33"/>
    <x v="2"/>
    <m/>
    <n v="7"/>
  </r>
  <r>
    <s v="0601-0 1 MONTH"/>
    <x v="1"/>
    <x v="15"/>
    <n v="4"/>
    <s v="CK TJ glovis有没有驳货费"/>
    <x v="34"/>
    <x v="2"/>
    <s v="月底"/>
    <n v="18"/>
  </r>
  <r>
    <s v="0601-0 1 MONTH"/>
    <x v="1"/>
    <x v="15"/>
    <n v="5"/>
    <s v="客户对账单，开票"/>
    <x v="35"/>
    <x v="2"/>
    <m/>
    <n v="21"/>
  </r>
  <r>
    <s v="0603-0 0 WEEK"/>
    <x v="4"/>
    <x v="16"/>
    <n v="1"/>
    <s v="收到HMM Neo 下周订舱邮件"/>
    <x v="36"/>
    <x v="0"/>
    <s v="周一"/>
    <n v="-4"/>
  </r>
  <r>
    <s v="0603-0 0 WEEK"/>
    <x v="4"/>
    <x v="16"/>
    <n v="2"/>
    <s v="根据JS mobis订舱需求回Neo邮件"/>
    <x v="36"/>
    <x v="0"/>
    <s v="周一"/>
    <n v="-4"/>
  </r>
  <r>
    <s v="0603-0 0 WEEK"/>
    <x v="4"/>
    <x v="16"/>
    <n v="3"/>
    <s v="SHA GLV WORKING PROCESS"/>
    <x v="36"/>
    <x v="0"/>
    <s v="周一"/>
    <n v="-4"/>
  </r>
  <r>
    <s v="0603-0 0 WEEK"/>
    <x v="4"/>
    <x v="16"/>
    <n v="4"/>
    <s v="SHA GLV WORKING PROCESS"/>
    <x v="26"/>
    <x v="0"/>
    <s v="周三"/>
    <n v="-2"/>
  </r>
  <r>
    <s v="0603-0 0 WEEK"/>
    <x v="4"/>
    <x v="16"/>
    <n v="5"/>
    <s v="TJ glovis额外费用邮件"/>
    <x v="19"/>
    <x v="0"/>
    <s v="周五"/>
    <n v="3"/>
  </r>
  <r>
    <s v="0603-0 0 WEEK"/>
    <x v="4"/>
    <x v="16"/>
    <n v="6"/>
    <s v="WORKING PROCESS"/>
    <x v="37"/>
    <x v="0"/>
    <s v="周五"/>
    <n v="0"/>
  </r>
  <r>
    <s v="0603-0 0 WEEK"/>
    <x v="4"/>
    <x v="16"/>
    <n v="7"/>
    <s v="万盛出运清单（下午三点）"/>
    <x v="38"/>
    <x v="0"/>
    <s v="周五"/>
    <n v="-1"/>
  </r>
  <r>
    <s v="0605-0 HMI"/>
    <x v="2"/>
    <x v="17"/>
    <n v="1"/>
    <s v="收到客户(孙丹/王珊)发来订舱托书"/>
    <x v="20"/>
    <x v="0"/>
    <m/>
    <n v="-14"/>
  </r>
  <r>
    <s v="0605-0 HMI"/>
    <x v="2"/>
    <x v="17"/>
    <n v="2"/>
    <s v="收到CK发来预配(做箱通知，沈丽有收到？)，完善YJC系统数据"/>
    <x v="3"/>
    <x v="0"/>
    <m/>
    <n v="-9"/>
  </r>
  <r>
    <s v="0605-0 HMI"/>
    <x v="2"/>
    <x v="17"/>
    <n v="3"/>
    <s v="YJC系统生成单子"/>
    <x v="31"/>
    <x v="0"/>
    <m/>
    <n v="-10"/>
  </r>
  <r>
    <s v="0605-0 HMI"/>
    <x v="2"/>
    <x v="17"/>
    <n v="4"/>
    <s v="收到包装厂(刘倩梅)发来包装指示书和装箱计划"/>
    <x v="29"/>
    <x v="0"/>
    <s v="一般周四"/>
    <n v="-8"/>
  </r>
  <r>
    <s v="0605-0 HMI"/>
    <x v="2"/>
    <x v="17"/>
    <n v="5"/>
    <s v="根据装箱计划汇总包装数据，发各工厂做报关资料"/>
    <x v="29"/>
    <x v="0"/>
    <m/>
    <n v="-8"/>
  </r>
  <r>
    <s v="0605-0 HMI"/>
    <x v="2"/>
    <x v="17"/>
    <n v="6"/>
    <s v="做做箱数据，邮件群发"/>
    <x v="29"/>
    <x v="0"/>
    <m/>
    <n v="-8"/>
  </r>
  <r>
    <s v="0605-0 HMI"/>
    <x v="2"/>
    <x v="17"/>
    <n v="7"/>
    <s v="收到工厂发来报关资料并完善(代做报关资料跟客户确认)"/>
    <x v="27"/>
    <x v="0"/>
    <s v="当天至隔天"/>
    <n v="-7"/>
  </r>
  <r>
    <s v="0605-0 HMI"/>
    <x v="2"/>
    <x v="17"/>
    <n v="8"/>
    <s v="报关资料齐了，发报关行(黄寅文)，货运模板/发票/箱单"/>
    <x v="39"/>
    <x v="0"/>
    <m/>
    <n v="-3"/>
  </r>
  <r>
    <s v="0605-0 HMI"/>
    <x v="2"/>
    <x v="17"/>
    <n v="9"/>
    <s v="确认开港时间再确认做箱时间"/>
    <x v="27"/>
    <x v="0"/>
    <s v="调整顺序"/>
    <n v="-7"/>
  </r>
  <r>
    <s v="0605-0 HMI"/>
    <x v="2"/>
    <x v="17"/>
    <n v="10"/>
    <s v="收到车队(沈丽)装箱单和洋山提箱截图(如有)，群发，通知发舱单"/>
    <x v="36"/>
    <x v="0"/>
    <s v="一般KMM五、HMI日"/>
    <n v="-4"/>
  </r>
  <r>
    <s v="0605-0 HMI"/>
    <x v="2"/>
    <x v="17"/>
    <n v="11"/>
    <s v="收到舱单发送成功通知，核对舱单信息"/>
    <x v="36"/>
    <x v="0"/>
    <m/>
    <n v="-4"/>
  </r>
  <r>
    <s v="0605-0 HMI"/>
    <x v="2"/>
    <x v="17"/>
    <n v="12"/>
    <s v="进港(核对数据)"/>
    <x v="39"/>
    <x v="0"/>
    <s v="调整顺序"/>
    <n v="-3"/>
  </r>
  <r>
    <s v="0605-0 HMI"/>
    <x v="2"/>
    <x v="17"/>
    <n v="13"/>
    <s v="通知报关"/>
    <x v="39"/>
    <x v="0"/>
    <s v="调整顺序"/>
    <n v="-3"/>
  </r>
  <r>
    <s v="0605-0 HMI"/>
    <x v="2"/>
    <x v="17"/>
    <n v="14"/>
    <s v="报关成功"/>
    <x v="39"/>
    <x v="0"/>
    <s v="调整顺序"/>
    <n v="-3"/>
  </r>
  <r>
    <s v="0605-0 HMI"/>
    <x v="2"/>
    <x v="17"/>
    <n v="15"/>
    <s v="盯海放"/>
    <x v="39"/>
    <x v="0"/>
    <m/>
    <n v="-3"/>
  </r>
  <r>
    <s v="0605-0 HMI"/>
    <x v="2"/>
    <x v="17"/>
    <n v="16"/>
    <s v="盯码放"/>
    <x v="26"/>
    <x v="0"/>
    <m/>
    <n v="-2"/>
  </r>
  <r>
    <s v="0605-0 HMI"/>
    <x v="2"/>
    <x v="17"/>
    <n v="17"/>
    <s v="盯配载"/>
    <x v="37"/>
    <x v="2"/>
    <m/>
    <n v="0"/>
  </r>
  <r>
    <s v="0605-0 HMI"/>
    <x v="2"/>
    <x v="17"/>
    <n v="18"/>
    <s v="盯船开"/>
    <x v="40"/>
    <x v="2"/>
    <m/>
    <n v="1"/>
  </r>
  <r>
    <s v="0605-0 HMI"/>
    <x v="2"/>
    <x v="17"/>
    <n v="19"/>
    <s v="做费用(对账单日期4号)，放公共盘，填月账单表，发孙丹"/>
    <x v="19"/>
    <x v="2"/>
    <m/>
    <n v="3"/>
  </r>
  <r>
    <s v="0605-0 JS mobis"/>
    <x v="5"/>
    <x v="17"/>
    <n v="1"/>
    <s v="收到客户(徐贵)订舱预报"/>
    <x v="18"/>
    <x v="0"/>
    <s v="一般周五发隔周"/>
    <n v="-11"/>
  </r>
  <r>
    <s v="0605-0 JS mobis"/>
    <x v="5"/>
    <x v="17"/>
    <n v="2"/>
    <s v="填WORKING PROCESS"/>
    <x v="18"/>
    <x v="0"/>
    <m/>
    <n v="-11"/>
  </r>
  <r>
    <s v="0605-0 JS mobis"/>
    <x v="5"/>
    <x v="17"/>
    <n v="3"/>
    <s v="收到HMM(Neo)预订舱邮件通知"/>
    <x v="18"/>
    <x v="0"/>
    <s v="一般周一发下周"/>
    <n v="-11"/>
  </r>
  <r>
    <s v="0605-0 JS mobis"/>
    <x v="5"/>
    <x v="17"/>
    <n v="4"/>
    <s v="回复HMM(Neo)预订舱邮件"/>
    <x v="18"/>
    <x v="0"/>
    <m/>
    <n v="-11"/>
  </r>
  <r>
    <s v="0605-0 JS mobis"/>
    <x v="5"/>
    <x v="17"/>
    <n v="5"/>
    <s v="收到HMM(Neo)预订舱确认"/>
    <x v="18"/>
    <x v="0"/>
    <s v="一般马上"/>
    <n v="-11"/>
  </r>
  <r>
    <s v="0605-0 JS mobis"/>
    <x v="5"/>
    <x v="17"/>
    <n v="6"/>
    <s v="公共盘生成提单号"/>
    <x v="18"/>
    <x v="0"/>
    <m/>
    <n v="-11"/>
  </r>
  <r>
    <s v="0605-0 JS mobis"/>
    <x v="5"/>
    <x v="17"/>
    <n v="7"/>
    <s v="YJC系统生成单子"/>
    <x v="18"/>
    <x v="0"/>
    <m/>
    <n v="-11"/>
  </r>
  <r>
    <s v="0605-0 JS mobis"/>
    <x v="5"/>
    <x v="17"/>
    <n v="8"/>
    <s v="发EDI"/>
    <x v="18"/>
    <x v="0"/>
    <m/>
    <n v="-11"/>
  </r>
  <r>
    <s v="0605-0 JS mobis"/>
    <x v="5"/>
    <x v="17"/>
    <n v="9"/>
    <s v="邮件申请放单"/>
    <x v="18"/>
    <x v="0"/>
    <m/>
    <n v="-11"/>
  </r>
  <r>
    <s v="0605-0 JS mobis"/>
    <x v="5"/>
    <x v="17"/>
    <n v="10"/>
    <s v="收到HMM(Neo) 放单确认"/>
    <x v="31"/>
    <x v="0"/>
    <s v="一般半天内"/>
    <n v="-10"/>
  </r>
  <r>
    <s v="0605-0 JS mobis"/>
    <x v="5"/>
    <x v="17"/>
    <n v="11"/>
    <s v="HMM网站核对订舱信息"/>
    <x v="31"/>
    <x v="0"/>
    <m/>
    <n v="-10"/>
  </r>
  <r>
    <s v="0605-0 JS mobis"/>
    <x v="5"/>
    <x v="17"/>
    <n v="12"/>
    <s v="收到客户(徐贵)做箱通知"/>
    <x v="29"/>
    <x v="0"/>
    <s v="一般做箱头天一早"/>
    <n v="-8"/>
  </r>
  <r>
    <s v="0605-0 JS mobis"/>
    <x v="5"/>
    <x v="17"/>
    <n v="13"/>
    <s v="发做箱通知邮件给车队(沈丽)"/>
    <x v="29"/>
    <x v="0"/>
    <m/>
    <n v="-8"/>
  </r>
  <r>
    <s v="0605-0 JS mobis"/>
    <x v="5"/>
    <x v="17"/>
    <n v="14"/>
    <s v="公共盘生成提单号【如需拆单】"/>
    <x v="29"/>
    <x v="0"/>
    <m/>
    <n v="-8"/>
  </r>
  <r>
    <s v="0605-0 JS mobis"/>
    <x v="5"/>
    <x v="17"/>
    <n v="15"/>
    <s v="YJC系统生成单子【如需拆单】"/>
    <x v="29"/>
    <x v="0"/>
    <m/>
    <n v="-8"/>
  </r>
  <r>
    <s v="0605-0 JS mobis"/>
    <x v="5"/>
    <x v="17"/>
    <n v="16"/>
    <s v="发EDI【如需拆单】"/>
    <x v="29"/>
    <x v="0"/>
    <m/>
    <n v="-8"/>
  </r>
  <r>
    <s v="0605-0 JS mobis"/>
    <x v="5"/>
    <x v="17"/>
    <n v="17"/>
    <s v="邮件申请放单【如需拆单】"/>
    <x v="29"/>
    <x v="0"/>
    <m/>
    <n v="-8"/>
  </r>
  <r>
    <s v="0605-0 JS mobis"/>
    <x v="5"/>
    <x v="17"/>
    <n v="18"/>
    <s v="收到HMM(Neo) 放单确认【如需拆单】"/>
    <x v="29"/>
    <x v="0"/>
    <m/>
    <n v="-8"/>
  </r>
  <r>
    <s v="0605-0 JS mobis"/>
    <x v="5"/>
    <x v="17"/>
    <n v="19"/>
    <s v="HMM网站核对订舱信息【如需拆单】"/>
    <x v="29"/>
    <x v="0"/>
    <m/>
    <n v="-8"/>
  </r>
  <r>
    <s v="0605-0 JS mobis"/>
    <x v="5"/>
    <x v="17"/>
    <n v="20"/>
    <s v="收到客户(徐贵)发来做箱数据(报关资料)"/>
    <x v="27"/>
    <x v="0"/>
    <s v="一般做箱当天一早"/>
    <n v="-7"/>
  </r>
  <r>
    <s v="0605-0 JS mobis"/>
    <x v="5"/>
    <x v="17"/>
    <n v="21"/>
    <s v="按报关(发票)数生成提单号【如发票数超过提单数】"/>
    <x v="27"/>
    <x v="0"/>
    <m/>
    <n v="-7"/>
  </r>
  <r>
    <s v="0605-0 JS mobis"/>
    <x v="5"/>
    <x v="17"/>
    <n v="22"/>
    <s v="做做箱数据，QQ发车队(沈丽)"/>
    <x v="27"/>
    <x v="0"/>
    <m/>
    <n v="-7"/>
  </r>
  <r>
    <s v="0605-0 JS mobis"/>
    <x v="5"/>
    <x v="17"/>
    <n v="23"/>
    <s v="收到车队(沈丽)装箱单，转发客户（徐贵）"/>
    <x v="27"/>
    <x v="0"/>
    <s v="一般马上"/>
    <n v="-7"/>
  </r>
  <r>
    <s v="0605-0 JS mobis"/>
    <x v="5"/>
    <x v="17"/>
    <n v="24"/>
    <s v="YJC系统截单，发EDI，邮件HMM(He)【截单时间】"/>
    <x v="27"/>
    <x v="0"/>
    <s v="注意截单时间"/>
    <n v="-7"/>
  </r>
  <r>
    <s v="0605-0 JS mobis"/>
    <x v="5"/>
    <x v="17"/>
    <n v="25"/>
    <s v="发VGM和舱单"/>
    <x v="27"/>
    <x v="0"/>
    <m/>
    <n v="-7"/>
  </r>
  <r>
    <s v="0605-0 JS mobis"/>
    <x v="5"/>
    <x v="17"/>
    <n v="26"/>
    <s v="做报关资料，扫描发报关行(黄寅文)QQ"/>
    <x v="27"/>
    <x v="0"/>
    <m/>
    <n v="-7"/>
  </r>
  <r>
    <s v="0605-0 JS mobis"/>
    <x v="5"/>
    <x v="17"/>
    <n v="27"/>
    <s v="做保函给邹师傅"/>
    <x v="27"/>
    <x v="0"/>
    <m/>
    <n v="-7"/>
  </r>
  <r>
    <s v="0605-0 JS mobis"/>
    <x v="5"/>
    <x v="17"/>
    <n v="28"/>
    <s v="做ISF，发国外资料"/>
    <x v="27"/>
    <x v="0"/>
    <m/>
    <n v="-7"/>
  </r>
  <r>
    <s v="0605-0 JS mobis"/>
    <x v="5"/>
    <x v="17"/>
    <n v="29"/>
    <s v="买保险"/>
    <x v="27"/>
    <x v="0"/>
    <m/>
    <n v="-7"/>
  </r>
  <r>
    <s v="0605-0 JS mobis"/>
    <x v="5"/>
    <x v="17"/>
    <n v="30"/>
    <s v="填WORKING PROCESS"/>
    <x v="27"/>
    <x v="0"/>
    <m/>
    <n v="-7"/>
  </r>
  <r>
    <s v="0605-0 JS mobis"/>
    <x v="5"/>
    <x v="17"/>
    <n v="31"/>
    <s v="收到HMM(He)生成提单通知"/>
    <x v="27"/>
    <x v="0"/>
    <s v="一般马上"/>
    <n v="-7"/>
  </r>
  <r>
    <s v="0605-0 JS mobis"/>
    <x v="5"/>
    <x v="17"/>
    <n v="32"/>
    <s v="HMM网站核对提单信息"/>
    <x v="27"/>
    <x v="0"/>
    <m/>
    <n v="-7"/>
  </r>
  <r>
    <s v="0605-0 JS mobis"/>
    <x v="5"/>
    <x v="17"/>
    <n v="33"/>
    <s v="盯海关网站舱单"/>
    <x v="27"/>
    <x v="0"/>
    <s v="一般两小时左右"/>
    <n v="-7"/>
  </r>
  <r>
    <s v="0605-0 JS mobis"/>
    <x v="5"/>
    <x v="17"/>
    <n v="34"/>
    <s v="核对舱单信息"/>
    <x v="27"/>
    <x v="0"/>
    <m/>
    <n v="-7"/>
  </r>
  <r>
    <s v="0605-0 JS mobis"/>
    <x v="5"/>
    <x v="17"/>
    <n v="35"/>
    <s v="收到报关行(黄寅文)校对稿，邮件发客户(徐贵)确认"/>
    <x v="27"/>
    <x v="0"/>
    <s v="一般半天内"/>
    <n v="-7"/>
  </r>
  <r>
    <s v="0605-0 JS mobis"/>
    <x v="5"/>
    <x v="17"/>
    <n v="36"/>
    <s v="收到客户(徐贵)确认校对稿"/>
    <x v="30"/>
    <x v="0"/>
    <s v="一般马上"/>
    <n v="-6"/>
  </r>
  <r>
    <s v="0605-0 JS mobis"/>
    <x v="5"/>
    <x v="17"/>
    <n v="37"/>
    <s v="通知车队(沈丽)可进港"/>
    <x v="27"/>
    <x v="0"/>
    <m/>
    <n v="-7"/>
  </r>
  <r>
    <s v="0605-0 JS mobis"/>
    <x v="5"/>
    <x v="17"/>
    <n v="38"/>
    <s v="盯箱子进港"/>
    <x v="41"/>
    <x v="0"/>
    <m/>
    <n v="-5"/>
  </r>
  <r>
    <s v="0605-0 JS mobis"/>
    <x v="5"/>
    <x v="17"/>
    <n v="39"/>
    <s v="核对进港数据"/>
    <x v="41"/>
    <x v="0"/>
    <m/>
    <n v="-5"/>
  </r>
  <r>
    <s v="0605-0 JS mobis"/>
    <x v="5"/>
    <x v="17"/>
    <n v="40"/>
    <s v="通知报关行(黄寅文)报关(开港、舱单、校对)"/>
    <x v="41"/>
    <x v="0"/>
    <m/>
    <n v="-5"/>
  </r>
  <r>
    <s v="0605-0 JS mobis"/>
    <x v="5"/>
    <x v="17"/>
    <n v="41"/>
    <s v="收到报关成功通知"/>
    <x v="41"/>
    <x v="0"/>
    <s v="一般下班前"/>
    <n v="-5"/>
  </r>
  <r>
    <s v="0605-0 JS mobis"/>
    <x v="5"/>
    <x v="17"/>
    <n v="42"/>
    <s v="盯海放"/>
    <x v="41"/>
    <x v="0"/>
    <m/>
    <n v="-5"/>
  </r>
  <r>
    <s v="0605-0 JS mobis"/>
    <x v="5"/>
    <x v="17"/>
    <n v="43"/>
    <s v="盯码放"/>
    <x v="39"/>
    <x v="0"/>
    <m/>
    <n v="-3"/>
  </r>
  <r>
    <s v="0605-0 JS mobis"/>
    <x v="5"/>
    <x v="17"/>
    <n v="44"/>
    <s v="盯配载"/>
    <x v="26"/>
    <x v="0"/>
    <m/>
    <n v="-2"/>
  </r>
  <r>
    <s v="0605-0 JS mobis"/>
    <x v="5"/>
    <x v="17"/>
    <n v="45"/>
    <s v="做费用(月初等汇率)，发账单给石磊"/>
    <x v="26"/>
    <x v="0"/>
    <m/>
    <n v="-2"/>
  </r>
  <r>
    <s v="0605-0 JS mobis"/>
    <x v="5"/>
    <x v="17"/>
    <n v="46"/>
    <s v="船开"/>
    <x v="40"/>
    <x v="2"/>
    <m/>
    <n v="1"/>
  </r>
  <r>
    <s v="0605-0 JS mobis"/>
    <x v="5"/>
    <x v="17"/>
    <n v="47"/>
    <s v="放单"/>
    <x v="19"/>
    <x v="2"/>
    <s v="一般开船后两三天"/>
    <n v="3"/>
  </r>
  <r>
    <s v="0605-0 KMM"/>
    <x v="3"/>
    <x v="17"/>
    <n v="1"/>
    <s v="收到客户(孙丹/王珊)发来订舱托书"/>
    <x v="22"/>
    <x v="0"/>
    <m/>
    <n v="-15"/>
  </r>
  <r>
    <s v="0605-0 KMM"/>
    <x v="3"/>
    <x v="17"/>
    <n v="2"/>
    <s v="收到CK发来预配(做箱通知，沈丽有收到？)，完善YJC系统数据"/>
    <x v="18"/>
    <x v="0"/>
    <m/>
    <n v="-11"/>
  </r>
  <r>
    <s v="0605-0 KMM"/>
    <x v="3"/>
    <x v="17"/>
    <n v="3"/>
    <s v="YJC系统生成单子"/>
    <x v="18"/>
    <x v="0"/>
    <m/>
    <n v="-11"/>
  </r>
  <r>
    <s v="0605-0 KMM"/>
    <x v="3"/>
    <x v="17"/>
    <n v="4"/>
    <s v="收到包装厂(刘倩梅)发来包装指示书和装箱计划"/>
    <x v="29"/>
    <x v="0"/>
    <s v="一般周四"/>
    <n v="-8"/>
  </r>
  <r>
    <s v="0605-0 KMM"/>
    <x v="3"/>
    <x v="17"/>
    <n v="5"/>
    <s v="根据装箱计划汇总包装数据，发各工厂做报关资料"/>
    <x v="29"/>
    <x v="0"/>
    <m/>
    <n v="-8"/>
  </r>
  <r>
    <s v="0605-0 KMM"/>
    <x v="3"/>
    <x v="17"/>
    <n v="6"/>
    <s v="做做箱数据，邮件群发"/>
    <x v="29"/>
    <x v="0"/>
    <m/>
    <n v="-8"/>
  </r>
  <r>
    <s v="0605-0 KMM"/>
    <x v="3"/>
    <x v="17"/>
    <n v="7"/>
    <s v="收到工厂发来报关资料并完善(代做报关资料跟客户确认)"/>
    <x v="27"/>
    <x v="0"/>
    <s v="当天至隔天"/>
    <n v="-7"/>
  </r>
  <r>
    <s v="0605-0 KMM"/>
    <x v="3"/>
    <x v="17"/>
    <n v="8"/>
    <s v="报关资料齐了，发报关行(黄寅文)，货运模板/发票/箱单"/>
    <x v="39"/>
    <x v="0"/>
    <m/>
    <n v="-3"/>
  </r>
  <r>
    <s v="0605-0 KMM"/>
    <x v="3"/>
    <x v="17"/>
    <n v="9"/>
    <s v="收到车队(沈丽)装箱单和洋山提箱截图(如有)，群发，通知发舱单"/>
    <x v="27"/>
    <x v="0"/>
    <s v="一般KMM五、HMI日"/>
    <n v="-7"/>
  </r>
  <r>
    <s v="0605-0 KMM"/>
    <x v="3"/>
    <x v="17"/>
    <n v="10"/>
    <s v="收到舱单发送成功通知，核对舱单信息"/>
    <x v="27"/>
    <x v="0"/>
    <m/>
    <n v="-7"/>
  </r>
  <r>
    <s v="0605-0 KMM"/>
    <x v="3"/>
    <x v="17"/>
    <n v="11"/>
    <s v="通知报关"/>
    <x v="27"/>
    <x v="0"/>
    <s v="调整顺序"/>
    <n v="-7"/>
  </r>
  <r>
    <s v="0605-0 KMM"/>
    <x v="3"/>
    <x v="17"/>
    <n v="12"/>
    <s v="报关成功"/>
    <x v="27"/>
    <x v="0"/>
    <s v="调整顺序"/>
    <n v="-7"/>
  </r>
  <r>
    <s v="0605-0 KMM"/>
    <x v="3"/>
    <x v="17"/>
    <n v="13"/>
    <s v="通知进港"/>
    <x v="27"/>
    <x v="0"/>
    <s v="调整顺序"/>
    <n v="-7"/>
  </r>
  <r>
    <s v="0605-0 KMM"/>
    <x v="3"/>
    <x v="17"/>
    <n v="14"/>
    <s v="进港(核对数据)"/>
    <x v="27"/>
    <x v="0"/>
    <s v="调整顺序"/>
    <n v="-7"/>
  </r>
  <r>
    <s v="0605-0 KMM"/>
    <x v="3"/>
    <x v="17"/>
    <n v="15"/>
    <s v="盯海放"/>
    <x v="27"/>
    <x v="0"/>
    <m/>
    <n v="-7"/>
  </r>
  <r>
    <s v="0605-0 KMM"/>
    <x v="3"/>
    <x v="17"/>
    <n v="16"/>
    <s v="盯码放"/>
    <x v="36"/>
    <x v="0"/>
    <m/>
    <n v="-4"/>
  </r>
  <r>
    <s v="0605-0 KMM"/>
    <x v="3"/>
    <x v="17"/>
    <n v="17"/>
    <s v="盯配载"/>
    <x v="26"/>
    <x v="0"/>
    <m/>
    <n v="-2"/>
  </r>
  <r>
    <s v="0605-0 KMM"/>
    <x v="3"/>
    <x v="17"/>
    <n v="18"/>
    <s v="盯船开"/>
    <x v="38"/>
    <x v="0"/>
    <m/>
    <n v="-1"/>
  </r>
  <r>
    <s v="0605-0 KMM"/>
    <x v="3"/>
    <x v="17"/>
    <n v="19"/>
    <s v="做费用(对账单日期4号)，放公共盘，填月账单表，发孙丹"/>
    <x v="19"/>
    <x v="2"/>
    <m/>
    <n v="3"/>
  </r>
  <r>
    <s v="0607-0 JS mobis"/>
    <x v="5"/>
    <x v="18"/>
    <n v="1"/>
    <s v="收到客户(徐贵)订舱预报"/>
    <x v="18"/>
    <x v="0"/>
    <s v="一般周五发隔周"/>
    <n v="-11"/>
  </r>
  <r>
    <s v="0607-0 JS mobis"/>
    <x v="5"/>
    <x v="18"/>
    <n v="2"/>
    <s v="填WORKING PROCESS"/>
    <x v="18"/>
    <x v="0"/>
    <m/>
    <n v="-11"/>
  </r>
  <r>
    <s v="0607-0 JS mobis"/>
    <x v="5"/>
    <x v="18"/>
    <n v="3"/>
    <s v="收到HMM(Neo)预订舱邮件通知"/>
    <x v="18"/>
    <x v="0"/>
    <s v="一般周一发下周"/>
    <n v="-11"/>
  </r>
  <r>
    <s v="0607-0 JS mobis"/>
    <x v="5"/>
    <x v="18"/>
    <n v="4"/>
    <s v="回复HMM(Neo)预订舱邮件"/>
    <x v="18"/>
    <x v="0"/>
    <m/>
    <n v="-11"/>
  </r>
  <r>
    <s v="0607-0 JS mobis"/>
    <x v="5"/>
    <x v="18"/>
    <n v="5"/>
    <s v="收到HMM(Neo)预订舱确认"/>
    <x v="18"/>
    <x v="0"/>
    <s v="一般马上"/>
    <n v="-11"/>
  </r>
  <r>
    <s v="0607-0 JS mobis"/>
    <x v="5"/>
    <x v="18"/>
    <n v="6"/>
    <s v="公共盘生成提单号"/>
    <x v="18"/>
    <x v="0"/>
    <m/>
    <n v="-11"/>
  </r>
  <r>
    <s v="0607-0 JS mobis"/>
    <x v="5"/>
    <x v="18"/>
    <n v="7"/>
    <s v="YJC系统生成单子"/>
    <x v="18"/>
    <x v="0"/>
    <m/>
    <n v="-11"/>
  </r>
  <r>
    <s v="0607-0 JS mobis"/>
    <x v="5"/>
    <x v="18"/>
    <n v="8"/>
    <s v="发EDI"/>
    <x v="18"/>
    <x v="0"/>
    <m/>
    <n v="-11"/>
  </r>
  <r>
    <s v="0607-0 JS mobis"/>
    <x v="5"/>
    <x v="18"/>
    <n v="9"/>
    <s v="邮件申请放单"/>
    <x v="18"/>
    <x v="0"/>
    <m/>
    <n v="-11"/>
  </r>
  <r>
    <s v="0607-0 JS mobis"/>
    <x v="5"/>
    <x v="18"/>
    <n v="10"/>
    <s v="收到HMM(Neo) 放单确认"/>
    <x v="31"/>
    <x v="0"/>
    <s v="一般半天内"/>
    <n v="-10"/>
  </r>
  <r>
    <s v="0607-0 JS mobis"/>
    <x v="5"/>
    <x v="18"/>
    <n v="11"/>
    <s v="HMM网站核对订舱信息"/>
    <x v="31"/>
    <x v="0"/>
    <m/>
    <n v="-10"/>
  </r>
  <r>
    <s v="0607-0 JS mobis"/>
    <x v="5"/>
    <x v="18"/>
    <n v="12"/>
    <s v="收到客户(徐贵)做箱通知"/>
    <x v="36"/>
    <x v="0"/>
    <s v="一般做箱头天一早"/>
    <n v="-4"/>
  </r>
  <r>
    <s v="0607-0 JS mobis"/>
    <x v="5"/>
    <x v="18"/>
    <n v="13"/>
    <s v="发做箱通知邮件给车队(沈丽)"/>
    <x v="36"/>
    <x v="0"/>
    <m/>
    <n v="-4"/>
  </r>
  <r>
    <s v="0607-0 JS mobis"/>
    <x v="5"/>
    <x v="18"/>
    <n v="14"/>
    <s v="公共盘生成提单号【如需拆单】"/>
    <x v="36"/>
    <x v="0"/>
    <m/>
    <n v="-4"/>
  </r>
  <r>
    <s v="0607-0 JS mobis"/>
    <x v="5"/>
    <x v="18"/>
    <n v="15"/>
    <s v="YJC系统生成单子【如需拆单】"/>
    <x v="36"/>
    <x v="0"/>
    <m/>
    <n v="-4"/>
  </r>
  <r>
    <s v="0607-0 JS mobis"/>
    <x v="5"/>
    <x v="18"/>
    <n v="16"/>
    <s v="发EDI【如需拆单】"/>
    <x v="36"/>
    <x v="0"/>
    <m/>
    <n v="-4"/>
  </r>
  <r>
    <s v="0607-0 JS mobis"/>
    <x v="5"/>
    <x v="18"/>
    <n v="17"/>
    <s v="邮件申请放单【如需拆单】"/>
    <x v="36"/>
    <x v="0"/>
    <m/>
    <n v="-4"/>
  </r>
  <r>
    <s v="0607-0 JS mobis"/>
    <x v="5"/>
    <x v="18"/>
    <n v="18"/>
    <s v="收到HMM(Neo) 放单确认【如需拆单】"/>
    <x v="36"/>
    <x v="0"/>
    <m/>
    <n v="-4"/>
  </r>
  <r>
    <s v="0607-0 JS mobis"/>
    <x v="5"/>
    <x v="18"/>
    <n v="19"/>
    <s v="HMM网站核对订舱信息【如需拆单】"/>
    <x v="36"/>
    <x v="0"/>
    <m/>
    <n v="-4"/>
  </r>
  <r>
    <s v="0607-0 JS mobis"/>
    <x v="5"/>
    <x v="18"/>
    <n v="20"/>
    <s v="收到客户(徐贵)发来做箱数据(报关资料)"/>
    <x v="39"/>
    <x v="0"/>
    <s v="一般做箱当天一早"/>
    <n v="-3"/>
  </r>
  <r>
    <s v="0607-0 JS mobis"/>
    <x v="5"/>
    <x v="18"/>
    <n v="21"/>
    <s v="按报关(发票)数生成提单号【如发票数超过提单数】"/>
    <x v="39"/>
    <x v="0"/>
    <m/>
    <n v="-3"/>
  </r>
  <r>
    <s v="0607-0 JS mobis"/>
    <x v="5"/>
    <x v="18"/>
    <n v="22"/>
    <s v="做做箱数据，QQ发车队(沈丽)"/>
    <x v="39"/>
    <x v="0"/>
    <m/>
    <n v="-3"/>
  </r>
  <r>
    <s v="0607-0 JS mobis"/>
    <x v="5"/>
    <x v="18"/>
    <n v="23"/>
    <s v="收到车队(沈丽)装箱单，转发客户（徐贵）"/>
    <x v="39"/>
    <x v="0"/>
    <s v="一般马上"/>
    <n v="-3"/>
  </r>
  <r>
    <s v="0607-0 JS mobis"/>
    <x v="5"/>
    <x v="18"/>
    <n v="24"/>
    <s v="YJC系统截单，发EDI，邮件HMM(He)【截单时间】"/>
    <x v="39"/>
    <x v="0"/>
    <s v="注意截单时间"/>
    <n v="-3"/>
  </r>
  <r>
    <s v="0607-0 JS mobis"/>
    <x v="5"/>
    <x v="18"/>
    <n v="25"/>
    <s v="发VGM和舱单"/>
    <x v="39"/>
    <x v="0"/>
    <m/>
    <n v="-3"/>
  </r>
  <r>
    <s v="0607-0 JS mobis"/>
    <x v="5"/>
    <x v="18"/>
    <n v="26"/>
    <s v="做报关资料，扫描发报关行(黄寅文)QQ"/>
    <x v="39"/>
    <x v="0"/>
    <m/>
    <n v="-3"/>
  </r>
  <r>
    <s v="0607-0 JS mobis"/>
    <x v="5"/>
    <x v="18"/>
    <n v="27"/>
    <s v="做保函给邹师傅"/>
    <x v="39"/>
    <x v="0"/>
    <m/>
    <n v="-3"/>
  </r>
  <r>
    <s v="0607-0 JS mobis"/>
    <x v="5"/>
    <x v="18"/>
    <n v="28"/>
    <s v="做ISF，发国外资料"/>
    <x v="39"/>
    <x v="0"/>
    <m/>
    <n v="-3"/>
  </r>
  <r>
    <s v="0607-0 JS mobis"/>
    <x v="5"/>
    <x v="18"/>
    <n v="29"/>
    <s v="买保险"/>
    <x v="39"/>
    <x v="0"/>
    <m/>
    <n v="-3"/>
  </r>
  <r>
    <s v="0607-0 JS mobis"/>
    <x v="5"/>
    <x v="18"/>
    <n v="31"/>
    <s v="收到HMM(He)生成提单通知"/>
    <x v="39"/>
    <x v="0"/>
    <s v="一般马上"/>
    <n v="-3"/>
  </r>
  <r>
    <s v="0607-0 JS mobis"/>
    <x v="5"/>
    <x v="18"/>
    <n v="32"/>
    <s v="HMM网站核对提单信息"/>
    <x v="38"/>
    <x v="0"/>
    <m/>
    <n v="-1"/>
  </r>
  <r>
    <s v="0607-0 JS mobis"/>
    <x v="5"/>
    <x v="18"/>
    <n v="33"/>
    <s v="盯海关网站舱单"/>
    <x v="39"/>
    <x v="0"/>
    <s v="一般两小时左右"/>
    <n v="-3"/>
  </r>
  <r>
    <s v="0607-0 JS mobis"/>
    <x v="5"/>
    <x v="18"/>
    <n v="34"/>
    <s v="核对舱单信息"/>
    <x v="39"/>
    <x v="0"/>
    <m/>
    <n v="-3"/>
  </r>
  <r>
    <s v="0607-0 JS mobis"/>
    <x v="5"/>
    <x v="18"/>
    <n v="35"/>
    <s v="收到报关行(黄寅文)校对稿，邮件发客户(徐贵)确认"/>
    <x v="39"/>
    <x v="0"/>
    <s v="一般半天内"/>
    <n v="-3"/>
  </r>
  <r>
    <s v="0607-0 JS mobis"/>
    <x v="5"/>
    <x v="18"/>
    <n v="36"/>
    <s v="收到客户(徐贵)确认校对稿"/>
    <x v="39"/>
    <x v="0"/>
    <s v="一般马上"/>
    <n v="-3"/>
  </r>
  <r>
    <s v="0607-0 JS mobis"/>
    <x v="5"/>
    <x v="18"/>
    <n v="37"/>
    <s v="通知报关行(黄寅文)报关(开港、舱单、校对)"/>
    <x v="39"/>
    <x v="0"/>
    <m/>
    <n v="-3"/>
  </r>
  <r>
    <s v="0607-0 JS mobis"/>
    <x v="5"/>
    <x v="18"/>
    <n v="38"/>
    <s v="收到报关成功通知"/>
    <x v="39"/>
    <x v="0"/>
    <s v="一般下班前"/>
    <n v="-3"/>
  </r>
  <r>
    <s v="0607-0 JS mobis"/>
    <x v="5"/>
    <x v="18"/>
    <n v="39"/>
    <s v="通知车队(沈丽)可进港"/>
    <x v="39"/>
    <x v="0"/>
    <m/>
    <n v="-3"/>
  </r>
  <r>
    <s v="0607-0 JS mobis"/>
    <x v="5"/>
    <x v="18"/>
    <n v="40"/>
    <s v="盯箱子进港"/>
    <x v="26"/>
    <x v="0"/>
    <m/>
    <n v="-2"/>
  </r>
  <r>
    <s v="0607-0 JS mobis"/>
    <x v="5"/>
    <x v="18"/>
    <n v="41"/>
    <s v="核对进港数据"/>
    <x v="26"/>
    <x v="0"/>
    <m/>
    <n v="-2"/>
  </r>
  <r>
    <s v="0607-0 JS mobis"/>
    <x v="5"/>
    <x v="18"/>
    <n v="42"/>
    <s v="盯海放"/>
    <x v="26"/>
    <x v="0"/>
    <m/>
    <n v="-2"/>
  </r>
  <r>
    <s v="0607-0 JS mobis"/>
    <x v="5"/>
    <x v="18"/>
    <n v="43"/>
    <s v="盯码放"/>
    <x v="38"/>
    <x v="0"/>
    <m/>
    <n v="-1"/>
  </r>
  <r>
    <s v="0607-0 JS mobis"/>
    <x v="5"/>
    <x v="18"/>
    <n v="44"/>
    <s v="盯配载"/>
    <x v="37"/>
    <x v="2"/>
    <m/>
    <n v="0"/>
  </r>
  <r>
    <s v="0607-0 JS mobis"/>
    <x v="5"/>
    <x v="18"/>
    <n v="45"/>
    <s v="做费用(月初等汇率)，发账单给石磊"/>
    <x v="19"/>
    <x v="2"/>
    <m/>
    <n v="3"/>
  </r>
  <r>
    <s v="0607-0 JS mobis"/>
    <x v="5"/>
    <x v="18"/>
    <n v="46"/>
    <s v="船开"/>
    <x v="40"/>
    <x v="2"/>
    <m/>
    <n v="1"/>
  </r>
  <r>
    <s v="0607-0 JS mobis"/>
    <x v="5"/>
    <x v="18"/>
    <n v="47"/>
    <s v="放单"/>
    <x v="19"/>
    <x v="2"/>
    <s v="一般开船后两三天"/>
    <n v="3"/>
  </r>
  <r>
    <s v="0607-0 SC glovis"/>
    <x v="6"/>
    <x v="18"/>
    <n v="1"/>
    <s v="收到客户托书"/>
    <x v="17"/>
    <x v="0"/>
    <m/>
    <n v="-16"/>
  </r>
  <r>
    <s v="0607-0 SC glovis"/>
    <x v="6"/>
    <x v="18"/>
    <n v="2"/>
    <s v="生成单号，YJC系统，发EDI，邮件Neo放舱"/>
    <x v="18"/>
    <x v="0"/>
    <m/>
    <n v="-11"/>
  </r>
  <r>
    <s v="0607-0 SC glovis"/>
    <x v="6"/>
    <x v="18"/>
    <n v="3"/>
    <s v="收到Neo放舱确认"/>
    <x v="31"/>
    <x v="0"/>
    <m/>
    <n v="-10"/>
  </r>
  <r>
    <s v="0607-0 SC glovis"/>
    <x v="6"/>
    <x v="18"/>
    <n v="4"/>
    <s v="发预配信息给客户（张婷）"/>
    <x v="31"/>
    <x v="0"/>
    <m/>
    <n v="-10"/>
  </r>
  <r>
    <s v="0607-0 SC glovis"/>
    <x v="6"/>
    <x v="18"/>
    <n v="5"/>
    <s v="收到客户（张婷）报关资料"/>
    <x v="29"/>
    <x v="0"/>
    <m/>
    <n v="-8"/>
  </r>
  <r>
    <s v="0607-0 SC glovis"/>
    <x v="6"/>
    <x v="18"/>
    <n v="6"/>
    <s v="做报关资料，发报关行（黄寅文），要校对稿"/>
    <x v="29"/>
    <x v="0"/>
    <m/>
    <n v="-8"/>
  </r>
  <r>
    <s v="0607-0 SC glovis"/>
    <x v="6"/>
    <x v="18"/>
    <n v="7"/>
    <s v="收到校对稿，发客户"/>
    <x v="29"/>
    <x v="0"/>
    <m/>
    <n v="-8"/>
  </r>
  <r>
    <s v="0607-0 SC glovis"/>
    <x v="6"/>
    <x v="18"/>
    <n v="8"/>
    <s v="收到校对稿确认"/>
    <x v="27"/>
    <x v="0"/>
    <m/>
    <n v="-7"/>
  </r>
  <r>
    <s v="0607-0 SC glovis"/>
    <x v="6"/>
    <x v="18"/>
    <n v="9"/>
    <s v="收到客户（张婷）舱单模板和VGM"/>
    <x v="36"/>
    <x v="0"/>
    <s v="今天能放箱装？"/>
    <n v="-4"/>
  </r>
  <r>
    <s v="0607-0 SC glovis"/>
    <x v="6"/>
    <x v="18"/>
    <n v="10"/>
    <s v="发舱单和VGM"/>
    <x v="36"/>
    <x v="0"/>
    <m/>
    <n v="-4"/>
  </r>
  <r>
    <s v="0607-0 SC glovis"/>
    <x v="6"/>
    <x v="18"/>
    <n v="11"/>
    <s v="YJC系统改准确数据，发ESI，做AMS模板并邮件何生成提单"/>
    <x v="36"/>
    <x v="0"/>
    <m/>
    <n v="-4"/>
  </r>
  <r>
    <s v="0607-0 SC glovis"/>
    <x v="6"/>
    <x v="18"/>
    <n v="12"/>
    <s v="收到生成提单邮件，网站核对信息"/>
    <x v="36"/>
    <x v="0"/>
    <m/>
    <n v="-4"/>
  </r>
  <r>
    <s v="0607-0 SC glovis"/>
    <x v="6"/>
    <x v="18"/>
    <n v="13"/>
    <s v="发提单确认（两份）"/>
    <x v="38"/>
    <x v="0"/>
    <m/>
    <n v="-1"/>
  </r>
  <r>
    <s v="0607-0 SC glovis"/>
    <x v="6"/>
    <x v="18"/>
    <n v="14"/>
    <s v="收到客户（张婷）提单确认"/>
    <x v="19"/>
    <x v="2"/>
    <m/>
    <n v="3"/>
  </r>
  <r>
    <s v="0607-0 SC glovis"/>
    <x v="6"/>
    <x v="18"/>
    <n v="15"/>
    <s v="海关有舱单，核对舱单"/>
    <x v="36"/>
    <x v="0"/>
    <m/>
    <n v="-4"/>
  </r>
  <r>
    <s v="0607-0 SC glovis"/>
    <x v="6"/>
    <x v="18"/>
    <n v="16"/>
    <s v="通知报关"/>
    <x v="36"/>
    <x v="0"/>
    <m/>
    <n v="-4"/>
  </r>
  <r>
    <s v="0607-0 SC glovis"/>
    <x v="6"/>
    <x v="18"/>
    <n v="17"/>
    <s v="收到报关成功通知"/>
    <x v="36"/>
    <x v="0"/>
    <m/>
    <n v="-4"/>
  </r>
  <r>
    <s v="0607-0 SC glovis"/>
    <x v="6"/>
    <x v="18"/>
    <n v="18"/>
    <s v="通知可进港"/>
    <x v="36"/>
    <x v="0"/>
    <m/>
    <n v="-4"/>
  </r>
  <r>
    <s v="0607-0 SC glovis"/>
    <x v="6"/>
    <x v="18"/>
    <n v="19"/>
    <s v="收到进港通知"/>
    <x v="39"/>
    <x v="0"/>
    <m/>
    <n v="-3"/>
  </r>
  <r>
    <s v="0607-0 SC glovis"/>
    <x v="6"/>
    <x v="18"/>
    <n v="20"/>
    <s v="核对进港数据"/>
    <x v="39"/>
    <x v="0"/>
    <m/>
    <n v="-3"/>
  </r>
  <r>
    <s v="0607-0 SC glovis"/>
    <x v="6"/>
    <x v="18"/>
    <n v="21"/>
    <s v="海放，码放，配载"/>
    <x v="37"/>
    <x v="2"/>
    <m/>
    <n v="0"/>
  </r>
  <r>
    <s v="0607-0 SC glovis"/>
    <x v="6"/>
    <x v="18"/>
    <n v="22"/>
    <s v="船开"/>
    <x v="40"/>
    <x v="2"/>
    <m/>
    <n v="1"/>
  </r>
  <r>
    <s v="0607-0 SC glovis"/>
    <x v="6"/>
    <x v="18"/>
    <n v="23"/>
    <s v="等船公司费用有了，和金小姐一起确定客户费用"/>
    <x v="19"/>
    <x v="2"/>
    <m/>
    <n v="3"/>
  </r>
  <r>
    <s v="0607-0 SC glovis"/>
    <x v="6"/>
    <x v="18"/>
    <n v="24"/>
    <s v="放单"/>
    <x v="19"/>
    <x v="2"/>
    <m/>
    <n v="3"/>
  </r>
  <r>
    <s v="0609-0 万盛"/>
    <x v="8"/>
    <x v="19"/>
    <n v="1"/>
    <s v="收到徐小姐托书"/>
    <x v="39"/>
    <x v="0"/>
    <m/>
    <n v="-3"/>
  </r>
  <r>
    <s v="0609-0 万盛"/>
    <x v="8"/>
    <x v="19"/>
    <n v="2"/>
    <s v="公共盘表格生成单号，YJC系统复制、生成单子"/>
    <x v="39"/>
    <x v="0"/>
    <m/>
    <n v="-3"/>
  </r>
  <r>
    <s v="0609-0 万盛"/>
    <x v="8"/>
    <x v="19"/>
    <n v="3"/>
    <s v="振华网站订舱、保存、提交，等待审核"/>
    <x v="39"/>
    <x v="0"/>
    <m/>
    <n v="-3"/>
  </r>
  <r>
    <s v="0609-0 万盛"/>
    <x v="8"/>
    <x v="19"/>
    <n v="4"/>
    <s v="QQ发预配给徐小姐，邮件发确认给国外"/>
    <x v="39"/>
    <x v="0"/>
    <m/>
    <n v="-3"/>
  </r>
  <r>
    <s v="0609-0 万盛"/>
    <x v="8"/>
    <x v="19"/>
    <n v="5"/>
    <s v="收到国外确认，公共盘表格红改黑"/>
    <x v="39"/>
    <x v="0"/>
    <m/>
    <n v="-3"/>
  </r>
  <r>
    <s v="0609-0 万盛"/>
    <x v="8"/>
    <x v="19"/>
    <n v="6"/>
    <s v="收到车队江发来VGM表格"/>
    <x v="38"/>
    <x v="0"/>
    <s v="周三周一截，周日周五截"/>
    <n v="-1"/>
  </r>
  <r>
    <s v="0609-0 万盛"/>
    <x v="8"/>
    <x v="19"/>
    <n v="7"/>
    <s v="YJC 截单，振华截单、截VGM"/>
    <x v="38"/>
    <x v="0"/>
    <m/>
    <n v="-1"/>
  </r>
  <r>
    <s v="0609-0 万盛"/>
    <x v="8"/>
    <x v="19"/>
    <n v="8"/>
    <s v="邮件发提单确认和费用确认给国外"/>
    <x v="38"/>
    <x v="0"/>
    <m/>
    <n v="-1"/>
  </r>
  <r>
    <s v="0609-0 万盛"/>
    <x v="8"/>
    <x v="19"/>
    <n v="9"/>
    <s v="船开，制作提单领取单给师傅领WAYBILL"/>
    <x v="19"/>
    <x v="2"/>
    <m/>
    <n v="3"/>
  </r>
  <r>
    <s v="0609-0 万盛"/>
    <x v="8"/>
    <x v="19"/>
    <n v="10"/>
    <s v="拿到WAYBILL，扫描，和HBL一起发国外"/>
    <x v="19"/>
    <x v="2"/>
    <m/>
    <n v="3"/>
  </r>
  <r>
    <s v="0610-0 0 WEEK"/>
    <x v="4"/>
    <x v="20"/>
    <n v="1"/>
    <s v="收到HMM Neo 下周订舱邮件"/>
    <x v="19"/>
    <x v="2"/>
    <s v="周一"/>
    <n v="3"/>
  </r>
  <r>
    <s v="0610-0 0 WEEK"/>
    <x v="4"/>
    <x v="20"/>
    <n v="2"/>
    <s v="根据JS mobis订舱需求回Neo邮件"/>
    <x v="19"/>
    <x v="2"/>
    <s v="周一"/>
    <n v="3"/>
  </r>
  <r>
    <s v="0610-0 0 WEEK"/>
    <x v="4"/>
    <x v="20"/>
    <n v="3"/>
    <s v="SHA GLV WORKING PROCESS"/>
    <x v="19"/>
    <x v="2"/>
    <s v="周一"/>
    <n v="3"/>
  </r>
  <r>
    <s v="0610-0 0 WEEK"/>
    <x v="4"/>
    <x v="20"/>
    <n v="4"/>
    <s v="SHA GLV WORKING PROCESS"/>
    <x v="42"/>
    <x v="2"/>
    <s v="周三"/>
    <n v="5"/>
  </r>
  <r>
    <s v="0610-0 0 WEEK"/>
    <x v="4"/>
    <x v="20"/>
    <n v="5"/>
    <s v="TJ glovis额外费用邮件"/>
    <x v="33"/>
    <x v="2"/>
    <s v="周五"/>
    <n v="7"/>
  </r>
  <r>
    <s v="0610-0 0 WEEK"/>
    <x v="4"/>
    <x v="20"/>
    <n v="6"/>
    <s v="WORKING PROCESS"/>
    <x v="33"/>
    <x v="2"/>
    <s v="周五"/>
    <n v="7"/>
  </r>
  <r>
    <s v="0610-0 0 WEEK"/>
    <x v="4"/>
    <x v="20"/>
    <n v="7"/>
    <s v="万盛出去清单（下午三点）"/>
    <x v="33"/>
    <x v="2"/>
    <s v="周五"/>
    <n v="7"/>
  </r>
  <r>
    <s v="0612-0 HMI"/>
    <x v="2"/>
    <x v="21"/>
    <n v="1"/>
    <s v="收到客户(孙丹/王珊)发来订舱托书"/>
    <x v="27"/>
    <x v="0"/>
    <m/>
    <n v="-7"/>
  </r>
  <r>
    <s v="0612-0 HMI"/>
    <x v="2"/>
    <x v="21"/>
    <n v="2"/>
    <s v="收到CK发来预配(做箱通知，沈丽有收到？)，完善YJC系统数据"/>
    <x v="39"/>
    <x v="0"/>
    <m/>
    <n v="-3"/>
  </r>
  <r>
    <s v="0612-0 HMI"/>
    <x v="2"/>
    <x v="21"/>
    <n v="3"/>
    <s v="YJC系统生成单子"/>
    <x v="39"/>
    <x v="0"/>
    <m/>
    <n v="-3"/>
  </r>
  <r>
    <s v="0612-0 HMI"/>
    <x v="2"/>
    <x v="21"/>
    <n v="4"/>
    <s v="收到包装厂(刘倩梅)发来包装指示书和装箱计划"/>
    <x v="38"/>
    <x v="0"/>
    <s v="一般周四"/>
    <n v="-1"/>
  </r>
  <r>
    <s v="0612-0 HMI"/>
    <x v="2"/>
    <x v="21"/>
    <n v="5"/>
    <s v="根据装箱计划汇总包装数据，发各工厂做报关资料"/>
    <x v="38"/>
    <x v="0"/>
    <m/>
    <n v="-1"/>
  </r>
  <r>
    <s v="0612-0 HMI"/>
    <x v="2"/>
    <x v="21"/>
    <n v="6"/>
    <s v="做做箱数据，邮件群发(开港时间)"/>
    <x v="38"/>
    <x v="0"/>
    <m/>
    <n v="-1"/>
  </r>
  <r>
    <s v="0612-0 HMI"/>
    <x v="2"/>
    <x v="21"/>
    <n v="7"/>
    <s v="收到工厂发来报关资料并完善(代做报关资料跟客户确认)"/>
    <x v="19"/>
    <x v="0"/>
    <s v="当天至隔天"/>
    <n v="3"/>
  </r>
  <r>
    <s v="0612-0 HMI"/>
    <x v="2"/>
    <x v="21"/>
    <n v="7.1"/>
    <s v="三立的体积有问题，让客户重新提供，再发报关行"/>
    <x v="19"/>
    <x v="2"/>
    <m/>
    <n v="3"/>
  </r>
  <r>
    <s v="0612-0 HMI"/>
    <x v="2"/>
    <x v="21"/>
    <n v="8"/>
    <s v="报关资料齐了，发报关行(黄寅文)，货运模板/发票/箱单"/>
    <x v="19"/>
    <x v="2"/>
    <m/>
    <n v="3"/>
  </r>
  <r>
    <s v="0612-0 HMI"/>
    <x v="2"/>
    <x v="21"/>
    <n v="9"/>
    <s v="收到车队(沈丽)装箱单和洋山提箱截图(如有)，群发，通知发舱单"/>
    <x v="19"/>
    <x v="2"/>
    <s v="一般KMM五、HMI日"/>
    <n v="3"/>
  </r>
  <r>
    <s v="0612-0 HMI"/>
    <x v="2"/>
    <x v="21"/>
    <n v="9"/>
    <s v="收到舱单发送成功通知，核对舱单信息"/>
    <x v="19"/>
    <x v="2"/>
    <m/>
    <n v="3"/>
  </r>
  <r>
    <s v="0612-0 HMI"/>
    <x v="2"/>
    <x v="21"/>
    <n v="9"/>
    <s v="通知进港"/>
    <x v="19"/>
    <x v="2"/>
    <s v="调整顺序"/>
    <n v="3"/>
  </r>
  <r>
    <s v="0612-0 HMI"/>
    <x v="2"/>
    <x v="21"/>
    <n v="9"/>
    <s v="进港(核对数据)"/>
    <x v="19"/>
    <x v="2"/>
    <s v="调整顺序"/>
    <n v="3"/>
  </r>
  <r>
    <s v="0612-0 HMI"/>
    <x v="2"/>
    <x v="21"/>
    <n v="9"/>
    <s v="通知报关"/>
    <x v="19"/>
    <x v="2"/>
    <s v="调整顺序"/>
    <n v="3"/>
  </r>
  <r>
    <s v="0612-0 HMI"/>
    <x v="2"/>
    <x v="21"/>
    <n v="9"/>
    <s v="报关成功"/>
    <x v="19"/>
    <x v="2"/>
    <s v="调整顺序"/>
    <n v="3"/>
  </r>
  <r>
    <s v="0612-0 HMI"/>
    <x v="2"/>
    <x v="21"/>
    <n v="15"/>
    <s v="盯海放"/>
    <x v="19"/>
    <x v="2"/>
    <m/>
    <n v="3"/>
  </r>
  <r>
    <s v="0612-0 HMI"/>
    <x v="2"/>
    <x v="21"/>
    <n v="16"/>
    <s v="盯码放"/>
    <x v="19"/>
    <x v="2"/>
    <m/>
    <n v="3"/>
  </r>
  <r>
    <s v="0612-0 HMI"/>
    <x v="2"/>
    <x v="21"/>
    <n v="17"/>
    <s v="盯配载"/>
    <x v="43"/>
    <x v="2"/>
    <m/>
    <n v="4"/>
  </r>
  <r>
    <s v="0612-0 HMI"/>
    <x v="2"/>
    <x v="21"/>
    <n v="18"/>
    <s v="盯船开，放单"/>
    <x v="42"/>
    <x v="2"/>
    <m/>
    <n v="5"/>
  </r>
  <r>
    <s v="0612-0 HMI"/>
    <x v="2"/>
    <x v="21"/>
    <n v="19"/>
    <s v="做费用(对账单日期4号)，放公共盘，填月账单表，发孙丹"/>
    <x v="42"/>
    <x v="2"/>
    <m/>
    <n v="5"/>
  </r>
  <r>
    <s v="0612-0 JS mobis"/>
    <x v="5"/>
    <x v="21"/>
    <n v="1"/>
    <s v="收到客户(徐贵)订舱预报"/>
    <x v="27"/>
    <x v="0"/>
    <s v="一般周五发隔周"/>
    <n v="-7"/>
  </r>
  <r>
    <s v="0612-0 JS mobis"/>
    <x v="5"/>
    <x v="21"/>
    <n v="2"/>
    <s v="填WORKING PROCESS"/>
    <x v="27"/>
    <x v="0"/>
    <m/>
    <n v="-7"/>
  </r>
  <r>
    <s v="0612-0 JS mobis"/>
    <x v="5"/>
    <x v="21"/>
    <n v="3"/>
    <s v="收到HMM(Neo)预订舱邮件通知"/>
    <x v="27"/>
    <x v="0"/>
    <s v="一般周一发下周"/>
    <n v="-7"/>
  </r>
  <r>
    <s v="0612-0 JS mobis"/>
    <x v="5"/>
    <x v="21"/>
    <n v="4"/>
    <s v="回复HMM(Neo)预订舱邮件"/>
    <x v="27"/>
    <x v="0"/>
    <m/>
    <n v="-7"/>
  </r>
  <r>
    <s v="0612-0 JS mobis"/>
    <x v="5"/>
    <x v="21"/>
    <n v="5"/>
    <s v="收到HMM(Neo)预订舱确认"/>
    <x v="39"/>
    <x v="0"/>
    <s v="一般马上"/>
    <n v="-3"/>
  </r>
  <r>
    <s v="0612-0 JS mobis"/>
    <x v="5"/>
    <x v="21"/>
    <n v="6"/>
    <s v="公共盘生成提单号"/>
    <x v="39"/>
    <x v="0"/>
    <m/>
    <n v="-3"/>
  </r>
  <r>
    <s v="0612-0 JS mobis"/>
    <x v="5"/>
    <x v="21"/>
    <n v="7"/>
    <s v="YJC系统生成单子"/>
    <x v="39"/>
    <x v="0"/>
    <m/>
    <n v="-3"/>
  </r>
  <r>
    <s v="0612-0 JS mobis"/>
    <x v="5"/>
    <x v="21"/>
    <n v="8"/>
    <s v="发EDI"/>
    <x v="39"/>
    <x v="0"/>
    <m/>
    <n v="-3"/>
  </r>
  <r>
    <s v="0612-0 JS mobis"/>
    <x v="5"/>
    <x v="21"/>
    <n v="9"/>
    <s v="邮件申请放单"/>
    <x v="39"/>
    <x v="0"/>
    <m/>
    <n v="-3"/>
  </r>
  <r>
    <s v="0612-0 JS mobis"/>
    <x v="5"/>
    <x v="21"/>
    <n v="10"/>
    <s v="收到HMM(Neo) 放单确认"/>
    <x v="26"/>
    <x v="0"/>
    <s v="一般半天内"/>
    <n v="-2"/>
  </r>
  <r>
    <s v="0612-0 JS mobis"/>
    <x v="5"/>
    <x v="21"/>
    <n v="11"/>
    <s v="HMM网站核对订舱信息"/>
    <x v="26"/>
    <x v="0"/>
    <m/>
    <n v="-2"/>
  </r>
  <r>
    <s v="0612-0 JS mobis"/>
    <x v="5"/>
    <x v="21"/>
    <n v="12"/>
    <s v="收到客户(徐贵)做箱通知"/>
    <x v="26"/>
    <x v="0"/>
    <s v="一般做箱头天一早"/>
    <n v="-2"/>
  </r>
  <r>
    <s v="0612-0 JS mobis"/>
    <x v="5"/>
    <x v="21"/>
    <n v="13"/>
    <s v="发做箱通知邮件给车队(沈丽)"/>
    <x v="26"/>
    <x v="0"/>
    <m/>
    <n v="-2"/>
  </r>
  <r>
    <s v="0612-0 JS mobis"/>
    <x v="5"/>
    <x v="21"/>
    <n v="14"/>
    <s v="公共盘生成提单号【如需拆单】"/>
    <x v="26"/>
    <x v="0"/>
    <m/>
    <n v="-2"/>
  </r>
  <r>
    <s v="0612-0 JS mobis"/>
    <x v="5"/>
    <x v="21"/>
    <n v="15"/>
    <s v="YJC系统生成单子【如需拆单】"/>
    <x v="26"/>
    <x v="0"/>
    <m/>
    <n v="-2"/>
  </r>
  <r>
    <s v="0612-0 JS mobis"/>
    <x v="5"/>
    <x v="21"/>
    <n v="16"/>
    <s v="发EDI【如需拆单】"/>
    <x v="26"/>
    <x v="0"/>
    <m/>
    <n v="-2"/>
  </r>
  <r>
    <s v="0612-0 JS mobis"/>
    <x v="5"/>
    <x v="21"/>
    <n v="17"/>
    <s v="邮件申请放单【如需拆单】"/>
    <x v="26"/>
    <x v="0"/>
    <m/>
    <n v="-2"/>
  </r>
  <r>
    <s v="0612-0 JS mobis"/>
    <x v="5"/>
    <x v="21"/>
    <n v="18"/>
    <s v="收到HMM(Neo) 放单确认【如需拆单】"/>
    <x v="26"/>
    <x v="0"/>
    <m/>
    <n v="-2"/>
  </r>
  <r>
    <s v="0612-0 JS mobis"/>
    <x v="5"/>
    <x v="21"/>
    <n v="19"/>
    <s v="HMM网站核对订舱信息【如需拆单】"/>
    <x v="26"/>
    <x v="0"/>
    <m/>
    <n v="-2"/>
  </r>
  <r>
    <s v="0612-0 JS mobis"/>
    <x v="5"/>
    <x v="21"/>
    <n v="20"/>
    <s v="收到客户(徐贵)发来做箱数据(报关资料)"/>
    <x v="38"/>
    <x v="0"/>
    <s v="一般做箱当天一早"/>
    <n v="-1"/>
  </r>
  <r>
    <s v="0612-0 JS mobis"/>
    <x v="5"/>
    <x v="21"/>
    <n v="21"/>
    <s v="按报关(发票)数生成提单号【如发票数超过提单数】"/>
    <x v="38"/>
    <x v="0"/>
    <m/>
    <n v="-1"/>
  </r>
  <r>
    <s v="0612-0 JS mobis"/>
    <x v="5"/>
    <x v="21"/>
    <n v="22"/>
    <s v="做做箱数据，QQ发车队(沈丽)"/>
    <x v="38"/>
    <x v="0"/>
    <m/>
    <n v="-1"/>
  </r>
  <r>
    <s v="0612-0 JS mobis"/>
    <x v="5"/>
    <x v="21"/>
    <n v="23"/>
    <s v="收到车队(沈丽)装箱单，转发客户（徐贵）"/>
    <x v="38"/>
    <x v="0"/>
    <s v="一般马上"/>
    <n v="-1"/>
  </r>
  <r>
    <s v="0612-0 JS mobis"/>
    <x v="5"/>
    <x v="21"/>
    <n v="24"/>
    <s v="YJC系统截单，发EDI，邮件HMM(He)【截单时间】"/>
    <x v="38"/>
    <x v="0"/>
    <s v="注意截单时间"/>
    <n v="-1"/>
  </r>
  <r>
    <s v="0612-0 JS mobis"/>
    <x v="5"/>
    <x v="21"/>
    <n v="25"/>
    <s v="发VGM和舱单"/>
    <x v="38"/>
    <x v="0"/>
    <m/>
    <n v="-1"/>
  </r>
  <r>
    <s v="0612-0 JS mobis"/>
    <x v="5"/>
    <x v="21"/>
    <n v="26"/>
    <s v="做报关资料，扫描发报关行(黄寅文)QQ"/>
    <x v="38"/>
    <x v="0"/>
    <m/>
    <n v="-1"/>
  </r>
  <r>
    <s v="0612-0 JS mobis"/>
    <x v="5"/>
    <x v="21"/>
    <n v="27"/>
    <s v="做保函给邹师傅"/>
    <x v="38"/>
    <x v="0"/>
    <m/>
    <n v="-1"/>
  </r>
  <r>
    <s v="0612-0 JS mobis"/>
    <x v="5"/>
    <x v="21"/>
    <n v="28"/>
    <s v="做ISF，发国外资料"/>
    <x v="38"/>
    <x v="0"/>
    <m/>
    <n v="-1"/>
  </r>
  <r>
    <s v="0612-0 JS mobis"/>
    <x v="5"/>
    <x v="21"/>
    <n v="29"/>
    <s v="买保险"/>
    <x v="38"/>
    <x v="0"/>
    <m/>
    <n v="-1"/>
  </r>
  <r>
    <s v="0612-0 JS mobis"/>
    <x v="5"/>
    <x v="21"/>
    <n v="30"/>
    <s v="填WORKING PROCESS"/>
    <x v="38"/>
    <x v="0"/>
    <m/>
    <n v="-1"/>
  </r>
  <r>
    <s v="0612-0 JS mobis"/>
    <x v="5"/>
    <x v="21"/>
    <n v="31"/>
    <s v="收到HMM(He)生成提单通知"/>
    <x v="38"/>
    <x v="0"/>
    <s v="一般马上"/>
    <n v="-1"/>
  </r>
  <r>
    <s v="0612-0 JS mobis"/>
    <x v="5"/>
    <x v="21"/>
    <n v="32"/>
    <s v="HMM网站核对提单信息"/>
    <x v="38"/>
    <x v="0"/>
    <m/>
    <n v="-1"/>
  </r>
  <r>
    <s v="0612-0 JS mobis"/>
    <x v="5"/>
    <x v="21"/>
    <n v="33"/>
    <s v="盯海关网站舱单"/>
    <x v="38"/>
    <x v="0"/>
    <s v="一般两小时左右"/>
    <n v="-1"/>
  </r>
  <r>
    <s v="0612-0 JS mobis"/>
    <x v="5"/>
    <x v="21"/>
    <n v="34"/>
    <s v="核对舱单信息"/>
    <x v="38"/>
    <x v="0"/>
    <m/>
    <n v="-1"/>
  </r>
  <r>
    <s v="0612-0 JS mobis"/>
    <x v="5"/>
    <x v="21"/>
    <n v="35"/>
    <s v="收到报关行(黄寅文)校对稿，邮件发客户(徐贵)确认"/>
    <x v="38"/>
    <x v="0"/>
    <s v="一般半天内"/>
    <n v="-1"/>
  </r>
  <r>
    <s v="0612-0 JS mobis"/>
    <x v="5"/>
    <x v="21"/>
    <n v="36"/>
    <s v="收到客户(徐贵)确认校对稿"/>
    <x v="37"/>
    <x v="0"/>
    <s v="一般马上"/>
    <n v="0"/>
  </r>
  <r>
    <s v="0612-0 JS mobis"/>
    <x v="5"/>
    <x v="21"/>
    <n v="37"/>
    <s v="通知车队(沈丽)可进港"/>
    <x v="38"/>
    <x v="0"/>
    <m/>
    <n v="-1"/>
  </r>
  <r>
    <s v="0612-0 JS mobis"/>
    <x v="5"/>
    <x v="21"/>
    <n v="38"/>
    <s v="盯箱子进港"/>
    <x v="40"/>
    <x v="2"/>
    <m/>
    <n v="1"/>
  </r>
  <r>
    <s v="0612-0 JS mobis"/>
    <x v="5"/>
    <x v="21"/>
    <n v="39"/>
    <s v="核对进港数据"/>
    <x v="40"/>
    <x v="2"/>
    <m/>
    <n v="1"/>
  </r>
  <r>
    <s v="0612-0 JS mobis"/>
    <x v="5"/>
    <x v="21"/>
    <n v="40"/>
    <s v="通知报关行(黄寅文)报关(开港、舱单、校对)"/>
    <x v="40"/>
    <x v="2"/>
    <m/>
    <n v="1"/>
  </r>
  <r>
    <s v="0612-0 JS mobis"/>
    <x v="5"/>
    <x v="21"/>
    <n v="41"/>
    <s v="收到报关成功通知"/>
    <x v="40"/>
    <x v="2"/>
    <s v="一般下班前"/>
    <n v="1"/>
  </r>
  <r>
    <s v="0612-0 JS mobis"/>
    <x v="5"/>
    <x v="21"/>
    <n v="42"/>
    <s v="盯海放"/>
    <x v="19"/>
    <x v="2"/>
    <m/>
    <n v="3"/>
  </r>
  <r>
    <s v="0612-0 JS mobis"/>
    <x v="5"/>
    <x v="21"/>
    <n v="43"/>
    <s v="盯码放"/>
    <x v="19"/>
    <x v="2"/>
    <m/>
    <n v="3"/>
  </r>
  <r>
    <s v="0612-0 JS mobis"/>
    <x v="5"/>
    <x v="21"/>
    <n v="44"/>
    <s v="盯配载"/>
    <x v="43"/>
    <x v="2"/>
    <m/>
    <n v="4"/>
  </r>
  <r>
    <s v="0612-0 JS mobis"/>
    <x v="5"/>
    <x v="21"/>
    <n v="45"/>
    <s v="做费用(月初等汇率)，发账单给石磊"/>
    <x v="43"/>
    <x v="2"/>
    <m/>
    <n v="4"/>
  </r>
  <r>
    <s v="0612-0 JS mobis"/>
    <x v="5"/>
    <x v="21"/>
    <n v="46"/>
    <s v="船开"/>
    <x v="42"/>
    <x v="2"/>
    <m/>
    <n v="5"/>
  </r>
  <r>
    <s v="0612-0 JS mobis"/>
    <x v="5"/>
    <x v="21"/>
    <n v="47"/>
    <s v="放单"/>
    <x v="42"/>
    <x v="2"/>
    <s v="一般开船后两三天"/>
    <n v="5"/>
  </r>
  <r>
    <s v="0612-0 KMM"/>
    <x v="3"/>
    <x v="21"/>
    <n v="1"/>
    <s v="收到客户(孙丹/王珊)发来订舱托书"/>
    <x v="3"/>
    <x v="0"/>
    <m/>
    <n v="-9"/>
  </r>
  <r>
    <s v="0612-0 KMM"/>
    <x v="3"/>
    <x v="21"/>
    <n v="2"/>
    <s v="收到CK发来预配(做箱通知，沈丽有收到？)，完善YJC系统数据"/>
    <x v="3"/>
    <x v="0"/>
    <m/>
    <n v="-9"/>
  </r>
  <r>
    <s v="0612-0 KMM"/>
    <x v="3"/>
    <x v="21"/>
    <n v="3"/>
    <s v="YJC系统生成单子"/>
    <x v="29"/>
    <x v="0"/>
    <m/>
    <n v="-8"/>
  </r>
  <r>
    <s v="0612-0 KMM"/>
    <x v="3"/>
    <x v="21"/>
    <n v="4"/>
    <s v="收到包装厂(刘倩梅)发来包装指示书和装箱计划"/>
    <x v="26"/>
    <x v="0"/>
    <s v="一般周四"/>
    <n v="-2"/>
  </r>
  <r>
    <s v="0612-0 KMM"/>
    <x v="3"/>
    <x v="21"/>
    <n v="5"/>
    <s v="根据装箱计划汇总包装数据，发各工厂做报关资料"/>
    <x v="26"/>
    <x v="0"/>
    <m/>
    <n v="-2"/>
  </r>
  <r>
    <s v="0612-0 KMM"/>
    <x v="3"/>
    <x v="21"/>
    <n v="6"/>
    <s v="做做箱数据，邮件群发(开港时间)"/>
    <x v="26"/>
    <x v="0"/>
    <m/>
    <n v="-2"/>
  </r>
  <r>
    <s v="0612-0 KMM"/>
    <x v="3"/>
    <x v="21"/>
    <n v="7"/>
    <s v="收到工厂发来报关资料并完善(代做报关资料跟客户确认)"/>
    <x v="26"/>
    <x v="0"/>
    <s v="当天至隔天"/>
    <n v="-2"/>
  </r>
  <r>
    <s v="0612-0 KMM"/>
    <x v="3"/>
    <x v="21"/>
    <n v="8"/>
    <s v="报关资料齐了，发报关行(黄寅文)，货运模板/发票/箱单"/>
    <x v="26"/>
    <x v="0"/>
    <m/>
    <n v="-2"/>
  </r>
  <r>
    <s v="0612-0 KMM"/>
    <x v="3"/>
    <x v="21"/>
    <n v="9"/>
    <s v="收到车队(沈丽)装箱单和洋山提箱截图(如有)，群发，通知发舱单"/>
    <x v="38"/>
    <x v="0"/>
    <s v="一般KMM五、HMI日"/>
    <n v="-1"/>
  </r>
  <r>
    <s v="0612-0 KMM"/>
    <x v="3"/>
    <x v="21"/>
    <n v="10"/>
    <s v="收到舱单发送成功通知，核对舱单信息"/>
    <x v="38"/>
    <x v="0"/>
    <m/>
    <n v="-1"/>
  </r>
  <r>
    <s v="0612-0 KMM"/>
    <x v="3"/>
    <x v="21"/>
    <n v="11"/>
    <s v="通知报关"/>
    <x v="38"/>
    <x v="0"/>
    <s v="调整顺序"/>
    <n v="-1"/>
  </r>
  <r>
    <s v="0612-0 KMM"/>
    <x v="3"/>
    <x v="21"/>
    <n v="12"/>
    <s v="报关成功"/>
    <x v="38"/>
    <x v="0"/>
    <s v="调整顺序"/>
    <n v="-1"/>
  </r>
  <r>
    <s v="0612-0 KMM"/>
    <x v="3"/>
    <x v="21"/>
    <n v="13"/>
    <s v="通知进港"/>
    <x v="38"/>
    <x v="0"/>
    <s v="调整顺序"/>
    <n v="-1"/>
  </r>
  <r>
    <s v="0612-0 KMM"/>
    <x v="3"/>
    <x v="21"/>
    <n v="14"/>
    <s v="进港(核对数据)"/>
    <x v="19"/>
    <x v="2"/>
    <s v="调整顺序"/>
    <n v="3"/>
  </r>
  <r>
    <s v="0612-0 KMM"/>
    <x v="3"/>
    <x v="21"/>
    <n v="15"/>
    <s v="盯海放"/>
    <x v="19"/>
    <x v="2"/>
    <m/>
    <n v="3"/>
  </r>
  <r>
    <s v="0612-0 KMM"/>
    <x v="3"/>
    <x v="21"/>
    <n v="16"/>
    <s v="盯码放"/>
    <x v="19"/>
    <x v="2"/>
    <m/>
    <n v="3"/>
  </r>
  <r>
    <s v="0612-0 KMM"/>
    <x v="3"/>
    <x v="21"/>
    <n v="17"/>
    <s v="盯配载"/>
    <x v="19"/>
    <x v="2"/>
    <m/>
    <n v="3"/>
  </r>
  <r>
    <s v="0612-0 KMM"/>
    <x v="3"/>
    <x v="21"/>
    <n v="18"/>
    <s v="盯船开，放单"/>
    <x v="42"/>
    <x v="2"/>
    <m/>
    <n v="5"/>
  </r>
  <r>
    <s v="0612-0 KMM"/>
    <x v="3"/>
    <x v="21"/>
    <n v="19"/>
    <s v="做费用(对账单日期4号)，放公共盘，填月账单表，发孙丹"/>
    <x v="19"/>
    <x v="2"/>
    <m/>
    <n v="3"/>
  </r>
  <r>
    <s v="0612-0 万盛"/>
    <x v="8"/>
    <x v="21"/>
    <n v="1"/>
    <s v="收到徐小姐托书"/>
    <x v="39"/>
    <x v="0"/>
    <m/>
    <n v="-3"/>
  </r>
  <r>
    <s v="0612-0 万盛"/>
    <x v="8"/>
    <x v="21"/>
    <n v="2"/>
    <s v="公共盘表格生成单号，YJC系统复制、生成单子"/>
    <x v="39"/>
    <x v="0"/>
    <m/>
    <n v="-3"/>
  </r>
  <r>
    <s v="0612-0 万盛"/>
    <x v="8"/>
    <x v="21"/>
    <n v="3"/>
    <s v="振华网站订舱、保存、提交，等待审核"/>
    <x v="39"/>
    <x v="0"/>
    <m/>
    <n v="-3"/>
  </r>
  <r>
    <s v="0612-0 万盛"/>
    <x v="8"/>
    <x v="21"/>
    <n v="4"/>
    <s v="QQ发预配给徐小姐，邮件发确认给国外"/>
    <x v="39"/>
    <x v="0"/>
    <m/>
    <n v="-3"/>
  </r>
  <r>
    <s v="0612-0 万盛"/>
    <x v="8"/>
    <x v="21"/>
    <n v="5"/>
    <s v="收到国外确认，公共盘表格红改黑"/>
    <x v="39"/>
    <x v="0"/>
    <m/>
    <n v="-3"/>
  </r>
  <r>
    <s v="0612-0 万盛"/>
    <x v="8"/>
    <x v="21"/>
    <n v="6"/>
    <s v="收到车队江发来VGM表格"/>
    <x v="19"/>
    <x v="2"/>
    <s v="周三周一截，周日周五截"/>
    <n v="3"/>
  </r>
  <r>
    <s v="0612-0 万盛"/>
    <x v="8"/>
    <x v="21"/>
    <n v="7"/>
    <s v="YJC 截单，振华截单、截VGM"/>
    <x v="19"/>
    <x v="2"/>
    <m/>
    <n v="3"/>
  </r>
  <r>
    <s v="0612-0 万盛"/>
    <x v="8"/>
    <x v="21"/>
    <n v="8"/>
    <s v="邮件发提单确认和费用确认给国外"/>
    <x v="19"/>
    <x v="2"/>
    <m/>
    <n v="3"/>
  </r>
  <r>
    <s v="0612-0 万盛"/>
    <x v="8"/>
    <x v="21"/>
    <n v="9"/>
    <s v="船开，制作提单领取单给师傅领WAYBILL"/>
    <x v="42"/>
    <x v="2"/>
    <m/>
    <n v="5"/>
  </r>
  <r>
    <s v="0612-0 万盛"/>
    <x v="8"/>
    <x v="21"/>
    <n v="10"/>
    <s v="拿到WAYBILL，扫描，和HBL一起发国外"/>
    <x v="42"/>
    <x v="2"/>
    <m/>
    <n v="5"/>
  </r>
  <r>
    <s v="0614-0 JS mobis"/>
    <x v="5"/>
    <x v="22"/>
    <n v="1"/>
    <s v="收到客户(徐贵)订舱预报"/>
    <x v="27"/>
    <x v="0"/>
    <s v="一般周五发隔周"/>
    <n v="-7"/>
  </r>
  <r>
    <s v="0614-0 JS mobis"/>
    <x v="5"/>
    <x v="22"/>
    <n v="2"/>
    <s v="填WORKING PROCESS"/>
    <x v="27"/>
    <x v="0"/>
    <m/>
    <n v="-7"/>
  </r>
  <r>
    <s v="0614-0 JS mobis"/>
    <x v="5"/>
    <x v="22"/>
    <n v="3"/>
    <s v="收到HMM(Neo)预订舱邮件通知"/>
    <x v="27"/>
    <x v="0"/>
    <s v="一般周一发下周"/>
    <n v="-7"/>
  </r>
  <r>
    <s v="0614-0 JS mobis"/>
    <x v="5"/>
    <x v="22"/>
    <n v="4"/>
    <s v="回复HMM(Neo)预订舱邮件"/>
    <x v="27"/>
    <x v="0"/>
    <m/>
    <n v="-7"/>
  </r>
  <r>
    <s v="0614-0 JS mobis"/>
    <x v="5"/>
    <x v="22"/>
    <n v="5"/>
    <s v="收到HMM(Neo)预订舱确认"/>
    <x v="39"/>
    <x v="0"/>
    <s v="一般马上"/>
    <n v="-3"/>
  </r>
  <r>
    <s v="0614-0 JS mobis"/>
    <x v="5"/>
    <x v="22"/>
    <n v="6"/>
    <s v="公共盘生成提单号"/>
    <x v="39"/>
    <x v="0"/>
    <m/>
    <n v="-3"/>
  </r>
  <r>
    <s v="0614-0 JS mobis"/>
    <x v="5"/>
    <x v="22"/>
    <n v="7"/>
    <s v="YJC系统生成单子"/>
    <x v="39"/>
    <x v="0"/>
    <m/>
    <n v="-3"/>
  </r>
  <r>
    <s v="0614-0 JS mobis"/>
    <x v="5"/>
    <x v="22"/>
    <n v="8"/>
    <s v="发EDI"/>
    <x v="39"/>
    <x v="0"/>
    <m/>
    <n v="-3"/>
  </r>
  <r>
    <s v="0614-0 JS mobis"/>
    <x v="5"/>
    <x v="22"/>
    <n v="9"/>
    <s v="邮件申请放单"/>
    <x v="39"/>
    <x v="0"/>
    <m/>
    <n v="-3"/>
  </r>
  <r>
    <s v="0614-0 JS mobis"/>
    <x v="5"/>
    <x v="22"/>
    <n v="10"/>
    <s v="收到HMM(Neo) 放单确认"/>
    <x v="26"/>
    <x v="0"/>
    <s v="一般半天内"/>
    <n v="-2"/>
  </r>
  <r>
    <s v="0614-0 JS mobis"/>
    <x v="5"/>
    <x v="22"/>
    <n v="11"/>
    <s v="HMM网站核对订舱信息"/>
    <x v="26"/>
    <x v="0"/>
    <m/>
    <n v="-2"/>
  </r>
  <r>
    <s v="0614-0 JS mobis"/>
    <x v="5"/>
    <x v="22"/>
    <n v="12"/>
    <s v="收到客户(徐贵)做箱通知"/>
    <x v="19"/>
    <x v="2"/>
    <s v="一般做箱头天一早"/>
    <n v="3"/>
  </r>
  <r>
    <s v="0614-0 JS mobis"/>
    <x v="5"/>
    <x v="22"/>
    <n v="13"/>
    <s v="发做箱通知邮件给车队(沈丽)"/>
    <x v="19"/>
    <x v="2"/>
    <m/>
    <n v="3"/>
  </r>
  <r>
    <s v="0614-0 JS mobis"/>
    <x v="5"/>
    <x v="22"/>
    <n v="14"/>
    <s v="公共盘生成提单号【如需拆单】"/>
    <x v="19"/>
    <x v="2"/>
    <m/>
    <n v="3"/>
  </r>
  <r>
    <s v="0614-0 JS mobis"/>
    <x v="5"/>
    <x v="22"/>
    <n v="15"/>
    <s v="YJC系统生成单子【如需拆单】"/>
    <x v="19"/>
    <x v="2"/>
    <m/>
    <n v="3"/>
  </r>
  <r>
    <s v="0614-0 JS mobis"/>
    <x v="5"/>
    <x v="22"/>
    <n v="16"/>
    <s v="发EDI【如需拆单】"/>
    <x v="19"/>
    <x v="2"/>
    <m/>
    <n v="3"/>
  </r>
  <r>
    <s v="0614-0 JS mobis"/>
    <x v="5"/>
    <x v="22"/>
    <n v="17"/>
    <s v="邮件申请放单【如需拆单】"/>
    <x v="19"/>
    <x v="2"/>
    <m/>
    <n v="3"/>
  </r>
  <r>
    <s v="0614-0 JS mobis"/>
    <x v="5"/>
    <x v="22"/>
    <n v="18"/>
    <s v="收到HMM(Neo) 放单确认【如需拆单】"/>
    <x v="19"/>
    <x v="2"/>
    <m/>
    <n v="3"/>
  </r>
  <r>
    <s v="0614-0 JS mobis"/>
    <x v="5"/>
    <x v="22"/>
    <n v="19"/>
    <s v="HMM网站核对订舱信息【如需拆单】"/>
    <x v="19"/>
    <x v="2"/>
    <m/>
    <n v="3"/>
  </r>
  <r>
    <s v="0614-0 JS mobis"/>
    <x v="5"/>
    <x v="22"/>
    <n v="20"/>
    <s v="收到客户(徐贵)发来做箱数据(报关资料)"/>
    <x v="43"/>
    <x v="2"/>
    <s v="一般做箱当天一早"/>
    <n v="4"/>
  </r>
  <r>
    <s v="0614-0 JS mobis"/>
    <x v="5"/>
    <x v="22"/>
    <n v="21"/>
    <s v="按报关(发票)数生成提单号【如发票数超过提单数】"/>
    <x v="43"/>
    <x v="2"/>
    <m/>
    <n v="4"/>
  </r>
  <r>
    <s v="0614-0 JS mobis"/>
    <x v="5"/>
    <x v="22"/>
    <n v="22"/>
    <s v="做做箱数据，QQ发车队(沈丽)"/>
    <x v="43"/>
    <x v="2"/>
    <m/>
    <n v="4"/>
  </r>
  <r>
    <s v="0614-0 JS mobis"/>
    <x v="5"/>
    <x v="22"/>
    <n v="23"/>
    <s v="收到车队(沈丽)装箱单，转发客户（徐贵）"/>
    <x v="43"/>
    <x v="2"/>
    <s v="一般马上"/>
    <n v="4"/>
  </r>
  <r>
    <s v="0614-0 JS mobis"/>
    <x v="5"/>
    <x v="22"/>
    <n v="24"/>
    <s v="YJC系统截单，发EDI，邮件HMM(He)【截单时间】"/>
    <x v="43"/>
    <x v="2"/>
    <s v="注意截单时间"/>
    <n v="4"/>
  </r>
  <r>
    <s v="0614-0 JS mobis"/>
    <x v="5"/>
    <x v="22"/>
    <n v="25"/>
    <s v="发VGM和舱单"/>
    <x v="43"/>
    <x v="2"/>
    <m/>
    <n v="4"/>
  </r>
  <r>
    <s v="0614-0 JS mobis"/>
    <x v="5"/>
    <x v="22"/>
    <n v="26"/>
    <s v="做报关资料，扫描发报关行(黄寅文)QQ"/>
    <x v="43"/>
    <x v="2"/>
    <m/>
    <n v="4"/>
  </r>
  <r>
    <s v="0614-0 JS mobis"/>
    <x v="5"/>
    <x v="22"/>
    <n v="27"/>
    <s v="做保函给邹师傅"/>
    <x v="43"/>
    <x v="2"/>
    <m/>
    <n v="4"/>
  </r>
  <r>
    <s v="0614-0 JS mobis"/>
    <x v="5"/>
    <x v="22"/>
    <n v="28"/>
    <s v="做ISF，发国外资料"/>
    <x v="43"/>
    <x v="2"/>
    <m/>
    <n v="4"/>
  </r>
  <r>
    <s v="0614-0 JS mobis"/>
    <x v="5"/>
    <x v="22"/>
    <n v="29"/>
    <s v="买保险"/>
    <x v="43"/>
    <x v="2"/>
    <m/>
    <n v="4"/>
  </r>
  <r>
    <s v="0614-0 JS mobis"/>
    <x v="5"/>
    <x v="22"/>
    <n v="30"/>
    <s v="填WORKING PROCESS"/>
    <x v="43"/>
    <x v="2"/>
    <m/>
    <n v="4"/>
  </r>
  <r>
    <s v="0614-0 JS mobis"/>
    <x v="5"/>
    <x v="22"/>
    <n v="31"/>
    <s v="收到HMM(He)生成提单通知"/>
    <x v="43"/>
    <x v="2"/>
    <s v="一般马上"/>
    <n v="4"/>
  </r>
  <r>
    <s v="0614-0 JS mobis"/>
    <x v="5"/>
    <x v="22"/>
    <n v="32"/>
    <s v="HMM网站核对提单信息"/>
    <x v="43"/>
    <x v="2"/>
    <m/>
    <n v="4"/>
  </r>
  <r>
    <s v="0614-0 JS mobis"/>
    <x v="5"/>
    <x v="22"/>
    <n v="33"/>
    <s v="盯海关网站舱单"/>
    <x v="43"/>
    <x v="2"/>
    <s v="一般两小时左右"/>
    <n v="4"/>
  </r>
  <r>
    <s v="0614-0 JS mobis"/>
    <x v="5"/>
    <x v="22"/>
    <n v="34"/>
    <s v="核对舱单信息"/>
    <x v="43"/>
    <x v="2"/>
    <m/>
    <n v="4"/>
  </r>
  <r>
    <s v="0614-0 JS mobis"/>
    <x v="5"/>
    <x v="22"/>
    <n v="35"/>
    <s v="收到报关行(黄寅文)校对稿，邮件发客户(徐贵)确认"/>
    <x v="43"/>
    <x v="2"/>
    <s v="一般半天内"/>
    <n v="4"/>
  </r>
  <r>
    <s v="0614-0 JS mobis"/>
    <x v="5"/>
    <x v="22"/>
    <n v="36"/>
    <s v="收到客户(徐贵)确认校对稿"/>
    <x v="43"/>
    <x v="2"/>
    <s v="一般马上"/>
    <n v="4"/>
  </r>
  <r>
    <s v="0614-0 JS mobis"/>
    <x v="5"/>
    <x v="22"/>
    <n v="37"/>
    <s v="通知报关行(黄寅文)报关(开港、舱单、校对)"/>
    <x v="43"/>
    <x v="2"/>
    <m/>
    <n v="4"/>
  </r>
  <r>
    <s v="0614-0 JS mobis"/>
    <x v="5"/>
    <x v="22"/>
    <n v="37"/>
    <s v="收到报关成功通知"/>
    <x v="43"/>
    <x v="2"/>
    <s v="一般下班前"/>
    <n v="4"/>
  </r>
  <r>
    <s v="0614-0 JS mobis"/>
    <x v="5"/>
    <x v="22"/>
    <n v="37"/>
    <s v="通知车队(沈丽)可进港"/>
    <x v="43"/>
    <x v="2"/>
    <m/>
    <n v="4"/>
  </r>
  <r>
    <s v="0614-0 JS mobis"/>
    <x v="5"/>
    <x v="22"/>
    <n v="37"/>
    <s v="盯箱子进港"/>
    <x v="43"/>
    <x v="2"/>
    <m/>
    <n v="4"/>
  </r>
  <r>
    <s v="0614-0 JS mobis"/>
    <x v="5"/>
    <x v="22"/>
    <n v="37"/>
    <s v="核对进港数据"/>
    <x v="43"/>
    <x v="2"/>
    <m/>
    <n v="4"/>
  </r>
  <r>
    <s v="0614-0 JS mobis"/>
    <x v="5"/>
    <x v="22"/>
    <n v="42"/>
    <s v="盯海放"/>
    <x v="43"/>
    <x v="2"/>
    <m/>
    <n v="4"/>
  </r>
  <r>
    <s v="0614-0 JS mobis"/>
    <x v="5"/>
    <x v="22"/>
    <n v="43"/>
    <s v="盯码放"/>
    <x v="43"/>
    <x v="2"/>
    <m/>
    <n v="4"/>
  </r>
  <r>
    <s v="0614-0 JS mobis"/>
    <x v="5"/>
    <x v="22"/>
    <n v="44"/>
    <s v="盯配载"/>
    <x v="44"/>
    <x v="2"/>
    <m/>
    <n v="6"/>
  </r>
  <r>
    <s v="0614-0 JS mobis"/>
    <x v="5"/>
    <x v="22"/>
    <n v="45"/>
    <s v="做费用(月初等汇率)，发账单给石磊"/>
    <x v="44"/>
    <x v="2"/>
    <m/>
    <n v="6"/>
  </r>
  <r>
    <s v="0614-0 JS mobis"/>
    <x v="5"/>
    <x v="22"/>
    <n v="46"/>
    <s v="船开"/>
    <x v="33"/>
    <x v="2"/>
    <m/>
    <n v="7"/>
  </r>
  <r>
    <s v="0614-0 JS mobis"/>
    <x v="5"/>
    <x v="22"/>
    <n v="47"/>
    <s v="放单"/>
    <x v="33"/>
    <x v="2"/>
    <s v="一般开船后两三天"/>
    <n v="7"/>
  </r>
  <r>
    <s v="0616-0 万盛"/>
    <x v="8"/>
    <x v="23"/>
    <n v="1"/>
    <s v="收到徐小姐托书"/>
    <x v="39"/>
    <x v="0"/>
    <m/>
    <n v="-3"/>
  </r>
  <r>
    <s v="0616-0 万盛"/>
    <x v="8"/>
    <x v="23"/>
    <n v="2"/>
    <s v="公共盘表格生成单号，YJC系统复制、生成单子"/>
    <x v="39"/>
    <x v="0"/>
    <m/>
    <n v="-3"/>
  </r>
  <r>
    <s v="0616-0 万盛"/>
    <x v="8"/>
    <x v="23"/>
    <n v="3"/>
    <s v="振华网站订舱、保存、提交，等待审核"/>
    <x v="39"/>
    <x v="0"/>
    <m/>
    <n v="-3"/>
  </r>
  <r>
    <s v="0616-0 万盛"/>
    <x v="8"/>
    <x v="23"/>
    <n v="4"/>
    <s v="QQ发预配给徐小姐，邮件发确认给国外"/>
    <x v="39"/>
    <x v="0"/>
    <m/>
    <n v="-3"/>
  </r>
  <r>
    <s v="0616-0 万盛"/>
    <x v="8"/>
    <x v="23"/>
    <n v="5"/>
    <s v="收到国外确认，公共盘表格红改黑"/>
    <x v="39"/>
    <x v="0"/>
    <m/>
    <n v="-3"/>
  </r>
  <r>
    <s v="0616-0 万盛"/>
    <x v="8"/>
    <x v="23"/>
    <n v="6"/>
    <s v="收到车队江发来VGM表格"/>
    <x v="44"/>
    <x v="2"/>
    <s v="周三周一截，周日周五截"/>
    <n v="6"/>
  </r>
  <r>
    <s v="0616-0 万盛"/>
    <x v="8"/>
    <x v="23"/>
    <n v="7"/>
    <s v="YJC 截单，振华截单、截VGM"/>
    <x v="44"/>
    <x v="2"/>
    <m/>
    <n v="6"/>
  </r>
  <r>
    <s v="0616-0 万盛"/>
    <x v="8"/>
    <x v="23"/>
    <n v="8"/>
    <s v="邮件发提单确认和费用确认给国外"/>
    <x v="44"/>
    <x v="2"/>
    <m/>
    <n v="6"/>
  </r>
  <r>
    <s v="0616-0 万盛"/>
    <x v="8"/>
    <x v="23"/>
    <n v="9"/>
    <s v="船开，制作提单领取单给师傅领WAYBILL"/>
    <x v="45"/>
    <x v="2"/>
    <m/>
    <n v="10"/>
  </r>
  <r>
    <s v="0616-0 万盛"/>
    <x v="8"/>
    <x v="23"/>
    <n v="10"/>
    <s v="拿到WAYBILL，扫描，和HBL一起发国外"/>
    <x v="45"/>
    <x v="2"/>
    <m/>
    <n v="10"/>
  </r>
  <r>
    <s v="0617-0 0 WEEK"/>
    <x v="4"/>
    <x v="24"/>
    <n v="1"/>
    <s v="收到HMM Neo 下周订舱邮件"/>
    <x v="45"/>
    <x v="2"/>
    <s v="周一"/>
    <n v="10"/>
  </r>
  <r>
    <s v="0617-0 0 WEEK"/>
    <x v="4"/>
    <x v="24"/>
    <n v="2"/>
    <s v="根据JS mobis订舱需求回Neo邮件"/>
    <x v="45"/>
    <x v="2"/>
    <s v="周一"/>
    <n v="10"/>
  </r>
  <r>
    <s v="0617-0 0 WEEK"/>
    <x v="4"/>
    <x v="24"/>
    <n v="3"/>
    <s v="SHA GLV WORKING PROCESS"/>
    <x v="45"/>
    <x v="2"/>
    <s v="周一"/>
    <n v="10"/>
  </r>
  <r>
    <s v="0617-0 0 WEEK"/>
    <x v="4"/>
    <x v="24"/>
    <n v="4"/>
    <s v="SHA GLV WORKING PROCESS"/>
    <x v="46"/>
    <x v="2"/>
    <s v="周三"/>
    <n v="12"/>
  </r>
  <r>
    <s v="0617-0 0 WEEK"/>
    <x v="4"/>
    <x v="24"/>
    <n v="5"/>
    <s v="TJ glovis额外费用邮件"/>
    <x v="47"/>
    <x v="2"/>
    <s v="周五"/>
    <n v="14"/>
  </r>
  <r>
    <s v="0617-0 0 WEEK"/>
    <x v="4"/>
    <x v="24"/>
    <n v="6"/>
    <s v="WORKING PROCESS"/>
    <x v="47"/>
    <x v="2"/>
    <s v="周五"/>
    <n v="14"/>
  </r>
  <r>
    <s v="0617-0 0 WEEK"/>
    <x v="4"/>
    <x v="24"/>
    <n v="7"/>
    <s v="万盛出去清单（下午三点）"/>
    <x v="47"/>
    <x v="2"/>
    <s v="周五"/>
    <n v="14"/>
  </r>
  <r>
    <s v="0619-0 HMI"/>
    <x v="2"/>
    <x v="25"/>
    <n v="1"/>
    <s v="收到客户(孙丹/王珊)发来订舱托书"/>
    <x v="38"/>
    <x v="0"/>
    <m/>
    <n v="-1"/>
  </r>
  <r>
    <s v="0619-0 HMI"/>
    <x v="2"/>
    <x v="25"/>
    <n v="2"/>
    <s v="收到CK发来预配(做箱通知，沈丽有收到？)，完善YJC系统数据"/>
    <x v="19"/>
    <x v="2"/>
    <m/>
    <n v="3"/>
  </r>
  <r>
    <s v="0619-0 HMI"/>
    <x v="2"/>
    <x v="25"/>
    <n v="3"/>
    <s v="YJC系统生成单子"/>
    <x v="19"/>
    <x v="2"/>
    <m/>
    <n v="3"/>
  </r>
  <r>
    <s v="0619-0 HMI"/>
    <x v="2"/>
    <x v="25"/>
    <n v="4"/>
    <s v="收到包装厂(刘倩梅)发来包装指示书和装箱计划"/>
    <x v="44"/>
    <x v="2"/>
    <s v="一般周四"/>
    <n v="6"/>
  </r>
  <r>
    <s v="0619-0 HMI"/>
    <x v="2"/>
    <x v="25"/>
    <n v="5"/>
    <s v="根据装箱计划汇总包装数据，发各工厂做报关资料"/>
    <x v="44"/>
    <x v="2"/>
    <m/>
    <n v="6"/>
  </r>
  <r>
    <s v="0619-0 HMI"/>
    <x v="2"/>
    <x v="25"/>
    <n v="6"/>
    <s v="做做箱数据，邮件群发(开港时间)"/>
    <x v="44"/>
    <x v="2"/>
    <m/>
    <n v="6"/>
  </r>
  <r>
    <s v="0619-0 HMI"/>
    <x v="2"/>
    <x v="25"/>
    <n v="7"/>
    <s v="收到工厂发来报关资料并完善(代做报关资料跟客户确认)"/>
    <x v="44"/>
    <x v="2"/>
    <s v="当天至隔天"/>
    <n v="6"/>
  </r>
  <r>
    <s v="0619-0 HMI"/>
    <x v="2"/>
    <x v="25"/>
    <n v="8"/>
    <s v="报关资料齐了，发报关行(黄寅文)，货运模板/发票/箱单"/>
    <x v="33"/>
    <x v="2"/>
    <m/>
    <n v="7"/>
  </r>
  <r>
    <s v="0619-0 HMI"/>
    <x v="2"/>
    <x v="25"/>
    <n v="9"/>
    <s v="收到车队(沈丽)装箱单和洋山提箱截图(如有)，群发，通知发舱单"/>
    <x v="33"/>
    <x v="2"/>
    <s v="一般KMM五、HMI日"/>
    <n v="7"/>
  </r>
  <r>
    <s v="0619-0 HMI"/>
    <x v="2"/>
    <x v="25"/>
    <n v="10"/>
    <s v="收到舱单发送成功通知，核对舱单信息"/>
    <x v="33"/>
    <x v="2"/>
    <m/>
    <n v="7"/>
  </r>
  <r>
    <s v="0619-0 HMI"/>
    <x v="2"/>
    <x v="25"/>
    <n v="11"/>
    <s v="通知进港"/>
    <x v="33"/>
    <x v="2"/>
    <s v="调整顺序"/>
    <n v="7"/>
  </r>
  <r>
    <s v="0619-0 HMI"/>
    <x v="2"/>
    <x v="25"/>
    <n v="12"/>
    <s v="进港(核对数据)"/>
    <x v="48"/>
    <x v="2"/>
    <s v="调整顺序"/>
    <n v="9"/>
  </r>
  <r>
    <s v="0619-0 HMI"/>
    <x v="2"/>
    <x v="25"/>
    <n v="13"/>
    <s v="通知报关"/>
    <x v="45"/>
    <x v="2"/>
    <s v="调整顺序"/>
    <n v="10"/>
  </r>
  <r>
    <s v="0619-0 HMI"/>
    <x v="2"/>
    <x v="25"/>
    <n v="14"/>
    <s v="报关成功"/>
    <x v="45"/>
    <x v="2"/>
    <s v="调整顺序"/>
    <n v="10"/>
  </r>
  <r>
    <s v="0619-0 HMI"/>
    <x v="2"/>
    <x v="25"/>
    <n v="15"/>
    <s v="盯海放"/>
    <x v="45"/>
    <x v="2"/>
    <m/>
    <n v="10"/>
  </r>
  <r>
    <s v="0619-0 HMI"/>
    <x v="2"/>
    <x v="25"/>
    <n v="16"/>
    <s v="盯码放"/>
    <x v="45"/>
    <x v="2"/>
    <m/>
    <n v="10"/>
  </r>
  <r>
    <s v="0619-0 HMI"/>
    <x v="2"/>
    <x v="25"/>
    <n v="17"/>
    <s v="盯配载"/>
    <x v="49"/>
    <x v="2"/>
    <m/>
    <n v="11"/>
  </r>
  <r>
    <s v="0619-0 HMI"/>
    <x v="2"/>
    <x v="25"/>
    <n v="18"/>
    <s v="盯船开，放单"/>
    <x v="46"/>
    <x v="2"/>
    <m/>
    <n v="12"/>
  </r>
  <r>
    <s v="0619-0 HMI"/>
    <x v="2"/>
    <x v="25"/>
    <n v="19"/>
    <s v="做费用(对账单日期4号)，放公共盘，填月账单表，发孙丹"/>
    <x v="46"/>
    <x v="2"/>
    <m/>
    <n v="12"/>
  </r>
  <r>
    <s v="0619-0 KMM"/>
    <x v="3"/>
    <x v="25"/>
    <n v="1"/>
    <s v="收到客户(孙丹/王珊)发来订舱托书"/>
    <x v="38"/>
    <x v="0"/>
    <m/>
    <n v="-1"/>
  </r>
  <r>
    <s v="0619-0 KMM"/>
    <x v="3"/>
    <x v="25"/>
    <n v="2"/>
    <s v="收到CK发来预配(做箱通知，沈丽有收到？)，完善YJC系统数据"/>
    <x v="38"/>
    <x v="0"/>
    <m/>
    <n v="-1"/>
  </r>
  <r>
    <s v="0619-0 KMM"/>
    <x v="3"/>
    <x v="25"/>
    <n v="3"/>
    <s v="YJC系统生成单子"/>
    <x v="19"/>
    <x v="2"/>
    <m/>
    <n v="3"/>
  </r>
  <r>
    <s v="0619-0 KMM"/>
    <x v="3"/>
    <x v="25"/>
    <n v="4"/>
    <s v="收到包装厂(刘倩梅)发来包装指示书和装箱计划"/>
    <x v="44"/>
    <x v="2"/>
    <s v="一般周四"/>
    <n v="6"/>
  </r>
  <r>
    <s v="0619-0 KMM"/>
    <x v="3"/>
    <x v="25"/>
    <n v="5"/>
    <s v="根据装箱计划汇总包装数据，发各工厂做报关资料"/>
    <x v="44"/>
    <x v="2"/>
    <m/>
    <n v="6"/>
  </r>
  <r>
    <s v="0619-0 KMM"/>
    <x v="3"/>
    <x v="25"/>
    <n v="6"/>
    <s v="做做箱数据，邮件群发(开港时间)"/>
    <x v="44"/>
    <x v="2"/>
    <m/>
    <n v="6"/>
  </r>
  <r>
    <s v="0619-0 KMM"/>
    <x v="3"/>
    <x v="25"/>
    <n v="7"/>
    <s v="收到工厂发来报关资料并完善(代做报关资料跟客户确认)"/>
    <x v="44"/>
    <x v="2"/>
    <s v="当天至隔天"/>
    <n v="6"/>
  </r>
  <r>
    <s v="0619-0 KMM"/>
    <x v="3"/>
    <x v="25"/>
    <n v="8"/>
    <s v="报关资料齐了，发报关行(黄寅文)，货运模板/发票/箱单"/>
    <x v="44"/>
    <x v="2"/>
    <m/>
    <n v="6"/>
  </r>
  <r>
    <s v="0619-0 KMM"/>
    <x v="3"/>
    <x v="25"/>
    <n v="9"/>
    <s v="收到车队(沈丽)装箱单和洋山提箱截图(如有)，群发，通知发舱单"/>
    <x v="33"/>
    <x v="2"/>
    <s v="一般KMM五、HMI日"/>
    <n v="7"/>
  </r>
  <r>
    <s v="0619-0 KMM"/>
    <x v="3"/>
    <x v="25"/>
    <n v="10"/>
    <s v="收到舱单发送成功通知，核对舱单信息"/>
    <x v="33"/>
    <x v="2"/>
    <m/>
    <n v="7"/>
  </r>
  <r>
    <s v="0619-0 KMM"/>
    <x v="3"/>
    <x v="25"/>
    <n v="11"/>
    <s v="通知报关"/>
    <x v="33"/>
    <x v="2"/>
    <s v="调整顺序"/>
    <n v="7"/>
  </r>
  <r>
    <s v="0619-0 KMM"/>
    <x v="3"/>
    <x v="25"/>
    <n v="12"/>
    <s v="报关成功"/>
    <x v="33"/>
    <x v="2"/>
    <s v="调整顺序"/>
    <n v="7"/>
  </r>
  <r>
    <s v="0619-0 KMM"/>
    <x v="3"/>
    <x v="25"/>
    <n v="13"/>
    <s v="通知进港"/>
    <x v="33"/>
    <x v="2"/>
    <s v="调整顺序"/>
    <n v="7"/>
  </r>
  <r>
    <s v="0619-0 KMM"/>
    <x v="3"/>
    <x v="25"/>
    <n v="14"/>
    <s v="进港(核对数据)"/>
    <x v="33"/>
    <x v="2"/>
    <s v="调整顺序"/>
    <n v="7"/>
  </r>
  <r>
    <s v="0619-0 KMM"/>
    <x v="3"/>
    <x v="25"/>
    <n v="15"/>
    <s v="盯海放"/>
    <x v="50"/>
    <x v="2"/>
    <m/>
    <n v="8"/>
  </r>
  <r>
    <s v="0619-0 KMM"/>
    <x v="3"/>
    <x v="25"/>
    <n v="16"/>
    <s v="盯码放"/>
    <x v="45"/>
    <x v="2"/>
    <m/>
    <n v="10"/>
  </r>
  <r>
    <s v="0619-0 KMM"/>
    <x v="3"/>
    <x v="25"/>
    <n v="17"/>
    <s v="盯配载"/>
    <x v="45"/>
    <x v="2"/>
    <m/>
    <n v="10"/>
  </r>
  <r>
    <s v="0619-0 KMM"/>
    <x v="3"/>
    <x v="25"/>
    <n v="18"/>
    <s v="盯船开，放单"/>
    <x v="46"/>
    <x v="2"/>
    <m/>
    <n v="12"/>
  </r>
  <r>
    <s v="0619-0 KMM"/>
    <x v="3"/>
    <x v="25"/>
    <n v="19"/>
    <s v="做费用(对账单日期4号)，放公共盘，填月账单表，发孙丹"/>
    <x v="46"/>
    <x v="2"/>
    <m/>
    <n v="12"/>
  </r>
  <r>
    <s v="0619-0 WX mobis"/>
    <x v="7"/>
    <x v="25"/>
    <n v="1"/>
    <s v="收到胡媛媛发来订舱邮件"/>
    <x v="4"/>
    <x v="0"/>
    <m/>
    <n v="-28"/>
  </r>
  <r>
    <s v="0619-0 WX mobis"/>
    <x v="7"/>
    <x v="25"/>
    <n v="2"/>
    <s v="发订舱托书给万恒（翁小姐）"/>
    <x v="4"/>
    <x v="0"/>
    <m/>
    <n v="-28"/>
  </r>
  <r>
    <s v="0619-0 WX mobis"/>
    <x v="7"/>
    <x v="25"/>
    <n v="3"/>
    <s v="收到万恒（翁小姐）预配"/>
    <x v="4"/>
    <x v="0"/>
    <s v="一般三小时左右"/>
    <n v="-28"/>
  </r>
  <r>
    <s v="0619-0 WX mobis"/>
    <x v="7"/>
    <x v="25"/>
    <n v="4"/>
    <s v="通知胡媛媛订舱成功"/>
    <x v="4"/>
    <x v="0"/>
    <m/>
    <n v="-28"/>
  </r>
  <r>
    <s v="0619-0 WX mobis"/>
    <x v="7"/>
    <x v="25"/>
    <n v="5"/>
    <s v="发做箱通知邮件给车队(沈丽)"/>
    <x v="12"/>
    <x v="0"/>
    <m/>
    <n v="-27"/>
  </r>
  <r>
    <s v="0619-0 WX mobis"/>
    <x v="7"/>
    <x v="25"/>
    <n v="5.0999999999999996"/>
    <s v="取消一个柜子的预配"/>
    <x v="3"/>
    <x v="0"/>
    <m/>
    <n v="-9"/>
  </r>
  <r>
    <s v="0619-0 WX mobis"/>
    <x v="7"/>
    <x v="25"/>
    <n v="5.2"/>
    <s v="确认取消"/>
    <x v="29"/>
    <x v="0"/>
    <m/>
    <n v="-8"/>
  </r>
  <r>
    <s v="0619-0 WX mobis"/>
    <x v="7"/>
    <x v="25"/>
    <n v="6"/>
    <s v="收到胡媛媛发来报关资料"/>
    <x v="42"/>
    <x v="2"/>
    <s v="船开前一周？"/>
    <n v="5"/>
  </r>
  <r>
    <s v="0619-0 WX mobis"/>
    <x v="7"/>
    <x v="25"/>
    <n v="7"/>
    <s v="完善报关资料发报关行（黄寅文），要校对稿，做做箱数据给沈丽"/>
    <x v="42"/>
    <x v="2"/>
    <m/>
    <n v="5"/>
  </r>
  <r>
    <s v="0619-0 WX mobis"/>
    <x v="7"/>
    <x v="25"/>
    <n v="8"/>
    <s v="买保险，做异地付款保函，发胡媛媛确认盖章回传"/>
    <x v="42"/>
    <x v="2"/>
    <m/>
    <n v="5"/>
  </r>
  <r>
    <s v="0619-0 WX mobis"/>
    <x v="7"/>
    <x v="25"/>
    <n v="9"/>
    <s v="收到客户（胡媛媛）发来保函扫描件"/>
    <x v="42"/>
    <x v="2"/>
    <s v="一般马上"/>
    <n v="5"/>
  </r>
  <r>
    <s v="0619-0 WX mobis"/>
    <x v="7"/>
    <x v="25"/>
    <n v="10"/>
    <s v="收到黄寅文校对稿，发客户（胡媛媛）确认"/>
    <x v="42"/>
    <x v="2"/>
    <s v="一般半天内"/>
    <n v="5"/>
  </r>
  <r>
    <s v="0619-0 WX mobis"/>
    <x v="7"/>
    <x v="25"/>
    <n v="11"/>
    <s v="收到客户（胡媛媛）确认校对稿OK"/>
    <x v="42"/>
    <x v="2"/>
    <s v="一般马上"/>
    <n v="5"/>
  </r>
  <r>
    <s v="0619-0 WX mobis"/>
    <x v="7"/>
    <x v="25"/>
    <n v="12"/>
    <s v="开港时间？明天做箱？如有变动通知胡媛媛（跟万恒确认17号做可不可以）"/>
    <x v="44"/>
    <x v="2"/>
    <s v="截单前一天"/>
    <n v="6"/>
  </r>
  <r>
    <s v="0619-0 WX mobis"/>
    <x v="7"/>
    <x v="25"/>
    <n v="13"/>
    <s v="收到沈丽发来装箱单"/>
    <x v="33"/>
    <x v="2"/>
    <s v="截单当天"/>
    <n v="7"/>
  </r>
  <r>
    <s v="0619-0 WX mobis"/>
    <x v="7"/>
    <x v="25"/>
    <n v="14"/>
    <s v="完善截单资料发万恒（翁小姐），请求发舱单"/>
    <x v="33"/>
    <x v="2"/>
    <m/>
    <n v="7"/>
  </r>
  <r>
    <s v="0619-0 WX mobis"/>
    <x v="7"/>
    <x v="25"/>
    <n v="15"/>
    <s v="收到舱单发送通知，核对舱单，装箱单发报关行报关"/>
    <x v="33"/>
    <x v="2"/>
    <m/>
    <n v="7"/>
  </r>
  <r>
    <s v="0619-0 WX mobis"/>
    <x v="7"/>
    <x v="25"/>
    <n v="16"/>
    <s v="请求万恒（翁小姐）发提单样本"/>
    <x v="33"/>
    <x v="2"/>
    <m/>
    <n v="7"/>
  </r>
  <r>
    <s v="0619-0 WX mobis"/>
    <x v="7"/>
    <x v="25"/>
    <n v="17"/>
    <s v="收到万恒（翁小姐）发来提单样本，发胡媛媛确认"/>
    <x v="33"/>
    <x v="2"/>
    <m/>
    <n v="7"/>
  </r>
  <r>
    <s v="0619-0 WX mobis"/>
    <x v="7"/>
    <x v="25"/>
    <n v="18"/>
    <s v="收到胡媛媛提单确认"/>
    <x v="33"/>
    <x v="2"/>
    <m/>
    <n v="7"/>
  </r>
  <r>
    <s v="0619-0 WX mobis"/>
    <x v="7"/>
    <x v="25"/>
    <n v="19"/>
    <s v="收到报关成功通知，通知车队可进港 "/>
    <x v="33"/>
    <x v="2"/>
    <m/>
    <n v="7"/>
  </r>
  <r>
    <s v="0619-0 WX mobis"/>
    <x v="7"/>
    <x v="25"/>
    <n v="20"/>
    <s v="进港，核对数据"/>
    <x v="33"/>
    <x v="2"/>
    <m/>
    <n v="7"/>
  </r>
  <r>
    <s v="0619-0 WX mobis"/>
    <x v="7"/>
    <x v="25"/>
    <n v="21"/>
    <s v="海放"/>
    <x v="33"/>
    <x v="2"/>
    <m/>
    <n v="7"/>
  </r>
  <r>
    <s v="0619-0 WX mobis"/>
    <x v="7"/>
    <x v="25"/>
    <n v="22"/>
    <s v="码放"/>
    <x v="45"/>
    <x v="2"/>
    <m/>
    <n v="10"/>
  </r>
  <r>
    <s v="0619-0 WX mobis"/>
    <x v="7"/>
    <x v="25"/>
    <n v="23"/>
    <s v="配载"/>
    <x v="49"/>
    <x v="2"/>
    <m/>
    <n v="11"/>
  </r>
  <r>
    <s v="0619-0 WX mobis"/>
    <x v="7"/>
    <x v="25"/>
    <n v="24"/>
    <s v="开船"/>
    <x v="46"/>
    <x v="2"/>
    <m/>
    <n v="12"/>
  </r>
  <r>
    <s v="0619-0 WX mobis"/>
    <x v="7"/>
    <x v="25"/>
    <n v="25"/>
    <s v="收到万恒（翁小姐）提单，放提单和预录单给胡媛媛"/>
    <x v="32"/>
    <x v="2"/>
    <m/>
    <n v="13"/>
  </r>
  <r>
    <s v="0619-0 WX mobis"/>
    <x v="7"/>
    <x v="25"/>
    <n v="26"/>
    <s v="做费用，发账单给石磊"/>
    <x v="32"/>
    <x v="2"/>
    <m/>
    <n v="13"/>
  </r>
  <r>
    <s v="0619-0 万盛"/>
    <x v="8"/>
    <x v="25"/>
    <n v="1"/>
    <s v="收到徐小姐托书"/>
    <x v="39"/>
    <x v="0"/>
    <m/>
    <n v="-3"/>
  </r>
  <r>
    <s v="0619-0 万盛"/>
    <x v="8"/>
    <x v="25"/>
    <n v="2"/>
    <s v="公共盘表格生成单号，YJC系统复制、生成单子"/>
    <x v="39"/>
    <x v="0"/>
    <m/>
    <n v="-3"/>
  </r>
  <r>
    <s v="0619-0 万盛"/>
    <x v="8"/>
    <x v="25"/>
    <n v="3"/>
    <s v="振华网站订舱、保存、提交，等待审核"/>
    <x v="39"/>
    <x v="0"/>
    <m/>
    <n v="-3"/>
  </r>
  <r>
    <s v="0619-0 万盛"/>
    <x v="8"/>
    <x v="25"/>
    <n v="4"/>
    <s v="QQ发预配给徐小姐，邮件发确认给国外"/>
    <x v="19"/>
    <x v="2"/>
    <m/>
    <n v="3"/>
  </r>
  <r>
    <s v="0619-0 万盛"/>
    <x v="8"/>
    <x v="25"/>
    <n v="5"/>
    <s v="收到国外确认，公共盘表格红改黑"/>
    <x v="19"/>
    <x v="2"/>
    <m/>
    <n v="3"/>
  </r>
  <r>
    <s v="0619-0 万盛"/>
    <x v="8"/>
    <x v="25"/>
    <n v="6"/>
    <s v="收到车队江发来VGM表格"/>
    <x v="45"/>
    <x v="2"/>
    <s v="周三周一截，周日周五截"/>
    <n v="10"/>
  </r>
  <r>
    <s v="0619-0 万盛"/>
    <x v="8"/>
    <x v="25"/>
    <n v="7"/>
    <s v="YJC 截单，振华截单、截VGM"/>
    <x v="45"/>
    <x v="2"/>
    <m/>
    <n v="10"/>
  </r>
  <r>
    <s v="0619-0 万盛"/>
    <x v="8"/>
    <x v="25"/>
    <n v="8"/>
    <s v="邮件发提单确认和费用确认给国外"/>
    <x v="45"/>
    <x v="2"/>
    <m/>
    <n v="10"/>
  </r>
  <r>
    <s v="0619-0 万盛"/>
    <x v="8"/>
    <x v="25"/>
    <n v="9"/>
    <s v="船开，制作提单领取单给师傅领WAYBILL"/>
    <x v="46"/>
    <x v="2"/>
    <m/>
    <n v="12"/>
  </r>
  <r>
    <s v="0619-0 万盛"/>
    <x v="8"/>
    <x v="25"/>
    <n v="10"/>
    <s v="拿到WAYBILL，扫描，和HBL一起发国外"/>
    <x v="46"/>
    <x v="2"/>
    <m/>
    <n v="12"/>
  </r>
  <r>
    <s v="0624-0 0 WEEK"/>
    <x v="4"/>
    <x v="26"/>
    <n v="1"/>
    <s v="收到HMM Neo 下周订舱邮件"/>
    <x v="51"/>
    <x v="2"/>
    <s v="周一"/>
    <n v="17"/>
  </r>
  <r>
    <s v="0624-0 0 WEEK"/>
    <x v="4"/>
    <x v="26"/>
    <n v="2"/>
    <s v="根据JS mobis订舱需求回Neo邮件"/>
    <x v="51"/>
    <x v="2"/>
    <s v="周一"/>
    <n v="17"/>
  </r>
  <r>
    <s v="0624-0 0 WEEK"/>
    <x v="4"/>
    <x v="26"/>
    <n v="3"/>
    <s v="SHA GLV WORKING PROCESS"/>
    <x v="51"/>
    <x v="2"/>
    <s v="周一"/>
    <n v="17"/>
  </r>
  <r>
    <s v="0624-0 0 WEEK"/>
    <x v="4"/>
    <x v="26"/>
    <n v="4"/>
    <s v="SHA GLV WORKING PROCESS"/>
    <x v="52"/>
    <x v="2"/>
    <s v="周三"/>
    <n v="19"/>
  </r>
  <r>
    <s v="0624-0 0 WEEK"/>
    <x v="4"/>
    <x v="26"/>
    <n v="5"/>
    <s v="TJ glovis额外费用邮件"/>
    <x v="35"/>
    <x v="2"/>
    <s v="周五"/>
    <n v="21"/>
  </r>
  <r>
    <s v="0624-0 0 WEEK"/>
    <x v="4"/>
    <x v="26"/>
    <n v="6"/>
    <s v="WORKING PROCESS"/>
    <x v="35"/>
    <x v="2"/>
    <s v="周五"/>
    <n v="21"/>
  </r>
  <r>
    <s v="0624-0 0 WEEK"/>
    <x v="4"/>
    <x v="26"/>
    <n v="7"/>
    <s v="万盛出去清单（下午三点）"/>
    <x v="35"/>
    <x v="2"/>
    <s v="周五"/>
    <n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3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3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19"/>
        <item x="43"/>
        <item x="42"/>
        <item x="44"/>
        <item x="33"/>
        <item x="50"/>
        <item x="48"/>
        <item x="45"/>
        <item x="49"/>
        <item x="46"/>
        <item x="32"/>
        <item x="47"/>
        <item x="51"/>
        <item x="34"/>
        <item x="52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9">
    <i>
      <x v="2"/>
    </i>
    <i r="1">
      <x v="20"/>
    </i>
    <i>
      <x v="3"/>
    </i>
    <i r="1">
      <x v="20"/>
    </i>
    <i r="1">
      <x v="21"/>
    </i>
    <i r="1">
      <x v="24"/>
    </i>
    <i>
      <x v="6"/>
    </i>
    <i r="1">
      <x v="21"/>
    </i>
    <i t="grand">
      <x/>
    </i>
  </rowItems>
  <colFields count="1">
    <field x="5"/>
  </colFields>
  <colItems count="2">
    <i>
      <x v="35"/>
    </i>
    <i>
      <x v="36"/>
    </i>
  </colItems>
  <pageFields count="1">
    <pageField fld="6" item="1" hier="-1"/>
  </pageFields>
  <dataFields count="1">
    <dataField name="计数项:日期" fld="5" subtotal="count" baseField="0" baseItem="0"/>
  </dataFields>
  <formats count="11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dataOnly="0" labelOnly="1" fieldPosition="0">
        <references count="1">
          <reference field="2" count="0"/>
        </references>
      </pivotArea>
    </format>
    <format dxfId="20">
      <pivotArea dataOnly="0" labelOnly="1" fieldPosition="0">
        <references count="1">
          <reference field="2" count="0"/>
        </references>
      </pivotArea>
    </format>
    <format dxfId="19">
      <pivotArea dataOnly="0" labelOnly="1" fieldPosition="0">
        <references count="1">
          <reference field="5" count="1">
            <x v="27"/>
          </reference>
        </references>
      </pivotArea>
    </format>
    <format dxfId="18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17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7"/>
            <x v="39"/>
            <x v="40"/>
            <x v="41"/>
            <x v="44"/>
            <x v="45"/>
            <x v="46"/>
            <x v="47"/>
            <x v="48"/>
            <x v="49"/>
            <x v="50"/>
            <x v="51"/>
            <x v="52"/>
          </reference>
        </references>
      </pivotArea>
    </format>
    <format dxfId="16">
      <pivotArea dataOnly="0" labelOnly="1" fieldPosition="0">
        <references count="1">
          <reference field="5" count="1">
            <x v="30"/>
          </reference>
        </references>
      </pivotArea>
    </format>
    <format dxfId="15">
      <pivotArea dataOnly="0" labelOnly="1" fieldPosition="0">
        <references count="1">
          <reference field="5" count="1">
            <x v="38"/>
          </reference>
        </references>
      </pivotArea>
    </format>
    <format dxfId="14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6">
      <autoFilter ref="A1">
        <filterColumn colId="0">
          <customFilters>
            <customFilter operator="lessThan" val="43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28" totalsRowShown="0" headerRowDxfId="47" dataDxfId="46">
  <autoFilter ref="A1:G128" xr:uid="{00000000-0009-0000-0100-000001000000}"/>
  <sortState ref="A2:G127">
    <sortCondition ref="A2:A127"/>
    <sortCondition ref="C2:C127"/>
  </sortState>
  <tableColumns count="7">
    <tableColumn id="1" xr3:uid="{00000000-0010-0000-0000-000001000000}" name="项目" dataDxfId="45"/>
    <tableColumn id="2" xr3:uid="{00000000-0010-0000-0000-000002000000}" name="ETD" dataDxfId="44"/>
    <tableColumn id="8" xr3:uid="{00000000-0010-0000-0000-000008000000}" name="顺序" dataDxfId="43"/>
    <tableColumn id="4" xr3:uid="{00000000-0010-0000-0000-000004000000}" name="内容" dataDxfId="42"/>
    <tableColumn id="5" xr3:uid="{00000000-0010-0000-0000-000005000000}" name="日期" dataDxfId="41"/>
    <tableColumn id="6" xr3:uid="{00000000-0010-0000-0000-000006000000}" name="状态" dataDxfId="40"/>
    <tableColumn id="7" xr3:uid="{00000000-0010-0000-0000-000007000000}" name="备注" dataDxfId="3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915" totalsRowShown="0" headerRowDxfId="38" dataDxfId="36" headerRowBorderDxfId="37" tableBorderDxfId="35" totalsRowBorderDxfId="34">
  <autoFilter ref="A1:I915" xr:uid="{00000000-0009-0000-0100-000003000000}">
    <filterColumn colId="1">
      <filters>
        <filter val="JS mobis"/>
      </filters>
    </filterColumn>
    <filterColumn colId="2">
      <filters>
        <dateGroupItem year="2019" month="6" day="7" hour="0" dateTimeGrouping="hour"/>
      </filters>
    </filterColumn>
  </autoFilter>
  <tableColumns count="9">
    <tableColumn id="17" xr3:uid="{00000000-0010-0000-0100-000011000000}" name="列1" dataDxfId="33">
      <calculatedColumnFormula>TEXT(表3[[#This Row],[ETD]],"mmdd-h ")&amp;表3[[#This Row],[项目]]</calculatedColumnFormula>
    </tableColumn>
    <tableColumn id="1" xr3:uid="{00000000-0010-0000-0100-000001000000}" name="项目" dataDxfId="32"/>
    <tableColumn id="2" xr3:uid="{00000000-0010-0000-0100-000002000000}" name="ETD" dataDxfId="31"/>
    <tableColumn id="3" xr3:uid="{00000000-0010-0000-0100-000003000000}" name="顺序" dataDxfId="30"/>
    <tableColumn id="5" xr3:uid="{00000000-0010-0000-0100-000005000000}" name="内容" dataDxfId="29"/>
    <tableColumn id="6" xr3:uid="{00000000-0010-0000-0100-000006000000}" name="日期" dataDxfId="28"/>
    <tableColumn id="7" xr3:uid="{00000000-0010-0000-0100-000007000000}" name="状态" dataDxfId="27"/>
    <tableColumn id="8" xr3:uid="{00000000-0010-0000-0100-000008000000}" name="备注" dataDxfId="26"/>
    <tableColumn id="9" xr3:uid="{00000000-0010-0000-0100-000009000000}" name="列2" dataDxfId="2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I62" totalsRowShown="0">
  <autoFilter ref="A1:I62" xr:uid="{00000000-0009-0000-0100-000002000000}">
    <filterColumn colId="1">
      <filters>
        <filter val="JS mobis"/>
      </filters>
    </filterColumn>
    <filterColumn colId="2">
      <filters>
        <dateGroupItem year="2019" month="6" day="7" hour="0" dateTimeGrouping="hour"/>
      </filters>
    </filterColumn>
  </autoFilter>
  <tableColumns count="9">
    <tableColumn id="9" xr3:uid="{4A1BF07F-79D3-4A80-9409-B11FCD5D874E}" name="YJC" dataDxfId="7"/>
    <tableColumn id="1" xr3:uid="{00000000-0010-0000-0200-000001000000}" name="项目"/>
    <tableColumn id="2" xr3:uid="{00000000-0010-0000-0200-000002000000}" name="ETD" dataDxfId="13"/>
    <tableColumn id="4" xr3:uid="{00000000-0010-0000-0200-000004000000}" name="船名en" dataDxfId="12"/>
    <tableColumn id="5" xr3:uid="{00000000-0010-0000-0200-000005000000}" name="航次" dataDxfId="11"/>
    <tableColumn id="3" xr3:uid="{00000000-0010-0000-0200-000003000000}" name="船名cn" dataDxfId="10"/>
    <tableColumn id="6" xr3:uid="{00000000-0010-0000-0200-000006000000}" name="提单号" dataDxfId="9"/>
    <tableColumn id="7" xr3:uid="{00000000-0010-0000-0200-000007000000}" name="箱号"/>
    <tableColumn id="8" xr3:uid="{00000000-0010-0000-0200-000008000000}" name="箱型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28"/>
  <sheetViews>
    <sheetView workbookViewId="0">
      <pane ySplit="1" topLeftCell="A50" activePane="bottomLeft" state="frozen"/>
      <selection pane="bottomLeft" activeCell="D51" sqref="D5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652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653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654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655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656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695</v>
      </c>
    </row>
    <row r="11" spans="1:7" x14ac:dyDescent="0.2">
      <c r="A11" s="1" t="s">
        <v>259</v>
      </c>
      <c r="B11" s="2"/>
      <c r="C11" s="17">
        <v>3</v>
      </c>
      <c r="D11" s="1" t="s">
        <v>696</v>
      </c>
      <c r="E11" s="1"/>
      <c r="F11" s="1" t="s">
        <v>697</v>
      </c>
      <c r="G11" s="1" t="s">
        <v>698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636</v>
      </c>
      <c r="E13" s="1"/>
      <c r="F13" s="1" t="s">
        <v>637</v>
      </c>
      <c r="G13" s="1" t="s">
        <v>638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489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497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691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609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521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559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692</v>
      </c>
      <c r="E103" s="1"/>
      <c r="F103" s="1" t="s">
        <v>491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518</v>
      </c>
      <c r="E104" s="1"/>
      <c r="F104" s="1" t="s">
        <v>280</v>
      </c>
      <c r="G104" s="1"/>
    </row>
    <row r="105" spans="1:7" x14ac:dyDescent="0.2">
      <c r="A105" s="1" t="s">
        <v>659</v>
      </c>
      <c r="B105" s="2"/>
      <c r="C105" s="17">
        <v>1</v>
      </c>
      <c r="D105" s="1" t="s">
        <v>661</v>
      </c>
      <c r="E105" s="1"/>
      <c r="F105" s="1" t="s">
        <v>221</v>
      </c>
      <c r="G105" s="1"/>
    </row>
    <row r="106" spans="1:7" x14ac:dyDescent="0.2">
      <c r="A106" s="1" t="s">
        <v>659</v>
      </c>
      <c r="B106" s="2"/>
      <c r="C106" s="17">
        <v>2</v>
      </c>
      <c r="D106" s="1" t="s">
        <v>664</v>
      </c>
      <c r="E106" s="1"/>
      <c r="F106" s="1" t="s">
        <v>221</v>
      </c>
      <c r="G106" s="1"/>
    </row>
    <row r="107" spans="1:7" x14ac:dyDescent="0.2">
      <c r="A107" s="1" t="s">
        <v>659</v>
      </c>
      <c r="B107" s="2"/>
      <c r="C107" s="17">
        <v>3</v>
      </c>
      <c r="D107" s="1" t="s">
        <v>666</v>
      </c>
      <c r="E107" s="1"/>
      <c r="F107" s="1" t="s">
        <v>221</v>
      </c>
      <c r="G107" s="1"/>
    </row>
    <row r="108" spans="1:7" x14ac:dyDescent="0.2">
      <c r="A108" s="1" t="s">
        <v>659</v>
      </c>
      <c r="B108" s="2"/>
      <c r="C108" s="17">
        <v>4</v>
      </c>
      <c r="D108" s="1" t="s">
        <v>668</v>
      </c>
      <c r="E108" s="1"/>
      <c r="F108" s="1" t="s">
        <v>221</v>
      </c>
      <c r="G108" s="1"/>
    </row>
    <row r="109" spans="1:7" x14ac:dyDescent="0.2">
      <c r="A109" s="1" t="s">
        <v>659</v>
      </c>
      <c r="B109" s="2"/>
      <c r="C109" s="17">
        <v>5</v>
      </c>
      <c r="D109" s="1" t="s">
        <v>671</v>
      </c>
      <c r="E109" s="1"/>
      <c r="F109" s="1" t="s">
        <v>221</v>
      </c>
      <c r="G109" s="1"/>
    </row>
    <row r="110" spans="1:7" x14ac:dyDescent="0.2">
      <c r="A110" s="1" t="s">
        <v>659</v>
      </c>
      <c r="B110" s="2"/>
      <c r="C110" s="17">
        <v>6</v>
      </c>
      <c r="D110" s="1" t="s">
        <v>673</v>
      </c>
      <c r="E110" s="1"/>
      <c r="F110" s="1" t="s">
        <v>220</v>
      </c>
      <c r="G110" s="1" t="s">
        <v>684</v>
      </c>
    </row>
    <row r="111" spans="1:7" x14ac:dyDescent="0.2">
      <c r="A111" s="1" t="s">
        <v>659</v>
      </c>
      <c r="B111" s="2"/>
      <c r="C111" s="17">
        <v>7</v>
      </c>
      <c r="D111" s="1" t="s">
        <v>675</v>
      </c>
      <c r="E111" s="1"/>
      <c r="F111" s="1" t="s">
        <v>220</v>
      </c>
      <c r="G111" s="1"/>
    </row>
    <row r="112" spans="1:7" x14ac:dyDescent="0.2">
      <c r="A112" s="1" t="s">
        <v>659</v>
      </c>
      <c r="B112" s="2"/>
      <c r="C112" s="17">
        <v>8</v>
      </c>
      <c r="D112" s="1" t="s">
        <v>677</v>
      </c>
      <c r="E112" s="1"/>
      <c r="F112" s="1" t="s">
        <v>220</v>
      </c>
      <c r="G112" s="1"/>
    </row>
    <row r="113" spans="1:7" x14ac:dyDescent="0.2">
      <c r="A113" s="1" t="s">
        <v>659</v>
      </c>
      <c r="B113" s="2"/>
      <c r="C113" s="17">
        <v>9</v>
      </c>
      <c r="D113" s="1" t="s">
        <v>679</v>
      </c>
      <c r="E113" s="1"/>
      <c r="F113" s="1" t="s">
        <v>220</v>
      </c>
      <c r="G113" s="1"/>
    </row>
    <row r="114" spans="1:7" x14ac:dyDescent="0.2">
      <c r="A114" s="1" t="s">
        <v>659</v>
      </c>
      <c r="B114" s="2"/>
      <c r="C114" s="17">
        <v>10</v>
      </c>
      <c r="D114" s="1" t="s">
        <v>681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6" priority="5" operator="beginsWith" text="收到">
      <formula>LEFT(D2,LEN("收到"))="收到"</formula>
    </cfRule>
  </conditionalFormatting>
  <conditionalFormatting sqref="D80">
    <cfRule type="beginsWith" dxfId="5" priority="3" operator="beginsWith" text="收到">
      <formula>LEFT(D80,LEN("收到"))="收到"</formula>
    </cfRule>
  </conditionalFormatting>
  <conditionalFormatting sqref="D81">
    <cfRule type="beginsWith" dxfId="4" priority="2" operator="beginsWith" text="收到">
      <formula>LEFT(D81,LEN("收到"))="收到"</formula>
    </cfRule>
  </conditionalFormatting>
  <conditionalFormatting sqref="D82">
    <cfRule type="beginsWith" dxfId="3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915"/>
  <sheetViews>
    <sheetView showGridLines="0" tabSelected="1" workbookViewId="0">
      <pane ySplit="1" topLeftCell="A2" activePane="bottomLeft" state="frozen"/>
      <selection pane="bottomLeft" activeCell="C599" sqref="C599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481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-9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-9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-28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-28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-28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-28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-28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-28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-28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-28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-28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478</v>
      </c>
      <c r="F156" s="15">
        <v>43602</v>
      </c>
      <c r="G156" s="13" t="s">
        <v>480</v>
      </c>
      <c r="H156" s="34"/>
      <c r="I156" s="33">
        <f ca="1">ROUNDDOWN(表3[[#This Row],[日期]]-TODAY(),1)</f>
        <v>-21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-18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-18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493</v>
      </c>
      <c r="F180" s="15">
        <v>43612</v>
      </c>
      <c r="G180" s="13" t="s">
        <v>277</v>
      </c>
      <c r="H180" s="34"/>
      <c r="I180" s="33">
        <f ca="1">ROUNDDOWN(表3[[#This Row],[日期]]-TODAY(),1)</f>
        <v>-11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688</v>
      </c>
      <c r="F181" s="15">
        <v>43626</v>
      </c>
      <c r="G181" s="13" t="s">
        <v>690</v>
      </c>
      <c r="H181" s="34"/>
      <c r="I181" s="33">
        <f ca="1">ROUNDDOWN(表3[[#This Row],[日期]]-TODAY(),1)</f>
        <v>3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-18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-18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-18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-16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-14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-14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-28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-28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-24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-18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-18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-18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-18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499</v>
      </c>
      <c r="F201" s="15">
        <v>43605</v>
      </c>
      <c r="G201" s="13" t="s">
        <v>277</v>
      </c>
      <c r="H201" s="34"/>
      <c r="I201" s="33">
        <f ca="1">ROUNDDOWN(表3[[#This Row],[日期]]-TODAY(),1)</f>
        <v>-18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500</v>
      </c>
      <c r="F202" s="15">
        <v>43607</v>
      </c>
      <c r="G202" s="13" t="s">
        <v>277</v>
      </c>
      <c r="H202" s="34"/>
      <c r="I202" s="33">
        <f ca="1">ROUNDDOWN(表3[[#This Row],[日期]]-TODAY(),1)</f>
        <v>-16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501</v>
      </c>
      <c r="F203" s="15">
        <v>43608</v>
      </c>
      <c r="G203" s="13" t="s">
        <v>277</v>
      </c>
      <c r="H203" s="34"/>
      <c r="I203" s="33">
        <f ca="1">ROUNDDOWN(表3[[#This Row],[日期]]-TODAY(),1)</f>
        <v>-15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498</v>
      </c>
      <c r="F204" s="15">
        <v>43609</v>
      </c>
      <c r="G204" s="13" t="s">
        <v>277</v>
      </c>
      <c r="H204" s="34"/>
      <c r="I204" s="33">
        <f ca="1">ROUNDDOWN(表3[[#This Row],[日期]]-TODAY(),1)</f>
        <v>-14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-11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-29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-29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-29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-18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-18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-17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-43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-29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-18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-18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-18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-18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-18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490</v>
      </c>
      <c r="F246" s="15">
        <v>43607</v>
      </c>
      <c r="G246" s="13" t="s">
        <v>277</v>
      </c>
      <c r="H246" s="34"/>
      <c r="I246" s="33">
        <f ca="1">ROUNDDOWN(表3[[#This Row],[日期]]-TODAY(),1)</f>
        <v>-16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517</v>
      </c>
      <c r="F247" s="15">
        <v>43608</v>
      </c>
      <c r="G247" s="13" t="s">
        <v>277</v>
      </c>
      <c r="H247" s="34"/>
      <c r="I247" s="33">
        <f ca="1">ROUNDDOWN(表3[[#This Row],[日期]]-TODAY(),1)</f>
        <v>-15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-28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-28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-23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-18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-18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-18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-18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-18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-18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-18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-18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-21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-15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-11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479</v>
      </c>
      <c r="F295" s="15">
        <v>43610</v>
      </c>
      <c r="G295" s="13" t="s">
        <v>277</v>
      </c>
      <c r="H295" s="34"/>
      <c r="I295" s="33">
        <f ca="1">ROUNDDOWN(表3[[#This Row],[日期]]-TODAY(),1)</f>
        <v>-13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-11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650</v>
      </c>
      <c r="F297" s="15">
        <v>43621</v>
      </c>
      <c r="G297" s="13" t="s">
        <v>277</v>
      </c>
      <c r="H297" s="34"/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-11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-9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-7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-7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-28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-23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-23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496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-13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-13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558</v>
      </c>
      <c r="F349" s="15">
        <v>43614</v>
      </c>
      <c r="G349" s="13" t="s">
        <v>277</v>
      </c>
      <c r="H349" s="34"/>
      <c r="I349" s="33">
        <f ca="1">ROUNDDOWN(表3[[#This Row],[日期]]-TODAY(),1)</f>
        <v>-9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-11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-11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658</v>
      </c>
      <c r="F352" s="15">
        <v>43621</v>
      </c>
      <c r="G352" s="13" t="s">
        <v>277</v>
      </c>
      <c r="H352" s="34"/>
      <c r="I352" s="33">
        <f ca="1">ROUNDDOWN(表3[[#This Row],[日期]]-TODAY(),1)</f>
        <v>-2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-23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-22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-22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513</v>
      </c>
      <c r="F358" s="15">
        <v>43607</v>
      </c>
      <c r="G358" s="13" t="s">
        <v>277</v>
      </c>
      <c r="H358" s="34"/>
      <c r="I358" s="33">
        <f ca="1">ROUNDDOWN(表3[[#This Row],[日期]]-TODAY(),1)</f>
        <v>-16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514</v>
      </c>
      <c r="F359" s="15">
        <v>43608</v>
      </c>
      <c r="G359" s="13" t="s">
        <v>277</v>
      </c>
      <c r="H359" s="34"/>
      <c r="I359" s="33">
        <f ca="1">ROUNDDOWN(表3[[#This Row],[日期]]-TODAY(),1)</f>
        <v>-15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515</v>
      </c>
      <c r="F360" s="15">
        <v>43608</v>
      </c>
      <c r="G360" s="13" t="s">
        <v>277</v>
      </c>
      <c r="H360" s="34"/>
      <c r="I360" s="33">
        <f ca="1">ROUNDDOWN(表3[[#This Row],[日期]]-TODAY(),1)</f>
        <v>-15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531</v>
      </c>
      <c r="F369" s="15">
        <v>43610</v>
      </c>
      <c r="G369" s="13" t="s">
        <v>277</v>
      </c>
      <c r="H369" s="34"/>
      <c r="I369" s="33">
        <f ca="1">ROUNDDOWN(表3[[#This Row],[日期]]-TODAY(),1)</f>
        <v>-13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533</v>
      </c>
      <c r="F370" s="15">
        <v>43610</v>
      </c>
      <c r="G370" s="13" t="s">
        <v>277</v>
      </c>
      <c r="H370" s="34"/>
      <c r="I370" s="33">
        <f ca="1">ROUNDDOWN(表3[[#This Row],[日期]]-TODAY(),1)</f>
        <v>-13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532</v>
      </c>
      <c r="F371" s="15">
        <v>43610</v>
      </c>
      <c r="G371" s="13" t="s">
        <v>277</v>
      </c>
      <c r="H371" s="34"/>
      <c r="I371" s="33">
        <f ca="1">ROUNDDOWN(表3[[#This Row],[日期]]-TODAY(),1)</f>
        <v>-13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534</v>
      </c>
      <c r="F373" s="15">
        <v>43612</v>
      </c>
      <c r="G373" s="13" t="s">
        <v>277</v>
      </c>
      <c r="H373" s="34"/>
      <c r="I373" s="33">
        <f ca="1">ROUNDDOWN(表3[[#This Row],[日期]]-TODAY(),1)</f>
        <v>-11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-9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649</v>
      </c>
      <c r="F375" s="15">
        <v>43621</v>
      </c>
      <c r="G375" s="13" t="s">
        <v>277</v>
      </c>
      <c r="H375" s="34"/>
      <c r="I375" s="33">
        <f ca="1">ROUNDDOWN(表3[[#This Row],[日期]]-TODAY(),1)</f>
        <v>-2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-9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688</v>
      </c>
      <c r="F377" s="15">
        <v>43626</v>
      </c>
      <c r="G377" s="13" t="s">
        <v>689</v>
      </c>
      <c r="H377" s="34"/>
      <c r="I377" s="33">
        <f ca="1">ROUNDDOWN(表3[[#This Row],[日期]]-TODAY(),1)</f>
        <v>3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-21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-17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-17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-15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-15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519</v>
      </c>
      <c r="F383" s="15">
        <v>43609</v>
      </c>
      <c r="G383" s="13" t="s">
        <v>277</v>
      </c>
      <c r="H383" s="34"/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520</v>
      </c>
      <c r="F385" s="15">
        <v>43612</v>
      </c>
      <c r="G385" s="13" t="s">
        <v>277</v>
      </c>
      <c r="H385" s="34"/>
      <c r="I385" s="33">
        <f ca="1">ROUNDDOWN(表3[[#This Row],[日期]]-TODAY(),1)</f>
        <v>-11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-12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-11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-11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-11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-11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-11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-11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-8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-8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-6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-6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-23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-23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-21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-15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-15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519</v>
      </c>
      <c r="F402" s="15">
        <v>43608</v>
      </c>
      <c r="G402" s="13" t="s">
        <v>277</v>
      </c>
      <c r="H402" s="34"/>
      <c r="I402" s="33">
        <f ca="1">ROUNDDOWN(表3[[#This Row],[日期]]-TODAY(),1)</f>
        <v>-15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-15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520</v>
      </c>
      <c r="F404" s="15">
        <v>43608</v>
      </c>
      <c r="G404" s="13" t="s">
        <v>277</v>
      </c>
      <c r="H404" s="34"/>
      <c r="I404" s="33">
        <f ca="1">ROUNDDOWN(表3[[#This Row],[日期]]-TODAY(),1)</f>
        <v>-15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-14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-14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-14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-14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-14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-13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-13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-11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-9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-8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-10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-43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-43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-43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-43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-29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-16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-16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-16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492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-16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-15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-15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-15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-14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-14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-14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-14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-14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-14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-14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-13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-13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-11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-9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-8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-9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516</v>
      </c>
      <c r="F441" s="15">
        <v>43615</v>
      </c>
      <c r="G441" s="13" t="s">
        <v>277</v>
      </c>
      <c r="H441" s="34"/>
      <c r="I441" s="33">
        <f ca="1">ROUNDDOWN(表3[[#This Row],[日期]]-TODAY(),1)</f>
        <v>-8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-21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-21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-18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-18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-17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-17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-17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-17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-17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-16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-16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-11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-11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-11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-11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-11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-11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-11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-11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-10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-10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-10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-10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544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-10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-10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-10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-10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-10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-10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-10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561</v>
      </c>
      <c r="I472" s="33">
        <f ca="1">ROUNDDOWN(表3[[#This Row],[日期]]-TODAY(),1)</f>
        <v>-10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-10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-10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-10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-10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-10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-10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-10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-10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-10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-9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-9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-9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-8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-8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-6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13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588</v>
      </c>
      <c r="F490" s="15">
        <v>43621</v>
      </c>
      <c r="G490" s="13" t="s">
        <v>277</v>
      </c>
      <c r="H490" s="34" t="s">
        <v>589</v>
      </c>
      <c r="I490" s="33">
        <f ca="1">ROUNDDOWN(表3[[#This Row],[日期]]-TODAY(),1)</f>
        <v>-2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590</v>
      </c>
      <c r="F491" s="15">
        <v>43630</v>
      </c>
      <c r="G491" s="13" t="s">
        <v>591</v>
      </c>
      <c r="H491" s="34"/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18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636</v>
      </c>
      <c r="F493" s="15">
        <v>43644</v>
      </c>
      <c r="G493" s="13" t="s">
        <v>639</v>
      </c>
      <c r="H493" s="34"/>
      <c r="I493" s="33">
        <f ca="1">ROUNDDOWN(表3[[#This Row],[日期]]-TODAY(),1)</f>
        <v>21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-4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-4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-4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-2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43626</v>
      </c>
      <c r="G498" s="43" t="s">
        <v>277</v>
      </c>
      <c r="H498" s="39" t="s">
        <v>244</v>
      </c>
      <c r="I498" s="38">
        <f ca="1">ROUNDDOWN(表3[[#This Row],[日期]]-TODAY(),1)</f>
        <v>3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634</v>
      </c>
      <c r="F499" s="15">
        <v>43623</v>
      </c>
      <c r="G499" s="13" t="s">
        <v>277</v>
      </c>
      <c r="H499" s="34" t="s">
        <v>244</v>
      </c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651</v>
      </c>
      <c r="F500" s="15">
        <v>43622</v>
      </c>
      <c r="G500" s="13" t="s">
        <v>277</v>
      </c>
      <c r="H500" s="34" t="s">
        <v>244</v>
      </c>
      <c r="I500" s="33">
        <f ca="1">ROUNDDOWN(表3[[#This Row],[日期]]-TODAY(),1)</f>
        <v>-1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545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-14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545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-9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545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-10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545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-8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545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-8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546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-8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545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-7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545</v>
      </c>
      <c r="C508" s="7">
        <v>43621</v>
      </c>
      <c r="D508" s="16">
        <v>8</v>
      </c>
      <c r="E508" s="22" t="s">
        <v>522</v>
      </c>
      <c r="F508" s="15">
        <v>43620</v>
      </c>
      <c r="G508" s="13" t="s">
        <v>277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545</v>
      </c>
      <c r="C509" s="7">
        <v>43621</v>
      </c>
      <c r="D509" s="16">
        <v>9</v>
      </c>
      <c r="E509" s="22" t="s">
        <v>547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546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-4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545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-4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545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545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545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545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545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-2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545</v>
      </c>
      <c r="C517" s="44">
        <v>43621</v>
      </c>
      <c r="D517" s="40">
        <v>17</v>
      </c>
      <c r="E517" s="41" t="s">
        <v>97</v>
      </c>
      <c r="F517" s="42">
        <v>43623</v>
      </c>
      <c r="G517" s="43" t="s">
        <v>220</v>
      </c>
      <c r="H517" s="39"/>
      <c r="I517" s="38">
        <f ca="1">ROUNDDOWN(表3[[#This Row],[日期]]-TODAY(),1)</f>
        <v>0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545</v>
      </c>
      <c r="C518" s="44">
        <v>43621</v>
      </c>
      <c r="D518" s="40">
        <v>18</v>
      </c>
      <c r="E518" s="41" t="s">
        <v>265</v>
      </c>
      <c r="F518" s="42">
        <v>43624</v>
      </c>
      <c r="G518" s="43" t="s">
        <v>220</v>
      </c>
      <c r="H518" s="39"/>
      <c r="I518" s="38">
        <f ca="1">ROUNDDOWN(表3[[#This Row],[日期]]-TODAY(),1)</f>
        <v>1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545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3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563</v>
      </c>
      <c r="F520" s="42">
        <v>43612</v>
      </c>
      <c r="G520" s="43" t="s">
        <v>562</v>
      </c>
      <c r="H520" s="39" t="s">
        <v>29</v>
      </c>
      <c r="I520" s="38">
        <f ca="1">ROUNDDOWN(表3[[#This Row],[日期]]-TODAY(),1)</f>
        <v>-11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562</v>
      </c>
      <c r="H521" s="34"/>
      <c r="I521" s="33">
        <f ca="1">ROUNDDOWN(表3[[#This Row],[日期]]-TODAY(),1)</f>
        <v>-11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562</v>
      </c>
      <c r="H522" s="34" t="s">
        <v>31</v>
      </c>
      <c r="I522" s="33">
        <f ca="1">ROUNDDOWN(表3[[#This Row],[日期]]-TODAY(),1)</f>
        <v>-11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568</v>
      </c>
      <c r="H523" s="34"/>
      <c r="I523" s="33">
        <f ca="1">ROUNDDOWN(表3[[#This Row],[日期]]-TODAY(),1)</f>
        <v>-11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562</v>
      </c>
      <c r="H524" s="34" t="s">
        <v>44</v>
      </c>
      <c r="I524" s="33">
        <f ca="1">ROUNDDOWN(表3[[#This Row],[日期]]-TODAY(),1)</f>
        <v>-11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562</v>
      </c>
      <c r="H525" s="34"/>
      <c r="I525" s="33">
        <f ca="1">ROUNDDOWN(表3[[#This Row],[日期]]-TODAY(),1)</f>
        <v>-11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562</v>
      </c>
      <c r="H526" s="34"/>
      <c r="I526" s="33">
        <f ca="1">ROUNDDOWN(表3[[#This Row],[日期]]-TODAY(),1)</f>
        <v>-11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562</v>
      </c>
      <c r="H527" s="34"/>
      <c r="I527" s="33">
        <f ca="1">ROUNDDOWN(表3[[#This Row],[日期]]-TODAY(),1)</f>
        <v>-11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562</v>
      </c>
      <c r="H528" s="34"/>
      <c r="I528" s="33">
        <f ca="1">ROUNDDOWN(表3[[#This Row],[日期]]-TODAY(),1)</f>
        <v>-11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-10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-10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564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-8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-8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-8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-8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-8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565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544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-7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-7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-7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-7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566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-7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567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-6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-7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-5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-5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-5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-5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-5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-3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694</v>
      </c>
      <c r="F564" s="15">
        <v>43621</v>
      </c>
      <c r="G564" s="13" t="s">
        <v>277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220</v>
      </c>
      <c r="H565" s="34"/>
      <c r="I565" s="33">
        <f ca="1">ROUNDDOWN(表3[[#This Row],[日期]]-TODAY(),1)</f>
        <v>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3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523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-15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523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523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-11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523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-8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523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-8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524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-8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523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-7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525</v>
      </c>
      <c r="C574" s="44">
        <v>43621</v>
      </c>
      <c r="D574" s="40">
        <v>8</v>
      </c>
      <c r="E574" s="41" t="s">
        <v>522</v>
      </c>
      <c r="F574" s="42">
        <v>43620</v>
      </c>
      <c r="G574" s="43" t="s">
        <v>277</v>
      </c>
      <c r="H574" s="39"/>
      <c r="I574" s="38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523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525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-7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523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-7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523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-7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523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-7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523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-7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523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-7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523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-4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523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-2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525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-1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523</v>
      </c>
      <c r="C585" s="7">
        <v>43621</v>
      </c>
      <c r="D585" s="16">
        <v>19</v>
      </c>
      <c r="E585" s="22" t="s">
        <v>273</v>
      </c>
      <c r="F585" s="15">
        <v>43626</v>
      </c>
      <c r="G585" s="13" t="s">
        <v>220</v>
      </c>
      <c r="H585" s="34"/>
      <c r="I585" s="33">
        <f ca="1">ROUNDDOWN(表3[[#This Row],[日期]]-TODAY(),1)</f>
        <v>3</v>
      </c>
    </row>
    <row r="586" spans="1:9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563</v>
      </c>
      <c r="F586" s="15">
        <v>43612</v>
      </c>
      <c r="G586" s="13" t="s">
        <v>562</v>
      </c>
      <c r="H586" s="34" t="s">
        <v>29</v>
      </c>
      <c r="I586" s="33">
        <f ca="1">ROUNDDOWN(表3[[#This Row],[日期]]-TODAY(),1)</f>
        <v>-11</v>
      </c>
    </row>
    <row r="587" spans="1:9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562</v>
      </c>
      <c r="H587" s="34"/>
      <c r="I587" s="33">
        <f ca="1">ROUNDDOWN(表3[[#This Row],[日期]]-TODAY(),1)</f>
        <v>-11</v>
      </c>
    </row>
    <row r="588" spans="1:9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562</v>
      </c>
      <c r="H588" s="34" t="s">
        <v>31</v>
      </c>
      <c r="I588" s="33">
        <f ca="1">ROUNDDOWN(表3[[#This Row],[日期]]-TODAY(),1)</f>
        <v>-11</v>
      </c>
    </row>
    <row r="589" spans="1:9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568</v>
      </c>
      <c r="H589" s="34"/>
      <c r="I589" s="33">
        <f ca="1">ROUNDDOWN(表3[[#This Row],[日期]]-TODAY(),1)</f>
        <v>-11</v>
      </c>
    </row>
    <row r="590" spans="1:9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562</v>
      </c>
      <c r="H590" s="34" t="s">
        <v>44</v>
      </c>
      <c r="I590" s="33">
        <f ca="1">ROUNDDOWN(表3[[#This Row],[日期]]-TODAY(),1)</f>
        <v>-11</v>
      </c>
    </row>
    <row r="591" spans="1:9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562</v>
      </c>
      <c r="H591" s="34"/>
      <c r="I591" s="33">
        <f ca="1">ROUNDDOWN(表3[[#This Row],[日期]]-TODAY(),1)</f>
        <v>-11</v>
      </c>
    </row>
    <row r="592" spans="1:9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562</v>
      </c>
      <c r="H592" s="34"/>
      <c r="I592" s="33">
        <f ca="1">ROUNDDOWN(表3[[#This Row],[日期]]-TODAY(),1)</f>
        <v>-11</v>
      </c>
    </row>
    <row r="593" spans="1:9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562</v>
      </c>
      <c r="H593" s="34"/>
      <c r="I593" s="33">
        <f ca="1">ROUNDDOWN(表3[[#This Row],[日期]]-TODAY(),1)</f>
        <v>-11</v>
      </c>
    </row>
    <row r="594" spans="1:9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562</v>
      </c>
      <c r="H594" s="34"/>
      <c r="I594" s="33">
        <f ca="1">ROUNDDOWN(表3[[#This Row],[日期]]-TODAY(),1)</f>
        <v>-11</v>
      </c>
    </row>
    <row r="595" spans="1:9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-10</v>
      </c>
    </row>
    <row r="596" spans="1:9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-10</v>
      </c>
    </row>
    <row r="597" spans="1:9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564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-4</v>
      </c>
    </row>
    <row r="598" spans="1:9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-4</v>
      </c>
    </row>
    <row r="599" spans="1:9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-4</v>
      </c>
    </row>
    <row r="600" spans="1:9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-4</v>
      </c>
    </row>
    <row r="601" spans="1:9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-4</v>
      </c>
    </row>
    <row r="602" spans="1:9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-4</v>
      </c>
    </row>
    <row r="603" spans="1:9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-4</v>
      </c>
    </row>
    <row r="604" spans="1:9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-4</v>
      </c>
    </row>
    <row r="605" spans="1:9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565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-3</v>
      </c>
    </row>
    <row r="606" spans="1:9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-3</v>
      </c>
    </row>
    <row r="607" spans="1:9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-3</v>
      </c>
    </row>
    <row r="608" spans="1:9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544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-3</v>
      </c>
    </row>
    <row r="609" spans="1:9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-3</v>
      </c>
    </row>
    <row r="610" spans="1:9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-3</v>
      </c>
    </row>
    <row r="611" spans="1:9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-3</v>
      </c>
    </row>
    <row r="612" spans="1:9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-3</v>
      </c>
    </row>
    <row r="613" spans="1:9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-3</v>
      </c>
    </row>
    <row r="614" spans="1:9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-3</v>
      </c>
    </row>
    <row r="615" spans="1:9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-3</v>
      </c>
    </row>
    <row r="616" spans="1:9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-1</v>
      </c>
    </row>
    <row r="617" spans="1:9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-3</v>
      </c>
    </row>
    <row r="618" spans="1:9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-3</v>
      </c>
    </row>
    <row r="619" spans="1:9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566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-3</v>
      </c>
    </row>
    <row r="620" spans="1:9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567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-3</v>
      </c>
    </row>
    <row r="621" spans="1:9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-3</v>
      </c>
    </row>
    <row r="622" spans="1:9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-3</v>
      </c>
    </row>
    <row r="623" spans="1:9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-3</v>
      </c>
    </row>
    <row r="624" spans="1:9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-2</v>
      </c>
    </row>
    <row r="625" spans="1:9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-2</v>
      </c>
    </row>
    <row r="626" spans="1:9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-2</v>
      </c>
    </row>
    <row r="627" spans="1:9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-1</v>
      </c>
    </row>
    <row r="628" spans="1:9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220</v>
      </c>
      <c r="H628" s="34"/>
      <c r="I628" s="33">
        <f ca="1">ROUNDDOWN(表3[[#This Row],[日期]]-TODAY(),1)</f>
        <v>0</v>
      </c>
    </row>
    <row r="629" spans="1:9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694</v>
      </c>
      <c r="F629" s="15">
        <v>43626</v>
      </c>
      <c r="G629" s="13" t="s">
        <v>220</v>
      </c>
      <c r="H629" s="34"/>
      <c r="I629" s="33">
        <f ca="1">ROUNDDOWN(表3[[#This Row],[日期]]-TODAY(),1)</f>
        <v>3</v>
      </c>
    </row>
    <row r="630" spans="1:9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220</v>
      </c>
      <c r="H630" s="34"/>
      <c r="I630" s="33">
        <f ca="1">ROUNDDOWN(表3[[#This Row],[日期]]-TODAY(),1)</f>
        <v>1</v>
      </c>
    </row>
    <row r="631" spans="1:9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562</v>
      </c>
      <c r="H633" s="34"/>
      <c r="I633" s="33">
        <f ca="1">ROUNDDOWN(表3[[#This Row],[日期]]-TODAY(),1)</f>
        <v>-11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-10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-10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-8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548</v>
      </c>
      <c r="F637" s="15">
        <v>43615</v>
      </c>
      <c r="G637" s="13" t="s">
        <v>277</v>
      </c>
      <c r="H637" s="34"/>
      <c r="I637" s="33">
        <f ca="1">ROUNDDOWN(表3[[#This Row],[日期]]-TODAY(),1)</f>
        <v>-8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549</v>
      </c>
      <c r="F638" s="15">
        <v>43615</v>
      </c>
      <c r="G638" s="13" t="s">
        <v>277</v>
      </c>
      <c r="H638" s="34"/>
      <c r="I638" s="33">
        <f ca="1">ROUNDDOWN(表3[[#This Row],[日期]]-TODAY(),1)</f>
        <v>-8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550</v>
      </c>
      <c r="F639" s="15">
        <v>43616</v>
      </c>
      <c r="G639" s="13" t="s">
        <v>277</v>
      </c>
      <c r="H639" s="34"/>
      <c r="I639" s="33">
        <f ca="1">ROUNDDOWN(表3[[#This Row],[日期]]-TODAY(),1)</f>
        <v>-7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551</v>
      </c>
      <c r="I640" s="33">
        <f ca="1">ROUNDDOWN(表3[[#This Row],[日期]]-TODAY(),1)</f>
        <v>-4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-4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552</v>
      </c>
      <c r="F642" s="15">
        <v>43619</v>
      </c>
      <c r="G642" s="13" t="s">
        <v>277</v>
      </c>
      <c r="H642" s="34"/>
      <c r="I642" s="33">
        <f ca="1">ROUNDDOWN(表3[[#This Row],[日期]]-TODAY(),1)</f>
        <v>-4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-4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-1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43626</v>
      </c>
      <c r="G645" s="43" t="s">
        <v>220</v>
      </c>
      <c r="H645" s="39"/>
      <c r="I645" s="38">
        <f ca="1">ROUNDDOWN(表3[[#This Row],[日期]]-TODAY(),1)</f>
        <v>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-4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-4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-4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-4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553</v>
      </c>
      <c r="F650" s="15">
        <v>43620</v>
      </c>
      <c r="G650" s="13" t="s">
        <v>277</v>
      </c>
      <c r="H650" s="34"/>
      <c r="I650" s="33">
        <f ca="1">ROUNDDOWN(表3[[#This Row],[日期]]-TODAY(),1)</f>
        <v>-3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-3</v>
      </c>
    </row>
    <row r="652" spans="1:9" hidden="1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554</v>
      </c>
      <c r="F652" s="15">
        <v>43623</v>
      </c>
      <c r="G652" s="13" t="s">
        <v>557</v>
      </c>
      <c r="H652" s="34"/>
      <c r="I652" s="33">
        <f ca="1">ROUNDDOWN(表3[[#This Row],[日期]]-TODAY(),1)</f>
        <v>0</v>
      </c>
    </row>
    <row r="653" spans="1:9" hidden="1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43624</v>
      </c>
      <c r="G653" s="13" t="s">
        <v>555</v>
      </c>
      <c r="H653" s="34"/>
      <c r="I653" s="33">
        <f ca="1">ROUNDDOWN(表3[[#This Row],[日期]]-TODAY(),1)</f>
        <v>1</v>
      </c>
    </row>
    <row r="654" spans="1:9" hidden="1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43626</v>
      </c>
      <c r="G654" s="13" t="s">
        <v>556</v>
      </c>
      <c r="H654" s="34"/>
      <c r="I654" s="33">
        <f ca="1">ROUNDDOWN(表3[[#This Row],[日期]]-TODAY(),1)</f>
        <v>3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557</v>
      </c>
      <c r="H655" s="34"/>
      <c r="I655" s="33">
        <f ca="1">ROUNDDOWN(表3[[#This Row],[日期]]-TODAY(),1)</f>
        <v>3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660</v>
      </c>
      <c r="C656" s="7">
        <v>43625</v>
      </c>
      <c r="D656" s="16">
        <v>1</v>
      </c>
      <c r="E656" s="48" t="s">
        <v>662</v>
      </c>
      <c r="F656" s="15">
        <v>43620</v>
      </c>
      <c r="G656" s="13" t="s">
        <v>663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660</v>
      </c>
      <c r="C657" s="7">
        <v>43625</v>
      </c>
      <c r="D657" s="16">
        <v>2</v>
      </c>
      <c r="E657" s="48" t="s">
        <v>665</v>
      </c>
      <c r="F657" s="15">
        <v>43620</v>
      </c>
      <c r="G657" s="13" t="s">
        <v>663</v>
      </c>
      <c r="H657" s="34"/>
      <c r="I657" s="33">
        <f ca="1">ROUNDDOWN(表3[[#This Row],[日期]]-TODAY(),1)</f>
        <v>-3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660</v>
      </c>
      <c r="C658" s="7">
        <v>43625</v>
      </c>
      <c r="D658" s="16">
        <v>3</v>
      </c>
      <c r="E658" s="22" t="s">
        <v>667</v>
      </c>
      <c r="F658" s="15">
        <v>43620</v>
      </c>
      <c r="G658" s="13" t="s">
        <v>663</v>
      </c>
      <c r="H658" s="34"/>
      <c r="I658" s="33">
        <f ca="1">ROUNDDOWN(表3[[#This Row],[日期]]-TODAY(),1)</f>
        <v>-3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660</v>
      </c>
      <c r="C659" s="7">
        <v>43625</v>
      </c>
      <c r="D659" s="16">
        <v>4</v>
      </c>
      <c r="E659" s="22" t="s">
        <v>669</v>
      </c>
      <c r="F659" s="15">
        <v>43620</v>
      </c>
      <c r="G659" s="13" t="s">
        <v>670</v>
      </c>
      <c r="H659" s="34"/>
      <c r="I659" s="33">
        <f ca="1">ROUNDDOWN(表3[[#This Row],[日期]]-TODAY(),1)</f>
        <v>-3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660</v>
      </c>
      <c r="C660" s="7">
        <v>43625</v>
      </c>
      <c r="D660" s="16">
        <v>5</v>
      </c>
      <c r="E660" s="22" t="s">
        <v>672</v>
      </c>
      <c r="F660" s="15">
        <v>43620</v>
      </c>
      <c r="G660" s="13" t="s">
        <v>663</v>
      </c>
      <c r="H660" s="34"/>
      <c r="I660" s="33">
        <f ca="1">ROUNDDOWN(表3[[#This Row],[日期]]-TODAY(),1)</f>
        <v>-3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660</v>
      </c>
      <c r="C661" s="7">
        <v>43625</v>
      </c>
      <c r="D661" s="16">
        <v>6</v>
      </c>
      <c r="E661" s="22" t="s">
        <v>674</v>
      </c>
      <c r="F661" s="15">
        <v>43622</v>
      </c>
      <c r="G661" s="13" t="s">
        <v>277</v>
      </c>
      <c r="H661" s="34" t="s">
        <v>683</v>
      </c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660</v>
      </c>
      <c r="C662" s="7">
        <v>43625</v>
      </c>
      <c r="D662" s="16">
        <v>7</v>
      </c>
      <c r="E662" s="22" t="s">
        <v>676</v>
      </c>
      <c r="F662" s="15">
        <v>43622</v>
      </c>
      <c r="G662" s="13" t="s">
        <v>277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660</v>
      </c>
      <c r="C663" s="7">
        <v>43625</v>
      </c>
      <c r="D663" s="16">
        <v>8</v>
      </c>
      <c r="E663" s="22" t="s">
        <v>678</v>
      </c>
      <c r="F663" s="15">
        <v>43622</v>
      </c>
      <c r="G663" s="13" t="s">
        <v>277</v>
      </c>
      <c r="H663" s="34"/>
      <c r="I663" s="33">
        <f ca="1">ROUNDDOWN(表3[[#This Row],[日期]]-TODAY(),1)</f>
        <v>-1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660</v>
      </c>
      <c r="C664" s="7">
        <v>43625</v>
      </c>
      <c r="D664" s="16">
        <v>9</v>
      </c>
      <c r="E664" s="22" t="s">
        <v>680</v>
      </c>
      <c r="F664" s="15">
        <v>43626</v>
      </c>
      <c r="G664" s="13" t="s">
        <v>657</v>
      </c>
      <c r="H664" s="34"/>
      <c r="I664" s="33">
        <f ca="1">ROUNDDOWN(表3[[#This Row],[日期]]-TODAY(),1)</f>
        <v>3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660</v>
      </c>
      <c r="C665" s="7">
        <v>43625</v>
      </c>
      <c r="D665" s="16">
        <v>10</v>
      </c>
      <c r="E665" s="22" t="s">
        <v>682</v>
      </c>
      <c r="F665" s="15">
        <v>43626</v>
      </c>
      <c r="G665" s="13" t="s">
        <v>657</v>
      </c>
      <c r="H665" s="34"/>
      <c r="I665" s="33">
        <f ca="1">ROUNDDOWN(表3[[#This Row],[日期]]-TODAY(),1)</f>
        <v>3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5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7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634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7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635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7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626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629</v>
      </c>
      <c r="H673" s="34"/>
      <c r="I673" s="33">
        <f ca="1">ROUNDDOWN(表3[[#This Row],[日期]]-TODAY(),1)</f>
        <v>-7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627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-3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628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-3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626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-1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628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-1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628</v>
      </c>
      <c r="C678" s="7">
        <v>43628</v>
      </c>
      <c r="D678" s="16">
        <v>6</v>
      </c>
      <c r="E678" s="22" t="s">
        <v>632</v>
      </c>
      <c r="F678" s="15">
        <v>43622</v>
      </c>
      <c r="G678" s="13" t="s">
        <v>277</v>
      </c>
      <c r="H678" s="34"/>
      <c r="I678" s="33">
        <f ca="1">ROUNDDOWN(表3[[#This Row],[日期]]-TODAY(),1)</f>
        <v>-1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628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3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723</v>
      </c>
      <c r="F680" s="15">
        <v>43626</v>
      </c>
      <c r="G680" s="13" t="s">
        <v>724</v>
      </c>
      <c r="H680" s="34"/>
      <c r="I680" s="33">
        <f ca="1">ROUNDDOWN(表3[[#This Row],[日期]]-TODAY(),1)</f>
        <v>3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628</v>
      </c>
      <c r="C681" s="7">
        <v>43628</v>
      </c>
      <c r="D681" s="16">
        <v>8</v>
      </c>
      <c r="E681" s="22" t="s">
        <v>522</v>
      </c>
      <c r="F681" s="15">
        <v>43626</v>
      </c>
      <c r="G681" s="13" t="s">
        <v>220</v>
      </c>
      <c r="H681" s="34"/>
      <c r="I681" s="33">
        <f ca="1">ROUNDDOWN(表3[[#This Row],[日期]]-TODAY(),1)</f>
        <v>3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628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3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628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3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628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3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628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3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628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3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628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3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628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3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626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3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628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4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628</v>
      </c>
      <c r="C691" s="7">
        <v>43628</v>
      </c>
      <c r="D691" s="16">
        <v>18</v>
      </c>
      <c r="E691" s="22" t="s">
        <v>610</v>
      </c>
      <c r="F691" s="15">
        <v>43628</v>
      </c>
      <c r="G691" s="13" t="s">
        <v>220</v>
      </c>
      <c r="H691" s="34"/>
      <c r="I691" s="33">
        <f ca="1">ROUNDDOWN(表3[[#This Row],[日期]]-TODAY(),1)</f>
        <v>5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627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5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563</v>
      </c>
      <c r="F693" s="42">
        <v>43616</v>
      </c>
      <c r="G693" s="43" t="s">
        <v>624</v>
      </c>
      <c r="H693" s="39" t="s">
        <v>29</v>
      </c>
      <c r="I693" s="38">
        <f ca="1">ROUNDDOWN(表3[[#This Row],[日期]]-TODAY(),1)</f>
        <v>-7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-7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-7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-7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-3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-3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-2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-2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564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-2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-2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-2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-2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-2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-2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-2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-2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565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-1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-1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-1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544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-1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-1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-1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-1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-1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-1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-1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-1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-1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-1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566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567</v>
      </c>
      <c r="F728" s="15">
        <v>43623</v>
      </c>
      <c r="G728" s="13" t="s">
        <v>277</v>
      </c>
      <c r="H728" s="34" t="s">
        <v>44</v>
      </c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43624</v>
      </c>
      <c r="G730" s="13" t="s">
        <v>220</v>
      </c>
      <c r="H730" s="34"/>
      <c r="I730" s="33">
        <f ca="1">ROUNDDOWN(表3[[#This Row],[日期]]-TODAY(),1)</f>
        <v>1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43624</v>
      </c>
      <c r="G731" s="13" t="s">
        <v>220</v>
      </c>
      <c r="H731" s="34"/>
      <c r="I731" s="33">
        <f ca="1">ROUNDDOWN(表3[[#This Row],[日期]]-TODAY(),1)</f>
        <v>1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43624</v>
      </c>
      <c r="G732" s="13" t="s">
        <v>220</v>
      </c>
      <c r="H732" s="34"/>
      <c r="I732" s="33">
        <f ca="1">ROUNDDOWN(表3[[#This Row],[日期]]-TODAY(),1)</f>
        <v>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43624</v>
      </c>
      <c r="G733" s="13" t="s">
        <v>220</v>
      </c>
      <c r="H733" s="34" t="s">
        <v>79</v>
      </c>
      <c r="I733" s="33">
        <f ca="1">ROUNDDOWN(表3[[#This Row],[日期]]-TODAY(),1)</f>
        <v>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43626</v>
      </c>
      <c r="G734" s="13" t="s">
        <v>220</v>
      </c>
      <c r="H734" s="34"/>
      <c r="I734" s="33">
        <f ca="1">ROUNDDOWN(表3[[#This Row],[日期]]-TODAY(),1)</f>
        <v>3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4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694</v>
      </c>
      <c r="F737" s="15">
        <v>43627</v>
      </c>
      <c r="G737" s="13" t="s">
        <v>220</v>
      </c>
      <c r="H737" s="34"/>
      <c r="I737" s="33">
        <f ca="1">ROUNDDOWN(表3[[#This Row],[日期]]-TODAY(),1)</f>
        <v>4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611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613</v>
      </c>
      <c r="H740" s="34"/>
      <c r="I740" s="33">
        <f ca="1">ROUNDDOWN(表3[[#This Row],[日期]]-TODAY(),1)</f>
        <v>-9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611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613</v>
      </c>
      <c r="H741" s="34"/>
      <c r="I741" s="33">
        <f ca="1">ROUNDDOWN(表3[[#This Row],[日期]]-TODAY(),1)</f>
        <v>-9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611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-8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611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611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-2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611</v>
      </c>
      <c r="C745" s="7">
        <v>43628</v>
      </c>
      <c r="D745" s="16">
        <v>6</v>
      </c>
      <c r="E745" s="22" t="s">
        <v>608</v>
      </c>
      <c r="F745" s="15">
        <v>43621</v>
      </c>
      <c r="G745" s="13" t="s">
        <v>277</v>
      </c>
      <c r="H745" s="34"/>
      <c r="I745" s="33">
        <f ca="1">ROUNDDOWN(表3[[#This Row],[日期]]-TODAY(),1)</f>
        <v>-2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611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611</v>
      </c>
      <c r="C747" s="7">
        <v>43628</v>
      </c>
      <c r="D747" s="16">
        <v>8</v>
      </c>
      <c r="E747" s="22" t="s">
        <v>522</v>
      </c>
      <c r="F747" s="15">
        <v>43621</v>
      </c>
      <c r="G747" s="13" t="s">
        <v>277</v>
      </c>
      <c r="H747" s="34"/>
      <c r="I747" s="33">
        <f ca="1">ROUNDDOWN(表3[[#This Row],[日期]]-TODAY(),1)</f>
        <v>-2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611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612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611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611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-1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611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-1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611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3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611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3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611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3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611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3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611</v>
      </c>
      <c r="C757" s="7">
        <v>43628</v>
      </c>
      <c r="D757" s="16">
        <v>18</v>
      </c>
      <c r="E757" s="22" t="s">
        <v>610</v>
      </c>
      <c r="F757" s="15">
        <v>43628</v>
      </c>
      <c r="G757" s="13" t="s">
        <v>220</v>
      </c>
      <c r="H757" s="34"/>
      <c r="I757" s="33">
        <f ca="1">ROUNDDOWN(表3[[#This Row],[日期]]-TODAY(),1)</f>
        <v>5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611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3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659</v>
      </c>
      <c r="C759" s="7">
        <v>43628</v>
      </c>
      <c r="D759" s="16">
        <v>1</v>
      </c>
      <c r="E759" s="22" t="s">
        <v>661</v>
      </c>
      <c r="F759" s="15">
        <v>43620</v>
      </c>
      <c r="G759" s="13" t="s">
        <v>663</v>
      </c>
      <c r="H759" s="34"/>
      <c r="I759" s="33">
        <f ca="1">ROUNDDOWN(表3[[#This Row],[日期]]-TODAY(),1)</f>
        <v>-3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659</v>
      </c>
      <c r="C760" s="7">
        <v>43628</v>
      </c>
      <c r="D760" s="16">
        <v>2</v>
      </c>
      <c r="E760" s="22" t="s">
        <v>664</v>
      </c>
      <c r="F760" s="15">
        <v>43620</v>
      </c>
      <c r="G760" s="13" t="s">
        <v>663</v>
      </c>
      <c r="H760" s="34"/>
      <c r="I760" s="33">
        <f ca="1">ROUNDDOWN(表3[[#This Row],[日期]]-TODAY(),1)</f>
        <v>-3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659</v>
      </c>
      <c r="C761" s="7">
        <v>43628</v>
      </c>
      <c r="D761" s="16">
        <v>3</v>
      </c>
      <c r="E761" s="22" t="s">
        <v>666</v>
      </c>
      <c r="F761" s="15">
        <v>43620</v>
      </c>
      <c r="G761" s="13" t="s">
        <v>663</v>
      </c>
      <c r="H761" s="34"/>
      <c r="I761" s="33">
        <f ca="1">ROUNDDOWN(表3[[#This Row],[日期]]-TODAY(),1)</f>
        <v>-3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659</v>
      </c>
      <c r="C762" s="7">
        <v>43628</v>
      </c>
      <c r="D762" s="16">
        <v>4</v>
      </c>
      <c r="E762" s="22" t="s">
        <v>668</v>
      </c>
      <c r="F762" s="15">
        <v>43620</v>
      </c>
      <c r="G762" s="13" t="s">
        <v>663</v>
      </c>
      <c r="H762" s="34"/>
      <c r="I762" s="33">
        <f ca="1">ROUNDDOWN(表3[[#This Row],[日期]]-TODAY(),1)</f>
        <v>-3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659</v>
      </c>
      <c r="C763" s="7">
        <v>43628</v>
      </c>
      <c r="D763" s="16">
        <v>5</v>
      </c>
      <c r="E763" s="22" t="s">
        <v>671</v>
      </c>
      <c r="F763" s="15">
        <v>43620</v>
      </c>
      <c r="G763" s="13" t="s">
        <v>663</v>
      </c>
      <c r="H763" s="34"/>
      <c r="I763" s="33">
        <f ca="1">ROUNDDOWN(表3[[#This Row],[日期]]-TODAY(),1)</f>
        <v>-3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659</v>
      </c>
      <c r="C764" s="44">
        <v>43628</v>
      </c>
      <c r="D764" s="40">
        <v>6</v>
      </c>
      <c r="E764" s="41" t="s">
        <v>673</v>
      </c>
      <c r="F764" s="42">
        <v>43626</v>
      </c>
      <c r="G764" s="43" t="s">
        <v>220</v>
      </c>
      <c r="H764" s="39" t="s">
        <v>683</v>
      </c>
      <c r="I764" s="38">
        <f ca="1">ROUNDDOWN(表3[[#This Row],[日期]]-TODAY(),1)</f>
        <v>3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659</v>
      </c>
      <c r="C765" s="7">
        <v>43628</v>
      </c>
      <c r="D765" s="16">
        <v>7</v>
      </c>
      <c r="E765" s="22" t="s">
        <v>675</v>
      </c>
      <c r="F765" s="15">
        <v>43626</v>
      </c>
      <c r="G765" s="13" t="s">
        <v>220</v>
      </c>
      <c r="H765" s="34"/>
      <c r="I765" s="33">
        <f ca="1">ROUNDDOWN(表3[[#This Row],[日期]]-TODAY(),1)</f>
        <v>3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659</v>
      </c>
      <c r="C766" s="7">
        <v>43628</v>
      </c>
      <c r="D766" s="16">
        <v>8</v>
      </c>
      <c r="E766" s="22" t="s">
        <v>677</v>
      </c>
      <c r="F766" s="15">
        <v>43626</v>
      </c>
      <c r="G766" s="13" t="s">
        <v>220</v>
      </c>
      <c r="H766" s="34"/>
      <c r="I766" s="33">
        <f ca="1">ROUNDDOWN(表3[[#This Row],[日期]]-TODAY(),1)</f>
        <v>3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659</v>
      </c>
      <c r="C767" s="7">
        <v>43628</v>
      </c>
      <c r="D767" s="16">
        <v>9</v>
      </c>
      <c r="E767" s="22" t="s">
        <v>679</v>
      </c>
      <c r="F767" s="15">
        <v>43628</v>
      </c>
      <c r="G767" s="13" t="s">
        <v>220</v>
      </c>
      <c r="H767" s="34"/>
      <c r="I767" s="33">
        <f ca="1">ROUNDDOWN(表3[[#This Row],[日期]]-TODAY(),1)</f>
        <v>5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659</v>
      </c>
      <c r="C768" s="7">
        <v>43628</v>
      </c>
      <c r="D768" s="16">
        <v>10</v>
      </c>
      <c r="E768" s="22" t="s">
        <v>681</v>
      </c>
      <c r="F768" s="15">
        <v>43628</v>
      </c>
      <c r="G768" s="13" t="s">
        <v>220</v>
      </c>
      <c r="H768" s="34"/>
      <c r="I768" s="33">
        <f ca="1">ROUNDDOWN(表3[[#This Row],[日期]]-TODAY(),1)</f>
        <v>5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563</v>
      </c>
      <c r="F769" s="15">
        <v>43616</v>
      </c>
      <c r="G769" s="13" t="s">
        <v>625</v>
      </c>
      <c r="H769" s="34" t="s">
        <v>29</v>
      </c>
      <c r="I769" s="33">
        <f ca="1">ROUNDDOWN(表3[[#This Row],[日期]]-TODAY(),1)</f>
        <v>-7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-7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-7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-7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-3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-3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647</v>
      </c>
      <c r="F776" s="15">
        <v>43620</v>
      </c>
      <c r="G776" s="13" t="s">
        <v>277</v>
      </c>
      <c r="H776" s="34"/>
      <c r="I776" s="33">
        <f ca="1">ROUNDDOWN(表3[[#This Row],[日期]]-TODAY(),1)</f>
        <v>-3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-3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-2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-2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564</v>
      </c>
      <c r="F780" s="15">
        <v>43626</v>
      </c>
      <c r="G780" s="13" t="s">
        <v>220</v>
      </c>
      <c r="H780" s="34" t="s">
        <v>35</v>
      </c>
      <c r="I780" s="33">
        <f ca="1">ROUNDDOWN(表3[[#This Row],[日期]]-TODAY(),1)</f>
        <v>3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43626</v>
      </c>
      <c r="G781" s="13" t="s">
        <v>220</v>
      </c>
      <c r="H781" s="34"/>
      <c r="I781" s="33">
        <f ca="1">ROUNDDOWN(表3[[#This Row],[日期]]-TODAY(),1)</f>
        <v>3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43626</v>
      </c>
      <c r="G782" s="13" t="s">
        <v>220</v>
      </c>
      <c r="H782" s="34"/>
      <c r="I782" s="33">
        <f ca="1">ROUNDDOWN(表3[[#This Row],[日期]]-TODAY(),1)</f>
        <v>3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43626</v>
      </c>
      <c r="G783" s="13" t="s">
        <v>220</v>
      </c>
      <c r="H783" s="34"/>
      <c r="I783" s="33">
        <f ca="1">ROUNDDOWN(表3[[#This Row],[日期]]-TODAY(),1)</f>
        <v>3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43626</v>
      </c>
      <c r="G784" s="13" t="s">
        <v>220</v>
      </c>
      <c r="H784" s="34"/>
      <c r="I784" s="33">
        <f ca="1">ROUNDDOWN(表3[[#This Row],[日期]]-TODAY(),1)</f>
        <v>3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43626</v>
      </c>
      <c r="G785" s="13" t="s">
        <v>220</v>
      </c>
      <c r="H785" s="34"/>
      <c r="I785" s="33">
        <f ca="1">ROUNDDOWN(表3[[#This Row],[日期]]-TODAY(),1)</f>
        <v>3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43626</v>
      </c>
      <c r="G786" s="13" t="s">
        <v>220</v>
      </c>
      <c r="H786" s="34"/>
      <c r="I786" s="33">
        <f ca="1">ROUNDDOWN(表3[[#This Row],[日期]]-TODAY(),1)</f>
        <v>3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43626</v>
      </c>
      <c r="G787" s="13" t="s">
        <v>220</v>
      </c>
      <c r="H787" s="34"/>
      <c r="I787" s="33">
        <f ca="1">ROUNDDOWN(表3[[#This Row],[日期]]-TODAY(),1)</f>
        <v>3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565</v>
      </c>
      <c r="F788" s="15">
        <v>43627</v>
      </c>
      <c r="G788" s="13" t="s">
        <v>220</v>
      </c>
      <c r="H788" s="34" t="s">
        <v>37</v>
      </c>
      <c r="I788" s="33">
        <f ca="1">ROUNDDOWN(表3[[#This Row],[日期]]-TODAY(),1)</f>
        <v>4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43627</v>
      </c>
      <c r="G789" s="13" t="s">
        <v>220</v>
      </c>
      <c r="H789" s="34"/>
      <c r="I789" s="33">
        <f ca="1">ROUNDDOWN(表3[[#This Row],[日期]]-TODAY(),1)</f>
        <v>4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43627</v>
      </c>
      <c r="G790" s="13" t="s">
        <v>220</v>
      </c>
      <c r="H790" s="34"/>
      <c r="I790" s="33">
        <f ca="1">ROUNDDOWN(表3[[#This Row],[日期]]-TODAY(),1)</f>
        <v>4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544</v>
      </c>
      <c r="F791" s="15">
        <v>43627</v>
      </c>
      <c r="G791" s="13" t="s">
        <v>220</v>
      </c>
      <c r="H791" s="34" t="s">
        <v>44</v>
      </c>
      <c r="I791" s="33">
        <f ca="1">ROUNDDOWN(表3[[#This Row],[日期]]-TODAY(),1)</f>
        <v>4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43627</v>
      </c>
      <c r="G792" s="13" t="s">
        <v>220</v>
      </c>
      <c r="H792" s="34" t="s">
        <v>211</v>
      </c>
      <c r="I792" s="33">
        <f ca="1">ROUNDDOWN(表3[[#This Row],[日期]]-TODAY(),1)</f>
        <v>4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43627</v>
      </c>
      <c r="G793" s="13" t="s">
        <v>220</v>
      </c>
      <c r="H793" s="34"/>
      <c r="I793" s="33">
        <f ca="1">ROUNDDOWN(表3[[#This Row],[日期]]-TODAY(),1)</f>
        <v>4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43627</v>
      </c>
      <c r="G794" s="13" t="s">
        <v>220</v>
      </c>
      <c r="H794" s="34"/>
      <c r="I794" s="33">
        <f ca="1">ROUNDDOWN(表3[[#This Row],[日期]]-TODAY(),1)</f>
        <v>4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43627</v>
      </c>
      <c r="G795" s="13" t="s">
        <v>220</v>
      </c>
      <c r="H795" s="34"/>
      <c r="I795" s="33">
        <f ca="1">ROUNDDOWN(表3[[#This Row],[日期]]-TODAY(),1)</f>
        <v>4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43627</v>
      </c>
      <c r="G796" s="13" t="s">
        <v>220</v>
      </c>
      <c r="H796" s="34"/>
      <c r="I796" s="33">
        <f ca="1">ROUNDDOWN(表3[[#This Row],[日期]]-TODAY(),1)</f>
        <v>4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43627</v>
      </c>
      <c r="G797" s="13" t="s">
        <v>220</v>
      </c>
      <c r="H797" s="34"/>
      <c r="I797" s="33">
        <f ca="1">ROUNDDOWN(表3[[#This Row],[日期]]-TODAY(),1)</f>
        <v>4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43627</v>
      </c>
      <c r="G798" s="13" t="s">
        <v>220</v>
      </c>
      <c r="H798" s="34"/>
      <c r="I798" s="33">
        <f ca="1">ROUNDDOWN(表3[[#This Row],[日期]]-TODAY(),1)</f>
        <v>4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43627</v>
      </c>
      <c r="G799" s="13" t="s">
        <v>220</v>
      </c>
      <c r="H799" s="34" t="s">
        <v>44</v>
      </c>
      <c r="I799" s="33">
        <f ca="1">ROUNDDOWN(表3[[#This Row],[日期]]-TODAY(),1)</f>
        <v>4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43627</v>
      </c>
      <c r="G800" s="13" t="s">
        <v>220</v>
      </c>
      <c r="H800" s="34"/>
      <c r="I800" s="33">
        <f ca="1">ROUNDDOWN(表3[[#This Row],[日期]]-TODAY(),1)</f>
        <v>4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43627</v>
      </c>
      <c r="G801" s="13" t="s">
        <v>220</v>
      </c>
      <c r="H801" s="34" t="s">
        <v>72</v>
      </c>
      <c r="I801" s="33">
        <f ca="1">ROUNDDOWN(表3[[#This Row],[日期]]-TODAY(),1)</f>
        <v>4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43627</v>
      </c>
      <c r="G802" s="13" t="s">
        <v>220</v>
      </c>
      <c r="H802" s="34"/>
      <c r="I802" s="33">
        <f ca="1">ROUNDDOWN(表3[[#This Row],[日期]]-TODAY(),1)</f>
        <v>4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566</v>
      </c>
      <c r="F803" s="15">
        <v>43627</v>
      </c>
      <c r="G803" s="13" t="s">
        <v>220</v>
      </c>
      <c r="H803" s="34" t="s">
        <v>33</v>
      </c>
      <c r="I803" s="33">
        <f ca="1">ROUNDDOWN(表3[[#This Row],[日期]]-TODAY(),1)</f>
        <v>4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567</v>
      </c>
      <c r="F804" s="15">
        <v>43627</v>
      </c>
      <c r="G804" s="13" t="s">
        <v>220</v>
      </c>
      <c r="H804" s="34" t="s">
        <v>44</v>
      </c>
      <c r="I804" s="33">
        <f ca="1">ROUNDDOWN(表3[[#This Row],[日期]]-TODAY(),1)</f>
        <v>4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43627</v>
      </c>
      <c r="G805" s="13" t="s">
        <v>220</v>
      </c>
      <c r="H805" s="34"/>
      <c r="I805" s="33">
        <f ca="1">ROUNDDOWN(表3[[#This Row],[日期]]-TODAY(),1)</f>
        <v>4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43627</v>
      </c>
      <c r="G806" s="13" t="s">
        <v>220</v>
      </c>
      <c r="H806" s="34" t="s">
        <v>79</v>
      </c>
      <c r="I806" s="33">
        <f ca="1">ROUNDDOWN(表3[[#This Row],[日期]]-TODAY(),1)</f>
        <v>4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43627</v>
      </c>
      <c r="G807" s="13" t="s">
        <v>220</v>
      </c>
      <c r="H807" s="34"/>
      <c r="I807" s="33">
        <f ca="1">ROUNDDOWN(表3[[#This Row],[日期]]-TODAY(),1)</f>
        <v>4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43627</v>
      </c>
      <c r="G808" s="13" t="s">
        <v>220</v>
      </c>
      <c r="H808" s="34"/>
      <c r="I808" s="33">
        <f ca="1">ROUNDDOWN(表3[[#This Row],[日期]]-TODAY(),1)</f>
        <v>4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43627</v>
      </c>
      <c r="G809" s="13" t="s">
        <v>220</v>
      </c>
      <c r="H809" s="34"/>
      <c r="I809" s="33">
        <f ca="1">ROUNDDOWN(表3[[#This Row],[日期]]-TODAY(),1)</f>
        <v>4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43627</v>
      </c>
      <c r="G810" s="13" t="s">
        <v>220</v>
      </c>
      <c r="H810" s="34"/>
      <c r="I810" s="33">
        <f ca="1">ROUNDDOWN(表3[[#This Row],[日期]]-TODAY(),1)</f>
        <v>4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43627</v>
      </c>
      <c r="G811" s="43" t="s">
        <v>220</v>
      </c>
      <c r="H811" s="39"/>
      <c r="I811" s="38">
        <f ca="1">ROUNDDOWN(表3[[#This Row],[日期]]-TODAY(),1)</f>
        <v>4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6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694</v>
      </c>
      <c r="F813" s="15">
        <v>43629</v>
      </c>
      <c r="G813" s="13" t="s">
        <v>220</v>
      </c>
      <c r="H813" s="34"/>
      <c r="I813" s="33">
        <f ca="1">ROUNDDOWN(表3[[#This Row],[日期]]-TODAY(),1)</f>
        <v>6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7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7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659</v>
      </c>
      <c r="C816" s="7">
        <v>43632</v>
      </c>
      <c r="D816" s="16">
        <v>1</v>
      </c>
      <c r="E816" s="22" t="s">
        <v>661</v>
      </c>
      <c r="F816" s="15">
        <v>43620</v>
      </c>
      <c r="G816" s="13" t="s">
        <v>663</v>
      </c>
      <c r="H816" s="34"/>
      <c r="I816" s="33">
        <f ca="1">ROUNDDOWN(表3[[#This Row],[日期]]-TODAY(),1)</f>
        <v>-3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659</v>
      </c>
      <c r="C817" s="7">
        <v>43632</v>
      </c>
      <c r="D817" s="16">
        <v>2</v>
      </c>
      <c r="E817" s="22" t="s">
        <v>664</v>
      </c>
      <c r="F817" s="15">
        <v>43620</v>
      </c>
      <c r="G817" s="13" t="s">
        <v>663</v>
      </c>
      <c r="H817" s="34"/>
      <c r="I817" s="33">
        <f ca="1">ROUNDDOWN(表3[[#This Row],[日期]]-TODAY(),1)</f>
        <v>-3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659</v>
      </c>
      <c r="C818" s="7">
        <v>43632</v>
      </c>
      <c r="D818" s="16">
        <v>3</v>
      </c>
      <c r="E818" s="22" t="s">
        <v>666</v>
      </c>
      <c r="F818" s="15">
        <v>43620</v>
      </c>
      <c r="G818" s="13" t="s">
        <v>663</v>
      </c>
      <c r="H818" s="34"/>
      <c r="I818" s="33">
        <f ca="1">ROUNDDOWN(表3[[#This Row],[日期]]-TODAY(),1)</f>
        <v>-3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659</v>
      </c>
      <c r="C819" s="7">
        <v>43632</v>
      </c>
      <c r="D819" s="16">
        <v>4</v>
      </c>
      <c r="E819" s="22" t="s">
        <v>668</v>
      </c>
      <c r="F819" s="15">
        <v>43620</v>
      </c>
      <c r="G819" s="13" t="s">
        <v>663</v>
      </c>
      <c r="H819" s="34"/>
      <c r="I819" s="33">
        <f ca="1">ROUNDDOWN(表3[[#This Row],[日期]]-TODAY(),1)</f>
        <v>-3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659</v>
      </c>
      <c r="C820" s="7">
        <v>43632</v>
      </c>
      <c r="D820" s="16">
        <v>5</v>
      </c>
      <c r="E820" s="22" t="s">
        <v>671</v>
      </c>
      <c r="F820" s="15">
        <v>43620</v>
      </c>
      <c r="G820" s="13" t="s">
        <v>663</v>
      </c>
      <c r="H820" s="34"/>
      <c r="I820" s="33">
        <f ca="1">ROUNDDOWN(表3[[#This Row],[日期]]-TODAY(),1)</f>
        <v>-3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659</v>
      </c>
      <c r="C821" s="7">
        <v>43632</v>
      </c>
      <c r="D821" s="16">
        <v>6</v>
      </c>
      <c r="E821" s="22" t="s">
        <v>673</v>
      </c>
      <c r="F821" s="15">
        <v>43629</v>
      </c>
      <c r="G821" s="13" t="s">
        <v>220</v>
      </c>
      <c r="H821" s="34" t="s">
        <v>683</v>
      </c>
      <c r="I821" s="33">
        <f ca="1">ROUNDDOWN(表3[[#This Row],[日期]]-TODAY(),1)</f>
        <v>6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659</v>
      </c>
      <c r="C822" s="7">
        <v>43632</v>
      </c>
      <c r="D822" s="16">
        <v>7</v>
      </c>
      <c r="E822" s="22" t="s">
        <v>675</v>
      </c>
      <c r="F822" s="15">
        <v>43629</v>
      </c>
      <c r="G822" s="13" t="s">
        <v>220</v>
      </c>
      <c r="H822" s="34"/>
      <c r="I822" s="33">
        <f ca="1">ROUNDDOWN(表3[[#This Row],[日期]]-TODAY(),1)</f>
        <v>6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659</v>
      </c>
      <c r="C823" s="7">
        <v>43632</v>
      </c>
      <c r="D823" s="16">
        <v>8</v>
      </c>
      <c r="E823" s="22" t="s">
        <v>677</v>
      </c>
      <c r="F823" s="15">
        <v>43629</v>
      </c>
      <c r="G823" s="13" t="s">
        <v>220</v>
      </c>
      <c r="H823" s="34"/>
      <c r="I823" s="33">
        <f ca="1">ROUNDDOWN(表3[[#This Row],[日期]]-TODAY(),1)</f>
        <v>6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659</v>
      </c>
      <c r="C824" s="7">
        <v>43632</v>
      </c>
      <c r="D824" s="16">
        <v>9</v>
      </c>
      <c r="E824" s="22" t="s">
        <v>679</v>
      </c>
      <c r="F824" s="15">
        <v>43633</v>
      </c>
      <c r="G824" s="13" t="s">
        <v>220</v>
      </c>
      <c r="H824" s="34"/>
      <c r="I824" s="33">
        <f ca="1">ROUNDDOWN(表3[[#This Row],[日期]]-TODAY(),1)</f>
        <v>10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659</v>
      </c>
      <c r="C825" s="7">
        <v>43632</v>
      </c>
      <c r="D825" s="16">
        <v>10</v>
      </c>
      <c r="E825" s="22" t="s">
        <v>681</v>
      </c>
      <c r="F825" s="15">
        <v>43633</v>
      </c>
      <c r="G825" s="13" t="s">
        <v>220</v>
      </c>
      <c r="H825" s="34"/>
      <c r="I825" s="33">
        <f ca="1">ROUNDDOWN(表3[[#This Row],[日期]]-TODAY(),1)</f>
        <v>10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10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10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10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12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14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634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14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635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14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714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716</v>
      </c>
      <c r="H833" s="39"/>
      <c r="I833" s="38">
        <f ca="1">ROUNDDOWN(表3[[#This Row],[日期]]-TODAY(),1)</f>
        <v>-1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714</v>
      </c>
      <c r="C834" s="44">
        <v>43635</v>
      </c>
      <c r="D834" s="40">
        <v>2</v>
      </c>
      <c r="E834" s="41" t="s">
        <v>450</v>
      </c>
      <c r="F834" s="42">
        <v>43626</v>
      </c>
      <c r="G834" s="43" t="s">
        <v>220</v>
      </c>
      <c r="H834" s="39"/>
      <c r="I834" s="38">
        <f ca="1">ROUNDDOWN(表3[[#This Row],[日期]]-TODAY(),1)</f>
        <v>3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714</v>
      </c>
      <c r="C835" s="44">
        <v>43635</v>
      </c>
      <c r="D835" s="16">
        <v>3</v>
      </c>
      <c r="E835" s="22" t="s">
        <v>21</v>
      </c>
      <c r="F835" s="15">
        <v>43626</v>
      </c>
      <c r="G835" s="13" t="s">
        <v>220</v>
      </c>
      <c r="H835" s="34"/>
      <c r="I835" s="33">
        <f ca="1">ROUNDDOWN(表3[[#This Row],[日期]]-TODAY(),1)</f>
        <v>3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714</v>
      </c>
      <c r="C836" s="44">
        <v>43635</v>
      </c>
      <c r="D836" s="16">
        <v>4</v>
      </c>
      <c r="E836" s="22" t="s">
        <v>155</v>
      </c>
      <c r="F836" s="15">
        <v>43629</v>
      </c>
      <c r="G836" s="13" t="s">
        <v>220</v>
      </c>
      <c r="H836" s="34" t="s">
        <v>143</v>
      </c>
      <c r="I836" s="33">
        <f ca="1">ROUNDDOWN(表3[[#This Row],[日期]]-TODAY(),1)</f>
        <v>6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714</v>
      </c>
      <c r="C837" s="44">
        <v>43635</v>
      </c>
      <c r="D837" s="40">
        <v>5</v>
      </c>
      <c r="E837" s="41" t="s">
        <v>146</v>
      </c>
      <c r="F837" s="42">
        <v>43629</v>
      </c>
      <c r="G837" s="43" t="s">
        <v>220</v>
      </c>
      <c r="H837" s="39"/>
      <c r="I837" s="38">
        <f ca="1">ROUNDDOWN(表3[[#This Row],[日期]]-TODAY(),1)</f>
        <v>6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715</v>
      </c>
      <c r="C838" s="44">
        <v>43635</v>
      </c>
      <c r="D838" s="40">
        <v>6</v>
      </c>
      <c r="E838" s="41" t="s">
        <v>608</v>
      </c>
      <c r="F838" s="42">
        <v>43629</v>
      </c>
      <c r="G838" s="43" t="s">
        <v>220</v>
      </c>
      <c r="H838" s="39"/>
      <c r="I838" s="38">
        <f ca="1">ROUNDDOWN(表3[[#This Row],[日期]]-TODAY(),1)</f>
        <v>6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715</v>
      </c>
      <c r="C839" s="44">
        <v>43635</v>
      </c>
      <c r="D839" s="40">
        <v>7</v>
      </c>
      <c r="E839" s="41" t="s">
        <v>351</v>
      </c>
      <c r="F839" s="42">
        <v>43629</v>
      </c>
      <c r="G839" s="43" t="s">
        <v>220</v>
      </c>
      <c r="H839" s="34" t="s">
        <v>149</v>
      </c>
      <c r="I839" s="38">
        <f ca="1">ROUNDDOWN(表3[[#This Row],[日期]]-TODAY(),1)</f>
        <v>6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714</v>
      </c>
      <c r="C840" s="44">
        <v>43635</v>
      </c>
      <c r="D840" s="40">
        <v>8</v>
      </c>
      <c r="E840" s="41" t="s">
        <v>522</v>
      </c>
      <c r="F840" s="42">
        <v>43630</v>
      </c>
      <c r="G840" s="43" t="s">
        <v>220</v>
      </c>
      <c r="H840" s="39"/>
      <c r="I840" s="38">
        <f ca="1">ROUNDDOWN(表3[[#This Row],[日期]]-TODAY(),1)</f>
        <v>7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715</v>
      </c>
      <c r="C841" s="44">
        <v>43635</v>
      </c>
      <c r="D841" s="40">
        <v>9</v>
      </c>
      <c r="E841" s="41" t="s">
        <v>352</v>
      </c>
      <c r="F841" s="42">
        <v>43630</v>
      </c>
      <c r="G841" s="43" t="s">
        <v>220</v>
      </c>
      <c r="H841" s="39" t="s">
        <v>159</v>
      </c>
      <c r="I841" s="38">
        <f ca="1">ROUNDDOWN(表3[[#This Row],[日期]]-TODAY(),1)</f>
        <v>7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715</v>
      </c>
      <c r="C842" s="44">
        <v>43635</v>
      </c>
      <c r="D842" s="40">
        <v>10</v>
      </c>
      <c r="E842" s="41" t="s">
        <v>226</v>
      </c>
      <c r="F842" s="42">
        <v>43630</v>
      </c>
      <c r="G842" s="43" t="s">
        <v>220</v>
      </c>
      <c r="H842" s="39"/>
      <c r="I842" s="38">
        <f ca="1">ROUNDDOWN(表3[[#This Row],[日期]]-TODAY(),1)</f>
        <v>7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714</v>
      </c>
      <c r="C843" s="44">
        <v>43635</v>
      </c>
      <c r="D843" s="40">
        <v>11</v>
      </c>
      <c r="E843" s="41" t="s">
        <v>353</v>
      </c>
      <c r="F843" s="42">
        <v>43630</v>
      </c>
      <c r="G843" s="43" t="s">
        <v>220</v>
      </c>
      <c r="H843" s="39" t="s">
        <v>354</v>
      </c>
      <c r="I843" s="38">
        <f ca="1">ROUNDDOWN(表3[[#This Row],[日期]]-TODAY(),1)</f>
        <v>7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715</v>
      </c>
      <c r="C844" s="7">
        <v>43635</v>
      </c>
      <c r="D844" s="16">
        <v>12</v>
      </c>
      <c r="E844" s="22" t="s">
        <v>355</v>
      </c>
      <c r="F844" s="15">
        <v>43632</v>
      </c>
      <c r="G844" s="13" t="s">
        <v>220</v>
      </c>
      <c r="H844" s="34" t="s">
        <v>354</v>
      </c>
      <c r="I844" s="33">
        <f ca="1">ROUNDDOWN(表3[[#This Row],[日期]]-TODAY(),1)</f>
        <v>9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715</v>
      </c>
      <c r="C845" s="7">
        <v>43635</v>
      </c>
      <c r="D845" s="16">
        <v>13</v>
      </c>
      <c r="E845" s="22" t="s">
        <v>356</v>
      </c>
      <c r="F845" s="15">
        <v>43633</v>
      </c>
      <c r="G845" s="13" t="s">
        <v>220</v>
      </c>
      <c r="H845" s="34" t="s">
        <v>354</v>
      </c>
      <c r="I845" s="33">
        <f ca="1">ROUNDDOWN(表3[[#This Row],[日期]]-TODAY(),1)</f>
        <v>10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715</v>
      </c>
      <c r="C846" s="7">
        <v>43635</v>
      </c>
      <c r="D846" s="16">
        <v>14</v>
      </c>
      <c r="E846" s="22" t="s">
        <v>357</v>
      </c>
      <c r="F846" s="15">
        <v>43633</v>
      </c>
      <c r="G846" s="13" t="s">
        <v>220</v>
      </c>
      <c r="H846" s="34" t="s">
        <v>354</v>
      </c>
      <c r="I846" s="33">
        <f ca="1">ROUNDDOWN(表3[[#This Row],[日期]]-TODAY(),1)</f>
        <v>10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714</v>
      </c>
      <c r="C847" s="7">
        <v>43635</v>
      </c>
      <c r="D847" s="16">
        <v>15</v>
      </c>
      <c r="E847" s="22" t="s">
        <v>93</v>
      </c>
      <c r="F847" s="15">
        <v>43633</v>
      </c>
      <c r="G847" s="13" t="s">
        <v>220</v>
      </c>
      <c r="H847" s="34"/>
      <c r="I847" s="33">
        <f ca="1">ROUNDDOWN(表3[[#This Row],[日期]]-TODAY(),1)</f>
        <v>10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714</v>
      </c>
      <c r="C848" s="7">
        <v>43635</v>
      </c>
      <c r="D848" s="16">
        <v>16</v>
      </c>
      <c r="E848" s="22" t="s">
        <v>95</v>
      </c>
      <c r="F848" s="15">
        <v>43633</v>
      </c>
      <c r="G848" s="13" t="s">
        <v>220</v>
      </c>
      <c r="H848" s="34"/>
      <c r="I848" s="33">
        <f ca="1">ROUNDDOWN(表3[[#This Row],[日期]]-TODAY(),1)</f>
        <v>10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715</v>
      </c>
      <c r="C849" s="7">
        <v>43635</v>
      </c>
      <c r="D849" s="16">
        <v>17</v>
      </c>
      <c r="E849" s="22" t="s">
        <v>97</v>
      </c>
      <c r="F849" s="15">
        <v>43634</v>
      </c>
      <c r="G849" s="13" t="s">
        <v>220</v>
      </c>
      <c r="H849" s="34"/>
      <c r="I849" s="33">
        <f ca="1">ROUNDDOWN(表3[[#This Row],[日期]]-TODAY(),1)</f>
        <v>11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714</v>
      </c>
      <c r="C850" s="7">
        <v>43635</v>
      </c>
      <c r="D850" s="16">
        <v>18</v>
      </c>
      <c r="E850" s="22" t="s">
        <v>610</v>
      </c>
      <c r="F850" s="15">
        <v>43635</v>
      </c>
      <c r="G850" s="13" t="s">
        <v>220</v>
      </c>
      <c r="H850" s="34"/>
      <c r="I850" s="33">
        <f ca="1">ROUNDDOWN(表3[[#This Row],[日期]]-TODAY(),1)</f>
        <v>12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714</v>
      </c>
      <c r="C851" s="7">
        <v>43635</v>
      </c>
      <c r="D851" s="16">
        <v>19</v>
      </c>
      <c r="E851" s="22" t="s">
        <v>273</v>
      </c>
      <c r="F851" s="15">
        <v>43635</v>
      </c>
      <c r="G851" s="13" t="s">
        <v>220</v>
      </c>
      <c r="H851" s="34"/>
      <c r="I851" s="33">
        <f ca="1">ROUNDDOWN(表3[[#This Row],[日期]]-TODAY(),1)</f>
        <v>12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709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713</v>
      </c>
      <c r="H852" s="34"/>
      <c r="I852" s="33">
        <f ca="1">ROUNDDOWN(表3[[#This Row],[日期]]-TODAY(),1)</f>
        <v>-1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710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-1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711</v>
      </c>
      <c r="C854" s="7">
        <v>43635</v>
      </c>
      <c r="D854" s="16">
        <v>3</v>
      </c>
      <c r="E854" s="22" t="s">
        <v>21</v>
      </c>
      <c r="F854" s="15">
        <v>43626</v>
      </c>
      <c r="G854" s="13" t="s">
        <v>220</v>
      </c>
      <c r="H854" s="34"/>
      <c r="I854" s="33">
        <f ca="1">ROUNDDOWN(表3[[#This Row],[日期]]-TODAY(),1)</f>
        <v>3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710</v>
      </c>
      <c r="C855" s="7">
        <v>43635</v>
      </c>
      <c r="D855" s="16">
        <v>4</v>
      </c>
      <c r="E855" s="22" t="s">
        <v>155</v>
      </c>
      <c r="F855" s="15">
        <v>43629</v>
      </c>
      <c r="G855" s="13" t="s">
        <v>220</v>
      </c>
      <c r="H855" s="34" t="s">
        <v>143</v>
      </c>
      <c r="I855" s="33">
        <f ca="1">ROUNDDOWN(表3[[#This Row],[日期]]-TODAY(),1)</f>
        <v>6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712</v>
      </c>
      <c r="C856" s="7">
        <v>43635</v>
      </c>
      <c r="D856" s="16">
        <v>5</v>
      </c>
      <c r="E856" s="22" t="s">
        <v>146</v>
      </c>
      <c r="F856" s="15">
        <v>43629</v>
      </c>
      <c r="G856" s="13" t="s">
        <v>220</v>
      </c>
      <c r="H856" s="34"/>
      <c r="I856" s="33">
        <f ca="1">ROUNDDOWN(表3[[#This Row],[日期]]-TODAY(),1)</f>
        <v>6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711</v>
      </c>
      <c r="C857" s="7">
        <v>43635</v>
      </c>
      <c r="D857" s="16">
        <v>6</v>
      </c>
      <c r="E857" s="22" t="s">
        <v>608</v>
      </c>
      <c r="F857" s="15">
        <v>43629</v>
      </c>
      <c r="G857" s="13" t="s">
        <v>220</v>
      </c>
      <c r="H857" s="34"/>
      <c r="I857" s="33">
        <f ca="1">ROUNDDOWN(表3[[#This Row],[日期]]-TODAY(),1)</f>
        <v>6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710</v>
      </c>
      <c r="C858" s="7">
        <v>43635</v>
      </c>
      <c r="D858" s="16">
        <v>7</v>
      </c>
      <c r="E858" s="22" t="s">
        <v>351</v>
      </c>
      <c r="F858" s="15">
        <v>43629</v>
      </c>
      <c r="G858" s="13" t="s">
        <v>220</v>
      </c>
      <c r="H858" s="34" t="s">
        <v>149</v>
      </c>
      <c r="I858" s="33">
        <f ca="1">ROUNDDOWN(表3[[#This Row],[日期]]-TODAY(),1)</f>
        <v>6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710</v>
      </c>
      <c r="C859" s="7">
        <v>43635</v>
      </c>
      <c r="D859" s="16">
        <v>8</v>
      </c>
      <c r="E859" s="22" t="s">
        <v>522</v>
      </c>
      <c r="F859" s="15">
        <v>43629</v>
      </c>
      <c r="G859" s="13" t="s">
        <v>220</v>
      </c>
      <c r="H859" s="34"/>
      <c r="I859" s="33">
        <f ca="1">ROUNDDOWN(表3[[#This Row],[日期]]-TODAY(),1)</f>
        <v>6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710</v>
      </c>
      <c r="C860" s="7">
        <v>43635</v>
      </c>
      <c r="D860" s="16">
        <v>9</v>
      </c>
      <c r="E860" s="22" t="s">
        <v>352</v>
      </c>
      <c r="F860" s="15">
        <v>43630</v>
      </c>
      <c r="G860" s="13" t="s">
        <v>220</v>
      </c>
      <c r="H860" s="34" t="s">
        <v>159</v>
      </c>
      <c r="I860" s="33">
        <f ca="1">ROUNDDOWN(表3[[#This Row],[日期]]-TODAY(),1)</f>
        <v>7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710</v>
      </c>
      <c r="C861" s="7">
        <v>43635</v>
      </c>
      <c r="D861" s="16">
        <v>10</v>
      </c>
      <c r="E861" s="22" t="s">
        <v>226</v>
      </c>
      <c r="F861" s="15">
        <v>43630</v>
      </c>
      <c r="G861" s="13" t="s">
        <v>220</v>
      </c>
      <c r="H861" s="34"/>
      <c r="I861" s="33">
        <f ca="1">ROUNDDOWN(表3[[#This Row],[日期]]-TODAY(),1)</f>
        <v>7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709</v>
      </c>
      <c r="C862" s="7">
        <v>43635</v>
      </c>
      <c r="D862" s="16">
        <v>11</v>
      </c>
      <c r="E862" s="22" t="s">
        <v>356</v>
      </c>
      <c r="F862" s="15">
        <v>43630</v>
      </c>
      <c r="G862" s="13" t="s">
        <v>220</v>
      </c>
      <c r="H862" s="34" t="s">
        <v>354</v>
      </c>
      <c r="I862" s="33">
        <f ca="1">ROUNDDOWN(表3[[#This Row],[日期]]-TODAY(),1)</f>
        <v>7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710</v>
      </c>
      <c r="C863" s="44">
        <v>43635</v>
      </c>
      <c r="D863" s="40">
        <v>12</v>
      </c>
      <c r="E863" s="41" t="s">
        <v>357</v>
      </c>
      <c r="F863" s="42">
        <v>43630</v>
      </c>
      <c r="G863" s="43" t="s">
        <v>220</v>
      </c>
      <c r="H863" s="39" t="s">
        <v>354</v>
      </c>
      <c r="I863" s="38">
        <f ca="1">ROUNDDOWN(表3[[#This Row],[日期]]-TODAY(),1)</f>
        <v>7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710</v>
      </c>
      <c r="C864" s="7">
        <v>43635</v>
      </c>
      <c r="D864" s="16">
        <v>13</v>
      </c>
      <c r="E864" s="22" t="s">
        <v>353</v>
      </c>
      <c r="F864" s="15">
        <v>43630</v>
      </c>
      <c r="G864" s="13" t="s">
        <v>220</v>
      </c>
      <c r="H864" s="34" t="s">
        <v>354</v>
      </c>
      <c r="I864" s="33">
        <f ca="1">ROUNDDOWN(表3[[#This Row],[日期]]-TODAY(),1)</f>
        <v>7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711</v>
      </c>
      <c r="C865" s="7">
        <v>43635</v>
      </c>
      <c r="D865" s="16">
        <v>14</v>
      </c>
      <c r="E865" s="22" t="s">
        <v>355</v>
      </c>
      <c r="F865" s="15">
        <v>43630</v>
      </c>
      <c r="G865" s="13" t="s">
        <v>220</v>
      </c>
      <c r="H865" s="34" t="s">
        <v>354</v>
      </c>
      <c r="I865" s="33">
        <f ca="1">ROUNDDOWN(表3[[#This Row],[日期]]-TODAY(),1)</f>
        <v>7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710</v>
      </c>
      <c r="C866" s="7">
        <v>43635</v>
      </c>
      <c r="D866" s="16">
        <v>15</v>
      </c>
      <c r="E866" s="22" t="s">
        <v>93</v>
      </c>
      <c r="F866" s="15">
        <v>43631</v>
      </c>
      <c r="G866" s="13" t="s">
        <v>220</v>
      </c>
      <c r="H866" s="34"/>
      <c r="I866" s="33">
        <f ca="1">ROUNDDOWN(表3[[#This Row],[日期]]-TODAY(),1)</f>
        <v>8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710</v>
      </c>
      <c r="C867" s="7">
        <v>43635</v>
      </c>
      <c r="D867" s="16">
        <v>16</v>
      </c>
      <c r="E867" s="22" t="s">
        <v>95</v>
      </c>
      <c r="F867" s="15">
        <v>43633</v>
      </c>
      <c r="G867" s="13" t="s">
        <v>220</v>
      </c>
      <c r="H867" s="34"/>
      <c r="I867" s="33">
        <f ca="1">ROUNDDOWN(表3[[#This Row],[日期]]-TODAY(),1)</f>
        <v>10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710</v>
      </c>
      <c r="C868" s="7">
        <v>43635</v>
      </c>
      <c r="D868" s="16">
        <v>17</v>
      </c>
      <c r="E868" s="22" t="s">
        <v>97</v>
      </c>
      <c r="F868" s="15">
        <v>43633</v>
      </c>
      <c r="G868" s="13" t="s">
        <v>220</v>
      </c>
      <c r="H868" s="34"/>
      <c r="I868" s="33">
        <f ca="1">ROUNDDOWN(表3[[#This Row],[日期]]-TODAY(),1)</f>
        <v>10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711</v>
      </c>
      <c r="C869" s="7">
        <v>43635</v>
      </c>
      <c r="D869" s="16">
        <v>18</v>
      </c>
      <c r="E869" s="22" t="s">
        <v>610</v>
      </c>
      <c r="F869" s="15">
        <v>43635</v>
      </c>
      <c r="G869" s="13" t="s">
        <v>220</v>
      </c>
      <c r="H869" s="34"/>
      <c r="I869" s="33">
        <f ca="1">ROUNDDOWN(表3[[#This Row],[日期]]-TODAY(),1)</f>
        <v>12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710</v>
      </c>
      <c r="C870" s="7">
        <v>43635</v>
      </c>
      <c r="D870" s="16">
        <v>19</v>
      </c>
      <c r="E870" s="22" t="s">
        <v>273</v>
      </c>
      <c r="F870" s="15">
        <v>43635</v>
      </c>
      <c r="G870" s="13" t="s">
        <v>220</v>
      </c>
      <c r="H870" s="34"/>
      <c r="I870" s="33">
        <f ca="1">ROUNDDOWN(表3[[#This Row],[日期]]-TODAY(),1)</f>
        <v>12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-28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-28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-28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-28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-27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560</v>
      </c>
      <c r="F876" s="42">
        <v>43614</v>
      </c>
      <c r="G876" s="43" t="s">
        <v>277</v>
      </c>
      <c r="H876" s="39"/>
      <c r="I876" s="38">
        <f ca="1">ROUNDDOWN(表3[[#This Row],[日期]]-TODAY(),1)</f>
        <v>-9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623</v>
      </c>
      <c r="F877" s="15">
        <v>43615</v>
      </c>
      <c r="G877" s="13" t="s">
        <v>277</v>
      </c>
      <c r="H877" s="34"/>
      <c r="I877" s="33">
        <f ca="1">ROUNDDOWN(表3[[#This Row],[日期]]-TODAY(),1)</f>
        <v>-8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5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5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5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5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5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5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6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7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7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7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7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7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7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10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11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12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516</v>
      </c>
      <c r="F897" s="15">
        <v>43636</v>
      </c>
      <c r="G897" s="13" t="s">
        <v>220</v>
      </c>
      <c r="H897" s="34"/>
      <c r="I897" s="33">
        <f ca="1">ROUNDDOWN(表3[[#This Row],[日期]]-TODAY(),1)</f>
        <v>13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693</v>
      </c>
      <c r="F898" s="15">
        <v>43636</v>
      </c>
      <c r="G898" s="13" t="s">
        <v>690</v>
      </c>
      <c r="H898" s="34"/>
      <c r="I898" s="33">
        <f ca="1">ROUNDDOWN(表3[[#This Row],[日期]]-TODAY(),1)</f>
        <v>13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659</v>
      </c>
      <c r="C899" s="7">
        <v>43635</v>
      </c>
      <c r="D899" s="16">
        <v>1</v>
      </c>
      <c r="E899" s="22" t="s">
        <v>661</v>
      </c>
      <c r="F899" s="15">
        <v>43620</v>
      </c>
      <c r="G899" s="13" t="s">
        <v>1</v>
      </c>
      <c r="H899" s="34"/>
      <c r="I899" s="33">
        <f ca="1">ROUNDDOWN(表3[[#This Row],[日期]]-TODAY(),1)</f>
        <v>-3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659</v>
      </c>
      <c r="C900" s="7">
        <v>43635</v>
      </c>
      <c r="D900" s="16">
        <v>2</v>
      </c>
      <c r="E900" s="22" t="s">
        <v>664</v>
      </c>
      <c r="F900" s="15">
        <v>43620</v>
      </c>
      <c r="G900" s="13" t="s">
        <v>1</v>
      </c>
      <c r="H900" s="34"/>
      <c r="I900" s="33">
        <f ca="1">ROUNDDOWN(表3[[#This Row],[日期]]-TODAY(),1)</f>
        <v>-3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659</v>
      </c>
      <c r="C901" s="7">
        <v>43635</v>
      </c>
      <c r="D901" s="16">
        <v>3</v>
      </c>
      <c r="E901" s="22" t="s">
        <v>666</v>
      </c>
      <c r="F901" s="15">
        <v>43620</v>
      </c>
      <c r="G901" s="13" t="s">
        <v>1</v>
      </c>
      <c r="H901" s="34"/>
      <c r="I901" s="33">
        <f ca="1">ROUNDDOWN(表3[[#This Row],[日期]]-TODAY(),1)</f>
        <v>-3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659</v>
      </c>
      <c r="C902" s="7">
        <v>43635</v>
      </c>
      <c r="D902" s="16">
        <v>4</v>
      </c>
      <c r="E902" s="22" t="s">
        <v>668</v>
      </c>
      <c r="F902" s="15">
        <v>43626</v>
      </c>
      <c r="G902" s="13" t="s">
        <v>221</v>
      </c>
      <c r="H902" s="34"/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659</v>
      </c>
      <c r="C903" s="7">
        <v>43635</v>
      </c>
      <c r="D903" s="16">
        <v>5</v>
      </c>
      <c r="E903" s="22" t="s">
        <v>671</v>
      </c>
      <c r="F903" s="15">
        <v>43626</v>
      </c>
      <c r="G903" s="13" t="s">
        <v>221</v>
      </c>
      <c r="H903" s="34"/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659</v>
      </c>
      <c r="C904" s="7">
        <v>43635</v>
      </c>
      <c r="D904" s="16">
        <v>6</v>
      </c>
      <c r="E904" s="22" t="s">
        <v>673</v>
      </c>
      <c r="F904" s="15">
        <v>43633</v>
      </c>
      <c r="G904" s="13" t="s">
        <v>220</v>
      </c>
      <c r="H904" s="34" t="s">
        <v>684</v>
      </c>
      <c r="I904" s="33">
        <f ca="1">ROUNDDOWN(表3[[#This Row],[日期]]-TODAY(),1)</f>
        <v>10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659</v>
      </c>
      <c r="C905" s="7">
        <v>43635</v>
      </c>
      <c r="D905" s="16">
        <v>7</v>
      </c>
      <c r="E905" s="22" t="s">
        <v>675</v>
      </c>
      <c r="F905" s="15">
        <v>43633</v>
      </c>
      <c r="G905" s="13" t="s">
        <v>220</v>
      </c>
      <c r="H905" s="34"/>
      <c r="I905" s="33">
        <f ca="1">ROUNDDOWN(表3[[#This Row],[日期]]-TODAY(),1)</f>
        <v>10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659</v>
      </c>
      <c r="C906" s="7">
        <v>43635</v>
      </c>
      <c r="D906" s="16">
        <v>8</v>
      </c>
      <c r="E906" s="22" t="s">
        <v>677</v>
      </c>
      <c r="F906" s="15">
        <v>43633</v>
      </c>
      <c r="G906" s="13" t="s">
        <v>220</v>
      </c>
      <c r="H906" s="34"/>
      <c r="I906" s="33">
        <f ca="1">ROUNDDOWN(表3[[#This Row],[日期]]-TODAY(),1)</f>
        <v>10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659</v>
      </c>
      <c r="C907" s="7">
        <v>43635</v>
      </c>
      <c r="D907" s="16">
        <v>9</v>
      </c>
      <c r="E907" s="22" t="s">
        <v>679</v>
      </c>
      <c r="F907" s="15">
        <v>43635</v>
      </c>
      <c r="G907" s="13" t="s">
        <v>220</v>
      </c>
      <c r="H907" s="34"/>
      <c r="I907" s="33">
        <f ca="1">ROUNDDOWN(表3[[#This Row],[日期]]-TODAY(),1)</f>
        <v>12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659</v>
      </c>
      <c r="C908" s="7">
        <v>43635</v>
      </c>
      <c r="D908" s="16">
        <v>10</v>
      </c>
      <c r="E908" s="22" t="s">
        <v>681</v>
      </c>
      <c r="F908" s="15">
        <v>43635</v>
      </c>
      <c r="G908" s="13" t="s">
        <v>220</v>
      </c>
      <c r="H908" s="34"/>
      <c r="I908" s="33">
        <f ca="1">ROUNDDOWN(表3[[#This Row],[日期]]-TODAY(),1)</f>
        <v>12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17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17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17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19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21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634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21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635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21</v>
      </c>
    </row>
  </sheetData>
  <dataConsolidate/>
  <phoneticPr fontId="1" type="noConversion"/>
  <conditionalFormatting sqref="E2:E898">
    <cfRule type="beginsWith" dxfId="2" priority="14" operator="beginsWith" text="收到">
      <formula>LEFT(E2,LEN("收到"))="收到"</formula>
    </cfRule>
  </conditionalFormatting>
  <conditionalFormatting sqref="E864:E873">
    <cfRule type="beginsWith" dxfId="1" priority="1" operator="beginsWith" text="收到">
      <formula>LEFT(E864,LEN("收到"))="收到"</formula>
    </cfRule>
  </conditionalFormatting>
  <dataValidations count="2">
    <dataValidation type="list" showInputMessage="1" showErrorMessage="1" sqref="G2:G915" xr:uid="{00000000-0002-0000-0100-000000000000}">
      <formula1>"计划,OK,取消"</formula1>
    </dataValidation>
    <dataValidation type="date" operator="greaterThan" showInputMessage="1" showErrorMessage="1" sqref="F2:F915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8" sqref="C8"/>
    </sheetView>
  </sheetViews>
  <sheetFormatPr defaultColWidth="8" defaultRowHeight="14.25" x14ac:dyDescent="0.2"/>
  <cols>
    <col min="1" max="1" width="11.5" bestFit="1" customWidth="1"/>
    <col min="2" max="2" width="7.875" customWidth="1"/>
    <col min="3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622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43623</v>
      </c>
      <c r="C4" s="49">
        <v>43624</v>
      </c>
    </row>
    <row r="5" spans="1:6" x14ac:dyDescent="0.2">
      <c r="A5" s="11" t="s">
        <v>477</v>
      </c>
      <c r="B5" s="12"/>
      <c r="C5" s="12"/>
    </row>
    <row r="6" spans="1:6" x14ac:dyDescent="0.2">
      <c r="A6" s="23">
        <v>43621</v>
      </c>
      <c r="B6" s="12">
        <v>1</v>
      </c>
      <c r="C6" s="12">
        <v>1</v>
      </c>
    </row>
    <row r="7" spans="1:6" x14ac:dyDescent="0.2">
      <c r="A7" s="11" t="s">
        <v>2</v>
      </c>
      <c r="B7" s="12"/>
      <c r="C7" s="12"/>
    </row>
    <row r="8" spans="1:6" x14ac:dyDescent="0.2">
      <c r="A8" s="23">
        <v>43621</v>
      </c>
      <c r="B8" s="12"/>
      <c r="C8" s="12">
        <v>1</v>
      </c>
    </row>
    <row r="9" spans="1:6" x14ac:dyDescent="0.2">
      <c r="A9" s="23">
        <v>43623</v>
      </c>
      <c r="B9" s="12">
        <v>1</v>
      </c>
      <c r="C9" s="12">
        <v>1</v>
      </c>
    </row>
    <row r="10" spans="1:6" x14ac:dyDescent="0.2">
      <c r="A10" s="23">
        <v>43628</v>
      </c>
      <c r="B10" s="12"/>
      <c r="C10" s="12">
        <v>4</v>
      </c>
    </row>
    <row r="11" spans="1:6" x14ac:dyDescent="0.2">
      <c r="A11" s="11" t="s">
        <v>344</v>
      </c>
      <c r="B11" s="12"/>
      <c r="C11" s="12"/>
    </row>
    <row r="12" spans="1:6" x14ac:dyDescent="0.2">
      <c r="A12" s="23">
        <v>43623</v>
      </c>
      <c r="B12" s="12">
        <v>1</v>
      </c>
      <c r="C12" s="12">
        <v>1</v>
      </c>
    </row>
    <row r="13" spans="1:6" x14ac:dyDescent="0.2">
      <c r="A13" s="11" t="s">
        <v>165</v>
      </c>
      <c r="B13" s="12">
        <v>3</v>
      </c>
      <c r="C13" s="12">
        <v>8</v>
      </c>
    </row>
  </sheetData>
  <dataConsolidate/>
  <phoneticPr fontId="1" type="noConversion"/>
  <conditionalFormatting sqref="B4:AG4">
    <cfRule type="timePeriod" dxfId="0" priority="1" timePeriod="today">
      <formula>FLOOR(B4,1)=TODAY()</formula>
    </cfRule>
  </conditionalFormatting>
  <hyperlinks>
    <hyperlink ref="C1" location="透视!C1" display="今天" xr:uid="{00000000-0004-0000-0200-000000000000}"/>
    <hyperlink ref="D1" location="透视!D1" display="三天" xr:uid="{00000000-0004-0000-0200-000001000000}"/>
    <hyperlink ref="E1" location="透视!E1" display="本周" xr:uid="{00000000-0004-0000-0200-000002000000}"/>
    <hyperlink ref="F1" location="透视!F1" display="三周" xr:uid="{00000000-0004-0000-0200-000003000000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62"/>
  <sheetViews>
    <sheetView workbookViewId="0">
      <selection activeCell="G1" sqref="G1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9" x14ac:dyDescent="0.2">
      <c r="A1" t="s">
        <v>725</v>
      </c>
      <c r="B1" t="s">
        <v>4</v>
      </c>
      <c r="C1" t="s">
        <v>5</v>
      </c>
      <c r="D1" t="s">
        <v>367</v>
      </c>
      <c r="E1" t="s">
        <v>365</v>
      </c>
      <c r="F1" t="s">
        <v>366</v>
      </c>
      <c r="G1" t="s">
        <v>430</v>
      </c>
      <c r="H1" t="s">
        <v>364</v>
      </c>
      <c r="I1" t="s">
        <v>459</v>
      </c>
    </row>
    <row r="2" spans="1:9" hidden="1" x14ac:dyDescent="0.2">
      <c r="A2" s="51">
        <v>1907190</v>
      </c>
      <c r="B2" t="s">
        <v>3</v>
      </c>
      <c r="C2" s="25">
        <v>43595</v>
      </c>
      <c r="D2" s="45" t="s">
        <v>368</v>
      </c>
      <c r="E2" s="24" t="s">
        <v>370</v>
      </c>
      <c r="F2" s="24" t="s">
        <v>369</v>
      </c>
      <c r="G2" s="24" t="s">
        <v>431</v>
      </c>
      <c r="H2" t="s">
        <v>371</v>
      </c>
      <c r="I2" s="24" t="s">
        <v>463</v>
      </c>
    </row>
    <row r="3" spans="1:9" hidden="1" x14ac:dyDescent="0.2">
      <c r="A3" s="51">
        <v>1907190</v>
      </c>
      <c r="B3" t="s">
        <v>3</v>
      </c>
      <c r="C3" s="25">
        <v>43595</v>
      </c>
      <c r="D3" s="45" t="s">
        <v>368</v>
      </c>
      <c r="E3" s="24" t="s">
        <v>370</v>
      </c>
      <c r="F3" s="24" t="s">
        <v>369</v>
      </c>
      <c r="G3" s="24" t="s">
        <v>432</v>
      </c>
      <c r="H3" t="s">
        <v>371</v>
      </c>
      <c r="I3" s="24" t="s">
        <v>463</v>
      </c>
    </row>
    <row r="4" spans="1:9" hidden="1" x14ac:dyDescent="0.2">
      <c r="A4" s="51">
        <v>1907190</v>
      </c>
      <c r="B4" t="s">
        <v>3</v>
      </c>
      <c r="C4" s="25">
        <v>43595</v>
      </c>
      <c r="D4" s="45" t="s">
        <v>368</v>
      </c>
      <c r="E4" s="24" t="s">
        <v>370</v>
      </c>
      <c r="F4" s="24" t="s">
        <v>369</v>
      </c>
      <c r="G4" s="24" t="s">
        <v>433</v>
      </c>
      <c r="H4" t="s">
        <v>371</v>
      </c>
      <c r="I4" s="24" t="s">
        <v>463</v>
      </c>
    </row>
    <row r="5" spans="1:9" hidden="1" x14ac:dyDescent="0.2">
      <c r="A5" s="51">
        <v>1907346</v>
      </c>
      <c r="B5" t="s">
        <v>158</v>
      </c>
      <c r="C5" s="25">
        <v>43600</v>
      </c>
      <c r="D5" s="45" t="s">
        <v>398</v>
      </c>
      <c r="E5" s="24" t="s">
        <v>399</v>
      </c>
      <c r="F5" s="24" t="s">
        <v>400</v>
      </c>
      <c r="G5" s="24" t="s">
        <v>434</v>
      </c>
      <c r="H5" t="s">
        <v>401</v>
      </c>
      <c r="I5" s="24" t="s">
        <v>463</v>
      </c>
    </row>
    <row r="6" spans="1:9" hidden="1" x14ac:dyDescent="0.2">
      <c r="A6" s="51">
        <v>1907670</v>
      </c>
      <c r="B6" t="s">
        <v>381</v>
      </c>
      <c r="C6" s="25">
        <v>43602</v>
      </c>
      <c r="D6" s="45" t="s">
        <v>382</v>
      </c>
      <c r="E6" s="24" t="s">
        <v>383</v>
      </c>
      <c r="F6" s="24" t="s">
        <v>384</v>
      </c>
      <c r="G6" s="24" t="s">
        <v>435</v>
      </c>
      <c r="H6" t="s">
        <v>385</v>
      </c>
      <c r="I6" s="24" t="s">
        <v>461</v>
      </c>
    </row>
    <row r="7" spans="1:9" hidden="1" x14ac:dyDescent="0.2">
      <c r="A7" s="51">
        <v>1907670</v>
      </c>
      <c r="B7" t="s">
        <v>381</v>
      </c>
      <c r="C7" s="25">
        <v>43602</v>
      </c>
      <c r="D7" s="45" t="s">
        <v>382</v>
      </c>
      <c r="E7" s="24" t="s">
        <v>383</v>
      </c>
      <c r="F7" s="24" t="s">
        <v>384</v>
      </c>
      <c r="G7" s="24" t="s">
        <v>435</v>
      </c>
      <c r="H7" t="s">
        <v>386</v>
      </c>
      <c r="I7" s="24" t="s">
        <v>461</v>
      </c>
    </row>
    <row r="8" spans="1:9" hidden="1" x14ac:dyDescent="0.2">
      <c r="A8" s="51">
        <v>1907670</v>
      </c>
      <c r="B8" t="s">
        <v>381</v>
      </c>
      <c r="C8" s="25">
        <v>43602</v>
      </c>
      <c r="D8" s="45" t="s">
        <v>382</v>
      </c>
      <c r="E8" s="24" t="s">
        <v>383</v>
      </c>
      <c r="F8" s="24" t="s">
        <v>384</v>
      </c>
      <c r="G8" s="24" t="s">
        <v>435</v>
      </c>
      <c r="H8" t="s">
        <v>387</v>
      </c>
      <c r="I8" s="24" t="s">
        <v>461</v>
      </c>
    </row>
    <row r="9" spans="1:9" hidden="1" x14ac:dyDescent="0.2">
      <c r="A9" s="51">
        <v>1907670</v>
      </c>
      <c r="B9" t="s">
        <v>381</v>
      </c>
      <c r="C9" s="25">
        <v>43602</v>
      </c>
      <c r="D9" s="45" t="s">
        <v>382</v>
      </c>
      <c r="E9" s="24" t="s">
        <v>383</v>
      </c>
      <c r="F9" s="24" t="s">
        <v>384</v>
      </c>
      <c r="G9" s="24" t="s">
        <v>435</v>
      </c>
      <c r="H9" t="s">
        <v>388</v>
      </c>
      <c r="I9" s="24" t="s">
        <v>461</v>
      </c>
    </row>
    <row r="10" spans="1:9" hidden="1" x14ac:dyDescent="0.2">
      <c r="A10" s="51">
        <v>1907888</v>
      </c>
      <c r="B10" t="s">
        <v>161</v>
      </c>
      <c r="C10" s="25">
        <v>43607</v>
      </c>
      <c r="D10" s="45" t="s">
        <v>392</v>
      </c>
      <c r="E10" s="24" t="s">
        <v>393</v>
      </c>
      <c r="F10" s="24" t="s">
        <v>394</v>
      </c>
      <c r="G10" s="24" t="s">
        <v>454</v>
      </c>
      <c r="H10" t="s">
        <v>458</v>
      </c>
      <c r="I10" s="24" t="s">
        <v>460</v>
      </c>
    </row>
    <row r="11" spans="1:9" hidden="1" x14ac:dyDescent="0.2">
      <c r="A11" s="51">
        <v>1907888</v>
      </c>
      <c r="B11" t="s">
        <v>161</v>
      </c>
      <c r="C11" s="25">
        <v>43607</v>
      </c>
      <c r="D11" s="45" t="s">
        <v>392</v>
      </c>
      <c r="E11" s="24" t="s">
        <v>393</v>
      </c>
      <c r="F11" s="24" t="s">
        <v>394</v>
      </c>
      <c r="G11" s="24" t="s">
        <v>455</v>
      </c>
      <c r="H11" t="s">
        <v>458</v>
      </c>
      <c r="I11" s="24" t="s">
        <v>460</v>
      </c>
    </row>
    <row r="12" spans="1:9" hidden="1" x14ac:dyDescent="0.2">
      <c r="A12" s="51">
        <v>1907888</v>
      </c>
      <c r="B12" t="s">
        <v>161</v>
      </c>
      <c r="C12" s="25">
        <v>43607</v>
      </c>
      <c r="D12" s="45" t="s">
        <v>392</v>
      </c>
      <c r="E12" s="24" t="s">
        <v>393</v>
      </c>
      <c r="F12" s="24" t="s">
        <v>394</v>
      </c>
      <c r="G12" s="24" t="s">
        <v>456</v>
      </c>
      <c r="H12" t="s">
        <v>458</v>
      </c>
      <c r="I12" s="24" t="s">
        <v>460</v>
      </c>
    </row>
    <row r="13" spans="1:9" hidden="1" x14ac:dyDescent="0.2">
      <c r="A13" s="51">
        <v>1907888</v>
      </c>
      <c r="B13" t="s">
        <v>161</v>
      </c>
      <c r="C13" s="25">
        <v>43607</v>
      </c>
      <c r="D13" s="45" t="s">
        <v>392</v>
      </c>
      <c r="E13" s="24" t="s">
        <v>393</v>
      </c>
      <c r="F13" s="24" t="s">
        <v>394</v>
      </c>
      <c r="G13" s="24" t="s">
        <v>457</v>
      </c>
      <c r="H13" t="s">
        <v>476</v>
      </c>
      <c r="I13" s="24" t="s">
        <v>461</v>
      </c>
    </row>
    <row r="14" spans="1:9" hidden="1" x14ac:dyDescent="0.2">
      <c r="A14" s="51">
        <v>1907803</v>
      </c>
      <c r="B14" t="s">
        <v>158</v>
      </c>
      <c r="C14" s="25">
        <v>43607</v>
      </c>
      <c r="D14" s="45" t="s">
        <v>389</v>
      </c>
      <c r="E14" s="24" t="s">
        <v>390</v>
      </c>
      <c r="F14" s="24" t="s">
        <v>391</v>
      </c>
      <c r="G14" s="24" t="s">
        <v>440</v>
      </c>
      <c r="H14" t="s">
        <v>441</v>
      </c>
      <c r="I14" s="24" t="s">
        <v>462</v>
      </c>
    </row>
    <row r="15" spans="1:9" hidden="1" x14ac:dyDescent="0.2">
      <c r="A15" s="51">
        <v>1907803</v>
      </c>
      <c r="B15" t="s">
        <v>158</v>
      </c>
      <c r="C15" s="25">
        <v>43607</v>
      </c>
      <c r="D15" s="45" t="s">
        <v>389</v>
      </c>
      <c r="E15" s="24" t="s">
        <v>390</v>
      </c>
      <c r="F15" s="24" t="s">
        <v>391</v>
      </c>
      <c r="G15" s="24" t="s">
        <v>442</v>
      </c>
      <c r="H15" t="s">
        <v>441</v>
      </c>
      <c r="I15" s="24" t="s">
        <v>463</v>
      </c>
    </row>
    <row r="16" spans="1:9" hidden="1" x14ac:dyDescent="0.2">
      <c r="A16" s="51">
        <v>1907058</v>
      </c>
      <c r="B16" t="s">
        <v>167</v>
      </c>
      <c r="C16" s="25">
        <v>43607</v>
      </c>
      <c r="D16" s="45" t="s">
        <v>389</v>
      </c>
      <c r="E16" s="24" t="s">
        <v>390</v>
      </c>
      <c r="F16" s="24" t="s">
        <v>391</v>
      </c>
      <c r="G16" s="24" t="s">
        <v>438</v>
      </c>
      <c r="H16" t="s">
        <v>439</v>
      </c>
      <c r="I16" s="24" t="s">
        <v>461</v>
      </c>
    </row>
    <row r="17" spans="1:9" hidden="1" x14ac:dyDescent="0.2">
      <c r="A17" s="51">
        <v>1907842</v>
      </c>
      <c r="B17" t="s">
        <v>375</v>
      </c>
      <c r="C17" s="25">
        <v>43609</v>
      </c>
      <c r="D17" s="45" t="s">
        <v>376</v>
      </c>
      <c r="E17" s="24" t="s">
        <v>377</v>
      </c>
      <c r="F17" s="24" t="s">
        <v>378</v>
      </c>
      <c r="G17" s="24" t="s">
        <v>482</v>
      </c>
      <c r="H17" t="s">
        <v>486</v>
      </c>
      <c r="I17" s="24" t="s">
        <v>485</v>
      </c>
    </row>
    <row r="18" spans="1:9" hidden="1" x14ac:dyDescent="0.2">
      <c r="A18" s="51">
        <v>1907842</v>
      </c>
      <c r="B18" t="s">
        <v>3</v>
      </c>
      <c r="C18" s="25">
        <v>43609</v>
      </c>
      <c r="D18" s="45" t="s">
        <v>376</v>
      </c>
      <c r="E18" s="24" t="s">
        <v>377</v>
      </c>
      <c r="F18" s="24" t="s">
        <v>378</v>
      </c>
      <c r="G18" s="24" t="s">
        <v>483</v>
      </c>
      <c r="H18" t="s">
        <v>486</v>
      </c>
      <c r="I18" s="24" t="s">
        <v>485</v>
      </c>
    </row>
    <row r="19" spans="1:9" hidden="1" x14ac:dyDescent="0.2">
      <c r="A19" s="51">
        <v>1907842</v>
      </c>
      <c r="B19" t="s">
        <v>3</v>
      </c>
      <c r="C19" s="25">
        <v>43609</v>
      </c>
      <c r="D19" s="45" t="s">
        <v>376</v>
      </c>
      <c r="E19" s="24" t="s">
        <v>377</v>
      </c>
      <c r="F19" s="24" t="s">
        <v>378</v>
      </c>
      <c r="G19" s="24" t="s">
        <v>484</v>
      </c>
      <c r="H19" t="s">
        <v>486</v>
      </c>
      <c r="I19" s="24" t="s">
        <v>485</v>
      </c>
    </row>
    <row r="20" spans="1:9" hidden="1" x14ac:dyDescent="0.2">
      <c r="A20" s="51">
        <v>1907841</v>
      </c>
      <c r="B20" t="s">
        <v>3</v>
      </c>
      <c r="C20" s="25">
        <v>43613</v>
      </c>
      <c r="D20" s="45" t="s">
        <v>372</v>
      </c>
      <c r="E20" s="24" t="s">
        <v>373</v>
      </c>
      <c r="F20" s="24" t="s">
        <v>374</v>
      </c>
      <c r="G20" s="24" t="s">
        <v>607</v>
      </c>
      <c r="H20" t="s">
        <v>526</v>
      </c>
      <c r="I20" s="24" t="s">
        <v>510</v>
      </c>
    </row>
    <row r="21" spans="1:9" hidden="1" x14ac:dyDescent="0.2">
      <c r="A21" s="51">
        <v>1907841</v>
      </c>
      <c r="B21" t="s">
        <v>3</v>
      </c>
      <c r="C21" s="25">
        <v>43613</v>
      </c>
      <c r="D21" s="45" t="s">
        <v>372</v>
      </c>
      <c r="E21" s="24" t="s">
        <v>373</v>
      </c>
      <c r="F21" s="24" t="s">
        <v>374</v>
      </c>
      <c r="G21" s="24" t="s">
        <v>593</v>
      </c>
      <c r="H21" t="s">
        <v>526</v>
      </c>
      <c r="I21" s="24" t="s">
        <v>462</v>
      </c>
    </row>
    <row r="22" spans="1:9" hidden="1" x14ac:dyDescent="0.2">
      <c r="A22" s="51">
        <v>1908240</v>
      </c>
      <c r="B22" t="s">
        <v>381</v>
      </c>
      <c r="C22" s="25">
        <v>43613</v>
      </c>
      <c r="D22" s="45" t="s">
        <v>402</v>
      </c>
      <c r="E22" s="24" t="s">
        <v>373</v>
      </c>
      <c r="F22" s="24" t="s">
        <v>374</v>
      </c>
      <c r="G22" s="24" t="s">
        <v>511</v>
      </c>
      <c r="H22" t="s">
        <v>529</v>
      </c>
      <c r="I22" s="24" t="s">
        <v>512</v>
      </c>
    </row>
    <row r="23" spans="1:9" hidden="1" x14ac:dyDescent="0.2">
      <c r="A23" s="51">
        <v>1908240</v>
      </c>
      <c r="B23" t="s">
        <v>183</v>
      </c>
      <c r="C23" s="25">
        <v>43613</v>
      </c>
      <c r="D23" s="45" t="s">
        <v>372</v>
      </c>
      <c r="E23" s="24" t="s">
        <v>373</v>
      </c>
      <c r="F23" s="24" t="s">
        <v>374</v>
      </c>
      <c r="G23" s="24" t="s">
        <v>511</v>
      </c>
      <c r="H23" t="s">
        <v>530</v>
      </c>
      <c r="I23" s="24" t="s">
        <v>512</v>
      </c>
    </row>
    <row r="24" spans="1:9" hidden="1" x14ac:dyDescent="0.2">
      <c r="A24" s="51">
        <v>1908518</v>
      </c>
      <c r="B24" t="s">
        <v>502</v>
      </c>
      <c r="C24" s="25">
        <v>43614</v>
      </c>
      <c r="D24" s="45" t="s">
        <v>592</v>
      </c>
      <c r="E24" s="24" t="s">
        <v>503</v>
      </c>
      <c r="F24" s="24" t="s">
        <v>504</v>
      </c>
      <c r="G24" s="24" t="s">
        <v>505</v>
      </c>
      <c r="H24" t="s">
        <v>542</v>
      </c>
      <c r="I24" s="24" t="s">
        <v>506</v>
      </c>
    </row>
    <row r="25" spans="1:9" hidden="1" x14ac:dyDescent="0.2">
      <c r="A25" s="51">
        <v>1908518</v>
      </c>
      <c r="B25" t="s">
        <v>502</v>
      </c>
      <c r="C25" s="25">
        <v>43614</v>
      </c>
      <c r="D25" s="45" t="s">
        <v>592</v>
      </c>
      <c r="E25" s="24" t="s">
        <v>503</v>
      </c>
      <c r="F25" s="24" t="s">
        <v>504</v>
      </c>
      <c r="G25" s="24" t="s">
        <v>507</v>
      </c>
      <c r="H25" t="s">
        <v>543</v>
      </c>
      <c r="I25" s="24" t="s">
        <v>506</v>
      </c>
    </row>
    <row r="26" spans="1:9" hidden="1" x14ac:dyDescent="0.2">
      <c r="A26" s="51">
        <v>1908518</v>
      </c>
      <c r="B26" t="s">
        <v>502</v>
      </c>
      <c r="C26" s="25">
        <v>43614</v>
      </c>
      <c r="D26" s="45" t="s">
        <v>592</v>
      </c>
      <c r="E26" s="24" t="s">
        <v>503</v>
      </c>
      <c r="F26" s="24" t="s">
        <v>504</v>
      </c>
      <c r="G26" s="24" t="s">
        <v>508</v>
      </c>
      <c r="H26" t="s">
        <v>543</v>
      </c>
      <c r="I26" s="24" t="s">
        <v>506</v>
      </c>
    </row>
    <row r="27" spans="1:9" hidden="1" x14ac:dyDescent="0.2">
      <c r="A27" s="51">
        <v>1908518</v>
      </c>
      <c r="B27" t="s">
        <v>502</v>
      </c>
      <c r="C27" s="25">
        <v>43614</v>
      </c>
      <c r="D27" s="45" t="s">
        <v>592</v>
      </c>
      <c r="E27" s="24" t="s">
        <v>503</v>
      </c>
      <c r="F27" s="24" t="s">
        <v>504</v>
      </c>
      <c r="G27" s="24" t="s">
        <v>509</v>
      </c>
      <c r="H27" t="s">
        <v>543</v>
      </c>
      <c r="I27" s="24" t="s">
        <v>506</v>
      </c>
    </row>
    <row r="28" spans="1:9" hidden="1" x14ac:dyDescent="0.2">
      <c r="A28" s="51">
        <v>1908518</v>
      </c>
      <c r="B28" t="s">
        <v>161</v>
      </c>
      <c r="C28" s="25">
        <v>43614</v>
      </c>
      <c r="D28" s="45" t="s">
        <v>592</v>
      </c>
      <c r="E28" s="24" t="s">
        <v>503</v>
      </c>
      <c r="F28" s="24" t="s">
        <v>504</v>
      </c>
      <c r="G28" s="24" t="s">
        <v>535</v>
      </c>
      <c r="H28" t="s">
        <v>543</v>
      </c>
      <c r="I28" s="24" t="s">
        <v>506</v>
      </c>
    </row>
    <row r="29" spans="1:9" hidden="1" x14ac:dyDescent="0.2">
      <c r="A29" s="51">
        <v>1908518</v>
      </c>
      <c r="B29" t="s">
        <v>161</v>
      </c>
      <c r="C29" s="25">
        <v>43614</v>
      </c>
      <c r="D29" s="45" t="s">
        <v>592</v>
      </c>
      <c r="E29" s="24" t="s">
        <v>503</v>
      </c>
      <c r="F29" s="24" t="s">
        <v>504</v>
      </c>
      <c r="G29" s="24" t="s">
        <v>536</v>
      </c>
      <c r="H29" t="s">
        <v>543</v>
      </c>
      <c r="I29" s="24" t="s">
        <v>506</v>
      </c>
    </row>
    <row r="30" spans="1:9" hidden="1" x14ac:dyDescent="0.2">
      <c r="A30" s="51">
        <v>1908518</v>
      </c>
      <c r="B30" t="s">
        <v>161</v>
      </c>
      <c r="C30" s="25">
        <v>43614</v>
      </c>
      <c r="D30" s="45" t="s">
        <v>592</v>
      </c>
      <c r="E30" s="24" t="s">
        <v>503</v>
      </c>
      <c r="F30" s="24" t="s">
        <v>504</v>
      </c>
      <c r="G30" s="24" t="s">
        <v>537</v>
      </c>
      <c r="H30" t="s">
        <v>541</v>
      </c>
      <c r="I30" s="24" t="s">
        <v>506</v>
      </c>
    </row>
    <row r="31" spans="1:9" hidden="1" x14ac:dyDescent="0.2">
      <c r="A31" s="51">
        <v>1908518</v>
      </c>
      <c r="B31" t="s">
        <v>161</v>
      </c>
      <c r="C31" s="25">
        <v>43614</v>
      </c>
      <c r="D31" s="45" t="s">
        <v>592</v>
      </c>
      <c r="E31" s="24" t="s">
        <v>503</v>
      </c>
      <c r="F31" s="24" t="s">
        <v>504</v>
      </c>
      <c r="G31" s="24" t="s">
        <v>538</v>
      </c>
      <c r="H31" t="s">
        <v>540</v>
      </c>
      <c r="I31" s="24" t="s">
        <v>506</v>
      </c>
    </row>
    <row r="32" spans="1:9" hidden="1" x14ac:dyDescent="0.2">
      <c r="A32" s="51">
        <v>1908205</v>
      </c>
      <c r="B32" t="s">
        <v>443</v>
      </c>
      <c r="C32" s="25">
        <v>43614</v>
      </c>
      <c r="D32" s="45" t="s">
        <v>446</v>
      </c>
      <c r="E32" s="24" t="s">
        <v>447</v>
      </c>
      <c r="F32" s="24" t="s">
        <v>448</v>
      </c>
      <c r="G32" s="24" t="s">
        <v>444</v>
      </c>
      <c r="H32" t="s">
        <v>527</v>
      </c>
      <c r="I32" s="24" t="s">
        <v>528</v>
      </c>
    </row>
    <row r="33" spans="1:9" hidden="1" x14ac:dyDescent="0.2">
      <c r="A33" s="51">
        <v>1908205</v>
      </c>
      <c r="B33" t="s">
        <v>443</v>
      </c>
      <c r="C33" s="25">
        <v>43614</v>
      </c>
      <c r="D33" s="45" t="s">
        <v>446</v>
      </c>
      <c r="E33" s="24" t="s">
        <v>447</v>
      </c>
      <c r="F33" s="24" t="s">
        <v>448</v>
      </c>
      <c r="G33" s="24" t="s">
        <v>445</v>
      </c>
      <c r="H33" t="s">
        <v>539</v>
      </c>
      <c r="I33" s="24" t="s">
        <v>461</v>
      </c>
    </row>
    <row r="34" spans="1:9" hidden="1" x14ac:dyDescent="0.2">
      <c r="A34" s="51">
        <v>1907061</v>
      </c>
      <c r="B34" t="s">
        <v>167</v>
      </c>
      <c r="C34" s="25">
        <v>43614</v>
      </c>
      <c r="D34" s="45" t="s">
        <v>395</v>
      </c>
      <c r="E34" s="24" t="s">
        <v>396</v>
      </c>
      <c r="F34" s="24" t="s">
        <v>397</v>
      </c>
      <c r="G34" s="24" t="s">
        <v>487</v>
      </c>
      <c r="H34" t="s">
        <v>575</v>
      </c>
      <c r="I34" s="24" t="s">
        <v>488</v>
      </c>
    </row>
    <row r="35" spans="1:9" hidden="1" x14ac:dyDescent="0.2">
      <c r="A35" s="51">
        <v>1908520</v>
      </c>
      <c r="B35" t="s">
        <v>3</v>
      </c>
      <c r="C35" s="25">
        <v>43616</v>
      </c>
      <c r="D35" s="45" t="s">
        <v>495</v>
      </c>
      <c r="E35" s="24" t="s">
        <v>585</v>
      </c>
      <c r="F35" s="24" t="s">
        <v>494</v>
      </c>
      <c r="G35" s="24" t="s">
        <v>633</v>
      </c>
      <c r="H35" t="s">
        <v>584</v>
      </c>
      <c r="I35" s="24" t="s">
        <v>462</v>
      </c>
    </row>
    <row r="36" spans="1:9" hidden="1" x14ac:dyDescent="0.2">
      <c r="A36" s="51">
        <v>1908520</v>
      </c>
      <c r="B36" t="s">
        <v>3</v>
      </c>
      <c r="C36" s="25">
        <v>43616</v>
      </c>
      <c r="D36" s="45" t="s">
        <v>495</v>
      </c>
      <c r="E36" s="24" t="s">
        <v>585</v>
      </c>
      <c r="F36" s="24" t="s">
        <v>494</v>
      </c>
      <c r="G36" s="24" t="s">
        <v>586</v>
      </c>
      <c r="H36" t="s">
        <v>584</v>
      </c>
      <c r="I36" s="24" t="s">
        <v>462</v>
      </c>
    </row>
    <row r="37" spans="1:9" hidden="1" x14ac:dyDescent="0.2">
      <c r="A37" s="51">
        <v>1908520</v>
      </c>
      <c r="B37" t="s">
        <v>3</v>
      </c>
      <c r="C37" s="25">
        <v>43616</v>
      </c>
      <c r="D37" s="45" t="s">
        <v>495</v>
      </c>
      <c r="E37" s="24" t="s">
        <v>585</v>
      </c>
      <c r="F37" s="24" t="s">
        <v>494</v>
      </c>
      <c r="G37" s="24" t="s">
        <v>587</v>
      </c>
      <c r="H37" t="s">
        <v>584</v>
      </c>
      <c r="I37" s="24" t="s">
        <v>462</v>
      </c>
    </row>
    <row r="38" spans="1:9" hidden="1" x14ac:dyDescent="0.2">
      <c r="A38" s="51">
        <v>1908520</v>
      </c>
      <c r="B38" t="s">
        <v>3</v>
      </c>
      <c r="C38" s="25">
        <v>43616</v>
      </c>
      <c r="D38" s="45" t="s">
        <v>495</v>
      </c>
      <c r="E38" s="24" t="s">
        <v>585</v>
      </c>
      <c r="F38" s="24" t="s">
        <v>494</v>
      </c>
      <c r="G38" s="24" t="s">
        <v>722</v>
      </c>
      <c r="H38" t="s">
        <v>584</v>
      </c>
      <c r="I38" s="24" t="s">
        <v>462</v>
      </c>
    </row>
    <row r="39" spans="1:9" hidden="1" x14ac:dyDescent="0.2">
      <c r="A39" s="51">
        <v>1908973</v>
      </c>
      <c r="B39" t="s">
        <v>161</v>
      </c>
      <c r="C39" s="25">
        <v>43621</v>
      </c>
      <c r="D39" s="45" t="s">
        <v>577</v>
      </c>
      <c r="E39" s="24" t="s">
        <v>578</v>
      </c>
      <c r="F39" s="24" t="s">
        <v>579</v>
      </c>
      <c r="G39" s="24" t="s">
        <v>576</v>
      </c>
      <c r="H39" t="s">
        <v>642</v>
      </c>
      <c r="I39" s="24" t="s">
        <v>580</v>
      </c>
    </row>
    <row r="40" spans="1:9" hidden="1" x14ac:dyDescent="0.2">
      <c r="A40" s="51">
        <v>1908973</v>
      </c>
      <c r="B40" t="s">
        <v>161</v>
      </c>
      <c r="C40" s="25">
        <v>43621</v>
      </c>
      <c r="D40" s="45" t="s">
        <v>577</v>
      </c>
      <c r="E40" s="24" t="s">
        <v>578</v>
      </c>
      <c r="F40" s="24" t="s">
        <v>579</v>
      </c>
      <c r="G40" s="24" t="s">
        <v>581</v>
      </c>
      <c r="H40" t="s">
        <v>642</v>
      </c>
      <c r="I40" s="24" t="s">
        <v>580</v>
      </c>
    </row>
    <row r="41" spans="1:9" hidden="1" x14ac:dyDescent="0.2">
      <c r="A41" s="51">
        <v>1908973</v>
      </c>
      <c r="B41" t="s">
        <v>161</v>
      </c>
      <c r="C41" s="25">
        <v>43621</v>
      </c>
      <c r="D41" s="45" t="s">
        <v>577</v>
      </c>
      <c r="E41" s="24" t="s">
        <v>578</v>
      </c>
      <c r="F41" s="24" t="s">
        <v>579</v>
      </c>
      <c r="G41" s="24" t="s">
        <v>582</v>
      </c>
      <c r="H41" t="s">
        <v>643</v>
      </c>
      <c r="I41" s="24" t="s">
        <v>580</v>
      </c>
    </row>
    <row r="42" spans="1:9" hidden="1" x14ac:dyDescent="0.2">
      <c r="A42" s="51">
        <v>1908973</v>
      </c>
      <c r="B42" t="s">
        <v>161</v>
      </c>
      <c r="C42" s="25">
        <v>43621</v>
      </c>
      <c r="D42" s="45" t="s">
        <v>577</v>
      </c>
      <c r="E42" s="24" t="s">
        <v>578</v>
      </c>
      <c r="F42" s="24" t="s">
        <v>579</v>
      </c>
      <c r="G42" s="24" t="s">
        <v>583</v>
      </c>
      <c r="H42" t="s">
        <v>643</v>
      </c>
      <c r="I42" s="24" t="s">
        <v>580</v>
      </c>
    </row>
    <row r="43" spans="1:9" hidden="1" x14ac:dyDescent="0.2">
      <c r="A43" s="51">
        <v>1908903</v>
      </c>
      <c r="B43" t="s">
        <v>600</v>
      </c>
      <c r="C43" s="25">
        <v>43621</v>
      </c>
      <c r="D43" s="45" t="s">
        <v>601</v>
      </c>
      <c r="E43" s="24" t="s">
        <v>602</v>
      </c>
      <c r="F43" s="24" t="s">
        <v>604</v>
      </c>
      <c r="G43" s="24" t="s">
        <v>603</v>
      </c>
      <c r="H43" t="s">
        <v>630</v>
      </c>
      <c r="I43" s="24" t="s">
        <v>597</v>
      </c>
    </row>
    <row r="44" spans="1:9" hidden="1" x14ac:dyDescent="0.2">
      <c r="A44" s="51">
        <v>1908800</v>
      </c>
      <c r="B44" t="s">
        <v>158</v>
      </c>
      <c r="C44" s="25">
        <v>43621</v>
      </c>
      <c r="D44" s="45" t="s">
        <v>594</v>
      </c>
      <c r="E44" s="24" t="s">
        <v>595</v>
      </c>
      <c r="F44" s="24" t="s">
        <v>599</v>
      </c>
      <c r="G44" s="24" t="s">
        <v>596</v>
      </c>
      <c r="H44" t="s">
        <v>631</v>
      </c>
      <c r="I44" s="24" t="s">
        <v>597</v>
      </c>
    </row>
    <row r="45" spans="1:9" hidden="1" x14ac:dyDescent="0.2">
      <c r="A45" s="51">
        <v>1908800</v>
      </c>
      <c r="B45" t="s">
        <v>158</v>
      </c>
      <c r="C45" s="25">
        <v>43621</v>
      </c>
      <c r="D45" s="45" t="s">
        <v>594</v>
      </c>
      <c r="E45" s="24" t="s">
        <v>595</v>
      </c>
      <c r="F45" s="24" t="s">
        <v>599</v>
      </c>
      <c r="G45" s="24" t="s">
        <v>598</v>
      </c>
      <c r="H45" t="s">
        <v>631</v>
      </c>
      <c r="I45" s="24" t="s">
        <v>597</v>
      </c>
    </row>
    <row r="46" spans="1:9" x14ac:dyDescent="0.2">
      <c r="A46" s="51">
        <v>1908906</v>
      </c>
      <c r="B46" t="s">
        <v>3</v>
      </c>
      <c r="C46" s="25">
        <v>43623</v>
      </c>
      <c r="D46" s="45" t="s">
        <v>605</v>
      </c>
      <c r="E46" s="24" t="s">
        <v>595</v>
      </c>
      <c r="F46" s="24" t="s">
        <v>640</v>
      </c>
      <c r="G46" s="24" t="s">
        <v>606</v>
      </c>
      <c r="H46" t="s">
        <v>648</v>
      </c>
      <c r="I46" s="24" t="s">
        <v>597</v>
      </c>
    </row>
    <row r="47" spans="1:9" x14ac:dyDescent="0.2">
      <c r="A47" s="51">
        <v>1908906</v>
      </c>
      <c r="B47" t="s">
        <v>3</v>
      </c>
      <c r="C47" s="25">
        <v>43623</v>
      </c>
      <c r="D47" s="45" t="s">
        <v>569</v>
      </c>
      <c r="E47" s="24" t="s">
        <v>595</v>
      </c>
      <c r="F47" s="24" t="s">
        <v>640</v>
      </c>
      <c r="G47" s="24" t="s">
        <v>641</v>
      </c>
      <c r="H47" t="s">
        <v>648</v>
      </c>
      <c r="I47" s="24" t="s">
        <v>462</v>
      </c>
    </row>
    <row r="48" spans="1:9" hidden="1" x14ac:dyDescent="0.2">
      <c r="A48" s="51">
        <v>1908900</v>
      </c>
      <c r="B48" t="s">
        <v>183</v>
      </c>
      <c r="C48" s="25">
        <v>43623</v>
      </c>
      <c r="D48" s="45" t="s">
        <v>569</v>
      </c>
      <c r="E48" s="24" t="s">
        <v>570</v>
      </c>
      <c r="F48" s="24" t="s">
        <v>571</v>
      </c>
      <c r="G48" s="24" t="s">
        <v>721</v>
      </c>
      <c r="H48" t="s">
        <v>644</v>
      </c>
      <c r="I48" s="24" t="s">
        <v>573</v>
      </c>
    </row>
    <row r="49" spans="1:9" hidden="1" x14ac:dyDescent="0.2">
      <c r="A49" s="51">
        <v>1908900</v>
      </c>
      <c r="B49" t="s">
        <v>183</v>
      </c>
      <c r="C49" s="25">
        <v>43623</v>
      </c>
      <c r="D49" s="45" t="s">
        <v>569</v>
      </c>
      <c r="E49" s="24" t="s">
        <v>570</v>
      </c>
      <c r="F49" s="24" t="s">
        <v>571</v>
      </c>
      <c r="G49" s="24" t="s">
        <v>572</v>
      </c>
      <c r="H49" t="s">
        <v>645</v>
      </c>
      <c r="I49" s="24" t="s">
        <v>574</v>
      </c>
    </row>
    <row r="50" spans="1:9" hidden="1" x14ac:dyDescent="0.2">
      <c r="A50" s="51">
        <v>1908900</v>
      </c>
      <c r="B50" t="s">
        <v>183</v>
      </c>
      <c r="C50" s="25">
        <v>43623</v>
      </c>
      <c r="D50" s="45" t="s">
        <v>569</v>
      </c>
      <c r="E50" s="24" t="s">
        <v>570</v>
      </c>
      <c r="F50" s="24" t="s">
        <v>571</v>
      </c>
      <c r="G50" s="24" t="s">
        <v>572</v>
      </c>
      <c r="H50" t="s">
        <v>646</v>
      </c>
      <c r="I50" s="24" t="s">
        <v>574</v>
      </c>
    </row>
    <row r="51" spans="1:9" hidden="1" x14ac:dyDescent="0.2">
      <c r="A51" s="51">
        <v>1909378</v>
      </c>
      <c r="B51" t="s">
        <v>699</v>
      </c>
      <c r="C51" s="25">
        <v>43628</v>
      </c>
      <c r="D51" s="45" t="s">
        <v>700</v>
      </c>
      <c r="E51" s="24" t="s">
        <v>701</v>
      </c>
      <c r="F51" s="24" t="s">
        <v>708</v>
      </c>
      <c r="G51" s="24" t="s">
        <v>702</v>
      </c>
      <c r="I51" s="24" t="s">
        <v>703</v>
      </c>
    </row>
    <row r="52" spans="1:9" hidden="1" x14ac:dyDescent="0.2">
      <c r="A52" s="51">
        <v>1909378</v>
      </c>
      <c r="B52" t="s">
        <v>699</v>
      </c>
      <c r="C52" s="25">
        <v>43628</v>
      </c>
      <c r="D52" s="45" t="s">
        <v>700</v>
      </c>
      <c r="E52" s="24" t="s">
        <v>701</v>
      </c>
      <c r="F52" s="24" t="s">
        <v>708</v>
      </c>
      <c r="G52" s="24" t="s">
        <v>704</v>
      </c>
      <c r="I52" s="24" t="s">
        <v>703</v>
      </c>
    </row>
    <row r="53" spans="1:9" hidden="1" x14ac:dyDescent="0.2">
      <c r="A53" s="51">
        <v>1909378</v>
      </c>
      <c r="B53" t="s">
        <v>699</v>
      </c>
      <c r="C53" s="25">
        <v>43628</v>
      </c>
      <c r="D53" s="45" t="s">
        <v>700</v>
      </c>
      <c r="E53" s="24" t="s">
        <v>701</v>
      </c>
      <c r="F53" s="24" t="s">
        <v>708</v>
      </c>
      <c r="G53" s="24" t="s">
        <v>705</v>
      </c>
      <c r="I53" s="24" t="s">
        <v>703</v>
      </c>
    </row>
    <row r="54" spans="1:9" hidden="1" x14ac:dyDescent="0.2">
      <c r="A54" s="51">
        <v>1909378</v>
      </c>
      <c r="B54" t="s">
        <v>699</v>
      </c>
      <c r="C54" s="25">
        <v>43628</v>
      </c>
      <c r="D54" s="45" t="s">
        <v>700</v>
      </c>
      <c r="E54" s="24" t="s">
        <v>701</v>
      </c>
      <c r="F54" s="24" t="s">
        <v>708</v>
      </c>
      <c r="G54" s="24" t="s">
        <v>706</v>
      </c>
      <c r="I54" s="24" t="s">
        <v>703</v>
      </c>
    </row>
    <row r="55" spans="1:9" hidden="1" x14ac:dyDescent="0.2">
      <c r="A55" s="51">
        <v>1909378</v>
      </c>
      <c r="B55" t="s">
        <v>699</v>
      </c>
      <c r="C55" s="25">
        <v>43628</v>
      </c>
      <c r="D55" s="45" t="s">
        <v>700</v>
      </c>
      <c r="E55" s="24" t="s">
        <v>701</v>
      </c>
      <c r="F55" s="24" t="s">
        <v>708</v>
      </c>
      <c r="G55" s="24" t="s">
        <v>707</v>
      </c>
      <c r="I55" s="24" t="s">
        <v>703</v>
      </c>
    </row>
    <row r="56" spans="1:9" hidden="1" x14ac:dyDescent="0.2">
      <c r="A56" s="51">
        <v>1909376</v>
      </c>
      <c r="B56" t="s">
        <v>350</v>
      </c>
      <c r="C56" s="25">
        <v>43628</v>
      </c>
      <c r="D56" s="45" t="s">
        <v>686</v>
      </c>
      <c r="E56" s="24" t="s">
        <v>687</v>
      </c>
      <c r="F56" s="24" t="s">
        <v>717</v>
      </c>
      <c r="G56" s="24" t="s">
        <v>685</v>
      </c>
      <c r="H56" t="s">
        <v>720</v>
      </c>
      <c r="I56" s="24" t="s">
        <v>462</v>
      </c>
    </row>
    <row r="57" spans="1:9" hidden="1" x14ac:dyDescent="0.2">
      <c r="A57" s="51">
        <v>1909376</v>
      </c>
      <c r="B57" t="s">
        <v>3</v>
      </c>
      <c r="C57" s="25">
        <v>43628</v>
      </c>
      <c r="D57" s="45" t="s">
        <v>686</v>
      </c>
      <c r="E57" s="24" t="s">
        <v>687</v>
      </c>
      <c r="F57" s="24" t="s">
        <v>717</v>
      </c>
      <c r="G57" s="24" t="s">
        <v>719</v>
      </c>
      <c r="H57" t="s">
        <v>720</v>
      </c>
      <c r="I57" s="24" t="s">
        <v>462</v>
      </c>
    </row>
    <row r="58" spans="1:9" hidden="1" x14ac:dyDescent="0.2">
      <c r="A58" s="51">
        <v>1909376</v>
      </c>
      <c r="B58" t="s">
        <v>3</v>
      </c>
      <c r="C58" s="25">
        <v>43628</v>
      </c>
      <c r="D58" s="45" t="s">
        <v>686</v>
      </c>
      <c r="E58" s="24" t="s">
        <v>687</v>
      </c>
      <c r="F58" s="24" t="s">
        <v>717</v>
      </c>
      <c r="G58" s="24" t="s">
        <v>718</v>
      </c>
      <c r="H58" t="s">
        <v>720</v>
      </c>
      <c r="I58" s="24" t="s">
        <v>462</v>
      </c>
    </row>
    <row r="59" spans="1:9" hidden="1" x14ac:dyDescent="0.2">
      <c r="A59" s="51">
        <v>1909072</v>
      </c>
      <c r="B59" t="s">
        <v>158</v>
      </c>
      <c r="C59" s="25">
        <v>43628</v>
      </c>
      <c r="D59" s="45" t="s">
        <v>614</v>
      </c>
      <c r="E59" s="24" t="s">
        <v>615</v>
      </c>
      <c r="F59" s="24" t="s">
        <v>616</v>
      </c>
      <c r="G59" s="24" t="s">
        <v>617</v>
      </c>
      <c r="I59" s="24" t="s">
        <v>618</v>
      </c>
    </row>
    <row r="60" spans="1:9" hidden="1" x14ac:dyDescent="0.2">
      <c r="A60" s="51">
        <v>1909072</v>
      </c>
      <c r="B60" t="s">
        <v>158</v>
      </c>
      <c r="C60" s="25">
        <v>43628</v>
      </c>
      <c r="D60" s="45" t="s">
        <v>614</v>
      </c>
      <c r="E60" s="24" t="s">
        <v>615</v>
      </c>
      <c r="F60" s="24" t="s">
        <v>616</v>
      </c>
      <c r="G60" s="24" t="s">
        <v>619</v>
      </c>
      <c r="I60" s="24" t="s">
        <v>621</v>
      </c>
    </row>
    <row r="61" spans="1:9" hidden="1" x14ac:dyDescent="0.2">
      <c r="A61" s="51">
        <v>1909072</v>
      </c>
      <c r="B61" t="s">
        <v>158</v>
      </c>
      <c r="C61" s="25">
        <v>43628</v>
      </c>
      <c r="D61" s="45" t="s">
        <v>614</v>
      </c>
      <c r="E61" s="24" t="s">
        <v>615</v>
      </c>
      <c r="F61" s="24" t="s">
        <v>616</v>
      </c>
      <c r="G61" s="24" t="s">
        <v>620</v>
      </c>
      <c r="I61" s="24" t="s">
        <v>621</v>
      </c>
    </row>
    <row r="62" spans="1:9" hidden="1" x14ac:dyDescent="0.2">
      <c r="A62" s="51" t="s">
        <v>726</v>
      </c>
      <c r="B62" t="s">
        <v>167</v>
      </c>
      <c r="C62" s="25">
        <v>43635</v>
      </c>
      <c r="D62" s="45" t="s">
        <v>379</v>
      </c>
      <c r="E62" s="24" t="s">
        <v>380</v>
      </c>
      <c r="F62" s="24"/>
      <c r="G62" s="24"/>
      <c r="I62" s="2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2019-06-07T02:17:45Z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